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rics" sheetId="1" r:id="rId5"/>
    <sheet state="visible" name="develop" sheetId="2" r:id="rId6"/>
    <sheet state="visible" name="api-register-id" sheetId="3" r:id="rId7"/>
    <sheet state="visible" name="matriz BIAN" sheetId="4" r:id="rId8"/>
    <sheet state="visible" name="unity-ms-api-operations" sheetId="5" r:id="rId9"/>
    <sheet state="visible" name="unity-ms" sheetId="6" r:id="rId10"/>
    <sheet state="visible" name="service-domain" sheetId="7" r:id="rId11"/>
    <sheet state="hidden" name="listado confluence" sheetId="8" r:id="rId12"/>
    <sheet state="hidden" name="javier" sheetId="9" r:id="rId13"/>
    <sheet state="hidden" name="jennifer" sheetId="10" r:id="rId14"/>
    <sheet state="hidden" name="ana" sheetId="11" r:id="rId15"/>
    <sheet state="hidden" name="Reception" sheetId="12" r:id="rId16"/>
    <sheet state="hidden" name="gitlab-unknown" sheetId="13" r:id="rId17"/>
    <sheet state="hidden" name="gitlab-raml-unknown" sheetId="14" r:id="rId18"/>
    <sheet state="hidden" name="find-by-operation-id" sheetId="15" r:id="rId19"/>
    <sheet state="hidden" name="unknown" sheetId="16" r:id="rId20"/>
  </sheets>
  <definedNames>
    <definedName hidden="1" localSheetId="1" name="_xlnm._FilterDatabase">develop!$A$1:$T$1260</definedName>
    <definedName hidden="1" localSheetId="2" name="_xlnm._FilterDatabase">'api-register-id'!$A$1:$AJ$980</definedName>
    <definedName hidden="1" localSheetId="6" name="_xlnm._FilterDatabase">'service-domain'!$A$1:$C$251</definedName>
    <definedName hidden="1" localSheetId="7" name="_xlnm._FilterDatabase">'listado confluence'!$A$1:$Z$1362</definedName>
    <definedName hidden="1" localSheetId="10" name="_xlnm._FilterDatabase">ana!$A$1:$U$41</definedName>
    <definedName hidden="1" localSheetId="11" name="_xlnm._FilterDatabase">Reception!$A$1:$Y$42</definedName>
    <definedName hidden="1" localSheetId="1" name="Z_D2EFDD39_CFE4_4115_9425_92D166ECA4CD_.wvu.FilterData">develop!$B$1:$P$1354</definedName>
    <definedName hidden="1" localSheetId="1" name="Z_8BF8B6BB_0008_48F4_8569_81D9ECF90274_.wvu.FilterData">develop!$A$1:$U$1573</definedName>
    <definedName hidden="1" localSheetId="2" name="Z_5186B62B_D31F_4F84_B849_5DD9BBD71B06_.wvu.FilterData">'api-register-id'!$B$1:$Q$237</definedName>
    <definedName hidden="1" localSheetId="1" name="Z_10B4FCE2_1400_4929_BF26_C875B3731B98_.wvu.FilterData">develop!$A$1:$T$1653</definedName>
    <definedName hidden="1" localSheetId="1" name="Z_95E4B99E_D5CB_425E_A53A_3FE8C3A49BA8_.wvu.FilterData">develop!$B$1:$Z$1354</definedName>
  </definedNames>
  <calcPr/>
  <customWorkbookViews>
    <customWorkbookView activeSheetId="0" maximized="1" windowHeight="0" windowWidth="0" guid="{D2EFDD39-CFE4-4115-9425-92D166ECA4CD}" name="Filtro 3"/>
    <customWorkbookView activeSheetId="0" maximized="1" windowHeight="0" windowWidth="0" guid="{8BF8B6BB-0008-48F4-8569-81D9ECF90274}" name="Filtro 1"/>
    <customWorkbookView activeSheetId="0" maximized="1" windowHeight="0" windowWidth="0" guid="{5186B62B-D31F-4F84-B849-5DD9BBD71B06}" name="Javier"/>
    <customWorkbookView activeSheetId="0" maximized="1" windowHeight="0" windowWidth="0" guid="{10B4FCE2-1400-4929-BF26-C875B3731B98}" name="busqueda api name"/>
    <customWorkbookView activeSheetId="0" maximized="1" windowHeight="0" windowWidth="0" guid="{95E4B99E-D5CB-425E-A53A-3FE8C3A49BA8}" name="Filtro 2"/>
  </customWorkbookViews>
</workbook>
</file>

<file path=xl/sharedStrings.xml><?xml version="1.0" encoding="utf-8"?>
<sst xmlns="http://schemas.openxmlformats.org/spreadsheetml/2006/main" count="27610" uniqueCount="8207">
  <si>
    <t>operations (BA)</t>
  </si>
  <si>
    <t>cards (BA)</t>
  </si>
  <si>
    <t>Business Support</t>
  </si>
  <si>
    <t>creditCard</t>
  </si>
  <si>
    <t>Organización</t>
  </si>
  <si>
    <t>API Repository</t>
  </si>
  <si>
    <t>Organization</t>
  </si>
  <si>
    <t>API Specification</t>
  </si>
  <si>
    <t>API Type</t>
  </si>
  <si>
    <t>API Register ID</t>
  </si>
  <si>
    <t>API Name</t>
  </si>
  <si>
    <t>API Resource ID</t>
  </si>
  <si>
    <t>API Operation ID</t>
  </si>
  <si>
    <t>API Version</t>
  </si>
  <si>
    <t>API Base Path</t>
  </si>
  <si>
    <t>Resource Version</t>
  </si>
  <si>
    <t>API Operations</t>
  </si>
  <si>
    <t>HTTP Method</t>
  </si>
  <si>
    <t>API Operation Resource</t>
  </si>
  <si>
    <t>API Operation Full Path</t>
  </si>
  <si>
    <t>API Operation Description</t>
  </si>
  <si>
    <t>API Error</t>
  </si>
  <si>
    <t>Confluence</t>
  </si>
  <si>
    <t>API Repository Name</t>
  </si>
  <si>
    <t>ID API</t>
  </si>
  <si>
    <t>Status</t>
  </si>
  <si>
    <t>Link GitHub</t>
  </si>
  <si>
    <t>Complejidad API</t>
  </si>
  <si>
    <t>Exchange Name</t>
  </si>
  <si>
    <t>Persona asignada (carga liga Confluence)</t>
  </si>
  <si>
    <t>Exchange Publish</t>
  </si>
  <si>
    <t>Observaciones carga liga de Confluence</t>
  </si>
  <si>
    <t>Exchange Publish Version</t>
  </si>
  <si>
    <t>MS Repository Name</t>
  </si>
  <si>
    <t>Deploy Type</t>
  </si>
  <si>
    <t>Deploy Name</t>
  </si>
  <si>
    <t>Deploy Name Target</t>
  </si>
  <si>
    <t>is Valid</t>
  </si>
  <si>
    <t>Longitud</t>
  </si>
  <si>
    <t>Deploy Publish</t>
  </si>
  <si>
    <t>Deploy Version</t>
  </si>
  <si>
    <t>RAML</t>
  </si>
  <si>
    <t>BUSINESS</t>
  </si>
  <si>
    <t>Bus Business Support</t>
  </si>
  <si>
    <t>SSFF</t>
  </si>
  <si>
    <t>RESMX000001</t>
  </si>
  <si>
    <t>Bus_ExecuteSmsNotificationV1</t>
  </si>
  <si>
    <t>/businessSupport</t>
  </si>
  <si>
    <t>v1</t>
  </si>
  <si>
    <t>POST</t>
  </si>
  <si>
    <t>/v1/smsNotification/execute</t>
  </si>
  <si>
    <t>Operación encargada de realizar el envío de notificaciones SMS al cliente.</t>
  </si>
  <si>
    <t>Invalid Action Term "execute" for HTTP method "POST". For Action Term "execute" use "PUT,PATCH"</t>
  </si>
  <si>
    <t>https://coppelmx.atlassian.net/wiki/spaces/GAC/pages/edit-v2/2157347017</t>
  </si>
  <si>
    <t>mx-api-bc-bus-business-support</t>
  </si>
  <si>
    <t>APIMX000001</t>
  </si>
  <si>
    <t>Design</t>
  </si>
  <si>
    <t>1.3.0</t>
  </si>
  <si>
    <t>MuleSoft</t>
  </si>
  <si>
    <t>RESMX000002</t>
  </si>
  <si>
    <t>Bus_ExecuteExecuteOrderConfirmationV1</t>
  </si>
  <si>
    <t>PUT</t>
  </si>
  <si>
    <t>/v1/executeOrderConfirmation/execute</t>
  </si>
  <si>
    <t>Operación encargada de confirmar el registro de un movimiento generado para Coppel.</t>
  </si>
  <si>
    <t>The Behavior Qualifier cannot include the action term value "execute". Remove the Action Term of "executeOrderConfirmation".</t>
  </si>
  <si>
    <t>https://coppelmx.atlassian.net/wiki/spaces/GAC/pages/2158362691/RESMX000002_Bus_ExecuteExecuteOrderConfirmation_V1</t>
  </si>
  <si>
    <t>Layer</t>
  </si>
  <si>
    <t>RESMX000003</t>
  </si>
  <si>
    <t>Bus_RetrieveOrderCancellationV1</t>
  </si>
  <si>
    <t>API Component</t>
  </si>
  <si>
    <t>/v1/orderCancellation/retrieve</t>
  </si>
  <si>
    <t>Operación encargada de obtener la información de la orden de cancelación de transferencia.</t>
  </si>
  <si>
    <t>Bus Operations and Execution</t>
  </si>
  <si>
    <t>https://coppelmx.atlassian.net/wiki/spaces/GAC/pages/2157936745/RESMX000003_Bus_RetrieveOrderCancellation_V1</t>
  </si>
  <si>
    <t>Total Of Records</t>
  </si>
  <si>
    <t>Business Rule</t>
  </si>
  <si>
    <t>mx-api-bc-bus-operations-and-execution</t>
  </si>
  <si>
    <t>APIMX000002</t>
  </si>
  <si>
    <t>1.16.1</t>
  </si>
  <si>
    <t>RESMX000004</t>
  </si>
  <si>
    <t>Bus_InitiatePaymentOrderProcedureV1</t>
  </si>
  <si>
    <t>Reception</t>
  </si>
  <si>
    <t>/v1/paymentOrderProcedure/initiate</t>
  </si>
  <si>
    <t>Operación encargada de generar la trama de Pago ANTAD para Interact.</t>
  </si>
  <si>
    <t>https://coppelmx.atlassian.net/wiki/spaces/GAC/pages/2159214684/RESMX000004_Bus_InitiatePaymentOrderProcedure_V1</t>
  </si>
  <si>
    <t>Business</t>
  </si>
  <si>
    <t>Bus Reference Data</t>
  </si>
  <si>
    <t>mx-api-bc-bus-reference-data</t>
  </si>
  <si>
    <t>Domain</t>
  </si>
  <si>
    <t>APIMX000003</t>
  </si>
  <si>
    <t>RESMX000005</t>
  </si>
  <si>
    <t>Bus_InitiateLoanFacilityV1</t>
  </si>
  <si>
    <t>1.7.0</t>
  </si>
  <si>
    <t>/operationsAndExecution</t>
  </si>
  <si>
    <t>bus-reference-data-api-dev</t>
  </si>
  <si>
    <t>/v1/loanFacility/initiate</t>
  </si>
  <si>
    <t>API que permite orquestar las funcionalidades para registrar un préstamo de Coppel</t>
  </si>
  <si>
    <t>Proxy</t>
  </si>
  <si>
    <t>Pending load documentation...</t>
  </si>
  <si>
    <t>Manuel</t>
  </si>
  <si>
    <t>Total</t>
  </si>
  <si>
    <t>Bus Sales and Service</t>
  </si>
  <si>
    <t xml:space="preserve">Total </t>
  </si>
  <si>
    <t>RESMX000006</t>
  </si>
  <si>
    <t>Bus_RetrieveCreditDataDocumentV1</t>
  </si>
  <si>
    <t>Specification</t>
  </si>
  <si>
    <t>mx-api-bc-bus-sales-and-service</t>
  </si>
  <si>
    <t>APIMX000004</t>
  </si>
  <si>
    <t>GET</t>
  </si>
  <si>
    <t>/v1/creditDataDocument/retrieve</t>
  </si>
  <si>
    <t>API que obtiene los datos de la caratula de los prestamos del cliente.</t>
  </si>
  <si>
    <t>1.12.0</t>
  </si>
  <si>
    <t>OAS</t>
  </si>
  <si>
    <t>bus-sales-and-service-api-dev</t>
  </si>
  <si>
    <t>RESMX000007</t>
  </si>
  <si>
    <t>Bus_RetrieveCustomerCreditBalanceV1</t>
  </si>
  <si>
    <t>/v1/customerCreditBalance/retrieve</t>
  </si>
  <si>
    <t>API que permite consultar el saldo y plazo del crédito.</t>
  </si>
  <si>
    <t>Dom Account Reconciliation</t>
  </si>
  <si>
    <t>DOMAIN</t>
  </si>
  <si>
    <t>mx-api-bc-dom-account-reconciliation</t>
  </si>
  <si>
    <t>APIMX000005</t>
  </si>
  <si>
    <t>1.1.0</t>
  </si>
  <si>
    <t>RESMX000008</t>
  </si>
  <si>
    <t>Bus_RetrieveCustomerProductInformationV1</t>
  </si>
  <si>
    <t>/v1/customerProductInformation/{companyReference}/retrieve</t>
  </si>
  <si>
    <t>API que permite consultar los datos generales de un producto (tarjeta de crédito,cheque,préstamos) por número de cliente</t>
  </si>
  <si>
    <t>RESMX000009</t>
  </si>
  <si>
    <t>Bus_RetrieveBalanceCreditProductV1</t>
  </si>
  <si>
    <t>Dom Branch Location Operations</t>
  </si>
  <si>
    <t>/v1/balanceCreditProduct/retrieve</t>
  </si>
  <si>
    <t>API que permite consultar los saldos generales de un producto de crédito</t>
  </si>
  <si>
    <t>mx-api-bc-dom-branch-location-operations</t>
  </si>
  <si>
    <t>APIMX000006</t>
  </si>
  <si>
    <t>1.2.0</t>
  </si>
  <si>
    <t>RESMX000010</t>
  </si>
  <si>
    <t>Bus_RetrieveBalanceCreditInformationV1</t>
  </si>
  <si>
    <t>/v1/balanceCreditInformation/retrieve</t>
  </si>
  <si>
    <t>Unity Repositories</t>
  </si>
  <si>
    <t>Dom Branch Network Management</t>
  </si>
  <si>
    <t>Observaciones</t>
  </si>
  <si>
    <t>mx-api-bc-dom-branch-network-management</t>
  </si>
  <si>
    <t>RESMX000011</t>
  </si>
  <si>
    <t>Bus_RetrieveLoanAgreementV1</t>
  </si>
  <si>
    <t>APIMX000007</t>
  </si>
  <si>
    <t>dom-branch-network-management-api-dev</t>
  </si>
  <si>
    <t>/v1/loanAgreement/retrieve</t>
  </si>
  <si>
    <t>API que permite consulta el saldo y plazo de un préstamo</t>
  </si>
  <si>
    <t>https://github.com/SF-Bancoppel/mx-ms-bc-br-counterparty-risk</t>
  </si>
  <si>
    <t>RESMX000012</t>
  </si>
  <si>
    <t>Bus_RetrieveSavingAccountBalanceV1</t>
  </si>
  <si>
    <t>mx-ms-bc-br-counterparty-risk-apigee</t>
  </si>
  <si>
    <t>Registrar esta API y sus operaciones.</t>
  </si>
  <si>
    <t>/v1/savingAccountBalance/{companyReference}/retrieve</t>
  </si>
  <si>
    <t>API que permite orquestar la consulta de saldo de cuenta de ahorro</t>
  </si>
  <si>
    <t>https://github.com/SF-Bancoppel/mx-ms-bc-br-customer-product-and-service-eligibility-apigee</t>
  </si>
  <si>
    <t>Dom Card eCommerce Gateway</t>
  </si>
  <si>
    <t>mx-api-bc-dom-card-ecommerce-gateway</t>
  </si>
  <si>
    <t>APIMX000008</t>
  </si>
  <si>
    <t>RESMX000013</t>
  </si>
  <si>
    <t>Bus_RequestCreditCardFacilityApplicationV1</t>
  </si>
  <si>
    <t>https://github.com/SF-Bancoppel/mx-ms-bc-bus-business-support-mule</t>
  </si>
  <si>
    <t>1.0.0</t>
  </si>
  <si>
    <t>/v1/creditCardFacilityApplication/request</t>
  </si>
  <si>
    <t>Permite ejecutar diferentes acciones sobre el producto Tarjeta de Crédito Oro (1- Verifica si aplica a TDC Oro, 2- Clonar Información Clásica a Oro, 3- Limpiar Clonación Clásica a Oro)</t>
  </si>
  <si>
    <t>Invalid Action Term "request" for HTTP method "POST". For Action Term "request" use "PUT,PATCH"</t>
  </si>
  <si>
    <t>https://github.com/SF-Bancoppel/mx-ms-bc-bus-cards-mule</t>
  </si>
  <si>
    <t>https://github.com/SF-Bancoppel/mx-ms-bc-bus-channel-specific-mule</t>
  </si>
  <si>
    <t>RESMX000014</t>
  </si>
  <si>
    <t>Bus_InitiateCreditCardFacilityV1</t>
  </si>
  <si>
    <t>https://github.com/SF-Bancoppel/mx-ms-bc-bus-cross-product-operations-mule</t>
  </si>
  <si>
    <t>/v1/creditCardFacility/initiate</t>
  </si>
  <si>
    <t>Apertura y asignación de tarjeta de crédito</t>
  </si>
  <si>
    <t>https://github.com/SF-Bancoppel/mx-ms-bc-bus-customer-management-mule</t>
  </si>
  <si>
    <t>Dom Corporate Current Account</t>
  </si>
  <si>
    <t>mx-api-bc-dom-corporate-current-account</t>
  </si>
  <si>
    <t>APIMX000009</t>
  </si>
  <si>
    <t>https://github.com/SF-Bancoppel/mx-ms-bc-bus-operational-services-mule</t>
  </si>
  <si>
    <t>dom-corporate-current-account-api-dev</t>
  </si>
  <si>
    <t>RESMX000015</t>
  </si>
  <si>
    <t>Bus_RetrieveCreditCardInformationV1</t>
  </si>
  <si>
    <t>https://github.com/SF-Bancoppel/mx-ms-bc-bus-operations-and-execution-mule</t>
  </si>
  <si>
    <t>/v1/creditCardInformation/retrieve</t>
  </si>
  <si>
    <t>API que permite consultar una tarjeta de crédito por número de tarjeta</t>
  </si>
  <si>
    <t>https://github.com/SF-Bancoppel/mx-ms-bc-bus-payments-mule</t>
  </si>
  <si>
    <t>https://github.com/SF-Bancoppel/mx-ms-bc-bus-product-specific-fulfillment-mule</t>
  </si>
  <si>
    <t>Dom Correspondence</t>
  </si>
  <si>
    <t>RESMX000016</t>
  </si>
  <si>
    <t>Bus_RetrieveCreditCardCashProvisionV1</t>
  </si>
  <si>
    <t>https://github.com/SF-Bancoppel/mx-ms-bc-bus-reference-data-mule</t>
  </si>
  <si>
    <t>/v1/creditCardCashProvision/retrieve</t>
  </si>
  <si>
    <t>API que permite orquestar la consulta de disposición de efectivo y la regla de negocio asociada a la funcionalidad</t>
  </si>
  <si>
    <t>mx-api-bc-dom-correspondence</t>
  </si>
  <si>
    <t>APIMX000010</t>
  </si>
  <si>
    <t>https://github.com/SF-Bancoppel/mx-ms-bc-bus-sales-and-service-mule</t>
  </si>
  <si>
    <t>https://github.com/SF-Bancoppel/mx-ms-bc-bus-servicing-mule</t>
  </si>
  <si>
    <t>RESMX000017</t>
  </si>
  <si>
    <t>Bus_InitiateCreditCardActivationLogV1</t>
  </si>
  <si>
    <t>https://github.com/SF-Bancoppel/mx-ms-bc-dom-branch-location-operations-mule</t>
  </si>
  <si>
    <t>/v1/creditCardActivationLog/initiate</t>
  </si>
  <si>
    <t>Permite grabar una bitácora de la activación de las tarjetas de crédito Bancoppel en ventanilla</t>
  </si>
  <si>
    <t>https://github.com/SF-Bancoppel/mx-ms-bc-dom-branch-network-management-mule</t>
  </si>
  <si>
    <t>Dom Counterparty Risk</t>
  </si>
  <si>
    <t>https://github.com/SF-Bancoppel/mx-ms-bc-dom-card-ecommerce-gateway-mule</t>
  </si>
  <si>
    <t>RESMX000018</t>
  </si>
  <si>
    <t>Bus_RetrieveCreditCardHolderV1</t>
  </si>
  <si>
    <t>mx-api-bc-dom-counterparty-risk</t>
  </si>
  <si>
    <t>APIMX000011</t>
  </si>
  <si>
    <t>https://github.com/SF-Bancoppel/mx-ms-bc-dom-card-transaction-switch-mule</t>
  </si>
  <si>
    <t>/v1/creditCardHolder/retrieve</t>
  </si>
  <si>
    <t>Permite consultar los tarjetahabientes asociados a una cuenta</t>
  </si>
  <si>
    <t>https://github.com/SF-Bancoppel/mx-ms-bc-dom-correspondence-mule</t>
  </si>
  <si>
    <t>https://github.com/SF-Bancoppel/mx-ms-bc-dom-counterparty-risk-mule</t>
  </si>
  <si>
    <t>RESMX000019</t>
  </si>
  <si>
    <t>Bus_RegisterCustomerUpgradeV1</t>
  </si>
  <si>
    <t>/v1/customerUpgrade/register</t>
  </si>
  <si>
    <t>Api que permite guarda la información del reporte referente a la solicitud de la mejora del producto y plásticos para reposición</t>
  </si>
  <si>
    <t>https://github.com/SF-Bancoppel/mx-ms-bc-dom-credit-card-mule</t>
  </si>
  <si>
    <t>Dom Credit Card</t>
  </si>
  <si>
    <t>https://github.com/SF-Bancoppel/mx-ms-bc-dom-credit-card-position-keeping-mule</t>
  </si>
  <si>
    <t>mx-api-bc-dom-credit-card</t>
  </si>
  <si>
    <t>APIMX000012</t>
  </si>
  <si>
    <t>https://github.com/SF-Bancoppel/mx-ms-bc-dom-credit-facility-mule</t>
  </si>
  <si>
    <t>RESMX000020</t>
  </si>
  <si>
    <t>Bus_InitiateCustomerUpgradeV1</t>
  </si>
  <si>
    <t>1.31.0</t>
  </si>
  <si>
    <t>mx-ms-bc-dom-credit-card-mule</t>
  </si>
  <si>
    <t>/v1/customerUpgrade/initiate</t>
  </si>
  <si>
    <t>Api que permite grabar la información referente a la solicitud del upgrade del producto</t>
  </si>
  <si>
    <t>dom-credit-card-api-dev</t>
  </si>
  <si>
    <t>https://github.com/SF-Bancoppel/mx-ms-bc-dom-customer-access-entitlement-mule</t>
  </si>
  <si>
    <t>https://github.com/SF-Bancoppel/mx-ms-bc-dom-customer-agreement-mule</t>
  </si>
  <si>
    <t>RESMX000021</t>
  </si>
  <si>
    <t>Bus_RetrieveCustomerUpgradeV1</t>
  </si>
  <si>
    <t>/v1/customerUpgrade/retrieve</t>
  </si>
  <si>
    <t>Api que permite consultar la información referente a la solicitud del upgrade del producto</t>
  </si>
  <si>
    <t>https://github.com/SF-Bancoppel/mx-ms-bc-dom-customer-credit-rating-mule</t>
  </si>
  <si>
    <t>Dom Credit Card Position Keeping</t>
  </si>
  <si>
    <t>https://github.com/SF-Bancoppel/mx-ms-bc-dom-customer-position-mule</t>
  </si>
  <si>
    <t>mx-api-bc-dom-credit-card-position-keeping</t>
  </si>
  <si>
    <t>APIMX000013</t>
  </si>
  <si>
    <t>1.4.3</t>
  </si>
  <si>
    <t>https://github.com/SF-Bancoppel/mx-ms-bc-dom-customer-products-and-services-mule</t>
  </si>
  <si>
    <t>dom-credit-card-position-keeping-api-dev</t>
  </si>
  <si>
    <t>RESMX000022</t>
  </si>
  <si>
    <t>Bus_RetrieveBalanceProductV1</t>
  </si>
  <si>
    <t>/v1/balanceProduct/retrieve</t>
  </si>
  <si>
    <t>https://github.com/SF-Bancoppel/mx-ms-bc-dom-customer-relationship-management-mule</t>
  </si>
  <si>
    <t>API que permite consultar si un producto posee un saldo pendiente</t>
  </si>
  <si>
    <t>https://github.com/SF-Bancoppel/mx-ms-bc-dom-document-services-mule</t>
  </si>
  <si>
    <t>Dom Credit Facility</t>
  </si>
  <si>
    <t>mx-api-bc-dom-credit-facility</t>
  </si>
  <si>
    <t>RESMX000023</t>
  </si>
  <si>
    <t>Bus_ControlCreditCardStatusV1</t>
  </si>
  <si>
    <t>APIMX000014</t>
  </si>
  <si>
    <t>1.2.1</t>
  </si>
  <si>
    <t>/v1/creditCardStatus/control</t>
  </si>
  <si>
    <t>https://github.com/SF-Bancoppel/mx-ms-bc-dom-investment-account-mule</t>
  </si>
  <si>
    <t>Consulta los datos de la tarjeta de credito y actualiza el estatus a "A" desde caja.</t>
  </si>
  <si>
    <t>https://github.com/SF-Bancoppel/mx-ms-bc-dom-issued-device-administration-mule</t>
  </si>
  <si>
    <t>https://github.com/SF-Bancoppel/mx-ms-bc-dom-issued-device-tracking-mule</t>
  </si>
  <si>
    <t>Dom Currency Exchange</t>
  </si>
  <si>
    <t>RESMX000024</t>
  </si>
  <si>
    <t>Bus_InitiateExecutionCashAdvanceV1</t>
  </si>
  <si>
    <t>mx-api-bc-dom-currency-exchange</t>
  </si>
  <si>
    <t>https://github.com/SF-Bancoppel/mx-ms-bc-dom-loan-mule</t>
  </si>
  <si>
    <t>APIMX000015</t>
  </si>
  <si>
    <t>/v1/executionCashAdvance/initiate</t>
  </si>
  <si>
    <t>Api de negocio que realiza cálculos de comisiones e intereses, cancelación de anualidad o devolución de anualidad. Los movimientos calculados son registrados en la base de datos de TDC.</t>
  </si>
  <si>
    <t>Martha</t>
  </si>
  <si>
    <t>https://github.com/SF-Bancoppel/mx-ms-bc-dom-location-data-management-mule</t>
  </si>
  <si>
    <t>https://github.com/SF-Bancoppel/mx-ms-bc-dom-party-authentication-mule</t>
  </si>
  <si>
    <t>RESMX000025</t>
  </si>
  <si>
    <t>Bus_RetrieveOcrDocumentV1</t>
  </si>
  <si>
    <t>/referenceData</t>
  </si>
  <si>
    <t>/v1/ocrDocument/retrieve</t>
  </si>
  <si>
    <t>https://github.com/SF-Bancoppel/mx-ms-bc-dom-party-lifecycle-management-mule</t>
  </si>
  <si>
    <t>Servicio de experiencia que se encarga de retornar datos sobre la lectura del usuario de la declaración de identificación y dirección envuelta en el objeto ocrData.</t>
  </si>
  <si>
    <t>https://coppelmx.atlassian.net/wiki/x/GgDpPQ</t>
  </si>
  <si>
    <t>Dom Current Account</t>
  </si>
  <si>
    <t>mx-api-bc-dom-current-account</t>
  </si>
  <si>
    <t>https://github.com/SF-Bancoppel/mx-ms-bc-dom-party-reference-data-directory-mule</t>
  </si>
  <si>
    <t>APIMX000016</t>
  </si>
  <si>
    <t>RESMX000026</t>
  </si>
  <si>
    <t>Bus_EvaluateOnboardingPartySuitabilityV1</t>
  </si>
  <si>
    <t>https://github.com/SF-Bancoppel/mx-ms-bc-dom-payment-execution-mule</t>
  </si>
  <si>
    <t>/v1/onboardingPartySuitability/evaluate</t>
  </si>
  <si>
    <t>Servicio de negocio que se encarga de consultar al cliente en las listas negras respectivas</t>
  </si>
  <si>
    <t>https://github.com/SF-Bancoppel/mx-ms-bc-dom-payment-order-mule</t>
  </si>
  <si>
    <t>RESMX000027</t>
  </si>
  <si>
    <t>Bus_EvaluateReviewCustomerAccountV1</t>
  </si>
  <si>
    <t>https://github.com/SF-Bancoppel/mx-ms-bc-dom-platform-operations-mule</t>
  </si>
  <si>
    <t>/v1/reviewCustomerAccount/evaluate</t>
  </si>
  <si>
    <t>Servicio encargado de evaluar datos específicos del cliente.</t>
  </si>
  <si>
    <t>Dom Customer Access Entitlement</t>
  </si>
  <si>
    <t>https://github.com/SF-Bancoppel/mx-ms-bc-dom-position-keeping-mule</t>
  </si>
  <si>
    <t>mx-api-bc-dom-customer-access-entitlement</t>
  </si>
  <si>
    <t>APIMX000017</t>
  </si>
  <si>
    <t>RESMX000028</t>
  </si>
  <si>
    <t>1.1.1</t>
  </si>
  <si>
    <t>Bus_RegisterGeneratePartyV1</t>
  </si>
  <si>
    <t>https://github.com/SF-Bancoppel/mx-ms-bc-dom-product-directory-mule</t>
  </si>
  <si>
    <t>/v1/generateParty/register</t>
  </si>
  <si>
    <t>Operación encargada de realizar el registro de un cliente físico.</t>
  </si>
  <si>
    <t>https://github.com/SF-Bancoppel/mx-ms-bc-dom-session-dialogue-mule</t>
  </si>
  <si>
    <t>RESMX000029</t>
  </si>
  <si>
    <t>Bus_RetrieveRetrievePaymentBalancesV1</t>
  </si>
  <si>
    <t>https://github.com/SF-Bancoppel/mx-ms-bc-dom-transaction-engine-mule</t>
  </si>
  <si>
    <t>/v1/retrievePaymentBalances/retrieve</t>
  </si>
  <si>
    <t>Obtener los totales de pagos referenciados, pagos de WU/OV/VG para que se consultan las transacciones de abono a cuenta.</t>
  </si>
  <si>
    <t>The Behavior Qualifier cannot include the action term value "retrieve". Remove the Action Term of "retrievePaymentBalances".</t>
  </si>
  <si>
    <t>Dom Customer Agreement</t>
  </si>
  <si>
    <t>mx-api-bc-dom-customer-agreement</t>
  </si>
  <si>
    <t>https://github.com/SF-Bancoppel/mx-ms-bc-dom-utility-mule</t>
  </si>
  <si>
    <t>APIMX000018</t>
  </si>
  <si>
    <t>RESMX000030</t>
  </si>
  <si>
    <t>Bus_ExecuteOnboardingPartyV1</t>
  </si>
  <si>
    <t>dom-customer-agreement-api-dev</t>
  </si>
  <si>
    <t>https://github.com/SF-Bancoppel/mx-ms-bc-int-p-current-account</t>
  </si>
  <si>
    <t>/v1/onboardingParty/execute</t>
  </si>
  <si>
    <t>Servicio de negocio encargado de ejecutar el proceso de onboarding de consultar el prospecto de cliente y guardar sus información.</t>
  </si>
  <si>
    <t>https://coppelmx.atlassian.net/wiki/x/NwDmPQ</t>
  </si>
  <si>
    <t>https://github.com/SF-Bancoppel/mx-ms-bc-int-r-current-account</t>
  </si>
  <si>
    <t>https://github.com/SF-Bancoppel/mx-ms-bc-pro-branch-location-operations</t>
  </si>
  <si>
    <t>RESMX000031</t>
  </si>
  <si>
    <t>Dom Customer Credit Rating</t>
  </si>
  <si>
    <t>Bus_RetrieveCustomerV1</t>
  </si>
  <si>
    <t>/v1/customer/retrieve</t>
  </si>
  <si>
    <t>Realiza la consulta del cliente por diferentes parámetros.</t>
  </si>
  <si>
    <t>mx-api-bc-dom-customer-credit-rating</t>
  </si>
  <si>
    <t>https://coppelmx.atlassian.net/wiki/x/A4AHPg</t>
  </si>
  <si>
    <t>APIMX000019</t>
  </si>
  <si>
    <t>https://github.com/SF-Bancoppel/mx-ms-bc-pro-branch-network-management</t>
  </si>
  <si>
    <t>1.5.1</t>
  </si>
  <si>
    <t>https://github.com/SF-Bancoppel/mx-ms-bc-pro-card-ecommerce-gateway</t>
  </si>
  <si>
    <t>RESMX000032</t>
  </si>
  <si>
    <t>Bus_RetrieveCustomerCardV1</t>
  </si>
  <si>
    <t>/v1/customerCard/retrieve</t>
  </si>
  <si>
    <t>En este microservicio se realiza la consulta de datos (nombre(s), apellido(s), RFC y número de tarjeta) del cliente titular de una tarjeta de crédito de las tablas sd_maecred, sd_tarjeta y si_cliente. Estas consultas se realizan para consultar los datos del cliente titular.</t>
  </si>
  <si>
    <t>https://github.com/SF-Bancoppel/mx-ms-bc-pro-card-transaction-switch</t>
  </si>
  <si>
    <t>Dom Customer Offer</t>
  </si>
  <si>
    <t>https://github.com/SF-Bancoppel/mx-ms-bc-pro-correspondence</t>
  </si>
  <si>
    <t>RESMX000033</t>
  </si>
  <si>
    <t>Bus_RetrieveLifeInsuranceV1</t>
  </si>
  <si>
    <t>mx-api-bc-dom-customer-offer</t>
  </si>
  <si>
    <t>APIMX000020</t>
  </si>
  <si>
    <t>/v1/lifeInsurance/retrieve</t>
  </si>
  <si>
    <t>https://github.com/SF-Bancoppel/mx-ms-bc-pro-counterparty-risk</t>
  </si>
  <si>
    <t>Este microservicio realiza la validación según el estado en que se encuentre el club de protección del cliente y valida que mensaje mostrar al usuario..</t>
  </si>
  <si>
    <t>https://github.com/SF-Bancoppel/mx-ms-bc-pro-credit-card</t>
  </si>
  <si>
    <t>RESMX000034</t>
  </si>
  <si>
    <t>Bus_InitiateOnBoardingPartyV1</t>
  </si>
  <si>
    <t>/salesAndService</t>
  </si>
  <si>
    <t>/v1/onBoardingParty/initiate</t>
  </si>
  <si>
    <t>https://github.com/SF-Bancoppel/mx-ms-bc-pro-credit-card-position-keeping</t>
  </si>
  <si>
    <t>Servicio de Negocio encargado de iniciar el proceso de onboarding.</t>
  </si>
  <si>
    <t>https://coppelmx.atlassian.net/wiki/x/BoBhPQ</t>
  </si>
  <si>
    <t>https://github.com/SF-Bancoppel/mx-ms-bc-pro-credit-facility</t>
  </si>
  <si>
    <t>Dom Customer Position</t>
  </si>
  <si>
    <t>RESMX000035</t>
  </si>
  <si>
    <t>Bus_EvaluateOnBoardingPhonePartyV1</t>
  </si>
  <si>
    <t>https://github.com/SF-Bancoppel/mx-ms-bc-pro-customer-access-entitlement</t>
  </si>
  <si>
    <t>/v1/onBoardingPhoneParty/evaluate</t>
  </si>
  <si>
    <t>Servicio de experiencia encargado de agregar, consultar y validar número de teléfono.</t>
  </si>
  <si>
    <t>mx-api-bc-dom-customer-position</t>
  </si>
  <si>
    <t>https://coppelmx.atlassian.net/wiki/x/JgBiPQ</t>
  </si>
  <si>
    <t>APIMX000021</t>
  </si>
  <si>
    <t>dom-customer-position-api-dev</t>
  </si>
  <si>
    <t>https://github.com/SF-Bancoppel/mx-ms-bc-pro-customer-agreement</t>
  </si>
  <si>
    <t>RESMX000036</t>
  </si>
  <si>
    <t>Bus_ExecuteGenerateBiometricManagementV1</t>
  </si>
  <si>
    <t>https://github.com/SF-Bancoppel/mx-ms-bc-pro-customer-credit-rating</t>
  </si>
  <si>
    <t>/v1/generateBiometricManagement/execute</t>
  </si>
  <si>
    <t>Operación encargada de gestionar los datos biométricos del cliente.</t>
  </si>
  <si>
    <t>https://coppelmx.atlassian.net/wiki/spaces/GAC/pages/2158821554/RESMX000036_Bus_ExecuteBiometricManagement_V1</t>
  </si>
  <si>
    <t>Dom Customer Product And Service Eligibility</t>
  </si>
  <si>
    <t>https://github.com/SF-Bancoppel/mx-ms-bc-pro-customer-position</t>
  </si>
  <si>
    <t>mx-api-bc-dom-customer-product-and-service-eligibility</t>
  </si>
  <si>
    <t>APIMX000022</t>
  </si>
  <si>
    <t>https://github.com/SF-Bancoppel/mx-ms-bc-pro-customer-product-and-service-eligibility</t>
  </si>
  <si>
    <t>dom-cust-prod-and-svc-elig-dev</t>
  </si>
  <si>
    <t>RESMX000037</t>
  </si>
  <si>
    <t>Bus_EvaluateCustomerContactOperationV1</t>
  </si>
  <si>
    <t>https://github.com/SF-Bancoppel/mx-ms-bc-pro-customer-products-and-services</t>
  </si>
  <si>
    <t>/v1/customerContactOperation/evaluate</t>
  </si>
  <si>
    <t>API que permite verificar si el folio sms ya fue validado para un cliente</t>
  </si>
  <si>
    <t>https://coppelmx.atlassian.net/wiki/spaces/GAC/pages/2159313123/RESMX000037_Bus_EvaluateCustomerContactOperation_V1</t>
  </si>
  <si>
    <t>https://github.com/SF-Bancoppel/mx-ms-bc-pro-customer-relationship-management</t>
  </si>
  <si>
    <t>Dom Customer Products And Services</t>
  </si>
  <si>
    <t>mx-api-bc-dom-customer-products-and-services</t>
  </si>
  <si>
    <t>https://github.com/SF-Bancoppel/mx-ms-bc-pro-document-services</t>
  </si>
  <si>
    <t>APIMX000023</t>
  </si>
  <si>
    <t>RESMX000038</t>
  </si>
  <si>
    <t>Bus_EvaluateCustomerWorkbenchFinancialTransactionV1</t>
  </si>
  <si>
    <t>dom-customer-workbench-api-dev</t>
  </si>
  <si>
    <t>https://github.com/SF-Bancoppel/mx-ms-bc-pro-investment-account</t>
  </si>
  <si>
    <t>/v1/customerWorkbenchFinancialTransaction/evaluate</t>
  </si>
  <si>
    <t>Servicio encargado de validar si la información proporcionada por el cliente a través del IVR es correcta y si está registrada en la base de datos de Bancoppel.</t>
  </si>
  <si>
    <t>https://coppelmx.atlassian.net/wiki/x/xYC4g</t>
  </si>
  <si>
    <t>https://github.com/SF-Bancoppel/mx-ms-bc-pro-issued-device-administration</t>
  </si>
  <si>
    <t>https://github.com/SF-Bancoppel/mx-ms-bc-pro-issued-device-tracking</t>
  </si>
  <si>
    <t>RESMX000039</t>
  </si>
  <si>
    <t>Bus_UpdateContactPointV1</t>
  </si>
  <si>
    <t>Dom Customer Relationship Management</t>
  </si>
  <si>
    <t>mx-api-bc-dom-customer-relationship-management</t>
  </si>
  <si>
    <t>https://github.com/SF-Bancoppel/mx-ms-bc-pro-loan</t>
  </si>
  <si>
    <t>APIMX000024</t>
  </si>
  <si>
    <t>/v1/contactPoint/update</t>
  </si>
  <si>
    <t>API que permite actualizar la información de contacto del cliente, el telefono y el email</t>
  </si>
  <si>
    <t>dom-cust-rel-mgmt-api-dev</t>
  </si>
  <si>
    <t>https://github.com/SF-Bancoppel/mx-ms-bc-pro-location-data-management</t>
  </si>
  <si>
    <t>https://github.com/SF-Bancoppel/mx-ms-bc-pro-party-authentication</t>
  </si>
  <si>
    <t>RESMX000040</t>
  </si>
  <si>
    <t>Bus_UpdatePersonProfileV1</t>
  </si>
  <si>
    <t>https://github.com/SF-Bancoppel/mx-ms-bc-pro-party-lifecycle-management</t>
  </si>
  <si>
    <t>/v1/personProfile/update</t>
  </si>
  <si>
    <t>Dom Customer Workbench</t>
  </si>
  <si>
    <t>API que permite actualizar la información del perfil del cliente</t>
  </si>
  <si>
    <t>https://coppelmx.atlassian.net/wiki/x/vQCsg</t>
  </si>
  <si>
    <t>mx-api-bc-dom-customer-workbench</t>
  </si>
  <si>
    <t>https://github.com/SF-Bancoppel/mx-ms-bc-pro-party-reference-data-directory</t>
  </si>
  <si>
    <t>APIMX000025</t>
  </si>
  <si>
    <t>https://github.com/SF-Bancoppel/mx-ms-bc-pro-party-retail-reference-data-directory</t>
  </si>
  <si>
    <t>dom-customer-products-and-services-api-dev</t>
  </si>
  <si>
    <t>mx-ms-cpp-pro-party-retail-reference-data-directory</t>
  </si>
  <si>
    <t>RESMX000041</t>
  </si>
  <si>
    <t>Bus_UpdateOnBoardingEmailPartyV1</t>
  </si>
  <si>
    <t>https://github.com/SF-Bancoppel/mx-ms-bc-pro-payment-execution</t>
  </si>
  <si>
    <t>PATCH</t>
  </si>
  <si>
    <t>/v1/onBoardingEmailParty/update</t>
  </si>
  <si>
    <t>API que permite Consultar información OCR del Comprobante de domicilio en Incode, Insertar Domicilio del Comprobante Domicilio en tabla Address y Actualizar Tabla Address (Actualiza domicilio del prospecto)</t>
  </si>
  <si>
    <t>https://coppelmx.atlassian.net/wiki/x/JoBhPQ</t>
  </si>
  <si>
    <t>https://github.com/SF-Bancoppel/mx-ms-bc-pro-payment-order</t>
  </si>
  <si>
    <t>RESMX000042</t>
  </si>
  <si>
    <t>Bus_EvaluateOnBoardingEmailPartyV1</t>
  </si>
  <si>
    <t>https://github.com/SF-Bancoppel/mx-ms-bc-pro-platform-operations</t>
  </si>
  <si>
    <t>/v1/onBoardingEmailParty/evaluate</t>
  </si>
  <si>
    <t>Servicio de negocio encargado del manejo del OTP del cliente, y de las plantillas de la tabla Template</t>
  </si>
  <si>
    <t>Dom Direct Debit</t>
  </si>
  <si>
    <t>https://coppelmx.atlassian.net/wiki/x/KwCpPQ</t>
  </si>
  <si>
    <t>https://github.com/SF-Bancoppel/mx-ms-bc-pro-position-keeping</t>
  </si>
  <si>
    <t>mx-api-bc-dom-direct-debit</t>
  </si>
  <si>
    <t>APIMX000026</t>
  </si>
  <si>
    <t>https://github.com/SF-Bancoppel/mx-ms-bc-pro-product-directory</t>
  </si>
  <si>
    <t>RESMX000043</t>
  </si>
  <si>
    <t>Bus_RetrieveGenerateCustomerOfferProcedureV1</t>
  </si>
  <si>
    <t>/v1/generateCustomerOfferProcedure/retrieve</t>
  </si>
  <si>
    <t>Api que permite consultar si un cliente tiene una oferta de credito disponible</t>
  </si>
  <si>
    <t>https://github.com/SF-Bancoppel/mx-ms-bc-pro-session-dialogue</t>
  </si>
  <si>
    <t>https://coppelmx.atlassian.net/wiki/x/yIC8g</t>
  </si>
  <si>
    <t>https://github.com/SF-Bancoppel/mx-ms-bc-pro-transaction-engine</t>
  </si>
  <si>
    <t>Dom Document Directory</t>
  </si>
  <si>
    <t>mx-api-bc-dom-document-directory</t>
  </si>
  <si>
    <t>APIMX000027</t>
  </si>
  <si>
    <t>RESMX000044</t>
  </si>
  <si>
    <t>https://github.com/SF-Bancoppel/mx-ms-bc-pro-utility</t>
  </si>
  <si>
    <t>Bus_RetrieveCustomerCreditRatingV1</t>
  </si>
  <si>
    <t>/v1/customerCreditRating/retrieve</t>
  </si>
  <si>
    <t>Permite consultar si un cliente se encuentra een una lista negra</t>
  </si>
  <si>
    <t>https://coppelmx.atlassian.net/wiki/x/lIGZg</t>
  </si>
  <si>
    <t>https://github.com/SF-Bancoppel/mx-ms-bc-rec-business-support-apigee</t>
  </si>
  <si>
    <t>https://github.com/SF-Bancoppel/mx-ms-bc-rec-card-ecommerce-gateway-apigee</t>
  </si>
  <si>
    <t>Dom Document Services</t>
  </si>
  <si>
    <t>RESMX000045</t>
  </si>
  <si>
    <t>Bus_UpdateOnBoardingPartyLocationV1</t>
  </si>
  <si>
    <t>mx-api-bc-dom-document-services</t>
  </si>
  <si>
    <t>APIMX000028</t>
  </si>
  <si>
    <t>/v1/onBoardingPartyLocation/{sessionDialogueIdentification}/update</t>
  </si>
  <si>
    <t>https://github.com/SF-Bancoppel/mx-ms-bc-rec-cards-apigee</t>
  </si>
  <si>
    <t>https://coppelmx.atlassian.net/wiki/x/IYCvPQ</t>
  </si>
  <si>
    <t>dom-document-services-api-dev</t>
  </si>
  <si>
    <t>https://github.com/SF-Bancoppel/mx-ms-bc-rec-channel-specific-apigee</t>
  </si>
  <si>
    <t>RESMX000046</t>
  </si>
  <si>
    <t>Bus_EvaluateOnboardingPartySICV1</t>
  </si>
  <si>
    <t>/v1/onboardingPartySIC/evaluate</t>
  </si>
  <si>
    <t>API que permite la validación OTP en INCODE (SICs) y guardar Validación OTP (SICs)</t>
  </si>
  <si>
    <t>https://coppelmx.atlassian.net/wiki/x/rQClPQ</t>
  </si>
  <si>
    <t>https://github.com/SF-Bancoppel/mx-ms-bc-rec-counterparty-risk-apigee</t>
  </si>
  <si>
    <t>Dom Financial Accounting</t>
  </si>
  <si>
    <t>mx-api-bc-dom-financial-accounting</t>
  </si>
  <si>
    <t>APIMX000029</t>
  </si>
  <si>
    <t>https://github.com/SF-Bancoppel/mx-ms-bc-rec-credit-card-apigee</t>
  </si>
  <si>
    <t>RESMX000047</t>
  </si>
  <si>
    <t>Dom_CaptureAccountReconciliationProcedureV1</t>
  </si>
  <si>
    <t>/accountManagement/accountReconciliation</t>
  </si>
  <si>
    <t>/v1/accountReconciliationProcedure/capture</t>
  </si>
  <si>
    <t>Este procedimiento realiza la conciliación de saldos retenidos y realiza los cargos correspondientes a la cuenta.</t>
  </si>
  <si>
    <t>https://github.com/SF-Bancoppel/mx-ms-bc-rec-cross-product-operations-apigee</t>
  </si>
  <si>
    <t>RESMX000048</t>
  </si>
  <si>
    <t>Dom_RetrieveBranchLocationV1</t>
  </si>
  <si>
    <t>https://github.com/SF-Bancoppel/mx-ms-bc-rec-customer-agreement-apigee</t>
  </si>
  <si>
    <t>/channelSpecific/branchLocationOperations</t>
  </si>
  <si>
    <t>/v1/branchLocation/retrieve</t>
  </si>
  <si>
    <t>Operación encargada de obtener información geográfica de las suscursales bancarias.</t>
  </si>
  <si>
    <t>Dom Fraud Resolution</t>
  </si>
  <si>
    <t>https://github.com/SF-Bancoppel/mx-ms-bc-rec-customer-management-apigee</t>
  </si>
  <si>
    <t>mx-api-bc-dom-fraud-resolution</t>
  </si>
  <si>
    <t>APIMX000030</t>
  </si>
  <si>
    <t>https://github.com/SF-Bancoppel/mx-ms-bc-rec-document-services-apigee</t>
  </si>
  <si>
    <t>RESMX000049</t>
  </si>
  <si>
    <t>Dom_CreateTokenAssignmentV1</t>
  </si>
  <si>
    <t>/payments/cardeCommerceGateway</t>
  </si>
  <si>
    <t>/v1/tokenAssignment/create</t>
  </si>
  <si>
    <t>Esta API se encarga de consultar el código CVC2 dinámico de las tarjetas de crédito, lo que permite realizar compras de manera segura y validada.</t>
  </si>
  <si>
    <t>https://coppelmx.atlassian.net/wiki/x/LIB_PQ</t>
  </si>
  <si>
    <t>https://github.com/SF-Bancoppel/mx-ms-bc-rec-issued-device-administration-apigee</t>
  </si>
  <si>
    <t>https://github.com/SF-Bancoppel/mx-ms-bc-rec-location-data-management-apigee</t>
  </si>
  <si>
    <t>RESMX000050</t>
  </si>
  <si>
    <t>Dom_InitiateCorporateCurrentAccountFacilityV1</t>
  </si>
  <si>
    <t>Dom Interactive Help</t>
  </si>
  <si>
    <t>/loansAndDeposits/corporateCurrentAccount</t>
  </si>
  <si>
    <t>https://github.com/SF-Bancoppel/mx-ms-bc-rec-operational-services-apigee</t>
  </si>
  <si>
    <t>/v1/corporateCurrentAccountFacility/initiate</t>
  </si>
  <si>
    <t>mx-api-bc-dom-interactive-help</t>
  </si>
  <si>
    <t>Esta API permite la creacion de una cuenta empresarial en transact</t>
  </si>
  <si>
    <t>APIMX000031</t>
  </si>
  <si>
    <t>https://github.com/SF-Bancoppel/mx-ms-bc-rec-operations-and-execution-apigee</t>
  </si>
  <si>
    <t>https://github.com/SF-Bancoppel/mx-ms-bc-rec-party-authentication-apigee</t>
  </si>
  <si>
    <t>RESMX000051</t>
  </si>
  <si>
    <t>Dom_RegisterOutboundV1</t>
  </si>
  <si>
    <t>/documentManagementAndArchive/correspondence</t>
  </si>
  <si>
    <t>/v1/outbound/register</t>
  </si>
  <si>
    <t>Dom Internal Bank Account</t>
  </si>
  <si>
    <t>Permite registrar un evento para un envío de sms o correo</t>
  </si>
  <si>
    <t>https://coppelmx.atlassian.net/wiki/x/BgDVPQ</t>
  </si>
  <si>
    <t>https://github.com/SF-Bancoppel/mx-ms-bc-rec-party-lifecycle-management-apigee</t>
  </si>
  <si>
    <t>mx-api-bc-dom-internal-bank-account</t>
  </si>
  <si>
    <t>APIMX000032</t>
  </si>
  <si>
    <t>https://github.com/SF-Bancoppel/mx-ms-bc-rec-party-reference-data-directory-apigee</t>
  </si>
  <si>
    <t>RESMX000052</t>
  </si>
  <si>
    <t>Dom_RetrieveCustomerCreditRatingV1</t>
  </si>
  <si>
    <t>/accountManagement/counterpartyRisk</t>
  </si>
  <si>
    <t>https://github.com/SF-Bancoppel/mx-ms-bc-rec-payment-execution-apigee</t>
  </si>
  <si>
    <t>se encarga de realizar consultas a buró de crédito para obtener los antecedentes crediticios de los clientes que están realizando un trámite para una solicitud de tarjeta de crédito con el fin de considerar estos antecedentes para su posible aprobación o rechazo a la solicitud.</t>
  </si>
  <si>
    <t>https://coppelmx.atlassian.net/wiki/x/ZwBoPQ</t>
  </si>
  <si>
    <t>https://github.com/SF-Bancoppel/mx-ms-bc-rec-payments-apigee</t>
  </si>
  <si>
    <t>Dom Investment Account</t>
  </si>
  <si>
    <t>RESMX000053</t>
  </si>
  <si>
    <t>Dom_EvaluateCustomerCreditRatingV1</t>
  </si>
  <si>
    <t>mx-api-bc-dom-investment-account</t>
  </si>
  <si>
    <t>/v1/customerCreditRating/evaluate</t>
  </si>
  <si>
    <t>APIMX000033</t>
  </si>
  <si>
    <t>Operación encargada de obtener la información crediticia de un cliente.</t>
  </si>
  <si>
    <t>https://coppelmx.atlassian.net/wiki/x/VABiPQ</t>
  </si>
  <si>
    <t>https://github.com/SF-Bancoppel/mx-ms-bc-rec-product-directory-apigee</t>
  </si>
  <si>
    <t>https://github.com/SF-Bancoppel/mx-ms-bc-rec-product-specific-fulfillment-apigee</t>
  </si>
  <si>
    <t>RESMX000054</t>
  </si>
  <si>
    <t>Dom_RetrieveReasonsRejectionV1</t>
  </si>
  <si>
    <t>https://github.com/SF-Bancoppel/mx-ms-bc-rec-reference-data-apigee</t>
  </si>
  <si>
    <t>/v1/reasonsRejection/retrieve</t>
  </si>
  <si>
    <t>Operación encargada de obtener la información de los motivos de rechazo de un cliente</t>
  </si>
  <si>
    <t>Dom Issued Device Administration</t>
  </si>
  <si>
    <t>https://github.com/SF-Bancoppel/mx-ms-bc-rec-sales-and-service-apigee</t>
  </si>
  <si>
    <t>mx-api-bc-dom-issued-device-administration</t>
  </si>
  <si>
    <t>APIMX000034</t>
  </si>
  <si>
    <t>https://github.com/SF-Bancoppel/mx-ms-bc-rec-servicing-apigee</t>
  </si>
  <si>
    <t>dom-issued-device-administration-api-dev</t>
  </si>
  <si>
    <t>RESMX000055</t>
  </si>
  <si>
    <t>Dom_RetrieveCreditCardApplicationV1</t>
  </si>
  <si>
    <t>https://github.com/SF-Bancoppel/mx-ms-bc-rec-session-dialogue-apigee</t>
  </si>
  <si>
    <t>/cards/creditCard</t>
  </si>
  <si>
    <t>/v1/creditCardApplication/retrieve</t>
  </si>
  <si>
    <t>Permite consultar la información de solicitud de crédito.</t>
  </si>
  <si>
    <t>https://coppelmx.atlassian.net/wiki/x/KgBpPQ</t>
  </si>
  <si>
    <t>https://github.com/SF-Bancoppel/mx-ms-bc-rec-utility-apigee</t>
  </si>
  <si>
    <t>Dom Issued Device Tracking</t>
  </si>
  <si>
    <t>https://github.com/SF-Bancoppel/mx-ms-br-party-reference-data-directory-apigee</t>
  </si>
  <si>
    <t>mx-api-bc-dom-issued-device-tracking</t>
  </si>
  <si>
    <t>RESMX000056</t>
  </si>
  <si>
    <t>Dom_InitiateCreditCardApplicationV1</t>
  </si>
  <si>
    <t>APIMX000035</t>
  </si>
  <si>
    <t>mx-ms-bc-br-party-reference-data-directory-apigee</t>
  </si>
  <si>
    <t>Se desplego como mx-ms-br-party-reference-data-directory-apigee y deberia estar registrada como
mx-ms-bc-br-party-reference-data-directory-apigee</t>
  </si>
  <si>
    <t>/v1/creditCardApplication/initiate</t>
  </si>
  <si>
    <t>Servicio de dominio que guarda la solicitud de un producto de tarjeta de crédito en la tabla Application.</t>
  </si>
  <si>
    <t>https://coppelmx.atlassian.net/wiki/x/WYBrPQ</t>
  </si>
  <si>
    <t>https://github.com/SF-Bancoppel/msamg-d-security-encryption</t>
  </si>
  <si>
    <t>dom-issued-device-tracking-api-dev</t>
  </si>
  <si>
    <t>RESMX000057</t>
  </si>
  <si>
    <t>Dom_ExchangeCreditCardApplicationV1</t>
  </si>
  <si>
    <t>/v1/creditCardApplication/exchange</t>
  </si>
  <si>
    <t>Permite limpiar la información de Clonación de tarjeta de crédito Clásica a Oro</t>
  </si>
  <si>
    <t>Invalid Action Term "exchange" for HTTP method "POST". For Action Term "exchange" use "PUT,PATCH"</t>
  </si>
  <si>
    <t>Dom Legal Entity Directory</t>
  </si>
  <si>
    <t>mx-api-bc-dom-legal-entity-directory</t>
  </si>
  <si>
    <t>APIMX000036</t>
  </si>
  <si>
    <t>dom-legal-entity-directory-api-dev</t>
  </si>
  <si>
    <t>RESMX000058</t>
  </si>
  <si>
    <t>Dom_UpdateCreditCardApplicationV1</t>
  </si>
  <si>
    <t>/v1/creditCardApplication/update</t>
  </si>
  <si>
    <t>Permite actualizar el estado de una solicitud de tarjeta de crédito y guarda la oferta generada en el paramétrico</t>
  </si>
  <si>
    <t>https://coppelmx.atlassian.net/wiki/x/FwB-PQ</t>
  </si>
  <si>
    <t>Dom Loan</t>
  </si>
  <si>
    <t>mx-api-bc-dom-loan</t>
  </si>
  <si>
    <t>APIMX000037</t>
  </si>
  <si>
    <t>RESMX000059</t>
  </si>
  <si>
    <t>Dom_RegisterCreditCardFacilityV1</t>
  </si>
  <si>
    <t>/v1/creditCardFacility/register</t>
  </si>
  <si>
    <t>dom-loan-api-dev</t>
  </si>
  <si>
    <t>Crea una tarjeta de crédito con sus saldos</t>
  </si>
  <si>
    <t>https://coppelmx.atlassian.net/wiki/x/AQCaPQ</t>
  </si>
  <si>
    <t>RESMX000060</t>
  </si>
  <si>
    <t>Dom_RetrieveCreditCardFacilityV1</t>
  </si>
  <si>
    <t>Dom Location Data Management</t>
  </si>
  <si>
    <t>/v1/creditCardFacility/retrieve</t>
  </si>
  <si>
    <t>mx-api-bc-dom-location-data-management</t>
  </si>
  <si>
    <t>APIMX000038</t>
  </si>
  <si>
    <t>Este domain API realiza la consulta de información de tarjeta de crédito por cliente</t>
  </si>
  <si>
    <t>https://coppelmx.atlassian.net/wiki/x/CoCPPQ</t>
  </si>
  <si>
    <t>dom-location-data-management-api-dev</t>
  </si>
  <si>
    <t>RESMX000061</t>
  </si>
  <si>
    <t>Dom_UpdateCreditCardBalanceV1</t>
  </si>
  <si>
    <t>/v1/creditCardBalance/update</t>
  </si>
  <si>
    <t>Permite actualizar el indicador de disposición de efectivo de una tarjeta de crédito</t>
  </si>
  <si>
    <t>Invalid Action Term "update" for HTTP method "POST". For Action Term "update" use "PUT,PATCH"</t>
  </si>
  <si>
    <t>Dom Party Authentication</t>
  </si>
  <si>
    <t>mx-api-bc-dom-party-authentication</t>
  </si>
  <si>
    <t>APIMX000039</t>
  </si>
  <si>
    <t>dom-party-authentication-api-dev</t>
  </si>
  <si>
    <t>RESMX000062</t>
  </si>
  <si>
    <t>Dom_RetrieveCreditCardBalanceV1</t>
  </si>
  <si>
    <t>/v1/creditCardBalance/retrieve</t>
  </si>
  <si>
    <t>Este domain API realiza la consulta de disposición de efectivo de una tarjeta de crédito con un monto solicitado.</t>
  </si>
  <si>
    <t>https://coppelmx.atlassian.net/wiki/x/CIClPQ</t>
  </si>
  <si>
    <t>Dom Party Lifecycle Management</t>
  </si>
  <si>
    <t>RESMX000063</t>
  </si>
  <si>
    <t>Dom_RetrieveInterestV1</t>
  </si>
  <si>
    <t>mx-api-bc-dom-party-lifecycle-management</t>
  </si>
  <si>
    <t>APIMX000040</t>
  </si>
  <si>
    <t>2.2.2</t>
  </si>
  <si>
    <t>/v1/interest/{companyReference}/{applicationReferenceId}/retrieve</t>
  </si>
  <si>
    <t>Permite consultar los intereses y tasas para tarjeta de crédito</t>
  </si>
  <si>
    <t>dom-party-lifecycle-management-api-dev</t>
  </si>
  <si>
    <t>RESMX000064</t>
  </si>
  <si>
    <t>Dom_UpdateInterestV1</t>
  </si>
  <si>
    <t>/v1/interest/update</t>
  </si>
  <si>
    <t>Permite actualizar la información de intereses y tasas preferenciales en la nueva tarjeta de crédito</t>
  </si>
  <si>
    <t>Dom Party Reference Data Directory</t>
  </si>
  <si>
    <t>mx-api-bc-dom-party-reference-data-directory</t>
  </si>
  <si>
    <t>APIMX000041</t>
  </si>
  <si>
    <t>1.7.2</t>
  </si>
  <si>
    <t>RESMX000065</t>
  </si>
  <si>
    <t>Dom_RetrieveCardPaymentAgreementV1</t>
  </si>
  <si>
    <t>dom-party-reference-data-directory-api-dev</t>
  </si>
  <si>
    <t>/v1/cardPaymentAgreement/retrieve</t>
  </si>
  <si>
    <t>API que obtiene los datos de la caratula de tarjeta de crédito del cliente.</t>
  </si>
  <si>
    <t>https://coppelmx.atlassian.net/wiki/x/Q4CpPQ</t>
  </si>
  <si>
    <t>RESMX000066</t>
  </si>
  <si>
    <t>Dom_RetrievePaymentCardV1</t>
  </si>
  <si>
    <t>Dom Party Retail Reference Data Directory</t>
  </si>
  <si>
    <t>/v1/paymentCard/retrieve</t>
  </si>
  <si>
    <t>Este servicio realiza de la consulta la información de tarjeta de crédito por número de tarjeta</t>
  </si>
  <si>
    <t>Invalid Request Header "authorization"</t>
  </si>
  <si>
    <t>mx-api-cpp-dom-party-retail-reference-data-directory</t>
  </si>
  <si>
    <t>https://coppelmx.atlassian.net/wiki/x/M4CyPQ</t>
  </si>
  <si>
    <t>APIMX000042</t>
  </si>
  <si>
    <t>mx-ms-cpp-dom-party-retail-reference-data-directory-mule</t>
  </si>
  <si>
    <t>d-party-r-reference-data-directory-dev</t>
  </si>
  <si>
    <t>RESMX000067</t>
  </si>
  <si>
    <t>Dom_RegisterCreditCardActivationLogV1</t>
  </si>
  <si>
    <t>/v1/creditCardActivationLog/register</t>
  </si>
  <si>
    <t>Dom Payment Execution</t>
  </si>
  <si>
    <t>RESMX000068</t>
  </si>
  <si>
    <t>Dom_UpdateCreditCardActivationLogV1</t>
  </si>
  <si>
    <t>mx-api-bc-dom-payment-execution</t>
  </si>
  <si>
    <t>/v1/creditCardActivationLog/update</t>
  </si>
  <si>
    <t>APIMX000043</t>
  </si>
  <si>
    <t>1.1.2</t>
  </si>
  <si>
    <t>RESMX000069</t>
  </si>
  <si>
    <t>Dom_ControlPaymentCardV1</t>
  </si>
  <si>
    <t>/v1/paymentCard/control</t>
  </si>
  <si>
    <t>Permite validar si hay registros de la tarjeta en la tabla sd_tarjeta y eliminarlos. Es un rollback.</t>
  </si>
  <si>
    <t>Dom Payment Order</t>
  </si>
  <si>
    <t>RESMX000070</t>
  </si>
  <si>
    <t>Dom_RegisterPaymentCardV1</t>
  </si>
  <si>
    <t>mx-api-bc-dom-payment-order</t>
  </si>
  <si>
    <t>APIMX000044</t>
  </si>
  <si>
    <t>/v1/paymentCard/register</t>
  </si>
  <si>
    <t>RESMX000071</t>
  </si>
  <si>
    <t>Dom_EvaluateCreditCardApplicationV1</t>
  </si>
  <si>
    <t>/v1/creditCardApplication/evaluate</t>
  </si>
  <si>
    <t>Permite realizar validaciones para verificar si el número de solicitud ingresado ya se encuentra en una tabla de asignaciones de tarjetas incompletas.</t>
  </si>
  <si>
    <t>Dom Payment Rail Operations</t>
  </si>
  <si>
    <t>mx-api-bc-dom-payment-rail-operations</t>
  </si>
  <si>
    <t>APIMX000045</t>
  </si>
  <si>
    <t>RESMX000072</t>
  </si>
  <si>
    <t>Dom_EvaluateCreditCardFacilityV1</t>
  </si>
  <si>
    <t>/v1/creditCardFacility/evaluate</t>
  </si>
  <si>
    <t>Operación encargada de obtenerla información necesaria para indicar el estado del crédito utilizado.</t>
  </si>
  <si>
    <t>https://coppelmx.atlassian.net/wiki/x/O4ClPQ</t>
  </si>
  <si>
    <t>RESMX000073</t>
  </si>
  <si>
    <t>Dom_RetrieveCardTransactionV1</t>
  </si>
  <si>
    <t>Dom Platform Operations</t>
  </si>
  <si>
    <t>/v1/cardTransaction/retrieve</t>
  </si>
  <si>
    <t>mx-api-bc-dom-platform-operations</t>
  </si>
  <si>
    <t>Esta Api realiza la consulta de las transacciones realizadas con la tarjeta de credito</t>
  </si>
  <si>
    <t>https://coppelmx.atlassian.net/wiki/x/YQBUQg</t>
  </si>
  <si>
    <t>APIMX000046</t>
  </si>
  <si>
    <t>RESMX000074</t>
  </si>
  <si>
    <t>Dom_RetrieveCreditCardHolderV1</t>
  </si>
  <si>
    <t>Esta Api realiza la consulta de los tarjetahabientes (titular, adicionales)</t>
  </si>
  <si>
    <t>https://coppelmx.atlassian.net/wiki/x/gYCpPQ</t>
  </si>
  <si>
    <t>Dom Position Keeping</t>
  </si>
  <si>
    <t>RESMX000075</t>
  </si>
  <si>
    <t>Dom_ControlCreditCardFacilityV1</t>
  </si>
  <si>
    <t>mx-api-bc-dom-position-keeping</t>
  </si>
  <si>
    <t>APIMX000047</t>
  </si>
  <si>
    <t>/v1/creditCardFacility/control</t>
  </si>
  <si>
    <t>Actualiza el estatus de la tarjeta de credito</t>
  </si>
  <si>
    <t>Dom Product Directory</t>
  </si>
  <si>
    <t>RESMX000076</t>
  </si>
  <si>
    <t>Dom_RetrieveCreditCardPositionV1</t>
  </si>
  <si>
    <t>mx-api-bc-dom-product-directory</t>
  </si>
  <si>
    <t>APIMX000048</t>
  </si>
  <si>
    <t>/v1/creditCardPosition/retrieve</t>
  </si>
  <si>
    <t>En esta Api se realiza una consulta para obtener los movimientos detallados del crédito (cuenta de crédito Bancoppel) que se está consultando.</t>
  </si>
  <si>
    <t>https://coppelmx.atlassian.net/wiki/x/C4DSPQ</t>
  </si>
  <si>
    <t>RESMX000077</t>
  </si>
  <si>
    <t>Dom_EvaluatePaymentCardV1</t>
  </si>
  <si>
    <t>Dom Product Matching</t>
  </si>
  <si>
    <t>mx-api-bc-dom-product-matching</t>
  </si>
  <si>
    <t>APIMX000049</t>
  </si>
  <si>
    <t>/v1/paymentCard/evaluate</t>
  </si>
  <si>
    <t>Este servicio realiza la consulta a un servicio externo (Interact). Está consulta se realiza para verificar que la tarjeta a cancelar no se encuentre en estatus de robo/extravío, para continuar con su cancelación de manera correcta.</t>
  </si>
  <si>
    <t>RESMX000078</t>
  </si>
  <si>
    <t>Dom_UpdatePaymentCardV1</t>
  </si>
  <si>
    <t>/v1/paymentCard/update</t>
  </si>
  <si>
    <t>Dom Regulatory Compliance</t>
  </si>
  <si>
    <t>En este microservicio se realiza la actualización del status de la tarjeta de crédito (activar o desactivar tarjeta).</t>
  </si>
  <si>
    <t>https://coppelmx.atlassian.net/wiki/x/IoDYPQ</t>
  </si>
  <si>
    <t>mx-api-bc-dom-regulatory-compliance</t>
  </si>
  <si>
    <t>APIMX000050</t>
  </si>
  <si>
    <t>RESMX000079</t>
  </si>
  <si>
    <t>Dom_RetrievePositionLimitV1</t>
  </si>
  <si>
    <t>/v1/positionLimit/retrieve</t>
  </si>
  <si>
    <t>En este microservicio retorna las cuentas y los límites asociados a un usuario.</t>
  </si>
  <si>
    <t>Dom Remittances</t>
  </si>
  <si>
    <t>mx-api-bc-dom-remittances</t>
  </si>
  <si>
    <t>APIMX000051</t>
  </si>
  <si>
    <t>RESMX000080</t>
  </si>
  <si>
    <t>Dom_RetrieveSpecialCreditCardConditionsV1</t>
  </si>
  <si>
    <t>/v1/specialCreditCardConditions/retrieve</t>
  </si>
  <si>
    <t>Esta Api realiza la consulta de los cualquier situacion especial de la tarjetas de credito</t>
  </si>
  <si>
    <t>Dom Sales Product Agreement</t>
  </si>
  <si>
    <t>mx-api-bc-dom-sales-product-agreement</t>
  </si>
  <si>
    <t>APIMX000052</t>
  </si>
  <si>
    <t>RESMX000081</t>
  </si>
  <si>
    <t>Dom_RetrievePaymentCardTypeV1</t>
  </si>
  <si>
    <t>/v1/paymentCardType/retrieve</t>
  </si>
  <si>
    <t>Esta Api realiza la consulta de los catalogos de los tipos de tarjeta</t>
  </si>
  <si>
    <t>RESMX000082</t>
  </si>
  <si>
    <t>Dom_RetrieveRefundV1</t>
  </si>
  <si>
    <t>/v1/refund/retrieve</t>
  </si>
  <si>
    <t>En este microservicio se realiza para validar si existe el crédito en la tabla sd_indicador_cred. Está consulta se realiza para validar si existe el crédito.</t>
  </si>
  <si>
    <t>https://coppelmx.atlassian.net/wiki/x/AgDpPQ</t>
  </si>
  <si>
    <t>Dom Savings Account</t>
  </si>
  <si>
    <t>mx-api-bc-dom-savings-account</t>
  </si>
  <si>
    <t>APIMX000053</t>
  </si>
  <si>
    <t>RESMX000083</t>
  </si>
  <si>
    <t>Dom_ControlTraceAssignmentV1</t>
  </si>
  <si>
    <t>/v1/traceAssignment/control</t>
  </si>
  <si>
    <t>Elimina los registros de la tabla bitacoracambiosstatustarjeta y bitacoracambiostarjeta</t>
  </si>
  <si>
    <t>RESMX000084</t>
  </si>
  <si>
    <t>Dom_InitiatePaymentCardV1</t>
  </si>
  <si>
    <t>Dom Servicing Order</t>
  </si>
  <si>
    <t>/v1/paymentCard/initiate</t>
  </si>
  <si>
    <t>mx-api-bc-dom-servicing-order</t>
  </si>
  <si>
    <t>Este microservicio se utiliza para asignar una tarjeta de crédito</t>
  </si>
  <si>
    <t>APIMX000054</t>
  </si>
  <si>
    <t>RESMX000085</t>
  </si>
  <si>
    <t>Dom_RetrieveFeesV1</t>
  </si>
  <si>
    <t>/v1/fees/retrieve</t>
  </si>
  <si>
    <t>Se obtiene información de montos, saldos e Iva. En la primer consulta de obtiene el Iva(Impuesto al valor agregado), en la segunda consulta de obtiene monto comision suma todas las cantidades que se encuentran en el campo monto_com(si existen uno o más registros con los filtros indicados suma las cantidades que existen en el campo monto_com)</t>
  </si>
  <si>
    <t>Dom Session Dialogue</t>
  </si>
  <si>
    <t>mx-api-bc-dom-session-dialogue</t>
  </si>
  <si>
    <t>APIMX000055</t>
  </si>
  <si>
    <t>dom-session-dialogue-api-dev</t>
  </si>
  <si>
    <t>RESMX000086</t>
  </si>
  <si>
    <t>Dom_RetrieveCashAdvanceOfferV1</t>
  </si>
  <si>
    <t>/v1/cashAdvanceOffer/retrieve</t>
  </si>
  <si>
    <t>API encargado obtener el saldo del préstamo, calculando monto, interés, interese moratorios, iva, iva moratorio entro otros cargos que puedan cargarse al cliente, así como mostrar el crédito que cuenta libre o a apagar segun sea la cuenta del cliente.</t>
  </si>
  <si>
    <t>Dom Systems Operations</t>
  </si>
  <si>
    <t>RESMX000087</t>
  </si>
  <si>
    <t>Dom_UpdateCreditCardFacilityV1</t>
  </si>
  <si>
    <t>mx-api-bc-dom-systems-operations</t>
  </si>
  <si>
    <t>APIMX000056</t>
  </si>
  <si>
    <t>/v1/creditCardFacility/update</t>
  </si>
  <si>
    <t>En este microservicio se encarga de realizar los bloqueos de tarjetas en BPC.</t>
  </si>
  <si>
    <t>RESMX000088</t>
  </si>
  <si>
    <t>Dom_ControlCashAdvanceOfferV1</t>
  </si>
  <si>
    <t>/v1/cashAdvanceOffer/control</t>
  </si>
  <si>
    <t>Realiza actualización a la tabla sd_promocion_credito de la base de datos Bdicred. La actualización se realiza en el campo status. utilizando como filtro numero de credito y folio de la promoción.</t>
  </si>
  <si>
    <t>Dom Transaction Engine</t>
  </si>
  <si>
    <t>mx-api-bc-dom-transaction-engine</t>
  </si>
  <si>
    <t>APIMX000057</t>
  </si>
  <si>
    <t>RESMX000089</t>
  </si>
  <si>
    <t>Dom_UpdateCashAdvanceBalanceV1</t>
  </si>
  <si>
    <t>/v1/cashAdvanceBalance/update</t>
  </si>
  <si>
    <t>Realiza actualización del saldo retenido en dado un solicitud de CREDISOLUCIONES</t>
  </si>
  <si>
    <t>RESMX000090</t>
  </si>
  <si>
    <t>Dom_RegisterCardTransactionEventV1</t>
  </si>
  <si>
    <t>/cards/creditCardPositionKeeping</t>
  </si>
  <si>
    <t>Dom Utility</t>
  </si>
  <si>
    <t>/v1/cardTransactionEvent/register</t>
  </si>
  <si>
    <t>Operación encargada de guardar en bitácora los pagos realizados de un cliente.</t>
  </si>
  <si>
    <t>mx-api-bc-dom-utility</t>
  </si>
  <si>
    <t>APIMX000058</t>
  </si>
  <si>
    <t>RESMX000091</t>
  </si>
  <si>
    <t>API encargado de obtenner los saldos de los movimientos del cliente de una cuenta de crédito.</t>
  </si>
  <si>
    <t>https://coppelmx.atlassian.net/wiki/x/IoAwPg</t>
  </si>
  <si>
    <t>Pro Account Reconciliation</t>
  </si>
  <si>
    <t>PROXY</t>
  </si>
  <si>
    <t>mx-api-bc-pro-account-reconciliation</t>
  </si>
  <si>
    <t>APIMX000059</t>
  </si>
  <si>
    <t>RESMX000092</t>
  </si>
  <si>
    <t>Dom_RetrieveCreditCardAssessmentV1</t>
  </si>
  <si>
    <t>EKS</t>
  </si>
  <si>
    <t>/v1/creditCardAssessment/retrieve</t>
  </si>
  <si>
    <t>API encargado de obtenner el saldo de un corte teniendo como entrada el número asociado a una cuenta y el tipo de consulta.</t>
  </si>
  <si>
    <t>RESMX000093</t>
  </si>
  <si>
    <t>Dom_RetrieveCreditCardStatementV1</t>
  </si>
  <si>
    <t>/v1/creditCardStatement/retrieve</t>
  </si>
  <si>
    <t>Pro Branch Location Operations</t>
  </si>
  <si>
    <t>En esta Api se realiza una consulta de datos de las cuentas de una tarjeta de crédito y el extracto de la tarjeta.</t>
  </si>
  <si>
    <t>https://coppelmx.atlassian.net/wiki/x/mIBsPQ</t>
  </si>
  <si>
    <t>mx-api-bc-pro-branch-location-operations</t>
  </si>
  <si>
    <t>APIMX000060</t>
  </si>
  <si>
    <t>RESMX000094</t>
  </si>
  <si>
    <t>https://coppelmx.atlassian.net/wiki/x/J4BrPQ</t>
  </si>
  <si>
    <t>Pro Branch Network Management</t>
  </si>
  <si>
    <t>RESMX000095</t>
  </si>
  <si>
    <t>Dom_UpdateCreditLineFacilityV1</t>
  </si>
  <si>
    <t>/corporateBanking/creditFacility</t>
  </si>
  <si>
    <t>/v1/creditLineFacility/update</t>
  </si>
  <si>
    <t>Servicio que actualiza el incremento o cancelación de la línea de crédito asociada a una solicitud en específico. Por Ejemplo (TARJETA DE CREDITO BANCOPPEL VISA , TARJETA DE CREDITO BANCOPPEL VISA , TARJETA DE CREDITO COPPEL, TARJETA DE CREDITO BASICA BANCOPPEL, CUENTA DE CREDITO PLATINO, etc)</t>
  </si>
  <si>
    <t>mx-api-bc-pro-branch-network-management</t>
  </si>
  <si>
    <t>Invalid business domain value "corporateBanking", in the path "/corporateBanking/creditFacility".\nFor the service domain "creditFacility" in the path "/corporateBanking/creditFacility" use the business domain "Trade Banking".</t>
  </si>
  <si>
    <t>APIMX000061</t>
  </si>
  <si>
    <t>RESMX000096</t>
  </si>
  <si>
    <t>Dom_RetrieveCurrencyExchangeTransactionV1</t>
  </si>
  <si>
    <t>/consumerServices/currencyExchange</t>
  </si>
  <si>
    <t>/v1/currencyExchangeTransaction/retrieve</t>
  </si>
  <si>
    <t>Este servicio realiza la consulta de una tasa de cambio</t>
  </si>
  <si>
    <t>Pro Card eCommerce Gateway</t>
  </si>
  <si>
    <t>RESMX000097</t>
  </si>
  <si>
    <t>Dom_RetrieveCurrentAccountFacilityV1</t>
  </si>
  <si>
    <t>/loansAndDeposits/currentAccount</t>
  </si>
  <si>
    <t>/v1/currentAccountFacility/retrieve</t>
  </si>
  <si>
    <t>Este servicio realiza la consulta de una cuenta corriente (cuenta nomina)</t>
  </si>
  <si>
    <t>mx-api-bc-pro-card-ecommerce-gateway</t>
  </si>
  <si>
    <t>APIMX000062</t>
  </si>
  <si>
    <t>RESMX000098</t>
  </si>
  <si>
    <t>Dom_RetrieveRestrictionsV1</t>
  </si>
  <si>
    <t>/customerManagement/customerAccessEntitlement</t>
  </si>
  <si>
    <t>/v1/restrictions/retrieve</t>
  </si>
  <si>
    <t>Servicio de dominio que consultará los intentos por actividad</t>
  </si>
  <si>
    <t>Pro Cash Management And Account Services</t>
  </si>
  <si>
    <t>mx-api-bc-pro-cash-management-and-account-services</t>
  </si>
  <si>
    <t>APIMX000063</t>
  </si>
  <si>
    <t>RESMX000099</t>
  </si>
  <si>
    <t>Dom_EvaluateLegalTermsV1</t>
  </si>
  <si>
    <t xml:space="preserve"> </t>
  </si>
  <si>
    <t>/v1/legalTerms/evaluate</t>
  </si>
  <si>
    <t>Servicio de dominio encargado de consultar los términos legales</t>
  </si>
  <si>
    <t>https://coppelmx.atlassian.net/wiki/x/EwDyPQ</t>
  </si>
  <si>
    <t>RESMX000100</t>
  </si>
  <si>
    <t>Pro Cheque Processing</t>
  </si>
  <si>
    <t>Dom_EvaluateCustomerAgreementV1</t>
  </si>
  <si>
    <t>/customerManagement/customerAgreement</t>
  </si>
  <si>
    <t>/v1/customerAgreement/evaluate</t>
  </si>
  <si>
    <t>mx-api-bc-pro-cheque-processing</t>
  </si>
  <si>
    <t>Servicio de dominio encargado de consultar el acuerdo con el cliente</t>
  </si>
  <si>
    <t>APIMX000064</t>
  </si>
  <si>
    <t>https://coppelmx.atlassian.net/wiki/x/QID1PQ</t>
  </si>
  <si>
    <t>RESMX000101</t>
  </si>
  <si>
    <t>Dom_EvaluateRegulatoryTermsV1</t>
  </si>
  <si>
    <t>/v1/regulatoryTerms/evaluate</t>
  </si>
  <si>
    <t>servicio de dominio encargado de obtener los términos y condiciones</t>
  </si>
  <si>
    <t>https://coppelmx.atlassian.net/wiki/x/CQD5PQ</t>
  </si>
  <si>
    <t>Pro Corporate Current Account</t>
  </si>
  <si>
    <t>RESMX000102</t>
  </si>
  <si>
    <t>Dom_RegisterEndorsementV1</t>
  </si>
  <si>
    <t>mx-api-bc-pro-corporate-current-account</t>
  </si>
  <si>
    <t>APIMX000065</t>
  </si>
  <si>
    <t>/v1/endorsement/register</t>
  </si>
  <si>
    <t>servicio de dominio encargado de llevar a cabo la inserción de Términos y condiciones, Autorizar consulta de INE</t>
  </si>
  <si>
    <t>https://coppelmx.atlassian.net/wiki/x/IgAyPg</t>
  </si>
  <si>
    <t>RESMX000103</t>
  </si>
  <si>
    <t>Dom_RetrieveEndorsementV1</t>
  </si>
  <si>
    <t>/v1/endorsement/{sessionDialogueIdentification}/retrieve</t>
  </si>
  <si>
    <t>Servicio de dominio encargado de consultar tabla Consents relacionada al cliente prospecto</t>
  </si>
  <si>
    <t>https://coppelmx.atlassian.net/wiki/x/DwAsPg</t>
  </si>
  <si>
    <t>Pro Correspondence</t>
  </si>
  <si>
    <t>mx-api-bc-pro-correspondence</t>
  </si>
  <si>
    <t>APIMX000066</t>
  </si>
  <si>
    <t>RESMX000104</t>
  </si>
  <si>
    <t>Dom_EvaluateCustomerCreditRatingStateV1</t>
  </si>
  <si>
    <t>/relationshipManagement/customerCreditRating</t>
  </si>
  <si>
    <t>/v1/customerCreditRatingState/evaluate</t>
  </si>
  <si>
    <t>Permite evaluar si un cliente puede aplicar a una tarjeta de crédito Oro</t>
  </si>
  <si>
    <t>Not found path.</t>
  </si>
  <si>
    <t>RESMX000105</t>
  </si>
  <si>
    <t>Dom_EvaluateInternalReportingV1</t>
  </si>
  <si>
    <t>/v1/internalReporting/evaluate</t>
  </si>
  <si>
    <t>Consulta el score del cliente y hace su validación contra la evaluación configurada</t>
  </si>
  <si>
    <t>Pro Counterparty Risk</t>
  </si>
  <si>
    <t>mx-api-bc-pro-counterparty-risk</t>
  </si>
  <si>
    <t>APIMX000067</t>
  </si>
  <si>
    <t>RESMX000106</t>
  </si>
  <si>
    <t>Dom_EvaluateFacilityApplicationV1</t>
  </si>
  <si>
    <t>/sales/customerOffer</t>
  </si>
  <si>
    <t>/v1/facilityApplication/evaluate</t>
  </si>
  <si>
    <t>Verifica que la solicitud de crédito sea un producto preaprobado</t>
  </si>
  <si>
    <t>Pro Credit Card</t>
  </si>
  <si>
    <t>mx-api-bc-pro-credit-card</t>
  </si>
  <si>
    <t>APIMX000068</t>
  </si>
  <si>
    <t>RESMX000107</t>
  </si>
  <si>
    <t>Dom_UpdateCustomerOfferProcedureV1</t>
  </si>
  <si>
    <t>/v1/customerOfferProcedure/update</t>
  </si>
  <si>
    <t>Api que permite actualizar la informacion de una oferta de credito asociada a un cliente</t>
  </si>
  <si>
    <t>RESMX000108</t>
  </si>
  <si>
    <t>Dom_EvaluateCustomerOfferProcedureV1</t>
  </si>
  <si>
    <t>Pro Credit Card Position Keeping</t>
  </si>
  <si>
    <t>/v1/customerOfferProcedure/evaluate</t>
  </si>
  <si>
    <t>Api que permite validar si un cliente tomo una oferta de credito valida</t>
  </si>
  <si>
    <t>mx-api-bc-pro-credit-card-position-keeping</t>
  </si>
  <si>
    <t>APIMX000069</t>
  </si>
  <si>
    <t>RESMX000109</t>
  </si>
  <si>
    <t>Dom_RetrieveCustomerOfferProcedureV1</t>
  </si>
  <si>
    <t>/v1/customerOfferProcedure/retrieve</t>
  </si>
  <si>
    <t>RESMX000110</t>
  </si>
  <si>
    <t>Dom_UpdateCustomerPositionCreditV1</t>
  </si>
  <si>
    <t>/accountManagement/customerPosition</t>
  </si>
  <si>
    <t>/v1/customerPositionCredit/update</t>
  </si>
  <si>
    <t>Pro Credit Facility</t>
  </si>
  <si>
    <t>Permite actualizar la información de ingresos del cliente, de acuerdo a la asignación de tarjeta de crédito</t>
  </si>
  <si>
    <t>mx-api-bc-pro-credit-facility</t>
  </si>
  <si>
    <t>APIMX000070</t>
  </si>
  <si>
    <t>RESMX000111</t>
  </si>
  <si>
    <t>Dom_RetrieveCustomerEligibilityReportV1</t>
  </si>
  <si>
    <t>/customerManagement/customerProductAndServiceEligibility</t>
  </si>
  <si>
    <t>/v1/customerEligibilityReport/retrieve</t>
  </si>
  <si>
    <t>Servicio que consulta y valida el historial de un cliente para verificar que cumpla con los requisitos para adquirir algún producto.</t>
  </si>
  <si>
    <t>Dom Customer Products and Services</t>
  </si>
  <si>
    <t>RESMX000112</t>
  </si>
  <si>
    <t>Dom_RetrieveDepositAccountFacilityV1</t>
  </si>
  <si>
    <t>Pro Currency Exchange</t>
  </si>
  <si>
    <t>/customerManagement/customerProductsAndServices</t>
  </si>
  <si>
    <t>/v1/depositAccountFacility/{companyReference}/{customerId}/retrieve</t>
  </si>
  <si>
    <t>Este servicio realiza la consulta de productos de captación como cheques, cuentas de ahorros, cuentas de nómina, etc.</t>
  </si>
  <si>
    <t>mx-api-bc-pro-currency-exchange</t>
  </si>
  <si>
    <t>APIMX000071</t>
  </si>
  <si>
    <t>RESMX000113</t>
  </si>
  <si>
    <t>Dom_RetrievePaymentBalanceFacilityV1</t>
  </si>
  <si>
    <t>/v1/paymentBalanceFacility/retrieve</t>
  </si>
  <si>
    <t>Operación encargada de obtener los totales de pagos referenciados.</t>
  </si>
  <si>
    <t>Pro Current Account</t>
  </si>
  <si>
    <t>mx-api-bc-pro-current-account</t>
  </si>
  <si>
    <t>RESMX000114</t>
  </si>
  <si>
    <t>APIMX000072</t>
  </si>
  <si>
    <t>Dom_RetrievePositiveBalanceFacilityV1</t>
  </si>
  <si>
    <t>/v1/positiveBalanceFacility/retrieve</t>
  </si>
  <si>
    <t>Servicio encargado de obtener el saldo a favor de las tarjetas de crédito.</t>
  </si>
  <si>
    <t>RESMX000115</t>
  </si>
  <si>
    <t>Dom_RetrieveCustomerProductInformationV1</t>
  </si>
  <si>
    <t>/v1/customerProductInformation/retrieve</t>
  </si>
  <si>
    <t>Permite consultar la información del producto dado el cliente y número de crédito.</t>
  </si>
  <si>
    <t>https://coppelmx.atlassian.net/wiki/x/QwB5P</t>
  </si>
  <si>
    <t>Pro Customer Access Entitlement</t>
  </si>
  <si>
    <t>mx-api-bc-pro-customer-access-entitlement</t>
  </si>
  <si>
    <t>APIMX000073</t>
  </si>
  <si>
    <t>RESMX000116</t>
  </si>
  <si>
    <t>Dom_EvaluateCustomerProductInformationV1</t>
  </si>
  <si>
    <t>/v1/customerProductInformation/evaluate</t>
  </si>
  <si>
    <t>Permite validar la información del capital vigente para cobro.</t>
  </si>
  <si>
    <t>RESMX000117</t>
  </si>
  <si>
    <t>Dom_RetrieveAccountStatementV1</t>
  </si>
  <si>
    <t>Pro Customer Agreement</t>
  </si>
  <si>
    <t>/v1/accountStatement/retrieve</t>
  </si>
  <si>
    <t>Permite obtener el pago minimo de las tarjetas de credito y los préstamos del cliente con base al período de pago.</t>
  </si>
  <si>
    <t>mx-api-bc-pro-customer-agreement</t>
  </si>
  <si>
    <t>APIMX000074</t>
  </si>
  <si>
    <t>RESMX000118</t>
  </si>
  <si>
    <t>Dom_RetrieveProductV1</t>
  </si>
  <si>
    <t>/v1/product/retrieve</t>
  </si>
  <si>
    <t>Servicio que permite realizar la consulta de saldo disponible y estado de una cuenta de cheques.</t>
  </si>
  <si>
    <t>Pro Customer Credit Rating</t>
  </si>
  <si>
    <t>RESMX000119</t>
  </si>
  <si>
    <t>Dom_EvaluateContactV1</t>
  </si>
  <si>
    <t>/relationshipManagement/customerRelationshipManagement</t>
  </si>
  <si>
    <t>/v1/contact/evaluate</t>
  </si>
  <si>
    <t>Permite validar si el telefono del cliente tiene configurado el parámetro de SMS, y hace un conteo de si el teléfono está registrado en IVR.</t>
  </si>
  <si>
    <t>mx-api-bc-pro-customer-credit-rating</t>
  </si>
  <si>
    <t>APIMX000075</t>
  </si>
  <si>
    <t>1.3.1</t>
  </si>
  <si>
    <t>RESMX000120</t>
  </si>
  <si>
    <t>Dom_EvaluateCustomerWorkbenchFinancialTransactionV1</t>
  </si>
  <si>
    <t>/crossChannel/customerWorkbench</t>
  </si>
  <si>
    <t>Operación encargada de realizar la validación del estado de una determina transacción mediante un folio específico.</t>
  </si>
  <si>
    <t>RESMX000121</t>
  </si>
  <si>
    <t>Dom_InitiatePaymentInitiationV1</t>
  </si>
  <si>
    <t>Pro Customer Offer</t>
  </si>
  <si>
    <t>/tradeBanking/directDebit</t>
  </si>
  <si>
    <t>/v1/paymentInitiation/initiate</t>
  </si>
  <si>
    <t>Esta API para realizar los cargos y abonos de pagos de tarjeta de crédito con cargo a cuenta</t>
  </si>
  <si>
    <t>mx-api-bc-pro-customer-offer</t>
  </si>
  <si>
    <t>APIMX000076</t>
  </si>
  <si>
    <t>RESMX000122</t>
  </si>
  <si>
    <t>Dom_RegisterDocumentDirectoryEntryV1</t>
  </si>
  <si>
    <t>/documentManagementAndArchive/documentDirectory</t>
  </si>
  <si>
    <t>/v1/documentDirectoryEntry/register</t>
  </si>
  <si>
    <t>Permite insertar datos de documentos en entidad de expedientes</t>
  </si>
  <si>
    <t>Pro Customer Position</t>
  </si>
  <si>
    <t>mx-api-bc-pro-customer-position</t>
  </si>
  <si>
    <t>APIMX000077</t>
  </si>
  <si>
    <t>RESMX000123</t>
  </si>
  <si>
    <t>Dom_EvaluateDocumentDirectoryEntryV1</t>
  </si>
  <si>
    <t>/v1/documentDirectoryEntry/evaluate</t>
  </si>
  <si>
    <t>Permite evaluar si un expediente tiene imagen nula o no.</t>
  </si>
  <si>
    <t>RESMX000124</t>
  </si>
  <si>
    <t>Dom_InitiateDocumentDirectoryEntryV1</t>
  </si>
  <si>
    <t>/v1/documentDirectoryEntry/initiate</t>
  </si>
  <si>
    <t>Permite insertar el registro del expediente del cliente en caso de no contar con uno. Si ya cuenta con un expediente, no le dejará registrar otro nuevo.</t>
  </si>
  <si>
    <t>Pro Customer Product And Service Eligibility</t>
  </si>
  <si>
    <t>mx-api-bc-pro-customer-product-and-service-eligibility</t>
  </si>
  <si>
    <t>APIMX000078</t>
  </si>
  <si>
    <t>RESMX000125</t>
  </si>
  <si>
    <t>Dom_RegisterDocumentServiceProcedureV1</t>
  </si>
  <si>
    <t>/documentManagementAndArchive/documentServices</t>
  </si>
  <si>
    <t>/v1/documentServiceProcedure/register</t>
  </si>
  <si>
    <t>Servicio de dominio que realiza la subida de los documentos al expediente digital del prospecto a través de Onbase y registra los datos de subida en Apolo</t>
  </si>
  <si>
    <t>https://coppelmx.atlassian.net/wiki/x/n4CWP</t>
  </si>
  <si>
    <t>RESMX000126</t>
  </si>
  <si>
    <t>Dom_RetrieveFinancialBookingLogV1</t>
  </si>
  <si>
    <t>Pro Customer Products And Services</t>
  </si>
  <si>
    <t>/regulationsAndCompliance/financialAccounting</t>
  </si>
  <si>
    <t>/v1/financialBookingLog/retrieve</t>
  </si>
  <si>
    <t>Operación encargada de obtener la fecha de cierre contable del sistema.</t>
  </si>
  <si>
    <t>mx-api-bc-pro-customer-products-and-services</t>
  </si>
  <si>
    <t>APIMX000079</t>
  </si>
  <si>
    <t>RESMX000127</t>
  </si>
  <si>
    <t>Dom_CaptureFinancialBookingLogV1</t>
  </si>
  <si>
    <t>/v1/financialBookingLog/capture</t>
  </si>
  <si>
    <t>Operación encargada de generar bitácora de toda operación que realice afectación monetaria para obtener detalles contables. Débito, crédito, pago de servicios.</t>
  </si>
  <si>
    <t>Pro Customer Relationship Management</t>
  </si>
  <si>
    <t>RESMX000128</t>
  </si>
  <si>
    <t>mx-api-bc-pro-customer-relationship-management</t>
  </si>
  <si>
    <t>Dom_UpdateFinancialBookingLogV1</t>
  </si>
  <si>
    <t>APIMX000080</t>
  </si>
  <si>
    <t>/v1/financialBookingLog/update</t>
  </si>
  <si>
    <t>Servicio que permite complementar la transacción de movimientos bancarios.</t>
  </si>
  <si>
    <t>RESMX000129</t>
  </si>
  <si>
    <t>Dom_RegisterFinancialBookingLogV1</t>
  </si>
  <si>
    <t>/v1/financialBookingLog/register</t>
  </si>
  <si>
    <t>Servicio que permite inserta un movimiento de cuenta de crédito en la tabla “sd_movdiacrd”.</t>
  </si>
  <si>
    <t>Pro Customer Workbench</t>
  </si>
  <si>
    <t>mx-api-bc-pro-customer-workbench</t>
  </si>
  <si>
    <t>APIMX000081</t>
  </si>
  <si>
    <t>RESMX000130</t>
  </si>
  <si>
    <t>Dom_UpdateFraudResolutionProcedureV1</t>
  </si>
  <si>
    <t>/regulationsAndCompliance/fraudResolution</t>
  </si>
  <si>
    <t>/v1/fraudResolutionProcedure/update</t>
  </si>
  <si>
    <t>Esta API Decrementa el campo importe_dia de la tabla si_limite_diario restándole el monto a reversar, para el cliente cuenta canal especificado.</t>
  </si>
  <si>
    <t>RESMX000131</t>
  </si>
  <si>
    <t>Dom_UpdateCustomerProductRelationV1</t>
  </si>
  <si>
    <t>Pro Direct Debit</t>
  </si>
  <si>
    <t>/crossChannel/interactiveHelp</t>
  </si>
  <si>
    <t>/v1/customerProductRelation/update</t>
  </si>
  <si>
    <t>API encargado de actualizar la relación entre el producto (Tarjeta Crédito o débito) y el cliente mediante el número telefónico.</t>
  </si>
  <si>
    <t>mx-api-bc-pro-direct-debit</t>
  </si>
  <si>
    <t>APIMX000082</t>
  </si>
  <si>
    <t>RESMX000132</t>
  </si>
  <si>
    <t>Dom_RegisterCustomerProductRelationV1</t>
  </si>
  <si>
    <t>/v1/customerProductRelation/register</t>
  </si>
  <si>
    <t>Relaciona una tarjeta de débito o crédito a un número telefónico en el proceso IVR.</t>
  </si>
  <si>
    <t>Pro Document Directory</t>
  </si>
  <si>
    <t>RESMX000133</t>
  </si>
  <si>
    <t>Dom_RetrieveInternalBankAccountReferenceV1</t>
  </si>
  <si>
    <t>mx-api-bc-pro-document-directory</t>
  </si>
  <si>
    <t>APIMX000083</t>
  </si>
  <si>
    <t>/operationalService/internalBankAccount</t>
  </si>
  <si>
    <t>/v1/internalBankAccountReference/retrieve</t>
  </si>
  <si>
    <t>Consulta la información de la orden de cancelación de transferencia</t>
  </si>
  <si>
    <t>Invalid business domain value "operationalService", in the path "/operationalService/internalBankAccount".\nFor the service domain "internalBankAccount" in the path "/operationalService/internalBankAccount" use the business domain "Operational Services".</t>
  </si>
  <si>
    <t>RESMX000134</t>
  </si>
  <si>
    <t>Dom_RetrieveInternalBankV1</t>
  </si>
  <si>
    <t>/v1/internalBank/retrieve</t>
  </si>
  <si>
    <t>API encargado de obtener la información del banco.</t>
  </si>
  <si>
    <t>Pro Document Services</t>
  </si>
  <si>
    <t>RESMX000135</t>
  </si>
  <si>
    <t>Dom_RetrieveInvestmentAccountFacilityV1</t>
  </si>
  <si>
    <t>mx-api-bc-pro-document-services</t>
  </si>
  <si>
    <t>APIMX000084</t>
  </si>
  <si>
    <t>/investmentManagement/investmentAccount</t>
  </si>
  <si>
    <t>/v1/investmentAccountFacility/retrieve</t>
  </si>
  <si>
    <t>Este servicio realiza la consulta de una cuenta de inversion</t>
  </si>
  <si>
    <t>https://coppelmx.atlassian.net/wiki/x/WYF5P</t>
  </si>
  <si>
    <t>Pro Financial Accounting</t>
  </si>
  <si>
    <t>mx-api-bc-pro-financial-accounting</t>
  </si>
  <si>
    <t>RESMX000136</t>
  </si>
  <si>
    <t>Dom_InitiateDeviceAssignmentV1</t>
  </si>
  <si>
    <t>APIMX000085</t>
  </si>
  <si>
    <t>/operationalServices/issuedDeviceAdministration</t>
  </si>
  <si>
    <t>/v1/deviceAssignment/initiate</t>
  </si>
  <si>
    <t>Servicio de Dominio encargado de almacenar la informacion del dispositivo del usuario, durante el proceso de onboarding del cliente</t>
  </si>
  <si>
    <t>https://coppelmx.atlassian.net/wiki/x/EoBLP</t>
  </si>
  <si>
    <t>RESMX000137</t>
  </si>
  <si>
    <t>Dom_RetrieveDeviceAssignmentV1</t>
  </si>
  <si>
    <t>/v1/deviceAssignment/retrieve</t>
  </si>
  <si>
    <t>Obtiene información sobre el dispositivo que el usuario estaba usando durante la incorporación.</t>
  </si>
  <si>
    <t>https://coppelmx.atlassian.net/wiki/x/EIA0P</t>
  </si>
  <si>
    <t>Pro Fraud Resolution</t>
  </si>
  <si>
    <t>mx-api-bc-pro-fraud-resolution</t>
  </si>
  <si>
    <t>APIMX000086</t>
  </si>
  <si>
    <t>RESMX000138</t>
  </si>
  <si>
    <t>Dom_InitiateTokenAssignmentV1</t>
  </si>
  <si>
    <t>/v1/tokenAssignment/initiate</t>
  </si>
  <si>
    <t>Envía un código OTP( One Time Password) para validar un onboarding mediante la definición de un tipo de medio de envío (SMS o Correo).</t>
  </si>
  <si>
    <t>https://coppelmx.atlassian.net/wiki/x/FIBKP</t>
  </si>
  <si>
    <t>RESMX000139</t>
  </si>
  <si>
    <t>Dom_RegisterDeviceAssignmentV1</t>
  </si>
  <si>
    <t>Pro Interactive Help</t>
  </si>
  <si>
    <t>/v1/deviceAssignment/register</t>
  </si>
  <si>
    <t>Actualiza información sobre el dispositivo que el usuario estaba usando durante la incorporación.</t>
  </si>
  <si>
    <t>https://coppelmx.atlassian.net/wiki/x/K4BHP</t>
  </si>
  <si>
    <t>mx-api-bc-pro-interactive-help</t>
  </si>
  <si>
    <t>APIMX000087</t>
  </si>
  <si>
    <t>RESMX000140</t>
  </si>
  <si>
    <t>Dom_EvaluateTokenAssignmentV1</t>
  </si>
  <si>
    <t>/v1/tokenAssignment/evaluate</t>
  </si>
  <si>
    <t>Envía un código OTP obtenido mediante SMS para validar un onboarding.</t>
  </si>
  <si>
    <t>https://coppelmx.atlassian.net/wiki/x/lYBzQQ</t>
  </si>
  <si>
    <t>RESMX000141</t>
  </si>
  <si>
    <t>Dom_RetrieveTokenAssignmentV1</t>
  </si>
  <si>
    <t>Pro Internal Bank Account</t>
  </si>
  <si>
    <t>/v1/tokenAssignment/retrieve</t>
  </si>
  <si>
    <t>retorna todos los token resgistrados en gemalto para un usuario.</t>
  </si>
  <si>
    <t>mx-api-bc-pro-internal-bank-account</t>
  </si>
  <si>
    <t>APIMX000088</t>
  </si>
  <si>
    <t>RESMX000142</t>
  </si>
  <si>
    <t>Dom_RetrieveBiometricAssignmentV1</t>
  </si>
  <si>
    <t>/v1/biometricAssignment/{companyReference}/{customerReference}/retrieve</t>
  </si>
  <si>
    <t>Consulta de Huella de cliente persona física</t>
  </si>
  <si>
    <t>Pro Investment Account</t>
  </si>
  <si>
    <t>mx-api-bc-pro-investment-account</t>
  </si>
  <si>
    <t>RESMX000143</t>
  </si>
  <si>
    <t>APIMX000089</t>
  </si>
  <si>
    <t>Dom_InitiateBiometricAssignmentV1</t>
  </si>
  <si>
    <t>/v1/biometricAssignment/initiate</t>
  </si>
  <si>
    <t>Operación encargada de realizar el registro de la huellas del cliente.</t>
  </si>
  <si>
    <t>https://coppelmx.atlassian.net/wiki/x/D4BaP</t>
  </si>
  <si>
    <t>RESMX000144</t>
  </si>
  <si>
    <t>Dom_UpdateBiometricAssignmentV1</t>
  </si>
  <si>
    <t>/v1/biometricAssignment/update</t>
  </si>
  <si>
    <t>Operación encargada de realiza la actualización de los datos biométricos del cliente.</t>
  </si>
  <si>
    <t>Pro Issued Device Administration</t>
  </si>
  <si>
    <t>mx-api-bc-pro-issued-device-administration</t>
  </si>
  <si>
    <t>APIMX000090</t>
  </si>
  <si>
    <t>RESMX000145</t>
  </si>
  <si>
    <t>Dom_InitiatePasswordAssignmentV1</t>
  </si>
  <si>
    <t>/v1/passwordAssignment/initiate</t>
  </si>
  <si>
    <t>Domain Api que permite la asignación de NIP(Cambio de NIP) de la tarjeta de crédito..</t>
  </si>
  <si>
    <t>pro-issued-device-administration-api-dev</t>
  </si>
  <si>
    <t>RESMX000146</t>
  </si>
  <si>
    <t>Dom_UpdateDeviceAssignmentV1</t>
  </si>
  <si>
    <t>/v1/deviceAssignment/update</t>
  </si>
  <si>
    <t>En esta Api se lleva a cabo la actualización del estatus de activación de una tarjeta de crédito.</t>
  </si>
  <si>
    <t>Pro Issued Device Tracking</t>
  </si>
  <si>
    <t>mx-api-bc-pro-issued-device-tracking</t>
  </si>
  <si>
    <t>APIMX000091</t>
  </si>
  <si>
    <t>RESMX000147</t>
  </si>
  <si>
    <t>Dom_RegisterPasswordAssignmentLogV1</t>
  </si>
  <si>
    <t>/v1/passwordAssignmentLog/register</t>
  </si>
  <si>
    <t>Api de experiencia que se encarga de insertar la información en algunas tablas que corresponden a los pins en oficina o ATM.</t>
  </si>
  <si>
    <t>RESMX000148</t>
  </si>
  <si>
    <t>Dom_CaptureTokenAssignmentV1</t>
  </si>
  <si>
    <t>/v1/tokenAssignment/capture</t>
  </si>
  <si>
    <t>Este microservicio realiza una Inserción de la validación del código OTP para un cliente prospecto en la tabla Validations.</t>
  </si>
  <si>
    <t>https://coppelmx.atlassian.net/wiki/x/u4BzP</t>
  </si>
  <si>
    <t>Pro Legal Entity Directory</t>
  </si>
  <si>
    <t>mx-api-bc-pro-legal-entity-directory</t>
  </si>
  <si>
    <t>APIMX000092</t>
  </si>
  <si>
    <t>RESMX000149</t>
  </si>
  <si>
    <t>Dom_CreatePasswordAssignmentV1</t>
  </si>
  <si>
    <t>/v1/passwordAssignment/create</t>
  </si>
  <si>
    <t>En esta Api se lleva a cabo la creación de un pin para una tarjeta de crédito en BPC.</t>
  </si>
  <si>
    <t>Pro Loan</t>
  </si>
  <si>
    <t>mx-api-bc-pro-loan</t>
  </si>
  <si>
    <t>APIMX000093</t>
  </si>
  <si>
    <t>2.2.0</t>
  </si>
  <si>
    <t>RESMX000150</t>
  </si>
  <si>
    <t>Dom_RegisterLegalEntityDirectoryEntryV1</t>
  </si>
  <si>
    <t>/party/legalEntityDirectory</t>
  </si>
  <si>
    <t>/v1/legalEntityDirectoryEntry/register</t>
  </si>
  <si>
    <t>Operación encargada de realizar la inserción de un nuevo cliente empresarial en transact.</t>
  </si>
  <si>
    <t>RESMX000151</t>
  </si>
  <si>
    <t>Dom_UpdateLegalEntityDirectoryEntryV1</t>
  </si>
  <si>
    <t>/v1/legalEntityDirectoryEntry/update</t>
  </si>
  <si>
    <t>Pro Location Data Management</t>
  </si>
  <si>
    <t>Operación que realiza la actualización de la información de un cliente empresarial en transact.</t>
  </si>
  <si>
    <t>mx-api-bc-pro-location-data-management</t>
  </si>
  <si>
    <t>APIMX000094</t>
  </si>
  <si>
    <t>RESMX000152</t>
  </si>
  <si>
    <t>Dom_EvaluateLoanAgreementV1</t>
  </si>
  <si>
    <t>Pro Party Authentication</t>
  </si>
  <si>
    <t>/loansAndDeposits/loan</t>
  </si>
  <si>
    <t>/v1/loanAgreement/evaluate</t>
  </si>
  <si>
    <t>Este servicio consulta la información en detalle para obtener la tabla de amortización de un préstamo</t>
  </si>
  <si>
    <t>mx-api-bc-pro-party-authentication</t>
  </si>
  <si>
    <t>APIMX000095</t>
  </si>
  <si>
    <t>RESMX000153</t>
  </si>
  <si>
    <t>Dom_ExecuteLoanFacilityReportV1</t>
  </si>
  <si>
    <t>/v1/loanFacilityReport/execute</t>
  </si>
  <si>
    <t>API que genera el reporte del contrato de préstamo personal</t>
  </si>
  <si>
    <t>Pro Party Lifecycle Management</t>
  </si>
  <si>
    <t>mx-api-bc-pro-party-lifecycle-management</t>
  </si>
  <si>
    <t>APIMX000096</t>
  </si>
  <si>
    <t>2.3.2</t>
  </si>
  <si>
    <t>pro-party-lifecycle-management-api-dev</t>
  </si>
  <si>
    <t>RESMX000154</t>
  </si>
  <si>
    <t>Dom_InitiateLoanFacilityV1</t>
  </si>
  <si>
    <t>Este servicio realiza el registro de un préstamo Coppel-BanCoppel</t>
  </si>
  <si>
    <t>Pro Party Reference Data Directory</t>
  </si>
  <si>
    <t>mx-api-bc-pro-party-reference-data-directory</t>
  </si>
  <si>
    <t>RESMX000155</t>
  </si>
  <si>
    <t>Dom_RetrieveLoanFacilityV1</t>
  </si>
  <si>
    <t>APIMX000097</t>
  </si>
  <si>
    <t>1.8.1</t>
  </si>
  <si>
    <t>/v1/loanFacility/retrieve</t>
  </si>
  <si>
    <t>Este servicio consulta los datos generales de préstamo</t>
  </si>
  <si>
    <t>RESMX000156</t>
  </si>
  <si>
    <t>Dom_RequestLoanProjectionV1</t>
  </si>
  <si>
    <t>/v1/loanProjection/request</t>
  </si>
  <si>
    <t>Este servicio muestra la simulación del comportamiento de un préstamo durante el plazo seleccionado</t>
  </si>
  <si>
    <t>Pro Party Retail Reference Data Directory</t>
  </si>
  <si>
    <t>mx-api-cpp-pro-party-retail-reference-data-directory</t>
  </si>
  <si>
    <t>APIMX000098</t>
  </si>
  <si>
    <t>RESMX000157</t>
  </si>
  <si>
    <t>Dom_RetrieveLoanAgreementV1</t>
  </si>
  <si>
    <t>Este servicio consulta la información general para obtener la tabla de amortización de un préstamo</t>
  </si>
  <si>
    <t>RESMX000158</t>
  </si>
  <si>
    <t>Dom_RetrieveLoanBalanceV1</t>
  </si>
  <si>
    <t>/v1/loanBalance/retrieve</t>
  </si>
  <si>
    <t>Pro Payment Execution</t>
  </si>
  <si>
    <t>Este servicio consulta los datos de saldo de un préstamo</t>
  </si>
  <si>
    <t>mx-api-bc-pro-payment-execution</t>
  </si>
  <si>
    <t>APIMX000099</t>
  </si>
  <si>
    <t>RESMX000159</t>
  </si>
  <si>
    <t>Dom_RetrieveLoanDataDocumentV1</t>
  </si>
  <si>
    <t>1.0.1</t>
  </si>
  <si>
    <t>/v1/loanDataDocument/retrieve</t>
  </si>
  <si>
    <t>API que obtiene los datos de la caratula de préstamo del cliente.</t>
  </si>
  <si>
    <t>RESMX000160</t>
  </si>
  <si>
    <t>Dom_RetrieveMaintenanceV1</t>
  </si>
  <si>
    <t>/v1/maintenance/retrieve</t>
  </si>
  <si>
    <t>https://coppelmx.atlassian.net/wiki/x/LIBMP</t>
  </si>
  <si>
    <t>Pro Payment Order</t>
  </si>
  <si>
    <t>RESMX000161</t>
  </si>
  <si>
    <t>Dom_EvaluateStreetV1</t>
  </si>
  <si>
    <t>mx-api-bc-pro-payment-order</t>
  </si>
  <si>
    <t>APIMX000100</t>
  </si>
  <si>
    <t>/marketData/locationDataManagement</t>
  </si>
  <si>
    <t>/v1/street/evaluate</t>
  </si>
  <si>
    <t>Servicio de Dominio encargado de consultar los datos correctos de una calle.</t>
  </si>
  <si>
    <t>https://coppelmx.atlassian.net/wiki/x/AQAAP</t>
  </si>
  <si>
    <t>RESMX000162</t>
  </si>
  <si>
    <t>Dom_RetrieveSepomexV1</t>
  </si>
  <si>
    <t>/v1/sepomex/retrieve</t>
  </si>
  <si>
    <t>Servicio de dominio que se encargará de consultar el catálogo de direcciones.</t>
  </si>
  <si>
    <t>https://coppelmx.atlassian.net/wiki/x/AwAEP</t>
  </si>
  <si>
    <t>Pro Payment Rail Operations</t>
  </si>
  <si>
    <t>mx-api-bc-pro-payment-rail-operations</t>
  </si>
  <si>
    <t>APIMX000101</t>
  </si>
  <si>
    <t>RESMX000163</t>
  </si>
  <si>
    <t>Dom_RetrieveNeighborhoodV1</t>
  </si>
  <si>
    <t>/v1/neighborhood/retrieve</t>
  </si>
  <si>
    <t>Servicio de dominio encargado de consultar las Colonias</t>
  </si>
  <si>
    <t>Pro Platform Operations</t>
  </si>
  <si>
    <t>RESMX000164</t>
  </si>
  <si>
    <t>mx-api-bc-pro-platform-operations</t>
  </si>
  <si>
    <t>Dom_RegisterLocationV1</t>
  </si>
  <si>
    <t>APIMX000102</t>
  </si>
  <si>
    <t>/v1/location/register</t>
  </si>
  <si>
    <t>Este servicio de dominio permite guardar la Dirección Del Cliente</t>
  </si>
  <si>
    <t>https://coppelmx.atlassian.net/wiki/x/gAAAP</t>
  </si>
  <si>
    <t>RESMX000165</t>
  </si>
  <si>
    <t>Dom_UpdateSepomexV1</t>
  </si>
  <si>
    <t>/v1/sepomex/update</t>
  </si>
  <si>
    <t>Servicio de Dominio que actualiza en tabla Address (Homologación SEPOMEX)</t>
  </si>
  <si>
    <t>https://coppelmx.atlassian.net/wiki/x/EAADP</t>
  </si>
  <si>
    <t>Pro Position Keeping</t>
  </si>
  <si>
    <t>mx-api-bc-pro-position-keeping</t>
  </si>
  <si>
    <t>APIMX000103</t>
  </si>
  <si>
    <t>RESMX000166</t>
  </si>
  <si>
    <t>Dom_RegisterProfileFacilityV1</t>
  </si>
  <si>
    <t>/crossChannel/partyAuthentication</t>
  </si>
  <si>
    <t>/v1/profileFacility/register</t>
  </si>
  <si>
    <t>Realiza un alta del perfil del usuario registrando los valores del password y usuario.</t>
  </si>
  <si>
    <t>RESMX000167</t>
  </si>
  <si>
    <t>Pro Product Directory</t>
  </si>
  <si>
    <t>Dom_EvaluatePartyAuthenticationAssessmentV1</t>
  </si>
  <si>
    <t>mx-api-bc-pro-product-directory</t>
  </si>
  <si>
    <t>/v1/partyAuthenticationAssessment/evaluate</t>
  </si>
  <si>
    <t>APIMX000104</t>
  </si>
  <si>
    <t>Operacion que consulta el valor de la OTP en la tabla OTP, así como en el correo electronico de la tabla Email, realizando la comparacion para saber si son validas.</t>
  </si>
  <si>
    <t>https://coppelmx.atlassian.net/wiki/x/HYCdOw</t>
  </si>
  <si>
    <t>RESMX000168</t>
  </si>
  <si>
    <t>Dom_EvaluatePasswordV1</t>
  </si>
  <si>
    <t>/v1/password/evaluate</t>
  </si>
  <si>
    <t>Operación que valida el pin de una tarjeta de crédito en BPC.</t>
  </si>
  <si>
    <t>Pro Product Matching</t>
  </si>
  <si>
    <t>mx-api-bc-pro-product-matching</t>
  </si>
  <si>
    <t>APIMX000105</t>
  </si>
  <si>
    <t>RESMX000169</t>
  </si>
  <si>
    <t>Dom_CaptureDocumentationV1</t>
  </si>
  <si>
    <t>/sales/partyLifecycleManagement</t>
  </si>
  <si>
    <t>/v1/documentation/capture</t>
  </si>
  <si>
    <t>En este microservicio invoca el API del proveedor INCODE, para este escenario, el microservicio realiza la carga del comprobante de domicilio a la plataforma SaaS, para su extracción de información vía OCR (Reconocimiento Óptico de Caracteres).</t>
  </si>
  <si>
    <t>https://coppelmx.atlassian.net/wiki/x/VIFFOw</t>
  </si>
  <si>
    <t>RESMX000170</t>
  </si>
  <si>
    <t>Dom_EvaluateDocumentationV1</t>
  </si>
  <si>
    <t>Pro Regulatory Compliance</t>
  </si>
  <si>
    <t>/v1/documentation/evaluate</t>
  </si>
  <si>
    <t>Servicio de Dominio encargado validar el estatus exitoso de la carga de la imagen del documento de identidad (INE) por en anverso y reverso del mismo.</t>
  </si>
  <si>
    <t>https://coppelmx.atlassian.net/wiki/x/t4BIOw</t>
  </si>
  <si>
    <t>mx-api-bc-pro-regulatory-compliance</t>
  </si>
  <si>
    <t>APIMX000106</t>
  </si>
  <si>
    <t>RESMX000171</t>
  </si>
  <si>
    <t>Dom_UpdateDocumentationV1</t>
  </si>
  <si>
    <t>/v1/documentation/update</t>
  </si>
  <si>
    <t>Si la carga del anverso, el reverso de la identificación o la selfie no tuvo éxito después de los reintentos, use este endpoint para especificar que se necesita una verificación manual adicional.</t>
  </si>
  <si>
    <t>https://coppelmx.atlassian.net/wiki/x/BwBlOw</t>
  </si>
  <si>
    <t>Pro Remittances</t>
  </si>
  <si>
    <t>RESMX000172</t>
  </si>
  <si>
    <t>mx-api-bc-pro-remittances</t>
  </si>
  <si>
    <t>Dom_RequestDocumentationV1</t>
  </si>
  <si>
    <t>APIMX000107</t>
  </si>
  <si>
    <t>/v1/documentation/request</t>
  </si>
  <si>
    <t>Servicio de dominio encargado de retornar todos los documentos que se han cargado durante el proceso de onboarding</t>
  </si>
  <si>
    <t>https://coppelmx.atlassian.net/wiki/x/koBkOw</t>
  </si>
  <si>
    <t>RESMX000173</t>
  </si>
  <si>
    <t>Dom_ExecuteDocumentationV1</t>
  </si>
  <si>
    <t>/v1/documentation/execute</t>
  </si>
  <si>
    <t>Servicio de dominio encargado de iniciar el proceso de carga del OCR del documento de identidad del cliente</t>
  </si>
  <si>
    <t>https://coppelmx.atlassian.net/wiki/x/C4CiOw</t>
  </si>
  <si>
    <t>Pro Sales Product Agreement</t>
  </si>
  <si>
    <t>RESMX000174</t>
  </si>
  <si>
    <t>Dom_RetrieveDocumentationV1</t>
  </si>
  <si>
    <t>/v1/documentation/retrieve</t>
  </si>
  <si>
    <t>Servicio de dominio que permite consultar el score de la direcciones del cliente de OCR.</t>
  </si>
  <si>
    <t>https://coppelmx.atlassian.net/wiki/x/KIBmOw</t>
  </si>
  <si>
    <t>mx-api-bc-pro-sales-product-agreement</t>
  </si>
  <si>
    <t>APIMX000108</t>
  </si>
  <si>
    <t>RESMX000175</t>
  </si>
  <si>
    <t>Dom_RegisterDocumentationV1</t>
  </si>
  <si>
    <t>/v1/documentation/register</t>
  </si>
  <si>
    <t>Servicio que se encarga de insertar scores del OCR de la INE en tabla INE_DATA e insertar Domicilio de INE en tabla Address</t>
  </si>
  <si>
    <t>https://coppelmx.atlassian.net/wiki/x/QIBfOw</t>
  </si>
  <si>
    <t>Pro Savings Account</t>
  </si>
  <si>
    <t>mx-api-bc-pro-savings-account</t>
  </si>
  <si>
    <t>APIMX000109</t>
  </si>
  <si>
    <t>RESMX000176</t>
  </si>
  <si>
    <t>Dom_EvaluateRfcV1</t>
  </si>
  <si>
    <t>/v1/rfc/evaluate</t>
  </si>
  <si>
    <t>Servicio de Dominio encargado de generar el RFC del cliente</t>
  </si>
  <si>
    <t>https://coppelmx.atlassian.net/wiki/x/MQBjOw</t>
  </si>
  <si>
    <t>Pro Servicing Order</t>
  </si>
  <si>
    <t>RESMX000177</t>
  </si>
  <si>
    <t>Dom_EvaluateIneV1</t>
  </si>
  <si>
    <t>mx-api-bc-pro-servicing-order</t>
  </si>
  <si>
    <t>APIMX000110</t>
  </si>
  <si>
    <t>/v1/ine/evaluate</t>
  </si>
  <si>
    <t>Servicio de Dominio encargado de solicitar la consulta de la informacion del prospecto en el INE</t>
  </si>
  <si>
    <t>https://coppelmx.atlassian.net/wiki/x/KIBgOw</t>
  </si>
  <si>
    <t>Pro Session Dialogue</t>
  </si>
  <si>
    <t>RESMX000178</t>
  </si>
  <si>
    <t>Dom_RetrieveIneV1</t>
  </si>
  <si>
    <t>mx-api-bc-pro-session-dialogue</t>
  </si>
  <si>
    <t>APIMX000111</t>
  </si>
  <si>
    <t>/v1/ine/retrieve</t>
  </si>
  <si>
    <t>Servicio de Dominio que se encarga de recuperar la consulta del INE</t>
  </si>
  <si>
    <t>https://coppelmx.atlassian.net/wiki/x/UoBiOw</t>
  </si>
  <si>
    <t>pro-session-dialogue-api-dev</t>
  </si>
  <si>
    <t>RESMX000179</t>
  </si>
  <si>
    <t>Dom_RetrieveRenapoV1</t>
  </si>
  <si>
    <t>/v1/renapo/retrieve</t>
  </si>
  <si>
    <t>Pro Systems Operations</t>
  </si>
  <si>
    <t>Servicio de Dominio encargado validar el CURP en Renapo.</t>
  </si>
  <si>
    <t>https://coppelmx.atlassian.net/wiki/x/AwB8Ow</t>
  </si>
  <si>
    <t>mx-api-bc-pro-systems-operations</t>
  </si>
  <si>
    <t>APIMX000112</t>
  </si>
  <si>
    <t>RESMX000180</t>
  </si>
  <si>
    <t>Dom_CaptureIneV1</t>
  </si>
  <si>
    <t>/v1/ine/capture</t>
  </si>
  <si>
    <t>Servicio de Dominio que realiza la inserción de la información resultante de la consulta del INE ante las listas nominales, en la tabla Validations.</t>
  </si>
  <si>
    <t>https://coppelmx.atlassian.net/wiki/x/CAB1Ow</t>
  </si>
  <si>
    <t>Pro Transaction Engine</t>
  </si>
  <si>
    <t>mx-api-bc-pro-transaction-engine</t>
  </si>
  <si>
    <t>APIMX000113</t>
  </si>
  <si>
    <t>RESMX000181</t>
  </si>
  <si>
    <t>Dom_CaptureRenapoV1</t>
  </si>
  <si>
    <t>/v1/renapo/capture</t>
  </si>
  <si>
    <t>Servicio de Dominio que realizará la inserción de la información resultante de la consulta del CURP ante la RENAPO, en la tabla Validations.</t>
  </si>
  <si>
    <t>https://coppelmx.atlassian.net/wiki/x/AoCNOw</t>
  </si>
  <si>
    <t>Pro Utility</t>
  </si>
  <si>
    <t>RESMX000182</t>
  </si>
  <si>
    <t>Dom_RetrieveQualificationV1</t>
  </si>
  <si>
    <t>mx-api-bc-pro-utility</t>
  </si>
  <si>
    <t>/v1/qualification/retrieve</t>
  </si>
  <si>
    <t>APIMX000114</t>
  </si>
  <si>
    <t>Servicio que permite consultar un estado de cliente en diferentes listas</t>
  </si>
  <si>
    <t>https://coppelmx.atlassian.net/wiki/x/fgCHOw</t>
  </si>
  <si>
    <t>RESMX000183</t>
  </si>
  <si>
    <t>Dom_CapturePartyRelationshipProcedureV1</t>
  </si>
  <si>
    <t>/v1/partyRelationshipProcedure/{sessionDialogueIdentification}/capture</t>
  </si>
  <si>
    <t>Servicio de dominio encargado de guardar al prospecto.</t>
  </si>
  <si>
    <t>Rec Branch Location Operations</t>
  </si>
  <si>
    <t>RECEPTION</t>
  </si>
  <si>
    <t>mx-api-bc-rec-branch-location-operations</t>
  </si>
  <si>
    <t>RESMX000184</t>
  </si>
  <si>
    <t>Dom_InitiatePartyRelationshipProcedureV1</t>
  </si>
  <si>
    <t>APIMX000115</t>
  </si>
  <si>
    <t>/v1/partyRelationshipProcedure/initiate</t>
  </si>
  <si>
    <t>API Gee</t>
  </si>
  <si>
    <t>Servicio de dominio encargado de guardar en tabla Lead el ID Session.</t>
  </si>
  <si>
    <t>https://coppelmx.atlassian.net/wiki/x/uAByQQ</t>
  </si>
  <si>
    <t>Rec Business Support</t>
  </si>
  <si>
    <t>RESMX000185</t>
  </si>
  <si>
    <t>Dom_RetrieveQuestionV1</t>
  </si>
  <si>
    <t>mx-api-bc-rec-business-support</t>
  </si>
  <si>
    <t>/v1/question/retrieve</t>
  </si>
  <si>
    <t>APIMX000116</t>
  </si>
  <si>
    <t>Servicio de Dominio que se encarga de consultar las preguntas que deben respondenser en la validacion de supervivencia</t>
  </si>
  <si>
    <t>RESMX000186</t>
  </si>
  <si>
    <t>Dom_RetrievePartyRelationshipProcedureV1</t>
  </si>
  <si>
    <t>/v1/partyRelationshipProcedure/retrieve</t>
  </si>
  <si>
    <t>Operación encargada de obtener información de las referencias del cliete.</t>
  </si>
  <si>
    <t>Rec Card eCommerce Gateway</t>
  </si>
  <si>
    <t>mx-api-bc-rec-card-ecommerce-gateway</t>
  </si>
  <si>
    <t>APIMX000117</t>
  </si>
  <si>
    <t>RESMX000187</t>
  </si>
  <si>
    <t>Dom_UpdatePartyRelationshipProcedureV1</t>
  </si>
  <si>
    <t>/v1/partyRelationshipProcedure/update</t>
  </si>
  <si>
    <t>Operación encargada de actualizar datos e insertar el teléfono del cliente prospecto, guardar RFC, actualizar subactividad, actualizar proveedor de recursos y actualizar el tipo de residencia.</t>
  </si>
  <si>
    <t>https://coppelmx.atlassian.net/wiki/x/FID6Ow</t>
  </si>
  <si>
    <t>RESMX000188</t>
  </si>
  <si>
    <t>Dom_InitiateContactPointV1</t>
  </si>
  <si>
    <t>/v1/contactPoint/initiate</t>
  </si>
  <si>
    <t>Operación encargada de actualizar datos e insertar el telefono del cliente prospecto</t>
  </si>
  <si>
    <t>https://coppelmx.atlassian.net/wiki/x/MQD_Ow</t>
  </si>
  <si>
    <t>Rec Corporate Current Account</t>
  </si>
  <si>
    <t>mx-api-bc-rec-corporate-current-account</t>
  </si>
  <si>
    <t>APIMX000118</t>
  </si>
  <si>
    <t>RESMX000189</t>
  </si>
  <si>
    <t>Dom_CaptureContactPointV1</t>
  </si>
  <si>
    <t>/v1/contactPoint/capture</t>
  </si>
  <si>
    <t>Este microservicio realiza una Inserción de la validación derivada del análisis anti-malware de correo electrónico para un cliente prospecto en la tabla Validations .</t>
  </si>
  <si>
    <t>https://coppelmx.atlassian.net/wiki/x/OYAZP</t>
  </si>
  <si>
    <t>RESMX000190</t>
  </si>
  <si>
    <t>Rec Counterparty Risk</t>
  </si>
  <si>
    <t>Dom_UpdateLocationV1</t>
  </si>
  <si>
    <t>/v1/location/{sessionDialogueIdentification}/update</t>
  </si>
  <si>
    <t>mx-api-bc-rec-counterparty-risk</t>
  </si>
  <si>
    <t>Servicio encargado de actualizar domicilio del cliente prospecto, Guardar complemento extendido domicilio y Guardar complemento domicilio</t>
  </si>
  <si>
    <t>APIMX000119</t>
  </si>
  <si>
    <t>https://coppelmx.atlassian.net/wiki/x/BQBHP</t>
  </si>
  <si>
    <t>RESMX000191</t>
  </si>
  <si>
    <t>Dom_UpdateResourceProviderV1</t>
  </si>
  <si>
    <t>/v1/resourceProvider/update</t>
  </si>
  <si>
    <t>Este Microservicio realiza la actualización respecto a la información de un proveedor de recursos, con el prospecto alojado en la tabla Data_Resource_Provider.</t>
  </si>
  <si>
    <t>https://coppelmx.atlassian.net/wiki/x/AwCEP</t>
  </si>
  <si>
    <t>Rec Credit Card</t>
  </si>
  <si>
    <t>RESMX000192</t>
  </si>
  <si>
    <t>Dom_InitiateResourceProviderV1</t>
  </si>
  <si>
    <t>/v1/resourceProvider/initiate</t>
  </si>
  <si>
    <t>mx-api-bc-rec-credit-card</t>
  </si>
  <si>
    <t>Este Microservicio realiza la inserción del campo proveedor de recursos, con este se define el tipo de proveedor y se encuentra en la tabla Data_Resource_Provider.</t>
  </si>
  <si>
    <t>https://coppelmx.atlassian.net/wiki/x/AYCWP</t>
  </si>
  <si>
    <t>APIMX000120</t>
  </si>
  <si>
    <t>1.14.0</t>
  </si>
  <si>
    <t>RESMX000193</t>
  </si>
  <si>
    <t>Este microservicio realiza la inserción de datos dentro de la tabla “ADDRESS” en la base de datos PostgreSQL, cuyos datos corresponden al domicilio extraídos con el proceso OCR.</t>
  </si>
  <si>
    <t>https://coppelmx.atlassian.net/wiki/x/LoF1P</t>
  </si>
  <si>
    <t>Rec Credit Card Position Keeping</t>
  </si>
  <si>
    <t>RESMX000194</t>
  </si>
  <si>
    <t>Dom_RetrieveLocationV1</t>
  </si>
  <si>
    <t>mx-api-bc-rec-credit-card-position-keeping</t>
  </si>
  <si>
    <t>APIMX000121</t>
  </si>
  <si>
    <t>/v1/location/retrieve</t>
  </si>
  <si>
    <t>https://coppelmx.atlassian.net/wiki/x/BwCXP</t>
  </si>
  <si>
    <t>RESMX000195</t>
  </si>
  <si>
    <t>Dom_RetrievePartyReferenceV1</t>
  </si>
  <si>
    <t>/v1/partyReference/retrieve</t>
  </si>
  <si>
    <t>Servicio de Dominio que se encarga de consultar la información del cliente previa al alta en el proceso Apolo.</t>
  </si>
  <si>
    <t>https://coppelmx.atlassian.net/wiki/x/BACZP</t>
  </si>
  <si>
    <t>Rec Credit Facility</t>
  </si>
  <si>
    <t>RESMX000196</t>
  </si>
  <si>
    <t>Dom_RetrieveValidationV1</t>
  </si>
  <si>
    <t>mx-api-bc-rec-credit-facility</t>
  </si>
  <si>
    <t>APIMX000122</t>
  </si>
  <si>
    <t>/v1/validation/{sessionDialogueIdentification}/retrieve</t>
  </si>
  <si>
    <t>Servicio encargado de consultar tabla validations relacionada al cliente prospecto</t>
  </si>
  <si>
    <t>RESMX000197</t>
  </si>
  <si>
    <t>Dom_EvaluateContactPointV1</t>
  </si>
  <si>
    <t>/customerManagement/partyReferenceDataDirectory</t>
  </si>
  <si>
    <t>/v1/contactPoint/evaluate</t>
  </si>
  <si>
    <t>Servicio de Dominio encargado de validar si un medio de contacto es valido.</t>
  </si>
  <si>
    <t>https://coppelmx.atlassian.net/wiki/x/D4AtOw</t>
  </si>
  <si>
    <t>Rec Currency Exchange</t>
  </si>
  <si>
    <t>RESMX000198</t>
  </si>
  <si>
    <t>mx-api-bc-rec-currency-exchange</t>
  </si>
  <si>
    <t>Dom_RetrievePartyReferenceDataDirectoryEntryV1</t>
  </si>
  <si>
    <t>APIMX000123</t>
  </si>
  <si>
    <t>/v1/partyReferenceDataDirectoryEntry/retrieve</t>
  </si>
  <si>
    <t>Este servicio realiza la consulta de la información del cliente</t>
  </si>
  <si>
    <t>https://coppelmx.atlassian.net/wiki/x/KIA4Ow</t>
  </si>
  <si>
    <t>RESMX000199</t>
  </si>
  <si>
    <t>Dom_EvaluatePartyReferenceDataDirectoryEntryV1</t>
  </si>
  <si>
    <t>/v1/partyReferenceDataDirectoryEntry/evaluate</t>
  </si>
  <si>
    <t>Operación encargada de realizar la evaluación del cliente.</t>
  </si>
  <si>
    <t>Rec Customer Access Entitlement</t>
  </si>
  <si>
    <t>mx-api-bc-rec-customer-access-entitlement</t>
  </si>
  <si>
    <t>APIMX000124</t>
  </si>
  <si>
    <t>RESMX000200</t>
  </si>
  <si>
    <t>Dom_EvaluatePendingOperationsV1</t>
  </si>
  <si>
    <t>/v1/pendingOperations/evaluate</t>
  </si>
  <si>
    <t>Api encargada de evaluar las operaciones pendientes asociadas al cliente.</t>
  </si>
  <si>
    <t>RESMX000201</t>
  </si>
  <si>
    <t>Dom_ExecuteNotificationFacilityV1</t>
  </si>
  <si>
    <t>/v1/notificationFacility/execute</t>
  </si>
  <si>
    <t>Operación encargada de enviar una notificación por SMS</t>
  </si>
  <si>
    <t>Rec Customer Agreement</t>
  </si>
  <si>
    <t>mx-api-bc-rec-customer-agreement</t>
  </si>
  <si>
    <t>APIMX000125</t>
  </si>
  <si>
    <t>RESMX000202</t>
  </si>
  <si>
    <t>Dom_RegisterContactPointV1</t>
  </si>
  <si>
    <t>/v1/contactPoint/register</t>
  </si>
  <si>
    <t>Rec Customer Credit Rating</t>
  </si>
  <si>
    <t>Operación encargada de registrar el correo electrónico del cliente.</t>
  </si>
  <si>
    <t>mx-api-bc-rec-customer-credit-rating</t>
  </si>
  <si>
    <t>APIMX000126</t>
  </si>
  <si>
    <t>1.5.0</t>
  </si>
  <si>
    <t>RESMX000203</t>
  </si>
  <si>
    <t>Dom_RegisterPartyReferenceDataDirectoryEntryV1</t>
  </si>
  <si>
    <t>/v1/partyReferenceDataDirectoryEntry/register</t>
  </si>
  <si>
    <t>Operación encargada de registrar una persona física como cliente.</t>
  </si>
  <si>
    <t>RESMX000204</t>
  </si>
  <si>
    <t>Dom_ControlContactPointV1</t>
  </si>
  <si>
    <t>Rec Customer Offer</t>
  </si>
  <si>
    <t>/v1/contactPoint/control</t>
  </si>
  <si>
    <t>API que permite actualizar la información de contacto del cliente</t>
  </si>
  <si>
    <t>mx-api-bc-rec-customer-offer</t>
  </si>
  <si>
    <t>APIMX000127</t>
  </si>
  <si>
    <t>RESMX000205</t>
  </si>
  <si>
    <t>Dom_RetrieveContactPointV1</t>
  </si>
  <si>
    <t>/v1/contactPoint/retrieve</t>
  </si>
  <si>
    <t>Permite consultar los tipos de teléfonos en base al número del cliente y también se agrega el correo con la secuencia máxima (último correo registrado).</t>
  </si>
  <si>
    <t>https://coppelmx.atlassian.net/wiki/x/GQA2Ow</t>
  </si>
  <si>
    <t>Rec Customer Products And Services</t>
  </si>
  <si>
    <t>mx-api-bc-rec-customer-products-and-services</t>
  </si>
  <si>
    <t>APIMX000128</t>
  </si>
  <si>
    <t>RESMX000206</t>
  </si>
  <si>
    <t>Dom_RegisterReferenceV1</t>
  </si>
  <si>
    <t>/v1/reference/register</t>
  </si>
  <si>
    <t>Operacion encargada de registrar una persona fisica como cliente</t>
  </si>
  <si>
    <t>https://coppelmx.atlassian.net/wiki/x/BIBKOw</t>
  </si>
  <si>
    <t>RESMX000207</t>
  </si>
  <si>
    <t>API que permite realizar la validación de la existencia del cliente en la base de datos que alberga la información de los mismos, en caso de que exista el número del cliente pero no se tenga su registro, se inserta la información para futuras consultas</t>
  </si>
  <si>
    <t>https://coppelmx.atlassian.net/wiki/x/NABKOw</t>
  </si>
  <si>
    <t>Rec Customer Product And Service Eligibility</t>
  </si>
  <si>
    <t>mx-api-bc-rec-customer-product-and-service-eligibility</t>
  </si>
  <si>
    <t>APIMX000129</t>
  </si>
  <si>
    <t>RESMX000208</t>
  </si>
  <si>
    <t>Dom_UpdateContactPointV1</t>
  </si>
  <si>
    <t>RESMX000209</t>
  </si>
  <si>
    <t>Dom_UpdatePersonProfileV1</t>
  </si>
  <si>
    <t>Rec Customer Workbench</t>
  </si>
  <si>
    <t>https://coppelmx.atlassian.net/wiki/x/M4BFOw</t>
  </si>
  <si>
    <t>mx-api-bc-rec-customer-workbench</t>
  </si>
  <si>
    <t>APIMX000130</t>
  </si>
  <si>
    <t>RESMX000210</t>
  </si>
  <si>
    <t>Dom_CapturePersonProfileV1</t>
  </si>
  <si>
    <t>/v1/personProfile/capture</t>
  </si>
  <si>
    <t>API que permite realizar la inserción de una bitácora de rostro con datos del cliente en la tabla si_bitacora_rostro. Esta Inserción se realiza para registrar una bitácora de tiempos de coppel face.</t>
  </si>
  <si>
    <t>Rec Document Directory</t>
  </si>
  <si>
    <t>RESMX000211</t>
  </si>
  <si>
    <t>Dom_EvaluateReferenceV1</t>
  </si>
  <si>
    <t>mx-api-bc-rec-document-directory</t>
  </si>
  <si>
    <t>APIMX000131</t>
  </si>
  <si>
    <t>/v1/reference/evaluate</t>
  </si>
  <si>
    <t>https://coppelmx.atlassian.net/wiki/x/fABCOw</t>
  </si>
  <si>
    <t>RESMX000212</t>
  </si>
  <si>
    <t>Dom_RetrievePartyRetailReferenceDataDirectoryEntryV1</t>
  </si>
  <si>
    <t>/partyReference/partyRetailReferenceDataDirectory</t>
  </si>
  <si>
    <t>/v1/partyRetailReferenceDataDirectoryEntry/retrieve</t>
  </si>
  <si>
    <t>https://coppelmx.atlassian.net/wiki/x/OIADOw</t>
  </si>
  <si>
    <t>Rec Document Services</t>
  </si>
  <si>
    <t>mx-api-bc-rec-document-services</t>
  </si>
  <si>
    <t>APIMX000132</t>
  </si>
  <si>
    <t>1.4.1</t>
  </si>
  <si>
    <t>RESMX000213</t>
  </si>
  <si>
    <t>Dom_EvaluatePartyRetailReferenceDataDirectoryEntryV1</t>
  </si>
  <si>
    <t>/v1/partyRetailReferenceDataDirectoryEntry/evaluate</t>
  </si>
  <si>
    <t>Operación encargada de evaluar el número de referencia coppel que posee el cliente.</t>
  </si>
  <si>
    <t>Rec Issued Device Administration</t>
  </si>
  <si>
    <t>RESMX000214</t>
  </si>
  <si>
    <t>mx-api-bc-rec-issued-device-administration</t>
  </si>
  <si>
    <t>Dom_CaptureCreditProfileV1</t>
  </si>
  <si>
    <t>APIMX000133</t>
  </si>
  <si>
    <t>/v1/creditProfile/capture</t>
  </si>
  <si>
    <t>Servicio de registra la bitacora de precalificacion del cliente coppel</t>
  </si>
  <si>
    <t>https://coppelmx.atlassian.net/wiki/x/LQAiOw</t>
  </si>
  <si>
    <t>RESMX000215</t>
  </si>
  <si>
    <t>Dom_RetrievePaymentTransactionProcedureV1</t>
  </si>
  <si>
    <t>/payments/paymentExecution</t>
  </si>
  <si>
    <t>/v1/paymentTransactionProcedure/retrieve</t>
  </si>
  <si>
    <t>Operación encargada de obtener el número de recibo de un pago coppel.</t>
  </si>
  <si>
    <t>Rec Legal Entity Directory</t>
  </si>
  <si>
    <t>mx-api-bc-rec-legal-entity-directory</t>
  </si>
  <si>
    <t>APIMX000134</t>
  </si>
  <si>
    <t>RESMX000216</t>
  </si>
  <si>
    <t>Dom_EvaluatePaymentExecutionTransactionV1</t>
  </si>
  <si>
    <t>/v1/paymentExecutionTransaction/evaluate</t>
  </si>
  <si>
    <t>Operación que se encarga de validar si la operación TEF puede ser reservada</t>
  </si>
  <si>
    <t>RESMX000217</t>
  </si>
  <si>
    <t>Dom_UpdatePaymentTransactionProcedureV1</t>
  </si>
  <si>
    <t>Rec Loan</t>
  </si>
  <si>
    <t>/v1/paymentTransactionProcedure/update</t>
  </si>
  <si>
    <t>Operación encargada de reversar el status de una transacción, a un determinado servicio de pago en específico, movimientos después del corte</t>
  </si>
  <si>
    <t>mx-api-bc-rec-loan</t>
  </si>
  <si>
    <t>APIMX000135</t>
  </si>
  <si>
    <t>RESMX000218</t>
  </si>
  <si>
    <t>Dom_InitiatePaymentExecutionV1</t>
  </si>
  <si>
    <t>/v1/paymentExecution/initiate</t>
  </si>
  <si>
    <t>Este servicio realiza el cobro o pago de cargos a tarjeta de crédito TDC.</t>
  </si>
  <si>
    <t>https://coppelmx.atlassian.net/wiki/x/FQAJOw</t>
  </si>
  <si>
    <t>RESMX000219</t>
  </si>
  <si>
    <t>Dom_InitiatePaymentExecutionProcedureV1</t>
  </si>
  <si>
    <t>Rec Location Data Management</t>
  </si>
  <si>
    <t>/v1/paymentExecutionProcedure/initiate</t>
  </si>
  <si>
    <t>Este servicio se encarga de realizar el pago de una tarjeta de crédito en BPC.</t>
  </si>
  <si>
    <t>mx-api-bc-rec-location-data-management</t>
  </si>
  <si>
    <t>https://coppelmx.atlassian.net/wiki/x/K4ADOw</t>
  </si>
  <si>
    <t>APIMX000136</t>
  </si>
  <si>
    <t>RESMX000220</t>
  </si>
  <si>
    <t>Dom_UpdateOrderConfirmationV1</t>
  </si>
  <si>
    <t>/payments/paymentOrder</t>
  </si>
  <si>
    <t>/v1/orderConfirmation/update</t>
  </si>
  <si>
    <t>Operación encargada de actualizar el estatus de la confirmación de pago del servicio.</t>
  </si>
  <si>
    <t>Rec Operations and Execution</t>
  </si>
  <si>
    <t>mx-api-bc-rec-operations-and-execution</t>
  </si>
  <si>
    <t>APIMX000137</t>
  </si>
  <si>
    <t>RESMX000221</t>
  </si>
  <si>
    <t>Dom_RetrievePaymentOrderProcedureV1</t>
  </si>
  <si>
    <t>/v1/paymentOrderProcedure/retrieve</t>
  </si>
  <si>
    <t>Operación encargada de obtener información de la Bitácora de confirmación del Edo Mex.</t>
  </si>
  <si>
    <t>RESMX000222</t>
  </si>
  <si>
    <t>Dom_UpdatePaymentOrderProcedureV1</t>
  </si>
  <si>
    <t>Rec Party Authentication</t>
  </si>
  <si>
    <t>/v1/paymentOrderProcedure/update</t>
  </si>
  <si>
    <t>Operación encargada de actualizar el estado de los movimientos generados en sucursal.</t>
  </si>
  <si>
    <t>mx-api-bc-rec-party-authentication</t>
  </si>
  <si>
    <t>APIMX000138</t>
  </si>
  <si>
    <t>RESMX000223</t>
  </si>
  <si>
    <t>Dom_ControlTransactionAssigmentV1</t>
  </si>
  <si>
    <t>/v1/transactionAssigment/control</t>
  </si>
  <si>
    <t>Operación encargada de actualizar el abono verificado.</t>
  </si>
  <si>
    <t>Rec Party Lifecycle Management</t>
  </si>
  <si>
    <t>RESMX000224</t>
  </si>
  <si>
    <t>Dom_ExecuteOrderConfirmationV1</t>
  </si>
  <si>
    <t>mx-api-bc-rec-party-lifecycle-management</t>
  </si>
  <si>
    <t>APIMX000139</t>
  </si>
  <si>
    <t>/v1/orderConfirmation/execute</t>
  </si>
  <si>
    <t>2.1.1</t>
  </si>
  <si>
    <t>Operación encargada de confirmar registro de un movimiento generado para Coppel.</t>
  </si>
  <si>
    <t>RESMX000225</t>
  </si>
  <si>
    <t>Dom_InitiatePaymentOrderProcedureV1</t>
  </si>
  <si>
    <t>Rec Party Reference Data Directory</t>
  </si>
  <si>
    <t>mx-api-bc-rec-party-reference-data-directory</t>
  </si>
  <si>
    <t>APIMX000140</t>
  </si>
  <si>
    <t>RESMX000226</t>
  </si>
  <si>
    <t>Dom_InitiatePaymentOrderFeesV1</t>
  </si>
  <si>
    <t>/v1/paymentOrderFees/initiate</t>
  </si>
  <si>
    <t>Este servicio realiza el cálculo de montos, así como sus fechas de pago, vencimiento, entre otras, de los movimientos que se realizan en caja, de acuerdo a la cuenta del cliente.</t>
  </si>
  <si>
    <t>RESMX000227</t>
  </si>
  <si>
    <t>Dom_RegisterExecutionInitiationV1</t>
  </si>
  <si>
    <t>/v1/executionInitiation/register</t>
  </si>
  <si>
    <t>Este servicio obtiene la información necesaria para insertar o actualizar el indicador del crédito en la tabla central.</t>
  </si>
  <si>
    <t>Rec Payment Execution</t>
  </si>
  <si>
    <t>mx-api-bc-rec-payment-execution</t>
  </si>
  <si>
    <t>APIMX000141</t>
  </si>
  <si>
    <t>RESMX000228</t>
  </si>
  <si>
    <t>Dom_InitiateWithdrawalsV1</t>
  </si>
  <si>
    <t>/v1/withdrawals/initiate</t>
  </si>
  <si>
    <t>API que actualiza los fondos de la cuenta del cliente al retirar efectivo de la tarjeta de crédito a través de un cajero automático o en alguna sucursal.</t>
  </si>
  <si>
    <t>https://coppelmx.atlassian.net/wiki/x/CYAGOw</t>
  </si>
  <si>
    <t>RESMX000229</t>
  </si>
  <si>
    <t>Dom_ExecutePaymentOrderFeesV1</t>
  </si>
  <si>
    <t>Rec Payment Order</t>
  </si>
  <si>
    <t>/v1/paymentOrderFees/execute</t>
  </si>
  <si>
    <t>mx-api-bc-rec-payment-order</t>
  </si>
  <si>
    <t>APIMX000142</t>
  </si>
  <si>
    <t>Esta Servicio permite realizar el cargo por concepto de retiro de efectivo y/o operaciones de cuentas y tarjetas.</t>
  </si>
  <si>
    <t>RESMX000230</t>
  </si>
  <si>
    <t>Dom_RetrieveThirdPartyPaymentsV1</t>
  </si>
  <si>
    <t>/clearingAndSettlement/paymentRailOperations</t>
  </si>
  <si>
    <t>/v1/thirdPartyPayments/retrieve</t>
  </si>
  <si>
    <t>Operación que obtiene la información necesaria para la generación de depósitos de cheques a cuentas interbancarias.</t>
  </si>
  <si>
    <t>Invalid business domain value "clearingAndSettlement", in the path "/clearingAndSettlement/paymentRailOperations".\nFor the service domain "paymentRailOperations" in the path "/clearingAndSettlement/paymentRailOperations" use the business domain "Payments".</t>
  </si>
  <si>
    <t>Rec Payment Rail Operations</t>
  </si>
  <si>
    <t>mx-api-bc-rec-payment-rail-operations</t>
  </si>
  <si>
    <t>APIMX000143</t>
  </si>
  <si>
    <t>RESMX000231</t>
  </si>
  <si>
    <t>Dom_InitiatePlatformOperationFacilityV1</t>
  </si>
  <si>
    <t>/iTManagement/platformOperations</t>
  </si>
  <si>
    <t>/v1/platformOperationFacility/initiate</t>
  </si>
  <si>
    <t>Operación encargada de generar un respaldo de las principales tablas de la Base de datos bdicred. sd_maecred, sd_maesdos, sd_pagocapit, sd_paginter, sd_detmora, sd_detcomi, sd_maecredanexo, sd_escrow, sd_amortiza_credito.</t>
  </si>
  <si>
    <t>RESMX000232</t>
  </si>
  <si>
    <t>Dom_UpdateStatementFacilityV1</t>
  </si>
  <si>
    <t>/accountManagement/positionKeeping</t>
  </si>
  <si>
    <t>/v1/statementFacility/update</t>
  </si>
  <si>
    <t>Servicio para generar una actualización a la solicitud pendiente relacionada con el envío de la consulta del estado de movimientos después del corte</t>
  </si>
  <si>
    <t>Rec Position Keeping</t>
  </si>
  <si>
    <t>mx-api-bc-rec-position-keeping</t>
  </si>
  <si>
    <t>APIMX000144</t>
  </si>
  <si>
    <t>RESMX000233</t>
  </si>
  <si>
    <t>Dom_EvaluateProductFacilityV1</t>
  </si>
  <si>
    <t>/v1/productFacility/evaluate</t>
  </si>
  <si>
    <t>Operación encargada de reversar el status de una transacción, a un determinado servicio de pago en específico</t>
  </si>
  <si>
    <t>RESMX000234</t>
  </si>
  <si>
    <t>Dom_RetrieveProductDirectoryEntryV1</t>
  </si>
  <si>
    <t>/productManagement/productDirectory</t>
  </si>
  <si>
    <t>/v1/productDirectoryEntry/retrieve</t>
  </si>
  <si>
    <t>API que permite consultar parámetros en multiples tablas paramétricas, los cuales se utilizan en seguimiento de solicitudes de crédito.</t>
  </si>
  <si>
    <t>Rec Product Directory</t>
  </si>
  <si>
    <t>mx-api-bc-rec-product-directory</t>
  </si>
  <si>
    <t>APIMX000145</t>
  </si>
  <si>
    <t>RESMX000235</t>
  </si>
  <si>
    <t>Dom_RetrieveInterestProductFeatureV1</t>
  </si>
  <si>
    <t>/v1/interestProductFeature/retrieve</t>
  </si>
  <si>
    <t>Api que consulta las caracteristicas de un producto (Intereses, impuestos, monto maximo)</t>
  </si>
  <si>
    <t>RESMX000236</t>
  </si>
  <si>
    <t>Dom_RetrieveLifeInsuranceV1</t>
  </si>
  <si>
    <t>This operation not contains description.</t>
  </si>
  <si>
    <t>Rec Reference Data</t>
  </si>
  <si>
    <t>mx-api-bc-rec-reference-data</t>
  </si>
  <si>
    <t>APIMX000146</t>
  </si>
  <si>
    <t>1.6.0</t>
  </si>
  <si>
    <t>RESMX000237</t>
  </si>
  <si>
    <t>Dom_RetrieveProductEligibilityV1</t>
  </si>
  <si>
    <t>/sales/productMatching</t>
  </si>
  <si>
    <t>/v1/productEligibility/retrieve</t>
  </si>
  <si>
    <t>Api que permite consultar si un cliente es elegible para ser migrado a la TDC Oro</t>
  </si>
  <si>
    <t>RESMX000238</t>
  </si>
  <si>
    <t>Dom_UpdateProductEligibilityV1</t>
  </si>
  <si>
    <t>Rec Remittances</t>
  </si>
  <si>
    <t>/v1/productEligibility/update</t>
  </si>
  <si>
    <t>Api que permite actualizar la informacion de un cliente que es elegible para ser migrado a la TDC Oro</t>
  </si>
  <si>
    <t>mx-api-bc-rec-remittances</t>
  </si>
  <si>
    <t>APIMX000147</t>
  </si>
  <si>
    <t>RESMX000239</t>
  </si>
  <si>
    <t>Dom_InitiateProductTypeSelectionV1</t>
  </si>
  <si>
    <t>/v1/productTypeSelection/initiate</t>
  </si>
  <si>
    <t>Api que permite guardar la informacion de un cliente y la propuesta del upgrade de producto</t>
  </si>
  <si>
    <t>Rec Sales and Service</t>
  </si>
  <si>
    <t>mx-api-bc-rec-sales-and-service</t>
  </si>
  <si>
    <t>APIMX000148</t>
  </si>
  <si>
    <t>RESMX000240</t>
  </si>
  <si>
    <t>Dom_UpdateProductTypeSelectionV1</t>
  </si>
  <si>
    <t>1.13.0</t>
  </si>
  <si>
    <t>/v1/productTypeSelection/update</t>
  </si>
  <si>
    <t>Api que permite actualizar la informacion de un cliente y la propuesta del upgrade de producto</t>
  </si>
  <si>
    <t>RESMX000241</t>
  </si>
  <si>
    <t>Rec Session Dialogue</t>
  </si>
  <si>
    <t>Dom_ControlProductTypeSelectionV1</t>
  </si>
  <si>
    <t>/v1/productTypeSelection/control</t>
  </si>
  <si>
    <t>mx-api-bc-rec-session-dialogue</t>
  </si>
  <si>
    <t>Api que permite eliminar la informacion de un cliente y la propuesta del upgrade de producto</t>
  </si>
  <si>
    <t>APIMX000149</t>
  </si>
  <si>
    <t>RESMX000242</t>
  </si>
  <si>
    <t>Dom_RetrieveProductTypeSelectionV1</t>
  </si>
  <si>
    <t>/v1/productTypeSelection/retrieve</t>
  </si>
  <si>
    <t>Api que permite consultar la informacion de un cliente y la propuesta del upgrade de producto</t>
  </si>
  <si>
    <t>RESMX000243</t>
  </si>
  <si>
    <t>Rec Systems Operations</t>
  </si>
  <si>
    <t>Dom_InitiateProductTypeSelectionDetailV1</t>
  </si>
  <si>
    <t>/v1/productTypeSelectionDetail/initiate</t>
  </si>
  <si>
    <t>mx-api-bc-rec-systems-operations</t>
  </si>
  <si>
    <t>Api que permite guardar la informacion de un cliente y la propuesta del upgrade de producto en el detalle</t>
  </si>
  <si>
    <t>APIMX000150</t>
  </si>
  <si>
    <t>RESMX000244</t>
  </si>
  <si>
    <t>Dom_UpdateProductTypeSelectionDetailV1</t>
  </si>
  <si>
    <t>/v1/productTypeSelectionDetail/update</t>
  </si>
  <si>
    <t>Api que permite actualizar la informacion de un cliente y la propuesta del upgrade de producto en el detalle</t>
  </si>
  <si>
    <t>Rec Transaction Engine</t>
  </si>
  <si>
    <t>RESMX000245</t>
  </si>
  <si>
    <t>Dom_RetrieveProductTypeSelectionDetailV1</t>
  </si>
  <si>
    <t>mx-api-bc-rec-transaction-engine</t>
  </si>
  <si>
    <t>APIMX000151</t>
  </si>
  <si>
    <t>/v1/productTypeSelectionDetail/retrieve</t>
  </si>
  <si>
    <t>Api que permite consultar la informacion de un cliente y la propuesta del detalle del upgrade de producto</t>
  </si>
  <si>
    <t>RESMX000246</t>
  </si>
  <si>
    <t>Dom_RetrieveDataParameterV1</t>
  </si>
  <si>
    <t>/v1/dataParameter/retrieve</t>
  </si>
  <si>
    <t>API que permite consultar el valor de un parámetro dado su código y/o su valor asociados a los parametros de productos preaprobados</t>
  </si>
  <si>
    <t>Rec Utility</t>
  </si>
  <si>
    <t>mx-api-bc-rec-utility</t>
  </si>
  <si>
    <t>RESMX000247</t>
  </si>
  <si>
    <t>Dom_ControlProductTypeSelectionDetailV1</t>
  </si>
  <si>
    <t>APIMX000152</t>
  </si>
  <si>
    <t>/v1/productTypeSelectionDetail/control</t>
  </si>
  <si>
    <t>Api que permite eliminar la informacion de un cliente y la propuesta del upgrade de producto en el detalle</t>
  </si>
  <si>
    <t>RESMX000248</t>
  </si>
  <si>
    <t>Dom_EvaluateRegulatoryComplianceAssessmentV1</t>
  </si>
  <si>
    <t>/regulationsAndCompliance/regulatoryCompliance</t>
  </si>
  <si>
    <t>/v1/regulatoryComplianceAssessment/evaluate</t>
  </si>
  <si>
    <t>Rec Cards</t>
  </si>
  <si>
    <t>Operación encargada de validar las cuentas de origen y destino, asegurando que la cuenta de origen esté activa antes de proceder.</t>
  </si>
  <si>
    <t>mx-api-bc-rec-cards</t>
  </si>
  <si>
    <t>APIMX000153</t>
  </si>
  <si>
    <t>1.14.3</t>
  </si>
  <si>
    <t>RESMX000249</t>
  </si>
  <si>
    <t>Dom_RetrieveRemittancesFacilityV1</t>
  </si>
  <si>
    <t>/clearingAndSettlement/remittances</t>
  </si>
  <si>
    <t>/v1/remittancesFacility/retrieve</t>
  </si>
  <si>
    <t>Operación encargada de obtener el número de confirmación asociado a una remesa.</t>
  </si>
  <si>
    <t>Invalid business domain value "clearingAndSettlement", in the path "/clearingAndSettlement/remittances".\nFor the service domain "remittances" in the path "/clearingAndSettlement/remittances" use the business domain "Payments".</t>
  </si>
  <si>
    <t>Empresa Net</t>
  </si>
  <si>
    <t>Rec Payment Execution Corporate</t>
  </si>
  <si>
    <t>RESMX000250</t>
  </si>
  <si>
    <t>Dom_RegisterSalesProductAgreementV1</t>
  </si>
  <si>
    <t>/customerManagement/salesProductAgreement</t>
  </si>
  <si>
    <t>/v1/salesProductAgreement/register</t>
  </si>
  <si>
    <t>mx-api-bc-rec-payment-execution-corp</t>
  </si>
  <si>
    <t>Permite registrar los intereses y tasas preferenciales para la nueva tarjeta de crédito</t>
  </si>
  <si>
    <t>RESMX000251</t>
  </si>
  <si>
    <t>Dom_InitiateFeesFacilityV1</t>
  </si>
  <si>
    <t>/v1/feesFacility/initiate</t>
  </si>
  <si>
    <t>Se obtiene la información necesaria para llevar a cabo los movimientos de cargo por concepto de comisiones e IVA asociado a las mismas.</t>
  </si>
  <si>
    <t>Rec Channel Specific</t>
  </si>
  <si>
    <t>RESMX000252</t>
  </si>
  <si>
    <t>Dom_ExecuteFeesFacilityV1</t>
  </si>
  <si>
    <t>mx-api-bc-rec-channel-specific</t>
  </si>
  <si>
    <t>/v1/feesFacility/execute</t>
  </si>
  <si>
    <t>APIMX000154</t>
  </si>
  <si>
    <t>Permite efectuar el cobro de las diferentes comisiones.</t>
  </si>
  <si>
    <t>RESMX000253</t>
  </si>
  <si>
    <t>Dom_RetrieveSavingsAccountBalanceV1</t>
  </si>
  <si>
    <t>/loansAndDeposits/savingsAccount</t>
  </si>
  <si>
    <t>/v1/savingsAccountBalance/retrieve</t>
  </si>
  <si>
    <t>Este servicio realiza la consulta de saldo de cuenta de ahorros</t>
  </si>
  <si>
    <t>Dom Payment Execution Corporate</t>
  </si>
  <si>
    <t>mx-api-bc-dom-payment-execution-corp</t>
  </si>
  <si>
    <t>RESMX000254</t>
  </si>
  <si>
    <t>Dom_InitiateTransactionReversalInstanceRecordV1</t>
  </si>
  <si>
    <t>1.2.2</t>
  </si>
  <si>
    <t>/servicing/servicingOrder</t>
  </si>
  <si>
    <t>/v1/transactionReversalInstanceRecord/initiate</t>
  </si>
  <si>
    <t>Este servicio realiza el reverso o devolución del saldo del cliente en una transacción de orden de pago cuando por algún motivo exista un fallo o el cliente solicite el reverso .</t>
  </si>
  <si>
    <t>https://coppelmx.atlassian.net/wiki/x/nADuOg</t>
  </si>
  <si>
    <t>RESMX000255</t>
  </si>
  <si>
    <t>Dom_InitiateCustomerContactSessionProcedureV1</t>
  </si>
  <si>
    <t>/crossChannel/sessionDialogue</t>
  </si>
  <si>
    <t>/v1/customerContactSessionProcedure/initiate</t>
  </si>
  <si>
    <t>Servicio que se encargara de iniciar el proceso de onboarding</t>
  </si>
  <si>
    <t>Rec Servicing</t>
  </si>
  <si>
    <t>https://coppelmx.atlassian.net/wiki/x/boBzQQ</t>
  </si>
  <si>
    <t>mx-api-bc-rec-servicing</t>
  </si>
  <si>
    <t>APIMX000155</t>
  </si>
  <si>
    <t>RESMX000256</t>
  </si>
  <si>
    <t>Dom_RetrieveCustomerContactSessionProcedureV1</t>
  </si>
  <si>
    <t>/v1/customerContactSessionProcedure/retrieve</t>
  </si>
  <si>
    <t>Servicio de Dominio encargado de verificar el estatus de la sesion actual en INCODE</t>
  </si>
  <si>
    <t>https://coppelmx.atlassian.net/wiki/x/VADpOg</t>
  </si>
  <si>
    <t>Pro Payment Execution Corporate</t>
  </si>
  <si>
    <t>RESMX000257</t>
  </si>
  <si>
    <t>mx-api-bc-pro-payment-execution-corp</t>
  </si>
  <si>
    <t>Dom_CaptureCustomerContactSessionProcedureV1</t>
  </si>
  <si>
    <t>/v1/customerContactSessionProcedure/capture</t>
  </si>
  <si>
    <t>Servicio de Dominio que se encarga de registrar el número telefónico y correo de un prospecto en INCODE</t>
  </si>
  <si>
    <t>Invalid Action Term "capture" for HTTP method "POST". For Action Term "capture" use "PUT,PATCH"</t>
  </si>
  <si>
    <t>https://coppelmx.atlassian.net/wiki/x/MYByQQ</t>
  </si>
  <si>
    <t>RESMX000258</t>
  </si>
  <si>
    <t>Dom_RetrieveHistoryV1</t>
  </si>
  <si>
    <t>/v1/history/retrieve</t>
  </si>
  <si>
    <t>Pro Security Advisory Corporate</t>
  </si>
  <si>
    <t>Servicio de Dominio encargado de validar la calidad de las imagenes cargadas de DNI de la persona</t>
  </si>
  <si>
    <t>https://coppelmx.atlassian.net/wiki/x/PwDlOg</t>
  </si>
  <si>
    <t>mx-api-bc-pro-security-advisory-corp</t>
  </si>
  <si>
    <t>APIMX000156</t>
  </si>
  <si>
    <t>RESMX000259</t>
  </si>
  <si>
    <t>Dom_InitiateAuthenticationAddressV1</t>
  </si>
  <si>
    <t>/v1/authenticationAddress/initiate</t>
  </si>
  <si>
    <t>Servicio de dominio que se encarga de autenticar la homologación de direcciones</t>
  </si>
  <si>
    <t>https://coppelmx.atlassian.net/wiki/x/U4D0Og</t>
  </si>
  <si>
    <t>Bus Cards</t>
  </si>
  <si>
    <t>RESMX000260</t>
  </si>
  <si>
    <t>Dom_InitiateCustomerContactSelfieProcedureV1</t>
  </si>
  <si>
    <t>mx-api-bc-bus-cards</t>
  </si>
  <si>
    <t>/v1/customerContactSelfieProcedure/initiate</t>
  </si>
  <si>
    <t>Servicio de dominio encargado de guardar las selfies del prospecto</t>
  </si>
  <si>
    <t>bus-cards-api-dev</t>
  </si>
  <si>
    <t>RESMX000261</t>
  </si>
  <si>
    <t>Dom_InitiateCustomerContactVideoSelfieProcedureV1</t>
  </si>
  <si>
    <t>/v1/customerContactVideoSelfieProcedure/initiate</t>
  </si>
  <si>
    <t>Servicio de dominio que se encarga de iniciar el proceso de carga de video(fe de vida) con las preguntas generadas por la aplicacion</t>
  </si>
  <si>
    <t>Bus Channel Specific</t>
  </si>
  <si>
    <t>RESMX000262</t>
  </si>
  <si>
    <t>Dom_RetrieveCustomerContactVideoSelfieProcedureV1</t>
  </si>
  <si>
    <t>/v1/customerContactVideoSelfieProcedure/retrieve</t>
  </si>
  <si>
    <t>mx-api-bc-bus-channel-specific</t>
  </si>
  <si>
    <t>Servicio de dominio encargado de generar el URL de Video Selfie</t>
  </si>
  <si>
    <t>APIMX000157</t>
  </si>
  <si>
    <t>RESMX000263</t>
  </si>
  <si>
    <t>Dom_RetrieveWorkstepV1</t>
  </si>
  <si>
    <t>/v1/workstep/{sessionDialogueIdentification}/retrieve</t>
  </si>
  <si>
    <t>Servicio de dominio encargado de Consultar step actual del cliente en el BPM</t>
  </si>
  <si>
    <t>Pro Transaction Engine Corporate</t>
  </si>
  <si>
    <t>RESMX000264</t>
  </si>
  <si>
    <t>Dom_InitiateProcessEventOnBoardingV1</t>
  </si>
  <si>
    <t>/iTManagement/systemsOperations</t>
  </si>
  <si>
    <t>mx-api-bc-pro-transaction-engine-corp</t>
  </si>
  <si>
    <t>/v1/processEventOnBoarding/initiate</t>
  </si>
  <si>
    <t>Operación de webMethods encargado de iniciar el proceso de Onboarding Personas y Tarjeta de Crédito y que retorna el número de instancia generado en webMethods</t>
  </si>
  <si>
    <t>RESMX000265</t>
  </si>
  <si>
    <t>Dom_ExecuteProcessEventV1</t>
  </si>
  <si>
    <t>/v1/processEvent/execute</t>
  </si>
  <si>
    <t>Operación de webMethods encargado de actualizar la metadata de una tarea y completar dicha tarea en caso de ser necesario.</t>
  </si>
  <si>
    <t>Bus Servicing</t>
  </si>
  <si>
    <t>mx-api-bc-bus-servicing</t>
  </si>
  <si>
    <t>APIMX000158</t>
  </si>
  <si>
    <t>RESMX000266</t>
  </si>
  <si>
    <t>Dom_RetrieveProcessEventV1</t>
  </si>
  <si>
    <t>/v1/processEvent/retrieve</t>
  </si>
  <si>
    <t>Servicio de webMethods que encargado de buscar toda la información de la tarea y metadata de la misma, asociada a una instancia.</t>
  </si>
  <si>
    <t>bus-servicing-api-dev</t>
  </si>
  <si>
    <t>RESMX000267</t>
  </si>
  <si>
    <t>Dom_InitiateTransactionScheduleFacilityV1</t>
  </si>
  <si>
    <t>/accountManagement/transactionEngine</t>
  </si>
  <si>
    <t>/v1/transactionScheduleFacility/initiate</t>
  </si>
  <si>
    <t>Operación encargada de realizar la validación de un número de folio.</t>
  </si>
  <si>
    <t>Dom Security Advisory Corporate</t>
  </si>
  <si>
    <t>mx-api-bc-dom-security-advisory-corp</t>
  </si>
  <si>
    <t>RESMX000268</t>
  </si>
  <si>
    <t>Dom_RegisterTransactionScheduleFacilityV1</t>
  </si>
  <si>
    <t>/v1/transactionScheduleFacility/register</t>
  </si>
  <si>
    <t>Operación encargada de registrar una transacción de venta un seguro de Club Proteccion</t>
  </si>
  <si>
    <t>RESMX000269</t>
  </si>
  <si>
    <t>Dom_RetrieveSMSParamProductV1</t>
  </si>
  <si>
    <t>/utility/utility</t>
  </si>
  <si>
    <t>/v1/SMSParamProduct/{productInstanceReference}/retrieve</t>
  </si>
  <si>
    <t>Consultar el valor de un parámetro dado su código.</t>
  </si>
  <si>
    <t>Bus Cross Product Operations</t>
  </si>
  <si>
    <t>mx-api-bc-bus-cross-product-operations</t>
  </si>
  <si>
    <t>APIMX000159</t>
  </si>
  <si>
    <t>RESMX000270</t>
  </si>
  <si>
    <t>Dom_EvaluateSMSParamProductV1</t>
  </si>
  <si>
    <t>/v1/SMSParamProduct/evaluate</t>
  </si>
  <si>
    <t>Permite evaluar si la configuración de sms esta activada para el cliente</t>
  </si>
  <si>
    <t>RESMX000271</t>
  </si>
  <si>
    <t>Dom_RetrieveMovementsRecordV1</t>
  </si>
  <si>
    <t>/v1/movementsRecord/retrieve</t>
  </si>
  <si>
    <t>Operación encargada de contabilizar el total de movimientos.</t>
  </si>
  <si>
    <t>Dom Transaction Engine Corporate</t>
  </si>
  <si>
    <t>mx-api-bc-dom-transaction-engine-corp</t>
  </si>
  <si>
    <t>RESMX000272</t>
  </si>
  <si>
    <t>Dom_RetrieveConfigurationParametersV1</t>
  </si>
  <si>
    <t>/v1/configurationParameters/retrieve</t>
  </si>
  <si>
    <t>Operación encargada de obtener los parámetros de configuración.</t>
  </si>
  <si>
    <t>RESMX000273</t>
  </si>
  <si>
    <t>Dom_RetrieveBRCommisionIVAParamsV1</t>
  </si>
  <si>
    <t>/v1/bRCommisionIVAParams/{companyReference}/retrieve</t>
  </si>
  <si>
    <t>API que permite obtener los parámetros necesarios para la regla de negocio que permite calcular el importe de comisión e iva de disposición de efectivo de una tarjeta de crédito.</t>
  </si>
  <si>
    <t>Rec Security Advisory Corporate</t>
  </si>
  <si>
    <t>mx-api-bc-rec-security-advisory-corp</t>
  </si>
  <si>
    <t>APIMX000160</t>
  </si>
  <si>
    <t>RESMX000274</t>
  </si>
  <si>
    <t>Dom_RetrieveBRInterestRateIVAParamsV1</t>
  </si>
  <si>
    <t>/v1/bRInterestRateIVAParams/retrieve</t>
  </si>
  <si>
    <t>API que permite obtener los parámetros necesarios para la regla de negocio que permite calcular el IVA Interés Real (Canal OfiWeb).</t>
  </si>
  <si>
    <t>RESMX000275</t>
  </si>
  <si>
    <t>/v1/dataParameter/{companyReference}/retrieve</t>
  </si>
  <si>
    <t>API que permite consultar el valor de un parámetro dado su código en la estructura si_param</t>
  </si>
  <si>
    <t>Rec Cross Product Operations</t>
  </si>
  <si>
    <t>mx-api-bc-rec-cross-product-operations</t>
  </si>
  <si>
    <t>RESMX000276</t>
  </si>
  <si>
    <t>Dom_RetrieveDataParameterRetailV1</t>
  </si>
  <si>
    <t>/v1/dataParameterRetail/retrieve</t>
  </si>
  <si>
    <t>API que permite consultar el valor de un parámetro dado su código en la estructura ss_param</t>
  </si>
  <si>
    <t>https://coppelmx.atlassian.net/wiki/x/AwC0Og</t>
  </si>
  <si>
    <t>RESMX000277</t>
  </si>
  <si>
    <t>Pro_CaptureAccountReconciliationProcedureV1</t>
  </si>
  <si>
    <t>/system/accountManagement/accountReconciliation</t>
  </si>
  <si>
    <t>Bus Customer Management</t>
  </si>
  <si>
    <t>mx-api-bc-bus-customer-management</t>
  </si>
  <si>
    <t>APIMX000161</t>
  </si>
  <si>
    <t>1.21.0</t>
  </si>
  <si>
    <t>bus-customer-management-api-dev</t>
  </si>
  <si>
    <t>RESMX000278</t>
  </si>
  <si>
    <t>Pro_RetrieveBranchLocationV1</t>
  </si>
  <si>
    <t>/system/channelSpecific/branchLocationOperations</t>
  </si>
  <si>
    <t>Service Domain</t>
  </si>
  <si>
    <t>Abreviatura</t>
  </si>
  <si>
    <t>Account Reconciliation</t>
  </si>
  <si>
    <t>Acct Recon</t>
  </si>
  <si>
    <t>Account Recovery</t>
  </si>
  <si>
    <t>Acct Recovery</t>
  </si>
  <si>
    <t>Words not abbreviated due to lack of recognized abbreviations: Recovery.</t>
  </si>
  <si>
    <t>Accounts Receivable</t>
  </si>
  <si>
    <t>Accts AR</t>
  </si>
  <si>
    <t>ACH Operations</t>
  </si>
  <si>
    <t>ACH Ops</t>
  </si>
  <si>
    <t>Advanced Voice Services Management</t>
  </si>
  <si>
    <t>Adv Voice Svcs Mgmt</t>
  </si>
  <si>
    <t>Words not abbreviated due to lack of recognized abbreviations: Voice.</t>
  </si>
  <si>
    <t>Advanced Voice Services Operations</t>
  </si>
  <si>
    <t>Adv Voice Svcs Ops</t>
  </si>
  <si>
    <t>Advertising</t>
  </si>
  <si>
    <t>Single-word domain; not abbreviated.</t>
  </si>
  <si>
    <t>Archive Services</t>
  </si>
  <si>
    <t>Archive Svcs</t>
  </si>
  <si>
    <t>Words not abbreviated due to lack of recognized abbreviations: Archive.</t>
  </si>
  <si>
    <t>Rec Transaction Engine Corporate</t>
  </si>
  <si>
    <t>Asset And Liability Management</t>
  </si>
  <si>
    <t>Asset Liab Mgmt</t>
  </si>
  <si>
    <t>Words not abbreviated due to lack of recognized abbreviations: Asset.</t>
  </si>
  <si>
    <t>Asset Securitization</t>
  </si>
  <si>
    <t>No recognized abbreviations; kept original words.</t>
  </si>
  <si>
    <t>ATM Network Operations</t>
  </si>
  <si>
    <t>RESMX000279</t>
  </si>
  <si>
    <t>ATM Ntwk Ops</t>
  </si>
  <si>
    <t>Pro_CreateTokenAssignmentV1</t>
  </si>
  <si>
    <t>Bank Drafts</t>
  </si>
  <si>
    <t>Bank Guarantee</t>
  </si>
  <si>
    <t>Bank Guar</t>
  </si>
  <si>
    <t>Words not abbreviated due to lack of recognized abbreviations: Bank.</t>
  </si>
  <si>
    <t>Branch Currency Distribution</t>
  </si>
  <si>
    <t>Branch Currency Distr</t>
  </si>
  <si>
    <t>/system/payments/cardeCommerceGateway</t>
  </si>
  <si>
    <t>Words not abbreviated due to lack of recognized abbreviations: Branch, Currency.</t>
  </si>
  <si>
    <t>mx-api-bc-rec-transaction-engine-corp</t>
  </si>
  <si>
    <t>Branch Currency Management</t>
  </si>
  <si>
    <t>Branch Currency Mgmt</t>
  </si>
  <si>
    <t>Branch Location Management</t>
  </si>
  <si>
    <t>Branch Location Mgmt</t>
  </si>
  <si>
    <t>Words not abbreviated due to lack of recognized abbreviations: Branch, Location.</t>
  </si>
  <si>
    <t>https://coppelmx.atlassian.net/wiki/x/A4CvOg</t>
  </si>
  <si>
    <t>Branch Location Operations</t>
  </si>
  <si>
    <t>Branch Location Ops</t>
  </si>
  <si>
    <t>Brand Management</t>
  </si>
  <si>
    <t>Brand Mgmt</t>
  </si>
  <si>
    <t>Words not abbreviated due to lack of recognized abbreviations: Brand.</t>
  </si>
  <si>
    <t>Brokered Product</t>
  </si>
  <si>
    <t>Brokered Prod</t>
  </si>
  <si>
    <t>Words not abbreviated due to lack of recognized abbreviations: Brokered.</t>
  </si>
  <si>
    <t>Business Development</t>
  </si>
  <si>
    <t>Bus Dev</t>
  </si>
  <si>
    <t>Business Unit Management</t>
  </si>
  <si>
    <t>Bus Unit Mgmt</t>
  </si>
  <si>
    <t>Words not abbreviated due to lack of recognized abbreviations: Unit.</t>
  </si>
  <si>
    <t>Card Authorization</t>
  </si>
  <si>
    <t>Card Case</t>
  </si>
  <si>
    <t>Card Clearing</t>
  </si>
  <si>
    <t>Card Collections</t>
  </si>
  <si>
    <t>Card eCommerce Gateway</t>
  </si>
  <si>
    <t>Card Financial Settlement</t>
  </si>
  <si>
    <t>Card Fin Settlement</t>
  </si>
  <si>
    <t>Words not abbreviated due to lack of recognized abbreviations: Card, Settlement.</t>
  </si>
  <si>
    <t>Card Network Participant Facility</t>
  </si>
  <si>
    <t>Card Ntwk Participant Facility</t>
  </si>
  <si>
    <t>Words not abbreviated due to lack of recognized abbreviations: Card, Participant, Facility.</t>
  </si>
  <si>
    <t>Card Terminal Administration</t>
  </si>
  <si>
    <t>Card Terminal Admin</t>
  </si>
  <si>
    <t>Words not abbreviated due to lack of recognized abbreviations: Card, Terminal.</t>
  </si>
  <si>
    <t>RESMX000280</t>
  </si>
  <si>
    <t>Card Terminal Operation</t>
  </si>
  <si>
    <t>Pro_RetrieveDepositsAndWithdrawalsV1</t>
  </si>
  <si>
    <t>Card Terminal Op</t>
  </si>
  <si>
    <t>Card Transaction Capture</t>
  </si>
  <si>
    <t>Card Transaction Switch</t>
  </si>
  <si>
    <t>/system/tradeBanking/cashManagementAndAccountServices</t>
  </si>
  <si>
    <t>Case Root Cause Analysis</t>
  </si>
  <si>
    <t>Case Root Cause Anal</t>
  </si>
  <si>
    <t>Words not abbreviated due to lack of recognized abbreviations: Case, Root, Cause.</t>
  </si>
  <si>
    <t>/v1/depositsAndWithdrawals/retrieve</t>
  </si>
  <si>
    <t>Bus Operational Services</t>
  </si>
  <si>
    <t>Cash Concentration</t>
  </si>
  <si>
    <t>Servicio que verifica el retiro de efectivo de una cuenta de captación.</t>
  </si>
  <si>
    <t>Cash Conc</t>
  </si>
  <si>
    <t>mx-api-bc-bus-operational-services</t>
  </si>
  <si>
    <t>Words not abbreviated due to lack of recognized abbreviations: Cash.</t>
  </si>
  <si>
    <t>Cash Management And Account Services</t>
  </si>
  <si>
    <t>APIMX000162</t>
  </si>
  <si>
    <t>Cash Mgmt Acct Svcs</t>
  </si>
  <si>
    <t>Central Cash Handling</t>
  </si>
  <si>
    <t>Channel Activity Analysis</t>
  </si>
  <si>
    <t>Channel Activity Anal</t>
  </si>
  <si>
    <t>Words not abbreviated due to lack of recognized abbreviations: Channel, Activity.</t>
  </si>
  <si>
    <t>Channel Activity History</t>
  </si>
  <si>
    <t>Channel Activity Hist</t>
  </si>
  <si>
    <t>Cheque Lock Box</t>
  </si>
  <si>
    <t>Cheque Processing</t>
  </si>
  <si>
    <t>Collateral Allocation Management</t>
  </si>
  <si>
    <t>Collateral Allocation Mgmt</t>
  </si>
  <si>
    <t>Words not abbreviated due to lack of recognized abbreviations: Collateral, Allocation.</t>
  </si>
  <si>
    <t>Collections</t>
  </si>
  <si>
    <t>Commission Agreement</t>
  </si>
  <si>
    <t>Commission Agmt</t>
  </si>
  <si>
    <t>Words not abbreviated due to lack of recognized abbreviations: Commission.</t>
  </si>
  <si>
    <t>Commissions</t>
  </si>
  <si>
    <t>Competitor Analysis</t>
  </si>
  <si>
    <t>Competitor Anal</t>
  </si>
  <si>
    <t>Words not abbreviated due to lack of recognized abbreviations: Competitor.</t>
  </si>
  <si>
    <t>Compliance Reporting</t>
  </si>
  <si>
    <t>RESMX000281</t>
  </si>
  <si>
    <t>Pro_EvaluateFeesFacilityV1</t>
  </si>
  <si>
    <t>Consumer Advisory Services</t>
  </si>
  <si>
    <t>Consumer Advisory Svcs</t>
  </si>
  <si>
    <t>Words not abbreviated due to lack of recognized abbreviations: Consumer, Advisory.</t>
  </si>
  <si>
    <t>Consumer Investments</t>
  </si>
  <si>
    <t>Consumer Loan</t>
  </si>
  <si>
    <t>/system/payments/chequeProcessing</t>
  </si>
  <si>
    <t>Contact Center Management</t>
  </si>
  <si>
    <t>Contact Ctr Mgmt</t>
  </si>
  <si>
    <t>/v1/feesFacility/evaluate</t>
  </si>
  <si>
    <t>Words not abbreviated due to lack of recognized abbreviations: Contact.</t>
  </si>
  <si>
    <t>Contact Center Operations</t>
  </si>
  <si>
    <t>Contact Ctr Ops</t>
  </si>
  <si>
    <t>Servicio que realiza la consulta de los cheques de un cliente y lleva a cabo el cálculo de las comisiones correspondientes.</t>
  </si>
  <si>
    <t>Contact Handler</t>
  </si>
  <si>
    <t>Contact Routing</t>
  </si>
  <si>
    <t>Contractor and Supplier Agreement</t>
  </si>
  <si>
    <t>Contractor Supplier Agmt</t>
  </si>
  <si>
    <t>Rec Customer Management</t>
  </si>
  <si>
    <t>Words not abbreviated due to lack of recognized abbreviations: Contractor, Supplier.</t>
  </si>
  <si>
    <t>Corporate Action</t>
  </si>
  <si>
    <t>Corporate Current Account</t>
  </si>
  <si>
    <t>Corporate Current Acct</t>
  </si>
  <si>
    <t>Words not abbreviated due to lack of recognized abbreviations: Corporate, Current.</t>
  </si>
  <si>
    <t>Corporate Finance</t>
  </si>
  <si>
    <t>Corporate Fin</t>
  </si>
  <si>
    <t>Words not abbreviated due to lack of recognized abbreviations: Corporate.</t>
  </si>
  <si>
    <t>Corporate Lease</t>
  </si>
  <si>
    <t>mx-api-bc-rec-customer-management</t>
  </si>
  <si>
    <t>APIMX000163</t>
  </si>
  <si>
    <t>Corporate Loan</t>
  </si>
  <si>
    <t>Corporate Payroll Services</t>
  </si>
  <si>
    <t>Corporate Payroll Svcs</t>
  </si>
  <si>
    <t>Words not abbreviated due to lack of recognized abbreviations: Corporate, Payroll.</t>
  </si>
  <si>
    <t>Corporate Tax Advisory</t>
  </si>
  <si>
    <t>Corporate Treasury</t>
  </si>
  <si>
    <t>RESMX000282</t>
  </si>
  <si>
    <t>Pro_InitiateCorporateCurrentAccountFacilityV1</t>
  </si>
  <si>
    <t>Corporate Trust Services</t>
  </si>
  <si>
    <t>Corporate Trust Svcs</t>
  </si>
  <si>
    <t>Words not abbreviated due to lack of recognized abbreviations: Corporate, Trust.</t>
  </si>
  <si>
    <t>Correspondence</t>
  </si>
  <si>
    <t>/system/loansAndDeposits/corporateCurrentAccount</t>
  </si>
  <si>
    <t>Correspondent Bank Directory</t>
  </si>
  <si>
    <t>Correspondent Bank Operations</t>
  </si>
  <si>
    <t>Correspondent Bank Ops</t>
  </si>
  <si>
    <t>Words not abbreviated due to lack of recognized abbreviations: Correspondent, Bank.</t>
  </si>
  <si>
    <t>Correspondent Bank Relationship Management</t>
  </si>
  <si>
    <t>corresp bank rel mgmt</t>
  </si>
  <si>
    <t>Words not abbreviated due to lack of recognized abbreviations: Correspondent, Bank, Relationship.</t>
  </si>
  <si>
    <t>Counterparty Administration</t>
  </si>
  <si>
    <t>Counterparty Admin</t>
  </si>
  <si>
    <t>Words not abbreviated due to lack of recognized abbreviations: Counterparty.</t>
  </si>
  <si>
    <t>Credit Card</t>
  </si>
  <si>
    <t>Credit Card Position Keeping</t>
  </si>
  <si>
    <t>Credit Card Pos Keeping</t>
  </si>
  <si>
    <t>Words not abbreviated due to lack of recognized abbreviations: Credit, Card, Keeping.</t>
  </si>
  <si>
    <t>Credit Facility</t>
  </si>
  <si>
    <t>Credit Management</t>
  </si>
  <si>
    <t>Credit Mgmt</t>
  </si>
  <si>
    <t>Words not abbreviated due to lack of recognized abbreviations: Credit.</t>
  </si>
  <si>
    <t>Credit Risk Models</t>
  </si>
  <si>
    <t>Credit Risk Operations</t>
  </si>
  <si>
    <t>Credit Risk Ops</t>
  </si>
  <si>
    <t>Words not abbreviated due to lack of recognized abbreviations: Credit, Risk.</t>
  </si>
  <si>
    <t>Currency Exchange</t>
  </si>
  <si>
    <t>Current Account</t>
  </si>
  <si>
    <t>Current Acct</t>
  </si>
  <si>
    <t>Words not abbreviated due to lack of recognized abbreviations: Current.</t>
  </si>
  <si>
    <t>Custody Administration</t>
  </si>
  <si>
    <t>Custody Admin</t>
  </si>
  <si>
    <t>RESMX000283</t>
  </si>
  <si>
    <t>Words not abbreviated due to lack of recognized abbreviations: Custody.</t>
  </si>
  <si>
    <t>Pro_RegisterOutboundV1</t>
  </si>
  <si>
    <t>Customer Access Entitlement</t>
  </si>
  <si>
    <t>Cust Access Entitlement</t>
  </si>
  <si>
    <t>Words not abbreviated due to lack of recognized abbreviations: Access, Entitlement.</t>
  </si>
  <si>
    <t>Customer Agreement</t>
  </si>
  <si>
    <t>Cust Agmt</t>
  </si>
  <si>
    <t>Customer Behavior Insights</t>
  </si>
  <si>
    <t>/system/documentManagementAndArchive/correspondence</t>
  </si>
  <si>
    <t>Cust Behavior Insights</t>
  </si>
  <si>
    <t>Words not abbreviated due to lack of recognized abbreviations: Behavior, Insights.</t>
  </si>
  <si>
    <t>Customer Behavior Models</t>
  </si>
  <si>
    <t>Cust Behavior Models</t>
  </si>
  <si>
    <t>Words not abbreviated due to lack of recognized abbreviations: Behavior, Models.</t>
  </si>
  <si>
    <t>Permite registrar un evento para un envío de sms o correo mediante la configuración de una plantilla.</t>
  </si>
  <si>
    <t>Customer Billing</t>
  </si>
  <si>
    <t>Cust Billing</t>
  </si>
  <si>
    <t>Rec Operational Services</t>
  </si>
  <si>
    <t>Words not abbreviated due to lack of recognized abbreviations: Billing.</t>
  </si>
  <si>
    <t>https://coppelmx.atlassian.net/wiki/x/LIChOg</t>
  </si>
  <si>
    <t>Customer Campaign Design</t>
  </si>
  <si>
    <t>Cust Campaign Dsgn</t>
  </si>
  <si>
    <t>Words not abbreviated due to lack of recognized abbreviations: Campaign.</t>
  </si>
  <si>
    <t>Customer Campaign Execution</t>
  </si>
  <si>
    <t>Cust Campaign Exec</t>
  </si>
  <si>
    <t>Customer Campaign Management</t>
  </si>
  <si>
    <t>Cust Campaign Mgmt</t>
  </si>
  <si>
    <t>Customer Case</t>
  </si>
  <si>
    <t>Cust Case</t>
  </si>
  <si>
    <t>Words not abbreviated due to lack of recognized abbreviations: Case.</t>
  </si>
  <si>
    <t>Customer Case Management</t>
  </si>
  <si>
    <t>Cust Case Mgmt</t>
  </si>
  <si>
    <t>Customer Credit Rating</t>
  </si>
  <si>
    <t>mx-api-bc-rec-operational-services</t>
  </si>
  <si>
    <t>Cust Credit Rating</t>
  </si>
  <si>
    <t>Words not abbreviated due to lack of recognized abbreviations: Credit, Rating.</t>
  </si>
  <si>
    <t>Customer Event History</t>
  </si>
  <si>
    <t>APIMX000164</t>
  </si>
  <si>
    <t>Cust Event Hist</t>
  </si>
  <si>
    <t>Words not abbreviated due to lack of recognized abbreviations: Event.</t>
  </si>
  <si>
    <t>Customer Offer</t>
  </si>
  <si>
    <t>Cust Offer</t>
  </si>
  <si>
    <t>Words not abbreviated due to lack of recognized abbreviations: Offer.</t>
  </si>
  <si>
    <t>Customer Portfolio</t>
  </si>
  <si>
    <t>Cust Portfolio</t>
  </si>
  <si>
    <t>Words not abbreviated due to lack of recognized abbreviations: Portfolio.</t>
  </si>
  <si>
    <t>Customer Position</t>
  </si>
  <si>
    <t>Cust Pos</t>
  </si>
  <si>
    <t>Customer Product and Service Directory</t>
  </si>
  <si>
    <t>Cust Prod Svc Directory</t>
  </si>
  <si>
    <t>RESMX000284</t>
  </si>
  <si>
    <t>Words not abbreviated due to lack of recognized abbreviations: Directory.</t>
  </si>
  <si>
    <t>Pro_RetrieveCustomerCreditRatingV1</t>
  </si>
  <si>
    <t>Customer Product And Service Eligibility</t>
  </si>
  <si>
    <t>Cust Prod Svc Eligibility</t>
  </si>
  <si>
    <t>Words not abbreviated due to lack of recognized abbreviations: Eligibility.</t>
  </si>
  <si>
    <t>Customer Proposition</t>
  </si>
  <si>
    <t>Cust Proposition</t>
  </si>
  <si>
    <t>Words not abbreviated due to lack of recognized abbreviations: Proposition.</t>
  </si>
  <si>
    <t>Customer Relationship Management</t>
  </si>
  <si>
    <t>Cust Rel Mgmt</t>
  </si>
  <si>
    <t>Words not abbreviated due to lack of recognized abbreviations: Relationship.</t>
  </si>
  <si>
    <t>/system/accountManagement/counterpartyRisk</t>
  </si>
  <si>
    <t>Customer Surveys</t>
  </si>
  <si>
    <t>Cust Surveys</t>
  </si>
  <si>
    <t>Words not abbreviated due to lack of recognized abbreviations: Surveys.</t>
  </si>
  <si>
    <t>Customer Tax Handling</t>
  </si>
  <si>
    <t>Cust Tax Handling</t>
  </si>
  <si>
    <t>Words not abbreviated due to lack of recognized abbreviations: Handling.</t>
  </si>
  <si>
    <t>Customer Workbench</t>
  </si>
  <si>
    <t>Cust Workbench</t>
  </si>
  <si>
    <t>Words not abbreviated due to lack of recognized abbreviations: Workbench.</t>
  </si>
  <si>
    <t>https://coppelmx.atlassian.net/wiki/x/8IFFOw</t>
  </si>
  <si>
    <t>Dealer Desk</t>
  </si>
  <si>
    <t>Delinquent Account Handling</t>
  </si>
  <si>
    <t>Delinquent Acct Handling</t>
  </si>
  <si>
    <t>Words not abbreviated due to lack of recognized abbreviations: Delinquent, Handling.</t>
  </si>
  <si>
    <t>Direct Debit</t>
  </si>
  <si>
    <t>Direct Debit Mandate</t>
  </si>
  <si>
    <t>Direct Debits Service</t>
  </si>
  <si>
    <t>Direct Debits Svc</t>
  </si>
  <si>
    <t>Words not abbreviated due to lack of recognized abbreviations: Direct, Debits.</t>
  </si>
  <si>
    <t>Disbursement</t>
  </si>
  <si>
    <t>Document Directory</t>
  </si>
  <si>
    <t>Document Services</t>
  </si>
  <si>
    <t>Document Svcs</t>
  </si>
  <si>
    <t>Words not abbreviated due to lack of recognized abbreviations: Document.</t>
  </si>
  <si>
    <t>eBranch Management</t>
  </si>
  <si>
    <t>eBranch Mgmt</t>
  </si>
  <si>
    <t>eBranch Operations</t>
  </si>
  <si>
    <t>eBranch Ops</t>
  </si>
  <si>
    <t>ECM And DCM</t>
  </si>
  <si>
    <t>ECM DCM</t>
  </si>
  <si>
    <t>Enterprise Architecture</t>
  </si>
  <si>
    <t>RESMX000285</t>
  </si>
  <si>
    <t>Pro_EvaluateCustomerCreditRatingV1</t>
  </si>
  <si>
    <t>eTrading Workbench</t>
  </si>
  <si>
    <t>Factoring</t>
  </si>
  <si>
    <t>Fiduciary Agreement</t>
  </si>
  <si>
    <t>Fiduciary Agmt</t>
  </si>
  <si>
    <t>Words not abbreviated due to lack of recognized abbreviations: Fiduciary.</t>
  </si>
  <si>
    <t>Financial Accounting</t>
  </si>
  <si>
    <t>Fin Accounting</t>
  </si>
  <si>
    <t>Words not abbreviated due to lack of recognized abbreviations: Accounting.</t>
  </si>
  <si>
    <t>Financial Gateway</t>
  </si>
  <si>
    <t>Fin Gateway</t>
  </si>
  <si>
    <t>https://coppelmx.atlassian.net/wiki/x/IwB0Og</t>
  </si>
  <si>
    <t>Words not abbreviated due to lack of recognized abbreviations: Gateway.</t>
  </si>
  <si>
    <t>Bus Payments</t>
  </si>
  <si>
    <t>Financial Instrument Reference Data Management</t>
  </si>
  <si>
    <t>Fin Instr Ref Data Mgmt</t>
  </si>
  <si>
    <t>Words not abbreviated due to lack of recognized abbreviations: Data.</t>
  </si>
  <si>
    <t>Financial Instrument Valuation</t>
  </si>
  <si>
    <t>Fin Instr Valuation</t>
  </si>
  <si>
    <t>Words not abbreviated due to lack of recognized abbreviations: Valuation.</t>
  </si>
  <si>
    <t>Financial Market Analysis</t>
  </si>
  <si>
    <t>Fin Mrkt Anal</t>
  </si>
  <si>
    <t>Financial Market Research</t>
  </si>
  <si>
    <t>Fin Mrkt Rsrch</t>
  </si>
  <si>
    <t>Financial Statement Assessment</t>
  </si>
  <si>
    <t>Fin Statement Assessment</t>
  </si>
  <si>
    <t>Words not abbreviated due to lack of recognized abbreviations: Statement, Assessment.</t>
  </si>
  <si>
    <t>Fraud Diagnosis</t>
  </si>
  <si>
    <t>Fraud Evaluation</t>
  </si>
  <si>
    <t>Fraud Model</t>
  </si>
  <si>
    <t>mx-api-bc-bus-payments</t>
  </si>
  <si>
    <t>Fraud Resolution</t>
  </si>
  <si>
    <t>APIMX000165</t>
  </si>
  <si>
    <t>Guideline Compliance</t>
  </si>
  <si>
    <t>Hedge Fund Administration</t>
  </si>
  <si>
    <t>RESMX000286</t>
  </si>
  <si>
    <t>Hedge Fund Admin</t>
  </si>
  <si>
    <t>Pro_RetrieveReasonsRejectionV1</t>
  </si>
  <si>
    <t>Words not abbreviated due to lack of recognized abbreviations: Hedge, Fund.</t>
  </si>
  <si>
    <t>Information Provider Operation</t>
  </si>
  <si>
    <t>Info Provider Op</t>
  </si>
  <si>
    <t>Words not abbreviated due to lack of recognized abbreviations: Provider.</t>
  </si>
  <si>
    <t>Intellectual Property Portfolio</t>
  </si>
  <si>
    <t>Interactive Help</t>
  </si>
  <si>
    <t>Interbank Relationship Management</t>
  </si>
  <si>
    <t>Interbank rel Mgmt</t>
  </si>
  <si>
    <t>Words not abbreviated due to lack of recognized abbreviations: Interbank, Relationship.</t>
  </si>
  <si>
    <t>Internal Audit</t>
  </si>
  <si>
    <t>Internal Bank Account</t>
  </si>
  <si>
    <t>Internal Bank Acct</t>
  </si>
  <si>
    <t>Words not abbreviated due to lack of recognized abbreviations: Internal, Bank.</t>
  </si>
  <si>
    <t>Investment Account</t>
  </si>
  <si>
    <t>Investment Acct</t>
  </si>
  <si>
    <t>Words not abbreviated due to lack of recognized abbreviations: Investment.</t>
  </si>
  <si>
    <t>Investment Portfolio Analysis</t>
  </si>
  <si>
    <t>Investment Portfolio Anal</t>
  </si>
  <si>
    <t>Words not abbreviated due to lack of recognized abbreviations: Investment, Portfolio.</t>
  </si>
  <si>
    <t>Investment Portfolio Management</t>
  </si>
  <si>
    <t>Investment Portfolio Mgmt</t>
  </si>
  <si>
    <t>Investment Portfolio Planning</t>
  </si>
  <si>
    <t>Investment Portfolio Plan</t>
  </si>
  <si>
    <t>Issued Device Administration</t>
  </si>
  <si>
    <t>Issued Device Admin</t>
  </si>
  <si>
    <t>Words not abbreviated due to lack of recognized abbreviations: Issued, Device.</t>
  </si>
  <si>
    <t>Issued Device Tracking</t>
  </si>
  <si>
    <t>IT Standards And Guidelines</t>
  </si>
  <si>
    <t>IT Std Guidelines</t>
  </si>
  <si>
    <t>Words not abbreviated due to lack of recognized abbreviations: Guidelines.</t>
  </si>
  <si>
    <t>Knowledge Exchange</t>
  </si>
  <si>
    <t>Lead and Opportunity Management</t>
  </si>
  <si>
    <t>Lead Opportunity Mgmt</t>
  </si>
  <si>
    <t>Words not abbreviated due to lack of recognized abbreviations: Lead, Opportunity.</t>
  </si>
  <si>
    <t>Leasing</t>
  </si>
  <si>
    <t>Leasing Item Administration</t>
  </si>
  <si>
    <t>Leasing Item Admin</t>
  </si>
  <si>
    <t>Words not abbreviated due to lack of recognized abbreviations: Leasing, Item.</t>
  </si>
  <si>
    <t>Legal Advisory</t>
  </si>
  <si>
    <t>Legal Compliance</t>
  </si>
  <si>
    <t>Legal Entity Directory</t>
  </si>
  <si>
    <t>Letter of Credit</t>
  </si>
  <si>
    <t>Loan</t>
  </si>
  <si>
    <t>Loan Syndication</t>
  </si>
  <si>
    <t>RESMX000287</t>
  </si>
  <si>
    <t>Bus Product Specific Fulfillment</t>
  </si>
  <si>
    <t>Pro_RetrieveCreditCardApplicationV1</t>
  </si>
  <si>
    <t>Location Data Management</t>
  </si>
  <si>
    <t>Location Data Mgmt</t>
  </si>
  <si>
    <t>Words not abbreviated due to lack of recognized abbreviations: Location, Data.</t>
  </si>
  <si>
    <t>Management Manual</t>
  </si>
  <si>
    <t>Mgmt Manual</t>
  </si>
  <si>
    <t>Words not abbreviated due to lack of recognized abbreviations: Manual.</t>
  </si>
  <si>
    <t>Market Analysis</t>
  </si>
  <si>
    <t>Mrkt Anal</t>
  </si>
  <si>
    <t>Market Data Switch Operation</t>
  </si>
  <si>
    <t>/system/cards/creditCard</t>
  </si>
  <si>
    <t>Mrkt Data Switch Op</t>
  </si>
  <si>
    <t>Words not abbreviated due to lack of recognized abbreviations: Data, Switch.</t>
  </si>
  <si>
    <t>Market Information Management</t>
  </si>
  <si>
    <t>Mrkt Info Mgmt</t>
  </si>
  <si>
    <t>Market Making</t>
  </si>
  <si>
    <t>Mrkt Making</t>
  </si>
  <si>
    <t>Words not abbreviated due to lack of recognized abbreviations: Making.</t>
  </si>
  <si>
    <t>mx-api-bc-bus-product-specific-fulfillment</t>
  </si>
  <si>
    <t>Market Order</t>
  </si>
  <si>
    <t>Mrkt Order</t>
  </si>
  <si>
    <t>https://coppelmx.atlassian.net/wiki/x/PABKOg</t>
  </si>
  <si>
    <t>APIMX000166</t>
  </si>
  <si>
    <t>Words not abbreviated due to lack of recognized abbreviations: Order.</t>
  </si>
  <si>
    <t>Market Order Execution</t>
  </si>
  <si>
    <t>Mrkt Order Exec</t>
  </si>
  <si>
    <t>Market Research</t>
  </si>
  <si>
    <t>Mrkt Rsrch</t>
  </si>
  <si>
    <t>Merchandising Loan</t>
  </si>
  <si>
    <t>Merchant Acquiring Facility</t>
  </si>
  <si>
    <t>Merchant Relations</t>
  </si>
  <si>
    <t>Mergers and Acquisitions Advisory</t>
  </si>
  <si>
    <t>Mergers Acquisitions Advisory</t>
  </si>
  <si>
    <t>Mortgage Loan</t>
  </si>
  <si>
    <t>Mutual Fund Administration</t>
  </si>
  <si>
    <t>Mutual Fund Admin</t>
  </si>
  <si>
    <t>Words not abbreviated due to lack of recognized abbreviations: Mutual, Fund.</t>
  </si>
  <si>
    <t>Notional Pooling</t>
  </si>
  <si>
    <t>Open Item Management</t>
  </si>
  <si>
    <t>Open Item Mgmt</t>
  </si>
  <si>
    <t>Words not abbreviated due to lack of recognized abbreviations: Open, Item.</t>
  </si>
  <si>
    <t>Operational Gateway</t>
  </si>
  <si>
    <t>Order Allocation</t>
  </si>
  <si>
    <t>Party Asset Directory</t>
  </si>
  <si>
    <t>RESMX000288</t>
  </si>
  <si>
    <t>Pro_InitiateCreditCardApplicationV1</t>
  </si>
  <si>
    <t>Party Authentication</t>
  </si>
  <si>
    <t>Party Lifecycle Management</t>
  </si>
  <si>
    <t>Party Lifecycle Mgmt</t>
  </si>
  <si>
    <t>Words not abbreviated due to lack of recognized abbreviations: Party, Lifecycle.</t>
  </si>
  <si>
    <t>Party Reference Data Directory</t>
  </si>
  <si>
    <t>Party Ref Data Directory</t>
  </si>
  <si>
    <t>Words not abbreviated due to lack of recognized abbreviations: Party, Data, Directory.</t>
  </si>
  <si>
    <t>Party Routing Profile</t>
  </si>
  <si>
    <t>Payment Execution</t>
  </si>
  <si>
    <t>Pymt Exec</t>
  </si>
  <si>
    <t>Servicio de Proxy que guarda la solicitud de un producto de tarjeta de crédito en la tabla Application.</t>
  </si>
  <si>
    <t>Payment Initiation</t>
  </si>
  <si>
    <t>https://coppelmx.atlassian.net/wiki/x/XQBdOg</t>
  </si>
  <si>
    <t>Pymt Initiation</t>
  </si>
  <si>
    <t>Words not abbreviated due to lack of recognized abbreviations: Initiation.</t>
  </si>
  <si>
    <t>Payment Instruction</t>
  </si>
  <si>
    <t>Pymt Instruction</t>
  </si>
  <si>
    <t>Words not abbreviated due to lack of recognized abbreviations: Instruction.</t>
  </si>
  <si>
    <t>Payment Order</t>
  </si>
  <si>
    <t>Pymt Order</t>
  </si>
  <si>
    <t>Payment Rail Operations</t>
  </si>
  <si>
    <t>Pymt Rail Ops</t>
  </si>
  <si>
    <t>Words not abbreviated due to lack of recognized abbreviations: Rail.</t>
  </si>
  <si>
    <t>Point of Service</t>
  </si>
  <si>
    <t>Point of Svc</t>
  </si>
  <si>
    <t>Words not abbreviated due to lack of recognized abbreviations: Point.</t>
  </si>
  <si>
    <t>Position Keeping</t>
  </si>
  <si>
    <t>Pos Keeping</t>
  </si>
  <si>
    <t>Words not abbreviated due to lack of recognized abbreviations: Keeping.</t>
  </si>
  <si>
    <t>Position Management</t>
  </si>
  <si>
    <t>Pos Mgmt</t>
  </si>
  <si>
    <t>Private Placement</t>
  </si>
  <si>
    <t>Processing Order</t>
  </si>
  <si>
    <t>Product Broker Agreement</t>
  </si>
  <si>
    <t>Prod Broker Agmt</t>
  </si>
  <si>
    <t>Words not abbreviated due to lack of recognized abbreviations: Broker.</t>
  </si>
  <si>
    <t>Product Combination</t>
  </si>
  <si>
    <t>Dom Card Transaction Switch</t>
  </si>
  <si>
    <t>Prod Combination</t>
  </si>
  <si>
    <t>Words not abbreviated due to lack of recognized abbreviations: Combination.</t>
  </si>
  <si>
    <t>Product Deployment</t>
  </si>
  <si>
    <t>Prod Deployment</t>
  </si>
  <si>
    <t>Words not abbreviated due to lack of recognized abbreviations: Deployment.</t>
  </si>
  <si>
    <t>Product Design</t>
  </si>
  <si>
    <t>Prod Dsgn</t>
  </si>
  <si>
    <t>Product Directory</t>
  </si>
  <si>
    <t>Prod Directory</t>
  </si>
  <si>
    <t>Product Expert Sales Support</t>
  </si>
  <si>
    <t>Prod Expert Sales Support</t>
  </si>
  <si>
    <t>Words not abbreviated due to lack of recognized abbreviations: Expert, Sales, Support.</t>
  </si>
  <si>
    <t>RESMX000289</t>
  </si>
  <si>
    <t>Product Inventory Distribution</t>
  </si>
  <si>
    <t>mx-api-bc-dom-card-transaction-switch</t>
  </si>
  <si>
    <t>Pro_ExchangeCreditCardApplicationV1</t>
  </si>
  <si>
    <t>Prod Inventory Distr</t>
  </si>
  <si>
    <t>Words not abbreviated due to lack of recognized abbreviations: Inventory.</t>
  </si>
  <si>
    <t>APIMX000167</t>
  </si>
  <si>
    <t>Product Inventory Item Management</t>
  </si>
  <si>
    <t>Prod Inventory Item Mgmt</t>
  </si>
  <si>
    <t>Words not abbreviated due to lack of recognized abbreviations: Inventory, Item.</t>
  </si>
  <si>
    <t>Product Matching</t>
  </si>
  <si>
    <t>Prod Matching</t>
  </si>
  <si>
    <t>Words not abbreviated due to lack of recognized abbreviations: Matching.</t>
  </si>
  <si>
    <t>Product Portfolio</t>
  </si>
  <si>
    <t>Prod Portfolio</t>
  </si>
  <si>
    <t>Product Quality Assurance</t>
  </si>
  <si>
    <t>Prod Quality Assurance</t>
  </si>
  <si>
    <t>Words not abbreviated due to lack of recognized abbreviations: Quality, Assurance.</t>
  </si>
  <si>
    <t>Product Sales Support</t>
  </si>
  <si>
    <t>Prod Sales Support</t>
  </si>
  <si>
    <t>Words not abbreviated due to lack of recognized abbreviations: Sales, Support.</t>
  </si>
  <si>
    <t>Product Service Agency</t>
  </si>
  <si>
    <t>Prod Svc Agency</t>
  </si>
  <si>
    <t>Words not abbreviated due to lack of recognized abbreviations: Agency.</t>
  </si>
  <si>
    <t>Product Training</t>
  </si>
  <si>
    <t>Prod Training</t>
  </si>
  <si>
    <t>Words not abbreviated due to lack of recognized abbreviations: Training.</t>
  </si>
  <si>
    <t>Production Release</t>
  </si>
  <si>
    <t>Program Trading</t>
  </si>
  <si>
    <t>Project Finance</t>
  </si>
  <si>
    <t>Project Fin</t>
  </si>
  <si>
    <t>Words not abbreviated due to lack of recognized abbreviations: Project.</t>
  </si>
  <si>
    <t>Promotional Events</t>
  </si>
  <si>
    <t>Prospect Campaign Design</t>
  </si>
  <si>
    <t>Prospect Campaign Dsgn</t>
  </si>
  <si>
    <t>Words not abbreviated due to lack of recognized abbreviations: Prospect, Campaign.</t>
  </si>
  <si>
    <t>Prospect Campaign Execution</t>
  </si>
  <si>
    <t>Prospect Campaign Exec</t>
  </si>
  <si>
    <t>Prospect Campaign Management</t>
  </si>
  <si>
    <t>Prospect Campaign Mgmt</t>
  </si>
  <si>
    <t>Public Offering</t>
  </si>
  <si>
    <t>Public Reference Data Management</t>
  </si>
  <si>
    <t>Public Ref Data Mgmt</t>
  </si>
  <si>
    <t>Words not abbreviated due to lack of recognized abbreviations: Public, Data.</t>
  </si>
  <si>
    <t>Quote Management</t>
  </si>
  <si>
    <t>Quote Mgmt</t>
  </si>
  <si>
    <t>Words not abbreviated due to lack of recognized abbreviations: Quote.</t>
  </si>
  <si>
    <t>RESMX000290</t>
  </si>
  <si>
    <t>Regulatory And Legal Authority</t>
  </si>
  <si>
    <t>Pro_UpdateCreditCardApplicationV1</t>
  </si>
  <si>
    <t>Regulatory Legal Authority</t>
  </si>
  <si>
    <t>Regulatory Compliance</t>
  </si>
  <si>
    <t>Regulatory Reporting</t>
  </si>
  <si>
    <t>Pro Card Transaction Switch</t>
  </si>
  <si>
    <t>Reward Points Account</t>
  </si>
  <si>
    <t>Servicio de proxy que permite actualizar el estado de una solicitud de tarjeta de crédito.</t>
  </si>
  <si>
    <t>Reward Points Acct</t>
  </si>
  <si>
    <t>https://coppelmx.atlassian.net/wiki/x/AYAqOg</t>
  </si>
  <si>
    <t>Words not abbreviated due to lack of recognized abbreviations: Reward, Points.</t>
  </si>
  <si>
    <t>Reward Points Awards And Redemption</t>
  </si>
  <si>
    <t>Reward Points Awards Redemption</t>
  </si>
  <si>
    <t>mx-api-bc-pro-card-transaction-switch</t>
  </si>
  <si>
    <t>Sales Product</t>
  </si>
  <si>
    <t>APIMX000168</t>
  </si>
  <si>
    <t>Sales Prod</t>
  </si>
  <si>
    <t>Words not abbreviated due to lack of recognized abbreviations: Sales.</t>
  </si>
  <si>
    <t>Sales Product Agreement</t>
  </si>
  <si>
    <t>Sales Prod Agmt</t>
  </si>
  <si>
    <t>Savings Account</t>
  </si>
  <si>
    <t>Savings Acct</t>
  </si>
  <si>
    <t>Words not abbreviated due to lack of recognized abbreviations: Savings.</t>
  </si>
  <si>
    <t>Securities Fails Processing</t>
  </si>
  <si>
    <t>Securities Position Keeping</t>
  </si>
  <si>
    <t>Securities Pos Keeping</t>
  </si>
  <si>
    <t>Words not abbreviated due to lack of recognized abbreviations: Securities, Keeping.</t>
  </si>
  <si>
    <t>Segment Direction</t>
  </si>
  <si>
    <t>Service Directory</t>
  </si>
  <si>
    <t>RESMX000291</t>
  </si>
  <si>
    <t>Svc Directory</t>
  </si>
  <si>
    <t>Pro_RegisterCreditCardFacilityV1</t>
  </si>
  <si>
    <t>Service Provider Operations</t>
  </si>
  <si>
    <t>Svc Provider Ops</t>
  </si>
  <si>
    <t>Servicing Activity Analysis</t>
  </si>
  <si>
    <t>Servicing Activity Anal</t>
  </si>
  <si>
    <t>Words not abbreviated due to lack of recognized abbreviations: Servicing, Activity.</t>
  </si>
  <si>
    <t>Servicing Event History</t>
  </si>
  <si>
    <t>Servicing Event Hist</t>
  </si>
  <si>
    <t>Words not abbreviated due to lack of recognized abbreviations: Servicing, Event.</t>
  </si>
  <si>
    <t>Servicing Issue</t>
  </si>
  <si>
    <t>Servicing Mandate</t>
  </si>
  <si>
    <t>Servicing Order</t>
  </si>
  <si>
    <t>https://coppelmx.atlassian.net/wiki/x/AgArOg</t>
  </si>
  <si>
    <t>Session Dialogue</t>
  </si>
  <si>
    <t>Special Pricing Conditions</t>
  </si>
  <si>
    <t>Spec Pricing Conditions</t>
  </si>
  <si>
    <t>Words not abbreviated due to lack of recognized abbreviations: Pricing, Conditions.</t>
  </si>
  <si>
    <t>Standing Order</t>
  </si>
  <si>
    <t>Stock Lending and Repos</t>
  </si>
  <si>
    <t>Stock Lending Repos</t>
  </si>
  <si>
    <t>Sub Custodian Agreement</t>
  </si>
  <si>
    <t>Sub Custodian Agmt</t>
  </si>
  <si>
    <t>Words not abbreviated due to lack of recognized abbreviations: Custodian.</t>
  </si>
  <si>
    <t>Suitability Checking</t>
  </si>
  <si>
    <t>Syndicate Management</t>
  </si>
  <si>
    <t>Syndicate Mgmt</t>
  </si>
  <si>
    <t>Words not abbreviated due to lack of recognized abbreviations: Syndicate.</t>
  </si>
  <si>
    <t>Rec Payments</t>
  </si>
  <si>
    <t>Syndicated Loan</t>
  </si>
  <si>
    <t>System Development</t>
  </si>
  <si>
    <t>Sys Dev</t>
  </si>
  <si>
    <t>Systems Administration</t>
  </si>
  <si>
    <t>Sys Admin</t>
  </si>
  <si>
    <t>Term Deposit</t>
  </si>
  <si>
    <t>RESMX000292</t>
  </si>
  <si>
    <t>Pro_RetrieveCreditCardFacilityV1</t>
  </si>
  <si>
    <t>Term Deposit Framework Agreement</t>
  </si>
  <si>
    <t>Term Deposit Framework Agmt</t>
  </si>
  <si>
    <t>Words not abbreviated due to lack of recognized abbreviations: Term, Deposit, Framework.</t>
  </si>
  <si>
    <t>Trade and Price Reporting</t>
  </si>
  <si>
    <t>mx-api-bc-rec-payments</t>
  </si>
  <si>
    <t>Trade Price Reporting</t>
  </si>
  <si>
    <t>Trade Clearing</t>
  </si>
  <si>
    <t>APIMX000169</t>
  </si>
  <si>
    <t>Trade Confirmation Matching</t>
  </si>
  <si>
    <t>Este Proxy API realiza la consulta de información de tarjeta de crédito por cliente</t>
  </si>
  <si>
    <t>https://coppelmx.atlassian.net/wiki/x/AoA7Og</t>
  </si>
  <si>
    <t>Trade Settlement</t>
  </si>
  <si>
    <t>Trader Position Operations</t>
  </si>
  <si>
    <t>Trader Pos Ops</t>
  </si>
  <si>
    <t>Words not abbreviated due to lack of recognized abbreviations: Trader.</t>
  </si>
  <si>
    <t>Trading Book Oversight</t>
  </si>
  <si>
    <t>Transaction Authorization</t>
  </si>
  <si>
    <t>Transaction Engine</t>
  </si>
  <si>
    <t>Trust Services</t>
  </si>
  <si>
    <t>Trust Svcs</t>
  </si>
  <si>
    <t>Words not abbreviated due to lack of recognized abbreviations: Trust.</t>
  </si>
  <si>
    <t>Underwriting</t>
  </si>
  <si>
    <t>Unit Trust Administration</t>
  </si>
  <si>
    <t>Unit Trust Admin</t>
  </si>
  <si>
    <t>Words not abbreviated due to lack of recognized abbreviations: Unit, Trust.</t>
  </si>
  <si>
    <t>Virtual Account</t>
  </si>
  <si>
    <t>Virtual Acct</t>
  </si>
  <si>
    <t>Words not abbreviated due to lack of recognized abbreviations: Virtual.</t>
  </si>
  <si>
    <t>RESMX000293</t>
  </si>
  <si>
    <t>Pro_UpdateCreditCardBalanceV1</t>
  </si>
  <si>
    <t>Rec Product Specific Fulfillment</t>
  </si>
  <si>
    <t>RESMX000294</t>
  </si>
  <si>
    <t>Pro_RetrieveCreditCardBalanceV1</t>
  </si>
  <si>
    <t>mx-api-bc-rec-product-specific-fulfillment</t>
  </si>
  <si>
    <t>APIMX000170</t>
  </si>
  <si>
    <t>Este proxy API realiza la consulta de disposición de efectivo de una tarjeta de crédito con un monto solicitado.</t>
  </si>
  <si>
    <t>https://coppelmx.atlassian.net/wiki/x/PwAhOg</t>
  </si>
  <si>
    <t>RESMX000295</t>
  </si>
  <si>
    <t>Pro_RetrieveInterestV1</t>
  </si>
  <si>
    <t>BR Customer Product And Service Eligibility</t>
  </si>
  <si>
    <t>BUSINESS RULES</t>
  </si>
  <si>
    <t>mx-api-bc-br-customer-product-and-service-eligibility</t>
  </si>
  <si>
    <t>APIMX000171</t>
  </si>
  <si>
    <t>RESMX000296</t>
  </si>
  <si>
    <t>Pro_UpdateInterestV1</t>
  </si>
  <si>
    <t>Web Methods</t>
  </si>
  <si>
    <t>BR Location Data Management</t>
  </si>
  <si>
    <t>RESMX000297</t>
  </si>
  <si>
    <t>Pro_RetrieveCardPaymentAgreementV1</t>
  </si>
  <si>
    <t>mx-api-bc-br-location-data-management</t>
  </si>
  <si>
    <t>APIMX000172</t>
  </si>
  <si>
    <t>https://coppelmx.atlassian.net/wiki/x/RgAjOg</t>
  </si>
  <si>
    <t>RESMX000298</t>
  </si>
  <si>
    <t>BR Party Reference Data Directory</t>
  </si>
  <si>
    <t>Pro_RetrievePaymentCardV1</t>
  </si>
  <si>
    <t>mx-api-bc-br-party-reference-data-directory</t>
  </si>
  <si>
    <t>APIMX000173</t>
  </si>
  <si>
    <t>RESMX000299</t>
  </si>
  <si>
    <t>Pro_EvaluateCreditCardApplicationV1</t>
  </si>
  <si>
    <t>Dom Party Reference Data Directory Corporate</t>
  </si>
  <si>
    <t>Permite validar el estado de una solicitud de tarjeta de crédito</t>
  </si>
  <si>
    <t>mx-api-bc-dom-party-ref-dat-dir-corp</t>
  </si>
  <si>
    <t>APIMX000174</t>
  </si>
  <si>
    <t>1.5.6</t>
  </si>
  <si>
    <t>RESMX000300</t>
  </si>
  <si>
    <t>Pro_ControlPaymentCardV1</t>
  </si>
  <si>
    <t>Este servicio realiza el borrado fisico de la información de tarjeta de crédito por número de tarjeta. Es un rollback.</t>
  </si>
  <si>
    <t>Dom Issued Device Administration Corporate</t>
  </si>
  <si>
    <t>mx-api-bc-dom-iss-dev-admin-corp</t>
  </si>
  <si>
    <t>APIMX000175</t>
  </si>
  <si>
    <t>RESMX000301</t>
  </si>
  <si>
    <t>Pro_RegisterPaymentCardV1</t>
  </si>
  <si>
    <t>Dom Party Authentication Corporate</t>
  </si>
  <si>
    <t>mx-api-bc-dom-pty-auth-corp</t>
  </si>
  <si>
    <t>RESMX000302</t>
  </si>
  <si>
    <t>APIMX000176</t>
  </si>
  <si>
    <t>Pro_RegisterCreditCardActivationLogV1</t>
  </si>
  <si>
    <t>1.0.11</t>
  </si>
  <si>
    <t>RESMX000303</t>
  </si>
  <si>
    <t>Pro_UpdateCreditCardActivationLogV1</t>
  </si>
  <si>
    <t>Dom Customer Products And Services Corporate</t>
  </si>
  <si>
    <t>mx-api-bc-dom-cust-prods-and-servs-corp</t>
  </si>
  <si>
    <t>APIMX000177</t>
  </si>
  <si>
    <t>1.1.4</t>
  </si>
  <si>
    <t>RESMX000304</t>
  </si>
  <si>
    <t>Pro_EvaluateCreditCardFacilityV1</t>
  </si>
  <si>
    <t>https://coppelmx.atlassian.net/wiki/x/94AjOg</t>
  </si>
  <si>
    <t>Pro Party Reference Data Directory Corporate</t>
  </si>
  <si>
    <t>RESMX000305</t>
  </si>
  <si>
    <t>mx-api-bc-pro-party-ref-dat-dir-corp</t>
  </si>
  <si>
    <t>Pro_RetrieveCardTransactionV1</t>
  </si>
  <si>
    <t>APIMX000178</t>
  </si>
  <si>
    <t>https://coppelmx.atlassian.net/wiki/x/CIAzOg</t>
  </si>
  <si>
    <t>RESMX000306</t>
  </si>
  <si>
    <t>Pro_RetrieveCreditCardHolderV1</t>
  </si>
  <si>
    <t>https://coppelmx.atlassian.net/wiki/x/AoAyOg</t>
  </si>
  <si>
    <t>Pro Issued Device Administration Corporate</t>
  </si>
  <si>
    <t>mx-api-bc-pro-iss-dev-admin-corp</t>
  </si>
  <si>
    <t>APIMX000179</t>
  </si>
  <si>
    <t>RESMX000307</t>
  </si>
  <si>
    <t>Pro_ControlCreditCardFacilityV1</t>
  </si>
  <si>
    <t>Pro Party Authentication Corporate</t>
  </si>
  <si>
    <t>RESMX000308</t>
  </si>
  <si>
    <t>Pro_RetrieveCreditCardPositionV1</t>
  </si>
  <si>
    <t>mx-api-bc-pro-pty-auth-corp</t>
  </si>
  <si>
    <t>APIMX000180</t>
  </si>
  <si>
    <t>https://coppelmx.atlassian.net/wiki/x/CAAzOg</t>
  </si>
  <si>
    <t>RESMX000309</t>
  </si>
  <si>
    <t>Pro_EvaluatePaymentCardV1</t>
  </si>
  <si>
    <t>Pro Customer Products And Services Corporate</t>
  </si>
  <si>
    <t>mx-api-bc-pro-cust-prods-and-servs-corp</t>
  </si>
  <si>
    <t>APIMX000181</t>
  </si>
  <si>
    <t>RESMX000310</t>
  </si>
  <si>
    <t>Pro_RetrieveSpecialCreditCardConditionsV1</t>
  </si>
  <si>
    <t>Rec Party Reference Data Directory Corporate</t>
  </si>
  <si>
    <t>mx-api-bc-rec-party-ref-dat-dir-corp</t>
  </si>
  <si>
    <t>APIMX000182</t>
  </si>
  <si>
    <t>RESMX000311</t>
  </si>
  <si>
    <t>Pro_RetrievePaymentCardTypeV1</t>
  </si>
  <si>
    <t>RESMX000312</t>
  </si>
  <si>
    <t>Pro_UpdatePaymentCardV1</t>
  </si>
  <si>
    <t>Rec Issued Device Administration Corporate</t>
  </si>
  <si>
    <t>https://coppelmx.atlassian.net/wiki/x/CQBhQ</t>
  </si>
  <si>
    <t>mx-api-bc-rec-iss-dev-admin-corp</t>
  </si>
  <si>
    <t>APIMX000183</t>
  </si>
  <si>
    <t>Responsable</t>
  </si>
  <si>
    <t>_id</t>
  </si>
  <si>
    <t>api_directory</t>
  </si>
  <si>
    <t>api_specification</t>
  </si>
  <si>
    <t>api_type</t>
  </si>
  <si>
    <t>api_name</t>
  </si>
  <si>
    <t>api_operation_id</t>
  </si>
  <si>
    <t>api_version</t>
  </si>
  <si>
    <t>api_base_path</t>
  </si>
  <si>
    <t>api_operation_resource_version</t>
  </si>
  <si>
    <t>api_operation_http_method</t>
  </si>
  <si>
    <t>RESMX000313</t>
  </si>
  <si>
    <t>api_operation_resource</t>
  </si>
  <si>
    <t>Pro_RetrievePositionLimitV1</t>
  </si>
  <si>
    <t>api_operation_full_path</t>
  </si>
  <si>
    <t>api_operation_description</t>
  </si>
  <si>
    <t>api_operation_errors</t>
  </si>
  <si>
    <t>View</t>
  </si>
  <si>
    <t>Contract</t>
  </si>
  <si>
    <t>URL</t>
  </si>
  <si>
    <t>Transform</t>
  </si>
  <si>
    <t>Use</t>
  </si>
  <si>
    <t>Javier González Gómez</t>
  </si>
  <si>
    <t>663ed903992dfa18ea0594a8</t>
  </si>
  <si>
    <t>Pro_RetrieveCreditCardStatementV1</t>
  </si>
  <si>
    <t>/system/cards/creditCardPositionKeeping</t>
  </si>
  <si>
    <t>POST /system/cards/creditCardPositionKeeping/v1/creditCardStatement/retrieve</t>
  </si>
  <si>
    <t>https://drive.google.com/drive/folders/1GMli1LyzbAUWqi89diOJZ9H85wfFbk5F?usp=drive_link</t>
  </si>
  <si>
    <t>Y</t>
  </si>
  <si>
    <t>https://drive.google.com/drive/folders/1fSVYQiMpz7int5GueL4lKQX0cPvYcxS8?usp=drive_link</t>
  </si>
  <si>
    <t>https://drive.google.com/drive/folders/1-fyhL4hSRJ5PoO6zmi3c8aLhReftD9jD?usp=drive_link</t>
  </si>
  <si>
    <t>663ed903992dfa18ea0594a9</t>
  </si>
  <si>
    <t>POST /system/cards/creditCardPositionKeeping/v1/creditCardHolder/retrieve</t>
  </si>
  <si>
    <t>En este Api consulta las cuentas de crédito con tarjeta relacionadas a un cliente.</t>
  </si>
  <si>
    <t>Rec Party Authentication Corporate</t>
  </si>
  <si>
    <t>N/A</t>
  </si>
  <si>
    <t>663ed903992dfa18ea0594aa</t>
  </si>
  <si>
    <t>Pro_UpdateCreditLineFacilityV1</t>
  </si>
  <si>
    <t>/system/corporateBanking/creditFacility</t>
  </si>
  <si>
    <t>PATCH /system/corporateBanking/creditFacility/v1/creditLineFacility/update</t>
  </si>
  <si>
    <t>mx-api-bc-rec-pty-auth-corp</t>
  </si>
  <si>
    <t>Invalid business domain value "corporateBanking", in the path "/system/corporateBanking/creditFacility".\nFor the service domain "creditFacility" in the path "/system/corporateBanking/creditFacility" use the business domain "Trade Banking".</t>
  </si>
  <si>
    <t>https://docs.google.com/document/d/1b4xNrif38hGYBg48I1IC8xesdzUqNqOg/edit?usp=drive_link&amp;ouid=109476200148949733365&amp;rtpof=true&amp;sd=true</t>
  </si>
  <si>
    <t>https://docs.google.com/spreadsheets/d/1tVP07LPRtS6370jT4MAV8PvceWuWDnUm/edit?usp=drive_link&amp;ouid=109476200148949733365&amp;rtpof=true&amp;sd=true</t>
  </si>
  <si>
    <t>APIMX000184</t>
  </si>
  <si>
    <t>663ed903992dfa18ea0594ab</t>
  </si>
  <si>
    <t>Pro_RetrieveCurrencyExchangeTransactionV1</t>
  </si>
  <si>
    <t>/system/consumerServices/currencyExchange</t>
  </si>
  <si>
    <t>POST /system/consumerServices/currencyExchange/v1/currencyExchangeTransaction/retrieve</t>
  </si>
  <si>
    <t>https://docs.google.com/document/d/1dp74BvHQDyqJnfSPRT4vKpExzbwNj4FT/edit?usp=drive_link&amp;ouid=109476200148949733365&amp;rtpof=true&amp;sd=true</t>
  </si>
  <si>
    <t>https://docs.google.com/spreadsheets/d/1IT2F0P79lSPfNfaCqo0KEZt0RfGmBu40/edit?usp=drive_link&amp;ouid=109476200148949733365&amp;rtpof=true&amp;sd=true</t>
  </si>
  <si>
    <t>663ed903992dfa18ea0594ac</t>
  </si>
  <si>
    <t>Pro_RetrieveCurrentAccountFacilityV1</t>
  </si>
  <si>
    <t>/system/loansAndDeposits/currentAccount</t>
  </si>
  <si>
    <t>POST /system/loansAndDeposits/currentAccount/v1/currentAccountFacility/retrieve</t>
  </si>
  <si>
    <t>https://docs.google.com/document/d/1mwZ9xekL4J0GhvG_KpQR63zYJ6ZCq3ki/edit?usp=drive_link&amp;ouid=109476200148949733365&amp;rtpof=true&amp;sd=true</t>
  </si>
  <si>
    <t>https://docs.google.com/spreadsheets/d/1t_fQQ36zYn7DjjuMqbiHXrm-6aDiuThV/edit?usp=drive_link&amp;ouid=109476200148949733365&amp;rtpof=true&amp;sd=true</t>
  </si>
  <si>
    <t>663ed903992dfa18ea0594ad</t>
  </si>
  <si>
    <t>RESMX000314</t>
  </si>
  <si>
    <t>Pro_UpdateCreditCardFacilityV1</t>
  </si>
  <si>
    <t>Pro_RetrieveRestrictionsV1</t>
  </si>
  <si>
    <t>/system/customerManagement/customerAccessEntitlement</t>
  </si>
  <si>
    <t>POST /system/customerManagement/customerAccessEntitlement/v1/restrictions/retrieve</t>
  </si>
  <si>
    <t>https://docs.google.com/document/d/1y3p_OlEeeFb743ZLNXeLA2kMtC68LW5L/edit?usp=drive_link&amp;ouid=109476200148949733365&amp;rtpof=true&amp;sd=true</t>
  </si>
  <si>
    <t>https://docs.google.com/spreadsheets/d/1FfBiZylbJTxjE6t9FdqSvKU2xGVMBUEm/edit?usp=drive_link&amp;ouid=109476200148949733365&amp;rtpof=true&amp;sd=true</t>
  </si>
  <si>
    <t>663ed903992dfa18ea0594ae</t>
  </si>
  <si>
    <t>Pro_EvaluateLegalTermsV1</t>
  </si>
  <si>
    <t>/system/customerManagement/customerAgreement</t>
  </si>
  <si>
    <t>POST /system/customerManagement/customerAgreement/v1/legalTerms/evaluate</t>
  </si>
  <si>
    <t>https://docs.google.com/document/d/1GO2Qc6XzljzSr_TgXItV_IRVtIXWSsl-/edit?usp=sharing&amp;ouid=109476200148949733365&amp;rtpof=true&amp;sd=true</t>
  </si>
  <si>
    <t>https://docs.google.com/spreadsheets/d/1MysAcsdPNpDuGJqI0torfRR_XABagg4S/edit?usp=drive_link&amp;ouid=109476200148949733365&amp;rtpof=true&amp;sd=true</t>
  </si>
  <si>
    <t>663ed903992dfa18ea0594af</t>
  </si>
  <si>
    <t>Pro_EvaluateCustomerAgreementV1</t>
  </si>
  <si>
    <t>POST /system/customerManagement/customerAgreement/v1/customerAgreement/evaluate</t>
  </si>
  <si>
    <t>https://docs.google.com/spreadsheets/d/1rur-IbmZ26vHHzxUM8A22gENUVr9W4N9/edit?usp=drive_link&amp;ouid=109476200148949733365&amp;rtpof=true&amp;sd=true</t>
  </si>
  <si>
    <t>663ed903992dfa18ea0594b0</t>
  </si>
  <si>
    <t>Pro_EvaluateRegulatoryTermsV1</t>
  </si>
  <si>
    <t>Rec Customer Products And Services Corporate</t>
  </si>
  <si>
    <t>POST /system/customerManagement/customerAgreement/v1/regulatoryTerms/evaluate</t>
  </si>
  <si>
    <t>https://docs.google.com/spreadsheets/d/1sat1wc5QkFkX2kojfW7K7KCTWL4ZSD9i/edit?usp=drive_link&amp;ouid=109476200148949733365&amp;rtpof=true&amp;sd=true</t>
  </si>
  <si>
    <t>663ed903992dfa18ea0594b1</t>
  </si>
  <si>
    <t>Pro_RetrieveEndorsementV1</t>
  </si>
  <si>
    <t>mx-api-bc-rec-cust-prods-and-servs-corp</t>
  </si>
  <si>
    <t>APIMX000185</t>
  </si>
  <si>
    <t>GET /system/customerManagement/customerAgreement/v1/endorsement/{sessionDialogueIdentification}/retrieve</t>
  </si>
  <si>
    <t>Servicio de proxy encargado de consultar tabla Consents relacionada al cliente prospecto</t>
  </si>
  <si>
    <t>RESMX000315</t>
  </si>
  <si>
    <t>663ed903992dfa18ea0594b2</t>
  </si>
  <si>
    <t>Pro_RetrieveRefundV1</t>
  </si>
  <si>
    <t>Pro_RegisterEndorsementV1</t>
  </si>
  <si>
    <t>POST /system/customerManagement/customerAgreement/v1/endorsement/register</t>
  </si>
  <si>
    <t>Invalid Request Header "accept"\nInvalid Request Header "content-type"</t>
  </si>
  <si>
    <t>https://docs.google.com/document/d/1q4no38ySQ0sjuYO6ynXJmHY5SN3SKyHh/edit?usp=drive_link&amp;ouid=109476200148949733365&amp;rtpof=true&amp;sd=true</t>
  </si>
  <si>
    <t>https://docs.google.com/spreadsheets/d/1nGqO8-_ktnquvSqovO6zoDr2wU13Yhvr/edit?usp=drive_link&amp;ouid=109476200148949733365&amp;rtpof=true&amp;sd=true</t>
  </si>
  <si>
    <t>663ed903992dfa18ea0594b3</t>
  </si>
  <si>
    <t>Pro_EvaluateCustomerCreditRatingStateV1</t>
  </si>
  <si>
    <t>/system/relationshipManagement/customerCreditRating</t>
  </si>
  <si>
    <t>POST /system/relationshipManagement/customerCreditRating/v1/customerCreditRatingState/evaluate</t>
  </si>
  <si>
    <t>Invalid business domain value "relationshipManagement", in the path "/system/relationshipManagement/customerCreditRating".\nFor the service domain "customerCreditRating" in the path "/system/relationshipManagement/customerCreditRating" use the business domain "Customer Management".</t>
  </si>
  <si>
    <t>https://docs.google.com/document/d/1WFjrudqlVjSNpZlxVzrMW1domInbgl7m/edit?usp=drive_link&amp;ouid=109476200148949733365&amp;rtpof=true&amp;sd=true</t>
  </si>
  <si>
    <t>https://docs.google.com/spreadsheets/d/1C7iCYHssjpN_2iu6vSBAYMDQ6CrNkFY7/edit?usp=drive_link&amp;ouid=109476200148949733365&amp;rtpof=true&amp;sd=true</t>
  </si>
  <si>
    <t>663ed903992dfa18ea0594b4</t>
  </si>
  <si>
    <t>Pro_EvaluateInternalReportingV1</t>
  </si>
  <si>
    <t>POST /system/relationshipManagement/customerCreditRating/v1/internalReporting/evaluate</t>
  </si>
  <si>
    <t>https://docs.google.com/document/d/1ZpIcM1L0tEem7-B_h4CpO7sQTZPPc6qu/edit?usp=drive_link&amp;ouid=109476200148949733365&amp;rtpof=true&amp;sd=true</t>
  </si>
  <si>
    <t>https://docs.google.com/spreadsheets/d/1uKiUkOguuzskz295n-YIsLk_EiGYJ1Z2/edit?usp=drive_link&amp;ouid=109476200148949733365&amp;rtpof=true&amp;sd=true</t>
  </si>
  <si>
    <t>663ed903992dfa18ea0594b5</t>
  </si>
  <si>
    <t>Pro_EvaluateFacilityApplicationV1</t>
  </si>
  <si>
    <t>/system/sales/customerOffer</t>
  </si>
  <si>
    <t>POST /system/sales/customerOffer/v1/facilityApplication/evaluate</t>
  </si>
  <si>
    <t>https://docs.google.com/document/d/1JhSBgIc6cOho8GxP9GIuABkTGSEN_Cyn/edit?usp=drive_link&amp;ouid=109476200148949733365&amp;rtpof=true&amp;sd=true</t>
  </si>
  <si>
    <t>https://docs.google.com/spreadsheets/d/1Zy4qDMeNCuQkoDVwXAVT4GAX1lxqje-h/edit?usp=drive_link&amp;ouid=109476200148949733365&amp;rtpof=true&amp;sd=true</t>
  </si>
  <si>
    <t>663ed903992dfa18ea0594b6</t>
  </si>
  <si>
    <t>Dom Corporate Current Account Legacy</t>
  </si>
  <si>
    <t>Pro_UpdateCustomerOfferProcedureV1</t>
  </si>
  <si>
    <t>RESMX000316</t>
  </si>
  <si>
    <t>Pro_ControlTraceAssignmentV1</t>
  </si>
  <si>
    <t>PATCH /system/sales/customerOffer/v1/customerOfferProcedure/update</t>
  </si>
  <si>
    <t>https://docs.google.com/document/d/10KHQZAsebU684YwyNzJX3gqaQ7Wey3T3/edit?usp=drive_link&amp;ouid=109476200148949733365&amp;rtpof=true&amp;sd=true</t>
  </si>
  <si>
    <t>https://docs.google.com/spreadsheets/d/1_jLYdt6Lv7_S463SbDiffITpG2qYsgFo/edit?usp=drive_link&amp;ouid=109476200148949733365&amp;rtpof=true&amp;sd=true</t>
  </si>
  <si>
    <t>663ed903992dfa18ea0594b7</t>
  </si>
  <si>
    <t>mx-api-bc-dom-corp-cur-acnt-leg</t>
  </si>
  <si>
    <t>Pro_EvaluateCustomerOfferProcedureV1</t>
  </si>
  <si>
    <t>APIMX000186</t>
  </si>
  <si>
    <t>POST /system/sales/customerOffer/v1/customerOfferProcedure/evaluate</t>
  </si>
  <si>
    <t>https://docs.google.com/document/d/1-DgNjwHbxVQ7lrQPldpVHDlvpUNasA9d/edit?usp=drive_link&amp;ouid=109476200148949733365&amp;rtpof=true&amp;sd=true</t>
  </si>
  <si>
    <t>https://docs.google.com/spreadsheets/d/1D6p7AFmrJn4GAD-LcwJTdOvqasEqheZQ/edit?usp=drive_link&amp;ouid=109476200148949733365&amp;rtpof=true&amp;sd=true</t>
  </si>
  <si>
    <t>663ed903992dfa18ea0594b8</t>
  </si>
  <si>
    <t>Pro_RetrieveCustomerOfferProcedureV1</t>
  </si>
  <si>
    <t>POST /system/sales/customerOffer/v1/customerOfferProcedure/retrieve</t>
  </si>
  <si>
    <t>https://docs.google.com/document/d/1zmyo6lDUI-z2tia1ld3bdyEQxOtyKOKu/edit?usp=drive_link&amp;ouid=109476200148949733365&amp;rtpof=true&amp;sd=true</t>
  </si>
  <si>
    <t>https://docs.google.com/spreadsheets/d/1i7ImiaT4RNxP-Ag0jWpJZkMMGCSIUXuq/edit?usp=drive_link&amp;ouid=109476200148949733365&amp;rtpof=true&amp;sd=true</t>
  </si>
  <si>
    <t>663ed903992dfa18ea0594b9</t>
  </si>
  <si>
    <t>Pro_UpdateCustomerPositionCreditV1</t>
  </si>
  <si>
    <t>/system/accountManagement/customerPosition</t>
  </si>
  <si>
    <t>PATCH /system/accountManagement/customerPosition/v1/customerPositionCredit/update</t>
  </si>
  <si>
    <t>https://docs.google.com/document/d/1bXHPN5kuwaLSVm4NwpM6BuYsVMC54sr1/edit?usp=drive_link&amp;ouid=109476200148949733365&amp;rtpof=true&amp;sd=true</t>
  </si>
  <si>
    <t>https://docs.google.com/spreadsheets/d/1xDKr5tauaHyZCrcN8Kuwlit08S0aiUO0/edit?usp=drive_link&amp;ouid=109476200148949733365&amp;rtpof=true&amp;sd=true</t>
  </si>
  <si>
    <t>663ed903992dfa18ea0594ba</t>
  </si>
  <si>
    <t>Pro_RetrieveOperationalDateFacilityV1</t>
  </si>
  <si>
    <t>/v1/operationalDateFacility/retrieve</t>
  </si>
  <si>
    <t>GET /system/accountManagement/customerPosition/v1/operationalDateFacility/retrieve</t>
  </si>
  <si>
    <t>Operación para el cálculo de la próxima fecha hábil disponible para realizar operaciones bancarias.</t>
  </si>
  <si>
    <t>https://docs.google.com/document/d/17Ta8nKX1sXeZ20albupBSTPss7du0X0W/edit?usp=sharing&amp;ouid=109476200148949733365&amp;rtpof=true&amp;sd=true</t>
  </si>
  <si>
    <t>https://docs.google.com/spreadsheets/d/1HIMmWGefxVqctspy5hSc0Dehlt6C87TI/edit?usp=drive_link&amp;ouid=109476200148949733365&amp;rtpof=true&amp;sd=true</t>
  </si>
  <si>
    <t>663ed903992dfa18ea0594bb</t>
  </si>
  <si>
    <t>Pro_EvaluateMaturityDateFacilityV1</t>
  </si>
  <si>
    <t>RESMX000317</t>
  </si>
  <si>
    <t>Pro_InitiatePaymentCardV1</t>
  </si>
  <si>
    <t>/v1/maturityDateFacility/evaluate</t>
  </si>
  <si>
    <t>POST /system/accountManagement/customerPosition/v1/maturityDateFacility/evaluate</t>
  </si>
  <si>
    <t>Servicio que consulta y realiza las validaciones de las fechas actuales y la del último día del mes para todos los productos de crédito.</t>
  </si>
  <si>
    <t>https://docs.google.com/document/d/1o2UwQH9A2JbEPnrVrYzYBqzJXfqRHEU2/edit?usp=sharing&amp;ouid=109476200148949733365&amp;rtpof=true&amp;sd=true</t>
  </si>
  <si>
    <t>https://docs.google.com/spreadsheets/d/1QwmpOZijB3XSw5SrZ-_AjgTNIzLBQI9k/edit?usp=drive_link&amp;ouid=109476200148949733365&amp;rtpof=true&amp;sd=true</t>
  </si>
  <si>
    <t>663ed903992dfa18ea0594bc</t>
  </si>
  <si>
    <t>Pro_RetrieveCustomerEligibilityReportV1</t>
  </si>
  <si>
    <t>/system/relationshipManagement/customerProductAndServiceEligibility</t>
  </si>
  <si>
    <t>Rec Corporate Current Account Legacy</t>
  </si>
  <si>
    <t>POST /system/relationshipManagement/customerProductAndServiceEligibility/v1/customerEligibilityReport/retrieve</t>
  </si>
  <si>
    <t>Invalid business domain value "relationshipManagement", in the path "/system/relationshipManagement/customerProductAndServiceEligibility".\nFor the service domain "customerProductAndServiceEligibility" in the path "/system/relationshipManagement/customerProductAndServiceEligibility" use the business domain "Customer Management".</t>
  </si>
  <si>
    <t>https://docs.google.com/document/d/1Thf38K6Bv_1R5GMd3RdEtrhB3a99YdlA/edit?usp=sharing&amp;ouid=109476200148949733365&amp;rtpof=true&amp;sd=true</t>
  </si>
  <si>
    <t>mx-api-bc-rec-corp-cur-acnt-leg</t>
  </si>
  <si>
    <t>https://docs.google.com/spreadsheets/d/1oLNY5OUxY-zr9ksKprE8Y68nVwTmDFHF/edit?usp=drive_link&amp;ouid=109476200148949733365&amp;rtpof=true&amp;sd=true</t>
  </si>
  <si>
    <t>APIMX000187</t>
  </si>
  <si>
    <t>663ed903992dfa18ea0594bd</t>
  </si>
  <si>
    <t>Pro Customer Products and Services</t>
  </si>
  <si>
    <t>Pro_RetrieveDepositAccountFacilityV1</t>
  </si>
  <si>
    <t>/system/customerManagement/customerProductsAndServices</t>
  </si>
  <si>
    <t>GET /system/customerManagement/customerProductsAndServices/v1/depositAccountFacility/{companyReference}/{customerId}/retrieve</t>
  </si>
  <si>
    <t>https://docs.google.com/document/d/1obuu7Xu3-7oMc0GIso5g-rVAh1VCkUgp/edit?usp=sharing&amp;ouid=109476200148949733365&amp;rtpof=true&amp;sd=true</t>
  </si>
  <si>
    <t>https://docs.google.com/spreadsheets/d/11u0AyLUPg2g-ahDci3Ig1vDYrXdAuJRZ/edit?usp=drive_link&amp;ouid=109476200148949733365&amp;rtpof=true&amp;sd=true</t>
  </si>
  <si>
    <t>663ed903992dfa18ea0594be</t>
  </si>
  <si>
    <t>Pro_RetrievePaymentBalanceFacilityV1</t>
  </si>
  <si>
    <t>POST /system/customerManagement/customerProductsAndServices/v1/paymentBalanceFacility/retrieve</t>
  </si>
  <si>
    <t>Obtener los totales de pagos referenciados</t>
  </si>
  <si>
    <t>663ed903992dfa18ea0594bf</t>
  </si>
  <si>
    <t>Pro_RetrievePositiveBalanceFacilityV1</t>
  </si>
  <si>
    <t>RESMX000318</t>
  </si>
  <si>
    <t>Pro_RetrieveFeesV1</t>
  </si>
  <si>
    <t>POST /system/customerManagement/customerProductsAndServices/v1/positiveBalanceFacility/retrieve</t>
  </si>
  <si>
    <t>https://docs.google.com/document/d/1QY9QDmv4karNAEufQoeJm2y_B5Ni5laH/edit?usp=sharing&amp;ouid=109476200148949733365&amp;rtpof=true&amp;sd=true</t>
  </si>
  <si>
    <t>https://docs.google.com/spreadsheets/d/1Rru8oSIex8Dcy3eU2ILJpfcZ1h1CXOtW/edit?usp=drive_link&amp;ouid=109476200148949733365&amp;rtpof=true&amp;sd=true</t>
  </si>
  <si>
    <t>663ed903992dfa18ea0594c0</t>
  </si>
  <si>
    <t>Pro_RetrieveCustomerProductInformationV1</t>
  </si>
  <si>
    <t>POST /system/customerManagement/customerProductsAndServices/v1/customerProductInformation/retrieve</t>
  </si>
  <si>
    <t>https://docs.google.com/document/d/1Y92gf9CaqEAv6YjBxneCQF-IcD-RA2O_/edit?usp=sharing&amp;ouid=109476200148949733365&amp;rtpof=true&amp;sd=true</t>
  </si>
  <si>
    <t>https://docs.google.com/spreadsheets/d/10-NBCuazRZEW1XR4CglBJn4qzfE4voSq/edit?usp=drive_link&amp;ouid=109476200148949733365&amp;rtpof=true&amp;sd=true</t>
  </si>
  <si>
    <t>663ed903992dfa18ea0594c1</t>
  </si>
  <si>
    <t>Pro Corporate Current Account Legacy</t>
  </si>
  <si>
    <t>Pro_EvaluateCustomerProductInformationV1</t>
  </si>
  <si>
    <t>POST /system/customerManagement/customerProductsAndServices/v1/customerProductInformation/evaluate</t>
  </si>
  <si>
    <t>https://docs.google.com/document/d/1j1V-PWJNqj1VM7-oxZ_H93tXe34O5ceV/edit?usp=sharing&amp;ouid=109476200148949733365&amp;rtpof=true&amp;sd=true</t>
  </si>
  <si>
    <t>mx-api-bc-pro-corp-cur-acnt-leg</t>
  </si>
  <si>
    <t>APIMX000188</t>
  </si>
  <si>
    <t>https://docs.google.com/spreadsheets/d/1IM61B3E12-6tBZBHehEbITyQ-BMXh4g0/edit?usp=drive_link&amp;ouid=109476200148949733365&amp;rtpof=true&amp;sd=true</t>
  </si>
  <si>
    <t>663ed903992dfa18ea0594c2</t>
  </si>
  <si>
    <t>Pro_RetrieveAccountStatementV1</t>
  </si>
  <si>
    <t>POST /system/customerManagement/customerProductsAndServices/v1/accountStatement/retrieve</t>
  </si>
  <si>
    <t>https://docs.google.com/document/d/1iDbavVno8iETSOmWuHhUgiZYWGGGbscu/edit?usp=sharing&amp;ouid=109476200148949733365&amp;rtpof=true&amp;sd=true</t>
  </si>
  <si>
    <t>https://docs.google.com/spreadsheets/d/1FiI88dBnMFSdP_3ulG5WSKfWkA_eYM7d/edit?usp=drive_link&amp;ouid=109476200148949733365&amp;rtpof=true&amp;sd=true</t>
  </si>
  <si>
    <t>663ed903992dfa18ea0594c3</t>
  </si>
  <si>
    <t>RESMX000319</t>
  </si>
  <si>
    <t>Pro_RetrieveCashAdvanceOfferV1</t>
  </si>
  <si>
    <t>Pro_RetrieveProductV1</t>
  </si>
  <si>
    <t>POST /system/customerManagement/customerProductsAndServices/v1/product/retrieve</t>
  </si>
  <si>
    <t>https://docs.google.com/document/d/1sFWijK2YzfGybmrgRp40LbJzwZmjXcpP/edit?usp=sharing&amp;ouid=109476200148949733365&amp;rtpof=true&amp;sd=true</t>
  </si>
  <si>
    <t>https://docs.google.com/spreadsheets/d/1rdL7TxrMZyzpMBrF981NXAVF5hb4-7tI/edit?usp=drive_link&amp;ouid=109476200148949733365&amp;rtpof=true&amp;sd=true</t>
  </si>
  <si>
    <t>663ed903992dfa18ea0594c4</t>
  </si>
  <si>
    <t>Pro_EvaluateContactV1</t>
  </si>
  <si>
    <t>/system/relationshipManagement/customerRelationshipManagement</t>
  </si>
  <si>
    <t>POST /system/relationshipManagement/customerRelationshipManagement/v1/contact/evaluate</t>
  </si>
  <si>
    <t>Invalid business domain value "relationshipManagement", in the path "/system/relationshipManagement/customerRelationshipManagement".\nFor the service domain "customerRelationshipManagement" in the path "/system/relationshipManagement/customerRelationshipManagement" use the business domain "Customer Management".</t>
  </si>
  <si>
    <t>https://docs.google.com/document/d/1QD1kakjPXb9wLKFBFZHJGxAXkFZvnVML/edit?usp=sharing&amp;ouid=109476200148949733365&amp;rtpof=true&amp;sd=true</t>
  </si>
  <si>
    <t>https://docs.google.com/spreadsheets/d/1wfYWB5rd93dbOVS7jDqrphxc7TJwgbmR/edit?usp=drive_link&amp;ouid=109476200148949733365&amp;rtpof=true&amp;sd=true</t>
  </si>
  <si>
    <t>663ed903992dfa18ea0594c5</t>
  </si>
  <si>
    <t>Pro_EvaluateCustomerWorkbenchFinancialTransactionV1</t>
  </si>
  <si>
    <t>/system/crossChannel/customerWorkbench</t>
  </si>
  <si>
    <t>POST /system/crossChannel/customerWorkbench/v1/customerWorkbenchFinancialTransaction/evaluate</t>
  </si>
  <si>
    <t>https://docs.google.com/document/d/1LdFZ0gCTU1stzrypkFnLmTIUwVdhR_aX/edit?usp=sharing&amp;ouid=109476200148949733365&amp;rtpof=true&amp;sd=true</t>
  </si>
  <si>
    <t>https://docs.google.com/spreadsheets/d/1RcqHCpwqE7N96KiDmTwC0tbNwtbAI3uW/edit?usp=drive_link&amp;ouid=109476200148949733365&amp;rtpof=true&amp;sd=true</t>
  </si>
  <si>
    <t>663ed903992dfa18ea0594c6</t>
  </si>
  <si>
    <t>Pro_InitiatePaymentInitiationV1</t>
  </si>
  <si>
    <t>/system/tradeBanking/directDebit</t>
  </si>
  <si>
    <t>POST /system/tradeBanking/directDebit/v1/paymentInitiation/initiate</t>
  </si>
  <si>
    <t>Dom Internal Bank Account Corporate</t>
  </si>
  <si>
    <t>https://docs.google.com/document/d/11kvvMHMKLLt3Y51KGAuTe_l9683wuyso/edit?usp=sharing&amp;ouid=109476200148949733365&amp;rtpof=true&amp;sd=true</t>
  </si>
  <si>
    <t>https://docs.google.com/spreadsheets/d/110LCwu5opMLfRrTpmJiqjXXBZ4VaD-Yf/edit?usp=drive_link&amp;ouid=109476200148949733365&amp;rtpof=true&amp;sd=true</t>
  </si>
  <si>
    <t>663ed903992dfa18ea0594c7</t>
  </si>
  <si>
    <t>Pro_RegisterDocumentDirectoryEntryV1</t>
  </si>
  <si>
    <t>/system/documentManagementAndArchive/documentDirectory</t>
  </si>
  <si>
    <t>RESMX000320</t>
  </si>
  <si>
    <t>mx-api-bc-dom-int-bnk-acnt-corp</t>
  </si>
  <si>
    <t>Pro_ControlCashAdvanceOfferV1</t>
  </si>
  <si>
    <t>POST /system/documentManagementAndArchive/documentDirectory/v1/documentDirectoryEntry/register</t>
  </si>
  <si>
    <t>APIMX000189</t>
  </si>
  <si>
    <t>https://docs.google.com/document/d/1lnsRU4zjNEozsOFaok7ZKxjPLIvlQAAg/edit?usp=sharing&amp;ouid=109476200148949733365&amp;rtpof=true&amp;sd=true</t>
  </si>
  <si>
    <t>https://docs.google.com/spreadsheets/d/13cI5AOcBLdRRt74ZEbGrWrQW44fZQuV_/edit?usp=drive_link&amp;ouid=109476200148949733365&amp;rtpof=true&amp;sd=true</t>
  </si>
  <si>
    <t>663ed903992dfa18ea0594c8</t>
  </si>
  <si>
    <t>Pro_EvaluateDocumentDirectoryEntryV1</t>
  </si>
  <si>
    <t>POST /system/documentManagementAndArchive/documentDirectory/v1/documentDirectoryEntry/evaluate</t>
  </si>
  <si>
    <t>https://docs.google.com/document/d/1VqDtBzQ9ZpeliRuFBu8dlmAGDWZJoG9g/edit?usp=sharing&amp;ouid=109476200148949733365&amp;rtpof=true&amp;sd=true</t>
  </si>
  <si>
    <t>https://docs.google.com/spreadsheets/d/1RLvgMkm0OsF2aYHYsx-qM9s5ik2-C-_F/edit?usp=drive_link&amp;ouid=109476200148949733365&amp;rtpof=true&amp;sd=true</t>
  </si>
  <si>
    <t>663ed903992dfa18ea0594c9</t>
  </si>
  <si>
    <t>Pro_InitiateDocumentDirectoryEntryV1</t>
  </si>
  <si>
    <t>POST /system/documentManagementAndArchive/documentDirectory/v1/documentDirectoryEntry/initiate</t>
  </si>
  <si>
    <t>https://docs.google.com/spreadsheets/d/1nw1qk3QpB72cKKfTWdVs-FMJQ7_BLxQW/edit?usp=drive_link&amp;ouid=109476200148949733365&amp;rtpof=true&amp;sd=true</t>
  </si>
  <si>
    <t>663ed903992dfa18ea0594ca</t>
  </si>
  <si>
    <t>Pro_RegisterDocumentServiceProcedureV1</t>
  </si>
  <si>
    <t>/system/documentManagementAndArchive/documentServices</t>
  </si>
  <si>
    <t>POST /system/documentManagementAndArchive/documentServices/v1/documentServiceProcedure/register</t>
  </si>
  <si>
    <t>API que permite insertar datos de documentos en entidad de expedientes</t>
  </si>
  <si>
    <t>https://docs.google.com/document/d/1Eg6o3heGujkbCcuxH4eb_rc7vQD70epl/edit?usp=sharing&amp;ouid=109476200148949733365&amp;rtpof=true&amp;sd=true</t>
  </si>
  <si>
    <t>https://docs.google.com/spreadsheets/d/1INQujr1uGJMtBCLYJX-PcLrYsq9WJKtQ/edit?usp=drive_link&amp;ouid=109476200148949733365&amp;rtpof=true&amp;sd=true</t>
  </si>
  <si>
    <t>663ed903992dfa18ea0594cb</t>
  </si>
  <si>
    <t>RESMX000321</t>
  </si>
  <si>
    <t>Pro_UpdateCashAdvanceBalanceV1</t>
  </si>
  <si>
    <t>Pro_RetrieveFinancialBookingLogV1</t>
  </si>
  <si>
    <t>/system/regulationsAndCompliance/financialAccounting</t>
  </si>
  <si>
    <t>GET /system/regulationsAndCompliance/financialAccounting/v1/financialBookingLog/retrieve</t>
  </si>
  <si>
    <t>https://docs.google.com/spreadsheets/d/1wIcZm77Kg6pPxWg9nbvlMCSGhf5VxlxK/edit?usp=drive_link&amp;ouid=109476200148949733365&amp;rtpof=true&amp;sd=true</t>
  </si>
  <si>
    <t>663ed903992dfa18ea0594cc</t>
  </si>
  <si>
    <t>Pro_CaptureFinancialBookingLogV1</t>
  </si>
  <si>
    <t>PATCH /system/regulationsAndCompliance/financialAccounting/v1/financialBookingLog/capture</t>
  </si>
  <si>
    <t>https://docs.google.com/document/d/1JCeF9_QUcZRFCiJNaYaFw3hYGOaUFk7S/edit?usp=sharing&amp;ouid=109476200148949733365&amp;rtpof=true&amp;sd=true</t>
  </si>
  <si>
    <t>https://docs.google.com/spreadsheets/d/1uL6DVk6of_kSqS4YimvoQ96CuAs7ZlfM/edit?usp=drive_link&amp;ouid=109476200148949733365&amp;rtpof=true&amp;sd=true</t>
  </si>
  <si>
    <t>663ed903992dfa18ea0594cd</t>
  </si>
  <si>
    <t>Pro_UpdateFinancialBookingLogV1</t>
  </si>
  <si>
    <t>Rec Internal Bank Account Corporate</t>
  </si>
  <si>
    <t>PATCH /system/regulationsAndCompliance/financialAccounting/v1/financialBookingLog/update</t>
  </si>
  <si>
    <t>https://docs.google.com/document/d/1K1KwPh6ubzKnANyycyTa77Q_-fKlVeJD/edit?usp=sharing&amp;ouid=109476200148949733365&amp;rtpof=true&amp;sd=true</t>
  </si>
  <si>
    <t>https://docs.google.com/spreadsheets/d/1fGd64EBLem40r0wUznUhQZ8HYPdNV5rM/edit?usp=drive_link&amp;ouid=109476200148949733365&amp;rtpof=true&amp;sd=true</t>
  </si>
  <si>
    <t>663ed903992dfa18ea0594ce</t>
  </si>
  <si>
    <t>Pro_RegisterFinancialBookingLogV1</t>
  </si>
  <si>
    <t>POST /system/regulationsAndCompliance/financialAccounting/v1/financialBookingLog/register</t>
  </si>
  <si>
    <t>mx-api-bc-rec-int-bnk-acnt-corp</t>
  </si>
  <si>
    <t>https://docs.google.com/document/d/1XH0K3BBX6Y4hZMEnGaEu8_Jo-Y9a0ikj/edit?usp=sharing&amp;ouid=109476200148949733365&amp;rtpof=true&amp;sd=true</t>
  </si>
  <si>
    <t>APIMX000190</t>
  </si>
  <si>
    <t>https://docs.google.com/spreadsheets/d/1pTCDSDRuThZKTY8CShTl8ENcL4GCi7b-/edit?usp=drive_link&amp;ouid=109476200148949733365&amp;rtpof=true&amp;sd=true</t>
  </si>
  <si>
    <t>663ed903992dfa18ea0594cf</t>
  </si>
  <si>
    <t>Pro_UpdateFraudResolutionProcedureV1</t>
  </si>
  <si>
    <t>/system/regulationsAndCompliance/fraudResolution</t>
  </si>
  <si>
    <t>PATCH /system/regulationsAndCompliance/fraudResolution/v1/fraudResolutionProcedure/update</t>
  </si>
  <si>
    <t>Esta API Decrementa el campo ‘importe_dia’ de la tabla si_limite_diario restándole el monto a reversar, para el cliente cuenta canal especificado.</t>
  </si>
  <si>
    <t>RESMX000322</t>
  </si>
  <si>
    <t>Pro_RegisterCardTransactionEventV1</t>
  </si>
  <si>
    <t>https://docs.google.com/document/d/1FLjrdMiMGTkfZRs_GWK14ZvOPh9ISSDm/edit?usp=sharing&amp;ouid=109476200148949733365&amp;rtpof=true&amp;sd=true</t>
  </si>
  <si>
    <t>https://docs.google.com/spreadsheets/d/1CRh0_LJX7rf-Co3cShGDTbB5kw1bmH38/edit?usp=drive_link&amp;ouid=109476200148949733365&amp;rtpof=true&amp;sd=true</t>
  </si>
  <si>
    <t>663ed903992dfa18ea0594d0</t>
  </si>
  <si>
    <t>Pro_UpdateCustomerProductRelationV1</t>
  </si>
  <si>
    <t>/system/crossChannel/interactiveHelp</t>
  </si>
  <si>
    <t>PATCH /system/crossChannel/interactiveHelp/v1/customerProductRelation/update</t>
  </si>
  <si>
    <t>https://docs.google.com/document/d/1r_2U1Oc72_xnyJ5eCSsBwGN3THOvXBiJ/edit?usp=sharing&amp;ouid=109476200148949733365&amp;rtpof=true&amp;sd=true</t>
  </si>
  <si>
    <t>https://docs.google.com/spreadsheets/d/12dXsIiFwgx09ePMSOX-k1sciIFR4NNgY/edit?usp=drive_link&amp;ouid=109476200148949733365&amp;rtpof=true&amp;sd=true</t>
  </si>
  <si>
    <t>663ed903992dfa18ea0594d1</t>
  </si>
  <si>
    <t>Pro_RegisterCustomerProductRelationV1</t>
  </si>
  <si>
    <t>POST /system/crossChannel/interactiveHelp/v1/customerProductRelation/register</t>
  </si>
  <si>
    <t>https://docs.google.com/spreadsheets/d/1Yi0F9P8cIu-mGIAu0s2Fgz8aqzs4RosC/edit?usp=drive_link&amp;ouid=109476200148949733365&amp;rtpof=true&amp;sd=true</t>
  </si>
  <si>
    <t>663ed903992dfa18ea0594d2</t>
  </si>
  <si>
    <t>Pro_RetrieveInternalBankAccountReferenceV1</t>
  </si>
  <si>
    <t>/system/operationalService/internalBankAccount</t>
  </si>
  <si>
    <t>POST /system/operationalService/internalBankAccount/v1/internalBankAccountReference/retrieve</t>
  </si>
  <si>
    <t>Invalid business domain value "operationalService", in the path "/system/operationalService/internalBankAccount".\nFor the service domain "internalBankAccount" in the path "/system/operationalService/internalBankAccount" use the business domain "Operational Services".</t>
  </si>
  <si>
    <t>https://docs.google.com/document/d/1Ibmb51eyBDj4of_w6_xpA6yJwND3rJk8/edit?usp=sharing&amp;ouid=109476200148949733365&amp;rtpof=true&amp;sd=true</t>
  </si>
  <si>
    <t>https://docs.google.com/spreadsheets/d/1qALhipLbTRzvuKWvonKvsQiLrfGBGCnn/edit?usp=drive_link&amp;ouid=109476200148949733365&amp;rtpof=true&amp;sd=true</t>
  </si>
  <si>
    <t>663ed903992dfa18ea0594d3</t>
  </si>
  <si>
    <t>Pro_RetrieveInternalBankV1</t>
  </si>
  <si>
    <t>GET /system/operationalService/internalBankAccount/v1/internalBank/retrieve</t>
  </si>
  <si>
    <t>https://docs.google.com/document/d/1-iSbHFECF23PoaFzVq4likPk-om3elbC/edit?usp=sharing&amp;ouid=109476200148949733365&amp;rtpof=true&amp;sd=true</t>
  </si>
  <si>
    <t>https://docs.google.com/spreadsheets/d/16DlQxLXUHzFtvX9GmJK4qRZF0UwFrLED/edit?usp=drive_link&amp;ouid=109476200148949733365&amp;rtpof=true&amp;sd=true</t>
  </si>
  <si>
    <t>663ed903992dfa18ea0594d4</t>
  </si>
  <si>
    <t>RESMX000323</t>
  </si>
  <si>
    <t>Pro_RetrieveInvestmentAccountFacilityV1</t>
  </si>
  <si>
    <t>/system/investmentManagement/investmentAccount</t>
  </si>
  <si>
    <t>POST /system/investmentManagement/investmentAccount/v1/investmentAccountFacility/retrieve</t>
  </si>
  <si>
    <t>Pro Internal Bank Account Corporate</t>
  </si>
  <si>
    <t>https://docs.google.com/document/d/1X4u0YDbQEe_A0zD2qwTE5Ms4fOnhXehT/edit?usp=sharing&amp;ouid=109476200148949733365&amp;rtpof=true&amp;sd=true</t>
  </si>
  <si>
    <t>https://docs.google.com/spreadsheets/d/1oKN_FU_JUMcK_H9yMIQ0rYtg8mt4PPiQ/edit?usp=drive_link&amp;ouid=109476200148949733365&amp;rtpof=true&amp;sd=true</t>
  </si>
  <si>
    <t>663ed903992dfa18ea0594d5</t>
  </si>
  <si>
    <t>https://coppelmx.atlassian.net/wiki/x/FIAEOg</t>
  </si>
  <si>
    <t>Pro_InitiateDeviceAssignmentV1</t>
  </si>
  <si>
    <t>/system/operationalServices/issuedDeviceAdministration</t>
  </si>
  <si>
    <t>mx-api-bc-pro-int-bnk-acnt-corp</t>
  </si>
  <si>
    <t>APIMX000191</t>
  </si>
  <si>
    <t>POST /system/operationalServices/issuedDeviceAdministration/v1/deviceAssignment/initiate</t>
  </si>
  <si>
    <t>Servicio de Dominio encargado de almacenar la información del dispositivo del usuario, durante el proceso de onboarding del cliente</t>
  </si>
  <si>
    <t>https://docs.google.com/document/d/1XaoG277k_Zf_S4zztTkSuXYe7-OWUtkN/edit?usp=sharing&amp;ouid=109476200148949733365&amp;rtpof=true&amp;sd=true</t>
  </si>
  <si>
    <t>https://docs.google.com/spreadsheets/d/1FTnbX36Oy4m0U3kpMivFZHvupYPuUm-M/edit?usp=drive_link&amp;ouid=109476200148949733365&amp;rtpof=true&amp;sd=true</t>
  </si>
  <si>
    <t>663ed903992dfa18ea0594d6</t>
  </si>
  <si>
    <t>Pro_RetrieveDeviceAssignmentV1</t>
  </si>
  <si>
    <t>GET /system/operationalServices/issuedDeviceAdministration/v1/deviceAssignment/retrieve</t>
  </si>
  <si>
    <t>https://docs.google.com/document/d/1odKlTHa3dPFIS8s2m1ukTiz8H3B9B6QE/edit?usp=sharing&amp;ouid=109476200148949733365&amp;rtpof=true&amp;sd=true</t>
  </si>
  <si>
    <t>https://docs.google.com/spreadsheets/d/1AcUsYDPLc3EJYF-pGpwK9NtjRaQhq096/edit?usp=drive_link&amp;ouid=109476200148949733365&amp;rtpof=true&amp;sd=true</t>
  </si>
  <si>
    <t>663ed903992dfa18ea0594d7</t>
  </si>
  <si>
    <t>Pro_RegisterDeviceAssignmentV1</t>
  </si>
  <si>
    <t>POST /system/operationalServices/issuedDeviceAdministration/v1/deviceAssignment/register</t>
  </si>
  <si>
    <t>https://docs.google.com/spreadsheets/d/1R0mc-deU2rkfBu-lGKeO0Pa80D32NhH3/edit?usp=drive_link&amp;ouid=109476200148949733365&amp;rtpof=true&amp;sd=true</t>
  </si>
  <si>
    <t>663ed903992dfa18ea0594d8</t>
  </si>
  <si>
    <t>Pro_InitiateTokenAssignmentV1</t>
  </si>
  <si>
    <t>RESMX000324</t>
  </si>
  <si>
    <t>Pro_RetrieveCreditCardAssessmentV1</t>
  </si>
  <si>
    <t>POST /system/operationalServices/issuedDeviceAdministration/v1/tokenAssignment/initiate</t>
  </si>
  <si>
    <t>Envía un código OTP( One Time Password) para validar un onboarding mediante la definicion de un tipo de medio de envio (SMS o Correo).</t>
  </si>
  <si>
    <t>663ed903992dfa18ea0594d9</t>
  </si>
  <si>
    <t>Pro_EvaluateTokenAssignmentV1</t>
  </si>
  <si>
    <t>POST /system/operationalServices/issuedDeviceAdministration/v1/tokenAssignment/evaluate</t>
  </si>
  <si>
    <t>663ed903992dfa18ea0594da</t>
  </si>
  <si>
    <t>Pro_RetrieveTokenAssignmentV1</t>
  </si>
  <si>
    <t>POST /system/operationalServices/issuedDeviceAdministration/v1/tokenAssignment/retrieve</t>
  </si>
  <si>
    <t>Obtiene la información general del token.</t>
  </si>
  <si>
    <t>https://docs.google.com/document/d/19ypsdoWGVCYaciAorXQnClG6CP6rr6Jk/edit?usp=sharing&amp;ouid=109476200148949733365&amp;rtpof=true&amp;sd=true</t>
  </si>
  <si>
    <t>https://docs.google.com/spreadsheets/d/1Sfp_OvFMzn34mRFoejbYTk1qabyToldV/edit?usp=drive_link&amp;ouid=109476200148949733365&amp;rtpof=true&amp;sd=true</t>
  </si>
  <si>
    <t>663ed903992dfa18ea0594db</t>
  </si>
  <si>
    <t>Pro_RetrieveBiometricAssignmentV1</t>
  </si>
  <si>
    <t>GET /system/operationalServices/issuedDeviceAdministration/v1/biometricAssignment/{companyReference}/{customerReference}/retrieve</t>
  </si>
  <si>
    <t>https://docs.google.com/document/d/1mHbmaverXzJltJACyiPJ7u99pHd3bWUQ/edit?usp=sharing&amp;ouid=109476200148949733365&amp;rtpof=true&amp;sd=true</t>
  </si>
  <si>
    <t>Dom Document Services Corporate</t>
  </si>
  <si>
    <t>https://docs.google.com/spreadsheets/d/1t6DyVoufW6jjYz4ZH080mwgUpaOAvXyE/edit?usp=drive_link&amp;ouid=109476200148949733365&amp;rtpof=true&amp;sd=true</t>
  </si>
  <si>
    <t>663ed903992dfa18ea0594dc</t>
  </si>
  <si>
    <t>Pro_InitiateBiometricAssignmentV1</t>
  </si>
  <si>
    <t>POST /system/operationalServices/issuedDeviceAdministration/v1/biometricAssignment/initiate</t>
  </si>
  <si>
    <t>663ed903992dfa18ea0594dd</t>
  </si>
  <si>
    <t>mx-api-bc-dom-document-services-corp</t>
  </si>
  <si>
    <t>Pro_UpdateBiometricAssignmentV1</t>
  </si>
  <si>
    <t>APIMX000192</t>
  </si>
  <si>
    <t>RESMX000325</t>
  </si>
  <si>
    <t>PUT /system/operationalServices/issuedDeviceAdministration/v1/biometricAssignment/update</t>
  </si>
  <si>
    <t>663ed903992dfa18ea0594de</t>
  </si>
  <si>
    <t>Pro_InitiatePasswordAssignmentV1</t>
  </si>
  <si>
    <t>POST /system/operationalServices/issuedDeviceAdministration/v1/passwordAssignment/initiate</t>
  </si>
  <si>
    <t>Api proxy que permite la asignación de NIP(Cambio de NIP) de la tarjeta de crédito..</t>
  </si>
  <si>
    <t>663ed903992dfa18ea0594df</t>
  </si>
  <si>
    <t>https://coppelmx.atlassian.net/wiki/x/CgBJOg</t>
  </si>
  <si>
    <t>Pro_RegisterPasswordAssignmentLogV1</t>
  </si>
  <si>
    <t>POST /system/operationalServices/issuedDeviceAdministration/v1/passwordAssignmentLog/register</t>
  </si>
  <si>
    <t>https://docs.google.com/document/d/1Vymc6hSyWS_rxKmXjteN-MaA_A8Yypvz/edit?usp=sharing&amp;ouid=109476200148949733365&amp;rtpof=true&amp;sd=true</t>
  </si>
  <si>
    <t>https://docs.google.com/spreadsheets/d/1YNHGxv5RhBGTu-G6tg1a0FYnNIQj1v_O/edit?usp=drive_link&amp;ouid=109476200148949733365&amp;rtpof=true&amp;sd=true</t>
  </si>
  <si>
    <t>663ed903992dfa18ea0594e0</t>
  </si>
  <si>
    <t>Pro_UpdateDeviceAssignmentV1</t>
  </si>
  <si>
    <t>PATCH /system/operationalServices/issuedDeviceAdministration/v1/deviceAssignment/update</t>
  </si>
  <si>
    <t>https://docs.google.com/document/d/1Yv0kf_XVFpOYPPVzXrZST5DJ1zYQdq0J/edit?usp=sharing&amp;ouid=109476200148949733365&amp;rtpof=true&amp;sd=true</t>
  </si>
  <si>
    <t>https://docs.google.com/spreadsheets/d/1DrRUyzl342ZYSDG8Tp8WmRW-K2OmiPxa/edit?usp=drive_link&amp;ouid=109476200148949733365&amp;rtpof=true&amp;sd=true</t>
  </si>
  <si>
    <t>663ed903992dfa18ea0594e1</t>
  </si>
  <si>
    <t>Pro_CaptureTokenAssignmentV1</t>
  </si>
  <si>
    <t>PUT /system/operationalServices/issuedDeviceAdministration/v1/tokenAssignment/capture</t>
  </si>
  <si>
    <t>https://docs.google.com/document/d/1mL-mAmsUf3JuAYXrvLa86M9M57_wYEpW/edit?usp=sharing&amp;ouid=109476200148949733365&amp;rtpof=true&amp;sd=true</t>
  </si>
  <si>
    <t>RESMX000326</t>
  </si>
  <si>
    <t>https://docs.google.com/spreadsheets/d/10fN1ZwEYd4O7zY3tl874WpLSannl3fMz/edit?usp=drive_link&amp;ouid=109476200148949733365&amp;rtpof=true&amp;sd=true</t>
  </si>
  <si>
    <t>663ed903992dfa18ea0594e2</t>
  </si>
  <si>
    <t>Rec Document Services Corporate</t>
  </si>
  <si>
    <t>Pro_CreatePasswordAssignmentV1</t>
  </si>
  <si>
    <t>POST /system/operationalServices/issuedDeviceAdministration/v1/passwordAssignment/create</t>
  </si>
  <si>
    <t>https://docs.google.com/document/d/1fxjOdJFM66607qOavNRQRIY3bw1-ATVX/edit?usp=sharing&amp;ouid=109476200148949733365&amp;rtpof=true&amp;sd=true</t>
  </si>
  <si>
    <t>https://docs.google.com/spreadsheets/d/1SVP2XaL2TAEk46rUci6w5Q2OWmp3wqCh/edit?usp=drive_link&amp;ouid=109476200148949733365&amp;rtpof=true&amp;sd=true</t>
  </si>
  <si>
    <t>663ed903992dfa18ea0594e3</t>
  </si>
  <si>
    <t>Pro_RegisterLegalEntityDirectoryEntryV1</t>
  </si>
  <si>
    <t>/system/party/legalEntityDirectory</t>
  </si>
  <si>
    <t>POST /system/party/legalEntityDirectory/v1/legalEntityDirectoryEntry/register</t>
  </si>
  <si>
    <t>Operación encargada de realizar la inserción de un nuevo cliente empresarial en transact</t>
  </si>
  <si>
    <t>https://docs.google.com/document/d/1BRVhm_pWWevCQbHH1rb16w0PCaNXxxHB/edit?usp=sharing&amp;ouid=109476200148949733365&amp;rtpof=true&amp;sd=true</t>
  </si>
  <si>
    <t>https://docs.google.com/spreadsheets/d/1NvApleVoaKPJ9iP_2bMaXxh5ZXDq_mKk/edit?usp=drive_link&amp;ouid=109476200148949733365&amp;rtpof=true&amp;sd=true</t>
  </si>
  <si>
    <t>663ed903992dfa18ea0594e4</t>
  </si>
  <si>
    <t>Pro_UpdateLegalEntityDirectoryEntryV1</t>
  </si>
  <si>
    <t>PATCH /system/party/legalEntityDirectory/v1/legalEntityDirectoryEntry/update</t>
  </si>
  <si>
    <t>https://docs.google.com/document/d/1ia1QspudHt65qJ_xxmCVdsnDPV7zZqMk/edit?usp=sharing&amp;ouid=109476200148949733365&amp;rtpof=true&amp;sd=true</t>
  </si>
  <si>
    <t>https://docs.google.com/spreadsheets/d/1N5gDVsMsM0XS8xK10y3Ns0VTGI2Vsrva/edit?usp=drive_link&amp;ouid=109476200148949733365&amp;rtpof=true&amp;sd=true</t>
  </si>
  <si>
    <t>https://coppelmx.atlassian.net/wiki/x/HwBTOg</t>
  </si>
  <si>
    <t>663ed903992dfa18ea0594e5</t>
  </si>
  <si>
    <t>Pro_EvaluateLoanAgreementV1</t>
  </si>
  <si>
    <t>/system/loansAndDeposits/loan</t>
  </si>
  <si>
    <t>POST /system/loansAndDeposits/loan/v1/loanAgreement/evaluate</t>
  </si>
  <si>
    <t>https://docs.google.com/document/d/1iS8ZMcyiryO6Cgy3dYru8T-I6kqukXUN/edit?usp=sharing&amp;ouid=109476200148949733365&amp;rtpof=true&amp;sd=true</t>
  </si>
  <si>
    <t>https://docs.google.com/spreadsheets/d/1PizKqNVWqCKCJ1FGT7vNZ5q98I86dOl8/edit?usp=drive_link&amp;ouid=109476200148949733365&amp;rtpof=true&amp;sd=true</t>
  </si>
  <si>
    <t>663ed903992dfa18ea0594e6</t>
  </si>
  <si>
    <t>Pro_ExecuteLoanFacilityReportV1</t>
  </si>
  <si>
    <t>PATCH /system/loansAndDeposits/loan/v1/loanFacilityReport/execute</t>
  </si>
  <si>
    <t>mx-api-bc-rec-document-services-corp</t>
  </si>
  <si>
    <t>https://docs.google.com/document/d/1jHNRMdhM7VICE-nucbtfFhNwHN4IMaWR/edit?usp=sharing&amp;ouid=109476200148949733365&amp;rtpof=true&amp;sd=true</t>
  </si>
  <si>
    <t>https://docs.google.com/spreadsheets/d/19CFoDt1DVc3gYEzcl9P4Nu4MtgUZfutG/edit?usp=drive_link&amp;ouid=109476200148949733365&amp;rtpof=true&amp;sd=true</t>
  </si>
  <si>
    <t>663ed903992dfa18ea0594e7</t>
  </si>
  <si>
    <t>APIMX000193</t>
  </si>
  <si>
    <t>Pro_InitiateLoanFacilityV1</t>
  </si>
  <si>
    <t>POST /system/loansAndDeposits/loan/v1/loanFacility/initiate</t>
  </si>
  <si>
    <t>https://docs.google.com/document/d/1U2zHYbD8k33GVxTEFQKLcwbL0aOfgVAM/edit?usp=sharing&amp;ouid=109476200148949733365&amp;rtpof=true&amp;sd=true</t>
  </si>
  <si>
    <t>https://docs.google.com/spreadsheets/d/1XVMqedv7560WHEfvbV5pEvnJXL7BwUfH/edit?usp=drive_link&amp;ouid=109476200148949733365&amp;rtpof=true&amp;sd=true</t>
  </si>
  <si>
    <t>663ed903992dfa18ea0594e8</t>
  </si>
  <si>
    <t>Pro_RetrieveLoanFacilityV1</t>
  </si>
  <si>
    <t>GET /system/loansAndDeposits/loan/v1/loanFacility/retrieve</t>
  </si>
  <si>
    <t>https://docs.google.com/document/d/1bjK0254ZswQ_GTGmW53_7__HMSw3Z5Tj/edit?usp=sharing&amp;ouid=109476200148949733365&amp;rtpof=true&amp;sd=true</t>
  </si>
  <si>
    <t>https://docs.google.com/spreadsheets/d/13mamfn5kifSeNgn0sguQGcuKIjfsjZnO/edit?usp=drive_link&amp;ouid=109476200148949733365&amp;rtpof=true&amp;sd=true</t>
  </si>
  <si>
    <t>663ed903992dfa18ea0594e9</t>
  </si>
  <si>
    <t>RESMX000327</t>
  </si>
  <si>
    <t>Pro_RequestLoanProjectionV1</t>
  </si>
  <si>
    <t>PATCH /system/loansAndDeposits/loan/v1/loanProjection/request</t>
  </si>
  <si>
    <t>663ed903992dfa18ea0594ea</t>
  </si>
  <si>
    <t>Pro_RetrieveLoanAgreementV1</t>
  </si>
  <si>
    <t>GET /system/loansAndDeposits/loan/v1/loanAgreement/retrieve</t>
  </si>
  <si>
    <t>https://docs.google.com/document/d/1HFC7bdweo89EFKj4N6cSH9fG6memZemj/edit?usp=sharing&amp;ouid=109476200148949733365&amp;rtpof=true&amp;sd=true</t>
  </si>
  <si>
    <t>https://docs.google.com/spreadsheets/d/1NLPIC9Zej4aBTMuFVhO9ZtgjyUaipecN/edit?usp=drive_link&amp;ouid=109476200148949733365&amp;rtpof=true&amp;sd=true</t>
  </si>
  <si>
    <t>663ed903992dfa18ea0594eb</t>
  </si>
  <si>
    <t>Pro_RetrieveLoanBalanceV1</t>
  </si>
  <si>
    <t>GET /system/loansAndDeposits/loan/v1/loanBalance/retrieve</t>
  </si>
  <si>
    <t>663ed903992dfa18ea0594ec</t>
  </si>
  <si>
    <t>Pro_RetrieveLoanDataDocumentV1</t>
  </si>
  <si>
    <t>GET /system/loansAndDeposits/loan/v1/loanDataDocument/retrieve</t>
  </si>
  <si>
    <t>https://docs.google.com/document/d/1fmG-ALPD4XbtTv717gCtjl3djQjFKvzJ/edit?usp=sharing&amp;ouid=109476200148949733365&amp;rtpof=true&amp;sd=true</t>
  </si>
  <si>
    <t>https://docs.google.com/spreadsheets/d/1615a0rS9fZEQy1avGst8EkZFdnX5cOO3/edit?usp=drive_link&amp;ouid=109476200148949733365&amp;rtpof=true&amp;sd=true</t>
  </si>
  <si>
    <t>663ed903992dfa18ea0594ed</t>
  </si>
  <si>
    <t>Pro_RetrieveMaintenanceV1</t>
  </si>
  <si>
    <t>POST /system/loansAndDeposits/loan/v1/maintenance/retrieve</t>
  </si>
  <si>
    <t>https://docs.google.com/spreadsheets/d/1Oof9HumfYo2RCLnRnt6TZWctXpw5ILfw/edit?usp=drive_link&amp;ouid=109476200148949733365&amp;rtpof=true&amp;sd=true</t>
  </si>
  <si>
    <t>663ed903992dfa18ea0594ee</t>
  </si>
  <si>
    <t>Pro_EvaluateStreetV1</t>
  </si>
  <si>
    <t>/system/marketData/locationDataManagement</t>
  </si>
  <si>
    <t>POST /system/marketData/locationDataManagement/v1/street/evaluate</t>
  </si>
  <si>
    <t>Servicio de Proxy encargado de consultar los datos correctos de una calle.</t>
  </si>
  <si>
    <t>RESMX000328</t>
  </si>
  <si>
    <t>https://docs.google.com/document/d/13vXN1ct6wJS72BMNmlmUE9S8gaKVg0OX/edit?usp=sharing&amp;ouid=109476200148949733365&amp;rtpof=true&amp;sd=true</t>
  </si>
  <si>
    <t>https://docs.google.com/spreadsheets/d/156jwb7BfnlnpBZCNKmH3PYMVKa-4Gqy-/edit?usp=drive_link&amp;ouid=109476200148949733365&amp;rtpof=true&amp;sd=true</t>
  </si>
  <si>
    <t>663ed903992dfa18ea0594ef</t>
  </si>
  <si>
    <t>Pro_RetrieveSepomexV1</t>
  </si>
  <si>
    <t>POST /system/marketData/locationDataManagement/v1/sepomex/retrieve</t>
  </si>
  <si>
    <t>Servicio de Proxy que se encargará de consultar el catálogo de direcciones.</t>
  </si>
  <si>
    <t>https://docs.google.com/document/d/1bOd2UzozX6XmK3c3d2pI4MQmK_qudJKK/edit?usp=sharing&amp;ouid=109476200148949733365&amp;rtpof=true&amp;sd=true</t>
  </si>
  <si>
    <t>https://docs.google.com/spreadsheets/d/1OrgqPrIHgNSIEujVf8lcsNC0zZzo7sIc/edit?usp=drive_link&amp;ouid=109476200148949733365&amp;rtpof=true&amp;sd=true</t>
  </si>
  <si>
    <t>663ed903992dfa18ea0594f0</t>
  </si>
  <si>
    <t>Pro_RegisterLocationV1</t>
  </si>
  <si>
    <t>POST /system/marketData/locationDataManagement/v1/location/register</t>
  </si>
  <si>
    <t>API que permite guardar la dirección del cliente</t>
  </si>
  <si>
    <t>https://docs.google.com/document/d/1Tc7ZW_taAUQ06MDCYhgamIZPxQ--_dRt/edit?usp=sharing&amp;ouid=109476200148949733365&amp;rtpof=true&amp;sd=true</t>
  </si>
  <si>
    <t>https://docs.google.com/spreadsheets/d/1UVSRPn-IKOcqsYFREKhWjVDOxhd0Bvm9/edit?usp=drive_link&amp;ouid=109476200148949733365&amp;rtpof=true&amp;sd=true</t>
  </si>
  <si>
    <t>663ed903992dfa18ea0594f1</t>
  </si>
  <si>
    <t>Pro_UpdateSepomexV1</t>
  </si>
  <si>
    <t>/v1/sepomex/{sessionDialogueIdentification}/update</t>
  </si>
  <si>
    <t>PATCH /system/marketData/locationDataManagement/v1/sepomex/update</t>
  </si>
  <si>
    <t>Servicio de Proxy que Actualiza en tabla Address (Homologación SEPOMEX)</t>
  </si>
  <si>
    <t>663ed903992dfa18ea0594f2</t>
  </si>
  <si>
    <t>Pro_RegisterProfileFacilityV1</t>
  </si>
  <si>
    <t>/system/crossChannel/partyAuthentication</t>
  </si>
  <si>
    <t>POST /system/crossChannel/partyAuthentication/v1/profileFacility/register</t>
  </si>
  <si>
    <t>https://docs.google.com/document/d/103NqKMf8Z3wa7iqzZYinT5Xrtjcv-eif/edit?usp=sharing&amp;ouid=109476200148949733365&amp;rtpof=true&amp;sd=true</t>
  </si>
  <si>
    <t>https://docs.google.com/spreadsheets/d/1v0QyS6M0HZXlySDRt7zhqiXceEfYU-ap/edit?usp=drive_link&amp;ouid=109476200148949733365&amp;rtpof=true&amp;sd=true</t>
  </si>
  <si>
    <t>663ed903992dfa18ea0594f3</t>
  </si>
  <si>
    <t>Pro_EvaluatePartyAuthenticationAssessmentV1</t>
  </si>
  <si>
    <t>POST /system/crossChannel/partyAuthentication/v1/partyAuthenticationAssessment/evaluate</t>
  </si>
  <si>
    <t>RESMX000329</t>
  </si>
  <si>
    <t>Pro Document Services Corporate</t>
  </si>
  <si>
    <t>https://docs.google.com/document/d/1exqAkQR9r5JcXWyQtcfaqMF3-oxmMX9c/edit?usp=sharing&amp;ouid=109476200148949733365&amp;rtpof=true&amp;sd=true</t>
  </si>
  <si>
    <t>https://docs.google.com/spreadsheets/d/193JJj__3ARDVu_a2oD1Sv1B6xvyv-f4m/edit?usp=drive_link&amp;ouid=109476200148949733365&amp;rtpof=true&amp;sd=true</t>
  </si>
  <si>
    <t>663ed903992dfa18ea0594f4</t>
  </si>
  <si>
    <t>Pro_EvaluatePasswordV1</t>
  </si>
  <si>
    <t>POST /system/crossChannel/partyAuthentication/v1/password/evaluate</t>
  </si>
  <si>
    <t>https://docs.google.com/document/d/1I34gTKDmNC5Piuta1diPnYbJWpDx3itA/edit?usp=sharing&amp;ouid=109476200148949733365&amp;rtpof=true&amp;sd=true</t>
  </si>
  <si>
    <t>https://docs.google.com/spreadsheets/d/1bQRIEKk2XkhvuiYPGPT9bRnzy_qv-6po/edit?usp=drive_link&amp;ouid=109476200148949733365&amp;rtpof=true&amp;sd=true</t>
  </si>
  <si>
    <t>663ed903992dfa18ea0594f5</t>
  </si>
  <si>
    <t>Pro_CaptureDocumentationV1</t>
  </si>
  <si>
    <t>/system/sales/partyLifecycleManagement</t>
  </si>
  <si>
    <t>mx-api-bc-pro-document-services-corp</t>
  </si>
  <si>
    <t>PATCH /system/sales/partyLifecycleManagement/v1/documentation/capture</t>
  </si>
  <si>
    <t>Servicio que permite ejecutar la carga del reverso del anverso del documento de identidad</t>
  </si>
  <si>
    <t>APIMX000194</t>
  </si>
  <si>
    <t>https://docs.google.com/document/d/1yjIyBG08CpoYZswIVg0iSI6A52ULAuEs/edit?usp=sharing&amp;ouid=109476200148949733365&amp;rtpof=true&amp;sd=true</t>
  </si>
  <si>
    <t>https://docs.google.com/spreadsheets/d/1mE0W5c1wPphW8Py9oNNK4wICpBqrkzFp/edit?usp=drive_link&amp;ouid=109476200148949733365&amp;rtpof=true&amp;sd=true</t>
  </si>
  <si>
    <t>663ed903992dfa18ea0594f6</t>
  </si>
  <si>
    <t>Pro_EvaluateDocumentationV1</t>
  </si>
  <si>
    <t>POST /system/sales/partyLifecycleManagement/v1/documentation/evaluate</t>
  </si>
  <si>
    <t>https://docs.google.com/document/d/17QAA7xbHWIbXSFYpI3fpiLiQyVthZ1s-/edit?usp=sharing&amp;ouid=109476200148949733365&amp;rtpof=true&amp;sd=true</t>
  </si>
  <si>
    <t>https://docs.google.com/spreadsheets/d/1OYYLvuW44Heb-1GjBYIO_0CNd_p30wx6/edit?usp=drive_link&amp;ouid=109476200148949733365&amp;rtpof=true&amp;sd=true</t>
  </si>
  <si>
    <t>663ed903992dfa18ea0594f7</t>
  </si>
  <si>
    <t>Pro_UpdateDocumentationV1</t>
  </si>
  <si>
    <t>PATCH /system/sales/partyLifecycleManagement/v1/documentation/update</t>
  </si>
  <si>
    <t>https://docs.google.com/document/d/1Tvg_B80O9Nh3lYdDLtxXQZ2euaT9mEC4/edit?usp=sharing&amp;ouid=109476200148949733365&amp;rtpof=true&amp;sd=true</t>
  </si>
  <si>
    <t>https://docs.google.com/spreadsheets/d/1HNWwMNI84wLACdAWcVTyJaENapaSZBNb/edit?usp=drive_link&amp;ouid=109476200148949733365&amp;rtpof=true&amp;sd=true</t>
  </si>
  <si>
    <t>663ed903992dfa18ea0594f8</t>
  </si>
  <si>
    <t>RESMX000330</t>
  </si>
  <si>
    <t>Pro_ExecuteDocumentationV1</t>
  </si>
  <si>
    <t>PUT /system/sales/partyLifecycleManagement/v1/documentation/execute</t>
  </si>
  <si>
    <t>https://docs.google.com/document/d/1H9cAQ9qPj1tA2i6L9YuW4LOYZBLyM8ps/edit?usp=sharing&amp;ouid=109476200148949733365&amp;rtpof=true&amp;sd=true</t>
  </si>
  <si>
    <t>https://docs.google.com/spreadsheets/d/1uMdhBUI35wBpO5PBKHkm55ALwpKePyf8/edit?usp=drive_link&amp;ouid=109476200148949733365&amp;rtpof=true&amp;sd=true</t>
  </si>
  <si>
    <t>663ed903992dfa18ea0594f9</t>
  </si>
  <si>
    <t>Pro_RegisterDocumentationV1</t>
  </si>
  <si>
    <t>POST /system/sales/partyLifecycleManagement/v1/documentation/register</t>
  </si>
  <si>
    <t>https://docs.google.com/document/d/1KDNRflvsbNZIVeCOkKyShcwHxX6uapTw/edit?usp=sharing&amp;ouid=109476200148949733365&amp;rtpof=true&amp;sd=true</t>
  </si>
  <si>
    <t>https://docs.google.com/spreadsheets/d/1AqiNnjCYLlkpoGR-RltfXOlPnY2aGKVQ/edit?usp=drive_link&amp;ouid=109476200148949733365&amp;rtpof=true&amp;sd=true</t>
  </si>
  <si>
    <t>663ed903992dfa18ea0594fa</t>
  </si>
  <si>
    <t>Pro_RetrieveDocumentationV1</t>
  </si>
  <si>
    <t>/v1/documentation/{sessionDialogueIdentification}/retrieve</t>
  </si>
  <si>
    <t>GET /system/sales/partyLifecycleManagement/v1/documentation/{sessionDialogueIdentification}/retrieve</t>
  </si>
  <si>
    <t>Servicio de Proxy encargado de retornar todos los documentos que se han cargado durante el proceso de onboarding</t>
  </si>
  <si>
    <t>https://docs.google.com/document/d/1yRR5WDb3e7IuR77LkLWFXrVa0RFk2HZE/edit?usp=sharing&amp;ouid=109476200148949733365&amp;rtpof=true&amp;sd=true</t>
  </si>
  <si>
    <t>https://docs.google.com/spreadsheets/d/1nPZF0XUt-aAoyNNh8rP7Y9Z1thQ1GK-t/edit?usp=drive_link&amp;ouid=109476200148949733365&amp;rtpof=true&amp;sd=true</t>
  </si>
  <si>
    <t>663ed903992dfa18ea0594fb</t>
  </si>
  <si>
    <t>Pro_EvaluateRfcV1</t>
  </si>
  <si>
    <t>POST /system/sales/partyLifecycleManagement/v1/rfc/evaluate</t>
  </si>
  <si>
    <t>https://docs.google.com/document/d/1lWjQsD6X6BSO1FMJQrbjlYv0nX80lswa/edit?usp=sharing&amp;ouid=109476200148949733365&amp;rtpof=true&amp;sd=true</t>
  </si>
  <si>
    <t>https://docs.google.com/spreadsheets/d/12kVbRmFtc2Gis0eJDzi-4YAo8i-g8PrP/edit?usp=drive_link&amp;ouid=109476200148949733365&amp;rtpof=true&amp;sd=true</t>
  </si>
  <si>
    <t>663ed903992dfa18ea0594fc</t>
  </si>
  <si>
    <t>Pro_EvaluateIneV1</t>
  </si>
  <si>
    <t>POST /system/sales/partyLifecycleManagement/v1/ine/evaluate</t>
  </si>
  <si>
    <t>https://docs.google.com/document/d/11qEyamO7saQxGmrVwSqd6RJRe_Z2cHVN/edit?usp=sharing&amp;ouid=109476200148949733365&amp;rtpof=true&amp;sd=true</t>
  </si>
  <si>
    <t>https://docs.google.com/spreadsheets/d/1-6ridsztR_tVDDCzQNIJnClgVNOIOSoq/edit?usp=drive_link&amp;ouid=109476200148949733365&amp;rtpof=true&amp;sd=true</t>
  </si>
  <si>
    <t>663ed903992dfa18ea0594fd</t>
  </si>
  <si>
    <t>Pro_RetrieveIneV1</t>
  </si>
  <si>
    <t>RESMX000331</t>
  </si>
  <si>
    <t>GET /system/sales/partyLifecycleManagement/v1/ine/retrieve</t>
  </si>
  <si>
    <t>Dom Employee Data Management</t>
  </si>
  <si>
    <t>https://docs.google.com/document/d/1q2bdydl65DsahNtvfAIFZ7W6ThH8nI96/edit?usp=sharing&amp;ouid=109476200148949733365&amp;rtpof=true&amp;sd=true</t>
  </si>
  <si>
    <t>https://docs.google.com/spreadsheets/d/1jtBuTGjf6CLAQPQMnBYRKEQwJqaPPENf/edit?usp=drive_link&amp;ouid=109476200148949733365&amp;rtpof=true&amp;sd=true</t>
  </si>
  <si>
    <t>663ed903992dfa18ea0594fe</t>
  </si>
  <si>
    <t>Pro_CaptureIneV1</t>
  </si>
  <si>
    <t>PUT /system/sales/partyLifecycleManagement/v1/ine/capture</t>
  </si>
  <si>
    <t>Servicio encargado de realizar la inserción de la información resultante de la consulta del INE ante las listas nominales, en la tabla Validations.</t>
  </si>
  <si>
    <t>https://docs.google.com/document/d/1LH795aaaeFZZ8XQ8EEtXn4Wagh2NFuyl/edit?usp=sharing&amp;ouid=109476200148949733365&amp;rtpof=true&amp;sd=true</t>
  </si>
  <si>
    <t>Servicio de Proxy encargado de consultar los términos legales</t>
  </si>
  <si>
    <t>https://docs.google.com/spreadsheets/d/1KJcGLR2rgaXeWBkZ1nE4bnS-HVx8-apq/edit?usp=drive_link&amp;ouid=109476200148949733365&amp;rtpof=true&amp;sd=true</t>
  </si>
  <si>
    <t>663ed903992dfa18ea0594ff</t>
  </si>
  <si>
    <t>Pro_RetrieveRenapoV1</t>
  </si>
  <si>
    <t>POST /system/sales/partyLifecycleManagement/v1/renapo/retrieve</t>
  </si>
  <si>
    <t>Servicio de Dominio encargado de validar y conseguir el CURP en Renapo.</t>
  </si>
  <si>
    <t>https://docs.google.com/document/d/1wKDa7hVAFTIA6zsP6mLrbd9w2GsJxfi7/edit?usp=sharing&amp;ouid=109476200148949733365&amp;rtpof=true&amp;sd=true</t>
  </si>
  <si>
    <t>mx-api-bc-dom-employee-data-mgmt</t>
  </si>
  <si>
    <t>https://docs.google.com/spreadsheets/d/1hXbO-q4g5kzLk7cK5e1WaGGuytaYgbgf/edit?usp=drive_link&amp;ouid=109476200148949733365&amp;rtpof=true&amp;sd=true</t>
  </si>
  <si>
    <t>APIMX000195</t>
  </si>
  <si>
    <t>663ed903992dfa18ea059500</t>
  </si>
  <si>
    <t>Pro_CaptureRenapoV1</t>
  </si>
  <si>
    <t>PUT /system/sales/partyLifecycleManagement/v1/renapo/capture</t>
  </si>
  <si>
    <t>Servicio encargado de realizar la inserción de la información resultante de la consulta del CURP ante la RENAPO, en la tabla Validations.</t>
  </si>
  <si>
    <t>https://docs.google.com/document/d/1IJ5m_J4pVb9k2tQBSNMiyHRDzJycKhGa/edit?usp=sharing&amp;ouid=109476200148949733365&amp;rtpof=true&amp;sd=true</t>
  </si>
  <si>
    <t>https://docs.google.com/spreadsheets/d/1VtfXRh1lc5mv3-uLTs6ae47mFV-EAK-T/edit?usp=drive_link&amp;ouid=109476200148949733365&amp;rtpof=true&amp;sd=true</t>
  </si>
  <si>
    <t>663ed903992dfa18ea059501</t>
  </si>
  <si>
    <t>Pro_RetrieveQuestionV1</t>
  </si>
  <si>
    <t>GET /system/sales/partyLifecycleManagement/v1/question/retrieve</t>
  </si>
  <si>
    <t>Servicio de experiencia que se encarga de consultar las preguntas que deben responderse en la validacion de supervivencia</t>
  </si>
  <si>
    <t>https://docs.google.com/document/d/1yN7q97jni5qxk-afEdgXIwI_w0dfGppV/edit?usp=sharing&amp;ouid=109476200148949733365&amp;rtpof=true&amp;sd=true</t>
  </si>
  <si>
    <t>https://docs.google.com/spreadsheets/d/1DLlmZ-beF828_WlQALsRmFpvpNunBFr1/edit?usp=drive_link&amp;ouid=109476200148949733365&amp;rtpof=true&amp;sd=true</t>
  </si>
  <si>
    <t>663ed903992dfa18ea059502</t>
  </si>
  <si>
    <t>Pro_RetrieveQualificationV1</t>
  </si>
  <si>
    <t>RESMX000332</t>
  </si>
  <si>
    <t>POST /system/sales/partyLifecycleManagement/v1/qualification/retrieve</t>
  </si>
  <si>
    <t>Servicio que permite consultar el estado del cliente en diferentes listas de seguridad</t>
  </si>
  <si>
    <t>https://docs.google.com/document/d/1Jt3EeWZ9aWUYaAru0l5VTGlhSlG7X_6s/edit?usp=sharing&amp;ouid=109476200148949733365&amp;rtpof=true&amp;sd=true</t>
  </si>
  <si>
    <t>https://docs.google.com/spreadsheets/d/1_T3eF_tjNUx9KKU-4dupFK9VuKVC0Yv-/edit?usp=drive_link&amp;ouid=109476200148949733365&amp;rtpof=true&amp;sd=true</t>
  </si>
  <si>
    <t>663ed903992dfa18ea059503</t>
  </si>
  <si>
    <t>Pro_RetrievePartyRelationshipProcedureV1</t>
  </si>
  <si>
    <t>POST /system/sales/partyLifecycleManagement/v1/partyRelationshipProcedure/retrieve</t>
  </si>
  <si>
    <t>Servicio de Proxy encargado de consultar el acuerdo con el cliente</t>
  </si>
  <si>
    <t>https://docs.google.com/document/d/1JC5-d7xl2MPta-rkNa_769q3TgPBw13g/edit?usp=sharing&amp;ouid=109476200148949733365&amp;rtpof=true&amp;sd=true</t>
  </si>
  <si>
    <t>https://coppelmx.atlassian.net/wiki/x/KQBLQg</t>
  </si>
  <si>
    <t>https://docs.google.com/spreadsheets/d/1VFTyMG2Y0mBhhNxgwmyDPKKY6MBSQyM-/edit?usp=drive_link&amp;ouid=109476200148949733365&amp;rtpof=true&amp;sd=true</t>
  </si>
  <si>
    <t>663ed903992dfa18ea059504</t>
  </si>
  <si>
    <t>Pro_InitiatePartyRelationshipProcedureV1</t>
  </si>
  <si>
    <t>POST /system/sales/partyLifecycleManagement/v1/partyRelationshipProcedure/initiate</t>
  </si>
  <si>
    <t>Servicio de Proxy que inicializa la creación del prospecto con el id de la sesión</t>
  </si>
  <si>
    <t>https://docs.google.com/document/d/1F8RCKUHPn3_j6Y_m5wEE_hMAa8GkirTK/edit?usp=sharing&amp;ouid=109476200148949733365&amp;rtpof=true&amp;sd=true</t>
  </si>
  <si>
    <t>https://docs.google.com/spreadsheets/d/1aJFNloA6Cxoc9rFZ-XwyRouZJWd6jJ2q/edit?usp=drive_link&amp;ouid=109476200148949733365&amp;rtpof=true&amp;sd=true</t>
  </si>
  <si>
    <t>663ed903992dfa18ea059505</t>
  </si>
  <si>
    <t>Pro_RequestDocumentationV1</t>
  </si>
  <si>
    <t>PUT /system/sales/partyLifecycleManagement/v1/documentation/request</t>
  </si>
  <si>
    <t>Servicio de dominio encargado de obtener imágenes onboarding</t>
  </si>
  <si>
    <t>https://docs.google.com/document/d/1VrjdD8gR5WRkh12kavg3zJI82fW4l8b2/edit?usp=sharing&amp;ouid=109476200148949733365&amp;rtpof=true&amp;sd=true</t>
  </si>
  <si>
    <t>https://docs.google.com/spreadsheets/d/1YZfabOEr5dD8051juiji8VEW9Sjb2aQb/edit?usp=drive_link&amp;ouid=109476200148949733365&amp;rtpof=true&amp;sd=true</t>
  </si>
  <si>
    <t>663ed903992dfa18ea059507</t>
  </si>
  <si>
    <t>Pro Employee Data Management</t>
  </si>
  <si>
    <t>Pro_UpdatePartyRelationshipProcedureV1</t>
  </si>
  <si>
    <t>/v1/partyRelationshipProcedure/{sessionDialogueIdentification}/update</t>
  </si>
  <si>
    <t>PATCH /system/sales/partyLifecycleManagement/v1/partyRelationshipProcedure/{sessionDialogueIdentification}/update</t>
  </si>
  <si>
    <t>Este microservicio realiza una Inserción a la tabla Validations, para el almacenamiento de los datos de contacto del prospecto en el proceso APOLO.</t>
  </si>
  <si>
    <t>https://docs.google.com/document/d/1Y0HfYlOafeCrnTzbl8T_DEOzdSO2zVWs/edit?usp=sharing&amp;ouid=109476200148949733365&amp;rtpof=true&amp;sd=true</t>
  </si>
  <si>
    <t>https://docs.google.com/spreadsheets/d/1doPCkrk4IiRYK6LVUoR9Upeqk10GJYpk/edit?usp=drive_link&amp;ouid=109476200148949733365&amp;rtpof=true&amp;sd=true</t>
  </si>
  <si>
    <t>663ed903992dfa18ea059508</t>
  </si>
  <si>
    <t>Pro_UpdateLocationV1</t>
  </si>
  <si>
    <t>PATCH /system/sales/partyLifecycleManagement/v1/location/{sessionDialogueIdentification}/update</t>
  </si>
  <si>
    <t>https://docs.google.com/document/d/1NkLi92LwdusgL55kY5dSgP2WbHsTAQde/edit?usp=sharing&amp;ouid=109476200148949733365&amp;rtpof=true&amp;sd=true</t>
  </si>
  <si>
    <t>mx-api-bc-pro-employee-data-mgmt</t>
  </si>
  <si>
    <t>https://docs.google.com/spreadsheets/d/1FNtbuFWGz6FcHkQqQPV7frK6Bsae281m/edit?usp=drive_link&amp;ouid=109476200148949733365&amp;rtpof=true&amp;sd=true</t>
  </si>
  <si>
    <t>663ed903992dfa18ea059509</t>
  </si>
  <si>
    <t>APIMX000196</t>
  </si>
  <si>
    <t>RESMX000333</t>
  </si>
  <si>
    <t>Pro_RetrieveValidationV1</t>
  </si>
  <si>
    <t>GET /system/sales/partyLifecycleManagement/v1/validation/{sessionDialogueIdentification}/retrieve</t>
  </si>
  <si>
    <t>https://docs.google.com/document/d/1RO9tYaoS70w2jtNVf0ygptyUmsFM7ErD/edit?usp=sharing&amp;ouid=109476200148949733365&amp;rtpof=true&amp;sd=true</t>
  </si>
  <si>
    <t>https://docs.google.com/spreadsheets/d/1teaWpcSHzZj-ZJn2cV0leI7-SIR4bIPn/edit?usp=drive_link&amp;ouid=109476200148949733365&amp;rtpof=true&amp;sd=true</t>
  </si>
  <si>
    <t>663ed903992dfa18ea05950a</t>
  </si>
  <si>
    <t>Pro_InitiateContactPointV1</t>
  </si>
  <si>
    <t>POST /system/sales/partyLifecycleManagement/v1/contactPoint/initiate</t>
  </si>
  <si>
    <t>https://docs.google.com/document/d/1YUwfQtAHTqDLNu344sRsg0QaQK5BflkT/edit?usp=sharing&amp;ouid=109476200148949733365&amp;rtpof=true&amp;sd=true</t>
  </si>
  <si>
    <t>servicio de Proxy encargado de obtener los términos y condiciones</t>
  </si>
  <si>
    <t>https://docs.google.com/spreadsheets/d/13PlNKlUijwWX-mkprm32Iuu0oYzPcYqh/edit?usp=drive_link&amp;ouid=109476200148949733365&amp;rtpof=true&amp;sd=true</t>
  </si>
  <si>
    <t>663ed903992dfa18ea05950b</t>
  </si>
  <si>
    <t>Pro_CaptureContactPointV1</t>
  </si>
  <si>
    <t>PUT /system/sales/partyLifecycleManagement/v1/contactPoint/capture</t>
  </si>
  <si>
    <t>https://docs.google.com/document/d/1NhDRpgSR3hRpn80lBhCK6mZv1NZ_vm1p/edit?usp=sharing&amp;ouid=109476200148949733365&amp;rtpof=true&amp;sd=true</t>
  </si>
  <si>
    <t>https://docs.google.com/spreadsheets/d/1gXXQwYMQegMmT43IZpaxWMUTN6uNh4Vt/edit?usp=drive_link&amp;ouid=109476200148949733365&amp;rtpof=true&amp;sd=true</t>
  </si>
  <si>
    <t>663ed903992dfa18ea05950c</t>
  </si>
  <si>
    <t>Pro_CreateContactPointV1</t>
  </si>
  <si>
    <t>/v1/contactPoint/create</t>
  </si>
  <si>
    <t>POST /system/sales/partyLifecycleManagement/v1/contactPoint/create</t>
  </si>
  <si>
    <t>Servicio de Proxy que registra el teléfono de referencia en la tabla Phone.</t>
  </si>
  <si>
    <t>https://docs.google.com/document/d/18vP5a4M4Z9pHfjStskKCO9aW_E1pST-m/edit?usp=sharing&amp;ouid=109476200148949733365&amp;rtpof=true&amp;sd=true</t>
  </si>
  <si>
    <t>https://docs.google.com/spreadsheets/d/1_77OcwGEaEr1Ay_zMswCtMsRK0MCzu42/edit?usp=drive_link&amp;ouid=109476200148949733365&amp;rtpof=true&amp;sd=true</t>
  </si>
  <si>
    <t>663ed903992dfa18ea05950d</t>
  </si>
  <si>
    <t>Pro_UpdateResourceProviderV1</t>
  </si>
  <si>
    <t>PATCH /system/sales/partyLifecycleManagement/v1/resourceProvider/update</t>
  </si>
  <si>
    <t>https://docs.google.com/document/d/1Oat7Wu6jPnfbPtOERCfgcJKc3BDEdCpL/edit?usp=sharing&amp;ouid=109476200148949733365&amp;rtpof=true&amp;sd=true</t>
  </si>
  <si>
    <t>https://docs.google.com/spreadsheets/d/1igcte8iSa4UbLqHh4ALkhNJL_hrGde3f/edit?usp=drive_link&amp;ouid=109476200148949733365&amp;rtpof=true&amp;sd=true</t>
  </si>
  <si>
    <t>663ed903992dfa18ea05950e</t>
  </si>
  <si>
    <t>Pro_InitiateResourceProviderV1</t>
  </si>
  <si>
    <t>RESMX000334</t>
  </si>
  <si>
    <t>POST /system/sales/partyLifecycleManagement/v1/resourceProvider/initiate</t>
  </si>
  <si>
    <t>https://docs.google.com/document/d/1PWm0rcA4ralZ_3wR5FkvhkS70-8Ml4kq/edit?usp=sharing&amp;ouid=109476200148949733365&amp;rtpof=true&amp;sd=true</t>
  </si>
  <si>
    <t>https://docs.google.com/spreadsheets/d/1A_z2_dnOKdrnRG0Znf1PEO3VgT7uRAFU/edit?usp=drive_link&amp;ouid=109476200148949733365&amp;rtpof=true&amp;sd=true</t>
  </si>
  <si>
    <t>663ed903992dfa18ea05950f</t>
  </si>
  <si>
    <t>Rec Employee Data Management</t>
  </si>
  <si>
    <t>POST /system/sales/partyLifecycleManagement/v1/location/register</t>
  </si>
  <si>
    <t>https://docs.google.com/document/d/1VuQyF0lIRV8-gQvP_SMof1VXqN6lqtjY/edit?usp=sharing&amp;ouid=109476200148949733365&amp;rtpof=true&amp;sd=true</t>
  </si>
  <si>
    <t>Servicio de Proxy encargado de consultar tabla Consents relacionada al cliente prospecto</t>
  </si>
  <si>
    <t>https://docs.google.com/spreadsheets/d/1rp7Nj0TKvVK4IcJel3iKl3Dlth_mu0rn/edit?usp=drive_link&amp;ouid=109476200148949733365&amp;rtpof=true&amp;sd=true</t>
  </si>
  <si>
    <t>https://coppelmx.atlassian.net/wiki/x/IADcOQ</t>
  </si>
  <si>
    <t>663ed903992dfa18ea059510</t>
  </si>
  <si>
    <t>mx-api-bc-rec-employee-data-mgmt</t>
  </si>
  <si>
    <t>Pro_RetrieveLocationV1</t>
  </si>
  <si>
    <t>APIMX000197</t>
  </si>
  <si>
    <t>POST /system/sales/partyLifecycleManagement/v1/location/retrieve</t>
  </si>
  <si>
    <t>Este microservicio se realiza una consulta de información en PostgreSQL, con la finalidad de obtener la dirección de un cliente prospecto de la tabla Address.</t>
  </si>
  <si>
    <t>https://docs.google.com/document/d/1mB15nh7OJDlSA_akByFlz1UhGuciiI4n/edit?usp=sharing&amp;ouid=109476200148949733365&amp;rtpof=true&amp;sd=true</t>
  </si>
  <si>
    <t>https://docs.google.com/spreadsheets/d/1wu2rscM6MU2YC7YO9RGfL3-4dEV6GHWk/edit?usp=drive_link&amp;ouid=109476200148949733365&amp;rtpof=true&amp;sd=true</t>
  </si>
  <si>
    <t>663ed903992dfa18ea059511</t>
  </si>
  <si>
    <t>Pro_RetrievePartyReferenceV1</t>
  </si>
  <si>
    <t>POST /system/sales/partyLifecycleManagement/v1/partyReference/retrieve</t>
  </si>
  <si>
    <t>This operation required HTTP Client Errors "403"</t>
  </si>
  <si>
    <t>663ed903992dfa18ea059512</t>
  </si>
  <si>
    <t>Pro_UpdatePersonProfileV1</t>
  </si>
  <si>
    <t>/v1/personProfile/{sessionDialogueIdentification}/update</t>
  </si>
  <si>
    <t>PATCH /system/sales/partyLifecycleManagement/v1/personProfile/{sessionDialogueIdentification}/update</t>
  </si>
  <si>
    <t>Servicio de Proxy que actualiza la información del prospecto en la tabla Application para evaluar si es apto para el crédito o no.</t>
  </si>
  <si>
    <t>663ed903992dfa18ea059513</t>
  </si>
  <si>
    <t>Pro_InitiateFamilyProfileV1</t>
  </si>
  <si>
    <t>/v1/familyProfile/{sessionDialogueIdentification}/initiate</t>
  </si>
  <si>
    <t>POST /system/sales/partyLifecycleManagement/v1/familyProfile/{sessionDialogueIdentification}/initiate</t>
  </si>
  <si>
    <t>RESMX000335</t>
  </si>
  <si>
    <t>Servicio de Proxy que registra la información de los habitantes del domicilio en la tabla Application.</t>
  </si>
  <si>
    <t>https://docs.google.com/document/d/1r3gTikpow5W9HIpzR4a9n6e4TADoKUm8/edit?usp=sharing&amp;ouid=109476200148949733365&amp;rtpof=true&amp;sd=true</t>
  </si>
  <si>
    <t>https://docs.google.com/spreadsheets/d/1Ot2fijgCkBuKCW8j1uwZFwWaLa1xpRFy/edit?usp=drive_link&amp;ouid=109476200148949733365&amp;rtpof=true&amp;sd=true</t>
  </si>
  <si>
    <t>663ed903992dfa18ea059514</t>
  </si>
  <si>
    <t>Pro_InitiateCustomerRelationshipInvolvementV1</t>
  </si>
  <si>
    <t>/v1/customerRelationshipInvolvement/initiate</t>
  </si>
  <si>
    <t>POST /system/sales/partyLifecycleManagement/v1/customerRelationshipInvolvement/initiate</t>
  </si>
  <si>
    <t>Servicio de Proxy que guarda la información de una persona de referencia del prospecto en la tabla References.</t>
  </si>
  <si>
    <t>Servicio de Proxy encargado de llevar a cabo la inserción de términos, condiciones y autorizar consulta de INE.</t>
  </si>
  <si>
    <t>https://docs.google.com/document/d/1I-A2jgqcxGYFZ3mhf552yx76dpTkPVjM/edit?usp=sharing&amp;ouid=109476200148949733365&amp;rtpof=true&amp;sd=true</t>
  </si>
  <si>
    <t>https://coppelmx.atlassian.net/wiki/x/KADoOQ</t>
  </si>
  <si>
    <t>https://docs.google.com/spreadsheets/d/18AvGfipzR24BkeCxzVp1mF0Ag2FyoEZJ/edit?usp=drive_link&amp;ouid=109476200148949733365&amp;rtpof=true&amp;sd=true</t>
  </si>
  <si>
    <t>663ed903992dfa18ea059515</t>
  </si>
  <si>
    <t>Pro_EvaluateContactPointV1</t>
  </si>
  <si>
    <t>/system/customerManagement/partyReferenceDataDirectory</t>
  </si>
  <si>
    <t>POST /system/customerManagement/partyReferenceDataDirectory/v1/contactPoint/evaluate</t>
  </si>
  <si>
    <t>Servicio encargado de validar si un medio de contacto es válido.</t>
  </si>
  <si>
    <t>https://docs.google.com/document/d/1OaUoxdzi9dpnumcd3h6sF4VY5Kq9_Kgd/edit?usp=sharing&amp;ouid=109476200148949733365&amp;rtpof=true&amp;sd=true</t>
  </si>
  <si>
    <t>https://docs.google.com/spreadsheets/d/1DaYyikEg07jONNi4QaPhrvwzSxvm_nJp/edit?usp=drive_link&amp;ouid=109476200148949733365&amp;rtpof=true&amp;sd=true</t>
  </si>
  <si>
    <t>663ed903992dfa18ea059516</t>
  </si>
  <si>
    <t>Pro_RetrievePartyReferenceDataDirectoryEntryV1</t>
  </si>
  <si>
    <t>POST /system/customerManagement/partyReferenceDataDirectory/v1/partyReferenceDataDirectoryEntry/retrieve</t>
  </si>
  <si>
    <t>https://docs.google.com/document/d/1zecYD3-U3fzATFUxHffQX30uryxNgExR/edit?usp=sharing&amp;ouid=109476200148949733365&amp;rtpof=true&amp;sd=true</t>
  </si>
  <si>
    <t>https://docs.google.com/spreadsheets/d/17-MsMLmMTqjH2fSPNldpP7KH5Bj0VFwb/edit?usp=drive_link&amp;ouid=109476200148949733365&amp;rtpof=true&amp;sd=true</t>
  </si>
  <si>
    <t>RESMX000336</t>
  </si>
  <si>
    <t>663ed903992dfa18ea059517</t>
  </si>
  <si>
    <t>Pro_EvaluateReferenceV1</t>
  </si>
  <si>
    <t>POST /system/customerManagement/partyReferenceDataDirectory/v1/reference/evaluate</t>
  </si>
  <si>
    <t>https://docs.google.com/document/d/1k7OUigRsEq2vcCo2JH8j5_w7COtDoITT/edit?usp=sharing&amp;ouid=109476200148949733365&amp;rtpof=true&amp;sd=true</t>
  </si>
  <si>
    <t>https://docs.google.com/spreadsheets/d/1MzQP3ojCA5bJ9bltnBMrCedpKunYzRoq/edit?usp=drive_link&amp;ouid=109476200148949733365&amp;rtpof=true&amp;sd=true</t>
  </si>
  <si>
    <t>663ed903992dfa18ea059518</t>
  </si>
  <si>
    <t>Pro_EvaluatePendingOperationsV1</t>
  </si>
  <si>
    <t>POST /system/customerManagement/partyReferenceDataDirectory/v1/pendingOperations/evaluate</t>
  </si>
  <si>
    <t>https://docs.google.com/document/d/1sXWIuVdcj53IwaI7bGMtQ6jiHYS2bKlm/edit?usp=sharing&amp;ouid=109476200148949733365&amp;rtpof=true&amp;sd=true</t>
  </si>
  <si>
    <t>https://docs.google.com/spreadsheets/d/1RxZ_vXXP0yPBS8RZvwt9Cxl83Ky_MfMU/edit?usp=drive_link&amp;ouid=109476200148949733365&amp;rtpof=true&amp;sd=true</t>
  </si>
  <si>
    <t>663ed903992dfa18ea059519</t>
  </si>
  <si>
    <t>Pro_ExecuteNotificationFacilityV1</t>
  </si>
  <si>
    <t>PUT /system/customerManagement/partyReferenceDataDirectory/v1/notificationFacility/execute</t>
  </si>
  <si>
    <t>663ed903992dfa18ea05951a</t>
  </si>
  <si>
    <t>Dom Mutual Fund Administration</t>
  </si>
  <si>
    <t>Pro_RegisterContactPointV1</t>
  </si>
  <si>
    <t>POST /system/customerManagement/partyReferenceDataDirectory/v1/contactPoint/register</t>
  </si>
  <si>
    <t>Operación encargada de registar el correo electrónico del cliente.</t>
  </si>
  <si>
    <t>https://docs.google.com/document/d/1KdnBzlQgXOcnMtB0ZC2XON1KxRXFlIWo/edit?usp=sharing&amp;ouid=109476200148949733365&amp;rtpof=true&amp;sd=true</t>
  </si>
  <si>
    <t>https://docs.google.com/spreadsheets/d/1sYy_fbjekXXjjlfavRHYrtUcAQbTaBFk/edit?usp=drive_link&amp;ouid=109476200148949733365&amp;rtpof=true&amp;sd=true</t>
  </si>
  <si>
    <t>RESMX000337</t>
  </si>
  <si>
    <t>663ed903992dfa18ea05951c</t>
  </si>
  <si>
    <t>Pro_ControlContactPointV1</t>
  </si>
  <si>
    <t>PATCH /system/customerManagement/partyReferenceDataDirectory/v1/contactPoint/control</t>
  </si>
  <si>
    <t>APIMX000198</t>
  </si>
  <si>
    <t>https://docs.google.com/document/d/14S7LaiyH1QYUp20_lgZqnWb0t5QRbET2/edit?usp=sharing&amp;ouid=109476200148949733365&amp;rtpof=true&amp;sd=true</t>
  </si>
  <si>
    <t>https://docs.google.com/spreadsheets/d/1SiarB-9ZlI2T2657MAgtZCkJKNn4nPUT/edit?usp=drive_link&amp;ouid=109476200148949733365&amp;rtpof=true&amp;sd=true</t>
  </si>
  <si>
    <t>663ed903992dfa18ea05951d</t>
  </si>
  <si>
    <t>Pro_RetrieveContactPointV1</t>
  </si>
  <si>
    <t>POST /system/customerManagement/partyReferenceDataDirectory/v1/contactPoint/retrieve</t>
  </si>
  <si>
    <t>https://docs.google.com/document/d/1_rVl197R_ECDGAvmWLIQk3RcaWh8uCCQ/edit?usp=sharing&amp;ouid=109476200148949733365&amp;rtpof=true&amp;sd=true</t>
  </si>
  <si>
    <t>https://docs.google.com/spreadsheets/d/1zDztBvi6B_VkJszt8asBNLVqOFc0ICAN/edit?usp=drive_link&amp;ouid=109476200148949733365&amp;rtpof=true&amp;sd=true</t>
  </si>
  <si>
    <t>663ed903992dfa18ea05951e</t>
  </si>
  <si>
    <t>Pro_RegisterReferenceV1</t>
  </si>
  <si>
    <t>POST /system/customerManagement/partyReferenceDataDirectory/v1/reference/register</t>
  </si>
  <si>
    <t>663ed903992dfa18ea05951f</t>
  </si>
  <si>
    <t>PUT /system/customerManagement/partyReferenceDataDirectory/v1/contactPoint/capture</t>
  </si>
  <si>
    <t>https://docs.google.com/document/d/1B-jJhNKJHnwpWJRBYBFbSRwhSy8SGo6_/edit?usp=sharing&amp;ouid=109476200148949733365&amp;rtpof=true&amp;sd=true</t>
  </si>
  <si>
    <t>https://docs.google.com/spreadsheets/d/1-Q53e6wRU-M0XyIGj76Lu8MLe0vGbz6c/edit?usp=drive_link&amp;ouid=109476200148949733365&amp;rtpof=true&amp;sd=true</t>
  </si>
  <si>
    <t>663ed903992dfa18ea059520</t>
  </si>
  <si>
    <t>Pro_UpdateContactPointV1</t>
  </si>
  <si>
    <t>PUT /system/customerManagement/partyReferenceDataDirectory/v1/contactPoint/update</t>
  </si>
  <si>
    <t>https://docs.google.com/document/d/1uakPTU1KQJKzH-eXU7UXst3Xd24SieC5/edit?usp=sharing&amp;ouid=109476200148949733365&amp;rtpof=true&amp;sd=true</t>
  </si>
  <si>
    <t>https://docs.google.com/spreadsheets/d/1xqe5E5cG04odgRTepakKYgzwTj59lKMw/edit?usp=drive_link&amp;ouid=109476200148949733365&amp;rtpof=true&amp;sd=true</t>
  </si>
  <si>
    <t>663ed903992dfa18ea059521</t>
  </si>
  <si>
    <t>RESMX000338</t>
  </si>
  <si>
    <t>PUT /system/customerManagement/partyReferenceDataDirectory/v1/personProfile/update</t>
  </si>
  <si>
    <t>https://docs.google.com/document/d/1-y3-6GCugHN-LqrBuY0TXoDmN5q97cLJ/edit?usp=sharing&amp;ouid=109476200148949733365&amp;rtpof=true&amp;sd=true</t>
  </si>
  <si>
    <t>https://docs.google.com/spreadsheets/d/1Ag4olgtSKV579jllCPjVk3cmw4ca8oKD/edit?usp=drive_link&amp;ouid=109476200148949733365&amp;rtpof=true&amp;sd=true</t>
  </si>
  <si>
    <t>663ed903992dfa18ea059522</t>
  </si>
  <si>
    <t>Pro_CapturePersonProfileV1</t>
  </si>
  <si>
    <t>PATCH /system/customerManagement/partyReferenceDataDirectory/v1/personProfile/capture</t>
  </si>
  <si>
    <t>https://docs.google.com/document/d/1R5zpoEkVUnKrIeBsg4lGW9MxeSlobIQq/edit?usp=sharing&amp;ouid=109476200148949733365&amp;rtpof=true&amp;sd=true</t>
  </si>
  <si>
    <t>Pro Mutual Fund Administration</t>
  </si>
  <si>
    <t>https://docs.google.com/spreadsheets/d/1Di1Bq6MEXJpHmkaXpSe6s1VVqZ2B9LG7/edit?usp=drive_link&amp;ouid=109476200148949733365&amp;rtpof=true&amp;sd=true</t>
  </si>
  <si>
    <t>663ed903992dfa18ea059523</t>
  </si>
  <si>
    <t>Pro_RetrievePaymentTransactionProcedureV1</t>
  </si>
  <si>
    <t>/system/payments/paymentExecution</t>
  </si>
  <si>
    <t>POST /system/payments/paymentExecution/v1/paymentTransactionProcedure/retrieve</t>
  </si>
  <si>
    <t>https://docs.google.com/document/d/1T5RJXRog7JF5XPe6qbHRLdiWovyc7Tir/edit?usp=sharing&amp;ouid=109476200148949733365&amp;rtpof=true&amp;sd=true</t>
  </si>
  <si>
    <t>https://docs.google.com/spreadsheets/d/1BpGVZhJ2ACGp4Ak6n2URlU0VtyAax7K8/edit?usp=drive_link&amp;ouid=109476200148949733365&amp;rtpof=true&amp;sd=true</t>
  </si>
  <si>
    <t>663ed903992dfa18ea059524</t>
  </si>
  <si>
    <t>Pro_EvaluatePaymentExecutionTransactionV1</t>
  </si>
  <si>
    <t>POST /system/payments/paymentExecution/v1/paymentExecutionTransaction/evaluate</t>
  </si>
  <si>
    <t>APIMX000199</t>
  </si>
  <si>
    <t>https://docs.google.com/document/d/1rCEusudXuJ0irjP6gKfniIcnN-cTsWwY/edit?usp=sharing&amp;ouid=109476200148949733365&amp;rtpof=true&amp;sd=true</t>
  </si>
  <si>
    <t>RESMX000339</t>
  </si>
  <si>
    <t>https://docs.google.com/spreadsheets/d/1MezjbkMyFvy06keP6zBgwuEKjyXiwBUw/edit?usp=drive_link&amp;ouid=109476200148949733365&amp;rtpof=true&amp;sd=true</t>
  </si>
  <si>
    <t>663ed903992dfa18ea059525</t>
  </si>
  <si>
    <t>Pro_UpdatePaymentTransactionProcedureV1</t>
  </si>
  <si>
    <t>PATCH /system/payments/paymentExecution/v1/paymentTransactionProcedure/update</t>
  </si>
  <si>
    <t>663ed903992dfa18ea059526</t>
  </si>
  <si>
    <t>Pro_InitiatePaymentExecutionProcedureV1</t>
  </si>
  <si>
    <t>POST /system/payments/paymentExecution/v1/paymentExecutionProcedure/initiate</t>
  </si>
  <si>
    <t>https://docs.google.com/document/d/1TrZg_TIBdAkO8MaK1sf_aCF85HwuL586/edit?usp=sharing&amp;ouid=109476200148949733365&amp;rtpof=true&amp;sd=true</t>
  </si>
  <si>
    <t>https://docs.google.com/spreadsheets/d/1DikHU1X0iRq9MiYFxQLEXV2AiygV6nnN/edit?usp=drive_link&amp;ouid=109476200148949733365&amp;rtpof=true&amp;sd=true</t>
  </si>
  <si>
    <t>663ed903992dfa18ea059527</t>
  </si>
  <si>
    <t>Pro_InitiatePaymentExecutionV1</t>
  </si>
  <si>
    <t>POST /system/payments/paymentExecution/v1/paymentExecution/initiate</t>
  </si>
  <si>
    <t>https://docs.google.com/document/d/1_ybV_9PG3fEO4mUh4WWkrlsKPkUamIvF/edit?usp=sharing&amp;ouid=109476200148949733365&amp;rtpof=true&amp;sd=true</t>
  </si>
  <si>
    <t>https://docs.google.com/spreadsheets/d/1sFNnVJr0DDerH4dtf5pXk-LjfFoWS1cp/edit?usp=drive_link&amp;ouid=109476200148949733365&amp;rtpof=true&amp;sd=true</t>
  </si>
  <si>
    <t>663ed903992dfa18ea059528</t>
  </si>
  <si>
    <t>Pro_UpdateOrderConfirmationV1</t>
  </si>
  <si>
    <t>/system/payments/paymentOrder</t>
  </si>
  <si>
    <t>PUT /system/payments/paymentOrder/v1/orderConfirmation/update</t>
  </si>
  <si>
    <t>RESMX000340</t>
  </si>
  <si>
    <t>https://docs.google.com/document/d/1P0N9QvWrX2ZA5VUbcxSRj68nkeyXfauk/edit?usp=sharing&amp;ouid=109476200148949733365&amp;rtpof=true&amp;sd=true</t>
  </si>
  <si>
    <t>https://docs.google.com/spreadsheets/d/1T8STvvQF2UB7n5v2kvL2QOpNxiNgj6W-/edit?usp=drive_link&amp;ouid=109476200148949733365&amp;rtpof=true&amp;sd=true</t>
  </si>
  <si>
    <t>663ed903992dfa18ea059529</t>
  </si>
  <si>
    <t>Pro_RetrievePaymentOrderProcedureV1</t>
  </si>
  <si>
    <t>POST /system/payments/paymentOrder/v1/paymentOrderProcedure/retrieve</t>
  </si>
  <si>
    <t>663ed903992dfa18ea05952a</t>
  </si>
  <si>
    <t>Pro_UpdatePaymentOrderProcedureV1</t>
  </si>
  <si>
    <t>PUT /system/payments/paymentOrder/v1/paymentOrderProcedure/update</t>
  </si>
  <si>
    <t>663ed903992dfa18ea05952b</t>
  </si>
  <si>
    <t>Pro_ControlTransactionAssigmentV1</t>
  </si>
  <si>
    <t>PUT /system/payments/paymentOrder/v1/transactionAssigment/control</t>
  </si>
  <si>
    <t>Rec Mutual Fund Administration</t>
  </si>
  <si>
    <t>https://docs.google.com/document/d/1l3xaYi6R0bQIJbcKRCKbCd7SPDOaZI8_/edit?usp=sharing&amp;ouid=109476200148949733365&amp;rtpof=true&amp;sd=true</t>
  </si>
  <si>
    <t>https://docs.google.com/spreadsheets/d/1N1sZRXrX1XsMmJBfnT2nOeQobfsIugXD/edit?usp=drive_link&amp;ouid=109476200148949733365&amp;rtpof=true&amp;sd=true</t>
  </si>
  <si>
    <t>663ed903992dfa18ea05952c</t>
  </si>
  <si>
    <t>Pro_ExecuteOrderConfirmationV1</t>
  </si>
  <si>
    <t>PUT /system/payments/paymentOrder/v1/orderConfirmation/execute</t>
  </si>
  <si>
    <t>RESMX000341</t>
  </si>
  <si>
    <t>https://docs.google.com/document/d/12BbinVIPKEInt5hpp5BqnOecuqU9ONcO/edit?usp=sharing&amp;ouid=109476200148949733365&amp;rtpof=true&amp;sd=true</t>
  </si>
  <si>
    <t>https://docs.google.com/spreadsheets/d/1lO0eLbE0RM5HUpX7cT1y_XSEKoseSFDM/edit?usp=drive_link&amp;ouid=109476200148949733365&amp;rtpof=true&amp;sd=true</t>
  </si>
  <si>
    <t>663ed903992dfa18ea05952d</t>
  </si>
  <si>
    <t>APIMX000200</t>
  </si>
  <si>
    <t>Pro_InitiatePaymentOrderProcedureV1</t>
  </si>
  <si>
    <t>POST /system/payments/paymentOrder/v1/paymentOrderProcedure/initiate</t>
  </si>
  <si>
    <t>https://docs.google.com/document/d/1eNQwDxtl_LvzBChbc5Dv5LHZIB81OD-c/edit?usp=sharing&amp;ouid=109476200148949733365&amp;rtpof=true&amp;sd=true</t>
  </si>
  <si>
    <t>https://docs.google.com/spreadsheets/d/18wjQPy7SWh1yHtaXBPHpCdU8ZgtjXwwf/edit?usp=drive_link&amp;ouid=109476200148949733365&amp;rtpof=true&amp;sd=true</t>
  </si>
  <si>
    <t>663ed903992dfa18ea05952e</t>
  </si>
  <si>
    <t>Pro_InitiatePaymentOrderFeesV1</t>
  </si>
  <si>
    <t>POST /system/payments/paymentOrder/v1/paymentOrderFees/initiate</t>
  </si>
  <si>
    <t>https://docs.google.com/document/d/1qqpOiGT7t8X047nLopMm1Fopmxllemxn/edit?usp=sharing&amp;ouid=109476200148949733365&amp;rtpof=true&amp;sd=true</t>
  </si>
  <si>
    <t>https://docs.google.com/spreadsheets/d/1KqnSiDpWjEKctpyCtsvHfCMhtEJO8TBC/edit?usp=drive_link&amp;ouid=109476200148949733365&amp;rtpof=true&amp;sd=true</t>
  </si>
  <si>
    <t>663ed903992dfa18ea05952f</t>
  </si>
  <si>
    <t>Pro_EvaluatePaymentOrderFeesV1</t>
  </si>
  <si>
    <t>/v1/paymentOrderFees/evaluate</t>
  </si>
  <si>
    <t>POST /system/payments/paymentOrder/v1/paymentOrderFees/evaluate</t>
  </si>
  <si>
    <t>https://docs.google.com/document/d/1zMLGyQZ-bgCQkv56Sw0ufinuNXTXg7Tn/edit?usp=sharing&amp;ouid=109476200148949733365&amp;rtpof=true&amp;sd=true</t>
  </si>
  <si>
    <t>https://docs.google.com/spreadsheets/d/1-xG4Owxn38JNQq5UUAzZbuOgOqJ8rXM3/edit?usp=drive_link&amp;ouid=109476200148949733365&amp;rtpof=true&amp;sd=true</t>
  </si>
  <si>
    <t>663ed903992dfa18ea059530</t>
  </si>
  <si>
    <t>Pro_ExecutePaymentOrderFeesV1</t>
  </si>
  <si>
    <t>PATCH /system/payments/paymentOrder/v1/paymentOrderFees/execute</t>
  </si>
  <si>
    <t>https://docs.google.com/document/d/14OVF8VOinwgBZj2jdS6zDjWOrzRbdUz2/edit?usp=sharing&amp;ouid=109476200148949733365&amp;rtpof=true&amp;sd=true</t>
  </si>
  <si>
    <t>https://docs.google.com/spreadsheets/d/1zuG8HuJOfO-YNSLmCC4vGrrTvm5H11_q/edit?usp=drive_link&amp;ouid=109476200148949733365&amp;rtpof=true&amp;sd=true</t>
  </si>
  <si>
    <t>663ed903992dfa18ea059531</t>
  </si>
  <si>
    <t>Pro_RegisterExecutionInitiationV1</t>
  </si>
  <si>
    <t>RESMX000342</t>
  </si>
  <si>
    <t>POST /system/payments/paymentOrder/v1/executionInitiation/register</t>
  </si>
  <si>
    <t>https://docs.google.com/document/d/1Yh9FUjadffcIEoSY3t0VtNm1kTNTqJyc/edit?usp=sharing&amp;ouid=109476200148949733365&amp;rtpof=true&amp;sd=true</t>
  </si>
  <si>
    <t>https://docs.google.com/spreadsheets/d/1JU8HOewEC1UUv95CLMSchAaZZDsU91V0/edit?usp=drive_link&amp;ouid=109476200148949733365&amp;rtpof=true&amp;sd=true</t>
  </si>
  <si>
    <t>663ed903992dfa18ea059532</t>
  </si>
  <si>
    <t>Pro_InitiateWithdrawalsV1</t>
  </si>
  <si>
    <t>POST /system/payments/paymentOrder/v1/withdrawals/initiate</t>
  </si>
  <si>
    <t>Rec Document Management and Archive Corporate</t>
  </si>
  <si>
    <t>API que realiza el débito de dinero de una tarjeta de crédito en BPC.</t>
  </si>
  <si>
    <t>https://docs.google.com/document/d/1RKs2-uxFxzfxi5zZ470DmY1tcWr3uzmH/edit?usp=drive_link&amp;ouid=109476200148949733365&amp;rtpof=true&amp;sd=true</t>
  </si>
  <si>
    <t>https://docs.google.com/spreadsheets/d/19_NqIHdW9LGJ5Q_6fv4UDrwJur7bihaW/edit?usp=drive_link&amp;ouid=109476200148949733365&amp;rtpof=true&amp;sd=true</t>
  </si>
  <si>
    <t>663ed903992dfa18ea059533</t>
  </si>
  <si>
    <t>Pro_RetrieveThirdPartyPaymentsV1</t>
  </si>
  <si>
    <t>/system/clearingAndSettlement/paymentRailOperations</t>
  </si>
  <si>
    <t>POST /system/clearingAndSettlement/paymentRailOperations/v1/thirdPartyPayments/retrieve</t>
  </si>
  <si>
    <t>mx-api-bc-rec-doc-mgmt-arch-corp</t>
  </si>
  <si>
    <t>APIMX000201</t>
  </si>
  <si>
    <t>Invalid business domain value "clearingAndSettlement", in the path "/system/clearingAndSettlement/paymentRailOperations".\nFor the service domain "paymentRailOperations" in the path "/system/clearingAndSettlement/paymentRailOperations" use the business domain "Payments".</t>
  </si>
  <si>
    <t>https://docs.google.com/document/d/1qqGsL-lM3TL2cUaY7zur6Bd5en_a5bEz/edit?usp=sharing&amp;ouid=109476200148949733365&amp;rtpof=true&amp;sd=true</t>
  </si>
  <si>
    <t>https://docs.google.com/spreadsheets/d/1LGt0tujbXb-PWQdU_TFTVkXWlANkxjfD/edit?usp=drive_link&amp;ouid=109476200148949733365&amp;rtpof=true&amp;sd=true</t>
  </si>
  <si>
    <t>663ed903992dfa18ea059534</t>
  </si>
  <si>
    <t>Pro_InitiatePlatformOperationFacilityV1</t>
  </si>
  <si>
    <t>/system/iTManagement/platformOperations</t>
  </si>
  <si>
    <t>POST /system/iTManagement/platformOperations/v1/platformOperationFacility/initiate</t>
  </si>
  <si>
    <t>https://docs.google.com/document/d/102WYTAvEaKPohQpK10zO6iPBxHn2okQx/edit?usp=sharing&amp;ouid=109476200148949733365&amp;rtpof=true&amp;sd=true</t>
  </si>
  <si>
    <t>https://docs.google.com/spreadsheets/d/13yq6tEWunn6cEsi3DnVNsWY0NCz7x8LK/edit?usp=drive_link&amp;ouid=109476200148949733365&amp;rtpof=true&amp;sd=true</t>
  </si>
  <si>
    <t>663ed903992dfa18ea059535</t>
  </si>
  <si>
    <t>RESMX000343</t>
  </si>
  <si>
    <t>Pro_UpdateStatementFacilityV1</t>
  </si>
  <si>
    <t>/system/accountManagement/positionKeeping</t>
  </si>
  <si>
    <t>PATCH /system/accountManagement/positionKeeping/v1/statementFacility/update</t>
  </si>
  <si>
    <t>https://docs.google.com/document/d/1gO9PAT5YuDFWTS4Cv0M6VPbGj-JRnG1e/edit?usp=sharing&amp;ouid=109476200148949733365&amp;rtpof=true&amp;sd=true</t>
  </si>
  <si>
    <t>https://docs.google.com/spreadsheets/d/1rcFX_dm3oQtrdzDRrndhiDCvNjdXMWiB/edit?usp=drive_link&amp;ouid=109476200148949733365&amp;rtpof=true&amp;sd=true</t>
  </si>
  <si>
    <t>RESMX000344</t>
  </si>
  <si>
    <t>Bus Document Management and Archive Corporate</t>
  </si>
  <si>
    <t>mx-api-bc-bus-doc-mgmt-arch-corp</t>
  </si>
  <si>
    <t>APIMX000202</t>
  </si>
  <si>
    <t>RESMX000345</t>
  </si>
  <si>
    <t>/system/customerManagement/customerProductAndServiceEligibility</t>
  </si>
  <si>
    <t>RESMX000346</t>
  </si>
  <si>
    <t>Dom Correspondence Corporate</t>
  </si>
  <si>
    <t>mx-api-bc-dom-correspondence-corp</t>
  </si>
  <si>
    <t>RESMX000347</t>
  </si>
  <si>
    <t>APIMX000203</t>
  </si>
  <si>
    <t>RESMX000348</t>
  </si>
  <si>
    <t>Pro Correspondence Corporate</t>
  </si>
  <si>
    <t>RESMX000349</t>
  </si>
  <si>
    <t>mx-api-bc-pro-correspondence-corp</t>
  </si>
  <si>
    <t>APIMX000204</t>
  </si>
  <si>
    <t>https://coppelmx.atlassian.net/wiki/x/DwDTOQ</t>
  </si>
  <si>
    <t>RESMX000350</t>
  </si>
  <si>
    <t>Lorena Jennifer Diaz Ortega</t>
  </si>
  <si>
    <t>663ed903992dfa18ea059395</t>
  </si>
  <si>
    <t>RESMX000351</t>
  </si>
  <si>
    <t>PATCH /accountManagement/accountReconciliation/v1/accountReconciliationProcedure/capture</t>
  </si>
  <si>
    <t>Bus Party Authentication Corporate</t>
  </si>
  <si>
    <t>mx-api-bc-bus-pty-auth-corp</t>
  </si>
  <si>
    <t>APIMX000205</t>
  </si>
  <si>
    <t>RESMX000352</t>
  </si>
  <si>
    <t>https://drive.google.com/drive/folders/1FetDI_osEayuB0nQiZ5JM5VqgQrOUy4L?usp=drive_link</t>
  </si>
  <si>
    <t>RESMX000353</t>
  </si>
  <si>
    <t>Bus Issued Device Administration Corporate</t>
  </si>
  <si>
    <t>https://drive.google.com/drive/folders/10URYmY66J0D7AFYWC6TTDL2-tzCKXtkz?usp=drive_link</t>
  </si>
  <si>
    <t>mx-api-bc-bus-iss-dev-admin-corp</t>
  </si>
  <si>
    <t>APIMX000206</t>
  </si>
  <si>
    <t>663ed903992dfa18ea059396</t>
  </si>
  <si>
    <t>POST /channelSpecific/branchLocationOperations/v1/branchLocation/retrieve</t>
  </si>
  <si>
    <t>https://drive.google.com/drive/folders/1Ltz3RbK1okfzW7AYavtPEeepfb0FtTv_?usp=drive_link</t>
  </si>
  <si>
    <t>https://drive.google.com/drive/folders/1CdNqyzXBla4VS3GLVL5oxZc_5tLbg0Ox?usp=drive_link</t>
  </si>
  <si>
    <t>RESMX000354</t>
  </si>
  <si>
    <t>663ed903992dfa18ea059397</t>
  </si>
  <si>
    <t>Dom Customer Relationship Management Corporate</t>
  </si>
  <si>
    <t>POST /payments/cardeCommerceGateway/v1/tokenAssignment/create</t>
  </si>
  <si>
    <t>https://drive.google.com/drive/folders/10JbisHOmyxOsmsET4Nf4B2rVqHT6o_TV?usp=drive_link</t>
  </si>
  <si>
    <t>mx-api-bc-dom-cust-rel-mgmt-corp</t>
  </si>
  <si>
    <t>APIMX000207</t>
  </si>
  <si>
    <t>https://drive.google.com/drive/folders/1epxvx4l09hGlBq4-pSWP5W0nI7tCHARk?usp=drive_link</t>
  </si>
  <si>
    <t>663ed903992dfa18ea059398</t>
  </si>
  <si>
    <t>RESMX000355</t>
  </si>
  <si>
    <t>POST /loansAndDeposits/corporateCurrentAccount/v1/corporateCurrentAccountFacility/initiate</t>
  </si>
  <si>
    <t>https://drive.google.com/drive/folders/11yC-kD3HtaQpIkw_HB35FHwP1_SADdah?usp=drive_link</t>
  </si>
  <si>
    <t>https://drive.google.com/drive/folders/1mE36wm5u_ZnFiHwXgpKB6R_Y9JDKbHk6?usp=drive_link</t>
  </si>
  <si>
    <t>Pro Customer Relationship Management Corporate</t>
  </si>
  <si>
    <t>663ed903992dfa18ea059399</t>
  </si>
  <si>
    <t>RESMX000356</t>
  </si>
  <si>
    <t>POST /documentManagementAndArchive/correspondence/v1/outbound/register</t>
  </si>
  <si>
    <t>mx-api-bc-pro-cust-rel-mgmt-corp</t>
  </si>
  <si>
    <t>https://drive.google.com/drive/folders/1ynvcRXejg18S0buRPE3uIrvzJtOmIIIn?usp=drive_link</t>
  </si>
  <si>
    <t>APIMX000208</t>
  </si>
  <si>
    <t>https://drive.google.com/drive/folders/1yANeoezVjQ5iVF6s9b6qVhz_Sn-oeONK?usp=drive_link</t>
  </si>
  <si>
    <t>663ed903992dfa18ea05939a</t>
  </si>
  <si>
    <t>RESMX000357</t>
  </si>
  <si>
    <t>POST /accountManagement/counterpartyRisk/v1/customerCreditRating/retrieve</t>
  </si>
  <si>
    <t>https://drive.google.com/drive/folders/1gl5oTF2nGDq8wcyyvdGq9CkxKNdWrpNB?usp=drive_link</t>
  </si>
  <si>
    <t>https://drive.google.com/drive/folders/1m44Cmn0xw22bShhCTpVtMFmyYd0cWaKT?usp=drive_link</t>
  </si>
  <si>
    <t>663ed903992dfa18ea05939b</t>
  </si>
  <si>
    <t>POST /accountManagement/counterpartyRisk/v1/customerCreditRating/evaluate</t>
  </si>
  <si>
    <t>RESMX000358</t>
  </si>
  <si>
    <t>https://drive.google.com/drive/folders/1krFVrJp0DMgu7by3PhyFi545ii5spvwf?usp=drive_link</t>
  </si>
  <si>
    <t>Pro Customer Access Entitlement Corporate</t>
  </si>
  <si>
    <t>https://drive.google.com/drive/folders/10MVSJvoaS5nCyVTxpVPUdkxOHvD-xY3R?usp=drive_link</t>
  </si>
  <si>
    <t>mx-api-bc-pro-cust-acc-entl-corp</t>
  </si>
  <si>
    <t>APIMX000209</t>
  </si>
  <si>
    <t>663ed903992dfa18ea05939c</t>
  </si>
  <si>
    <t>GET /accountManagement/counterpartyRisk/v1/reasonsRejection/retrieve</t>
  </si>
  <si>
    <t>RESMX000359</t>
  </si>
  <si>
    <t>https://drive.google.com/drive/folders/1eaH-rtIDfhCgEA4nDOVfCN1ySePf9yQR?usp=drive_link</t>
  </si>
  <si>
    <t>Servicio de proxy que realiza la subida de los documentos al expediente digital del prospecto a través de Onbase y registra los datos de subida en Apolo</t>
  </si>
  <si>
    <t>https://coppelmx.atlassian.net/wiki/x/D4GQOQ</t>
  </si>
  <si>
    <t>https://drive.google.com/drive/folders/1cylyu9ojZZRRxDpyQeoLPfZYrbOh8bF7?usp=drive_link</t>
  </si>
  <si>
    <t>663ed903992dfa18ea05939d</t>
  </si>
  <si>
    <t>/v1/creditCardApplication/{companyReference}/{applicationReferenceId}/retrieve</t>
  </si>
  <si>
    <t>GET /cards/creditCard/v1/creditCardApplication/{companyReference}/{applicationReferenceId}/retrieve</t>
  </si>
  <si>
    <t>RESMX000360</t>
  </si>
  <si>
    <t>https://drive.google.com/drive/folders/1o9wucABoEW-A7GZ0vj9wDZ2ak4cdNNcf?usp=drive_link</t>
  </si>
  <si>
    <t>https://drive.google.com/drive/folders/1lj-w2uhc79u6dMayeANI0Zrfj73mXw53?usp=drive_link</t>
  </si>
  <si>
    <t>Dom Customer Access Entitlement Corporate</t>
  </si>
  <si>
    <t>663ed903992dfa18ea05939e</t>
  </si>
  <si>
    <t>mx-api-bc-dom-cust-acc-entl-corp</t>
  </si>
  <si>
    <t>POST /cards/creditCard/v1/creditCardApplication/initiate</t>
  </si>
  <si>
    <t>APIMX000210</t>
  </si>
  <si>
    <t>https://drive.google.com/drive/folders/10UMaFKGxCQWgZUmoz2zPtRARXx3VPlRE?usp=drive_link</t>
  </si>
  <si>
    <t>RESMX000361</t>
  </si>
  <si>
    <t>https://drive.google.com/drive/folders/1HtfFHRvi7DJ8IApmewz7WmdYcgzu_qVl?usp=drive_link</t>
  </si>
  <si>
    <t>663ed903992dfa18ea05939f</t>
  </si>
  <si>
    <t>POST /cards/creditCard/v1/creditCardApplication/exchange</t>
  </si>
  <si>
    <t>https://drive.google.com/drive/folders/1kO7YhNowOheji8J14-NBWzLT7GnAvUP-?usp=drive_link</t>
  </si>
  <si>
    <t>https://drive.google.com/drive/folders/1Lv2_yX4lkjDpuUKrBigVvfMC-zni4AP5?usp=drive_link</t>
  </si>
  <si>
    <t>663ed903992dfa18ea0593a0</t>
  </si>
  <si>
    <t>RESMX000362</t>
  </si>
  <si>
    <t>Wrk Payment Initiation Corporate</t>
  </si>
  <si>
    <t>POST /cards/creditCard/v1/creditCardApplication/update</t>
  </si>
  <si>
    <t>https://drive.google.com/drive/folders/1hJMs1VUozdiIEwD8Jnsy0EfyizZQ4Eqq?usp=drive_link</t>
  </si>
  <si>
    <t>WORKER</t>
  </si>
  <si>
    <t>mx-api-bc-wrk-payment-initiation-corp</t>
  </si>
  <si>
    <t>WRKMX000001</t>
  </si>
  <si>
    <t>https://drive.google.com/drive/folders/1UbFJT4qOqOcUvzjiwTv4gIBpKQKru3Re?usp=drive_link</t>
  </si>
  <si>
    <t>663ed903992dfa18ea0593a1</t>
  </si>
  <si>
    <t>RESMX000363</t>
  </si>
  <si>
    <t>POST /cards/creditCard/v1/creditCardFacility/register</t>
  </si>
  <si>
    <t>https://drive.google.com/drive/folders/1eck5DZhAFumrqtqbAdxenrLBlygt2ryq?usp=drive_link</t>
  </si>
  <si>
    <t>https://drive.google.com/drive/folders/1vxvkWEQFURuapaGgLoTy6ixw0OpGN-HK?usp=drive_link</t>
  </si>
  <si>
    <t>663ed903992dfa18ea0593a2</t>
  </si>
  <si>
    <t>POST /cards/creditCard/v1/creditCardFacility/retrieve</t>
  </si>
  <si>
    <t>RESMX000364</t>
  </si>
  <si>
    <t>https://drive.google.com/drive/folders/1ouNWtjIvO0Au_hDTGu9_Pd9wuqEgCO_g?usp=drive_link</t>
  </si>
  <si>
    <t>Bus Party Reference Data Directory Corporate</t>
  </si>
  <si>
    <t>https://drive.google.com/drive/folders/1RUh2nfNuhLcljmErRYEDRXiCl78YKc5x?usp=drive_link</t>
  </si>
  <si>
    <t>663ed903992dfa18ea0593a3</t>
  </si>
  <si>
    <t>mx-api-bc-bus-party-ref-dat-dir-corp</t>
  </si>
  <si>
    <t>APIMX000211</t>
  </si>
  <si>
    <t>POST /cards/creditCard/v1/creditCardBalance/update</t>
  </si>
  <si>
    <t>https://drive.google.com/drive/folders/1ckq7r7Fxews1D_dfD-ThCxG36Dji7gyR?usp=drive_link</t>
  </si>
  <si>
    <t>RESMX000365</t>
  </si>
  <si>
    <t>https://drive.google.com/drive/folders/1891SUiR9wANnKJZ_OyJ1jpkLUAMrrjkc?usp=drive_link</t>
  </si>
  <si>
    <t>663ed903992dfa18ea0593a4</t>
  </si>
  <si>
    <t>POST /cards/creditCard/v1/creditCardBalance/retrieve</t>
  </si>
  <si>
    <t>663ed903992dfa18ea0593a5</t>
  </si>
  <si>
    <t>Dom Document Management and Archive Corporate</t>
  </si>
  <si>
    <t>RESMX000366</t>
  </si>
  <si>
    <t>GET /cards/creditCard/v1/interest/{companyReference}/{applicationReferenceId}/retrieve</t>
  </si>
  <si>
    <t>mx-api-bc-dom-doc-mgmt-arch-corp</t>
  </si>
  <si>
    <t>https://drive.google.com/drive/folders/1NAPILBAbNnOCTdTbpaTvAaMbuHucXFhJ?usp=drive_link</t>
  </si>
  <si>
    <t>APIMX000212</t>
  </si>
  <si>
    <t>https://drive.google.com/drive/folders/19A-rgk7PwM3WsC9bbzpwI-qCFQ47DwK_?usp=drive_link</t>
  </si>
  <si>
    <t>663ed903992dfa18ea0593a6</t>
  </si>
  <si>
    <t>POST /cards/creditCard/v1/interest/update</t>
  </si>
  <si>
    <t>https://drive.google.com/drive/folders/1czQQrKEL-VFRH77EH7-2S3cekHIO89Ti?usp=drive_link</t>
  </si>
  <si>
    <t>RESMX000367</t>
  </si>
  <si>
    <t>https://drive.google.com/drive/folders/1gH0vij6ByVSwayHUQrK8sxTss1aE-2gU?usp=drive_link</t>
  </si>
  <si>
    <t>663ed903992dfa18ea0593a7</t>
  </si>
  <si>
    <t>Pro Document Management and Archive Corporate</t>
  </si>
  <si>
    <t>POST /cards/creditCard/v1/cardPaymentAgreement/retrieve</t>
  </si>
  <si>
    <t>mx-api-bc-pro-doc-mgmt-arch-corp</t>
  </si>
  <si>
    <t>APIMX000213</t>
  </si>
  <si>
    <t>https://drive.google.com/drive/folders/1lnoT69D-XVBy8V7fK3bmlQID5fMaq3Tj?usp=drive_link</t>
  </si>
  <si>
    <t>https://drive.google.com/drive/folders/1mefETg_2KpGpW2M_wUwVt_wHFpXpKo-5?usp=drive_link</t>
  </si>
  <si>
    <t>RESMX000368</t>
  </si>
  <si>
    <t>663ed903992dfa18ea0593a8</t>
  </si>
  <si>
    <t>POST /cards/creditCard/v1/paymentCard/retrieve</t>
  </si>
  <si>
    <t>https://drive.google.com/drive/folders/1VHuLiFIL2F1VcR-v0ksLFuAuST5X5g7h?usp=drive_link</t>
  </si>
  <si>
    <t>RESMX000369</t>
  </si>
  <si>
    <t>https://drive.google.com/drive/folders/1-e6tBqJ37nMelrSEtILC2RviwV6beiy7?usp=drive_link</t>
  </si>
  <si>
    <t>Rec Archive Services Corporate</t>
  </si>
  <si>
    <t>https://coppelmx.atlassian.net/wiki/x/FwCPOQ</t>
  </si>
  <si>
    <t>663ed903992dfa18ea0593a9</t>
  </si>
  <si>
    <t>mx-api-bc-rec-archive-svcs-corp</t>
  </si>
  <si>
    <t>APIMX000214</t>
  </si>
  <si>
    <t>POST /cards/creditCard/v1/creditCardActivationLog/register</t>
  </si>
  <si>
    <t>https://drive.google.com/drive/folders/1_zkCUtVpSx2c8aFiaeujfosXcBQoh5tv?usp=drive_link</t>
  </si>
  <si>
    <t>RESMX000370</t>
  </si>
  <si>
    <t>https://drive.google.com/drive/folders/1IR1b1fMLbXeVqWJhG1Di8rQpNDSP3KhM?usp=drive_link</t>
  </si>
  <si>
    <t>https://coppelmx.atlassian.net/wiki/x/DgAiQg</t>
  </si>
  <si>
    <t>663ed903992dfa18ea0593aa</t>
  </si>
  <si>
    <t>PATCH /cards/creditCard/v1/creditCardActivationLog/update</t>
  </si>
  <si>
    <t>https://drive.google.com/drive/folders/1J4Ug_OyWzv_00yToH1ebOuhASlOatXYl?usp=drive_link</t>
  </si>
  <si>
    <t>RESMX000371</t>
  </si>
  <si>
    <t>Bus Archive Services Corporate</t>
  </si>
  <si>
    <t>https://drive.google.com/drive/folders/12KqEaJ7Aq3w8acK4I33c0siiJmIigrEi?usp=drive_link</t>
  </si>
  <si>
    <t>https://coppelmx.atlassian.net/wiki/x/AgAzOw</t>
  </si>
  <si>
    <t>mx-api-bc-bus-archive-svcs-corp</t>
  </si>
  <si>
    <t>APIMX000215</t>
  </si>
  <si>
    <t>663ed903992dfa18ea0593ab</t>
  </si>
  <si>
    <t>PUT /cards/creditCard/v1/paymentCard/control</t>
  </si>
  <si>
    <t>https://drive.google.com/drive/folders/1z2JqLr1xJq7SORegUw9N-LtNGgpPQ5BZ?usp=drive_link</t>
  </si>
  <si>
    <t>RESMX000372</t>
  </si>
  <si>
    <t>https://drive.google.com/drive/folders/1olezMqtEHmc-a6AL7CPbBOLJmSnXc-b8?usp=drive_link</t>
  </si>
  <si>
    <t>https://coppelmx.atlassian.net/wiki/x/IoAxOw</t>
  </si>
  <si>
    <t>663ed903992dfa18ea0593ac</t>
  </si>
  <si>
    <t>POST /cards/creditCard/v1/paymentCard/register</t>
  </si>
  <si>
    <t>Rec Transaction Authorization Corporate</t>
  </si>
  <si>
    <t>https://drive.google.com/drive/folders/1R2ERTpI__XSGz2-xGEq0nRupvk6Rs9HD?usp=drive_link</t>
  </si>
  <si>
    <t>RESMX000373</t>
  </si>
  <si>
    <t>mx-api-bc-rec-trans-auth-corp</t>
  </si>
  <si>
    <t>APIMX000216</t>
  </si>
  <si>
    <t>https://coppelmx.atlassian.net/wiki/x/IIBxOQ</t>
  </si>
  <si>
    <t>https://drive.google.com/drive/folders/15gwPuQkvA2dqc4lTo_V1UIRd1lARvXil?usp=drive_link</t>
  </si>
  <si>
    <t>663ed903992dfa18ea0593ad</t>
  </si>
  <si>
    <t>POST /cards/creditCard/v1/creditCardApplication/evaluate</t>
  </si>
  <si>
    <t>RESMX000374</t>
  </si>
  <si>
    <t>https://drive.google.com/drive/folders/1qHhxITvq2PiWNtcFnLgdSSMNx-7yyhZ7?usp=drive_link</t>
  </si>
  <si>
    <t>https://coppelmx.atlassian.net/wiki/x/Y4B6OQ</t>
  </si>
  <si>
    <t>https://drive.google.com/drive/folders/1R_AZ88jdINrk81HijlACB4VuwxBiRg9R?usp=drive_link</t>
  </si>
  <si>
    <t>Bus Transaction Authorization Corporate</t>
  </si>
  <si>
    <t>663ed903992dfa18ea0593ae</t>
  </si>
  <si>
    <t>mx-api-bc-bus-trans-auth-corp</t>
  </si>
  <si>
    <t>APIMX000217</t>
  </si>
  <si>
    <t>POST /cards/creditCard/v1/creditCardFacility/evaluate</t>
  </si>
  <si>
    <t>https://drive.google.com/drive/folders/1eoyQhYTAiuspPszIpxXHVX7WthjvOWh7?usp=drive_link</t>
  </si>
  <si>
    <t>RESMX000375</t>
  </si>
  <si>
    <t>https://drive.google.com/drive/folders/14AMQJ1PGgTcwy1X8wygO9hphfBvnopdx?usp=drive_link</t>
  </si>
  <si>
    <t>663ed903992dfa18ea0593af</t>
  </si>
  <si>
    <t>POST /cards/creditCard/v1/cardTransaction/retrieve</t>
  </si>
  <si>
    <t>https://drive.google.com/drive/folders/1_fQ9PD17ndwETf7dStdMvemdrYJBKGDi?usp=drive_link</t>
  </si>
  <si>
    <t>Br Counterparty Risk</t>
  </si>
  <si>
    <t>https://drive.google.com/drive/folders/1bR-ciqu2ZzWz34QMUgLsnWIiqYbdXCa3?usp=drive_link</t>
  </si>
  <si>
    <t>RESMX000376</t>
  </si>
  <si>
    <t>mx-api-bc-br-counterparty-risk</t>
  </si>
  <si>
    <t>APIMX000218</t>
  </si>
  <si>
    <t>663ed903992dfa18ea0593b0</t>
  </si>
  <si>
    <t>POST /cards/creditCard/v1/creditCardHolder/retrieve</t>
  </si>
  <si>
    <t>https://drive.google.com/drive/folders/1uRshjxRtiCIMW9rI7_7vo3rXzI6_qW-R?usp=drive_link</t>
  </si>
  <si>
    <t>https://drive.google.com/drive/folders/1oqYeJEoswOrsHLMQejiLpPtZk-2VYHkG?usp=drive_link</t>
  </si>
  <si>
    <t>663ed903992dfa18ea0593b1</t>
  </si>
  <si>
    <t>RESMX000377</t>
  </si>
  <si>
    <t>PUT /cards/creditCard/v1/creditCardFacility/control</t>
  </si>
  <si>
    <t>https://drive.google.com/drive/folders/1vdhw5qJURzQV3erHpkAigcp0mKhpULxq?usp=drive_link</t>
  </si>
  <si>
    <t>https://coppelmx.atlassian.net/wiki/x/eoB2OQ</t>
  </si>
  <si>
    <t>https://drive.google.com/drive/folders/12iiZDTDuesDC23sBxFWUZ0Icel6f9J0Q?usp=drive_link</t>
  </si>
  <si>
    <t>Bus Regulations and Compliance</t>
  </si>
  <si>
    <t>663ed903992dfa18ea0593b2</t>
  </si>
  <si>
    <t>POST /cards/creditCard/v1/creditCardPosition/retrieve</t>
  </si>
  <si>
    <t>mx-api-bc-bus-regulations-and-compliance</t>
  </si>
  <si>
    <t>APIMX000219</t>
  </si>
  <si>
    <t>RESMX000378</t>
  </si>
  <si>
    <t>https://drive.google.com/drive/folders/1X7zL0VDZRDNbYX6FjosAaQKa3dwYvGC7?usp=drive_link</t>
  </si>
  <si>
    <t>https://drive.google.com/drive/folders/1D17uimpegkXjeQvesY8oNlZKhrMshIQu?usp=drive_link</t>
  </si>
  <si>
    <t>663ed903992dfa18ea0593b3</t>
  </si>
  <si>
    <t>POST /cards/creditCard/v1/paymentCard/evaluate</t>
  </si>
  <si>
    <t>https://drive.google.com/drive/folders/1muZoRzZWXPJoIwAUkWqZsW497RNxdPOW?usp=drive_link</t>
  </si>
  <si>
    <t>https://drive.google.com/drive/folders/1BRy_B4NfFfvtzjLF2fSr5tJM2HOMqpm1?usp=drive_link</t>
  </si>
  <si>
    <t>663ed903992dfa18ea0593b4</t>
  </si>
  <si>
    <t>RESMX000379</t>
  </si>
  <si>
    <t>PATCH /cards/creditCard/v1/paymentCard/update</t>
  </si>
  <si>
    <t>Rec Regulations and Compliance</t>
  </si>
  <si>
    <t>https://drive.google.com/drive/folders/1K4OCwlUkTfPHnv7g-dZBbLMgeJrvxsiA?usp=drive_link</t>
  </si>
  <si>
    <t>mx-api-bc-rec-regulations-and-compliance</t>
  </si>
  <si>
    <t>https://drive.google.com/drive/folders/1VVhgBCbUIWTeT4RUeQAoApcDgWHu9LRa?usp=drive_link</t>
  </si>
  <si>
    <t>APIMX000220</t>
  </si>
  <si>
    <t>663ed903992dfa18ea0593b5</t>
  </si>
  <si>
    <t>POST /cards/creditCard/v1/positionLimit/retrieve</t>
  </si>
  <si>
    <t>https://drive.google.com/drive/folders/1C7t4sCF8OmGd29AfQY8BSlWWL14Ay0Ku?usp=drive_link</t>
  </si>
  <si>
    <t>RESMX000380</t>
  </si>
  <si>
    <t>https://drive.google.com/drive/folders/1ECLds8-1DEzYSCDTihpIgcKBMGqueO_D?usp=drive_link</t>
  </si>
  <si>
    <t>663ed903992dfa18ea0593b6</t>
  </si>
  <si>
    <t>POST /cards/creditCard/v1/specialCreditCardConditions/retrieve</t>
  </si>
  <si>
    <t>https://drive.google.com/drive/folders/1BjioHY-nOq1fBxtbRyXTtAkC2-ueUSNF?usp=drive_link</t>
  </si>
  <si>
    <t>Bus Market Data</t>
  </si>
  <si>
    <t>https://drive.google.com/drive/folders/1-mMjYpaYWUxAHVBV6SDWGHgdepsibCoi?usp=drive_link</t>
  </si>
  <si>
    <t>mx-api-bc-bus-market-data</t>
  </si>
  <si>
    <t>APIMX000221</t>
  </si>
  <si>
    <t>RESMX000381</t>
  </si>
  <si>
    <t>663ed903992dfa18ea0593b7</t>
  </si>
  <si>
    <t>POST /cards/creditCard/v1/paymentCardType/retrieve</t>
  </si>
  <si>
    <t>https://drive.google.com/drive/folders/12PFoC2aAPlcz2S5hPxIg-AuwwIJ8a0Pq?usp=drive_link</t>
  </si>
  <si>
    <t>https://drive.google.com/drive/folders/1_PmHCzN-I0-JvA6K_NGTPbfccMTeKkUz?usp=drive_link</t>
  </si>
  <si>
    <t>663ed903992dfa18ea05958a</t>
  </si>
  <si>
    <t>RESMX000382</t>
  </si>
  <si>
    <t>Rec_EvaluateDocumentDirectoryEntryV1</t>
  </si>
  <si>
    <t>/experience/documentManagementAndArchive/documentDirectory</t>
  </si>
  <si>
    <t>POST /experience/documentManagementAndArchive/documentDirectory/v1/documentDirectoryEntry/evaluate</t>
  </si>
  <si>
    <t>https://coppelmx.atlassian.net/wiki/x/CoCKOQ</t>
  </si>
  <si>
    <t>https://drive.google.com/drive/folders/1NyBNehpAt6c7bgVCSJvVCEp_bu5GxTCO?usp=drive_link</t>
  </si>
  <si>
    <t>https://drive.google.com/drive/folders/1WiB44L0nz5_HLCrlRNxvhPFTjJ7rhFpY?usp=drive_link</t>
  </si>
  <si>
    <t>663ed903992dfa18ea05958b</t>
  </si>
  <si>
    <t>Rec Market Data</t>
  </si>
  <si>
    <t>RESMX000383</t>
  </si>
  <si>
    <t>Rec_InitiateDocumentDirectoryEntryV1</t>
  </si>
  <si>
    <t>POST /experience/documentManagementAndArchive/documentDirectory/v1/documentDirectoryEntry/initiate</t>
  </si>
  <si>
    <t>mx-api-bc-rec-market-data</t>
  </si>
  <si>
    <t>https://drive.google.com/drive/folders/1guv7fStQvUZEWQuIhxoDjXICdqKb8DlB?usp=drive_link</t>
  </si>
  <si>
    <t>APIMX000222</t>
  </si>
  <si>
    <t>https://drive.google.com/drive/folders/1Awb1eD5lyTE_jZ7xLspqP5ZgJoZf9-jG?usp=drive_link</t>
  </si>
  <si>
    <t>663ed903992dfa18ea05958c</t>
  </si>
  <si>
    <t>Rec_RegisterDocumentServiceProcedureV1</t>
  </si>
  <si>
    <t>/experience/documentManagementAndArchive/documentServices</t>
  </si>
  <si>
    <t>RESMX000384</t>
  </si>
  <si>
    <t>POST /experience/documentManagementAndArchive/documentServices/v1/documentServiceProcedure/register</t>
  </si>
  <si>
    <t>https://drive.google.com/drive/folders/1sdCCrxQWyCiG6g3u8dcCo3mPwPZ5qCTV?usp=drive_link</t>
  </si>
  <si>
    <t>https://drive.google.com/drive/folders/1H8Vi5TEsArbbiXYRBkXT1av62dYE84_B?usp=drive_link</t>
  </si>
  <si>
    <t>663ed903992dfa18ea05958d</t>
  </si>
  <si>
    <t>Rec Party Retail Reference Data Directory</t>
  </si>
  <si>
    <t>Rec_EvaluateTokenAssignmentV1</t>
  </si>
  <si>
    <t>/experience/operationalServices/issuedDeviceAdministration</t>
  </si>
  <si>
    <t>POST /experience/operationalServices/issuedDeviceAdministration/v1/tokenAssignment/evaluate</t>
  </si>
  <si>
    <t>https://drive.google.com/drive/folders/1aq9VOnI2WXX2gw7HZKsKZ9ELmEzjCAHS?usp=drive_link</t>
  </si>
  <si>
    <t>mx-api-cpp-rec-party-retail-reference-data-directory</t>
  </si>
  <si>
    <t>RESMX000385</t>
  </si>
  <si>
    <t>APIMX000223</t>
  </si>
  <si>
    <t>https://drive.google.com/drive/folders/122DDbbXMaf_or1EXTjlNHUiEkwDB0n8H?usp=drive_link</t>
  </si>
  <si>
    <t>mx-ms-cpp-rec-party-retail-reference-data-directory-apigee</t>
  </si>
  <si>
    <t>663ed903992dfa18ea05958e</t>
  </si>
  <si>
    <t>Rec_RetrieveBiometricAssignmentV1</t>
  </si>
  <si>
    <t>GET /experience/operationalServices/issuedDeviceAdministration/v1/biometricAssignment/{companyReference}/{customerReference}/retrieve</t>
  </si>
  <si>
    <t>https://drive.google.com/drive/folders/1ieAu0m46DshdImAWrVU1p_UwmGo42Pfr?usp=drive_link</t>
  </si>
  <si>
    <t>RESMX000386</t>
  </si>
  <si>
    <t>https://drive.google.com/drive/folders/1Vkoi1G02B60JmHneug0NpSl9ym6KkZHg?usp=drive_link</t>
  </si>
  <si>
    <t>Dom Operational Gateway Corporate</t>
  </si>
  <si>
    <t>mx-api-bc-dom-operational-gateway-corp</t>
  </si>
  <si>
    <t>APIMX000224</t>
  </si>
  <si>
    <t>mx-ms-bc-dom-operational-gateway-corp-mule</t>
  </si>
  <si>
    <t>RESMX000387</t>
  </si>
  <si>
    <t>Corregir API NAME ID EN CONFLUENCE</t>
  </si>
  <si>
    <t>Dom Transaction Authorization Corporate</t>
  </si>
  <si>
    <t>RESMX000388</t>
  </si>
  <si>
    <t>mx-api-bc-dom-trans-auth-corp</t>
  </si>
  <si>
    <t>APIMX000225</t>
  </si>
  <si>
    <t>mx-ms-bc-dom-trans-auth-corp-mule</t>
  </si>
  <si>
    <t>RESMX000389</t>
  </si>
  <si>
    <t>Pro Transaction Authorization Corporate</t>
  </si>
  <si>
    <t>mx-api-bc-pro-trans-auth-corp</t>
  </si>
  <si>
    <t>APIMX000226</t>
  </si>
  <si>
    <t>mx-ms-bc-pro-trans-auth-corp</t>
  </si>
  <si>
    <t>RESMX000390</t>
  </si>
  <si>
    <t>Bus Payment Execution Corporate</t>
  </si>
  <si>
    <t>RESMX000391</t>
  </si>
  <si>
    <t>mx-api-bc-bus-payment-execution-corp</t>
  </si>
  <si>
    <t>APIMX000227</t>
  </si>
  <si>
    <t>RESMX000392</t>
  </si>
  <si>
    <t>Bus Utility</t>
  </si>
  <si>
    <t>RESMX000393</t>
  </si>
  <si>
    <t>Ana Karen Alejandra Sandin Roldan</t>
  </si>
  <si>
    <t>663ed903992dfa18ea059562</t>
  </si>
  <si>
    <t>mx-api-bc-bus-utility</t>
  </si>
  <si>
    <t>APIMX000228</t>
  </si>
  <si>
    <t>Rec_RetrieveBranchLocationV1</t>
  </si>
  <si>
    <t>/experience/channelSpecific/branchLocationOperations</t>
  </si>
  <si>
    <t>POST /experience/channelSpecific/branchLocationOperations/v1/branchLocation/retrieve</t>
  </si>
  <si>
    <t>RESMX000394</t>
  </si>
  <si>
    <t>https://drive.google.com/drive/folders/1Rt0N-o96ZOAZH4C4J88tDbiNeXUpyT9_?usp=drive_link</t>
  </si>
  <si>
    <t>Rec Operation Support</t>
  </si>
  <si>
    <t>RESMX000395</t>
  </si>
  <si>
    <t>https://drive.google.com/drive/folders/1WBsecb7FhqsogYeotfuneXT-S6JfBuNT?usp=drive_link</t>
  </si>
  <si>
    <t>mx-api-bc-rec-operation-support</t>
  </si>
  <si>
    <t>APIMX000229</t>
  </si>
  <si>
    <t>663ed903992dfa18ea059563</t>
  </si>
  <si>
    <t>https://coppelmx.atlassian.net/wiki/x/IoDdPg</t>
  </si>
  <si>
    <t>Rec_ExecuteSmsNotificationV1</t>
  </si>
  <si>
    <t>/experience/businessSupport</t>
  </si>
  <si>
    <t>POST /experience/businessSupport/v1/smsNotification/execute</t>
  </si>
  <si>
    <t>Invalid Action Term "execute" for HTTP method "POST". For Action Term "execute" use "PUT,PATCH"\nThis operation requires changing the description response "Not content" to "No Content".</t>
  </si>
  <si>
    <t>https://drive.google.com/drive/folders/1wex-JBwnB8gIIX_IMIbZw0a-GdVg3Tq6?usp=drive_link</t>
  </si>
  <si>
    <t>https://drive.google.com/drive/folders/1UsyoN9vy8obOsbrkchqdcVcpo3eb1RmJ?usp=drive_link</t>
  </si>
  <si>
    <t>663ed903992dfa18ea059564</t>
  </si>
  <si>
    <t>RESMX000396</t>
  </si>
  <si>
    <t>Rec_ExecuteExecuteOrderConfirmationV1</t>
  </si>
  <si>
    <t>https://coppelmx.atlassian.net/wiki/x/IIDiPg</t>
  </si>
  <si>
    <t>PUT /experience/businessSupport/v1/executeOrderConfirmation/execute</t>
  </si>
  <si>
    <t>The Behavior Qualifier cannot include the action term value "execute". Remove the Action Term of "executeOrderConfirmation".\nThis operation requires changing the description response "Not content" to "No Content".</t>
  </si>
  <si>
    <t>Bus Operation Support</t>
  </si>
  <si>
    <t>https://drive.google.com/drive/folders/1nT_epGikowep4hrliA4UmX45hqzY5MBh?usp=drive_link</t>
  </si>
  <si>
    <t>mx-api-bc-bus-operation-support</t>
  </si>
  <si>
    <t>https://drive.google.com/drive/folders/12bvLTfjVzTzkOMYZ-xUMDikSKgl-4q3T?usp=drive_link</t>
  </si>
  <si>
    <t>RESMX000397</t>
  </si>
  <si>
    <t>APIMX000230</t>
  </si>
  <si>
    <t>663ed903992dfa18ea059565</t>
  </si>
  <si>
    <t>Rec_RetrieveOrderCancellationV1</t>
  </si>
  <si>
    <t>https://coppelmx.atlassian.net/wiki/x/QQDfPg</t>
  </si>
  <si>
    <t>POST /experience/businessSupport/v1/orderCancellation/retrieve</t>
  </si>
  <si>
    <t>https://drive.google.com/drive/folders/1mtbPnjGcVNTpWWAa6PMSVbSsN7OB38wO?usp=drive_link</t>
  </si>
  <si>
    <t>https://drive.google.com/drive/folders/1MX-nj5siOFASYVzE6JICNCZOTPbMpuoN?usp=drive_link</t>
  </si>
  <si>
    <t>663ed903992dfa18ea059566</t>
  </si>
  <si>
    <t>RESMX000398</t>
  </si>
  <si>
    <t>Rec_InitiatePaymentOrderProcedureV1</t>
  </si>
  <si>
    <t>POST /experience/businessSupport/v1/paymentOrderProcedure/initiate</t>
  </si>
  <si>
    <t>https://drive.google.com/drive/folders/1bL6jFH2M-HuJTk9Q1eXYhirCPyMAosar?usp=drive_link</t>
  </si>
  <si>
    <t>https://coppelmx.atlassian.net/wiki/x/cIDcPg</t>
  </si>
  <si>
    <t>https://drive.google.com/drive/folders/1pkjIyMDxGGKN0I5RUCTkczObAWzCzYBC?usp=drive_link</t>
  </si>
  <si>
    <t>Rec BR Utility</t>
  </si>
  <si>
    <t>663ed903992dfa18ea059567</t>
  </si>
  <si>
    <t>Rec_CreateTokenAssignmentV1</t>
  </si>
  <si>
    <t>/experience/payments/cardeCommerceGateway</t>
  </si>
  <si>
    <t>POST /experience/payments/cardeCommerceGateway/v1/tokenAssignment/create</t>
  </si>
  <si>
    <t>mx-api-bc-br-utility</t>
  </si>
  <si>
    <t>https://drive.google.com/drive/folders/19ZOCuGvVLd4a7uT7fLDoYPLhggbsLV94?usp=drive_link</t>
  </si>
  <si>
    <t>APIMX000231</t>
  </si>
  <si>
    <t>RESMX000399</t>
  </si>
  <si>
    <t>https://drive.google.com/drive/folders/1YWj_0SHUmuNLVYHqmhQzY8nevtTeMTBs?usp=drive_link</t>
  </si>
  <si>
    <t>663ed903992dfa18ea059568</t>
  </si>
  <si>
    <t>Rec_InitiateCorporateCurrentAccountFacilityV1</t>
  </si>
  <si>
    <t>/experience/loansAndDeposits/corporateCurrentAccount</t>
  </si>
  <si>
    <t>POST /experience/loansAndDeposits/corporateCurrentAccount/v1/corporateCurrentAccountFacility/initiate</t>
  </si>
  <si>
    <t>663ed903992dfa18ea059569</t>
  </si>
  <si>
    <t>Rec_EvaluateCustomerCreditRatingV1</t>
  </si>
  <si>
    <t>/experience/accountManagement/counterpartyRisk</t>
  </si>
  <si>
    <t>RESMX000400</t>
  </si>
  <si>
    <t>POST /experience/accountManagement/counterpartyRisk/v1/customerCreditRating/evaluate</t>
  </si>
  <si>
    <t>https://drive.google.com/drive/folders/11bBIPhB_wEKRwoItyEbLyPWgVDWmNuIN?usp=drive_link</t>
  </si>
  <si>
    <t>https://coppelmx.atlassian.net/wiki/x/HQDePg</t>
  </si>
  <si>
    <t>https://drive.google.com/drive/folders/1tyKFGcDZiPE3vbCCA4KTeF5j3Op6CRZ-?usp=drive_link</t>
  </si>
  <si>
    <t>Rec Process Instance Management</t>
  </si>
  <si>
    <t>663ed903992dfa18ea05956a</t>
  </si>
  <si>
    <t>Rec_EvaluateCreditCardApplicationV1</t>
  </si>
  <si>
    <t>/experience/cards/creditCard</t>
  </si>
  <si>
    <t>mx-api-bc-rec-process-instance-management</t>
  </si>
  <si>
    <t>POST /experience/cards/creditCard/v1/creditCardApplication/evaluate</t>
  </si>
  <si>
    <t>APIMX000232</t>
  </si>
  <si>
    <t>This operation requires changing the description response "Not content" to "No Content".</t>
  </si>
  <si>
    <t>RESMX000401</t>
  </si>
  <si>
    <t>https://drive.google.com/drive/folders/1JAGQfYDfpNu8389zyFovRovlndKkuxFj?usp=drive_link</t>
  </si>
  <si>
    <t>https://drive.google.com/drive/folders/1E3Qzwh4U7HuKn42kndP0o2vbvErgVdtF?usp=drive_link</t>
  </si>
  <si>
    <t>663ed903992dfa18ea05956b</t>
  </si>
  <si>
    <t>Rec_ControlPaymentCardV1</t>
  </si>
  <si>
    <t>PUT /experience/cards/creditCard/v1/paymentCard/control</t>
  </si>
  <si>
    <t>https://drive.google.com/drive/folders/1UcuON2PhYQpd58sCBLTP6pmVrocWPkzq?usp=drive_link</t>
  </si>
  <si>
    <t>RESMX000402</t>
  </si>
  <si>
    <t>https://drive.google.com/drive/folders/1pIkxqgN27PJB8flP2bg-J0YzbLb7MQOk?usp=drive_link</t>
  </si>
  <si>
    <t>https://coppelmx.atlassian.net/wiki/x/JYAdOQ</t>
  </si>
  <si>
    <t>663ed903992dfa18ea05956c</t>
  </si>
  <si>
    <t>Rec_RegisterPaymentCardV1</t>
  </si>
  <si>
    <t>POST /experience/cards/creditCard/v1/paymentCard/register</t>
  </si>
  <si>
    <t>https://drive.google.com/drive/folders/1ubj6nFB-m-K-PIhl80hqoGNd9tdLI0J_?usp=drive_link</t>
  </si>
  <si>
    <t>RESMX000403</t>
  </si>
  <si>
    <t>https://drive.google.com/drive/folders/1_JngY6gggV1wScuQKq68ur4E-AiWlE2v?usp=drive_link</t>
  </si>
  <si>
    <t>Rec Security Advisory</t>
  </si>
  <si>
    <t>https://coppelmx.atlassian.net/wiki/x/x4AoOQ</t>
  </si>
  <si>
    <t>663ed903992dfa18ea05956d</t>
  </si>
  <si>
    <t>Rec_RetrieveCreditCardFacilityV1</t>
  </si>
  <si>
    <t>mx-api-bc-rec-security-advisory</t>
  </si>
  <si>
    <t>APIMX000233</t>
  </si>
  <si>
    <t>POST /experience/cards/creditCard/v1/creditCardFacility/retrieve</t>
  </si>
  <si>
    <t>https://drive.google.com/drive/folders/1KUuNe-JPRkvEWEeIqUn9lLMDTmsPE4Pd?usp=drive_link</t>
  </si>
  <si>
    <t>RESMX000404</t>
  </si>
  <si>
    <t>https://drive.google.com/drive/folders/1RxiKRJ4dAVFarbyis5owSPVTx05q_bG1?usp=drive_link</t>
  </si>
  <si>
    <t>https://coppelmx.atlassian.net/wiki/x/MAAhOQ</t>
  </si>
  <si>
    <t>663ed903992dfa18ea05956e</t>
  </si>
  <si>
    <t>Rec_EvaluateCreditCardFacilityV1</t>
  </si>
  <si>
    <t>POST /experience/cards/creditCard/v1/creditCardFacility/evaluate</t>
  </si>
  <si>
    <t>https://drive.google.com/drive/folders/1WtJHcFb37vVsQ8X0DCxLL1KjiOaOjMxK?usp=drive_link</t>
  </si>
  <si>
    <t>https://drive.google.com/drive/folders/157xrN3DsvnTGmdhZuptf4e-6pRKGx-M0?usp=drive_link</t>
  </si>
  <si>
    <t>RESMX000405</t>
  </si>
  <si>
    <t>663ed903992dfa18ea05956f</t>
  </si>
  <si>
    <t>Rec_RegisterCreditCardFacilityV1</t>
  </si>
  <si>
    <t>POST /experience/cards/creditCard/v1/creditCardFacility/register</t>
  </si>
  <si>
    <t>https://coppelmx.atlassian.net/wiki/x/EwA3OQ</t>
  </si>
  <si>
    <t>https://drive.google.com/drive/folders/1xTHw3-KV3X7XIFeZWrh7h-oyXvL2zim2?usp=drive_link</t>
  </si>
  <si>
    <t>https://drive.google.com/drive/folders/1FTrBOLz7RC4iF8puZuk_NXsBKBWR9jmu?usp=drive_link</t>
  </si>
  <si>
    <t>Dom Security Advisory</t>
  </si>
  <si>
    <t>663ed903992dfa18ea059570</t>
  </si>
  <si>
    <t>Rec_RetrieveCardTransactionV1</t>
  </si>
  <si>
    <t>RESMX000406</t>
  </si>
  <si>
    <t>mx-api-bc-dom-security-advisory</t>
  </si>
  <si>
    <t>POST /experience/cards/creditCard/v1/cardTransaction/retrieve</t>
  </si>
  <si>
    <t>APIMX000234</t>
  </si>
  <si>
    <t>https://drive.google.com/drive/folders/1Toiq0FYFnKCmKTjFd2jU8uBiIb5HNlWZ?usp=drive_link</t>
  </si>
  <si>
    <t>https://coppelmx.atlassian.net/wiki/x/DQA5OQ</t>
  </si>
  <si>
    <t>https://drive.google.com/drive/folders/1RQNVA8NlmKJ05iPxqoemP3LTiYg4NcEh?usp=drive_link</t>
  </si>
  <si>
    <t>663ed903992dfa18ea059571</t>
  </si>
  <si>
    <t>Rec_ControlCreditCardFacilityV1</t>
  </si>
  <si>
    <t>PUT /experience/cards/creditCard/v1/creditCardFacility/control</t>
  </si>
  <si>
    <t>https://drive.google.com/drive/folders/19Zo7M9rzpv5ceumostZ6evK6XaECzBIS?usp=drive_link</t>
  </si>
  <si>
    <t>https://drive.google.com/drive/folders/16h40Fmn6PSipdaBZLOQaEZiBfSq7zM5p?usp=drive_link</t>
  </si>
  <si>
    <t>RESMX000407</t>
  </si>
  <si>
    <t>663ed903992dfa18ea059572</t>
  </si>
  <si>
    <t>Rec_RetrieveCreditCardPositionV1</t>
  </si>
  <si>
    <t>Servicio de proxy que permite consultar el score de la direcciones del cliente de OCR.</t>
  </si>
  <si>
    <t>Pro Security Advisory</t>
  </si>
  <si>
    <t>POST /experience/cards/creditCard/v1/creditCardPosition/retrieve</t>
  </si>
  <si>
    <t>https://drive.google.com/drive/folders/165orzZU0klgJpTAiY9FtKjFwt2ivjHjA?usp=drive_link</t>
  </si>
  <si>
    <t>mx-api-bc-pro-security-advisory</t>
  </si>
  <si>
    <t>APIMX000235</t>
  </si>
  <si>
    <t>https://drive.google.com/drive/folders/1CmA_M-WHJR3vmzUeKHGehQtpZRrlk0v2?usp=drive_link</t>
  </si>
  <si>
    <t>RESMX000408</t>
  </si>
  <si>
    <t>663ed903992dfa18ea059573</t>
  </si>
  <si>
    <t>Rec_UpdatePaymentCardV1</t>
  </si>
  <si>
    <t>PATCH /experience/cards/creditCard/v1/paymentCard/update</t>
  </si>
  <si>
    <t>https://coppelmx.atlassian.net/wiki/x/BIBjOQ</t>
  </si>
  <si>
    <t>https://drive.google.com/drive/folders/1-ccg3Qsj3WDYKsVHX9WKktGK52Chz0P1?usp=drive_link</t>
  </si>
  <si>
    <t>https://drive.google.com/drive/folders/1gia5WpLCJi-m0hOftyupNomkc48jtXMS?usp=drive_link</t>
  </si>
  <si>
    <t>663ed903992dfa18ea059574</t>
  </si>
  <si>
    <t>Rec_RetrievePositionLimitV1</t>
  </si>
  <si>
    <t>RESMX000409</t>
  </si>
  <si>
    <t>POST /experience/cards/creditCard/v1/positionLimit/retrieve</t>
  </si>
  <si>
    <t>Pro Operational Gateway Corporate</t>
  </si>
  <si>
    <t>https://drive.google.com/drive/folders/1BGE48eD8LewQwcjvOJ_-ApWfL3myA-E_?usp=drive_link</t>
  </si>
  <si>
    <t>https://coppelmx.atlassian.net/wiki/x/IYBfOQ</t>
  </si>
  <si>
    <t>https://drive.google.com/drive/folders/1zINMT4jvitT9LkCN3fYa8s9yBCoFfoDN?usp=drive_link</t>
  </si>
  <si>
    <t>mx-api-bc-pro-operational-gateway-corp</t>
  </si>
  <si>
    <t>APIMX000236</t>
  </si>
  <si>
    <t>663ed903992dfa18ea059575</t>
  </si>
  <si>
    <t>Rec_RetrievePaymentCardV1</t>
  </si>
  <si>
    <t>POST /experience/cards/creditCard/v1/paymentCard/retrieve</t>
  </si>
  <si>
    <t>RESMX000410</t>
  </si>
  <si>
    <t>663ed903992dfa18ea059576</t>
  </si>
  <si>
    <t>Rec_EvaluatePaymentCardV1</t>
  </si>
  <si>
    <t>https://coppelmx.atlassian.net/wiki/x/CgCKOQ</t>
  </si>
  <si>
    <t>POST /experience/cards/creditCard/v1/paymentCard/evaluate</t>
  </si>
  <si>
    <t>https://drive.google.com/drive/folders/199SQtUp_gbKn5g5Uw8zgru5I4jc_B6nd?usp=drive_link</t>
  </si>
  <si>
    <t>https://drive.google.com/drive/folders/1jNhPT5-Ou4p-h-Ta9AtBHxigfLAzXBU7?usp=drive_link</t>
  </si>
  <si>
    <t>RESMX000411</t>
  </si>
  <si>
    <t>Bus Transaction Engine Corporate</t>
  </si>
  <si>
    <t>663ed903992dfa18ea059577</t>
  </si>
  <si>
    <t>Rec_UpdateCreditCardFacilityV1</t>
  </si>
  <si>
    <t>mx-api-bc-bus-transaction-engine-corp</t>
  </si>
  <si>
    <t>PATCH /experience/cards/creditCard/v1/creditCardFacility/update</t>
  </si>
  <si>
    <t>APIMX000237</t>
  </si>
  <si>
    <t>https://coppelmx.atlassian.net/wiki/x/BwCeOQ</t>
  </si>
  <si>
    <t>https://drive.google.com/drive/folders/1eqA_rwDN2e_G9_f4_ePW8ZVYbqoirWzM?usp=drive_link</t>
  </si>
  <si>
    <t>https://drive.google.com/drive/folders/1iDBDpoF3lxXimBLuRdBQ6idsmFA6WE7p?usp=drive_link</t>
  </si>
  <si>
    <t>663ed903992dfa18ea059578</t>
  </si>
  <si>
    <t>RESMX000412</t>
  </si>
  <si>
    <t>Rec_RetrieveRefundV1</t>
  </si>
  <si>
    <t>POST /experience/cards/creditCard/v1/refund/retrieve</t>
  </si>
  <si>
    <t>https://drive.google.com/drive/folders/1z4HhayAHHPqlqPJZfaChCDwfTxmlZRA_?usp=drive_link</t>
  </si>
  <si>
    <t>https://coppelmx.atlassian.net/wiki/x/FoAfQg</t>
  </si>
  <si>
    <t>https://drive.google.com/drive/folders/1dmBAlokxElvoA1qKrlWjgN0NwswQ4l_z?usp=drive_link</t>
  </si>
  <si>
    <t>663ed903992dfa18ea059579</t>
  </si>
  <si>
    <t>Rec_InitiatePaymentCardV1</t>
  </si>
  <si>
    <t>RESMX000413</t>
  </si>
  <si>
    <t>POST /experience/cards/creditCard/v1/paymentCard/initiate</t>
  </si>
  <si>
    <t>https://drive.google.com/drive/folders/1icLqBY_IuzdhN_bXcYc-p23yRyZWa07H?usp=drive_link</t>
  </si>
  <si>
    <t>https://coppelmx.atlassian.net/wiki/x/CACgOQ</t>
  </si>
  <si>
    <t>https://drive.google.com/drive/folders/1T_iPezG11flQ-1RZkplXYhlm4DEjJijc?usp=drive_link</t>
  </si>
  <si>
    <t>663ed903992dfa18ea05957a</t>
  </si>
  <si>
    <t>Rec_RetrieveCreditCardBalanceV1</t>
  </si>
  <si>
    <t>POST /experience/cards/creditCard/v1/creditCardBalance/retrieve</t>
  </si>
  <si>
    <t>RESMX000414</t>
  </si>
  <si>
    <t>https://drive.google.com/drive/folders/1w8j7NFA9FUwPgrNyVMM0u0hXAJoJC5c5?usp=drive_link</t>
  </si>
  <si>
    <t>https://drive.google.com/drive/folders/1o4ns45cP--lX1MHjZUBrbZTCzts2V-WO?usp=drive_link</t>
  </si>
  <si>
    <t>663ed903992dfa18ea05957b</t>
  </si>
  <si>
    <t>Wrk Payment Execution Corporate</t>
  </si>
  <si>
    <t>Rec_RegisterCardTransactionEventV1</t>
  </si>
  <si>
    <t>/experience/cards/creditCardPositionKeeping</t>
  </si>
  <si>
    <t>POST /experience/cards/creditCardPositionKeeping/v1/cardTransactionEvent/register</t>
  </si>
  <si>
    <t>This operation requires changing the description response "Success" to "Created".</t>
  </si>
  <si>
    <t>mx-api-bc-wrk-payment-execution-corp</t>
  </si>
  <si>
    <t>https://drive.google.com/drive/folders/16uudrLAUkvCN81lUQzXBxwR8q4K-YnIg?usp=drive_link</t>
  </si>
  <si>
    <t>WRKMX000002</t>
  </si>
  <si>
    <t>https://drive.google.com/drive/folders/17RwoMeBvnvM-9SqEmJj6Pu6fJQFp_Q0l?usp=drive_link</t>
  </si>
  <si>
    <t>RESMX000415</t>
  </si>
  <si>
    <t>mx-ms-bc-wrk-payment-execution-corp</t>
  </si>
  <si>
    <t>Worker</t>
  </si>
  <si>
    <t>663ed903992dfa18ea05957c</t>
  </si>
  <si>
    <t>https://coppelmx.atlassian.net/wiki/x/QwAbQg</t>
  </si>
  <si>
    <t>POST /experience/cards/creditCardPositionKeeping/v1/creditCardPosition/retrieve</t>
  </si>
  <si>
    <t>https://drive.google.com/drive/folders/1N0RaWDKGE-WOTIo4jLExyn6ZM_oTlfJZ?usp=drive_link</t>
  </si>
  <si>
    <t>https://drive.google.com/drive/folders/1rgTkTbXZJwye84bonARC73WdDtbochVX?usp=drive_link</t>
  </si>
  <si>
    <t>RESMX000416</t>
  </si>
  <si>
    <t>663ed903992dfa18ea05957d</t>
  </si>
  <si>
    <t>Rec_RetrieveCreditCardAssessmentV1</t>
  </si>
  <si>
    <t>POST /experience/cards/creditCardPositionKeeping/v1/creditCardAssessment/retrieve</t>
  </si>
  <si>
    <t>Wrk Payment Instruction Corporate</t>
  </si>
  <si>
    <t>https://drive.google.com/drive/folders/1nXSCQw394qKMt0MzgxZ4-njRHWmrRcg2?usp=drive_link</t>
  </si>
  <si>
    <t>mx-api-bc-wrk-payment-instruction-corp</t>
  </si>
  <si>
    <t>https://drive.google.com/drive/folders/12ADGk_UfxM_oQptXBbmQbUxjrs--AdEa?usp=drive_link</t>
  </si>
  <si>
    <t>WRKMX000003</t>
  </si>
  <si>
    <t>mx-ms-bc-wrk-payment-instruction-corp</t>
  </si>
  <si>
    <t>663ed903992dfa18ea05957e</t>
  </si>
  <si>
    <t>Rec_RetrieveCreditCardStatementV1</t>
  </si>
  <si>
    <t>POST /experience/cards/creditCardPositionKeeping/v1/creditCardStatement/retrieve</t>
  </si>
  <si>
    <t>RESMX000417</t>
  </si>
  <si>
    <t>https://drive.google.com/drive/folders/1Z4QPDGAVHlCndxymqemGIwZT8LIdz7jJ?usp=drive_link</t>
  </si>
  <si>
    <t>https://drive.google.com/drive/folders/1rHH5Z4OJZPl5JgP_RMxL00SNy_B8UGW3?usp=drive_link</t>
  </si>
  <si>
    <t>https://coppelmx.atlassian.net/wiki/x/iIBaQg</t>
  </si>
  <si>
    <t>663ed903992dfa18ea05957f</t>
  </si>
  <si>
    <t>Rec_RetrieveCreditCardHolderV1</t>
  </si>
  <si>
    <t>Hub Domiciliación</t>
  </si>
  <si>
    <t>POST /experience/cards/creditCardPositionKeeping/v1/creditCardHolder/retrieve</t>
  </si>
  <si>
    <t>Rec Direct Debit Mandate Hub</t>
  </si>
  <si>
    <t>https://drive.google.com/drive/folders/1-SOGE_ihjn9nhG1QGlaYv3fgdwySZR3d?usp=drive_link</t>
  </si>
  <si>
    <t>RESMX000418</t>
  </si>
  <si>
    <t>https://drive.google.com/drive/folders/1Z0Qub-4gd_h0hOLnPE25KnhEGdO6SVX7?usp=drive_link</t>
  </si>
  <si>
    <t>mx-api-bc-rec-dir-deb-mand-hub</t>
  </si>
  <si>
    <t>APIMX000238</t>
  </si>
  <si>
    <t>663ed903992dfa18ea059580</t>
  </si>
  <si>
    <t>https://coppelmx.atlassian.net/wiki/x/IgAoOQ</t>
  </si>
  <si>
    <t>Rec_UpdateCreditLineFacilityV1</t>
  </si>
  <si>
    <t>/experience/corporateBanking/creditFacility</t>
  </si>
  <si>
    <t>PATCH /experience/corporateBanking/creditFacility/v1/creditLineFacility/update</t>
  </si>
  <si>
    <t>Invalid business domain value "corporateBanking", in the path "/experience/corporateBanking/creditFacility".\nFor the service domain "creditFacility" in the path "/experience/corporateBanking/creditFacility" use the business domain "Trade Banking".\nThis operation requires changing the description response "Not content" to "No Content".</t>
  </si>
  <si>
    <t>https://drive.google.com/drive/folders/1sbLpRz6qHiHSCRLygRoD8YmnpuDbfc6f?usp=drive_link</t>
  </si>
  <si>
    <t>https://drive.google.com/drive/folders/1Pl7ZW21uUCb6tcwJYtLKf-n7JxOVkaHS?usp=drive_link</t>
  </si>
  <si>
    <t>RESMX000419</t>
  </si>
  <si>
    <t>663ed903992dfa18ea059581</t>
  </si>
  <si>
    <t>Rec_RetrieveCurrencyExchangeTransactionV1</t>
  </si>
  <si>
    <t>/experience/consumerServices/currencyExchange</t>
  </si>
  <si>
    <t>POST /experience/consumerServices/currencyExchange/v1/currencyExchangeTransaction/retrieve</t>
  </si>
  <si>
    <t>https://coppelmx.atlassian.net/wiki/x/BICUOQ</t>
  </si>
  <si>
    <t>https://drive.google.com/drive/folders/1YYnfMXNnnmn61U7evHRQbxiwNyu6Rrln?usp=drive_link</t>
  </si>
  <si>
    <t>https://drive.google.com/drive/folders/1hmOpe22_mzwWRCGzBBUVFpQnhtAVYpa0?usp=drive_link</t>
  </si>
  <si>
    <t>663ed903992dfa18ea059582</t>
  </si>
  <si>
    <t>Rec Cash Management and Account Services Hub</t>
  </si>
  <si>
    <t>Rec_RetrieveRestrictionsV1</t>
  </si>
  <si>
    <t>/experience/customerManagement/CustomerAccessEntitlement</t>
  </si>
  <si>
    <t>POST /experience/customerManagement/CustomerAccessEntitlement/v1/restrictions/retrieve</t>
  </si>
  <si>
    <t>Servicio de experiencia que se encarga de contar los intentos por actividad.</t>
  </si>
  <si>
    <t>Invalid service domain value "CustomerAccessEntitlement", in the path "/experience/customerManagement/CustomerAccessEntitlement".\nFor the business domain "Customer Management" in the path "/experience/customerManagement/CustomerAccessEntitlement", the valid service domains are "Customer Product and Service Eligibility,Customer Behavior Insights,Customer Products and Services,Customer Agreement,Customer Relationship Management,Customer Proposition,Sales Product Agreement,Party Reference Data Directory,Account Recovery,Customer Event History,Customer Credit Rating,Customer Access Entitlement".</t>
  </si>
  <si>
    <t>mx-api-bc-rec-cash-mgmt-acct-services-hub</t>
  </si>
  <si>
    <t>APIMX000239</t>
  </si>
  <si>
    <t>https://drive.google.com/drive/folders/1lrRwxBDnvQF_yeDJDbcZU4OcOKb91-xR?usp=drive_link</t>
  </si>
  <si>
    <t>RESMX000420</t>
  </si>
  <si>
    <t>https://drive.google.com/drive/folders/1EO7XCdBcLmEeEm0aLycNxRwwthe_vZsz?usp=drive_link</t>
  </si>
  <si>
    <t>https://coppelmx.atlassian.net/wiki/spaces/GAC/pages/1452736555/RESMX000420+Pro_UpdateLocationV1?atlOrigin=eyJpIjoiNzFlMTZhYzIyMTc1NGMwNTgxYTY3MDJhYjMwZTQ1MGYiLCJwIjoiYyJ9</t>
  </si>
  <si>
    <t>663ed903992dfa18ea059583</t>
  </si>
  <si>
    <t>Rec_RegisterEndorsementV1</t>
  </si>
  <si>
    <t>/experience/customerManagement/customerAgreement</t>
  </si>
  <si>
    <t>POST /experience/customerManagement/customerAgreement/v1/endorsement/register</t>
  </si>
  <si>
    <t>servicio de Experiencia encargado de llevar a cabo la inserción de Términos y condiciones, Autorizar consulta de INE</t>
  </si>
  <si>
    <t>https://drive.google.com/drive/folders/1whLCYNmkg16R8wWD0CONx8GcF6cYqcif?usp=drive_link</t>
  </si>
  <si>
    <t>https://drive.google.com/drive/folders/1p87DnfnSaYy81zhKz1gUSTP93IJ0WOSk?usp=drive_link</t>
  </si>
  <si>
    <t>663ed903992dfa18ea059584</t>
  </si>
  <si>
    <t>Rec_RetrieveEndorsementV1</t>
  </si>
  <si>
    <t>Pro Direct Debit Mandate Hub</t>
  </si>
  <si>
    <t>GET /experience/customerManagement/customerAgreement/v1/endorsement/{sessionDialogueIdentification}/retrieve</t>
  </si>
  <si>
    <t>Servicio de reception encargado de consultar tabla Consents relacionada al cliente prospecto</t>
  </si>
  <si>
    <t>https://drive.google.com/drive/folders/1GpTEAjEtBqULm3N_xfLWvpfz7friXWzG?usp=drive_link</t>
  </si>
  <si>
    <t>mx-api-bc-pro-dir-deb-mand-hub</t>
  </si>
  <si>
    <t>APIMX000240</t>
  </si>
  <si>
    <t>https://drive.google.com/drive/folders/1jitb2addb3xKUgT380rJjW1bTspud-eQ?usp=drive_link</t>
  </si>
  <si>
    <t>RESMX000421</t>
  </si>
  <si>
    <t>663ed903992dfa18ea059585</t>
  </si>
  <si>
    <t>Rec_EvaluateFacilityApplicationV1</t>
  </si>
  <si>
    <t>/experience/sales/customerOffer</t>
  </si>
  <si>
    <t>POST /experience/sales/customerOffer/v1/facilityApplication/evaluate</t>
  </si>
  <si>
    <t>https://drive.google.com/drive/folders/1HiuvEnJ5djX9dppfNYQK6so2s-xNLFGb?usp=drive_link</t>
  </si>
  <si>
    <t>https://drive.google.com/drive/folders/1YmJf7pkXcpOHsmiiZE9v5MaCoguHds6b?usp=drive_link</t>
  </si>
  <si>
    <t>663ed903992dfa18ea059586</t>
  </si>
  <si>
    <t>Rec Customer Products and Services Eligibility</t>
  </si>
  <si>
    <t>Rec_RetrieveCustomerEligibilityReportV1</t>
  </si>
  <si>
    <t>/experience/relationshipManagement/customerProductAndServiceEligibility</t>
  </si>
  <si>
    <t>POST /experience/relationshipManagement/customerProductAndServiceEligibility/v1/customerEligibilityReport/retrieve</t>
  </si>
  <si>
    <t>RESMX000422</t>
  </si>
  <si>
    <t>The name of directory is "customer product and service eligibility" but the API name is "Rec Customer Products and Services Eligibility".\nInvalid Service Domain value "Customer Products and Services Eligibility" in name of specification.\nInvalid business domain value "relationshipManagement", in the path "/experience/relationshipManagement/customerProductAndServiceEligibility".\nFor the service domain "customerProductAndServiceEligibility" in the path "/experience/relationshipManagement/customerProductAndServiceEligibility" use the business domain "Customer Management".</t>
  </si>
  <si>
    <t>https://drive.google.com/drive/folders/1Ou6EZ8GPNCS__AuiJn1XKr-sG_HEeLJL?usp=drive_link</t>
  </si>
  <si>
    <t>Pro Document Services Hub</t>
  </si>
  <si>
    <t>https://coppelmx.atlassian.net/wiki/x/BgBLOQ</t>
  </si>
  <si>
    <t>https://drive.google.com/drive/folders/1EU0sPsWgFhomRRURp4inK2ZHXtNVURJ-?usp=drive_link</t>
  </si>
  <si>
    <t>mx-api-bc-pro-document-services-hub</t>
  </si>
  <si>
    <t>APIMX000241</t>
  </si>
  <si>
    <t>663ed903992dfa18ea059587</t>
  </si>
  <si>
    <t>Rec Customer Product And Service</t>
  </si>
  <si>
    <t>Rec_RetrieveCustomerProductInformationV1</t>
  </si>
  <si>
    <t>/experience/customerManagement/customerProductsAndServices</t>
  </si>
  <si>
    <t>RESMX000423</t>
  </si>
  <si>
    <t>POST /experience/customerManagement/customerProductsAndServices/v1/customerProductInformation/retrieve</t>
  </si>
  <si>
    <t>The name of directory is "customer products and services" but the API name is "Rec Customer Product And Service".\nInvalid Service Domain value "Customer Product And Service" in name of specification.</t>
  </si>
  <si>
    <t>https://drive.google.com/drive/folders/1Wr9WUltkik4l3zJ1jq_Lxz4n2O9cD2Ig?usp=drive_link</t>
  </si>
  <si>
    <t>https://coppelmx.atlassian.net/wiki/x/EQBKOQ</t>
  </si>
  <si>
    <t>https://drive.google.com/drive/folders/1LBZOneeOvJSWa0VlfnoSq00DfLNkYYlt?usp=drive_link</t>
  </si>
  <si>
    <t>663ed903992dfa18ea059588</t>
  </si>
  <si>
    <t>Rec_EvaluateCustomerWorkbenchFinancialTransactionV1</t>
  </si>
  <si>
    <t>/experience/crossChannel/customerWorkbench</t>
  </si>
  <si>
    <t>POST /experience/crossChannel/customerWorkbench/v1/customerWorkbenchFinancialTransaction/evaluate</t>
  </si>
  <si>
    <t>RESMX000424</t>
  </si>
  <si>
    <t>https://drive.google.com/drive/folders/1CXW2tX2q0m2E7ea1wXwcryEHmtIUcNsu?usp=drive_link</t>
  </si>
  <si>
    <t>Servicio de dominio que registra el teléfono de referencia en la tabla Phone.</t>
  </si>
  <si>
    <t>https://coppelmx.atlassian.net/wiki/x/ZoBdOQ</t>
  </si>
  <si>
    <t>https://drive.google.com/drive/folders/15c7gwMDg-4UpHgbl0l_Fymeq20U4uz--?usp=drive_link</t>
  </si>
  <si>
    <t>Pro Payment Execution Hub</t>
  </si>
  <si>
    <t>663ed903992dfa18ea059589</t>
  </si>
  <si>
    <t>mx-api-bc-pro-payment-execution-hub</t>
  </si>
  <si>
    <t>Rec_RegisterDocumentDirectoryEntryV1</t>
  </si>
  <si>
    <t>APIMX000242</t>
  </si>
  <si>
    <t>POST /experience/documentManagementAndArchive/documentDirectory/v1/documentDirectoryEntry/register</t>
  </si>
  <si>
    <t>RESMX000425</t>
  </si>
  <si>
    <t>https://drive.google.com/drive/folders/1iORld6RjW4jRpVT8K_y0ELB4d0x5GXFP?usp=drive_link</t>
  </si>
  <si>
    <t>https://coppelmx.atlassian.net/wiki/x/WoBcOQ</t>
  </si>
  <si>
    <t>https://drive.google.com/drive/folders/15jfFl6wr4KSXGaGkdn2HMxru767kQKaw?usp=drive_link</t>
  </si>
  <si>
    <t>RESMX000426</t>
  </si>
  <si>
    <t>Pro Party Reference Data Directory Hub</t>
  </si>
  <si>
    <t>mx-api-bc-pro-party-reference-data-directory-hub</t>
  </si>
  <si>
    <t>APIMX000243</t>
  </si>
  <si>
    <t>RESMX000427</t>
  </si>
  <si>
    <t>https://coppelmx.atlassian.net/wiki/x/WoBaOQ</t>
  </si>
  <si>
    <t>RESMX000428</t>
  </si>
  <si>
    <t>Pro Operational Event History Hub</t>
  </si>
  <si>
    <t>https://coppelmx.atlassian.net/wiki/x/DoCgOQ</t>
  </si>
  <si>
    <t>mx-api-bc-pro-operational-event-history-hub</t>
  </si>
  <si>
    <t>APIMX000244</t>
  </si>
  <si>
    <t>RESMX000429</t>
  </si>
  <si>
    <t>Operación que se encarga de consultar la información del cliente previa al alta en el proceso Apolo.</t>
  </si>
  <si>
    <t>https://coppelmx.atlassian.net/wiki/x/FACcOQ</t>
  </si>
  <si>
    <t>Pro Account Validation Hub</t>
  </si>
  <si>
    <t>mx-api-bc-pro-account-validation-hub</t>
  </si>
  <si>
    <t>APIMX000245</t>
  </si>
  <si>
    <t>RESMX000430</t>
  </si>
  <si>
    <t>Servicio de dominio que actualiza la información del prospecto en la tabla Application para evaluar si es apto para el crédito o no.</t>
  </si>
  <si>
    <t>https://coppelmx.atlassian.net/wiki/x/DQCfOQ</t>
  </si>
  <si>
    <t>Pro Utility Hub</t>
  </si>
  <si>
    <t>mx-api-bc-pro-utility-hub</t>
  </si>
  <si>
    <t>APIMX000246</t>
  </si>
  <si>
    <t>RESMX000431</t>
  </si>
  <si>
    <t>/v1/familyProfile/initiate</t>
  </si>
  <si>
    <t>Servicio de dominio que actualiza el registro de la información de los habitantes del domicilio en la tabla Application.</t>
  </si>
  <si>
    <t>https://coppelmx.atlassian.net/wiki/x/MICgOQ</t>
  </si>
  <si>
    <t>Asignado</t>
  </si>
  <si>
    <t>https://coppelmx.atlassian.net/browse/GD-417</t>
  </si>
  <si>
    <t>RESMX000432</t>
  </si>
  <si>
    <t>Pro Customer Agreement Hub</t>
  </si>
  <si>
    <t>Servicio encargado de guardar al cliente prospecto</t>
  </si>
  <si>
    <t>mx-api-bc-pro-customer-agreement-hub</t>
  </si>
  <si>
    <t>https://coppelmx.atlassian.net/wiki/x/IQClOQ</t>
  </si>
  <si>
    <t>APIMX000247</t>
  </si>
  <si>
    <t>Cristian Gerardo Jaramillo Cruz</t>
  </si>
  <si>
    <t>Complete</t>
  </si>
  <si>
    <t>https://coppelmx.atlassian.net/browse/GD-418</t>
  </si>
  <si>
    <t>RESMX000433</t>
  </si>
  <si>
    <t>Pro_CapturePartyRelationshipProcedureV1</t>
  </si>
  <si>
    <t>Manuel Martinez García</t>
  </si>
  <si>
    <t xml:space="preserve">Aproved Artefacts </t>
  </si>
  <si>
    <t>https://coppelmx.atlassian.net/browse/GD-419</t>
  </si>
  <si>
    <t>Pro Cash Management and Account Services Hub</t>
  </si>
  <si>
    <t>Work In Artefacts</t>
  </si>
  <si>
    <t>https://coppelmx.atlassian.net/browse/GD-420</t>
  </si>
  <si>
    <t>mx-api-bc-pro-cash-mgmt-acct-services-hub</t>
  </si>
  <si>
    <t>APIMX000248</t>
  </si>
  <si>
    <t>https://coppelmx.atlassian.net/browse/GD-421</t>
  </si>
  <si>
    <t xml:space="preserve">by RAML </t>
  </si>
  <si>
    <t>RESMX000434</t>
  </si>
  <si>
    <t>https://coppelmx.atlassian.net/browse/GD-422</t>
  </si>
  <si>
    <t>Bus_RetrieveCreditcardpositionV1</t>
  </si>
  <si>
    <t>https://coppelmx.atlassian.net/wiki/x/HYAFOg</t>
  </si>
  <si>
    <t>POST /operationsAndExecution/v1/creditCardPosition/retrieve</t>
  </si>
  <si>
    <t>Operacion que realiza una consulta para obtener los movimientos detallados del crédito (cuenta de crédito Bancoppel) que se está consultando</t>
  </si>
  <si>
    <t>https://coppelmx.atlassian.net/browse/GD-423</t>
  </si>
  <si>
    <t>https://coppelmx.atlassian.net/browse/GD-424</t>
  </si>
  <si>
    <t>Bus Direct Debit Hub</t>
  </si>
  <si>
    <t>RESMX000435</t>
  </si>
  <si>
    <t>https://coppelmx.atlassian.net/browse/GD-425</t>
  </si>
  <si>
    <t>APIMX000249</t>
  </si>
  <si>
    <t>https://coppelmx.atlassian.net/browse/GD-426</t>
  </si>
  <si>
    <t>https://coppelmx.atlassian.net/wiki/x/BIA_OQ</t>
  </si>
  <si>
    <t>Bus_InitiateIncomeprofileV1</t>
  </si>
  <si>
    <t>/v1/incomeProfile/initiate</t>
  </si>
  <si>
    <t>POST /referenceData/v1/incomeProfile/initiate</t>
  </si>
  <si>
    <t>Servicio de dominio para el registro de la fuente de ingresos y tipo de residencia del cliente en el proceso de Alta de un Cliente Nuevo (Alta Única).</t>
  </si>
  <si>
    <t>https://coppelmx.atlassian.net/browse/GD-427</t>
  </si>
  <si>
    <t>Javier Gonzalez Gomez</t>
  </si>
  <si>
    <t>https://coppelmx.atlassian.net/browse/GD-454</t>
  </si>
  <si>
    <t>RESMX000436</t>
  </si>
  <si>
    <t>Dom_RetrieveReportingV1</t>
  </si>
  <si>
    <t>Bus Direct Debit Mandate Hub</t>
  </si>
  <si>
    <t>/v1/reporting/retrieve</t>
  </si>
  <si>
    <t>POST /cards/creditCard/v1/reporting/retrieve</t>
  </si>
  <si>
    <t>https://coppelmx.atlassian.net/browse/GD-428</t>
  </si>
  <si>
    <t>API encargado obtener el informe del estado de crédito.</t>
  </si>
  <si>
    <t>https://coppelmx.atlassian.net/wiki/x/DoAUOg</t>
  </si>
  <si>
    <t>mx-api-bc-bus-dir-deb-mand-hub</t>
  </si>
  <si>
    <t>APIMX000250</t>
  </si>
  <si>
    <t>https://coppelmx.atlassian.net/browse/GD-429</t>
  </si>
  <si>
    <t>https://coppelmx.atlassian.net/browse/GD-430</t>
  </si>
  <si>
    <t>POST /marketData/locationDataManagement/v1/location/retrieve</t>
  </si>
  <si>
    <t>API que permite consultar la dirección del cliente</t>
  </si>
  <si>
    <t>https://coppelmx.atlassian.net/browse/GD-431</t>
  </si>
  <si>
    <t>RESMX000437</t>
  </si>
  <si>
    <t>Dom_RegisterCustomerrelationshipinvolvementlocationV1</t>
  </si>
  <si>
    <t>https://coppelmx.atlassian.net/browse/GD-432</t>
  </si>
  <si>
    <t>/v1/customerRelationshipInvolvementLocation/register</t>
  </si>
  <si>
    <t>POST /marketData/locationDataManagement/v1/customerRelationshipInvolvementLocation/register</t>
  </si>
  <si>
    <t>API que permite guardar la dirección del conyugue del cliente</t>
  </si>
  <si>
    <t>Pro Accounts Receivable Hub</t>
  </si>
  <si>
    <t>https://coppelmx.atlassian.net/wiki/x/JAD_g</t>
  </si>
  <si>
    <t>https://coppelmx.atlassian.net/browse/GD-433</t>
  </si>
  <si>
    <t>mx-api-bc-pro-acct-rcvb-hub</t>
  </si>
  <si>
    <t>APIMX000251</t>
  </si>
  <si>
    <t>https://coppelmx.atlassian.net/browse/GD-434</t>
  </si>
  <si>
    <t>Dom_UpdateIncomeprofileV1</t>
  </si>
  <si>
    <t>/v1/incomeProfile/update</t>
  </si>
  <si>
    <t>POST /customerManagement/partyReferenceDataDirectory/v1/incomeProfile/update</t>
  </si>
  <si>
    <t>Servicio de dominio para actualizar la fuente de ingresos y tipo de residencia del cliente en el proceso de Alta de un Cliente Nuevo (Alta Única).</t>
  </si>
  <si>
    <t>https://coppelmx.atlassian.net/browse/GD-435</t>
  </si>
  <si>
    <t>https://coppelmx.atlassian.net/browse/GD-436</t>
  </si>
  <si>
    <t>Pro_RetrieveReportingV1</t>
  </si>
  <si>
    <t>POST /system/cards/creditCard/v1/reporting/retrieve</t>
  </si>
  <si>
    <t>https://coppelmx.atlassian.net/browse/GD-437</t>
  </si>
  <si>
    <t>RESMX000438</t>
  </si>
  <si>
    <t>Pro Channel Management Hub</t>
  </si>
  <si>
    <t>https://coppelmx.atlassian.net/browse/GD-438</t>
  </si>
  <si>
    <t>https://coppelmx.atlassian.net/wiki/x/AoANgQ</t>
  </si>
  <si>
    <t>POST /system/marketData/locationDataManagement/v1/location/retrieve</t>
  </si>
  <si>
    <t>Omar Carmona</t>
  </si>
  <si>
    <t>https://coppelmx.atlassian.net/browse/GD-439</t>
  </si>
  <si>
    <t>mx-api-bc-pro-chan-mgmt-hub</t>
  </si>
  <si>
    <t>APIMX000252</t>
  </si>
  <si>
    <t>Joelvin E Chirino U</t>
  </si>
  <si>
    <t>https://coppelmx.atlassian.net/browse/GD-440</t>
  </si>
  <si>
    <t>Pro_RegisterCustomerrelationshipinvolvementlocationV1</t>
  </si>
  <si>
    <t>https://coppelmx.atlassian.net/browse/GD-441</t>
  </si>
  <si>
    <t>POST /system/marketData/locationDataManagement/v1/customerRelationshipInvolvementLocation/register</t>
  </si>
  <si>
    <t>https://coppelmx.atlassian.net/browse/GD-442</t>
  </si>
  <si>
    <t>RESMX000439</t>
  </si>
  <si>
    <t>Pro_UpdateIncomeprofileV1</t>
  </si>
  <si>
    <t>https://coppelmx.atlassian.net/browse/GD-443</t>
  </si>
  <si>
    <t>POST /system/customerManagement/partyReferenceDataDirectory/v1/incomeProfile/update</t>
  </si>
  <si>
    <t>Pro Direct Debit Hub</t>
  </si>
  <si>
    <t>https://coppelmx.atlassian.net/wiki/x/E4Dbg</t>
  </si>
  <si>
    <t>https://coppelmx.atlassian.net/browse/GD-444</t>
  </si>
  <si>
    <t>mx-api-bc-pro-dir-deb-hub</t>
  </si>
  <si>
    <t>APIMX000253</t>
  </si>
  <si>
    <t>Rec_RetrieveReportingV1</t>
  </si>
  <si>
    <t>https://coppelmx.atlassian.net/browse/GD-445</t>
  </si>
  <si>
    <t>POST /experience/cards/creditCard/v1/reporting/retrieve</t>
  </si>
  <si>
    <t>https://coppelmx.atlassian.net/browse/GD-446</t>
  </si>
  <si>
    <t>https://coppelmx.atlassian.net/browse/GD-447</t>
  </si>
  <si>
    <t>RESMX000440</t>
  </si>
  <si>
    <t>Raymy David Sotillo Aponte</t>
  </si>
  <si>
    <t>https://coppelmx.atlassian.net/browse/GD-448</t>
  </si>
  <si>
    <t>Rec_RetrieveCustomerproductinformationV1</t>
  </si>
  <si>
    <t>https://coppelmx.atlassian.net/wiki/x/MQG4g</t>
  </si>
  <si>
    <t>Pro Public Reference Data Management Hub</t>
  </si>
  <si>
    <t>Invalid Service Domain value "Customer Product And Service" in name of directory.\n Invalid Service Domain value "Customer Product And Service" in name of specification.</t>
  </si>
  <si>
    <t>https://coppelmx.atlassian.net/browse/GD-449</t>
  </si>
  <si>
    <t>mx-api-bc-pro-public-ref-dat-mgmt-hub</t>
  </si>
  <si>
    <t>APIMX000254</t>
  </si>
  <si>
    <t>https://coppelmx.atlassian.net/browse/GD-450</t>
  </si>
  <si>
    <t>https://coppelmx.atlassian.net/browse/GD-451</t>
  </si>
  <si>
    <t>RESMX000441</t>
  </si>
  <si>
    <t>https://coppelmx.atlassian.net/browse/GD-452</t>
  </si>
  <si>
    <t>https://coppelmx.atlassian.net/wiki/x/yAAbOg</t>
  </si>
  <si>
    <t>https://coppelmx.atlassian.net/browse/GD-453</t>
  </si>
  <si>
    <t>Pro Systems Operations Hub</t>
  </si>
  <si>
    <t>mx-api-bc-pro-systems-operations-hub</t>
  </si>
  <si>
    <t>Rec Operations And Execution</t>
  </si>
  <si>
    <t>APIMX000255</t>
  </si>
  <si>
    <t>https://coppelmx.atlassian.net/browse/GD-455</t>
  </si>
  <si>
    <t>RESMX000442</t>
  </si>
  <si>
    <t>Canceled</t>
  </si>
  <si>
    <t>https://coppelmx.atlassian.net/wiki/x/BQB4Og</t>
  </si>
  <si>
    <t>Dom Party Routing Profile</t>
  </si>
  <si>
    <t>RESMX000443</t>
  </si>
  <si>
    <t>mx-api-bc-dom-party-routing-profile</t>
  </si>
  <si>
    <t>APIMX000256</t>
  </si>
  <si>
    <t>https://coppelmx.atlassian.net/wiki/x/BQB5Og</t>
  </si>
  <si>
    <t>RESMX000444</t>
  </si>
  <si>
    <t>Pro Party Routing Profile</t>
  </si>
  <si>
    <t>https://coppelmx.atlassian.net/wiki/x/9AC6g</t>
  </si>
  <si>
    <t>mx-api-bc-pro-party-routing-profile</t>
  </si>
  <si>
    <t>APIMX000257</t>
  </si>
  <si>
    <t>RESMX000445</t>
  </si>
  <si>
    <t>https://coppelmx.atlassian.net/wiki/x/wIBzOg</t>
  </si>
  <si>
    <t>Bus Sales</t>
  </si>
  <si>
    <t>mx-api-bc-bus-sales</t>
  </si>
  <si>
    <t>APIMX000258</t>
  </si>
  <si>
    <t>RESMX000446</t>
  </si>
  <si>
    <t>https://coppelmx.atlassian.net/wiki/x/nICxg</t>
  </si>
  <si>
    <t xml:space="preserve">Rec Sales </t>
  </si>
  <si>
    <t>mx-api-bc-rec-sales</t>
  </si>
  <si>
    <t>APIMX000259</t>
  </si>
  <si>
    <t>RESMX000447</t>
  </si>
  <si>
    <t>Pro_RegisterPartyReferenceDataDirectoryEntryV1</t>
  </si>
  <si>
    <t>RESMX000448</t>
  </si>
  <si>
    <t>Pro_RetrievePartyRetailReferenceDataDirectoryEntryV1</t>
  </si>
  <si>
    <t>/system/partyReference/partyRetailReferenceDataDirectory</t>
  </si>
  <si>
    <t>Este servicio realiza la consulta de la información del cliente coppel</t>
  </si>
  <si>
    <t>https://coppelmx.atlassian.net/wiki/x/6gD4O</t>
  </si>
  <si>
    <t>RESMX000449</t>
  </si>
  <si>
    <t>Pro_EvaluatePartyRetailReferenceDataDirectoryEntryV1</t>
  </si>
  <si>
    <t>RESMX000450</t>
  </si>
  <si>
    <t>Pro_CaptureCreditProfileV1</t>
  </si>
  <si>
    <t>https://coppelmx.atlassian.net/wiki/x/FQDmOQ</t>
  </si>
  <si>
    <t>RESMX000451</t>
  </si>
  <si>
    <t>RESMX000452</t>
  </si>
  <si>
    <t>RESMX000453</t>
  </si>
  <si>
    <t>RESMX000454</t>
  </si>
  <si>
    <t>https://coppelmx.atlassian.net/wiki/x/awADOQ</t>
  </si>
  <si>
    <t>RESMX000455</t>
  </si>
  <si>
    <t>https://coppelmx.atlassian.net/wiki/x/EgH2O</t>
  </si>
  <si>
    <t>RESMX000456</t>
  </si>
  <si>
    <t>RESMX000457</t>
  </si>
  <si>
    <t>RESMX000458</t>
  </si>
  <si>
    <t>RESMX000459</t>
  </si>
  <si>
    <t>RESMX000460</t>
  </si>
  <si>
    <t>RESMX000461</t>
  </si>
  <si>
    <t>Rec_RetrieveRepaymentV1</t>
  </si>
  <si>
    <t>/v1/repayment/retrieve</t>
  </si>
  <si>
    <t>POST /experience/cards/creditCard/v1/repayment/retrieve</t>
  </si>
  <si>
    <t>Operación encargada de obtener los MSI del pago de la tarjeta</t>
  </si>
  <si>
    <t>Rec_RegisterReportingV1</t>
  </si>
  <si>
    <t>RESMX000462</t>
  </si>
  <si>
    <t>/v1/reporting/register</t>
  </si>
  <si>
    <t>POST /experience/operationalServices/issuedDeviceAdministration/v1/reporting/register</t>
  </si>
  <si>
    <t>API que registra el log de las transacciones ejecutadas por la app</t>
  </si>
  <si>
    <t>Rec_RegisterIssueddeviceallocationV1</t>
  </si>
  <si>
    <t>/v1/issuedDeviceAllocation/register</t>
  </si>
  <si>
    <t>POST /experience/operationalServices/issuedDeviceAdministration/v1/issuedDeviceAllocation/register</t>
  </si>
  <si>
    <t>Inserta la geolocalización del cliente</t>
  </si>
  <si>
    <t>Rec_EvaluateTokenV1</t>
  </si>
  <si>
    <t>/experience/crossChannel/partyAuthentication</t>
  </si>
  <si>
    <t>/v1/token/evaluate</t>
  </si>
  <si>
    <t>POST /experience/crossChannel/partyAuthentication/v1/token/evaluate</t>
  </si>
  <si>
    <t>Obtiene el id del cliente con el token SSO</t>
  </si>
  <si>
    <t>Rec_InitiateIncomeprofileV1</t>
  </si>
  <si>
    <t>/experience/referenceData</t>
  </si>
  <si>
    <t>POST /experience/referenceData/v1/incomeProfile/initiate</t>
  </si>
  <si>
    <t>RESMX000463</t>
  </si>
  <si>
    <t>RESMX000464</t>
  </si>
  <si>
    <t>RESMX000465</t>
  </si>
  <si>
    <t>RESMX000466</t>
  </si>
  <si>
    <t>RESMX000467</t>
  </si>
  <si>
    <t>RESMX000468</t>
  </si>
  <si>
    <t>RESMX000469</t>
  </si>
  <si>
    <t>RESMX000470</t>
  </si>
  <si>
    <t>Pro_EvaluateProductFacilityV1</t>
  </si>
  <si>
    <t>RESMX000471</t>
  </si>
  <si>
    <t>Pro_RetrieveProductDirectoryEntryV1</t>
  </si>
  <si>
    <t>/system/productManagement/productDirectory</t>
  </si>
  <si>
    <t>RESMX000472</t>
  </si>
  <si>
    <t>Pro_RetrieveInterestProductFeatureV1</t>
  </si>
  <si>
    <t>RESMX000473</t>
  </si>
  <si>
    <t>Pro_RetrieveLifeInsuranceV1</t>
  </si>
  <si>
    <t>RESMX000474</t>
  </si>
  <si>
    <t>Pro_RetrieveProductEligibilityV1</t>
  </si>
  <si>
    <t>/system/sales/productMatching</t>
  </si>
  <si>
    <t>RESMX000475</t>
  </si>
  <si>
    <t>Pro_UpdateProductEligibilityV1</t>
  </si>
  <si>
    <t>RESMX000476</t>
  </si>
  <si>
    <t>Pro_InitiateProductTypeSelectionV1</t>
  </si>
  <si>
    <t>RESMX000477</t>
  </si>
  <si>
    <t>Pro_UpdateProductTypeSelectionV1</t>
  </si>
  <si>
    <t>RESMX000478</t>
  </si>
  <si>
    <t>Pro_ControlProductTypeSelectionV1</t>
  </si>
  <si>
    <t>RESMX000479</t>
  </si>
  <si>
    <t>Pro_RetrieveProductTypeSelectionV1</t>
  </si>
  <si>
    <t>RESMX000480</t>
  </si>
  <si>
    <t>Pro_InitiateProductTypeSelectionDetailV1</t>
  </si>
  <si>
    <t>RESMX000481</t>
  </si>
  <si>
    <t>Pro_UpdateProductTypeSelectionDetailV1</t>
  </si>
  <si>
    <t>RESMX000482</t>
  </si>
  <si>
    <t>Pro_RetrieveProductTypeSelectionDetailV1</t>
  </si>
  <si>
    <t>RESMX000483</t>
  </si>
  <si>
    <t>Pro_RetrieveDataParameterV1</t>
  </si>
  <si>
    <t>Full Path</t>
  </si>
  <si>
    <t>Bus_InitiateApplicationManagementV1</t>
  </si>
  <si>
    <t>POST /cards/v1/applicationManagement/initiate</t>
  </si>
  <si>
    <t>Bus_InitiateAccessArrangementV1</t>
  </si>
  <si>
    <t>POST /operationalServices/v1/accessArrangement/initiate</t>
  </si>
  <si>
    <t>Dom_ActivateAccessArrangementV1</t>
  </si>
  <si>
    <t>RESMX000484</t>
  </si>
  <si>
    <t>Pro_ControlProductTypeSelectionDetailV1</t>
  </si>
  <si>
    <t>Dom_RetrieveDocumentServiceV1</t>
  </si>
  <si>
    <t>Dom_InitiateDocumentServiceV1</t>
  </si>
  <si>
    <t>Dom_UpdateDocumentServiceV1</t>
  </si>
  <si>
    <t>Dom_RetrieveHousingUnitV1</t>
  </si>
  <si>
    <t>Pro_ActivateAccessArrangementV1</t>
  </si>
  <si>
    <t>Pro_RetrieveDocumentServiceV1</t>
  </si>
  <si>
    <t>RESMX000485</t>
  </si>
  <si>
    <t>Pro_EvaluateRegulatoryComplianceAssessmentV1</t>
  </si>
  <si>
    <t>Pro_InitiateDocumentServiceV1</t>
  </si>
  <si>
    <t>Pro_UpdateDocumentServiceV1</t>
  </si>
  <si>
    <t>/system/regulationsAndCompliance/regulatoryCompliance</t>
  </si>
  <si>
    <t>Pro_NotifyCreditCardApplicationV1</t>
  </si>
  <si>
    <t>Pro_RetrieveHousingUnitV1</t>
  </si>
  <si>
    <t>Rec_RetrieveDocumentServiceV1</t>
  </si>
  <si>
    <t>Rec_InitiateDocumentServiceV1</t>
  </si>
  <si>
    <t>Rec_UpdateDocumentServiceV1</t>
  </si>
  <si>
    <t>Rec_InitiateAccessArrangementV1</t>
  </si>
  <si>
    <t>POST /experience/operationalServices/v1/accessArrangement/initiate</t>
  </si>
  <si>
    <t>Rec_initiateApplicationManagementV1</t>
  </si>
  <si>
    <t>POST /experience/cards/v1/applicationManagement/initiate</t>
  </si>
  <si>
    <t>Rec_RetrieveHousingUnitV1</t>
  </si>
  <si>
    <t>RESMX000486</t>
  </si>
  <si>
    <t>Pro_RetrieveRemittancesFacilityV1</t>
  </si>
  <si>
    <t>/system/clearingAndSettlement/remittances</t>
  </si>
  <si>
    <t>Invalid business domain value "clearingAndSettlement", in the path "/system/clearingAndSettlement/remittances".\nFor the service domain "remittances" in the path "/system/clearingAndSettlement/remittances" use the business domain "Payments".</t>
  </si>
  <si>
    <t>RESMX000487</t>
  </si>
  <si>
    <t>Pro_RegisterSalesProductAgreementV1</t>
  </si>
  <si>
    <t>/system/customerManagement/salesProductAgreement</t>
  </si>
  <si>
    <t>Permite registrar los acuerdos de servicios (Tasa de interés, anualidad, comisiones, etc) de un determinado producto.</t>
  </si>
  <si>
    <t>RESMX000488</t>
  </si>
  <si>
    <t>Pro_InitiateFeesFacilityV1</t>
  </si>
  <si>
    <t>663ae0a1cccf26695c72ee95</t>
  </si>
  <si>
    <t>RESMX000489</t>
  </si>
  <si>
    <t>Pro_ExecuteFeesFacilityV1</t>
  </si>
  <si>
    <t>PUT /salesAndService/v1/onboardingParty/execute</t>
  </si>
  <si>
    <t>Servicio de experiencia encargado de ejecutar el proceso de onboarding de consultar el prospecto de cliente y guardar sus informacion.</t>
  </si>
  <si>
    <t>663ae0a1cccf26695c72ef3d</t>
  </si>
  <si>
    <t>POST /payments/paymentExecution/v1/paymentExecution/initiate</t>
  </si>
  <si>
    <t>663ae0a1cccf26695c72f001</t>
  </si>
  <si>
    <t>PATCH /system/sales/partyLifecycleManagement/v1/partyRelationshipProcedure/{sessionDialogueIdentification}/capture</t>
  </si>
  <si>
    <t>RESMX000490</t>
  </si>
  <si>
    <t>Pro_RetrieveSavingsAccountBalanceV1</t>
  </si>
  <si>
    <t>663ae0a1cccf26695c72f016</t>
  </si>
  <si>
    <t>/system/loansAndDeposits/savingsAccount</t>
  </si>
  <si>
    <t>POST /system/customerManagement/partyReferenceDataDirectory/v1/partyReferenceDataDirectoryEntry/register</t>
  </si>
  <si>
    <t>663ae0a1cccf26695c72f022</t>
  </si>
  <si>
    <t>663ae0a1cccf26695c72f0a8</t>
  </si>
  <si>
    <t>Rec_RequestDocumentationV1</t>
  </si>
  <si>
    <t>/experience/sales/partyLifecycleManagement</t>
  </si>
  <si>
    <t>PUT /experience/sales/partyLifecycleManagement/v1/documentation/request</t>
  </si>
  <si>
    <t>Servicio de experiencia encargado de retornar todos los documentos que se han cargado durante el proceso de onboarding</t>
  </si>
  <si>
    <t>RESMX000491</t>
  </si>
  <si>
    <t>663ae0a1cccf26695c72f0ba</t>
  </si>
  <si>
    <t>Pro_InitiateTransactionReversalInstanceRecordV1</t>
  </si>
  <si>
    <t>Rec_RegisterPartyReferenceDataDirectoryEntryV1</t>
  </si>
  <si>
    <t>/experience/customerManagement/partyReferenceDataDirectory</t>
  </si>
  <si>
    <t>POST /experience/customerManagement/partyReferenceDataDirectory/v1/partyReferenceDataDirectoryEntry/register</t>
  </si>
  <si>
    <t>/system/servicing/servicingOrder</t>
  </si>
  <si>
    <t>https://coppelmx.atlassian.net/wiki/x/9QD2O</t>
  </si>
  <si>
    <t>RESMX000492</t>
  </si>
  <si>
    <t>Pro_InitiateCustomerContactSessionProcedureV1</t>
  </si>
  <si>
    <t>/system/crossChannel/sessionDialogue</t>
  </si>
  <si>
    <t>https://coppelmx.atlassian.net/wiki/x/KQAcQg</t>
  </si>
  <si>
    <t>RESMX000493</t>
  </si>
  <si>
    <t>Pro_RetrieveCustomerContactSessionProcedureV1</t>
  </si>
  <si>
    <t>Servicio de Proxy encargado de verificar el estatus de la sesion actual en INCODE</t>
  </si>
  <si>
    <t>https://coppelmx.atlassian.net/wiki/x/DAD2O</t>
  </si>
  <si>
    <t>RESMX000494</t>
  </si>
  <si>
    <t>Pro_CaptureCustomerContactSessionProcedureV1</t>
  </si>
  <si>
    <t>Agrega el teléfono a la entrevista. Si el cliente con el teléfono ya existe, se mostrará un error.</t>
  </si>
  <si>
    <t>https://coppelmx.atlassian.net/wiki/x/F4AcQg</t>
  </si>
  <si>
    <t>RESMX000495</t>
  </si>
  <si>
    <t>Pro_RetrieveHistoryV1</t>
  </si>
  <si>
    <t>Servicio de Proxy encargado de validar la calidad de las imagenes cargadas de DNI de la persona</t>
  </si>
  <si>
    <t>https://coppelmx.atlassian.net/wiki/x/wQDxO</t>
  </si>
  <si>
    <t>RESMX000496</t>
  </si>
  <si>
    <t>Pro_InitiateAuthenticationAddressV1</t>
  </si>
  <si>
    <t>Servicio de Proxy que s eencargara de autenticar la homologacion</t>
  </si>
  <si>
    <t>https://coppelmx.atlassian.net/wiki/x/cID1O</t>
  </si>
  <si>
    <t>RESMX000497</t>
  </si>
  <si>
    <t>Pro_InitiateCustomerContactSelfieProcedureV1</t>
  </si>
  <si>
    <t>Servicio de Proxy encargado de guardar las selfies del prospecto</t>
  </si>
  <si>
    <t>RESMX000498</t>
  </si>
  <si>
    <t>Pro_InitiateCustomerContactVideoSelfieProcedureV1</t>
  </si>
  <si>
    <t>Servicio de Proxy que se encarga de iniciar el proceso de carga de video(fe de vida) con las preguntas generadas por la aplicacion</t>
  </si>
  <si>
    <t>RESMX000499</t>
  </si>
  <si>
    <t>Pro_RetrieveCustomerContactVideoSelfieProcedureV1</t>
  </si>
  <si>
    <t>Servicio de Proxy encargado de Generar la url de Videoselfie</t>
  </si>
  <si>
    <t>RESMX000500</t>
  </si>
  <si>
    <t>Pro_RetrieveWorkstepV1</t>
  </si>
  <si>
    <t>Servicio de proxy encargado de Consultar step actual del cliente en el BPM</t>
  </si>
  <si>
    <t>RESMX000501</t>
  </si>
  <si>
    <t>Pro_InitiateProcessEventOnBoardingV1</t>
  </si>
  <si>
    <t>/system/iTManagement/systemsOperations</t>
  </si>
  <si>
    <t>RESMX000502</t>
  </si>
  <si>
    <t>Pro_ExecuteProcessEventV1</t>
  </si>
  <si>
    <t>RESMX000503</t>
  </si>
  <si>
    <t>Pro_RetrieveProcessEventV1</t>
  </si>
  <si>
    <t>RESMX000504</t>
  </si>
  <si>
    <t>Pro_InitiateTransactionScheduleFacilityV1</t>
  </si>
  <si>
    <t>/system/clearingAndSettlement/transactionEngine</t>
  </si>
  <si>
    <t>RESMX000505</t>
  </si>
  <si>
    <t>Pro_RegisterTransactionScheduleFacilityV1</t>
  </si>
  <si>
    <t>RESMX000506</t>
  </si>
  <si>
    <t>Pro_RetrieveSMSParamProductV1</t>
  </si>
  <si>
    <t>/system/utility/utility</t>
  </si>
  <si>
    <t>RESMX000507</t>
  </si>
  <si>
    <t>Pro_EvaluateSMSParamProductV1</t>
  </si>
  <si>
    <t>RESMX000508</t>
  </si>
  <si>
    <t>Pro_RetrieveMovementsRecordV1</t>
  </si>
  <si>
    <t>RESMX000509</t>
  </si>
  <si>
    <t>Pro_RetrieveConfigurationParametersV1</t>
  </si>
  <si>
    <t>RESMX000510</t>
  </si>
  <si>
    <t>Pro_RetrieveBRCommisionIVAParamsV1</t>
  </si>
  <si>
    <t>RESMX000511</t>
  </si>
  <si>
    <t>Pro_RetrieveBRInterestRateIVAParamsV1</t>
  </si>
  <si>
    <t>RESMX000512</t>
  </si>
  <si>
    <t>API que permite consultar el valor de un parámetro dado su código.</t>
  </si>
  <si>
    <t>RESMX000514</t>
  </si>
  <si>
    <t>Pro_RetrieveServiceParameterV1</t>
  </si>
  <si>
    <t>/v1/serviceParameter/{companyReference}/retrieve</t>
  </si>
  <si>
    <t>API que permite consultar y retornar los parámetros asociados a la conexión de servicios específicos de BanCoppel/Coppel</t>
  </si>
  <si>
    <t>https://coppelmx.atlassian.net/wiki/x/SgD4O</t>
  </si>
  <si>
    <t>RESMX000515</t>
  </si>
  <si>
    <t>RESMX000516</t>
  </si>
  <si>
    <t>https://coppelmx.atlassian.net/wiki/x/_ICcg</t>
  </si>
  <si>
    <t>RESMX000517</t>
  </si>
  <si>
    <t>https://coppelmx.atlassian.net/wiki/x/kwCmg</t>
  </si>
  <si>
    <t>RESMX000518</t>
  </si>
  <si>
    <t>https://coppelmx.atlassian.net/wiki/x/ZgCYg</t>
  </si>
  <si>
    <t>RESMX000519</t>
  </si>
  <si>
    <t>https://coppelmx.atlassian.net/wiki/x/jICfg</t>
  </si>
  <si>
    <t>RESMX000520</t>
  </si>
  <si>
    <t>https://coppelmx.atlassian.net/wiki/x/XYD1O</t>
  </si>
  <si>
    <t>RESMX000521</t>
  </si>
  <si>
    <t>RESMX000522</t>
  </si>
  <si>
    <t>https://coppelmx.atlassian.net/wiki/x/FwB2Ow</t>
  </si>
  <si>
    <t>RESMX000523</t>
  </si>
  <si>
    <t>RESMX000524</t>
  </si>
  <si>
    <t>RESMX000525</t>
  </si>
  <si>
    <t>RESMX000526</t>
  </si>
  <si>
    <t>RESMX000527</t>
  </si>
  <si>
    <t>RESMX000528</t>
  </si>
  <si>
    <t>RESMX000529</t>
  </si>
  <si>
    <t>https://coppelmx.atlassian.net/wiki/x/uADWO</t>
  </si>
  <si>
    <t>RESMX000530</t>
  </si>
  <si>
    <t>RESMX000531</t>
  </si>
  <si>
    <t>https://coppelmx.atlassian.net/wiki/x/34DOO</t>
  </si>
  <si>
    <t>RESMX000532</t>
  </si>
  <si>
    <t>https://coppelmx.atlassian.net/wiki/x/RAHQO</t>
  </si>
  <si>
    <t>RESMX000533</t>
  </si>
  <si>
    <t>RESMX000534</t>
  </si>
  <si>
    <t>RESMX000535</t>
  </si>
  <si>
    <t>RESMX000536</t>
  </si>
  <si>
    <t>RESMX000537</t>
  </si>
  <si>
    <t>RESMX000538</t>
  </si>
  <si>
    <t>RESMX000539</t>
  </si>
  <si>
    <t>Este reception API realiza la consulta de disposición de efectivo de una tarjeta de crédito con un monto solicitado.</t>
  </si>
  <si>
    <t>RESMX000540</t>
  </si>
  <si>
    <t>RESMX000541</t>
  </si>
  <si>
    <t>https://coppelmx.atlassian.net/wiki/x/V4DQO</t>
  </si>
  <si>
    <t>RESMX000542</t>
  </si>
  <si>
    <t>RESMX000543</t>
  </si>
  <si>
    <t>https://coppelmx.atlassian.net/wiki/x/igDQO</t>
  </si>
  <si>
    <t>RESMX000544</t>
  </si>
  <si>
    <t>RESMX000545</t>
  </si>
  <si>
    <t>Invalid business domain value "corporateBanking", in the path "/experience/corporateBanking/creditFacility".\nFor the service domain "creditFacility" in the path "/experience/corporateBanking/creditFacility" use the business domain "Trade Banking".</t>
  </si>
  <si>
    <t>RESMX000546</t>
  </si>
  <si>
    <t>RESMX000547</t>
  </si>
  <si>
    <t>RESMX000548</t>
  </si>
  <si>
    <t>https://coppelmx.atlassian.net/wiki/x/HwDQO</t>
  </si>
  <si>
    <t>RESMX000549</t>
  </si>
  <si>
    <t>https://coppelmx.atlassian.net/wiki/x/PQDVO</t>
  </si>
  <si>
    <t>RESMX000550</t>
  </si>
  <si>
    <t>RESMX000551</t>
  </si>
  <si>
    <t>/experience/customerManagement/customerProductAndServiceEligibility</t>
  </si>
  <si>
    <t>RESMX000552</t>
  </si>
  <si>
    <t>RESMX000553</t>
  </si>
  <si>
    <t>RESMX000554</t>
  </si>
  <si>
    <t>RESMX000555</t>
  </si>
  <si>
    <t>RESMX000556</t>
  </si>
  <si>
    <t>RESMX000557</t>
  </si>
  <si>
    <t>https://coppelmx.atlassian.net/wiki/x/UQCYO</t>
  </si>
  <si>
    <t>RESMX000558</t>
  </si>
  <si>
    <t>RESMX000559</t>
  </si>
  <si>
    <t>RESMX000560</t>
  </si>
  <si>
    <t>Rec_InitiateTokenAssignmentV1</t>
  </si>
  <si>
    <t>Envía un SMS con un código OTP( One Time Password) para validar un onboarding.</t>
  </si>
  <si>
    <t>https://coppelmx.atlassian.net/wiki/x/QICZO</t>
  </si>
  <si>
    <t>RESMX000561</t>
  </si>
  <si>
    <t>Rec_InitiatePasswordAssignmentV1</t>
  </si>
  <si>
    <t>Api que permite la asignación de NIP(Cambio de NIP) de la tarjeta de crédito.</t>
  </si>
  <si>
    <t>RESMX000562</t>
  </si>
  <si>
    <t>Rec_RegisterPasswordAssignmentLogV1</t>
  </si>
  <si>
    <t>RESMX000563</t>
  </si>
  <si>
    <t>Rec_UpdateDeviceAssignmentV1</t>
  </si>
  <si>
    <t>RESMX000564</t>
  </si>
  <si>
    <t>Rec_CreatePasswordAssignmentV1</t>
  </si>
  <si>
    <t>RESMX000565</t>
  </si>
  <si>
    <t>Rec_RegisterLegalEntityDirectoryEntryV1</t>
  </si>
  <si>
    <t>/experience/party/legalEntityDirectory</t>
  </si>
  <si>
    <t>RESMX000566</t>
  </si>
  <si>
    <t>Rec_UpdateLegalEntityDirectoryEntryV1</t>
  </si>
  <si>
    <t>RESMX000567</t>
  </si>
  <si>
    <t>Rec_ExecuteLoanFacilityReportV1</t>
  </si>
  <si>
    <t>/experience/loanAndDeposits/loan</t>
  </si>
  <si>
    <t>Invalid business domain value "loanAndDeposits", in the path "/experience/loanAndDeposits/loan".\nFor the service domain "loan" in the path "/experience/loanAndDeposits/loan" use the business domain "Loans and Deposits".</t>
  </si>
  <si>
    <t>RESMX000568</t>
  </si>
  <si>
    <t>Rec_RequestLoanProjectionV1</t>
  </si>
  <si>
    <t>RESMX000569</t>
  </si>
  <si>
    <t>Rec_RetrieveMaintenanceV1</t>
  </si>
  <si>
    <t>RESMX000570</t>
  </si>
  <si>
    <t>Rec_EvaluateStreetV1</t>
  </si>
  <si>
    <t>/experience/marketData/locationDataManagement</t>
  </si>
  <si>
    <t>Servicio de experiencias encargado de consultar los datos correctos de una calle</t>
  </si>
  <si>
    <t>https://coppelmx.atlassian.net/wiki/x/HACPO</t>
  </si>
  <si>
    <t>RESMX000571</t>
  </si>
  <si>
    <t>Rec_RetrieveSepomexV1</t>
  </si>
  <si>
    <t>Servicio de recepción que se encargará de consultar el catálogo de direcciones.</t>
  </si>
  <si>
    <t>https://coppelmx.atlassian.net/wiki/x/KACQO</t>
  </si>
  <si>
    <t>RESMX000572</t>
  </si>
  <si>
    <t>Rec_RetrieveNeighborhoodV1</t>
  </si>
  <si>
    <t>/v1/neighborhood/retrieve/{postalCode}</t>
  </si>
  <si>
    <t>Servicio de experiencia encargado de consultar la información de las colonias según el código postal</t>
  </si>
  <si>
    <t>Invalid endpoint path format /v1/neighborhood/retrieve/{postalCode}. The valid format is "/api-version/behavior-qualifiers/sub-qualifiers/action-term"</t>
  </si>
  <si>
    <t>RESMX000573</t>
  </si>
  <si>
    <t>Rec_UpdateSepomexV1</t>
  </si>
  <si>
    <t>Servicio de Recepción que Actualiza en tabla Address (Homologación SEPOMEX)</t>
  </si>
  <si>
    <t>https://coppelmx.atlassian.net/wiki/x/ToCSO</t>
  </si>
  <si>
    <t>RESMX000574</t>
  </si>
  <si>
    <t>Rec_InitiateLoanFacilityV1</t>
  </si>
  <si>
    <t>/experience/operationsAndExecution</t>
  </si>
  <si>
    <t>RESMX000575</t>
  </si>
  <si>
    <t>Rec_RetrieveCreditDataDocumentV1</t>
  </si>
  <si>
    <t>RESMX000576</t>
  </si>
  <si>
    <t>Rec_RetrieveCustomerCreditBalanceV1</t>
  </si>
  <si>
    <t>RESMX000577</t>
  </si>
  <si>
    <t>RESMX000578</t>
  </si>
  <si>
    <t>Rec_RetrieveLoanAgreementV1</t>
  </si>
  <si>
    <t>RESMX000579</t>
  </si>
  <si>
    <t>Rec_RetrieveSavingAccountBalanceV1</t>
  </si>
  <si>
    <t>RESMX000580</t>
  </si>
  <si>
    <t>Rec_RequestCreditCardFacilityApplicationV1</t>
  </si>
  <si>
    <t>RESMX000581</t>
  </si>
  <si>
    <t>Rec_InitiateCreditCardFacilityV1</t>
  </si>
  <si>
    <t>RESMX000582</t>
  </si>
  <si>
    <t>Rec_RetrieveCreditCardInformationV1</t>
  </si>
  <si>
    <t>RESMX000583</t>
  </si>
  <si>
    <t>Rec_RetrieveCreditCardCashProvisionV1</t>
  </si>
  <si>
    <t>RESMX000584</t>
  </si>
  <si>
    <t>Rec_InitiateCreditCardActivationLogV1</t>
  </si>
  <si>
    <t>RESMX000585</t>
  </si>
  <si>
    <t>RESMX000586</t>
  </si>
  <si>
    <t>Rec_RetrieveCustomerUpgradeV1</t>
  </si>
  <si>
    <t>RESMX000587</t>
  </si>
  <si>
    <t>Rec_RetrieveBalanceProductV1</t>
  </si>
  <si>
    <t>RESMX000588</t>
  </si>
  <si>
    <t>Rec_ControlCreditCardStatusV1</t>
  </si>
  <si>
    <t>RESMX000589</t>
  </si>
  <si>
    <t>Rec_InitiateExecutionCashAdvanceV1</t>
  </si>
  <si>
    <t>Api de recepcion que realiza cálculos de comisiones e intereses, cancelación de anualidad o devolución de anualidad. Los movimientos calculados son registrados en la base de datos de TDC.</t>
  </si>
  <si>
    <t>RESMX000590</t>
  </si>
  <si>
    <t>Rec_RegisterProfileFacilityV1</t>
  </si>
  <si>
    <t>RESMX000591</t>
  </si>
  <si>
    <t>Rec_EvaluatePartyAuthenticationAssessmentV1</t>
  </si>
  <si>
    <t>https://coppelmx.atlassian.net/wiki/x/CABsO</t>
  </si>
  <si>
    <t>RESMX000592</t>
  </si>
  <si>
    <t>Rec_EvaluatePasswordV1</t>
  </si>
  <si>
    <t>RESMX000593</t>
  </si>
  <si>
    <t>Rec_CaptureDocumentationV1</t>
  </si>
  <si>
    <t>https://coppelmx.atlassian.net/wiki/x/FgBkO</t>
  </si>
  <si>
    <t>RESMX000594</t>
  </si>
  <si>
    <t>Rec_EvaluateDocumentationV1</t>
  </si>
  <si>
    <t>Servicio de exposicion que se encarga de retornar el resultado de los documentos cargados en INCODE</t>
  </si>
  <si>
    <t>https://coppelmx.atlassian.net/wiki/x/CYBuO</t>
  </si>
  <si>
    <t>RESMX000595</t>
  </si>
  <si>
    <t>Rec_RetrieveDocumentationV1</t>
  </si>
  <si>
    <t>https://coppelmx.atlassian.net/wiki/x/sYBtO</t>
  </si>
  <si>
    <t>RESMX000596</t>
  </si>
  <si>
    <t>Rec_UpdateDocumentationV1</t>
  </si>
  <si>
    <t>Servicio de experiencia que se encargara de editar la informacion del OCR del cliente</t>
  </si>
  <si>
    <t>https://coppelmx.atlassian.net/wiki/x/cYBuO</t>
  </si>
  <si>
    <t>RESMX000597</t>
  </si>
  <si>
    <t>Rec_RegisterDocumentationV1</t>
  </si>
  <si>
    <t>https://coppelmx.atlassian.net/wiki/x/ZADQO</t>
  </si>
  <si>
    <t>RESMX000598</t>
  </si>
  <si>
    <t>Rec_CapturePartyRelationshipProcedureV1</t>
  </si>
  <si>
    <t>Servicio de experiencia que proporciona la funcionalidad de almacenar parcialmente la información del prospecto, mediante el uso del ID de la sesión.</t>
  </si>
  <si>
    <t>RESMX000599</t>
  </si>
  <si>
    <t>Rec_UpdatePartyRelationshipProcedureV1</t>
  </si>
  <si>
    <t>https://coppelmx.atlassian.net/wiki/x/aADWO</t>
  </si>
  <si>
    <t>RESMX000600</t>
  </si>
  <si>
    <t>Rec_RetrieveQuestionV1</t>
  </si>
  <si>
    <t>Servicio de experiencia que se encarga de consultar las preguntas que deben respondenser en la validacion de supervivencia</t>
  </si>
  <si>
    <t>RESMX000601</t>
  </si>
  <si>
    <t>Rec_EvaluateRfcV1</t>
  </si>
  <si>
    <t>Servicio de experiencia que se encarga de calcular el RFC del cliente</t>
  </si>
  <si>
    <t>https://coppelmx.atlassian.net/wiki/x/mQHTO</t>
  </si>
  <si>
    <t>RESMX000602</t>
  </si>
  <si>
    <t>Rec_UpdateLocationV1</t>
  </si>
  <si>
    <t>https://coppelmx.atlassian.net/wiki/x/LAHQO</t>
  </si>
  <si>
    <t>RESMX000603</t>
  </si>
  <si>
    <t>Rec_RegisterLocationV1</t>
  </si>
  <si>
    <t>https://coppelmx.atlassian.net/wiki/x/_QDNO</t>
  </si>
  <si>
    <t>RESMX000604</t>
  </si>
  <si>
    <t>Rec_RetrieveValidationV1</t>
  </si>
  <si>
    <t>RESMX000605</t>
  </si>
  <si>
    <t>Rec_InitiateResourceProviderV1</t>
  </si>
  <si>
    <t>https://coppelmx.atlassian.net/wiki/x/BoBHO</t>
  </si>
  <si>
    <t>RESMX000606</t>
  </si>
  <si>
    <t>Rec_UpdateResourceProviderV1</t>
  </si>
  <si>
    <t>https://coppelmx.atlassian.net/wiki/x/EQD7O</t>
  </si>
  <si>
    <t>RESMX000607</t>
  </si>
  <si>
    <t>Rec_RetrieveLocationV1</t>
  </si>
  <si>
    <t>https://coppelmx.atlassian.net/wiki/x/HwA7O</t>
  </si>
  <si>
    <t>RESMX000608</t>
  </si>
  <si>
    <t>RESMX000609</t>
  </si>
  <si>
    <t>Rec_RetrievePartyReferenceDataDirectoryEntryV1</t>
  </si>
  <si>
    <t>RESMX000610</t>
  </si>
  <si>
    <t>Rec_EvaluateReferenceV1</t>
  </si>
  <si>
    <t>RESMX000611</t>
  </si>
  <si>
    <t>Rec_EvaluatePendingOperationsV1</t>
  </si>
  <si>
    <t>RESMX000612</t>
  </si>
  <si>
    <t>Rec_RetrieveContactPointV1</t>
  </si>
  <si>
    <t>https://coppelmx.atlassian.net/wiki/x/EQBgO</t>
  </si>
  <si>
    <t>RESMX000613</t>
  </si>
  <si>
    <t>Rec_ControlContactPointV1</t>
  </si>
  <si>
    <t>RESMX000614</t>
  </si>
  <si>
    <t>Rec_CaptureContactPointV1</t>
  </si>
  <si>
    <t>RESMX000615</t>
  </si>
  <si>
    <t>Rec_CapturePersonProfileV1</t>
  </si>
  <si>
    <t>RESMX000616</t>
  </si>
  <si>
    <t>RESMX000617</t>
  </si>
  <si>
    <t>Rec_RetrievePaymentTransactionProcedureV1</t>
  </si>
  <si>
    <t>/experience/payments/paymentExecution</t>
  </si>
  <si>
    <t>RESMX000618</t>
  </si>
  <si>
    <t>Rec_EvaluatePaymentExecutionTransactionV1</t>
  </si>
  <si>
    <t>RESMX000619</t>
  </si>
  <si>
    <t>Rec_UpdatePaymentTransactionProcedureV1</t>
  </si>
  <si>
    <t>RESMX000620</t>
  </si>
  <si>
    <t>Rec_InitiatePaymentExecutionV1</t>
  </si>
  <si>
    <t>RESMX000621</t>
  </si>
  <si>
    <t>Rec_InitiatePaymentExecutionProcedureV1</t>
  </si>
  <si>
    <t>Este servicio se encarga de realizar el pago de una tarjeta de credito en BPC.</t>
  </si>
  <si>
    <t>RESMX000622</t>
  </si>
  <si>
    <t>Rec_UpdateOrderConfirmationV1</t>
  </si>
  <si>
    <t>/experience/payments/paymentOrder</t>
  </si>
  <si>
    <t>RESMX000623</t>
  </si>
  <si>
    <t>Rec_RetrievePaymentOrderProcedureV1</t>
  </si>
  <si>
    <t>RESMX000624</t>
  </si>
  <si>
    <t>Rec_UpdatePaymentOrderProcedureV1</t>
  </si>
  <si>
    <t>RESMX000625</t>
  </si>
  <si>
    <t>Rec_ControlTransactionAssigmentV1</t>
  </si>
  <si>
    <t>RESMX000626</t>
  </si>
  <si>
    <t>Rec_InitiateWithdrawalsV1</t>
  </si>
  <si>
    <t>RESMX000627</t>
  </si>
  <si>
    <t>Rec_RetrieveThirdPartyPaymentsV1</t>
  </si>
  <si>
    <t>/experience/clearingAndSettlement/paymentRailOperations</t>
  </si>
  <si>
    <t>Invalid business domain value "clearingAndSettlement", in the path "/experience/clearingAndSettlement/paymentRailOperations".\nFor the service domain "paymentRailOperations" in the path "/experience/clearingAndSettlement/paymentRailOperations" use the business domain "Payments".</t>
  </si>
  <si>
    <t>RESMX000628</t>
  </si>
  <si>
    <t>Rec_UpdateStatementFacilityV1</t>
  </si>
  <si>
    <t>/experience/accountManagement/positionKeeping</t>
  </si>
  <si>
    <t>RESMX000629</t>
  </si>
  <si>
    <t>Rec_RetrieveProductDirectoryEntryV1</t>
  </si>
  <si>
    <t>/experience/productManagement/productDirectory</t>
  </si>
  <si>
    <t>RESMX000630</t>
  </si>
  <si>
    <t>Rec_RetrieveOcrDocumentV1</t>
  </si>
  <si>
    <t>https://coppelmx.atlassian.net/wiki/x/cgCQO</t>
  </si>
  <si>
    <t>RESMX000631</t>
  </si>
  <si>
    <t>Rec_EvaluateOnboardingPartySuitabilityV1</t>
  </si>
  <si>
    <t>Servicio de experiencia que se encarga de consultar al cliente en las listas negras respectivas</t>
  </si>
  <si>
    <t>https://coppelmx.atlassian.net/wiki/x/eYCQO</t>
  </si>
  <si>
    <t>RESMX000632</t>
  </si>
  <si>
    <t>Rec_ExecuteOnboardingPartyV1</t>
  </si>
  <si>
    <t>/v1/onboardingParty/{sessionDialogueIdentification}/execute</t>
  </si>
  <si>
    <t>Servicio de experiencia encargado de guardar el prospecto y pasarlo a cliente</t>
  </si>
  <si>
    <t>https://coppelmx.atlassian.net/wiki/x/GoDTO</t>
  </si>
  <si>
    <t>RESMX000633</t>
  </si>
  <si>
    <t>Rec_EvaluateReviewCustomerAccountV1</t>
  </si>
  <si>
    <t>RESMX000634</t>
  </si>
  <si>
    <t>Rec_RegisterGeneratePartyV1</t>
  </si>
  <si>
    <t>RESMX000635</t>
  </si>
  <si>
    <t>Rec_RetrieveRetrievePaymentBalancesV1</t>
  </si>
  <si>
    <t>RESMX000636</t>
  </si>
  <si>
    <t>Rec_RetrieveCustomerV1</t>
  </si>
  <si>
    <t>https://coppelmx.atlassian.net/wiki/x/LgDMO</t>
  </si>
  <si>
    <t>RESMX000637</t>
  </si>
  <si>
    <t>Rec_RetrieveCustomerCardV1</t>
  </si>
  <si>
    <t>RESMX000638</t>
  </si>
  <si>
    <t>Rec_RetrieveLifeInsuranceV1</t>
  </si>
  <si>
    <t>RESMX000639</t>
  </si>
  <si>
    <t>Rec_RetrieveRemittancesFacilityV1</t>
  </si>
  <si>
    <t>/experience/clearingAndSettlement/remittances</t>
  </si>
  <si>
    <t>Invalid business domain value "clearingAndSettlement", in the path "/experience/clearingAndSettlement/remittances".\nFor the service domain "remittances" in the path "/experience/clearingAndSettlement/remittances" use the business domain "Payments".</t>
  </si>
  <si>
    <t>RESMX000640</t>
  </si>
  <si>
    <t>Rec_InitiateOnBoardingPartyV1</t>
  </si>
  <si>
    <t>/experience/salesAndService</t>
  </si>
  <si>
    <t>Servicio de experiencia encargado de iniciar el proceso de onboarding</t>
  </si>
  <si>
    <t>https://coppelmx.atlassian.net/wiki/x/RQBGNw</t>
  </si>
  <si>
    <t>RESMX000641</t>
  </si>
  <si>
    <t>Rec_EvaluateOnBoardingPhonePartyV1</t>
  </si>
  <si>
    <t>https://coppelmx.atlassian.net/wiki/x/VABGNw</t>
  </si>
  <si>
    <t>RESMX000642</t>
  </si>
  <si>
    <t>Rec_EvaluateOnBoardingEmailPartyV1</t>
  </si>
  <si>
    <t>Servicio de experiencia encargado de agregar, consultar y validar el correo del prospecto.</t>
  </si>
  <si>
    <t>https://coppelmx.atlassian.net/wiki/x/CYBgNw</t>
  </si>
  <si>
    <t>RESMX000643</t>
  </si>
  <si>
    <t>Rec_ExecuteGenerateBiometricManagementV1</t>
  </si>
  <si>
    <t>RESMX000644</t>
  </si>
  <si>
    <t>Rec_EvaluateCustomerContactOperationV1</t>
  </si>
  <si>
    <t>RESMX000645</t>
  </si>
  <si>
    <t>RESMX000646</t>
  </si>
  <si>
    <t>Rec_UpdateContactPointV1</t>
  </si>
  <si>
    <t>RESMX000647</t>
  </si>
  <si>
    <t>Rec_UpdatePersonProfileV1</t>
  </si>
  <si>
    <t>https://coppelmx.atlassian.net/wiki/x/EIAbO</t>
  </si>
  <si>
    <t>RESMX000648</t>
  </si>
  <si>
    <t>Rec_UpdateOnBoardingEmailPartyV1</t>
  </si>
  <si>
    <t>Servicio de experiencia encargado de actualizar el correo del prospecto, e insertar la validacion de correo electronico.</t>
  </si>
  <si>
    <t>https://coppelmx.atlassian.net/wiki/x/Q4AgO</t>
  </si>
  <si>
    <t>RESMX000649</t>
  </si>
  <si>
    <t>Rec_RetrieveGenerateCustomerOfferProcedureV1</t>
  </si>
  <si>
    <t>RESMX000650</t>
  </si>
  <si>
    <t>Rec_UpdateOnBoardingPartyLocationV1</t>
  </si>
  <si>
    <t>https://coppelmx.atlassian.net/wiki/x/boCSO</t>
  </si>
  <si>
    <t>RESMX000651</t>
  </si>
  <si>
    <t>Rec_EvaluateOnboardingPartySICV1</t>
  </si>
  <si>
    <t>RESMX000652</t>
  </si>
  <si>
    <t>Rec_RetrieveHistoryV1</t>
  </si>
  <si>
    <t>/experience/crossChannel/sessionDialogue</t>
  </si>
  <si>
    <t>Servicio de exposición encargado de validar la calidad de las imágenes cargadas de DNI de la persona.</t>
  </si>
  <si>
    <t>https://coppelmx.atlassian.net/wiki/x/fwAkNw</t>
  </si>
  <si>
    <t>RESMX000653</t>
  </si>
  <si>
    <t>Rec_InitiateAuthenticationAddressV1</t>
  </si>
  <si>
    <t>Servicio de experiencia que se encarga de homologar las direcciones</t>
  </si>
  <si>
    <t>https://coppelmx.atlassian.net/wiki/x/DQBFNw</t>
  </si>
  <si>
    <t>RESMX000654</t>
  </si>
  <si>
    <t>Rec_InitiateCustomerContactSelfieProcedureV1</t>
  </si>
  <si>
    <t>Servicio de experiencia encargado de guardar las selfies del prospecto, validarla la foto contra el documento de identidad y comparar el rostro contra el INE.</t>
  </si>
  <si>
    <t>RESMX000655</t>
  </si>
  <si>
    <t>Rec_InitiateCustomerContactVideoSelfieProcedureV1</t>
  </si>
  <si>
    <t>Servicio de experiencia que se encarga de subir el video, donde se presenta el rostro y la parte frontal del INE. De este modo valida que es una persona real</t>
  </si>
  <si>
    <t>RESMX000656</t>
  </si>
  <si>
    <t>Rec_RetrieveCustomerContactVideoSelfieProcedureV1</t>
  </si>
  <si>
    <t>Servicio de experiencia que se encarga de recuperar la url del video selfie del prospecto</t>
  </si>
  <si>
    <t>RESMX000657</t>
  </si>
  <si>
    <t>Rec_RetrieveWorkstepV1</t>
  </si>
  <si>
    <t>Servicio de Recepción encargado de Consultar step actual del cliente en el BPM</t>
  </si>
  <si>
    <t>RESMX000658</t>
  </si>
  <si>
    <t>Rec_InitiateProcessEventOnBoardingV1</t>
  </si>
  <si>
    <t>/experience/iTManagement/systemsOperations</t>
  </si>
  <si>
    <t>RESMX000659</t>
  </si>
  <si>
    <t>Rec_ExecuteProcessEventV1</t>
  </si>
  <si>
    <t>RESMX000660</t>
  </si>
  <si>
    <t>Rec_RetrieveProcessEventV1</t>
  </si>
  <si>
    <t>RESMX000661</t>
  </si>
  <si>
    <t>Rec_InitiateTransactionScheduleFacilityV1</t>
  </si>
  <si>
    <t>/experience/clearingAndSettlement/transactionEngine</t>
  </si>
  <si>
    <t>RESMX000662</t>
  </si>
  <si>
    <t>Rec_RegisterTransactionScheduleFacilityV1</t>
  </si>
  <si>
    <t>RESMX000663</t>
  </si>
  <si>
    <t>Rec_RetrieveDataParameterV1</t>
  </si>
  <si>
    <t>/experience/utility/utility</t>
  </si>
  <si>
    <t>RESMX000664</t>
  </si>
  <si>
    <t>Rec_RetrieveBRCommisionIVAParamsV1</t>
  </si>
  <si>
    <t>RESMX000665</t>
  </si>
  <si>
    <t>Bus_UpdateDeviceAssignmentV1</t>
  </si>
  <si>
    <t>Operación encargada de la activación de las tarjetas de crédito</t>
  </si>
  <si>
    <t>RESMX000666</t>
  </si>
  <si>
    <t>Bus_RetrieveCustomerCreditCardsV1</t>
  </si>
  <si>
    <t>/v1/customerCreditCards/retrieve</t>
  </si>
  <si>
    <t>Operación encargada de retornar la lista de tarjetas incluido el detalle de cada tarjeta</t>
  </si>
  <si>
    <t>https://coppelmx.atlassian.net/wiki/x/KoAFPg</t>
  </si>
  <si>
    <t>RESMX000667</t>
  </si>
  <si>
    <t>Dom_RetrieveBranchFacilityV1</t>
  </si>
  <si>
    <t>/channelSpecific/branchNetworkManagement</t>
  </si>
  <si>
    <t>/v1/branchFacility/retrieve</t>
  </si>
  <si>
    <t>Operación encargada de obtener la lista de sucursales</t>
  </si>
  <si>
    <t>RESMX000668</t>
  </si>
  <si>
    <t>Dom_EvaluateEligibilityCheckV1</t>
  </si>
  <si>
    <t>/v1/eligibilityCheck/evaluate</t>
  </si>
  <si>
    <t>Permite validar si un cliente es candidato para realizar un upgrade producto a la tarjeta infinite</t>
  </si>
  <si>
    <t>RESMX000669</t>
  </si>
  <si>
    <t>Dom_RetrieveEligibilityCheckV1</t>
  </si>
  <si>
    <t>/v1/eligibilityCheck/retrieve</t>
  </si>
  <si>
    <t>Permite validar si un cliente realizo un upgrade de producto a la tarjeta infinite</t>
  </si>
  <si>
    <t>RESMX000670</t>
  </si>
  <si>
    <t>Dom_EvaluateCustomerEligibilityReportV1</t>
  </si>
  <si>
    <t>/v1/customerEligibilityReport/evaluate</t>
  </si>
  <si>
    <t>Permite validar si un cliente es poseedor de la tarjeta infinite</t>
  </si>
  <si>
    <t>RESMX000671</t>
  </si>
  <si>
    <t>Dom_RetrieveIssuedDeviceStateV1</t>
  </si>
  <si>
    <t>/operationalServices/issuedDeviceTracking</t>
  </si>
  <si>
    <t>/v1/issuedDeviceState/retrieve</t>
  </si>
  <si>
    <t>RESMX000672</t>
  </si>
  <si>
    <t>Dom_EvaluatePasswordPoliciesV1</t>
  </si>
  <si>
    <t>/v1/passwordPolicies/evaluate</t>
  </si>
  <si>
    <t>RESMX000673</t>
  </si>
  <si>
    <t>Pro_RetrieveBranchFacilityV1</t>
  </si>
  <si>
    <t>/system/channelSpecific/branchNetworkManagement</t>
  </si>
  <si>
    <t>RESMX000674</t>
  </si>
  <si>
    <t>Pro_EvaluateEligibilityCheckV1</t>
  </si>
  <si>
    <t>RESMX000675</t>
  </si>
  <si>
    <t>Pro_RetrieveEligibilityCheckV1</t>
  </si>
  <si>
    <t>RESMX000676</t>
  </si>
  <si>
    <t>Pro_EvaluateCustomerEligibilityReportV1</t>
  </si>
  <si>
    <t>RESMX000677</t>
  </si>
  <si>
    <t>Pro_RetrieveIssuedDeviceStateV1</t>
  </si>
  <si>
    <t>/system/operationalServices/issuedDeviceTracking</t>
  </si>
  <si>
    <t>RESMX000678</t>
  </si>
  <si>
    <t>Pro_EvaluatePasswordPoliciesV1</t>
  </si>
  <si>
    <t>RESMX000679</t>
  </si>
  <si>
    <t>RESMX000680</t>
  </si>
  <si>
    <t>Rec_RetrieveCustomerCreditCardsV1</t>
  </si>
  <si>
    <t>https://coppelmx.atlassian.net/wiki/x/NABvO</t>
  </si>
  <si>
    <t>RESMX000681</t>
  </si>
  <si>
    <t>Bus_RetrieveCreditCardApplicationV1</t>
  </si>
  <si>
    <t>Operación de negocio que realiza una consulta a la tabla Application para obtener la información de la solicitud de producto de tarjeta de crédito relacionado al cliente prospecto.</t>
  </si>
  <si>
    <t>RESMX000682</t>
  </si>
  <si>
    <t>Dom_RetrieveCustomerSpecialConditionsV1</t>
  </si>
  <si>
    <t>/v1/customerSpecialConditions/retrieve</t>
  </si>
  <si>
    <t>Api de dominio encargada de obtener la información de los clientes con situacion especial.</t>
  </si>
  <si>
    <t>RESMX000683</t>
  </si>
  <si>
    <t>Dom_InitiateCustomerSpecialConditionsV1</t>
  </si>
  <si>
    <t>/v1/customerSpecialConditions/initiate</t>
  </si>
  <si>
    <t>Api de dominio encargada de guardar la información de los clientes con situacion especial.</t>
  </si>
  <si>
    <t>https://coppelmx.atlassian.net/wiki/x/BoCjPQ</t>
  </si>
  <si>
    <t>RESMX000684</t>
  </si>
  <si>
    <t>Dom_UpdateCustomerSpecialConditionsV1</t>
  </si>
  <si>
    <t>/v1/customerSpecialConditions/update</t>
  </si>
  <si>
    <t>Api de dominio encargada de actualizar la información de los clientes con situacion especial.</t>
  </si>
  <si>
    <t>RESMX000685</t>
  </si>
  <si>
    <t>Dom_ControlCustomerSpecialConditionsV1</t>
  </si>
  <si>
    <t>/v1/customerSpecialConditions/control</t>
  </si>
  <si>
    <t>Api de dominio encargada de actualizar el estatus de la información de los clientes con situacion especial.</t>
  </si>
  <si>
    <t>RESMX000686</t>
  </si>
  <si>
    <t>Dom_RetrieveEconomicActivityRiskV1</t>
  </si>
  <si>
    <t>/v1/economicActivityRisk/retrieve</t>
  </si>
  <si>
    <t>Api de dominio para consultar las actividades que clasifican como una actividad de riesgo en base a los catálogos de tipo de vivienda y tipos de fuente de ingresos, así como también se evalúa la inestabilidad en la vivienda.</t>
  </si>
  <si>
    <t>RESMX000687</t>
  </si>
  <si>
    <t>Dom_InitiateIncomeProfileV1</t>
  </si>
  <si>
    <t>https://coppelmx.atlassian.net/wiki/x/KIFYOw</t>
  </si>
  <si>
    <t>RESMX000688</t>
  </si>
  <si>
    <t>Dom_InitiateCashAdvanceV1</t>
  </si>
  <si>
    <t>/v1/cashAdvance/initiate</t>
  </si>
  <si>
    <t>Api de dominio que realiza el cargo de comercio electrónico y/o retiro en efectivo a una cuenta de crédito.</t>
  </si>
  <si>
    <t>RESMX000689</t>
  </si>
  <si>
    <t>Dom_InitiateDepositsV1</t>
  </si>
  <si>
    <t>/v1/deposits/initiate</t>
  </si>
  <si>
    <t>Api de dominio que identifica si el crédito(tarjeta de crédito) a cancelar le corresponde devolución de comisión por anualidad y realiza el depósito correspondiente.</t>
  </si>
  <si>
    <t>RESMX000690</t>
  </si>
  <si>
    <t>Dom_RetrieveServiceParameterV1</t>
  </si>
  <si>
    <t>https://coppelmx.atlassian.net/wiki/x/DICwOg</t>
  </si>
  <si>
    <t>RESMX000691</t>
  </si>
  <si>
    <t>Pro_RetrieveCustomerSpecialConditionsV1</t>
  </si>
  <si>
    <t>Api de proxy encargada de obtener la información de los clientes con situacion especial.</t>
  </si>
  <si>
    <t>RESMX000692</t>
  </si>
  <si>
    <t>Pro_InitiateCustomerSpecialConditionsV1</t>
  </si>
  <si>
    <t>Api de proxy encargada de guardar la información de los clientes con situacion especial.</t>
  </si>
  <si>
    <t>https://coppelmx.atlassian.net/wiki/x/M4B_Og</t>
  </si>
  <si>
    <t>RESMX000693</t>
  </si>
  <si>
    <t>Pro_UpdateCustomerSpecialConditionsV1</t>
  </si>
  <si>
    <t>Api de proxy encargada de actualizar la información de los clientes con situacion especial.</t>
  </si>
  <si>
    <t>RESMX000694</t>
  </si>
  <si>
    <t>Pro_ControlCustomerSpecialConditionsV1</t>
  </si>
  <si>
    <t>Api de proxy encargada de actualizar el estatus de la información de los clientes con situacion especial.</t>
  </si>
  <si>
    <t>RESMX000695</t>
  </si>
  <si>
    <t>Pro_RetrieveEconomicActivityRiskV1</t>
  </si>
  <si>
    <t>Api proxy para consultar las actividades que clasifican como una actividad de riesgo en base a los catálogos de tipo de vivienda y tipos de fuente de ingresos, así como también se evalúa la inestabilidad en la vivienda.</t>
  </si>
  <si>
    <t>RESMX000696</t>
  </si>
  <si>
    <t>Pro_InitiateIncomeProfileV1</t>
  </si>
  <si>
    <t>Servicio proxy para el registro de la fuente de ingresos y tipo de residencia del cliente en el proceso de Alta de un Cliente Nuevo (Alta Única).</t>
  </si>
  <si>
    <t>https://coppelmx.atlassian.net/wiki/x/LACBOg</t>
  </si>
  <si>
    <t>RESMX000697</t>
  </si>
  <si>
    <t>Pro_InitiateCashAdvanceV1</t>
  </si>
  <si>
    <t>Api proxy que realiza el cargo de comercio electrónico y/o retiro en efectivo a una cuenta de crédito.</t>
  </si>
  <si>
    <t>RESMX000698</t>
  </si>
  <si>
    <t>Pro_InitiateDepositsV1</t>
  </si>
  <si>
    <t>Api proxy que identifica si el crédito(tarjeta de crédito) a cancelar le corresponde devolución de comisión por anualidad y realiza el depósito correspondiente.</t>
  </si>
  <si>
    <t>RESMX000699</t>
  </si>
  <si>
    <t>Rec_RetrieveEconomicActivityRiskV1</t>
  </si>
  <si>
    <t>Api de recepción para consultar las actividades que clasifican como una actividad de riesgo en base a los catálogos de tipo de vivienda y tipos de fuente de ingresos, así como también se evalúa la inestabilidad en la vivienda.</t>
  </si>
  <si>
    <t>RESMX000700</t>
  </si>
  <si>
    <t>Rec_InitiateCreditCardApplicationV1</t>
  </si>
  <si>
    <t>Servicio de recepción que guarda la solicitud de un producto de tarjeta de crédito en la tabla Application.</t>
  </si>
  <si>
    <t>RESMX000701</t>
  </si>
  <si>
    <t>Rec_UpdateCreditCardApplicationV1</t>
  </si>
  <si>
    <t>RESMX000702</t>
  </si>
  <si>
    <t>Rec_RetrieveCreditCardApplicationV1</t>
  </si>
  <si>
    <t>Operación de recepción que realiza una consulta a la tabla Application para obtener la información de la solicitud de producto de tarjeta de crédito relacionado al cliente prospecto.</t>
  </si>
  <si>
    <t>https://coppelmx.atlassian.net/wiki/x/0IBtO</t>
  </si>
  <si>
    <t>RESMX000703</t>
  </si>
  <si>
    <t>Rec_InitiateIncomeProfileV1</t>
  </si>
  <si>
    <t>Servicio de recepción para el registro de la fuente de ingresos y tipo de residencia del cliente en el proceso de Alta de un Cliente Nuevo (Alta Única).</t>
  </si>
  <si>
    <t>RESMX000704</t>
  </si>
  <si>
    <t>Rec_InitiateCashAdvanceV1</t>
  </si>
  <si>
    <t>Api de recepcion que realiza el cargo de comercio electrónico y/o retiro en efectivo a una cuenta de crédito.</t>
  </si>
  <si>
    <t>RESMX000705</t>
  </si>
  <si>
    <t>Rec_InitiateDepositsV1</t>
  </si>
  <si>
    <t>Api de recepcion que identifica si el crédito(tarjeta de crédito) a cancelar le corresponde devolución de comisión por anualidad y realiza el depósito correspondiente.</t>
  </si>
  <si>
    <t>RESMX000706</t>
  </si>
  <si>
    <t>Dom_RetrieveDocumentTemplateV1</t>
  </si>
  <si>
    <t>/v1/documentTemplate/retrieve</t>
  </si>
  <si>
    <t>Servicio de dominio que realiza consulta del ID y posteriormente el contenido de un documento</t>
  </si>
  <si>
    <t>https://coppelmx.atlassian.net/wiki/x/AoBaP</t>
  </si>
  <si>
    <t>RESMX000707</t>
  </si>
  <si>
    <t>Dom_InitiateCustomerRelationshipInvolvementV1</t>
  </si>
  <si>
    <t>https://coppelmx.atlassian.net/wiki/x/EQCUP</t>
  </si>
  <si>
    <t>RESMX000708</t>
  </si>
  <si>
    <t>https://coppelmx.atlassian.net/wiki/x/AQCSOw</t>
  </si>
  <si>
    <t>RESMX000709</t>
  </si>
  <si>
    <t>Dom_InitiateFamilyProfileV1</t>
  </si>
  <si>
    <t>https://coppelmx.atlassian.net/wiki/x/A4CMOw</t>
  </si>
  <si>
    <t>RESMX000710</t>
  </si>
  <si>
    <t>Dom_RetrieveFamilyProfileV1</t>
  </si>
  <si>
    <t>/v1/familyProfile/retrieve</t>
  </si>
  <si>
    <t>Operación que realiza una consulta a la tabla Application para obtener la información de la solicitud de producto de tarjeta de crédito relacionado al cliente prospecto.</t>
  </si>
  <si>
    <t>RESMX000711</t>
  </si>
  <si>
    <t>Dom_RetrievePersonProfileV1</t>
  </si>
  <si>
    <t>/v1/personProfile/retrieve</t>
  </si>
  <si>
    <t>RESMX000712</t>
  </si>
  <si>
    <t>Dom_CreateContactPointV1</t>
  </si>
  <si>
    <t>https://coppelmx.atlassian.net/wiki/x/D4CSOw</t>
  </si>
  <si>
    <t>RESMX000713</t>
  </si>
  <si>
    <t>Pro_RetrieveDocumentTemplateV1</t>
  </si>
  <si>
    <t>Servicio de proxy que realiza consulta del ID y posteriormente el contenido de un documento.</t>
  </si>
  <si>
    <t>https://coppelmx.atlassian.net/wiki/x/JYCXOQ</t>
  </si>
  <si>
    <t>RESMX000714</t>
  </si>
  <si>
    <t>Pro_CreateDocumentTraceV1</t>
  </si>
  <si>
    <t>/v1/documentTrace/create</t>
  </si>
  <si>
    <t>Servicio de dominio que crea el PDF de consentimientos y validaciones..</t>
  </si>
  <si>
    <t>RESMX000715</t>
  </si>
  <si>
    <t>Pro_RetrieveFamilyProfileV1</t>
  </si>
  <si>
    <t>RESMX000716</t>
  </si>
  <si>
    <t>Pro_RetrievePersonProfileV1</t>
  </si>
  <si>
    <t>RESMX000717</t>
  </si>
  <si>
    <t>Rec_RetrieveServiceParameterV1</t>
  </si>
  <si>
    <t>RESMX000718</t>
  </si>
  <si>
    <t>Dom_RetrieveCreditProfileV1</t>
  </si>
  <si>
    <t>/v1/creditProfile/retrieve</t>
  </si>
  <si>
    <t>Servicio de dominio que consultará el perfil crediticio de un cliente</t>
  </si>
  <si>
    <t>https://coppelmx.atlassian.net/wiki/x/QIAhOw</t>
  </si>
  <si>
    <t>RESMX000719</t>
  </si>
  <si>
    <t>Dom_InitiateCreditProfileV1</t>
  </si>
  <si>
    <t>/v1/creditProfile/initiate</t>
  </si>
  <si>
    <t>Servicio de dominio que permite el registro de la fuente de ingresos y tipo de residencia del cliente en el proceso de Alta de un Cliente Nuevo (Alta Única).</t>
  </si>
  <si>
    <t>https://coppelmx.atlassian.net/wiki/x/XYAhOw</t>
  </si>
  <si>
    <t>RESMX000720</t>
  </si>
  <si>
    <t>Pro_RetrieveCreditProfileV1</t>
  </si>
  <si>
    <t>Servicio de proxy que consultará el perfil crediticio de un cliente</t>
  </si>
  <si>
    <t>https://coppelmx.atlassian.net/wiki/x/PgDoOQ</t>
  </si>
  <si>
    <t>RESMX000721</t>
  </si>
  <si>
    <t>Pro_InitiateCreditProfileV1</t>
  </si>
  <si>
    <t>https://coppelmx.atlassian.net/wiki/x/FAADOg</t>
  </si>
  <si>
    <t>RESMX000722</t>
  </si>
  <si>
    <t>Dom_RetrieveProductInstanceRecordV1</t>
  </si>
  <si>
    <t>/v1/productInstanceRecord/retrieve</t>
  </si>
  <si>
    <t>Operación que consulta el producto vinculado al cliente y en función del resultado el BPMS sabrá qué sección de pantallas será la siguiente a mostrarse en la aplicación progressive app.</t>
  </si>
  <si>
    <t>https://coppelmx.atlassian.net/wiki/x/DIADOw</t>
  </si>
  <si>
    <t>RESMX000723</t>
  </si>
  <si>
    <t>Pro_RetrieveProductInstanceRecordV1</t>
  </si>
  <si>
    <t>https://coppelmx.atlassian.net/wiki/x/JwH2O</t>
  </si>
  <si>
    <t>RESMX000724</t>
  </si>
  <si>
    <t>Rec_InitiateCustomerRelationshipInvolvementV1</t>
  </si>
  <si>
    <t>RESMX000725</t>
  </si>
  <si>
    <t>Rec_InitiateFamilyProfileV1</t>
  </si>
  <si>
    <t>Servicio de Reception que actualiza el registro de la información de los habitantes del domicilio en la tabla Application.</t>
  </si>
  <si>
    <t>https://coppelmx.atlassian.net/wiki/x/IIBAO</t>
  </si>
  <si>
    <t>RESMX000726</t>
  </si>
  <si>
    <t>Rec_CreateContactPointV1</t>
  </si>
  <si>
    <t>Servicio de recepción que registra el teléfono de referencia en la tabla Phone.</t>
  </si>
  <si>
    <t>RESMX000727</t>
  </si>
  <si>
    <t>Rec_RetrieveProductInstanceRecordV1</t>
  </si>
  <si>
    <t>https://coppelmx.atlassian.net/wiki/x/SQDWO</t>
  </si>
  <si>
    <t>RESMX000728</t>
  </si>
  <si>
    <t>Bus_RetrieveCustomernotificationV1</t>
  </si>
  <si>
    <t>/v1/customerNotification/retrieve</t>
  </si>
  <si>
    <t>Servicio que obtiene descripciones de diferentes mensajes informativos que se muestran al promotor para que se los mencione al cliente dentro del Sistema de Álta Única del cliente</t>
  </si>
  <si>
    <t>https://coppelmx.atlassian.net/wiki/x/BgDUPw</t>
  </si>
  <si>
    <t>RESMX000729</t>
  </si>
  <si>
    <t>Bus_InitiateCustomerrelationshipinvolvementV1</t>
  </si>
  <si>
    <t>Servicio encargado de realizar el registro de las referencias proporcionadas por el cliente solicitante del crédito en el proceso de la captura de los paramétricos del cliente para la evaluación de la solicitud.</t>
  </si>
  <si>
    <t>https://coppelmx.atlassian.net/wiki/x/AQALPg</t>
  </si>
  <si>
    <t>RESMX000730</t>
  </si>
  <si>
    <t>Dom_EvaluateCustomerspecialconditionsV1</t>
  </si>
  <si>
    <t>/v1/customerSpecialConditions/evaluate</t>
  </si>
  <si>
    <t>Realiza la consulta del cliente en Coppel para validar si tiene alguna situación especial marcada en Coppel, el cual puede ser de utilidad para identificar si esté es apto para el ofertamiento de un producto de crédito.</t>
  </si>
  <si>
    <t>https://coppelmx.atlassian.net/wiki/x/AwCzPQ</t>
  </si>
  <si>
    <t>RESMX000731</t>
  </si>
  <si>
    <t>Dom_InitiateCustomercreditratingV1</t>
  </si>
  <si>
    <t>/v1/customerCreditRating/initiate</t>
  </si>
  <si>
    <t>Se encarga de preparar la información del cliente para hacer una consulta hacia las instituciones crediticias ya sea Buró de Crédito o Círculo de crédito, con el fin de saber el comportamiento y antecedentes del cliente con créditos anteriores, esto para saber si el cliente es candidato para autorizar o rechazar un producto de crédito.</t>
  </si>
  <si>
    <t>https://coppelmx.atlassian.net/wiki/x/B4GmPQ</t>
  </si>
  <si>
    <t>RESMX000732</t>
  </si>
  <si>
    <t>Dom_CaptureCustomercreditratingV1</t>
  </si>
  <si>
    <t>/v1/customerCreditRating/capture</t>
  </si>
  <si>
    <t>Realizar la inserción de la respuesta de buro de crédito del cliente que está realizando la solicitud de una tarjeta de crédito en la base de datos informix, esto con la intención de dejar registro de las consultas que se hicieron hacia la institución crediticia y usarla en temas de reporterías o auditorías</t>
  </si>
  <si>
    <t>https://coppelmx.atlassian.net/wiki/x/JoCyPQ</t>
  </si>
  <si>
    <t>RESMX000733</t>
  </si>
  <si>
    <t>Dom_RegisterCreditcardapplicationV1</t>
  </si>
  <si>
    <t>/v1/creditCardApplication/register</t>
  </si>
  <si>
    <t>https://coppelmx.atlassian.net/wiki/x/SADpPQ</t>
  </si>
  <si>
    <t>RESMX000734</t>
  </si>
  <si>
    <t>Dom_RetrieveCustomernotificationV1</t>
  </si>
  <si>
    <t>/customerManagement/customerRelationshipManagement</t>
  </si>
  <si>
    <t>Servicio que obtiene descripciones de diferentes mensajes informativos del cliente, que se muestran al promotor para que se los mencione al cliente dentro del Sistema de Álta Única del cliente</t>
  </si>
  <si>
    <t>https://coppelmx.atlassian.net/wiki/x/E4ByP</t>
  </si>
  <si>
    <t>RESMX000735</t>
  </si>
  <si>
    <t>Dom_RetrieveCustomerapplicationnotificationV1</t>
  </si>
  <si>
    <t>/v1/customerApplicationNotification/retrieve</t>
  </si>
  <si>
    <t>Servicio que obtiene descripciones de diferentes mensajes informativos de las solicitudes del cliente, que se muestran al promotor para que se los mencione al cliente dentro del Sistema de Álta Única del cliente</t>
  </si>
  <si>
    <t>https://coppelmx.atlassian.net/wiki/x/EoBuP</t>
  </si>
  <si>
    <t>RESMX000736</t>
  </si>
  <si>
    <t>Dom_InitiateCustomerrelationshipinvolvementV1</t>
  </si>
  <si>
    <t>https://coppelmx.atlassian.net/wiki/x/74JGOw</t>
  </si>
  <si>
    <t>RESMX000737</t>
  </si>
  <si>
    <t>Dom_UpdateCustomerrelationshipinvolvementV1</t>
  </si>
  <si>
    <t>/v1/customerRelationshipInvolvement/update</t>
  </si>
  <si>
    <t>Servicio encargado de realizar la actualización de las referencias proporcionadas por el cliente solicitante del crédito en el proceso de la captura de los paramétricos del cliente para la evaluación de la solicitud.</t>
  </si>
  <si>
    <t>https://coppelmx.atlassian.net/wiki/x/NoFYOw</t>
  </si>
  <si>
    <t>RESMX000738</t>
  </si>
  <si>
    <t>Dom_RetrieveCustomerrelationshipinvolvementV1</t>
  </si>
  <si>
    <t>/v1/customerRelationshipInvolvement/retrieve</t>
  </si>
  <si>
    <t>Servicio de dominio que consulta la información de las referencias y beneficiarios del prospecto.</t>
  </si>
  <si>
    <t>https://coppelmx.atlassian.net/wiki/x/FwBGOw</t>
  </si>
  <si>
    <t>RESMX000739</t>
  </si>
  <si>
    <t>Dom_CaptureIdentificationV1</t>
  </si>
  <si>
    <t>/v1/identification/capture</t>
  </si>
  <si>
    <t>API que permite realizar la inserción de una bitácora por la actualizacion del CURP</t>
  </si>
  <si>
    <t>https://coppelmx.atlassian.net/wiki/x/SIBIOw</t>
  </si>
  <si>
    <t>RESMX000740</t>
  </si>
  <si>
    <t>Pro_EvaluateCustomerspecialconditionsV1</t>
  </si>
  <si>
    <t>https://coppelmx.atlassian.net/wiki/x/FYCJOg</t>
  </si>
  <si>
    <t>RESMX000741</t>
  </si>
  <si>
    <t>Pro_InitiateCustomercreditratingV1</t>
  </si>
  <si>
    <t>https://coppelmx.atlassian.net/wiki/x/IoCJOg</t>
  </si>
  <si>
    <t>RESMX000742</t>
  </si>
  <si>
    <t>Pro_CaptureCustomercreditratingV1</t>
  </si>
  <si>
    <t>https://coppelmx.atlassian.net/wiki/x/DQGKOg</t>
  </si>
  <si>
    <t>RESMX000743</t>
  </si>
  <si>
    <t>Pro_RegisterCreditcardapplicationV1</t>
  </si>
  <si>
    <t>https://coppelmx.atlassian.net/wiki/x/LYBiOw</t>
  </si>
  <si>
    <t>RESMX000744</t>
  </si>
  <si>
    <t>Pro_RetrieveCustomernotificationV1</t>
  </si>
  <si>
    <t>/system/customerManagement/customerRelationshipManagement</t>
  </si>
  <si>
    <t>https://coppelmx.atlassian.net/wiki/x/A4DPOQ</t>
  </si>
  <si>
    <t>RESMX000745</t>
  </si>
  <si>
    <t>Pro_RetrieveCustomerapplicationnotificationV1</t>
  </si>
  <si>
    <t>https://coppelmx.atlassian.net/wiki/x/EgDWOQ</t>
  </si>
  <si>
    <t>RESMX000746</t>
  </si>
  <si>
    <t>Pro_InitiateCustomerrelationshipinvolvementV1</t>
  </si>
  <si>
    <t>https://coppelmx.atlassian.net/wiki/x/RIB-Og</t>
  </si>
  <si>
    <t>RESMX000747</t>
  </si>
  <si>
    <t>Pro_UpdateCustomerrelationshipinvolvementV1</t>
  </si>
  <si>
    <t>https://coppelmx.atlassian.net/wiki/x/LQCjOg</t>
  </si>
  <si>
    <t>RESMX000748</t>
  </si>
  <si>
    <t>Pro_RetrieveCustomerrelationshipinvolvementV1</t>
  </si>
  <si>
    <t>Servicio encargado de realizar la consulta de las referencias proporcionadas por el cliente solicitante del crédito en el proceso de la captura de los paramétricos del cliente para la evaluación de la solicitud.</t>
  </si>
  <si>
    <t>https://coppelmx.atlassian.net/wiki/x/H4CwOg</t>
  </si>
  <si>
    <t>RESMX000749</t>
  </si>
  <si>
    <t>Pro_CaptureIdentificationV1</t>
  </si>
  <si>
    <t>https://coppelmx.atlassian.net/wiki/x/BYAoOQ</t>
  </si>
  <si>
    <t>RESMX000750</t>
  </si>
  <si>
    <t>Rec_RetrieveCustomernotificationV1</t>
  </si>
  <si>
    <t>RESMX000751</t>
  </si>
  <si>
    <t>Rec_InitiateCustomercreditratingV1</t>
  </si>
  <si>
    <t>RESMX000752</t>
  </si>
  <si>
    <t>Rec_CaptureCustomercreditratingV1</t>
  </si>
  <si>
    <t>RESMX000753</t>
  </si>
  <si>
    <t>Rec_RegisterCreditcardapplicationV1</t>
  </si>
  <si>
    <t>RESMX000754</t>
  </si>
  <si>
    <t>Rec_RetrieveCustomerrelationshipinvolvementV1</t>
  </si>
  <si>
    <t>RESMX000755</t>
  </si>
  <si>
    <t>Rec_InitiateCustomerrelationshipinvolvementV1</t>
  </si>
  <si>
    <t>RESMX000756</t>
  </si>
  <si>
    <t>Dom_RegisterSettlementtransactionV1</t>
  </si>
  <si>
    <t>/v1/settlementTransaction/register</t>
  </si>
  <si>
    <t>En este microservicio se realiza una generación del registro en BO(BackOffice) . Esta generación de registro se realiza para el registro contable de la línea de crédito autorizada.</t>
  </si>
  <si>
    <t>https://coppelmx.atlassian.net/wiki/x/BYDlOg</t>
  </si>
  <si>
    <t>RESMX000757</t>
  </si>
  <si>
    <t>Pro_RegisterSettlementtransactionV1</t>
  </si>
  <si>
    <t>/system/accountManagement/transactionEngine</t>
  </si>
  <si>
    <t>https://coppelmx.atlassian.net/wiki/x/BAD3O</t>
  </si>
  <si>
    <t>RESMX000758</t>
  </si>
  <si>
    <t>Rec_RegisterSettlementtransactionV1</t>
  </si>
  <si>
    <t>/experience/accountManagement/transactionEngine</t>
  </si>
  <si>
    <t>RESMX000759</t>
  </si>
  <si>
    <t>Bus_InitiateOnboardingdocumentcontractV1</t>
  </si>
  <si>
    <t>/v1/onBoardingDocumentContract/initiate</t>
  </si>
  <si>
    <t>Servicio de negocio encargado de consultar y llenar las plantillas de contratos.</t>
  </si>
  <si>
    <t>https://coppelmx.atlassian.net/wiki/x/BYDTPQ</t>
  </si>
  <si>
    <t>RESMX000760</t>
  </si>
  <si>
    <t>Bus_RetrieveOnboardingdocumenttraceV1</t>
  </si>
  <si>
    <t>/v1/onBoardingDocumentTrace/retrieve</t>
  </si>
  <si>
    <t>Servicio de negocio encargado de obtener la información y de generar el PDF de consentimientos y validaciones.</t>
  </si>
  <si>
    <t>https://coppelmx.atlassian.net/wiki/x/nYGug</t>
  </si>
  <si>
    <t>RESMX000761</t>
  </si>
  <si>
    <t>Dom_CreateDocumentationV1</t>
  </si>
  <si>
    <t>/v1/documentation/create</t>
  </si>
  <si>
    <t>Servicio de dominio encargado de consultar las propiedades e información para llenar y guardar las plantillas de los contratos.</t>
  </si>
  <si>
    <t>https://coppelmx.atlassian.net/wiki/x/EACIOw</t>
  </si>
  <si>
    <t>RESMX000762</t>
  </si>
  <si>
    <t>Dom_CreateDocumenttraceV1</t>
  </si>
  <si>
    <t>RESMX000763</t>
  </si>
  <si>
    <t>Dom_ExchangeDocumentationV1</t>
  </si>
  <si>
    <t>/v1/documentation/exchange</t>
  </si>
  <si>
    <t>Servicio de dominio encargado de firmar los contratos del prospecto.</t>
  </si>
  <si>
    <t>RESMX000764</t>
  </si>
  <si>
    <t>Pro_CreateDocumentationV1</t>
  </si>
  <si>
    <t>https://coppelmx.atlassian.net/wiki/x/QQCcOQ</t>
  </si>
  <si>
    <t>RESMX000765</t>
  </si>
  <si>
    <t>Pro_ExchangeDocumentationV1</t>
  </si>
  <si>
    <t>Servicio de proxy encargado de firmar los contratos del prospecto.</t>
  </si>
  <si>
    <t>https://coppelmx.atlassian.net/wiki/spaces/GAC/pages/1184071702/RESMX000765_Pro_exchangeDocumentation</t>
  </si>
  <si>
    <t>RESMX000766</t>
  </si>
  <si>
    <t>Rec_InitiateOnboardingdocumentcontractV1</t>
  </si>
  <si>
    <t>Servicio de recepción encargado de consultar y llenar las plantillas de contratos.</t>
  </si>
  <si>
    <t>https://coppelmx.atlassian.net/wiki/x/GYB-O</t>
  </si>
  <si>
    <t>RESMX000767</t>
  </si>
  <si>
    <t>Bus_RegisterCustomerlocationreferenceV1</t>
  </si>
  <si>
    <t>/v1/customerLocationReference/register</t>
  </si>
  <si>
    <t>Operacion que permite el manejo del proceso de guardado de la direccion del cliente.</t>
  </si>
  <si>
    <t>https://coppelmx.atlassian.net/wiki/x/GQALPg</t>
  </si>
  <si>
    <t>RESMX000768</t>
  </si>
  <si>
    <t>Dom_ExecuteCustomercreditratingV1</t>
  </si>
  <si>
    <t>/v1/customerCreditRating/execute</t>
  </si>
  <si>
    <t>Operación encargada de recopilar los valores de la consulta al Buro de Credito, segmentar los valores y insertar la informacion de las cuentas del cliente.</t>
  </si>
  <si>
    <t>https://coppelmx.atlassian.net/wiki/x/NACnPQ</t>
  </si>
  <si>
    <t>RESMX000769</t>
  </si>
  <si>
    <t>Dom_InitiateCustomercreditratingstateV1</t>
  </si>
  <si>
    <t>/customerManagement/customerCreditRating</t>
  </si>
  <si>
    <t>/v1/customerCreditRatingState/initiate</t>
  </si>
  <si>
    <t>Servicio encargado con el proceso de evaluación de una solicitud de crédito, validando criterios como Crédito Bloqueado, identificación oficial capturada por el cliente</t>
  </si>
  <si>
    <t>https://coppelmx.atlassian.net/wiki/x/GIDJPQ</t>
  </si>
  <si>
    <t>RESMX000770</t>
  </si>
  <si>
    <t>Dom_RetrieveStateV1</t>
  </si>
  <si>
    <t>/v1/state/retrieve</t>
  </si>
  <si>
    <t>Servicio de dominio que se encargará de consultar el nombre del estado del cliente.</t>
  </si>
  <si>
    <t>https://coppelmx.atlassian.net/wiki/x/CQACP</t>
  </si>
  <si>
    <t>RESMX000771</t>
  </si>
  <si>
    <t>Dom_RetrieveCityV1</t>
  </si>
  <si>
    <t>/v1/city/retrieve</t>
  </si>
  <si>
    <t>Servicio de dominio que se encargará de consultar el nombre de la ciudad del cliente.</t>
  </si>
  <si>
    <t>https://coppelmx.atlassian.net/wiki/x/CID9Ow</t>
  </si>
  <si>
    <t>RESMX000772</t>
  </si>
  <si>
    <t>Dom_RetrieveCountryV1</t>
  </si>
  <si>
    <t>/v1/country/retrieve</t>
  </si>
  <si>
    <t>https://coppelmx.atlassian.net/wiki/x/MAADP</t>
  </si>
  <si>
    <t>RESMX000773</t>
  </si>
  <si>
    <t>/v1/location/update</t>
  </si>
  <si>
    <t>Este servicio de dominio permite actualizar la dirección Del Cliente</t>
  </si>
  <si>
    <t>https://coppelmx.atlassian.net/wiki/x/f4D3Ow</t>
  </si>
  <si>
    <t>RESMX000774</t>
  </si>
  <si>
    <t>Dom_RetrieveIncomeprofileV1</t>
  </si>
  <si>
    <t>/v1/incomeProfile/retrieve</t>
  </si>
  <si>
    <t>Servicio encargado de la consulta de los ingresos mensuales almacenados en base de datos que el cliente ya previamente registró. así como el tipo y periodicidad.</t>
  </si>
  <si>
    <t>https://coppelmx.atlassian.net/wiki/x/AgCcOw</t>
  </si>
  <si>
    <t>RESMX000775</t>
  </si>
  <si>
    <t>Dom_RetrieveNetworktypeV1</t>
  </si>
  <si>
    <t>/v1/networkType/retrieve</t>
  </si>
  <si>
    <t>Permite consultar el tipo de red telefonico dado un numero de telefono .</t>
  </si>
  <si>
    <t>https://coppelmx.atlassian.net/wiki/x/DoBZOw</t>
  </si>
  <si>
    <t>RESMX000776</t>
  </si>
  <si>
    <t>Pro_ExecuteCustomercreditratingV1</t>
  </si>
  <si>
    <t>https://coppelmx.atlassian.net/wiki/x/dQCVOg</t>
  </si>
  <si>
    <t>RESMX000778</t>
  </si>
  <si>
    <t>Pro_RetrieveStateV1</t>
  </si>
  <si>
    <t>Servicio de proxy que se encargará de consultar el nombre del estado del cliente.</t>
  </si>
  <si>
    <t>https://coppelmx.atlassian.net/wiki/x/GwApOQ</t>
  </si>
  <si>
    <t>RESMX000779</t>
  </si>
  <si>
    <t>Pro_RetrieveCityV1</t>
  </si>
  <si>
    <t>Servicio de proxy que se encargará de consultar el nombre de la ciudad del cliente.</t>
  </si>
  <si>
    <t>https://coppelmx.atlassian.net/wiki/x/EQAgOQ</t>
  </si>
  <si>
    <t>RESMX000780</t>
  </si>
  <si>
    <t>Pro_RetrieveCountryV1</t>
  </si>
  <si>
    <t>https://coppelmx.atlassian.net/wiki/x/OoAcOQ</t>
  </si>
  <si>
    <t>RESMX000781</t>
  </si>
  <si>
    <t>Este servicio de proxy permite actualizar la dirección Del Cliente</t>
  </si>
  <si>
    <t>https://coppelmx.atlassian.net/wiki/x/P4AkOQ</t>
  </si>
  <si>
    <t>RESMX000782</t>
  </si>
  <si>
    <t>Pro_RetrieveIncomeprofileV1</t>
  </si>
  <si>
    <t>https://coppelmx.atlassian.net/wiki/x/LwCkOQ</t>
  </si>
  <si>
    <t>RESMX000783</t>
  </si>
  <si>
    <t>Pro_RetrieveNetworktypeV1</t>
  </si>
  <si>
    <t>https://coppelmx.atlassian.net/wiki/x/EQAbOQ</t>
  </si>
  <si>
    <t>RESMX000784</t>
  </si>
  <si>
    <t>Rec_ExecuteCustomercreditratingV1</t>
  </si>
  <si>
    <t>https://coppelmx.atlassian.net/wiki/x/CwDzO</t>
  </si>
  <si>
    <t>RESMX000785</t>
  </si>
  <si>
    <t>Rec_InitiateCustomercreditratingstateV1</t>
  </si>
  <si>
    <t>/experience/customerManagement/customerCreditRating</t>
  </si>
  <si>
    <t>RESMX000786</t>
  </si>
  <si>
    <t>Rec_UpdatePersonprofileV1</t>
  </si>
  <si>
    <t>Servicio de recepcion que actualiza la información del prospecto en la tabla Application para evaluar si es apto para el crédito o no.</t>
  </si>
  <si>
    <t>https://coppelmx.atlassian.net/wiki/x/AgBiO</t>
  </si>
  <si>
    <t>RESMX000787</t>
  </si>
  <si>
    <t>Rec_RetrieveIncomeprofileV1</t>
  </si>
  <si>
    <t>https://coppelmx.atlassian.net/wiki/x/CwBlO</t>
  </si>
  <si>
    <t>RESMX000788</t>
  </si>
  <si>
    <t>Rec_RegisterCustomerlocationreferenceV1</t>
  </si>
  <si>
    <t>RESMX000789</t>
  </si>
  <si>
    <t>Bus_UpdatePaymentcardV1</t>
  </si>
  <si>
    <t>https://coppelmx.atlassian.net/wiki/x/nAD-PQ</t>
  </si>
  <si>
    <t>RESMX000790</t>
  </si>
  <si>
    <t>Bus_RetrieveCardmanagementV1</t>
  </si>
  <si>
    <t>/v1/cardManagement/retrieve</t>
  </si>
  <si>
    <t>Api consulta las tarjetas debito y credito que tienen disponible cvv dinamico</t>
  </si>
  <si>
    <t>https://coppelmx.atlassian.net/wiki/x/DQAEPg</t>
  </si>
  <si>
    <t>RESMX000791</t>
  </si>
  <si>
    <t>Dom_UpdatePaymentcardindicatorV1</t>
  </si>
  <si>
    <t>/v1/paymentCardIndicator/update</t>
  </si>
  <si>
    <t>En este api se realiza la actualización del la entidad tarjeta_indicadores y su bitácora correspondiente</t>
  </si>
  <si>
    <t>RESMX000792</t>
  </si>
  <si>
    <t>Dom_InitiatePaymentcardindicatorV1</t>
  </si>
  <si>
    <t>/v1/paymentCardIndicator/initiate</t>
  </si>
  <si>
    <t>En este api se realiza el registro en la entidad tarjeta_indicadores y su bitácora correspondiente</t>
  </si>
  <si>
    <t>RESMX000793</t>
  </si>
  <si>
    <t>Dom_RetrieveCardproductV1</t>
  </si>
  <si>
    <t>/v1/cardProduct/retrieve</t>
  </si>
  <si>
    <t>Servicio que permite consultar los productos de tarjetas que el cliente tiene asociados</t>
  </si>
  <si>
    <t>RESMX000794</t>
  </si>
  <si>
    <t>Dom_RegisterReportingV1</t>
  </si>
  <si>
    <t>RESMX000795</t>
  </si>
  <si>
    <t>Dom_RegisterIssueddeviceallocationV1</t>
  </si>
  <si>
    <t>RESMX000796</t>
  </si>
  <si>
    <t>Dom_UpdateIssueddevicestateV1</t>
  </si>
  <si>
    <t>/v1/issuedDeviceState/update</t>
  </si>
  <si>
    <t>RESMX000797</t>
  </si>
  <si>
    <t>Dom_EvaluateTokenV1</t>
  </si>
  <si>
    <t>Operación que valida un token en gemalto</t>
  </si>
  <si>
    <t>RESMX000798</t>
  </si>
  <si>
    <t>Pro_UpdatePaymentcardindicatorV1</t>
  </si>
  <si>
    <t>En este microservicio se realiza la actualización del la entidad tarjeta_indicadores y su bitácora correspondiente</t>
  </si>
  <si>
    <t>RESMX000799</t>
  </si>
  <si>
    <t>Pro_InitiatePaymentcardindicatorV1</t>
  </si>
  <si>
    <t>En este microservicio se realiza el registro en la entidad tarjeta_indicadores y su bitácora correspondiente</t>
  </si>
  <si>
    <t>RESMX000800</t>
  </si>
  <si>
    <t>Pro_RetrieveCardproductV1</t>
  </si>
  <si>
    <t>RESMX000801</t>
  </si>
  <si>
    <t>Pro_RegisterReportingV1</t>
  </si>
  <si>
    <t>RESMX000802</t>
  </si>
  <si>
    <t>Pro_RegisterIssueddeviceallocationV1</t>
  </si>
  <si>
    <t>RESMX000803</t>
  </si>
  <si>
    <t>Pro_UpdateIssueddevicestateV1</t>
  </si>
  <si>
    <t>RESMX000804</t>
  </si>
  <si>
    <t>Pro_EvaluateTokenV1</t>
  </si>
  <si>
    <t>Operación que valida un token en gemalto o Obtiene el id del cliente con el token SSO</t>
  </si>
  <si>
    <t>RESMX000805</t>
  </si>
  <si>
    <t>Rec_UpdatePaymentcardV1</t>
  </si>
  <si>
    <t>https://coppelmx.atlassian.net/wiki/x/VYBpO</t>
  </si>
  <si>
    <t>RESMX000806</t>
  </si>
  <si>
    <t>Rec_RetrieveCreditcardstatementV1</t>
  </si>
  <si>
    <t>https://coppelmx.atlassian.net/wiki/x/M4BvO</t>
  </si>
  <si>
    <t>RESMX000807</t>
  </si>
  <si>
    <t>Rec_RetrieveCardmanagementV1</t>
  </si>
  <si>
    <t>https://coppelmx.atlassian.net/wiki/x/AQCVO</t>
  </si>
  <si>
    <t>RESMX000808</t>
  </si>
  <si>
    <t>Bus_InitiateTokenassignmentV1</t>
  </si>
  <si>
    <t>API de negocio que permite enviar al cliente un token para su proceso de validacion</t>
  </si>
  <si>
    <t>RESMX000809</t>
  </si>
  <si>
    <t>Dom_ActivateDocumentserviceprocedureV1</t>
  </si>
  <si>
    <t>/v1/documentServiceProcedure/activate</t>
  </si>
  <si>
    <t>API que permite que mantener viva la sesión para carga de documentos en el expediente digital</t>
  </si>
  <si>
    <t>https://coppelmx.atlassian.net/wiki/x/5wBtQQ</t>
  </si>
  <si>
    <t>RESMX000810</t>
  </si>
  <si>
    <t>Dom_RetrieveDocumentserviceprocedureV1</t>
  </si>
  <si>
    <t>/v1/documentServiceProcedure/retrieve</t>
  </si>
  <si>
    <t>API de dominio que permite consultar los datos de documentos de clientes</t>
  </si>
  <si>
    <t>https://coppelmx.atlassian.net/wiki/x/AoBdP</t>
  </si>
  <si>
    <t>RESMX000811</t>
  </si>
  <si>
    <t>Dom_UpdateTokenassignmentV1</t>
  </si>
  <si>
    <t>/v1/tokenAssignment/update</t>
  </si>
  <si>
    <t>Api de dominio que actualiza un código OTP(One Time Password) utilizado para validar el onboarding.</t>
  </si>
  <si>
    <t>https://coppelmx.atlassian.net/wiki/x/WgBzQQ</t>
  </si>
  <si>
    <t>RESMX000812</t>
  </si>
  <si>
    <t>Dom_RetrieveContactpointV1</t>
  </si>
  <si>
    <t>Operación encargada de consultar el telefono del cliente prospecto</t>
  </si>
  <si>
    <t>RESMX000813</t>
  </si>
  <si>
    <t>Pro_ActivateDocumentserviceprocedureV1</t>
  </si>
  <si>
    <t>https://coppelmx.atlassian.net/wiki/x/CwBFQg</t>
  </si>
  <si>
    <t>RESMX000814</t>
  </si>
  <si>
    <t>Pro_RetrieveDocumentserviceprocedureV1</t>
  </si>
  <si>
    <t>API proxy que permite consultar los datos de documentos de clientes</t>
  </si>
  <si>
    <t>https://coppelmx.atlassian.net/wiki/x/AYCcOQ</t>
  </si>
  <si>
    <t>RESMX000815</t>
  </si>
  <si>
    <t>Pro_UpdateTokenassignmentV1</t>
  </si>
  <si>
    <t>Microservicio que actualiza un código OTP(One Time Password) utilizado para validar el onboarding.</t>
  </si>
  <si>
    <t>https://coppelmx.atlassian.net/wiki/x/AwAoQg</t>
  </si>
  <si>
    <t>RESMX000816</t>
  </si>
  <si>
    <t>Pro_RetrieveContactpointV1</t>
  </si>
  <si>
    <t>https://coppelmx.atlassian.net/wiki/x/JADqPg</t>
  </si>
  <si>
    <t>RESMX000817</t>
  </si>
  <si>
    <t>Rec_ActivateDocumentserviceprocedureV1</t>
  </si>
  <si>
    <t>https://coppelmx.atlassian.net/wiki/x/UoDxQQ</t>
  </si>
  <si>
    <t>RESMX000818</t>
  </si>
  <si>
    <t>Rec_RetrieveDocumentserviceprocedureV1</t>
  </si>
  <si>
    <t>RESMX000819</t>
  </si>
  <si>
    <t>Rec_InitiateTokenassignmentV1</t>
  </si>
  <si>
    <t>RESMX000820</t>
  </si>
  <si>
    <t>Bus_RetrieveDocumentserviceprocedureV1</t>
  </si>
  <si>
    <t>Servicio que obtiene un documento que condensa la información del periodo de un estado de cuenta</t>
  </si>
  <si>
    <t>RESMX000821</t>
  </si>
  <si>
    <t>Bus_RetrieveAccountstatementperiodV1</t>
  </si>
  <si>
    <t>/v1/accountStatementPeriod/retrieve</t>
  </si>
  <si>
    <t>Operación encargada de retornar los ultimos 3 periodos de estado de cuenta</t>
  </si>
  <si>
    <t>https://coppelmx.atlassian.net/wiki/x/LoADPg</t>
  </si>
  <si>
    <t>RESMX000822</t>
  </si>
  <si>
    <t>Bus_RetrieveCreditcardstatementV1</t>
  </si>
  <si>
    <t>RESMX000823</t>
  </si>
  <si>
    <t>Bus_UpdateCreditcardapplicationV1</t>
  </si>
  <si>
    <t>Operación que actualiza la información referente a la solicitud de la tarjeta de crédito y el plan de crédito ofrecido a un prospecto.</t>
  </si>
  <si>
    <t>https://coppelmx.atlassian.net/wiki/x/DYD6Pw</t>
  </si>
  <si>
    <t>RESMX000824</t>
  </si>
  <si>
    <t>Bus_RetrieveAccounttransactionV1</t>
  </si>
  <si>
    <t>/v1/accountTransaction/retrieve</t>
  </si>
  <si>
    <t>Operación encargada de consultar los movimientos de las cuentas de credito.</t>
  </si>
  <si>
    <t>https://coppelmx.atlassian.net/wiki/x/KgAFQ</t>
  </si>
  <si>
    <t>RESMX000825</t>
  </si>
  <si>
    <t>Bus_RegisterOnboardingdocumenttraceV1</t>
  </si>
  <si>
    <t>/v1/onBoardingDocumentTrace/register</t>
  </si>
  <si>
    <t>Servicio de negocio que genera el documento de confirmaciones y validaciones y sube el archivo al expediente digital.</t>
  </si>
  <si>
    <t>https://coppelmx.atlassian.net/wiki/x/LYDWg</t>
  </si>
  <si>
    <t>RESMX000826</t>
  </si>
  <si>
    <t>Bus_RegisterOnboardingdocumentcontractV1</t>
  </si>
  <si>
    <t>/v1/onBoardingDocumentContract/register</t>
  </si>
  <si>
    <t>Servicio de negocio que genera la firma del prospecto y sube el archivo al expediente digital.</t>
  </si>
  <si>
    <t>https://coppelmx.atlassian.net/wiki/x/FAAkgQ</t>
  </si>
  <si>
    <t>RESMX000827</t>
  </si>
  <si>
    <t>Bus_RegisterOnboardingdocumentationV1</t>
  </si>
  <si>
    <t>/v1/onBoardingDocumentation/register</t>
  </si>
  <si>
    <t>Servicio de negocio que recupera los documentos sin firma y sube los archivos al expediente digital</t>
  </si>
  <si>
    <t>https://coppelmx.atlassian.net/wiki/spaces/GAC/pages/1149927490/RESMX000827_Bus_registerOnBoardingDocumentation</t>
  </si>
  <si>
    <t>RESMX000828</t>
  </si>
  <si>
    <t>Bus_RegisterOnboardingcreditcardV1</t>
  </si>
  <si>
    <t>/v1/onBoardingCreditCard/register</t>
  </si>
  <si>
    <t>Servicio de negocio que registra los datos de la tarjeta de crédito y actualiza la oferta para la funcionalidad de alta de tarjeta de crédito.</t>
  </si>
  <si>
    <t>https://coppelmx.atlassian.net/wiki/x/BIAIPg</t>
  </si>
  <si>
    <t>RESMX000829</t>
  </si>
  <si>
    <t>Dom_NotifyCreditcardapplicationV1</t>
  </si>
  <si>
    <t>/v1/creditCardApplication/notify</t>
  </si>
  <si>
    <t>Servicio de dominio que obtiene los documentos del prospecto, llena la plantilla del welcome kit y la envía a través del correo.</t>
  </si>
  <si>
    <t>https://coppelmx.atlassian.net/wiki/x/DoBsPQ</t>
  </si>
  <si>
    <t>RESMX000830</t>
  </si>
  <si>
    <t>Dom_RetrieveTotalcostV1</t>
  </si>
  <si>
    <t>/v1/totalCost/retrieve</t>
  </si>
  <si>
    <t>Servicio de dominio que consulta la información de costos pertenecientes a la tarjeta de crédito</t>
  </si>
  <si>
    <t>https://coppelmx.atlassian.net/wiki/x/D4BkPQ</t>
  </si>
  <si>
    <t>RESMX000831</t>
  </si>
  <si>
    <t>Dom_InitiateCreditcardallocationV1</t>
  </si>
  <si>
    <t>/v1/creditCardAllocation/initiate</t>
  </si>
  <si>
    <t>En este microservicio se realiza la inserción de la solicitud inicial de la tarjeta física correspondiente a la cuenta o el producto.</t>
  </si>
  <si>
    <t>RESMX000832</t>
  </si>
  <si>
    <t>Dom_RetrieveAccountstatementperiodV1</t>
  </si>
  <si>
    <t>https://coppelmx.atlassian.net/wiki/x/EwBwPQ</t>
  </si>
  <si>
    <t>RESMX000833</t>
  </si>
  <si>
    <t>Dom_RetrieveRepaymentV1</t>
  </si>
  <si>
    <t>https://coppelmx.atlassian.net/wiki/x/tQBtPQ</t>
  </si>
  <si>
    <t>RESMX000834</t>
  </si>
  <si>
    <t>Dom_RetrieveCardpaymentarrangementV1</t>
  </si>
  <si>
    <t>/v1/cardPaymentArrangement/retrieve</t>
  </si>
  <si>
    <t>Operación encargada de obtener los datos de una TDC junto con su tabla de amortización.</t>
  </si>
  <si>
    <t>RESMX000835</t>
  </si>
  <si>
    <t>Dom_RetrieveAccountinformationV1</t>
  </si>
  <si>
    <t>/v1/accountInformation/retrieve</t>
  </si>
  <si>
    <t>Consulta la cuenta asociada al prestamo</t>
  </si>
  <si>
    <t>RESMX000836</t>
  </si>
  <si>
    <t>Dom_RetrieveLoantransactionV1</t>
  </si>
  <si>
    <t>/v1/loanTransaction/retrieve</t>
  </si>
  <si>
    <t>API encargado obtener movimientos del préstamo por dias</t>
  </si>
  <si>
    <t>RESMX000837</t>
  </si>
  <si>
    <t>Pro_NotifyCreditcardapplicationV1</t>
  </si>
  <si>
    <t>Servicio de proxy que obtiene los documentos del prospecto, llena la plantilla del welcome kit y la envía a través del correo.</t>
  </si>
  <si>
    <t>https://coppelmx.atlassian.net/wiki/x/OABfOw</t>
  </si>
  <si>
    <t>RESMX000838</t>
  </si>
  <si>
    <t>Pro_InitiateCreditcardallocationV1</t>
  </si>
  <si>
    <t>RESMX000839</t>
  </si>
  <si>
    <t>Pro_RetrieveTotalcostV1</t>
  </si>
  <si>
    <t>Servicio de proxy que consulta la información de costos pertenecientes a la tarjeta de crédito</t>
  </si>
  <si>
    <t>https://coppelmx.atlassian.net/wiki/x/EYBkOw</t>
  </si>
  <si>
    <t>RESMX000840</t>
  </si>
  <si>
    <t>Pro_RetrieveAccountstatementperiodV1</t>
  </si>
  <si>
    <t>https://coppelmx.atlassian.net/wiki/x/QoBlOw</t>
  </si>
  <si>
    <t>RESMX000841</t>
  </si>
  <si>
    <t>Pro_RetrieveRepaymentV1</t>
  </si>
  <si>
    <t>https://coppelmx.atlassian.net/wiki/x/YIBiOw</t>
  </si>
  <si>
    <t>RESMX000842</t>
  </si>
  <si>
    <t>Pro_RetrieveCardpaymentarrangementV1</t>
  </si>
  <si>
    <t>RESMX000843</t>
  </si>
  <si>
    <t>Pro_RetrieveAccountinformationV1</t>
  </si>
  <si>
    <t>RESMX000844</t>
  </si>
  <si>
    <t>Pro_RetrieveLoantransactionV1</t>
  </si>
  <si>
    <t>RESMX000845</t>
  </si>
  <si>
    <t>https://coppelmx.atlassian.net/wiki/x/J4CEQ</t>
  </si>
  <si>
    <t>https://coppelmx.atlassian.net/wiki/x/iQCYO</t>
  </si>
  <si>
    <t>RESMX000846</t>
  </si>
  <si>
    <t>Rec_InitiateCreditcardallocationV1</t>
  </si>
  <si>
    <t>RESMX000847</t>
  </si>
  <si>
    <t>Rec_UpdateCreditcardapplicationV1</t>
  </si>
  <si>
    <t>Servicio de experiencia que actualiza la información referente a la solicitud de la tarjeta de crédito y el plan de crédito ofrecido a un prospecto.</t>
  </si>
  <si>
    <t>https://coppelmx.atlassian.net/wiki/x/EQCJO</t>
  </si>
  <si>
    <t>RESMX000848</t>
  </si>
  <si>
    <t>Rec_InitiateCreditcardapplicationV1</t>
  </si>
  <si>
    <t>Servicio de recepción que genera la solicitud de la tarjeta de crédito.</t>
  </si>
  <si>
    <t>RESMX000849</t>
  </si>
  <si>
    <t>Rec_RetrieveAccounttransactionV1</t>
  </si>
  <si>
    <t>https://coppelmx.atlassian.net/wiki/x/AQCRO</t>
  </si>
  <si>
    <t>RESMX000850</t>
  </si>
  <si>
    <t>Rec_RetrieveAccountstatementperiodV1</t>
  </si>
  <si>
    <t>https://coppelmx.atlassian.net/wiki/x/AgCWO</t>
  </si>
  <si>
    <t>RESMX000851</t>
  </si>
  <si>
    <t>Rec_RetrieveCreditcardpositionV1</t>
  </si>
  <si>
    <t>https://coppelmx.atlassian.net/wiki/x/DQCUO</t>
  </si>
  <si>
    <t>RESMX000852</t>
  </si>
  <si>
    <t>Rec_RegisterOnboardingdocumenttraceV1</t>
  </si>
  <si>
    <t>Servicio de recepción que genera el documento de confirmaciones y validaciones y sube el archivo al expediente digital.</t>
  </si>
  <si>
    <t>RESMX000853</t>
  </si>
  <si>
    <t>Rec_RegisterOnboardingdocumentcontractV1</t>
  </si>
  <si>
    <t>Servicio de recepción que genera la firma del prospecto y sube el archivo al expediente digital.</t>
  </si>
  <si>
    <t>RESMX000854</t>
  </si>
  <si>
    <t>Rec_registerCustomerCreditRatingStateV1</t>
  </si>
  <si>
    <t>Servicio de recepción que recupera los documentos sin firma y sube los archivos al expediente digital</t>
  </si>
  <si>
    <t>RESMX000855</t>
  </si>
  <si>
    <t>Rec_RegisterOnboardingcreditcardV1</t>
  </si>
  <si>
    <t>Servicio de recepción que registra los datos de la tarjeta de crédito y actualiza la oferta para la funcionalidad de alta de tarjeta de crédito.</t>
  </si>
  <si>
    <t>https://coppelmx.atlassian.net/wiki/x/GYCSO</t>
  </si>
  <si>
    <t>RESMX000856</t>
  </si>
  <si>
    <t>https://coppelmx.atlassian.net/wiki/x/HYAFPg</t>
  </si>
  <si>
    <t>RESMX000857</t>
  </si>
  <si>
    <t>Dom_EvaluateInternalcustomercreditratingV1</t>
  </si>
  <si>
    <t>/v1/internalCustomerCreditRating/evaluate</t>
  </si>
  <si>
    <t>Api de dominio que permite recopilar los datos del cliente y solicitud, e información crediticia los cuales se utilizan para el armado de una trama de envío hacia un servicio de coppel que realiza la evaluación del historial crediticio del cliente</t>
  </si>
  <si>
    <t>https://coppelmx.atlassian.net/wiki/x/JYDHPQ</t>
  </si>
  <si>
    <t>RESMX000858</t>
  </si>
  <si>
    <t>Dom_InitiateInternalreportingV1</t>
  </si>
  <si>
    <t>/v1/internalReporting/initiate</t>
  </si>
  <si>
    <t>Api de proxy que se encarga de almacenar el detalle del scoring interno.</t>
  </si>
  <si>
    <t>https://coppelmx.atlassian.net/wiki/x/DADIPQ</t>
  </si>
  <si>
    <t>RESMX000859</t>
  </si>
  <si>
    <t>Dom_InitiateInternalcustomercreditratingV1</t>
  </si>
  <si>
    <t>/v1/internalCustomerCreditRating/initiate</t>
  </si>
  <si>
    <t>Api de dominio que guarda la respuesta de la evaluación de crédito dada por el servicio de historial crediticio el cual es ejecutado por Coppel, puesto que éste vive en sus servidores;, con el fin de que estos datos sean de utilidad en el proceso de evaluación de la solicitud de tarjeta de crédito que está realizando el cliente.</t>
  </si>
  <si>
    <t>https://coppelmx.atlassian.net/wiki/x/BQDJPQ</t>
  </si>
  <si>
    <t>RESMX000860</t>
  </si>
  <si>
    <t>https://coppelmx.atlassian.net/wiki/x/DYARP</t>
  </si>
  <si>
    <t>RESMX000861</t>
  </si>
  <si>
    <t>API que permite guardar la dirección del CONYUGE del cliente</t>
  </si>
  <si>
    <t>https://coppelmx.atlassian.net/wiki/x/SwADP</t>
  </si>
  <si>
    <t>RESMX000862</t>
  </si>
  <si>
    <t>Servicio de dominio para actualizar la fuente de ingresos y tipo de residencia del cliente en el proceso de Alta de un Cliente Nuevo (Alta Ãšnica).</t>
  </si>
  <si>
    <t>https://coppelmx.atlassian.net/wiki/x/tIBFOw</t>
  </si>
  <si>
    <t>RESMX000863</t>
  </si>
  <si>
    <t>Pro_EvaluateInternalcustomercreditratingV1</t>
  </si>
  <si>
    <t>/system/customerManagement/customerCreditRating</t>
  </si>
  <si>
    <t>Api de proxy que permite recopilar los datos del cliente y solicitud, e información crediticia los cuales se utilizan para el armado de una trama de envío hacia un servicio de coppel que realiza la evaluación del historial crediticio del cliente</t>
  </si>
  <si>
    <t>https://coppelmx.atlassian.net/wiki/x/pwDaOQ</t>
  </si>
  <si>
    <t>RESMX000864</t>
  </si>
  <si>
    <t>Pro_InitiateInternalreportingV1</t>
  </si>
  <si>
    <t>https://coppelmx.atlassian.net/wiki/x/RQDSOQ</t>
  </si>
  <si>
    <t>RESMX000865</t>
  </si>
  <si>
    <t>Pro_InitiateInternalcustomercreditratingV1</t>
  </si>
  <si>
    <t>Api de proxy que guarda la respuesta de la evaluación de crédito dada por el servicio de historial crediticio el cual es ejecutado por Coppel, puesto que éste vive en sus servidores;, con el fin de que estos datos sean de utilidad en el proceso de evaluación de la solicitud de tarjeta de crédito que está realizando el cliente.</t>
  </si>
  <si>
    <t>https://coppelmx.atlassian.net/wiki/x/QoDVOQ</t>
  </si>
  <si>
    <t>RESMX000866</t>
  </si>
  <si>
    <t>https://coppelmx.atlassian.net/wiki/x/KAA9OQ</t>
  </si>
  <si>
    <t>RESMX000867</t>
  </si>
  <si>
    <t>https://coppelmx.atlassian.net/wiki/x/PYCwOg</t>
  </si>
  <si>
    <t>RESMX000868</t>
  </si>
  <si>
    <t>Servicio de proxy para actualizar la fuente de ingresos y tipo de residencia del cliente en el proceso de Alta de un Cliente Nuevo (Alta Única).</t>
  </si>
  <si>
    <t>https://coppelmx.atlassian.net/wiki/x/IoAkOQ</t>
  </si>
  <si>
    <t>RESMX000869</t>
  </si>
  <si>
    <t>Rec_EvaluateInternalcustomercreditratingV1</t>
  </si>
  <si>
    <t>Api de recepcion que permite recopilar los datos del cliente y solicitud, e información crediticia los cuales se utilizan para el armado de una trama de envío hacia un servicio de coppel que realiza la evaluación del historial crediticio del cliente</t>
  </si>
  <si>
    <t>RESMX000870</t>
  </si>
  <si>
    <t>Rec_InitiateInternalreportingV1</t>
  </si>
  <si>
    <t>Api de recepcion que se encarga de almacenar el detalle del scoring interno.</t>
  </si>
  <si>
    <t>RESMX000871</t>
  </si>
  <si>
    <t>Rec_InitiateInternalcustomercreditratingV1</t>
  </si>
  <si>
    <t>Api de recepcion que guarda la respuesta de la evaluación de crédito dada por el servicio de historial crediticio el cual es ejecutado por Coppel, puesto que éste vive en sus servidores;, con el fin de que estos datos sean de utilidad en el proceso de evaluación de la solicitud de tarjeta de crédito que está realizando el cliente.</t>
  </si>
  <si>
    <t>RESMX000872</t>
  </si>
  <si>
    <t>Servicio de recepcion para el registro de la fuente de ingresos y tipo de residencia del cliente en el proceso de Alta de un Cliente Nuevo (Alta Única).</t>
  </si>
  <si>
    <t>RESMX000873</t>
  </si>
  <si>
    <t>Bus_RetrieveCreditCardPositionV1</t>
  </si>
  <si>
    <t>https://coppelmx.atlassian.net/wiki/x/G4ALQ</t>
  </si>
  <si>
    <t>RESMX000874</t>
  </si>
  <si>
    <t>/v1/onBoardingPartyLocation/update</t>
  </si>
  <si>
    <t>https://coppelmx.atlassian.net/wiki/x/EgADPg</t>
  </si>
  <si>
    <t>RESMX000875</t>
  </si>
  <si>
    <t>RESMX000876</t>
  </si>
  <si>
    <t>Dom_RetrieveCreditCardCashProvisionV1</t>
  </si>
  <si>
    <t>Operación encargada de obtener en el proceso El tarjetahabiente (TH) realiza un retiro de efectivo desde la ventanilla con su TDC. regresa el Porcentaje de Disposición Efectivo y Monto disponible en línea del crédito del cliente</t>
  </si>
  <si>
    <t>https://coppelmx.atlassian.net/wiki/x/pgBlPQ</t>
  </si>
  <si>
    <t>RESMX000877</t>
  </si>
  <si>
    <t>Dom_RetrieveCashAdvanceFeesV1</t>
  </si>
  <si>
    <t>/v1/cashAdvanceFees/retrieve</t>
  </si>
  <si>
    <t>Operación encargada de obtener en el proceso del tarjetahabiente (TH) realiza un retiro de efectivo desde la ventanilla con su TDC. regresa el Porcentaje de Disposición Efectivo y Monto disponible en línea del crédito del cliente</t>
  </si>
  <si>
    <t>https://coppelmx.atlassian.net/wiki/x/WgBnPQ</t>
  </si>
  <si>
    <t>RESMX000878</t>
  </si>
  <si>
    <t>Dom_RetrieveCreditCardDebitStatusV1</t>
  </si>
  <si>
    <t>/v1/creditCardDebitStatus/retrieve</t>
  </si>
  <si>
    <t>Operación utilizada en el proceso El colaborador de BanCoppel visualiza la información del producto Cuando se realiza un pago con tarjeta de crédito se ejecuta el Procedimiento que consulta si el cliente tiene deudas en su tarjeta de crédito ,en dado caso de tener deudas lanza un mensaje de cobranza.</t>
  </si>
  <si>
    <t>https://coppelmx.atlassian.net/wiki/x/KwBrPQ</t>
  </si>
  <si>
    <t>RESMX000879</t>
  </si>
  <si>
    <t>/v1/accessArrangement/activate</t>
  </si>
  <si>
    <t>Servicio de dominio que activa el usuario en la omnicanalidad</t>
  </si>
  <si>
    <t>https://coppelmx.atlassian.net/wiki/x/L4AyPg</t>
  </si>
  <si>
    <t>RESMX000880</t>
  </si>
  <si>
    <t>Dom_ActivateDigitalServiceNumberV1</t>
  </si>
  <si>
    <t>/v1/digitalServiceNumber/activate</t>
  </si>
  <si>
    <t>Servicio de dominio que genera el folio para el proceso de activación de servicios digitales.</t>
  </si>
  <si>
    <t>https://coppelmx.atlassian.net/wiki/x/G4AyPg</t>
  </si>
  <si>
    <t>RESMX000881</t>
  </si>
  <si>
    <t>Dom_RetrieveInternalReportingV1</t>
  </si>
  <si>
    <t>/v1/internalReporting/retrieve</t>
  </si>
  <si>
    <t>Consulta los datos del motor historico de credito del cliente.</t>
  </si>
  <si>
    <t>https://coppelmx.atlassian.net/wiki/x/AwD3PQ</t>
  </si>
  <si>
    <t>RESMX000882</t>
  </si>
  <si>
    <t>Dom_CreateInternalReportingV1</t>
  </si>
  <si>
    <t>/v1/internalReporting/create</t>
  </si>
  <si>
    <t>Operación encargada de replicar el resultado del dictamen de evaluación de la solicitud de crédito para la tarjeta de crédito BanCoppel Visa Clásica</t>
  </si>
  <si>
    <t>https://coppelmx.atlassian.net/wiki/x/AoD5PQ</t>
  </si>
  <si>
    <t>RESMX000883</t>
  </si>
  <si>
    <t>Dom_RetrieveAccountCurrentBalanceV1</t>
  </si>
  <si>
    <t>/v1/accountCurrentBalance/retrieve</t>
  </si>
  <si>
    <t>Api de dominio que se encarga de realizar una consulta del saldo al corte</t>
  </si>
  <si>
    <t>https://coppelmx.atlassian.net/wiki/x/KoCGPQ</t>
  </si>
  <si>
    <t>RESMX000884</t>
  </si>
  <si>
    <t>Dom_RetrieveAccountDelinquentBalanceV1</t>
  </si>
  <si>
    <t>/v1/accountDelinquentBalance/retrieve</t>
  </si>
  <si>
    <t>Api de dominio que se encarga de consultar el saldo vencido que presenta el cliente</t>
  </si>
  <si>
    <t>https://coppelmx.atlassian.net/wiki/x/LYCIPQ</t>
  </si>
  <si>
    <t>RESMX000885</t>
  </si>
  <si>
    <t>Dom_RetrieveRetainedBalanceDetailV1</t>
  </si>
  <si>
    <t>/v1/retainedBalanceDetail/retrieve</t>
  </si>
  <si>
    <t>Api de dominio que se encarga de consultar movimientos de saldo retenido para cuentas de crédito o captación (débito)</t>
  </si>
  <si>
    <t>https://coppelmx.atlassian.net/wiki/x/EQDFPQ</t>
  </si>
  <si>
    <t>RESMX000886</t>
  </si>
  <si>
    <t>Dom_RetrieveAccountStatusV1</t>
  </si>
  <si>
    <t>/v1/accountStatus/retrieve</t>
  </si>
  <si>
    <t>Servicio que permite consultar el estado de la cuenta de un usuario</t>
  </si>
  <si>
    <t>https://coppelmx.atlassian.net/wiki/x/iABvP</t>
  </si>
  <si>
    <t>RESMX000887</t>
  </si>
  <si>
    <t>Dom_RetrieveBankingProductV1</t>
  </si>
  <si>
    <t>/v1/bankingProduct/retrieve</t>
  </si>
  <si>
    <t>Api de dominio que permite consulta de cliente para regresar la información de sus cuentas de cheques, créditos, sistemas de préstamo personal, credinomina y reestructura, además de los datos básicos del Cliente desde la pantalla de consulta de cliente</t>
  </si>
  <si>
    <t>https://coppelmx.atlassian.net/wiki/x/soBzQQ</t>
  </si>
  <si>
    <t>RESMX000888</t>
  </si>
  <si>
    <t>Dom_RetrieveCreditAccountV1</t>
  </si>
  <si>
    <t>/v1/creditAccount/retrieve</t>
  </si>
  <si>
    <t>Api de dominio que permite consulta las cuentas que estén ligadas del cliente en las siguientes tablas</t>
  </si>
  <si>
    <t>https://coppelmx.atlassian.net/wiki/x/A4BzQQ</t>
  </si>
  <si>
    <t>RESMX000889</t>
  </si>
  <si>
    <t>Dom_RetrieveCustomerAccountReportV1</t>
  </si>
  <si>
    <t>/v1/customerAccountReport/retrieve</t>
  </si>
  <si>
    <t>Servicio que permite consultar todas las cuentas del cliente ya sea que tengan situación especial o no</t>
  </si>
  <si>
    <t>https://coppelmx.atlassian.net/wiki/x/DQBnPQ</t>
  </si>
  <si>
    <t>RESMX000890</t>
  </si>
  <si>
    <t>Dom_RetrieveProductInformationCollectionV1</t>
  </si>
  <si>
    <t>/v1/productInformationCollection/retrieve</t>
  </si>
  <si>
    <t>Servicio que permite productos de credito en consulta de productos del cliente en el canal cat</t>
  </si>
  <si>
    <t>https://coppelmx.atlassian.net/wiki/x/AgC9P</t>
  </si>
  <si>
    <t>RESMX000891</t>
  </si>
  <si>
    <t>Dom_RetrieveCustomerProductSummaryV1</t>
  </si>
  <si>
    <t>/v1/customerProductSummary/retrieve</t>
  </si>
  <si>
    <t>Servicio que permite consultar “04_Sist Aclaraciones OfiWeb”, se encarga de buscar el producto de crédito que tiene el cliente en las siguientes tablas sd_maecred, sd_definicion, tarjetacuenta y tarjeta.</t>
  </si>
  <si>
    <t>https://coppelmx.atlassian.net/wiki/x/FACHPQ</t>
  </si>
  <si>
    <t>RESMX000892</t>
  </si>
  <si>
    <t>Dom_RetrieveCustomerCreditProductsV1</t>
  </si>
  <si>
    <t>/v1/customerCreditProducts/retrieve</t>
  </si>
  <si>
    <t>Operacion encargada de buscar productos de creidto en la tabla sd_maecredcrd.</t>
  </si>
  <si>
    <t>https://coppelmx.atlassian.net/wiki/x/CACMPQ</t>
  </si>
  <si>
    <t>RESMX000893</t>
  </si>
  <si>
    <t>/v1/documentService/retrieve</t>
  </si>
  <si>
    <t>Operación que realiza la consulta de la tabla que almacena los metadatos del expediente digital en Informix</t>
  </si>
  <si>
    <t>https://coppelmx.atlassian.net/wiki/x/TIB1QQ</t>
  </si>
  <si>
    <t>RESMX000894</t>
  </si>
  <si>
    <t>/v1/documentService/initiate</t>
  </si>
  <si>
    <t>Operación que realiza la inserción de la tabla que almacena los metadatos del expediente digital en Informix</t>
  </si>
  <si>
    <t>https://coppelmx.atlassian.net/wiki/x/BIBjP</t>
  </si>
  <si>
    <t>RESMX000895</t>
  </si>
  <si>
    <t>/v1/documentService/update</t>
  </si>
  <si>
    <t>Operación que realiza la actualización de la tabla que almacena los metadatos del expediente digital en Informix</t>
  </si>
  <si>
    <t>https://coppelmx.atlassian.net/wiki/x/HIBfP</t>
  </si>
  <si>
    <t>RESMX000896</t>
  </si>
  <si>
    <t>Dom_UpdateFamilyProfileV1</t>
  </si>
  <si>
    <t>/v1/familyProfile/update</t>
  </si>
  <si>
    <t>Servicio de dominio que actualiza la información familiar del prospecto en tabla Application.</t>
  </si>
  <si>
    <t>https://coppelmx.atlassian.net/wiki/x/IgCZOw</t>
  </si>
  <si>
    <t>RESMX000897</t>
  </si>
  <si>
    <t>/v1/housingUnit/retrieve</t>
  </si>
  <si>
    <t>Operación que se realiza para saber si a través del código postal y la colonia ingresada del prospecto, su domicilio pertenece o no a una Unidad Habitacional.</t>
  </si>
  <si>
    <t>https://coppelmx.atlassian.net/wiki/x/DwCcOw</t>
  </si>
  <si>
    <t>RESMX000898</t>
  </si>
  <si>
    <t>Dom_UpdatePartyReferenceDataDirectoryEntryV1</t>
  </si>
  <si>
    <t>/v1/partyReferenceDataDirectoryEntry/update</t>
  </si>
  <si>
    <t>Operación encargada de actualizar una persona física como cliente.</t>
  </si>
  <si>
    <t>RESMX000899</t>
  </si>
  <si>
    <t>Dom_EvaluateCreditProfileV1</t>
  </si>
  <si>
    <t>/v1/creditProfile/evaluate</t>
  </si>
  <si>
    <t>Este servicio realiza la consulta de la eficiencia de pago del cliente en Coppel, con una previa validación de la existencia del cliente BanCoppel en Tienda</t>
  </si>
  <si>
    <t>https://coppelmx.atlassian.net/wiki/x/awAfOw</t>
  </si>
  <si>
    <t>RESMX000900</t>
  </si>
  <si>
    <t>Dom_RetrieveCustomerPositionReportV1</t>
  </si>
  <si>
    <t>/v1/customerPositionReport/retrieve</t>
  </si>
  <si>
    <t>Operación encargada de consutar todos los productos de credito del cliente</t>
  </si>
  <si>
    <t>https://coppelmx.atlassian.net/wiki/x/B4AQOw</t>
  </si>
  <si>
    <t>RESMX000901</t>
  </si>
  <si>
    <t>Dom_RetrieveCheckPointV1</t>
  </si>
  <si>
    <t>/v1/checkPoint/retrieve</t>
  </si>
  <si>
    <t>Api de dominio que permite consultar la tabla de orquestación de procesos, con la finalidad de controlar las orquestaciones y saber el action en el que está una orquestación, para el proceso de paramétrico de APOLO Onboarding.</t>
  </si>
  <si>
    <t>https://coppelmx.atlassian.net/wiki/x/A4DjOg</t>
  </si>
  <si>
    <t>RESMX000902</t>
  </si>
  <si>
    <t>Dom_UpdateCheckPointV1</t>
  </si>
  <si>
    <t>/v1/checkPoint/update</t>
  </si>
  <si>
    <t>Api de dominio que permite actualizar la tabla de orquestación de procesos, con la finalidad de controlar las orquestaciones y saber el action en el que está una orquestación, para el proceso de paramétrico de APOLO Onboarding.</t>
  </si>
  <si>
    <t>RESMX000903</t>
  </si>
  <si>
    <t>Dom_InitiateCheckPointV1</t>
  </si>
  <si>
    <t>/v1/checkPoint/initiate</t>
  </si>
  <si>
    <t>Api de dominio que permite registrar en la tabla de orquestación de procesos, con la finalidad de controlar las orquestaciones y saber el action en el que está una orquestación, para el proceso de paramétrico de APOLO Onboarding.</t>
  </si>
  <si>
    <t>https://coppelmx.atlassian.net/wiki/x/EoDpOg</t>
  </si>
  <si>
    <t>RESMX000904</t>
  </si>
  <si>
    <t>RESMX000905</t>
  </si>
  <si>
    <t>Pro_RetrieveCreditCardCashProvisionV1</t>
  </si>
  <si>
    <t>https://coppelmx.atlassian.net/wiki/x/4wBlOw</t>
  </si>
  <si>
    <t>RESMX000906</t>
  </si>
  <si>
    <t>Pro_RetrieveCashAdvanceFeesV1</t>
  </si>
  <si>
    <t>RESMX000907</t>
  </si>
  <si>
    <t>Pro_RetrieveCreditCardDebitStatusV1</t>
  </si>
  <si>
    <t>https://coppelmx.atlassian.net/wiki/x/DAFbOw</t>
  </si>
  <si>
    <t>RESMX000908</t>
  </si>
  <si>
    <t>Servicio de proxy que activa el usuario en la omnicanalidad</t>
  </si>
  <si>
    <t>https://coppelmx.atlassian.net/wiki/x/JoD9OQ</t>
  </si>
  <si>
    <t>RESMX000909</t>
  </si>
  <si>
    <t>Pro_ActivateDigitalServiceNumberV1</t>
  </si>
  <si>
    <t>Servicio de proxy que genera el folio para el proceso de activación de servicios digitales.</t>
  </si>
  <si>
    <t>https://coppelmx.atlassian.net/wiki/x/OoDqOQ</t>
  </si>
  <si>
    <t>RESMX000910</t>
  </si>
  <si>
    <t>Pro_RetrieveInternalReportingV1</t>
  </si>
  <si>
    <t>https://coppelmx.atlassian.net/wiki/x/MQDROQ</t>
  </si>
  <si>
    <t>RESMX000911</t>
  </si>
  <si>
    <t>Pro_CreateInternalReportingV1</t>
  </si>
  <si>
    <t>Operación encargada de replicar el resultado del dictamen de evaluación de la solicitud de crédito para la tarjeta de crédito BanCoppel Visa Clásica.</t>
  </si>
  <si>
    <t>https://coppelmx.atlassian.net/wiki/x/aYDbOQ</t>
  </si>
  <si>
    <t>RESMX000912</t>
  </si>
  <si>
    <t>Pro_RetrieveAccountCurrentBalanceV1</t>
  </si>
  <si>
    <t>Api de proxy que se encarga de realizar una consulta del saldo al corte</t>
  </si>
  <si>
    <t>https://coppelmx.atlassian.net/wiki/x/RoDWOQ</t>
  </si>
  <si>
    <t>RESMX000913</t>
  </si>
  <si>
    <t>Pro_RetrieveAccountDelinquentBalanceV1</t>
  </si>
  <si>
    <t>Api de proxy que se encarga de consultar el saldo vencido que presenta el cliente</t>
  </si>
  <si>
    <t>https://coppelmx.atlassian.net/wiki/x/GoDbOQ</t>
  </si>
  <si>
    <t>RESMX000914</t>
  </si>
  <si>
    <t>Pro_RetrieveRetainedBalanceDetailV1</t>
  </si>
  <si>
    <t>Api de proxy que se encarga de consultar movimientos de saldo retenido para cuentas de crédito o captación (débito)</t>
  </si>
  <si>
    <t>https://coppelmx.atlassian.net/wiki/x/DYDVOQ</t>
  </si>
  <si>
    <t>RESMX000915</t>
  </si>
  <si>
    <t>Pro_RetrieveBankingProductV1</t>
  </si>
  <si>
    <t>Api de proxy que permite consulta de cliente para regresar la información de sus cuentas de cheques, créditos, sistemas de préstamo personal, credinomina y reestructura, además de los datos básicos del Cliente desde la pantalla de consulta de cliente</t>
  </si>
  <si>
    <t>https://coppelmx.atlassian.net/wiki/x/JYDWOQ</t>
  </si>
  <si>
    <t>RESMX000916</t>
  </si>
  <si>
    <t>Pro_RetrieveCreditAccountV1</t>
  </si>
  <si>
    <t>Api de proxy que permite consulta las cuentas que estén ligadas del cliente en las siguientes tablas</t>
  </si>
  <si>
    <t>https://coppelmx.atlassian.net/wiki/x/CwDXOQ</t>
  </si>
  <si>
    <t>RESMX000917</t>
  </si>
  <si>
    <t>Pro_RetrieveAccountStatusV1</t>
  </si>
  <si>
    <t>https://coppelmx.atlassian.net/wiki/x/MoAtQ</t>
  </si>
  <si>
    <t>RESMX000918</t>
  </si>
  <si>
    <t>Pro_RetrieveCustomerAccountReportV1</t>
  </si>
  <si>
    <t>https://coppelmx.atlassian.net/wiki/x/TQBGQ</t>
  </si>
  <si>
    <t>RESMX000919</t>
  </si>
  <si>
    <t>Pro_RetrieveProductInformationCollectionV1</t>
  </si>
  <si>
    <t>https://coppelmx.atlassian.net/wiki/x/IABzQ</t>
  </si>
  <si>
    <t>RESMX000920</t>
  </si>
  <si>
    <t>Pro_RetrieveCustomerProductSummaryV1</t>
  </si>
  <si>
    <t>https://coppelmx.atlassian.net/wiki/x/YwBwQ</t>
  </si>
  <si>
    <t>RESMX000921</t>
  </si>
  <si>
    <t>Pro_RetrieveCustomerCreditProductsV1</t>
  </si>
  <si>
    <t>https://coppelmx.atlassian.net/wiki/x/I4CGQ</t>
  </si>
  <si>
    <t>RESMX000922</t>
  </si>
  <si>
    <t>https://coppelmx.atlassian.net/wiki/x/BABIQg</t>
  </si>
  <si>
    <t>RESMX000923</t>
  </si>
  <si>
    <t>https://coppelmx.atlassian.net/wiki/x/K4BIQg</t>
  </si>
  <si>
    <t>RESMX000924</t>
  </si>
  <si>
    <t>https://coppelmx.atlassian.net/wiki/x/fIClOQ</t>
  </si>
  <si>
    <t>RESMX000925</t>
  </si>
  <si>
    <t>Pro_UpdateFamilyProfileV1</t>
  </si>
  <si>
    <t>Servicio de proxy que actualiza la información familiar del prospecto en tabla Application.</t>
  </si>
  <si>
    <t>https://coppelmx.atlassian.net/wiki/x/E4DjPg</t>
  </si>
  <si>
    <t>RESMX000926</t>
  </si>
  <si>
    <t>https://coppelmx.atlassian.net/wiki/x/FQDmPg</t>
  </si>
  <si>
    <t>RESMX000927</t>
  </si>
  <si>
    <t>Pro_UpdatePartyReferenceDataDirectoryEntryV1</t>
  </si>
  <si>
    <t>https://coppelmx.atlassian.net/wiki/spaces/GAC/pages/1137836045/RESMX000927_Pro_updatePartyReferenceDataDirectoryEntry</t>
  </si>
  <si>
    <t>RESMX000928</t>
  </si>
  <si>
    <t>Pro_EvaluateCreditProfileV1</t>
  </si>
  <si>
    <t>https://coppelmx.atlassian.net/wiki/x/GAAEOg</t>
  </si>
  <si>
    <t>RESMX000929</t>
  </si>
  <si>
    <t>Pro_RetrieveCustomerPositionReportV1</t>
  </si>
  <si>
    <t>https://coppelmx.atlassian.net/wiki/x/KID1O</t>
  </si>
  <si>
    <t>RESMX000930</t>
  </si>
  <si>
    <t>Pro_RetrieveCheckPointV1</t>
  </si>
  <si>
    <t>Api proxy que permite consultar la tabla de orquestación de procesos, con la finalidad de controlar las orquestaciones y saber el action en el que está una orquestación, para el proceso de paramétrico de APOLO Onboarding.</t>
  </si>
  <si>
    <t>https://coppelmx.atlassian.net/wiki/x/QQIEOQ</t>
  </si>
  <si>
    <t>RESMX000931</t>
  </si>
  <si>
    <t>Pro_UpdateCheckPointV1</t>
  </si>
  <si>
    <t>Api proxy que permite actualizar la tabla de orquestación de procesos, con la finalidad de controlar las orquestaciones y saber el action en el que está una orquestación, para el proceso de paramétrico de APOLO Onboarding.</t>
  </si>
  <si>
    <t>https://coppelmx.atlassian.net/wiki/x/ZwH9O</t>
  </si>
  <si>
    <t>RESMX000932</t>
  </si>
  <si>
    <t>Pro_InitiateCheckPointV1</t>
  </si>
  <si>
    <t>Api proxy que permite registrar en la tabla de orquestación de procesos, con la finalidad de controlar las orquestaciones y saber el action en el que está una orquestación, para el proceso de paramétrico de APOLO Onboarding.</t>
  </si>
  <si>
    <t>https://coppelmx.atlassian.net/wiki/x/BQDyO</t>
  </si>
  <si>
    <t>RESMX000933</t>
  </si>
  <si>
    <t>RESMX000934</t>
  </si>
  <si>
    <t>RESMX000935</t>
  </si>
  <si>
    <t>https://coppelmx.atlassian.net/wiki/x/CYD8QQ</t>
  </si>
  <si>
    <t>RESMX000936</t>
  </si>
  <si>
    <t>https://coppelmx.atlassian.net/wiki/x/AgAFQg</t>
  </si>
  <si>
    <t>RESMX000937</t>
  </si>
  <si>
    <t>https://coppelmx.atlassian.net/wiki/x/AoAHQg</t>
  </si>
  <si>
    <t>RESMX000938</t>
  </si>
  <si>
    <t>RESMX000939</t>
  </si>
  <si>
    <t>Rec_RegisterIssuedDeviceAllocationV1</t>
  </si>
  <si>
    <t>RESMX000940</t>
  </si>
  <si>
    <t>RESMX000941</t>
  </si>
  <si>
    <t>https://coppelmx.atlassian.net/wiki/x/FgBeO</t>
  </si>
  <si>
    <t>RESMX000942</t>
  </si>
  <si>
    <t>https://coppelmx.atlassian.net/wiki/x/FoAQO</t>
  </si>
  <si>
    <t>RESMX000943</t>
  </si>
  <si>
    <t>Rec_ExchangeCreditCardV1</t>
  </si>
  <si>
    <t>/experience/cards</t>
  </si>
  <si>
    <t>/v1/creditCard/exchange</t>
  </si>
  <si>
    <t>API de recepción que realiza el cambio de estado de una tarjeta de crédito en Informix y SmartVista.</t>
  </si>
  <si>
    <t>Invalid Service Domain value "Cards" in name of directory.
 Invalid Service Domain value "Cards" in name of specification.
 Invalid Business Area value "cards", in the path "/experience/cards".</t>
  </si>
  <si>
    <t>https://coppelmx.atlassian.net/wiki/x/HYAKPw</t>
  </si>
  <si>
    <t>RESMX000944</t>
  </si>
  <si>
    <t>API de recepción que consulta los movimientos de una tarjeta de crédito en Informix y SmartVista.</t>
  </si>
  <si>
    <t>https://coppelmx.atlassian.net/wiki/x/CwAiPw</t>
  </si>
  <si>
    <t>RESMX000945</t>
  </si>
  <si>
    <t>Rec_RetrieveBranchTransactionV1</t>
  </si>
  <si>
    <t>/experience/channelSpecific</t>
  </si>
  <si>
    <t>/v1/branchTransaction/retrieve</t>
  </si>
  <si>
    <t>Servicio de experiencia encargado de consultar las transacciones de una sucursal para Informix y SmartVista.</t>
  </si>
  <si>
    <t>Invalid Service Domain value "Channel Specific" in name of directory.
 Invalid Service Domain value "Channel Specific" in name of specification.
 Invalid Business Area value "channelSpecific", in the path "/experience/channelSpecific".</t>
  </si>
  <si>
    <t>https://coppelmx.atlassian.net/wiki/x/BYANPw</t>
  </si>
  <si>
    <t>RESMX000946</t>
  </si>
  <si>
    <t>Rec_UpdateChargeBackV1</t>
  </si>
  <si>
    <t>/experience/servicing</t>
  </si>
  <si>
    <t>/v1/chargeBack/update</t>
  </si>
  <si>
    <t>Servicio de recepción que se encarga de aplicar el dictamen de la aclaración para un producto de crédito</t>
  </si>
  <si>
    <t>Invalid Service Domain value "Servicing" in name of directory.
 Invalid Service Domain value "Servicing" in name of specification.
 Invalid Business Area value "servicing", in the path "/experience/servicing".</t>
  </si>
  <si>
    <t>https://coppelmx.atlassian.net/wiki/x/SYDfPg</t>
  </si>
  <si>
    <t>RESMX000947</t>
  </si>
  <si>
    <t>Bus_ExchangeCreditCardV1</t>
  </si>
  <si>
    <t>/cards</t>
  </si>
  <si>
    <t>API de Negocio que realiza el cambio de estado de una tarjeta de crédito en Informix y SmartVista.</t>
  </si>
  <si>
    <t>https://coppelmx.atlassian.net/wiki/x/FYARPw</t>
  </si>
  <si>
    <t>RESMX000948</t>
  </si>
  <si>
    <t>Bus_RetrieveCardTransactionV1</t>
  </si>
  <si>
    <t>API de Negocio que consulta los movimientos de una tarjeta de crédito en Informix y SmartVista.</t>
  </si>
  <si>
    <t>https://coppelmx.atlassian.net/wiki/x/JAAUPw</t>
  </si>
  <si>
    <t>RESMX000949</t>
  </si>
  <si>
    <t>Bus_RetrieveBranchTransactionV1</t>
  </si>
  <si>
    <t>/channelSpecific</t>
  </si>
  <si>
    <t>Servicio de negocio encargado de consultar las transacciones de una sucursal para Informix y SmartVista.</t>
  </si>
  <si>
    <t>https://coppelmx.atlassian.net/wiki/x/CgAUPw</t>
  </si>
  <si>
    <t>RESMX000950</t>
  </si>
  <si>
    <t>Bus_UpdateChargeBackV1</t>
  </si>
  <si>
    <t>/servicing</t>
  </si>
  <si>
    <t>Servicio de negocio que se encarga de aplicar el dictamen de la aclaración para un producto de crédito</t>
  </si>
  <si>
    <t>Invalid Business Area value "Servicing" in name of directory.
 Invalid Business Area value "Servicing" in name of specification.
 Invalid Business Area Path "servicing" in base path /servicing.</t>
  </si>
  <si>
    <t>https://coppelmx.atlassian.net/wiki/x/YYBaQg</t>
  </si>
  <si>
    <t>RESMX000951</t>
  </si>
  <si>
    <t>Dom_RetrieveBranchTransactionV1</t>
  </si>
  <si>
    <t>Servicio de dominio que se encarga de consultar los movimientos de préstamos en una sucursal</t>
  </si>
  <si>
    <t>https://coppelmx.atlassian.net/wiki/x/SQB9PQ</t>
  </si>
  <si>
    <t>RESMX000952</t>
  </si>
  <si>
    <t>Dom_ExchangeIssuedDeviceV1</t>
  </si>
  <si>
    <t>/v1/issuedDevice/exchange</t>
  </si>
  <si>
    <t>Servicio de dominio que se encarga de desbloquear una tarjeta de crédito</t>
  </si>
  <si>
    <t>RESMX000953</t>
  </si>
  <si>
    <t>Dom_ExchangeCreditLineFacilityV1</t>
  </si>
  <si>
    <t>/tradeBanking/creditFacility</t>
  </si>
  <si>
    <t>/v1/creditLineFacility/exchange</t>
  </si>
  <si>
    <t>Servicio de dominio que se encarga de desbloquear un producto de crédito</t>
  </si>
  <si>
    <t>https://coppelmx.atlassian.net/wiki/x/SIBIQg</t>
  </si>
  <si>
    <t>RESMX000954</t>
  </si>
  <si>
    <t>Pro_RetrieveBranchTransactionV1</t>
  </si>
  <si>
    <t>Servicio de proxy que se encarga de consultar los movimientos de préstamos en una sucursal</t>
  </si>
  <si>
    <t>https://coppelmx.atlassian.net/wiki/x/WIBwQQ</t>
  </si>
  <si>
    <t>RESMX000955</t>
  </si>
  <si>
    <t>Pro_ExchangeIssuedDeviceV1</t>
  </si>
  <si>
    <t>Servicio de proxy que se encarga de desbloquear una tarjeta de crédito</t>
  </si>
  <si>
    <t>RESMX000956</t>
  </si>
  <si>
    <t>Pro_ExchangeCreditLineFacilityV1</t>
  </si>
  <si>
    <t>/system/tradeBanking/creditFacility</t>
  </si>
  <si>
    <t>Servicio de proxy que se encarga de desbloquear un producto de crédito</t>
  </si>
  <si>
    <t>RESMX000957</t>
  </si>
  <si>
    <t>Bus_RetrieveProductInformationV1</t>
  </si>
  <si>
    <t>/crossProductOperations</t>
  </si>
  <si>
    <t>/v1/productInformation/retrieve</t>
  </si>
  <si>
    <t>Operación de realizar la consulta de información de productos del cliente (información básica del producto) relacionado a la base de datos Informix y el core SmartVista para el proceso “Consultar productos” en los canales de BanCoppel.</t>
  </si>
  <si>
    <t>Invalid Business Area value "Cross Product Operations" in name of directory.\nInvalid Business Area value "Cross Product Operations" in name of specification.\nInvalid Business Area Path "crossProductOperations" in base path /crossProductOperations.</t>
  </si>
  <si>
    <t>https://coppelmx.atlassian.net/wiki/x/L4DdPg</t>
  </si>
  <si>
    <t>RESMX000958</t>
  </si>
  <si>
    <t>Bus_ExecuteCustomerCreditRatingV1</t>
  </si>
  <si>
    <t>Operación encargada de la orquestación de los procesos encargados de la aceptación, consumo y registro de la respuesta a la consulta de las Sociedades de Información Crediticia</t>
  </si>
  <si>
    <t>https://coppelmx.atlassian.net/wiki/x/KgDhPg</t>
  </si>
  <si>
    <t>RESMX000959</t>
  </si>
  <si>
    <t>Bus_CreateAccountBalanceDetailsV1</t>
  </si>
  <si>
    <t>/v1/accountBalanceDetails/create</t>
  </si>
  <si>
    <t>Api de negocio encargado de realizar la consulta de saldos de los diferentes canales</t>
  </si>
  <si>
    <t>https://coppelmx.atlassian.net/wiki/x/IgACPw</t>
  </si>
  <si>
    <t>RESMX000960</t>
  </si>
  <si>
    <t>Rec_RetrieveProductInformationV1</t>
  </si>
  <si>
    <t>/experience/crossProductOperations</t>
  </si>
  <si>
    <t>Invalid Service Domain value "Cross Product Operations" in name of directory.\nInvalid Service Domain value "Cross Product Operations" in name of specification.\nInvalid Business Area value "crossProductOperations", in the path "/experience/crossProductOperations".</t>
  </si>
  <si>
    <t>https://coppelmx.atlassian.net/wiki/x/doDfPg</t>
  </si>
  <si>
    <t>RESMX000961</t>
  </si>
  <si>
    <t>Rec_ExecuteCustomerCreditRatingV1</t>
  </si>
  <si>
    <t>Operación encargada de ejecutar el step 23 de la app</t>
  </si>
  <si>
    <t>https://coppelmx.atlassian.net/wiki/x/KYDTO</t>
  </si>
  <si>
    <t>RESMX000962</t>
  </si>
  <si>
    <t>Rec_CreateAccountBalanceDetailsV1</t>
  </si>
  <si>
    <t>Api de recepción encargado de realizar la consulta de saldos de los diferentes canales</t>
  </si>
  <si>
    <t>https://coppelmx.atlassian.net/wiki/x/wADnPg</t>
  </si>
  <si>
    <t>RESMX000963</t>
  </si>
  <si>
    <t>/v1/applicationManagement/initiate</t>
  </si>
  <si>
    <t>Operación encargada de la orquestación de los procesos encargados de la generación y alta de la solicitud de tarjeta de crédito para el cliente.</t>
  </si>
  <si>
    <t>Invalid Business Area value "Cards" in name of directory.\nInvalid Business Area value "Cards" in name of specification.\nInvalid Business Area Path "cards" in base path /cards.</t>
  </si>
  <si>
    <t>https://coppelmx.atlassian.net/wiki/x/D4DfPg</t>
  </si>
  <si>
    <t>RESMX000964</t>
  </si>
  <si>
    <t>Bus_CreateCreditCardApplicationV1</t>
  </si>
  <si>
    <t>/v1/creditCardApplication/create</t>
  </si>
  <si>
    <t>Operación encargada de crear el cliente, tarjeta, y establecer el límite de una tarjeta de crédito..</t>
  </si>
  <si>
    <t>https://coppelmx.atlassian.net/wiki/x/DIBrPw</t>
  </si>
  <si>
    <t>RESMX000965</t>
  </si>
  <si>
    <t>Bus_RetrieveCardInformationV1</t>
  </si>
  <si>
    <t>/v1/cardInformation/retrieve</t>
  </si>
  <si>
    <t>RESMX000966</t>
  </si>
  <si>
    <t>Rec_InitiateApplicationManagementV1</t>
  </si>
  <si>
    <t>Invalid Service Domain value "Cards" in name of directory.\nInvalid Service Domain value "Cards" in name of specification.\nInvalid Business Area value "cards", in the path "/experience/cards".</t>
  </si>
  <si>
    <t>https://coppelmx.atlassian.net/wiki/x/CoD5O</t>
  </si>
  <si>
    <t>RESMX000967</t>
  </si>
  <si>
    <t>Rec_CreateCreditCardApplicationV1</t>
  </si>
  <si>
    <t>API de recepción encargada de crear el cliente, tarjeta, y establecer el límite de una tarjeta de crédito.</t>
  </si>
  <si>
    <t>https://coppelmx.atlassian.net/wiki/x/FgD3O</t>
  </si>
  <si>
    <t>Deprecated</t>
  </si>
  <si>
    <t>RESMX000968</t>
  </si>
  <si>
    <t>Rec_RetrieveCardInformationV1</t>
  </si>
  <si>
    <t>https://coppelmx.atlassian.net/wiki/x/DwAjPw</t>
  </si>
  <si>
    <t>RESMX000969</t>
  </si>
  <si>
    <t>Pro_RetrieveDataParameterRetailV1</t>
  </si>
  <si>
    <t>https://coppelmx.atlassian.net/wiki/x/CQD1O</t>
  </si>
  <si>
    <t>RESMX000970</t>
  </si>
  <si>
    <t>Dom_UpdateIncomeProfileV1</t>
  </si>
  <si>
    <t>RESMX000971</t>
  </si>
  <si>
    <t>Bus_EvaluatePartyProfileV1</t>
  </si>
  <si>
    <t>/customerManagement</t>
  </si>
  <si>
    <t>/v1/partyProfile/evaluate</t>
  </si>
  <si>
    <t>Operación encargada de realizar la evaluación del perfil del prospecto.</t>
  </si>
  <si>
    <t>Invalid Business Area value "Customer Management" in name of directory.\nInvalid Business Area value "Customer Management" in name of specification.\nInvalid Business Area Path "customerManagement" in base path /customerManagement.</t>
  </si>
  <si>
    <t>https://coppelmx.atlassian.net/wiki/x/FgAIQ</t>
  </si>
  <si>
    <t>RESMX000972</t>
  </si>
  <si>
    <t>Bus_ActivateOnBoardingCreditCardWelcomeKitV1</t>
  </si>
  <si>
    <t>/v1/onBoardingCreditCardWelcomeKit/activate</t>
  </si>
  <si>
    <t>Servicio de negocio encargado de recuperar los contratos y adjuntarlos para enviar un correo electrónico de Welcome Kit al prospecto.</t>
  </si>
  <si>
    <t>https://coppelmx.atlassian.net/wiki/x/A4AtQ</t>
  </si>
  <si>
    <t>RESMX000973</t>
  </si>
  <si>
    <t>Bus_ExecuteOnBoardingPartyDigitalServiceV1</t>
  </si>
  <si>
    <t>/v1/onBoardingPartyDigitalService/execute</t>
  </si>
  <si>
    <t>Servicio de negocio encargado de iniciar el proceso de servicios digitales.</t>
  </si>
  <si>
    <t>https://coppelmx.atlassian.net/wiki/x/DAA0Q</t>
  </si>
  <si>
    <t>RESMX000974</t>
  </si>
  <si>
    <t>Bus_CreateCustomerRelationshipInvolvementV1</t>
  </si>
  <si>
    <t>/v1/customerRelationshipInvolvement/create</t>
  </si>
  <si>
    <t>https://coppelmx.atlassian.net/wiki/x/BQAvQ</t>
  </si>
  <si>
    <t>RESMX000975</t>
  </si>
  <si>
    <t>Bus_ExecuteInternalReportingV1</t>
  </si>
  <si>
    <t>/v1/internalReporting/execute</t>
  </si>
  <si>
    <t>Servicio de negocio encargado de realizar el registro de los datos paramétricos del cliente solicitante del crédito para la evaluación de la solicitud.</t>
  </si>
  <si>
    <t>https://coppelmx.atlassian.net/wiki/x/BIAyQ</t>
  </si>
  <si>
    <t>RESMX000976</t>
  </si>
  <si>
    <t>Bus_CreateCustomerRelationshipInvolvementPepV1</t>
  </si>
  <si>
    <t>/v1/customerRelationshipInvolvementPep/create</t>
  </si>
  <si>
    <t>Servicio encargado de realizar el registro de la informacion PEP del cliente .</t>
  </si>
  <si>
    <t>https://coppelmx.atlassian.net/wiki/x/FYA3Q</t>
  </si>
  <si>
    <t>RESMX000977</t>
  </si>
  <si>
    <t>/operationalServices</t>
  </si>
  <si>
    <t>/v1/accessArrangement/initiate</t>
  </si>
  <si>
    <t>Servicio de negocio que activa el usuario en la omnicanalidad</t>
  </si>
  <si>
    <t>Invalid Business Area value "Operational Services" in name of directory.\nInvalid Business Area value "Operational Services" in name of specification.\nInvalid Business Area Path "operationalServices" in base path /operationalServices.</t>
  </si>
  <si>
    <t>https://coppelmx.atlassian.net/wiki/x/FAAtQ</t>
  </si>
  <si>
    <t>RESMX000979</t>
  </si>
  <si>
    <t>Bus_ExecuteInternalcustomercreditratingV1</t>
  </si>
  <si>
    <t>/v1/internalCustomerCreditRating/execute</t>
  </si>
  <si>
    <t>Servicio de negocio encargado de realizar la evaluaciÃ³n de scoring del cliente solicitante del crÃ©dito</t>
  </si>
  <si>
    <t>https://coppelmx.atlassian.net/wiki/x/BgDmPg</t>
  </si>
  <si>
    <t>RESMX000980</t>
  </si>
  <si>
    <t>Bus_InitiateCreditcardchargetransactionV1</t>
  </si>
  <si>
    <t>/v1/creditCardChargeTransaction/initiate</t>
  </si>
  <si>
    <t>OperaciÃ³n que realiza la inserciÃ³n de movimiento cargo de crÃ©dito por disposiciÃ³n u compra, en los canales de BanCoppel adicional realizar una operaciÃ³n que debita o remueve fondos de una tarjeta en SmartVista.</t>
  </si>
  <si>
    <t>https://coppelmx.atlassian.net/wiki/x/QQByPw</t>
  </si>
  <si>
    <t>RESMX000981</t>
  </si>
  <si>
    <t>Bus_InitiateCreditpaymentarrangementV1</t>
  </si>
  <si>
    <t>/v1/creditPaymentArrangement/initiate</t>
  </si>
  <si>
    <t>OperaciÃ³n que se encarga de realizar la inserciÃ³n del registro de movimiento de pago/abono de crÃ©dito y actualizaciÃ³n de saldos en los canales de BanCoppel, adicional realizar una OperaciÃ³n de crÃ©dito (aÃ±ade fondos a una tarjeta) en smartVista.</t>
  </si>
  <si>
    <t>https://coppelmx.atlassian.net/wiki/x/B4DRPw</t>
  </si>
  <si>
    <t>RESMX000982</t>
  </si>
  <si>
    <t>Bus_InitiatePaymentOrderManagementProcedureV1</t>
  </si>
  <si>
    <t>/payments</t>
  </si>
  <si>
    <t>/v1/paymentOrderManagementProcedure/initiate</t>
  </si>
  <si>
    <t>Esta operaciÃ³n realiza el proceso de reversiÃ³n de operaciones, se encarga de validar el tipo de transacciÃ³n y realizar el reverso de la transacciÃ³n a nivel central.</t>
  </si>
  <si>
    <t>RESMX000983</t>
  </si>
  <si>
    <t>Bus_RetrieveCreditaccounttransactionV1</t>
  </si>
  <si>
    <t>/v1/creditAccountTransaction/retrieve</t>
  </si>
  <si>
    <t>OperaciÃ³n que se encarga de consultar los movimientos realizados en la cuenta de tarjeta de crÃ©dito del cliente, proceso en el cual se extrae el historial de transacciones de un periodo de tiempo determinado.Los cuales se encuentran relacionado a la base de datos Informix y el core SmartVista</t>
  </si>
  <si>
    <t>https://coppelmx.atlassian.net/wiki/x/EYDNPw</t>
  </si>
  <si>
    <t>RESMX000984</t>
  </si>
  <si>
    <t>Bus_RetrieveTransactionarrangementV1</t>
  </si>
  <si>
    <t>/productSpecificFulfillment</t>
  </si>
  <si>
    <t>/v1/transactionArrangement/retrieve</t>
  </si>
  <si>
    <t>API en la que se realiza la convivencia con la funcionalidad de transacciÃ³n 21 (usada para verificar la existencia de un descuadre de caja-central) del dÃ­a</t>
  </si>
  <si>
    <t>RESMX000985</t>
  </si>
  <si>
    <t>Dom_ExecuteInternalreportingV1</t>
  </si>
  <si>
    <t>OperaciÃ³n encargada de ejecutar el motor de evaluacion sobre  la solicitud de crÃ©dito para la tarjeta de crÃ©dito BanCoppel Visa ClÃ¡sica</t>
  </si>
  <si>
    <t>https://coppelmx.atlassian.net/wiki/x/xICFQ</t>
  </si>
  <si>
    <t>RESMX000986</t>
  </si>
  <si>
    <t>Dom_InitiateClarificationrequestV1</t>
  </si>
  <si>
    <t>/v1/clarificationRequest/initiate</t>
  </si>
  <si>
    <t>OperaciÃ³n encargada de aplicar el dictamen de la aclaraciÃ³n en tipo de producto crÃ©dito, en el flujo de alta de una aclaraciÃ³n en el canal Corporativo y sucursal.</t>
  </si>
  <si>
    <t>https://coppelmx.atlassian.net/wiki/x/MwBJQg</t>
  </si>
  <si>
    <t>RESMX000987</t>
  </si>
  <si>
    <t>Dom_InitiateCreditcardwithdrawalsV1</t>
  </si>
  <si>
    <t>/v1/creditCardWithdrawals/initiate</t>
  </si>
  <si>
    <t>Servicio de dominio que guarda la solicitud de un producto de tarjeta de crÃ©dito en la tabla Application.</t>
  </si>
  <si>
    <t>https://coppelmx.atlassian.net/wiki/x/MQBIQg</t>
  </si>
  <si>
    <t>RESMX000988</t>
  </si>
  <si>
    <t>Dom_InitiateTransactioncaptureV1</t>
  </si>
  <si>
    <t>/operationalServices/cardTransactionSwitch</t>
  </si>
  <si>
    <t>/v1/transactionCapture/initiate</t>
  </si>
  <si>
    <t>Esta API se encarga de reversar un Uturno.</t>
  </si>
  <si>
    <t>https://coppelmx.atlassian.net/wiki/x/SgBfQg</t>
  </si>
  <si>
    <t>RESMX000989</t>
  </si>
  <si>
    <t>Dom_InitiateTransactionreversalinstancerecordV1</t>
  </si>
  <si>
    <t>RESMX000990</t>
  </si>
  <si>
    <t>Dom_RetrieveCardpaymentserviceV1</t>
  </si>
  <si>
    <t>/v1/cardPaymentService/retrieve</t>
  </si>
  <si>
    <t>OperaciÃ³n que se encarga de hacer la bÃºsqueda de movimientos en las tablas correspondientes a CrÃ©dito Coppel Masterd Card.</t>
  </si>
  <si>
    <t>https://coppelmx.atlassian.net/wiki/x/YoBIQg</t>
  </si>
  <si>
    <t>RESMX000991</t>
  </si>
  <si>
    <t>Dom_RetrieveCardpaymenttransactionV1</t>
  </si>
  <si>
    <t>/v1/cardPaymentTransaction/retrieve</t>
  </si>
  <si>
    <t>OperaciÃ³n que se encarga de retornar los registros de las compras que tiene el cliente a meses sin intereses con determinada tarjeta de crÃ©dito</t>
  </si>
  <si>
    <t>https://coppelmx.atlassian.net/wiki/x/CgBTQg</t>
  </si>
  <si>
    <t>RESMX000992</t>
  </si>
  <si>
    <t>Dom_RetrievePartyreferencedatadirectoryentrycollectionV1</t>
  </si>
  <si>
    <t>/v1/partyReferenceDataDirectoryEntryCollection/retrieve</t>
  </si>
  <si>
    <t>Este servicio realiza la consulta de la lista de informaciÃ³n de los clientes</t>
  </si>
  <si>
    <t>https://coppelmx.atlassian.net/wiki/x/CABZOw</t>
  </si>
  <si>
    <t>RESMX000993</t>
  </si>
  <si>
    <t>OperaciÃ³n encargado obtener los pagos de prÃ©stamo personal, pago de anticipo y los pagos de reestructura para obtener el total de pagos de este proceso de totales de computador para la transacciÃ³n 21</t>
  </si>
  <si>
    <t>https://coppelmx.atlassian.net/wiki/x/l4CMQ</t>
  </si>
  <si>
    <t>RESMX000994</t>
  </si>
  <si>
    <t>Pro_ExecuteInternalreportingV1</t>
  </si>
  <si>
    <t>https://coppelmx.atlassian.net/wiki/x/MgDdOQ</t>
  </si>
  <si>
    <t>RESMX000995</t>
  </si>
  <si>
    <t>Pro_InitiateClarificationrequestV1</t>
  </si>
  <si>
    <t>https://coppelmx.atlassian.net/wiki/x/EgByQQ</t>
  </si>
  <si>
    <t>RESMX000996</t>
  </si>
  <si>
    <t>Pro_InitiateCreditcardwithdrawalsV1</t>
  </si>
  <si>
    <t>Servicio de Proxy que guarda la solicitud de un producto de tarjeta de crÃ©dito en la tabla Application.</t>
  </si>
  <si>
    <t>https://coppelmx.atlassian.net/wiki/x/LAByQQ</t>
  </si>
  <si>
    <t>RESMX000997</t>
  </si>
  <si>
    <t>Pro_InitiateTransactioncaptureV1</t>
  </si>
  <si>
    <t>/system/operationalServices/cardTransactionSwitch</t>
  </si>
  <si>
    <t>https://coppelmx.atlassian.net/wiki/x/ZgByQQ</t>
  </si>
  <si>
    <t>RESMX000998</t>
  </si>
  <si>
    <t>Pro_InitiateTransactionreversalinstancerecordV1</t>
  </si>
  <si>
    <t>https://coppelmx.atlassian.net/wiki/x/DIDtPw</t>
  </si>
  <si>
    <t>RESMX000999</t>
  </si>
  <si>
    <t>Pro_RetrieveCardpaymentserviceV1</t>
  </si>
  <si>
    <t>https://coppelmx.atlassian.net/wiki/x/YABtQQ</t>
  </si>
  <si>
    <t>RESMX001000</t>
  </si>
  <si>
    <t>Pro_RetrieveCardpaymenttransactionV1</t>
  </si>
  <si>
    <t>https://coppelmx.atlassian.net/wiki/x/cABtQQ</t>
  </si>
  <si>
    <t>RESMX001001</t>
  </si>
  <si>
    <t>Pro_RetrievePartyreferencedatadirectoryentrycollectionV1</t>
  </si>
  <si>
    <t>https://coppelmx.atlassian.net/wiki/x/doBoPw</t>
  </si>
  <si>
    <t>RESMX001002</t>
  </si>
  <si>
    <t>https://coppelmx.atlassian.net/wiki/x/LYA2Q</t>
  </si>
  <si>
    <t>RESMX001003</t>
  </si>
  <si>
    <t>Rec_ExecuteInternalcustomercreditratingV1</t>
  </si>
  <si>
    <t>/experience/customerManagement</t>
  </si>
  <si>
    <t>Servicio de recepciÃ³n encargado de realizar la evaluaciÃ³n de scoring del cliente solicitante del crÃ©dito</t>
  </si>
  <si>
    <t>https://coppelmx.atlassian.net/wiki/x/FoDMO</t>
  </si>
  <si>
    <t>RESMX001004</t>
  </si>
  <si>
    <t>Rec_InitiateCreditcardchargetransactionV1</t>
  </si>
  <si>
    <t>https://coppelmx.atlassian.net/wiki/x/OgAiPw</t>
  </si>
  <si>
    <t>RESMX001005</t>
  </si>
  <si>
    <t>Rec_InitiateCreditpaymentarrangementV1</t>
  </si>
  <si>
    <t>https://coppelmx.atlassian.net/wiki/x/OIAkPw</t>
  </si>
  <si>
    <t>RESMX001006</t>
  </si>
  <si>
    <t>Rec_InitiatePaymentordermanagementprocedureV1</t>
  </si>
  <si>
    <t>/experience/payments</t>
  </si>
  <si>
    <t>RESMX001007</t>
  </si>
  <si>
    <t>Rec_RetrieveCreditaccounttransactionV1</t>
  </si>
  <si>
    <t>Operación que se encarga de consultar los movimientos realizados en la cuenta de tarjeta de crédito del cliente, proceso en el cual se extrae el historial de transacciones de un periodo de tiempo determinado.Los cuales se encuentran relacionado a la base de datos Informix y el core SmartVista</t>
  </si>
  <si>
    <t>https://coppelmx.atlassian.net/wiki/x/DoDwO</t>
  </si>
  <si>
    <t>RESMX001008</t>
  </si>
  <si>
    <t>Rec_RetrieveTransactionarrangementV1</t>
  </si>
  <si>
    <t>/experience/productSpecificFulfillment</t>
  </si>
  <si>
    <t>Api de recepciÃ³n encargado de realizar la consulta de saldos de los diferentes canales</t>
  </si>
  <si>
    <t>https://coppelmx.atlassian.net/wiki/x/jwDnPg</t>
  </si>
  <si>
    <t>BUSINESS RULE</t>
  </si>
  <si>
    <t>RESMX001009</t>
  </si>
  <si>
    <t>Rec_EvaluateactiveRequestBrV1</t>
  </si>
  <si>
    <t>/businessRule/customerManagement/customerProductAndServiceEligibility</t>
  </si>
  <si>
    <t>/v1/br/evaluateActiveRequest</t>
  </si>
  <si>
    <t>Api de recepción que ejecuta la regla para validar si una fecha de solicitud se encuentra en el rango de tiempo permitido para continuar con el proceso.</t>
  </si>
  <si>
    <t>Invalid Service Domain value "BR Customer Product And Service Eligibility" in name of directory.\nInvalid Service Domain value "BR Customer Product And Service Eligibility" in name of specification.\nThe API Name Type is "RECEPTION" but the API Type from path is "BUSINESS".\nInvalid start base path value "businessRule", require start with "experience".\nInvalid Business Area value "businessRule", in the path "/businessRule/customerManagement/customerProductAndServiceEligibility".\nInvalid action term value "evaluateActiveRequest" in enpoint path /v1/br/evaluateActiveRequest\nInvalid Action Term "undefined" for HTTP method "POST". For Action Term "undefined" use "undefined"</t>
  </si>
  <si>
    <t>RESMX001010</t>
  </si>
  <si>
    <t>Rec_EvaluateRejectedRequestBrV1</t>
  </si>
  <si>
    <t>/v1/br/evaluateRejectedRequest</t>
  </si>
  <si>
    <t>Api de recepción que ejecuta la regla para validar si una fecha de rechazo se encuentra en el rango de tiempo permitido para volver a generar una nueva solicitud.</t>
  </si>
  <si>
    <t>Invalid Service Domain value "BR Customer Product And Service Eligibility" in name of directory.\nInvalid Service Domain value "BR Customer Product And Service Eligibility" in name of specification.\nThe API Name Type is "RECEPTION" but the API Type from path is "BUSINESS".\nInvalid start base path value "businessRule", require start with "experience".\nInvalid Business Area value "businessRule", in the path "/businessRule/customerManagement/customerProductAndServiceEligibility".\nInvalid action term value "evaluateRejectedRequest" in enpoint path /v1/br/evaluateRejectedRequest\nInvalid Action Term "undefined" for HTTP method "POST". For Action Term "undefined" use "undefined"</t>
  </si>
  <si>
    <t>RESMX001011</t>
  </si>
  <si>
    <t>Rec_EvaluateAddressBrV1</t>
  </si>
  <si>
    <t>/businessRule/marketData/locationDataManagement</t>
  </si>
  <si>
    <t>/v1/br/evaluateAddress</t>
  </si>
  <si>
    <t>Regla encargada de evaluar si una dirección requiere campos adicionales</t>
  </si>
  <si>
    <t>Invalid Service Domain value "BR Location Data Management" in name of directory.\nInvalid Service Domain value "BR Location Data Management" in name of specification.\nThe API Name Type is "RECEPTION" but the API Type from path is "BUSINESS".\nInvalid start base path value "businessRule", require start with "experience".\nInvalid Business Area value "businessRule", in the path "/businessRule/marketData/locationDataManagement".\nInvalid action term value "evaluateAddress" in enpoint path /v1/br/evaluateAddress\nInvalid Action Term "undefined" for HTTP method "POST". For Action Term "undefined" use "undefined"</t>
  </si>
  <si>
    <t>RESMX001012</t>
  </si>
  <si>
    <t>Rec_evaluateFullAddressBrV1</t>
  </si>
  <si>
    <t>/v1/evaluateFullAddress</t>
  </si>
  <si>
    <t>Invalid Service Domain value "BR Location Data Management" in name of directory.\nInvalid Service Domain value "BR Location Data Management" in name of specification.\nThe API Name Type is "RECEPTION" but the API Type from path is "BUSINESS".\nInvalid start base path value "businessRule", require start with "experience".\nInvalid Business Area value "businessRule", in the path "/businessRule/marketData/locationDataManagement".\nInvalid Path Version "undefined".\nInvalid action term value "undefined" in enpoint path /v1/evaluateFullAddress\nInvalid Action Term "undefined" for HTTP method "POST". For Action Term "undefined" use "undefined"</t>
  </si>
  <si>
    <t>RESMX001013</t>
  </si>
  <si>
    <t>Rec_evaluateAgeBrV1</t>
  </si>
  <si>
    <t>/businessRule/customerManagement/partyReferenceDataDirectory</t>
  </si>
  <si>
    <t>/v1/evaluateAge</t>
  </si>
  <si>
    <t>Regla encargada de evaluar la edad de una persona mayor a 18 y menor a 75.</t>
  </si>
  <si>
    <t>Invalid Service Domain value "BR Party Reference Data Directory" in name of directory.\nInvalid Service Domain value "BR Party Reference Data Directory" in name of specification.\nThe API Name Type is "RECEPTION" but the API Type from path is "BUSINESS".\nInvalid start base path value "businessRule", require start with "experience".\nInvalid Business Area value "businessRule", in the path "/businessRule/customerManagement/partyReferenceDataDirectory".\nInvalid Path Version "undefined".\nInvalid action term value "undefined" in enpoint path /v1/evaluateAge\nInvalid Action Term "undefined" for HTTP method "POST". For Action Term "undefined" use "undefined"</t>
  </si>
  <si>
    <t>RESMX001014</t>
  </si>
  <si>
    <t>Rec_evaluateMaritalStatusBrV1</t>
  </si>
  <si>
    <t>/v1/evaluateMaritalStatus</t>
  </si>
  <si>
    <t>Regla encargada de evaluar el estado civil.</t>
  </si>
  <si>
    <t>Invalid Service Domain value "BR Party Reference Data Directory" in name of directory.\nInvalid Service Domain value "BR Party Reference Data Directory" in name of specification.\nThe API Name Type is "RECEPTION" but the API Type from path is "BUSINESS".\nInvalid start base path value "businessRule", require start with "experience".\nInvalid Business Area value "businessRule", in the path "/businessRule/customerManagement/partyReferenceDataDirectory".\nInvalid Path Version "undefined".\nInvalid action term value "undefined" in enpoint path /v1/evaluateMaritalStatus\nInvalid Action Term "undefined" for HTTP method "POST". For Action Term "undefined" use "undefined"</t>
  </si>
  <si>
    <t>https://coppelmx.atlassian.net/wiki/x/BwAIQ</t>
  </si>
  <si>
    <t>RESMX001015</t>
  </si>
  <si>
    <t>Rec_evaluateNationalityBrV1</t>
  </si>
  <si>
    <t>/v1/evaluateNationality</t>
  </si>
  <si>
    <t>Regla encargada de evaluar la nacionalidad.</t>
  </si>
  <si>
    <t>Invalid Service Domain value "BR Party Reference Data Directory" in name of directory.\nInvalid Service Domain value "BR Party Reference Data Directory" in name of specification.\nThe API Name Type is "RECEPTION" but the API Type from path is "BUSINESS".\nInvalid start base path value "businessRule", require start with "experience".\nInvalid Business Area value "businessRule", in the path "/businessRule/customerManagement/partyReferenceDataDirectory".\nInvalid Path Version "undefined".\nInvalid action term value "undefined" in enpoint path /v1/evaluateNationality\nInvalid Action Term "undefined" for HTTP method "POST". For Action Term "undefined" use "undefined"</t>
  </si>
  <si>
    <t>https://coppelmx.atlassian.net/wiki/x/L4AEQ</t>
  </si>
  <si>
    <t>RESMX001212</t>
  </si>
  <si>
    <t>Rec_GetOnlineHistoryTransferCorporateV1</t>
  </si>
  <si>
    <t>/v1/corporate/transfer/history/online/get</t>
  </si>
  <si>
    <t>Consulta el historial de transferencias en linea.</t>
  </si>
  <si>
    <t>RESMX001213</t>
  </si>
  <si>
    <t>Rec_GetFileTransferAuthorizationsCorporateV1</t>
  </si>
  <si>
    <t>/v1/corporate/authorizations/transfer/file/get</t>
  </si>
  <si>
    <t>Consulta las autorizaciones pendientes para archivos de transferencias</t>
  </si>
  <si>
    <t>RESMX001214</t>
  </si>
  <si>
    <t>Rec_SignFileTransferAuthorizationsCorporateV1</t>
  </si>
  <si>
    <t>/v1/corporate/authorizations/transfer/file/sign</t>
  </si>
  <si>
    <t>Firmar operaciones de pago de transferencias por archivo.</t>
  </si>
  <si>
    <t>RESMX001215</t>
  </si>
  <si>
    <t>Rec_CancelFileTransferAuthorizationsCorporateV1</t>
  </si>
  <si>
    <t>/v1/corporate//authorizations/transfer/file/cancel</t>
  </si>
  <si>
    <t>Cancela autorizaciones de archivos de transferencias</t>
  </si>
  <si>
    <t>RESMX001280</t>
  </si>
  <si>
    <t>Rec_ProgressOnlineTransferAuthorizationsCorporateV1</t>
  </si>
  <si>
    <t>/v1/corporate/authorizations/transfer/online/progress</t>
  </si>
  <si>
    <t>Obtiene el progreso de avance en liberacion de operaciones de transferencia. Al llegar al 100 porciento se debe retornar el detalle de las autorizaciones.</t>
  </si>
  <si>
    <t>RESMX001281</t>
  </si>
  <si>
    <t>Rec_CancelScheduleTransferCorporateV1</t>
  </si>
  <si>
    <t>/v1/corporate/transfer/schedule/cancel</t>
  </si>
  <si>
    <t>Cancelar una transferencia programada.</t>
  </si>
  <si>
    <t>RESMX001282</t>
  </si>
  <si>
    <t>Rec_GetScheduleTransferCorporateV1</t>
  </si>
  <si>
    <t>/v1/corporate/transfer/schedule/get</t>
  </si>
  <si>
    <t>Consulta las transferencias programadas</t>
  </si>
  <si>
    <t>RESMX001285</t>
  </si>
  <si>
    <t>Rec_GetFileHistoryTransferCorporateV1</t>
  </si>
  <si>
    <t>/v1/corporate/transfer/history/file/get</t>
  </si>
  <si>
    <t>Consulta el historial de transferencias por archivo.</t>
  </si>
  <si>
    <t>RESMX001286</t>
  </si>
  <si>
    <t>Rec_VoucherFileTransferCorporateV1</t>
  </si>
  <si>
    <t>/v1/corporate/transfer/file/voucher</t>
  </si>
  <si>
    <t>Consulta los datos  para los comprobantes de los archivos de transferencias</t>
  </si>
  <si>
    <t>RESMX001288</t>
  </si>
  <si>
    <t>Rec_ProgressFileTransferAuthorizationsCorporateV1</t>
  </si>
  <si>
    <t>/v1/corporate/authorizations/transfer/file/progress</t>
  </si>
  <si>
    <t>Obtener progreso de avance en liberacion de operaciones de transferencias por archivo. Al llegar al 100 porciento se debe retornar el detalle de las autorizaciones.</t>
  </si>
  <si>
    <t>RESMX001216</t>
  </si>
  <si>
    <t>Dom_GetOnlineHistoryTransferCorporateV1</t>
  </si>
  <si>
    <t>RESMX001217</t>
  </si>
  <si>
    <t>Dom_GetFileTransferAuthorizationsCorporateV1</t>
  </si>
  <si>
    <t>RESMX001218</t>
  </si>
  <si>
    <t>Dom_SignFileTransferAuthorizationsCorporateV1</t>
  </si>
  <si>
    <t>RESMX001219</t>
  </si>
  <si>
    <t>Dom_CancelFileTransferAuthorizationsCorporateV1</t>
  </si>
  <si>
    <t>RESMX001262</t>
  </si>
  <si>
    <t>Dom_ProgressOnlineTransferAuthorizationsCorporateV1</t>
  </si>
  <si>
    <t>RESMX001263</t>
  </si>
  <si>
    <t>Dom_CancelScheduleTransferCorporateV1</t>
  </si>
  <si>
    <t>RESMX001264</t>
  </si>
  <si>
    <t>Dom_GetScheduleTransferCorporateV1</t>
  </si>
  <si>
    <t>RESMX001267</t>
  </si>
  <si>
    <t>Dom_GetFileHistoryTransferCorporateV1</t>
  </si>
  <si>
    <t>RESMX001268</t>
  </si>
  <si>
    <t>Dom_VoucherFileTransferCorporateV1</t>
  </si>
  <si>
    <t>RESMX001270</t>
  </si>
  <si>
    <t>Dom_ProgressFileTransferAuthorizationsCorporateV1</t>
  </si>
  <si>
    <t>RESMX001220</t>
  </si>
  <si>
    <t>Pro_GetOnlineHistoryTransferCorporateV1</t>
  </si>
  <si>
    <t>RESMX001221</t>
  </si>
  <si>
    <t>Pro_GetFileTransferAuthorizationsCorporateV1</t>
  </si>
  <si>
    <t>RESMX001222</t>
  </si>
  <si>
    <t>Pro_SignFileTransferAuthorizationsCorporateV1</t>
  </si>
  <si>
    <t>RESMX001223</t>
  </si>
  <si>
    <t>Pro_CancelFileTransferAuthorizationsCorporateV1</t>
  </si>
  <si>
    <t>RESMX001298</t>
  </si>
  <si>
    <t>Pro_ProgressOnlineTransferAuthorizationsCorporateV1</t>
  </si>
  <si>
    <t>RESMX001299</t>
  </si>
  <si>
    <t>Pro_CancelScheduleTransferCorporateV1</t>
  </si>
  <si>
    <t>RESMX001300</t>
  </si>
  <si>
    <t>Pro_GetScheduleTransferCorporateV1</t>
  </si>
  <si>
    <t>RESMX001303</t>
  </si>
  <si>
    <t>Pro_GetFileHistoryTransferCorporateV1</t>
  </si>
  <si>
    <t>RESMX001304</t>
  </si>
  <si>
    <t>Pro_VoucherFileTransferCorporateV1</t>
  </si>
  <si>
    <t>RESMX001306</t>
  </si>
  <si>
    <t>Pro_ProgressFileTransferAuthorizationsCorporateV1</t>
  </si>
  <si>
    <t>RESMX001302</t>
  </si>
  <si>
    <t>Pro_EncryptDataSecurityCorporateV1</t>
  </si>
  <si>
    <t>/system/enterpriseServices/securityAdvisory</t>
  </si>
  <si>
    <t>/v1/corporate/security/data/encrypt</t>
  </si>
  <si>
    <t>Cifra cadenas de texto.</t>
  </si>
  <si>
    <t>RESMX001291</t>
  </si>
  <si>
    <t>Pro_UploadFileCorporateV1</t>
  </si>
  <si>
    <t>/v1/corporate/file/upload</t>
  </si>
  <si>
    <t>Efectua la carga de un archivo.</t>
  </si>
  <si>
    <t>RESMX001292</t>
  </si>
  <si>
    <t>Pro_DeleteFileCorporateV1</t>
  </si>
  <si>
    <t>/v1/corporate/file/delete</t>
  </si>
  <si>
    <t>Elimina un archivo almacenado anteriormente</t>
  </si>
  <si>
    <t>RESMX001293</t>
  </si>
  <si>
    <t>Pro_GetFileDestAccountCorporateV1</t>
  </si>
  <si>
    <t>/v1/corporate/destAccount/file/get</t>
  </si>
  <si>
    <t>Consulta el detalle del archivo de cuentas destino cargado.</t>
  </si>
  <si>
    <t>RESMX001294</t>
  </si>
  <si>
    <t>Pro_GetFileTransferCorporateV1</t>
  </si>
  <si>
    <t>/v1/corporate/transfer/file/get</t>
  </si>
  <si>
    <t>Consulta el detalle del archivo de transferencias cargado</t>
  </si>
  <si>
    <t>RESMX001295</t>
  </si>
  <si>
    <t>Pro_ValidateFileDestAccountCorporateV1</t>
  </si>
  <si>
    <t>/v1/corporate/destAccount/file/validate</t>
  </si>
  <si>
    <t>Valida datos del archivo de cuentas destino</t>
  </si>
  <si>
    <t>RESMX001296</t>
  </si>
  <si>
    <t>Pro_ValidateFileTransferCorporateV1</t>
  </si>
  <si>
    <t>/v1/corporate/transfer/file/validate</t>
  </si>
  <si>
    <t>Valida datos del archivo de transferencias</t>
  </si>
  <si>
    <t>RESMX001297</t>
  </si>
  <si>
    <t>Pro_GetFileFileTransferAuthorizationsCorporateV1</t>
  </si>
  <si>
    <t>/v1/corporate/authorizations/transfer/file/getFile</t>
  </si>
  <si>
    <t xml:space="preserve">Descarga un archivo con registros de  transferencias </t>
  </si>
  <si>
    <t>RESMX001301</t>
  </si>
  <si>
    <t>Pro_PendingFileCorporateV1</t>
  </si>
  <si>
    <t>/v1/corporate/file/pending</t>
  </si>
  <si>
    <t>Registra un archivo cargado como pendiente de autorizar</t>
  </si>
  <si>
    <t>RESMX001305</t>
  </si>
  <si>
    <t>Pro_ProcessFileCorporateV1</t>
  </si>
  <si>
    <t>/v1/corporate/file/process</t>
  </si>
  <si>
    <t>Procesa un archivo con datos de transferencias y cuentas propias previamente cargado y validado</t>
  </si>
  <si>
    <t>RESMX001307</t>
  </si>
  <si>
    <t>Pro_ProgressFileCorporateV1</t>
  </si>
  <si>
    <t>/v1/corporate/file/progress</t>
  </si>
  <si>
    <t>Consulta el avance del procesamiento del archivo.</t>
  </si>
  <si>
    <t>RESMX001266</t>
  </si>
  <si>
    <t>Dom_EncryptDataSecurityCorporateV1</t>
  </si>
  <si>
    <t>/enterpriseServices/securityAdvisory</t>
  </si>
  <si>
    <t>RESMX001255</t>
  </si>
  <si>
    <t>Dom_UploadFileCorporateV1</t>
  </si>
  <si>
    <t>RESMX001256</t>
  </si>
  <si>
    <t>Dom_DeleteFileCorporateV1</t>
  </si>
  <si>
    <t>RESMX001257</t>
  </si>
  <si>
    <t>Dom_GetFileDestAccountCorporateV1</t>
  </si>
  <si>
    <t>RESMX001258</t>
  </si>
  <si>
    <t>Dom_GetFileTransferCorporateV1</t>
  </si>
  <si>
    <t>RESMX001259</t>
  </si>
  <si>
    <t>Dom_ValidateFileDestAccountCorporateV1</t>
  </si>
  <si>
    <t>RESMX001260</t>
  </si>
  <si>
    <t>Dom_ValidateFileTransferCorporateV1</t>
  </si>
  <si>
    <t>RESMX001261</t>
  </si>
  <si>
    <t>Dom_GetFileFileTransferAuthorizationsCorporateV1</t>
  </si>
  <si>
    <t>RESMX001265</t>
  </si>
  <si>
    <t>Dom_PendingFileCorporateV1</t>
  </si>
  <si>
    <t>RESMX001269</t>
  </si>
  <si>
    <t>Dom_ProcessFileCorporateV1</t>
  </si>
  <si>
    <t>RESMX001271</t>
  </si>
  <si>
    <t>Dom_ProgressFileCorporateV1</t>
  </si>
  <si>
    <t>RESMX001284</t>
  </si>
  <si>
    <t>Rec_EncryptDataSecurityCorporateV1</t>
  </si>
  <si>
    <t>/experience/enterpriseServices/securityAdvisory</t>
  </si>
  <si>
    <t>RESMX001273</t>
  </si>
  <si>
    <t>Rec_UploadFileCorporateV1</t>
  </si>
  <si>
    <t>RESMX001274</t>
  </si>
  <si>
    <t>Rec_DeleteFileCorporateV1</t>
  </si>
  <si>
    <t>RESMX001275</t>
  </si>
  <si>
    <t>Rec_GetFileDestAccountCorporateV1</t>
  </si>
  <si>
    <t>RESMX001276</t>
  </si>
  <si>
    <t>Rec_GetFileTransferCorporateV1</t>
  </si>
  <si>
    <t>RESMX001277</t>
  </si>
  <si>
    <t>Rec_ValidateFileDestAccountCorporateV1</t>
  </si>
  <si>
    <t>RESMX001278</t>
  </si>
  <si>
    <t>Rec_ValidateFileTransferCorporateV1</t>
  </si>
  <si>
    <t>RESMX001279</t>
  </si>
  <si>
    <t>Rec_GetFileFileTransferAuthorizationsCorporateV1</t>
  </si>
  <si>
    <t>RESMX001283</t>
  </si>
  <si>
    <t>Rec_PendingFileCorporateV1</t>
  </si>
  <si>
    <t>RESMX001287</t>
  </si>
  <si>
    <t>Rec_ProcessFileCorporateV1</t>
  </si>
  <si>
    <t>RESMX001289</t>
  </si>
  <si>
    <t>Rec_ProgressFileCorporateV1</t>
  </si>
  <si>
    <t>RESMX001017</t>
  </si>
  <si>
    <t>Dom_GetUsersCorporateV1</t>
  </si>
  <si>
    <t>/v1/corporate/users/get</t>
  </si>
  <si>
    <t>RESMX001019</t>
  </si>
  <si>
    <t>Dom_DeleteContactCompanyCorporateV1</t>
  </si>
  <si>
    <t>/v1/corporate/company/contact/delete</t>
  </si>
  <si>
    <t>RESMX001034</t>
  </si>
  <si>
    <t>Dom_CreateContactCompanyCorporateV1</t>
  </si>
  <si>
    <t>/v1/corporate/company/contact/create</t>
  </si>
  <si>
    <t>RESMX001036</t>
  </si>
  <si>
    <t>Dom_SetAccountUserCorporateV1</t>
  </si>
  <si>
    <t>/v1/corporate/user/account/set</t>
  </si>
  <si>
    <t>RESMX001038</t>
  </si>
  <si>
    <t>Dom_GetCompanyAndContactsCorporateV1</t>
  </si>
  <si>
    <t>/v1/corporate/companyAndContacts/get</t>
  </si>
  <si>
    <t>RESMX001040</t>
  </si>
  <si>
    <t>Dom_UpdateContactCompanyCorporateV1</t>
  </si>
  <si>
    <t>/v1/corporate/company/contact/update</t>
  </si>
  <si>
    <t>RESMX001041</t>
  </si>
  <si>
    <t>Dom_GetUserCorporateV1</t>
  </si>
  <si>
    <t>/v1/corporate/user/get</t>
  </si>
  <si>
    <t>RESMX001043</t>
  </si>
  <si>
    <t>Dom_ValidateDataEnrollCompanyCorporateV1</t>
  </si>
  <si>
    <t>/v1/corporate/company/enroll/validateData</t>
  </si>
  <si>
    <t>RESMX001080</t>
  </si>
  <si>
    <t>Dom_CreateUserCorporateV1</t>
  </si>
  <si>
    <t>/v1/corporate/user/create</t>
  </si>
  <si>
    <t>RESMX001081</t>
  </si>
  <si>
    <t>Dom_UpdateUserCorporateV1</t>
  </si>
  <si>
    <t>/v1/corporate/user/update</t>
  </si>
  <si>
    <t>RESMX001082</t>
  </si>
  <si>
    <t>Dom_ValidateAccountEnrollCompanyCorporateV1</t>
  </si>
  <si>
    <t>/v1/corporate/company/enroll/validateAccount</t>
  </si>
  <si>
    <t>Dom Party Reference Data Directory Corporate</t>
  </si>
  <si>
    <t>RESMX001421</t>
  </si>
  <si>
    <t>Dom_ValidatePartyContactDataCorporateV1</t>
  </si>
  <si>
    <t>/v1/corporate/partyContactData/validate</t>
  </si>
  <si>
    <t>https://coppelmx.atlassian.net/wiki/spaces/SEAC/pages/1372323850/RESMX001421+Dom_ValidatePartyContactDataCorporateV1</t>
  </si>
  <si>
    <t>RESMX001423</t>
  </si>
  <si>
    <t>Dom_CreateUserRsaCorporateV1</t>
  </si>
  <si>
    <t>/v1/corporate/userRsa/create</t>
  </si>
  <si>
    <t>https://coppelmx.atlassian.net/wiki/spaces/SEAC/pages/1325367297/RESMX001423+Dom_CreateUserRsaCorporateV1</t>
  </si>
  <si>
    <t>RESMX001035</t>
  </si>
  <si>
    <t>Dom_SetHardTokenCorporateV1</t>
  </si>
  <si>
    <t>/v1/corporate/hardToken/set</t>
  </si>
  <si>
    <t>RESMX001042</t>
  </si>
  <si>
    <t>Dom_SyncHardTokenCorporateV1</t>
  </si>
  <si>
    <t>/v1/corporate/hardToken/sync</t>
  </si>
  <si>
    <t>RESMX001044</t>
  </si>
  <si>
    <t>Dom_ValidateOtpHardTokenCorporateV1</t>
  </si>
  <si>
    <t>/v1/corporate/hardToken/otp/validate</t>
  </si>
  <si>
    <t>RESMX001070</t>
  </si>
  <si>
    <t>Dom_AddCodesSentUserCorporateV1</t>
  </si>
  <si>
    <t>/v1/corporate/user/codesSent/add</t>
  </si>
  <si>
    <t>RESMX001071</t>
  </si>
  <si>
    <t>Dom_ResetCodesSentUserCorporateV1</t>
  </si>
  <si>
    <t>/v1/corporate/user/codesSent/reset</t>
  </si>
  <si>
    <t>RESMX001072</t>
  </si>
  <si>
    <t>Dom_ValidateCodesSentUserCorporateV1</t>
  </si>
  <si>
    <t>/v1/corporate/user/codesSent/validate</t>
  </si>
  <si>
    <t>RESMX001073</t>
  </si>
  <si>
    <t>Dom_GetRenewalCommissionHardTokenCorporateV1</t>
  </si>
  <si>
    <t>/v1/corporate/hardToken/getRenewalCommission</t>
  </si>
  <si>
    <t>RESMX001074</t>
  </si>
  <si>
    <t>Dom_DetailHardTokenCorporateV1</t>
  </si>
  <si>
    <t>/v1/corporate/hardToken/detail</t>
  </si>
  <si>
    <t>RESMX001075</t>
  </si>
  <si>
    <t>Dom_ValidateExpirationHardTokenCorporateV1</t>
  </si>
  <si>
    <t>/v1/corporate/hardToken/validateExpiration</t>
  </si>
  <si>
    <t>RESMX001076</t>
  </si>
  <si>
    <t>Dom_SendRecoveryCodeUserCorporateV1</t>
  </si>
  <si>
    <t>/v1/corporate/user/recoveryCode/send</t>
  </si>
  <si>
    <t>RESMX001077</t>
  </si>
  <si>
    <t>Dom_ValidateRecoveryCodeUserCorporateV1</t>
  </si>
  <si>
    <t>/v1/corporate/user/recoveryCode/validate</t>
  </si>
  <si>
    <t>RESMX001129</t>
  </si>
  <si>
    <t>Dom_RenewHardTokenCorporateV1</t>
  </si>
  <si>
    <t>/v1/corporate/hardToken/renew</t>
  </si>
  <si>
    <t>RESMX001130</t>
  </si>
  <si>
    <t>Dom_EditStatusHardTokenCorporateV1</t>
  </si>
  <si>
    <t>/v1/corporate/hardToken/editStatus</t>
  </si>
  <si>
    <t>Modifica el estatus del hard token, utilizado especialmente para bloquear y desbloquear token</t>
  </si>
  <si>
    <t>RESMX001131</t>
  </si>
  <si>
    <t>Dom_UnassignHardTokenCorporateV1</t>
  </si>
  <si>
    <t>/v1/corporate/hardToken/unassign</t>
  </si>
  <si>
    <t>Desasigna hard token</t>
  </si>
  <si>
    <t>RESMX001371</t>
  </si>
  <si>
    <t>Dom_ExecuteSyncHardTokenCorporateV1</t>
  </si>
  <si>
    <t>/v1/corporate/syncHardToken/execute</t>
  </si>
  <si>
    <t>Elemento encargado de invocar el elemento proxy Pro_syncTokenRsa, este proceso realiza la sincronización del token físico (hardtoken) a un cliente empresarial dentro del sistema Empresanet.</t>
  </si>
  <si>
    <t>https://coppelmx.atlassian.net/wiki/spaces/SEAC/pages/1312325638/RESMX001371+Dom_ExecuteSyncHardTokenCorporateV1</t>
  </si>
  <si>
    <t>RESMX001406</t>
  </si>
  <si>
    <t>Dom_UpdateDisableHardTokenCorporateV1</t>
  </si>
  <si>
    <t>/v1/corporate/disableHardToken/update</t>
  </si>
  <si>
    <t>https://coppelmx.atlassian.net/wiki/spaces/SEAC/pages/1314291714/RESMX001406+Dom_UpdateDisableHardTokenCorporateV1</t>
  </si>
  <si>
    <t>RESMX001407</t>
  </si>
  <si>
    <t>Dom_RetrieveStatusHardTokenCorporateV1</t>
  </si>
  <si>
    <t>/v1/corporate/statusHardToken/retrieve</t>
  </si>
  <si>
    <t>https://coppelmx.atlassian.net/wiki/spaces/SEAC/pages/1312653313/RESMX001407+Dom_RetrieveStatusHardTokenCorporateV1</t>
  </si>
  <si>
    <t>RESMX001415</t>
  </si>
  <si>
    <t>v1/corporate/hardToken/unassign</t>
  </si>
  <si>
    <t>https://coppelmx.atlassian.net/wiki/spaces/SEAC/pages/1334378497/RESMX001415+Dom_UnassignHardTokenCorporateV1</t>
  </si>
  <si>
    <t>RESMX001416</t>
  </si>
  <si>
    <t>Dom_UnassignTokenRsaCorporateV1</t>
  </si>
  <si>
    <t>/v1/corporate/tokenRsa/unassign</t>
  </si>
  <si>
    <t>https://coppelmx.atlassian.net/wiki/spaces/SEAC/pages/1388282145/RESMX001416+Dom_UnassignTokenRsaCorporateV1</t>
  </si>
  <si>
    <t>RESMX001417</t>
  </si>
  <si>
    <t>Dom_RetrieveValidateHardTokenCustomerCorporateV1</t>
  </si>
  <si>
    <t>v1/corporate/validateHardTokenCustomer/retrieve</t>
  </si>
  <si>
    <t>https://coppelmx.atlassian.net/wiki/spaces/SEAC/pages/1313669177/RESMX001417+Dom_RetrieveValidateHardTokenCustomerCorporateV1</t>
  </si>
  <si>
    <t>RESMX001418</t>
  </si>
  <si>
    <t>Dom_RetrieveHardTokenAssociateCorporateV1</t>
  </si>
  <si>
    <t>/v1/corporate/hardTokenAssociate/retrieve</t>
  </si>
  <si>
    <t>https://coppelmx.atlassian.net/wiki/spaces/SEAC/pages/1334870058/RESMX001418+Dom_RetrieveHardTokenAssociateCorporateV1</t>
  </si>
  <si>
    <t>RESMX001419</t>
  </si>
  <si>
    <t>Dom_RegisterTokenCorporateV1</t>
  </si>
  <si>
    <t>/v1/corporate/token/register</t>
  </si>
  <si>
    <t>https://coppelmx.atlassian.net/wiki/spaces/SEAC/pages/1328250881/RESMX001419+Dom_RegisterTokenCorporateV1</t>
  </si>
  <si>
    <t>RESMX001420</t>
  </si>
  <si>
    <t>Dom_GrantAssignHardTokenCorporateV1</t>
  </si>
  <si>
    <t>/v1/corporate/assignHardToken/grant</t>
  </si>
  <si>
    <t>https://coppelmx.atlassian.net/wiki/spaces/SEAC/pages/1324548118/RESMX001420+Dom_GrantAssignHardTokenCorporateV1</t>
  </si>
  <si>
    <t>RESMX001440</t>
  </si>
  <si>
    <t>Dom_ValidateStatusChangedHardTokenCorporateV1</t>
  </si>
  <si>
    <t>/v1/corporate/hardToken/validateStatusChanged</t>
  </si>
  <si>
    <t>https://coppelmx.atlassian.net/wiki/spaces/SEAC/pages/1359806465/RESMX001440+Dom_ValidateStatusChangedHardTokenCorporateV1</t>
  </si>
  <si>
    <t>RESMX001441</t>
  </si>
  <si>
    <t>Dom_EnabledTokenEditStatusHardTokenCorporateV1</t>
  </si>
  <si>
    <t>/v1/corporate/hardToken/editStatus/enabledToken</t>
  </si>
  <si>
    <t>https://coppelmx.atlassian.net/wiki/spaces/SEAC/pages/1360265220/RESMX001441+Dom_EnabledTokenEditStatusHardTokenCorporateV1</t>
  </si>
  <si>
    <t>RESMX001016</t>
  </si>
  <si>
    <t>Dom_CreateSessionCorporateV1</t>
  </si>
  <si>
    <t>/v1/corporate/session/create</t>
  </si>
  <si>
    <t>RESMX001020</t>
  </si>
  <si>
    <t>Dom_SmsNotificationCorporateV1</t>
  </si>
  <si>
    <t>/v1/corporate/notification/sms</t>
  </si>
  <si>
    <t>RESMX001037</t>
  </si>
  <si>
    <t>Dom_DestroySessionCorporateV1</t>
  </si>
  <si>
    <t>/v1/corporate/session/destroy</t>
  </si>
  <si>
    <t>RESMX001039</t>
  </si>
  <si>
    <t>Dom_EmailNotificationCorporateV1</t>
  </si>
  <si>
    <t>/v1/corporate/notification/email</t>
  </si>
  <si>
    <t>Envia correo electrónico.</t>
  </si>
  <si>
    <t>RESMX001078</t>
  </si>
  <si>
    <t>Dom_SetPasswordSecurityCorporateV1</t>
  </si>
  <si>
    <t>/v1/corporate/security/password/set</t>
  </si>
  <si>
    <t>RESMX001079</t>
  </si>
  <si>
    <t>Dom_ValidatePasswordSecurityCorporateV1</t>
  </si>
  <si>
    <t>/v1/corporate/security/password/validate</t>
  </si>
  <si>
    <t>RESMX001408</t>
  </si>
  <si>
    <t>/crossChanel/partyAuthentication</t>
  </si>
  <si>
    <t>/v1/corporate/authentication/evaluate</t>
  </si>
  <si>
    <t>https://coppelmx.atlassian.net/wiki/spaces/SEAC/pages/1314357249/RESMX001408+Dom_EvaluateAuthenticationCorporateV1</t>
  </si>
  <si>
    <t>RESMX001409</t>
  </si>
  <si>
    <t>Dom_ControlRegisterAttempsCorporateV1</t>
  </si>
  <si>
    <t>/v1/corporate/registerAttemps/control</t>
  </si>
  <si>
    <t>https://coppelmx.atlassian.net/wiki/spaces/SEAC/pages/1311670323/RESMX001409+Dom_ControlRegisterAttemptsCorporateV1</t>
  </si>
  <si>
    <t>RESMX001424</t>
  </si>
  <si>
    <t>Dom_DeleteUserRsaCorporateV1</t>
  </si>
  <si>
    <t>/v1/corporate/userRsa/delete</t>
  </si>
  <si>
    <t>https://coppelmx.atlassian.net/wiki/spaces/SEAC/pages/1347715124/RESMX001424+Dom_DeleteUserRsaCorporateV1</t>
  </si>
  <si>
    <t>RESMX001442</t>
  </si>
  <si>
    <t>Dom_UpdateOtpStatusValidateRecoveryCodeUserCorporeateV1</t>
  </si>
  <si>
    <t>v1/corporeate/user/recoveryCode/validate/status/otp/update</t>
  </si>
  <si>
    <t>https://coppelmx.atlassian.net/wiki/spaces/SEAC/pages/1367343143/RESMX001442+Dom_UpdateOtpStatusValidateRecoveryCodeUserCorporeateV1</t>
  </si>
  <si>
    <t>RESMX001018</t>
  </si>
  <si>
    <t>Dom_GetProductsCorporateV1</t>
  </si>
  <si>
    <t>/v1/corporate/products/get</t>
  </si>
  <si>
    <t>Esta operación permite consultar los productos financieros vinculados a una empresa usuaria del portal de banca en línea EmpresaNet. El proceso de consulta se realiza automáticamente tomando como referencia el companyId asociado a la sesión activa del usuario. A partir de este identificador, el microservicio accede a la base de datos Informix para recuperar y mostrar la información de los productos relacionados con dicha empresa.
Esta funcionalidad es clave para proporcionar visibilidad a las empresas sobre sus productos contratados (como cuentas, créditos o inversiones), permitiendo su visualización de manera centralizada y segura dentro del portal.</t>
  </si>
  <si>
    <t>Dom Customer Products and Services Corporate</t>
  </si>
  <si>
    <t>RESMX001068</t>
  </si>
  <si>
    <t>Dom_DetailProductsCorporateV1</t>
  </si>
  <si>
    <t>/v1/corporate/products/detail</t>
  </si>
  <si>
    <t>RESMX001029</t>
  </si>
  <si>
    <t>Pro_GetUsersCorporateV1</t>
  </si>
  <si>
    <t>RESMX001031</t>
  </si>
  <si>
    <t>Pro_DeleteContactCompanyCorporateV1</t>
  </si>
  <si>
    <t>RESMX001056</t>
  </si>
  <si>
    <t>Pro_CreateContactCompanyCorporateV1</t>
  </si>
  <si>
    <t>RESMX001058</t>
  </si>
  <si>
    <t>Pro_SetAccountUserCorporateV1</t>
  </si>
  <si>
    <t>RESMX001060</t>
  </si>
  <si>
    <t>Pro_GetCompanyAndContactsCorporateV1</t>
  </si>
  <si>
    <t>RESMX001062</t>
  </si>
  <si>
    <t>Pro_UpdateContactCompanyCorporateV1</t>
  </si>
  <si>
    <t>RESMX001063</t>
  </si>
  <si>
    <t>Pro_GetUserCorporateV1</t>
  </si>
  <si>
    <t>RESMX001065</t>
  </si>
  <si>
    <t>Pro_ValidateDataEnrollCompanyCorporateV1</t>
  </si>
  <si>
    <t>RESMX001112</t>
  </si>
  <si>
    <t>Pro_CreateUserCorporateV1</t>
  </si>
  <si>
    <t>RESMX001113</t>
  </si>
  <si>
    <t>Pro_UpdateUserCorporateV1</t>
  </si>
  <si>
    <t>RESMX001114</t>
  </si>
  <si>
    <t>Pro_ValidateAccountEnrollCompanyCorporateV1</t>
  </si>
  <si>
    <t>RESMX001427</t>
  </si>
  <si>
    <t>RESMX001057</t>
  </si>
  <si>
    <t>Pro_SetHardTokenCorporateV1</t>
  </si>
  <si>
    <t>RESMX001064</t>
  </si>
  <si>
    <t>Pro_SyncHardTokenCorporateV1</t>
  </si>
  <si>
    <t>RESMX001066</t>
  </si>
  <si>
    <t>Pro_ValidateOtpHardTokenCorporateV1</t>
  </si>
  <si>
    <t>Validar hard token.</t>
  </si>
  <si>
    <t>RESMX001102</t>
  </si>
  <si>
    <t>Pro_AddCodesSentUserCorporateV1</t>
  </si>
  <si>
    <t>RESMX001103</t>
  </si>
  <si>
    <t>Pro_ResetCodesSentUserCorporateV1</t>
  </si>
  <si>
    <t>RESMX001104</t>
  </si>
  <si>
    <t>Pro_ValidateCodesSentUserCorporateV1</t>
  </si>
  <si>
    <t>RESMX001105</t>
  </si>
  <si>
    <t>Pro_GetRenewalCommissionHardTokenCorporateV1</t>
  </si>
  <si>
    <t>RESMX001148</t>
  </si>
  <si>
    <t>RESMX001106</t>
  </si>
  <si>
    <t>Pro_DetailHardTokenCorporateV1</t>
  </si>
  <si>
    <t>RESMX001107</t>
  </si>
  <si>
    <t>Pro_ValidateExpirationHardTokenCorporateV1</t>
  </si>
  <si>
    <t>RESMX001108</t>
  </si>
  <si>
    <t>Pro_SendRecoveryCodeUserCorporateV1</t>
  </si>
  <si>
    <t>RESMX001109</t>
  </si>
  <si>
    <t>Pro_ValidateRecoveryCodeUserCorporateV1</t>
  </si>
  <si>
    <t>RESMX001163</t>
  </si>
  <si>
    <t>Pro_RenewHardTokenCorporateV1</t>
  </si>
  <si>
    <t>RESMX001164</t>
  </si>
  <si>
    <t>Pro_EditStatusHardTokenCorporateV1</t>
  </si>
  <si>
    <t>https://coppelmx.atlassian.net/wiki/spaces/SEAC/pages/1352761375/RESMX001164+Pro_EditStatusHardTokenCorporateV1</t>
  </si>
  <si>
    <t>RESMX001165</t>
  </si>
  <si>
    <t>Pro_UnassignHardTokenCorporateV1</t>
  </si>
  <si>
    <t>RESMX001197</t>
  </si>
  <si>
    <t>RESMX001198</t>
  </si>
  <si>
    <t>Pro_initiateCustomerCreditRatingStateV1</t>
  </si>
  <si>
    <t>x</t>
  </si>
  <si>
    <t xml:space="preserve">POST /system/customerManagement/customerCreditRating/v1/customerCreditRatingState/initiate
</t>
  </si>
  <si>
    <t xml:space="preserve">Servicio encargado con el proceso de evaluación de una solicitud de crédito, validando criterios como Crédito Bloqueado, identificación oficial capturada por el cliente
</t>
  </si>
  <si>
    <t>RESMX001199</t>
  </si>
  <si>
    <t>RESMX001372</t>
  </si>
  <si>
    <t>Pro_ExecuteSyncHardTokenCorporateV1</t>
  </si>
  <si>
    <t>Elemento encargado de invocar el metodo RSA SETRESYNC, este proceso realiza la sincronización del token físico (hardtoken) a un cliente empresarial dentro del sistema Empresanet.</t>
  </si>
  <si>
    <t>https://coppelmx.atlassian.net/wiki/spaces/SEAC/pages/1312522242/RESMX001372+Pro_ExecuteSyncHardTokenCorporateV1</t>
  </si>
  <si>
    <t>RESMX001410</t>
  </si>
  <si>
    <t>Pro_UpdateDisableHardTokenCorporateV1</t>
  </si>
  <si>
    <t>https://coppelmx.atlassian.net/wiki/spaces/SEAC/pages/1314324481/RESMX001410+Pro_UpdateDisableHardTokenCorporateV1</t>
  </si>
  <si>
    <t>RESMX001413</t>
  </si>
  <si>
    <t>Pro_RetrieveStatusHardTokenCorporateV1</t>
  </si>
  <si>
    <t>https://coppelmx.atlassian.net/wiki/spaces/SEAC/pages/1312653345/RESMX001413+Pro_RetrieveStatusHardTokenCorporateV1</t>
  </si>
  <si>
    <t>RESMX001425</t>
  </si>
  <si>
    <t>Pro_RegisterTokenCorporateV1</t>
  </si>
  <si>
    <t>https://coppelmx.atlassian.net/wiki/spaces/SEAC/pages/1328250918/RESMX001425+Pro_RegisterTokenCorporateV1</t>
  </si>
  <si>
    <t>RESMX001428</t>
  </si>
  <si>
    <t>Pro_GrantAssignHardTokenCorporateV1</t>
  </si>
  <si>
    <t>https://coppelmx.atlassian.net/wiki/spaces/SEAC/pages/1324613648/RESMX001428+Pro_GrantAssignHardTokenCorporateV1</t>
  </si>
  <si>
    <t>RESMX001429</t>
  </si>
  <si>
    <t>RESMX001430</t>
  </si>
  <si>
    <t>Pro_UnassignTokenRsaCorporateV1</t>
  </si>
  <si>
    <t>v2</t>
  </si>
  <si>
    <t>https://coppelmx.atlassian.net/wiki/spaces/SEAC/pages/1388282193/RESMX001430+Pro_UnassignTokenRsaCorporateV1</t>
  </si>
  <si>
    <t>RESMX001431</t>
  </si>
  <si>
    <t>Pro_RetrieveValidateHardTokenCustomerCorporateV1</t>
  </si>
  <si>
    <t>https://coppelmx.atlassian.net/wiki/spaces/SEAC/pages/1313505387/RESMX001431+Pro_RetrieveValidateHardTokenCustomerCorporateV1</t>
  </si>
  <si>
    <t>RESMX001432</t>
  </si>
  <si>
    <t>Pro_RetrieveHardTokenAssociateCorporateV1</t>
  </si>
  <si>
    <t>https://coppelmx.atlassian.net/wiki/spaces/SEAC/pages/1335197717/RESMX001432+Pro_RetrieveHardTokenAssociateCorporateV1</t>
  </si>
  <si>
    <t>RESMX001028</t>
  </si>
  <si>
    <t>Pro_CreateSessionCorporateV1</t>
  </si>
  <si>
    <t>RESMX001032</t>
  </si>
  <si>
    <t>Pro_SmsNotificationCorporateV1</t>
  </si>
  <si>
    <t>RESMX001059</t>
  </si>
  <si>
    <t>Pro_DestroySessionCorporateV1</t>
  </si>
  <si>
    <t>RESMX001061</t>
  </si>
  <si>
    <t>Pro_EmailNotificationCorporateV1</t>
  </si>
  <si>
    <t>RESMX001110</t>
  </si>
  <si>
    <t>Pro_SetPasswordSecurityCorporateV1</t>
  </si>
  <si>
    <t>RESMX001111</t>
  </si>
  <si>
    <t>Pro_ValidatePasswordSecurityCorporateV1</t>
  </si>
  <si>
    <t>RESMX001411</t>
  </si>
  <si>
    <t>Pro_EvaluateAuthenticationCorporateV1</t>
  </si>
  <si>
    <t>/system/crossChanel/partyAuthentication</t>
  </si>
  <si>
    <t>https://coppelmx.atlassian.net/wiki/spaces/SEAC/pages/1314324512/RESMX001411+Pro_EvaluateAuthenticationCorporateV1</t>
  </si>
  <si>
    <t>RESMX001412</t>
  </si>
  <si>
    <t>Pro_ControlRegisterAttempsCorporateV1</t>
  </si>
  <si>
    <t>https://coppelmx.atlassian.net/wiki/spaces/SEAC/pages/1311768641/RESMX001412+Pro_ControlRegisterAttemptsCorporateV1</t>
  </si>
  <si>
    <t>RESMX001030</t>
  </si>
  <si>
    <t>Pro_GetProductsCorporateV1</t>
  </si>
  <si>
    <t>Pro Customer Products and Services Corporate</t>
  </si>
  <si>
    <t>RESMX001100</t>
  </si>
  <si>
    <t>Pro_DetailProductsCorporateV1</t>
  </si>
  <si>
    <t>RESMX001023</t>
  </si>
  <si>
    <t>Rec_GetUsersCorporateV1</t>
  </si>
  <si>
    <t>RESMX001025</t>
  </si>
  <si>
    <t>Rec_DeleteContactCompanyCorporateV1</t>
  </si>
  <si>
    <t>RESMX001045</t>
  </si>
  <si>
    <t>Rec_CreateContactCompanyCorporateV1</t>
  </si>
  <si>
    <t>RESMX001047</t>
  </si>
  <si>
    <t>Rec_SetAccountUserCorporateV1</t>
  </si>
  <si>
    <t>RESMX001049</t>
  </si>
  <si>
    <t>Rec_GetCompanyAndContactsCorporateV1</t>
  </si>
  <si>
    <t>RESMX001051</t>
  </si>
  <si>
    <t>Rec_UpdateContactCompanyCorporateV1</t>
  </si>
  <si>
    <t>RESMX001052</t>
  </si>
  <si>
    <t>Rec_GetUserCorporateV1</t>
  </si>
  <si>
    <t>RESMX001054</t>
  </si>
  <si>
    <t>Rec_ValidateDataEnrollCompanyCorporateV1</t>
  </si>
  <si>
    <t>RESMX001096</t>
  </si>
  <si>
    <t>Rec_CreateUserCorporateV1</t>
  </si>
  <si>
    <t>RESMX001097</t>
  </si>
  <si>
    <t>Rec_UpdateUserCorporateV1</t>
  </si>
  <si>
    <t>RESMX001098</t>
  </si>
  <si>
    <t>Rec_ValidateAccountEnrollCompanyCorporateV1</t>
  </si>
  <si>
    <t>RESMX001046</t>
  </si>
  <si>
    <t>Rec_SetHardTokenCorporateV1</t>
  </si>
  <si>
    <t>RESMX001053</t>
  </si>
  <si>
    <t>Rec_SyncHardTokenCorporateV1</t>
  </si>
  <si>
    <t>RESMX001055</t>
  </si>
  <si>
    <t>Rec_ValidateOtpHardTokenCorporateV1</t>
  </si>
  <si>
    <t>RESMX001086</t>
  </si>
  <si>
    <t>Rec_AddCodesSentUserCorporateV1</t>
  </si>
  <si>
    <t>RESMX001087</t>
  </si>
  <si>
    <t>Rec_ResetCodesSentUserCorporateV1</t>
  </si>
  <si>
    <t>RESMX001088</t>
  </si>
  <si>
    <t>Rec_ValidateCodesSentUserCorporateV1</t>
  </si>
  <si>
    <t>RESMX001089</t>
  </si>
  <si>
    <t>Rec_GetRenewalCommissionHardTokenCorporateV1</t>
  </si>
  <si>
    <t>RESMX001090</t>
  </si>
  <si>
    <t>Rec_DetailHardTokenCorporateV1</t>
  </si>
  <si>
    <t>RESMX001091</t>
  </si>
  <si>
    <t>Rec_ValidateExpirationHardTokenCorporateV1</t>
  </si>
  <si>
    <t>RESMX001200</t>
  </si>
  <si>
    <t>Rec_EvaluatePartyProfileV1</t>
  </si>
  <si>
    <t>operación encargada de ejecutar el step 20 de la app</t>
  </si>
  <si>
    <t>Invalid Service Domain value "Customer Management" in name of directory.\nInvalid Service Domain value "Customer Management" in name of specification.\nInvalid Business Area value "customerManagement", in the path "/experience/customerManagement".</t>
  </si>
  <si>
    <t>https://coppelmx.atlassian.net/wiki/x/AYDaO</t>
  </si>
  <si>
    <t>RESMX001201</t>
  </si>
  <si>
    <t>Rec_ActivateOnBoardingCreditCardWelcomeKitV1</t>
  </si>
  <si>
    <t>https://coppelmx.atlassian.net/wiki/x/JIDMO</t>
  </si>
  <si>
    <t>RESMX001202</t>
  </si>
  <si>
    <t>Rec_ExecuteOnBoardingPartyDigitalServiceV1</t>
  </si>
  <si>
    <t>https://coppelmx.atlassian.net/wiki/x/LADRO</t>
  </si>
  <si>
    <t>RESMX001203</t>
  </si>
  <si>
    <t>Rec_CreateCustomerRelationshipInvolvementV1</t>
  </si>
  <si>
    <t>RESMX001204</t>
  </si>
  <si>
    <t>Rec_ExecuteInternalReportingV1</t>
  </si>
  <si>
    <t>Servicio de recepcion encargado de realizar el registro de los datos paramétricos del cliente solicitante del crédito para la evaluación de la solicitud.</t>
  </si>
  <si>
    <t>https://coppelmx.atlassian.net/wiki/x/AgAJQg</t>
  </si>
  <si>
    <t>RESMX001205</t>
  </si>
  <si>
    <t>Rec_CreateCustomerRelationshipInvolvementPepV1</t>
  </si>
  <si>
    <t>https://coppelmx.atlassian.net/wiki/x/NYDWO</t>
  </si>
  <si>
    <t>RESMX001206</t>
  </si>
  <si>
    <t>/experience/operationalServices</t>
  </si>
  <si>
    <t>Servicio de recepción que activa el usuario en la omnicanalidad</t>
  </si>
  <si>
    <t>Invalid Service Domain value "Operational Services" in name of directory.\nInvalid Service Domain value "Operational Services" in name of specification.\nInvalid Business Area value "operationalServices", in the path "/experience/operationalServices".</t>
  </si>
  <si>
    <t>https://coppelmx.atlassian.net/wiki/x/IQCUO</t>
  </si>
  <si>
    <t>RESMX001207</t>
  </si>
  <si>
    <t>Rec_EvaluateActiveRequestBrv1</t>
  </si>
  <si>
    <t>RESMX001208</t>
  </si>
  <si>
    <t>Rec_EvaluateRejectRequestBrv1</t>
  </si>
  <si>
    <t>RESMX001092</t>
  </si>
  <si>
    <t>Rec_SendRecoveryCodeUserCorporateV1</t>
  </si>
  <si>
    <t>RESMX001093</t>
  </si>
  <si>
    <t>Rec_ValidateRecoveryCodeUserCorporateV1</t>
  </si>
  <si>
    <t>RESMX001146</t>
  </si>
  <si>
    <t>Rec_RenewHardTokenCorporateV1</t>
  </si>
  <si>
    <t>RESMX001147</t>
  </si>
  <si>
    <t>Rec_EditStatusHardTokenCorporateV1</t>
  </si>
  <si>
    <t>RESMX001180</t>
  </si>
  <si>
    <t>RESMX001181</t>
  </si>
  <si>
    <t>RESMX001182</t>
  </si>
  <si>
    <t>Rec_UnassignHardTokenCorporateV1</t>
  </si>
  <si>
    <t>RESMX001022</t>
  </si>
  <si>
    <t>Rec_CreateSessionCorporateV1</t>
  </si>
  <si>
    <t>RESMX001026</t>
  </si>
  <si>
    <t>Bus_EvaluatePartyAgeEligibilityV1</t>
  </si>
  <si>
    <t>/v1/partyAgeEligibility/evaluate</t>
  </si>
  <si>
    <t>Servicio que valida la política de edad y registra automáticamente el Knockout en caso de incumplimiento.</t>
  </si>
  <si>
    <t>https://coppelmx.atlassian.net/wiki/spaces/GAC/pages/2209087512/RESMX001026+Bus_EvaluatePartyAgeEligibilityV1</t>
  </si>
  <si>
    <t>https://github.com/SF-Bancoppel/mx-api-bc-bus-customer-management</t>
  </si>
  <si>
    <t>RESMX001048</t>
  </si>
  <si>
    <t>Rec_DestroySessionCorporateV1</t>
  </si>
  <si>
    <t>RESMX001050</t>
  </si>
  <si>
    <t>Rec_EmailNotificationCorporateV1</t>
  </si>
  <si>
    <t>RESMX001094</t>
  </si>
  <si>
    <t>Rec_SetPasswordSecurityCorporateV1</t>
  </si>
  <si>
    <t>RESMX001095</t>
  </si>
  <si>
    <t>Rec_ValidatePasswordSecurityCorporateV1</t>
  </si>
  <si>
    <t>RESMX001373</t>
  </si>
  <si>
    <t>Elemento encargado de la recepción de información que permite la sincronización del dispositivo físico (hard token) que utiliza el usuario como segundo factor de autenticación para iniciar sesión en el sistema Empresanet.</t>
  </si>
  <si>
    <t>https://coppelmx.atlassian.net/wiki/spaces/SEAC/pages/1311768577/RESMX001373+Rec_SyncHardTokenCorporateV1</t>
  </si>
  <si>
    <t>RESMX001414</t>
  </si>
  <si>
    <t>RESMX001024</t>
  </si>
  <si>
    <t>Rec_GetProductsCorporateV1</t>
  </si>
  <si>
    <t>Rec Customer Products and Services Corporate</t>
  </si>
  <si>
    <t>RESMX001084</t>
  </si>
  <si>
    <t>Rec_DetailProductsCorporateV1</t>
  </si>
  <si>
    <t>RESMX001021</t>
  </si>
  <si>
    <t>Dom_ValidateDestAccountCorporateV1</t>
  </si>
  <si>
    <t>/v1/corporate/destAccount/validate</t>
  </si>
  <si>
    <t>RESMX001067</t>
  </si>
  <si>
    <t>Dom_GetDestAccountCorporateV1</t>
  </si>
  <si>
    <t>/v1/corporate/destAccount/get</t>
  </si>
  <si>
    <t>RESMX001115</t>
  </si>
  <si>
    <t>Dom_CreateOnlineDestAccountCorporateV1</t>
  </si>
  <si>
    <t>/v1/corporate/destAccount/online/create</t>
  </si>
  <si>
    <t>Este servicio web tiene como finalidad dar de alta una nueva cuenta destino en línea, indicada por el usuario dentro de la base de datos de Informix, para el portal de EmpresaNet 2.0.</t>
  </si>
  <si>
    <t>RESMX001116</t>
  </si>
  <si>
    <t>Dom_GetBankListCorporateV1</t>
  </si>
  <si>
    <t>/v1/corporate/list/bank/get</t>
  </si>
  <si>
    <t>Su finalidad es recuperar los nombres y los identificadores de cada registro. Esta información se utilizará al dar de alta una nueva cuenta en el módulo de Transferencias en línea de Empresa Net.</t>
  </si>
  <si>
    <t>RESMX001117</t>
  </si>
  <si>
    <t>Dom_UpdateOnlineDestAccountCorporateV1</t>
  </si>
  <si>
    <t>/v1/corporate/destAccount/online/update</t>
  </si>
  <si>
    <t>Este microservicio actualiza la información de la cuenta destino en la base de datos de Informix. Los datos que se actualizan incluyen el nombre del beneficiario, el alias de la cuenta, el RFC del beneficiario y el correo electrónico. Esta información se utiliza como referencia en el proceso de transferencias en línea.</t>
  </si>
  <si>
    <t>RESMX001234</t>
  </si>
  <si>
    <t>RESMX001235</t>
  </si>
  <si>
    <t>Dom_DeleteOnlineDestAccountCorporateV1</t>
  </si>
  <si>
    <t>/v1/corporate/destAccount/online/delete</t>
  </si>
  <si>
    <t>Eliminar cuenta destino en línea.</t>
  </si>
  <si>
    <t>RESMX001254</t>
  </si>
  <si>
    <t>Dom_BalanceAuthorizationsCorporateV1</t>
  </si>
  <si>
    <t>/v1/corporate/authorizations/balance</t>
  </si>
  <si>
    <t>Obtener los saldos de la cuenta relacionado a las diferentes autorizaciones.</t>
  </si>
  <si>
    <t>RESMX001027</t>
  </si>
  <si>
    <t>Rec_ValidateDestAccountCorporateV1</t>
  </si>
  <si>
    <t>RESMX001083</t>
  </si>
  <si>
    <t>Rec_GetDestAccountCorporateV1</t>
  </si>
  <si>
    <t>RESMX001132</t>
  </si>
  <si>
    <t>Rec_CreateOnlineDestAccountCorporateV1</t>
  </si>
  <si>
    <t>RESMX001133</t>
  </si>
  <si>
    <t>Rec_GetBankListCorporateV1</t>
  </si>
  <si>
    <t>RESMX001134</t>
  </si>
  <si>
    <t>Rec_UpdateOnlineDestAccountCorporateV1</t>
  </si>
  <si>
    <t>RESMX001166</t>
  </si>
  <si>
    <t>RESMX001167</t>
  </si>
  <si>
    <t>RESMX001168</t>
  </si>
  <si>
    <t>RESMX001224</t>
  </si>
  <si>
    <t>RESMX001225</t>
  </si>
  <si>
    <t>Rec_DeleteOnlineDestAccountCorporateV1</t>
  </si>
  <si>
    <t>RESMX001272</t>
  </si>
  <si>
    <t>Rec_BalanceAuthorizationsCorporateV1</t>
  </si>
  <si>
    <t>RESMX001033</t>
  </si>
  <si>
    <t>Pro_ValidateDestAccountCorporateV1</t>
  </si>
  <si>
    <t>RESMX001099</t>
  </si>
  <si>
    <t>Pro_GetDestAccountCorporateV1</t>
  </si>
  <si>
    <t>RESMX001149</t>
  </si>
  <si>
    <t>Pro_CreateOnlineDestAccountCorporateV1</t>
  </si>
  <si>
    <t>RESMX001150</t>
  </si>
  <si>
    <t>Pro_GetBankListCorporateV1</t>
  </si>
  <si>
    <t>RESMX001151</t>
  </si>
  <si>
    <t>Pro_UpdateOnlineDestAccountCorporateV1</t>
  </si>
  <si>
    <t>RESMX001183</t>
  </si>
  <si>
    <t>RESMX001184</t>
  </si>
  <si>
    <t>RESMX001185</t>
  </si>
  <si>
    <t>RESMX001244</t>
  </si>
  <si>
    <t>RESMX001245</t>
  </si>
  <si>
    <t>Pro_DeleteOnlineDestAccountCorporateV1</t>
  </si>
  <si>
    <t>/system/operationalServices/internalBankAccount</t>
  </si>
  <si>
    <t>RESMX001290</t>
  </si>
  <si>
    <t>Pro_BalanceAuthorizationsCorporateV1</t>
  </si>
  <si>
    <t>RESMX001069</t>
  </si>
  <si>
    <t>Dom_ValidateRulesTransferV1corporate</t>
  </si>
  <si>
    <t>/operationalServices/internalBankAccount</t>
  </si>
  <si>
    <t>/v1corporate/transfer/validateRules</t>
  </si>
  <si>
    <t>RESMX001121</t>
  </si>
  <si>
    <t>Dom_ValidateRulesTransferCorporateV1</t>
  </si>
  <si>
    <t>/v1/corporate/transfer/validateRules</t>
  </si>
  <si>
    <t>Obtiene la comisión y valida el horario de operación de la transferencia.</t>
  </si>
  <si>
    <t>RESMX001122</t>
  </si>
  <si>
    <t>Dom_OwnTransferCorporateV1</t>
  </si>
  <si>
    <t>/v1/corporate/transfer/own</t>
  </si>
  <si>
    <t>Realizar transferencias para cuentas propias o del mismo banco</t>
  </si>
  <si>
    <t>RESMX001123</t>
  </si>
  <si>
    <t>Dom_SpeiTransferCorporateV1</t>
  </si>
  <si>
    <t>/v1/corporate/transfer/spei</t>
  </si>
  <si>
    <t>Realizar transferencias SPEI</t>
  </si>
  <si>
    <t>RESMX001124</t>
  </si>
  <si>
    <t>Dom_MovementsProductsCorporateV1</t>
  </si>
  <si>
    <t>/v1/corporate/products/movements</t>
  </si>
  <si>
    <t>Obtiene movimientos de la cuenta</t>
  </si>
  <si>
    <t>RESMX001125</t>
  </si>
  <si>
    <t>Dom_SignOnlineTransferAuthorizationsCorporateV1</t>
  </si>
  <si>
    <t>/v1/corporate/authorizations/transfer/online/sign</t>
  </si>
  <si>
    <t>Firmar operaciones de transferencia en linea</t>
  </si>
  <si>
    <t>Dom_CancelOnlineTransferAuthorizationsCorporateV1</t>
  </si>
  <si>
    <t>v1/corporate/authorizations/transfer/online/cancel</t>
  </si>
  <si>
    <t>Cancelar operaciónes de transferencia en linea</t>
  </si>
  <si>
    <t>RESMX001127</t>
  </si>
  <si>
    <t>Dom_GetOnlineTransferAuthorizationsCorporateV1</t>
  </si>
  <si>
    <t>v1/corporate/authorizations/transfer/online/get</t>
  </si>
  <si>
    <t>Obtiene las transferencias pendientes de firma</t>
  </si>
  <si>
    <t>RESMX001128</t>
  </si>
  <si>
    <t>Dom_GetHistoryTransferAuthorizationsCorporateV1</t>
  </si>
  <si>
    <t>v1/corporate/authorizations/transfer/history/get</t>
  </si>
  <si>
    <t>Obtener historial de autorizaciones de transferencias</t>
  </si>
  <si>
    <t>RESMX001241</t>
  </si>
  <si>
    <t>RESMX001242</t>
  </si>
  <si>
    <t>Realizar transferencias para cuentas propias o del mismo banco.</t>
  </si>
  <si>
    <t>RESMX001085</t>
  </si>
  <si>
    <t>Rec_ValidateRulesTransferV1corporate</t>
  </si>
  <si>
    <t>/experience/operationalServices/internalBankAccount</t>
  </si>
  <si>
    <t>RESMX001138</t>
  </si>
  <si>
    <t>Rec_ValidateRulesTransferCorporateV1</t>
  </si>
  <si>
    <t>RESMX001139</t>
  </si>
  <si>
    <t>Rec_OwnTransferCorporateV1</t>
  </si>
  <si>
    <t>RESMX001140</t>
  </si>
  <si>
    <t>Rec_SpeiTransferCorporateV1</t>
  </si>
  <si>
    <t>RESMX001141</t>
  </si>
  <si>
    <t>Rec_MovementsProductsCorporateV1</t>
  </si>
  <si>
    <t>RESMX001142</t>
  </si>
  <si>
    <t>Rec_SignOnlineTransferAuthorizationsCorporateV1</t>
  </si>
  <si>
    <t>RESMX001143</t>
  </si>
  <si>
    <t>Rec_CancelOnlineTransferAuthorizationsCorporateV1</t>
  </si>
  <si>
    <t>RESMX001144</t>
  </si>
  <si>
    <t>Rec_GetOnlineTransferAuthorizationsCorporateV1</t>
  </si>
  <si>
    <t>RESMX001145</t>
  </si>
  <si>
    <t>Rec_GetHistoryTransferAuthorizationsCorporateV1</t>
  </si>
  <si>
    <t>RESMX001172</t>
  </si>
  <si>
    <t>RESMX001173</t>
  </si>
  <si>
    <t>RESMX001174</t>
  </si>
  <si>
    <t>RESMX001175</t>
  </si>
  <si>
    <t>RESMX001176</t>
  </si>
  <si>
    <t>RESMX001177</t>
  </si>
  <si>
    <t>RESMX001178</t>
  </si>
  <si>
    <t>RESMX001179</t>
  </si>
  <si>
    <t>RESMX001211</t>
  </si>
  <si>
    <t>RESMX001231</t>
  </si>
  <si>
    <t>RESMX001232</t>
  </si>
  <si>
    <t>RESMX001101</t>
  </si>
  <si>
    <t>Pro_ValidateRulesTransferV1corporate</t>
  </si>
  <si>
    <t>RESMX001155</t>
  </si>
  <si>
    <t>Pro_ValidateRulesTransferCorporateV1</t>
  </si>
  <si>
    <t>RESMX001156</t>
  </si>
  <si>
    <t>Pro_OwnTransferCorporateV1</t>
  </si>
  <si>
    <t>RESMX001157</t>
  </si>
  <si>
    <t>Pro_SpeiTransferCorporateV1</t>
  </si>
  <si>
    <t>RESMX001158</t>
  </si>
  <si>
    <t>Pro_MovementsProductsCorporateV1</t>
  </si>
  <si>
    <t>RESMX001159</t>
  </si>
  <si>
    <t>Pro_SignOnlineTransferAuthorizationsCorporateV1</t>
  </si>
  <si>
    <t>RESMX001160</t>
  </si>
  <si>
    <t>Pro_CancelOnlineTransferAuthorizationsCorporateV1</t>
  </si>
  <si>
    <t>/v1/corporate/authorizations/transfer/online/cancel</t>
  </si>
  <si>
    <t>RESMX001161</t>
  </si>
  <si>
    <t>Pro_GetOnlineTransferAuthorizationsCorporateV1</t>
  </si>
  <si>
    <t>/v1/corporate/authorizations/transfer/online/get</t>
  </si>
  <si>
    <t>RESMX001162</t>
  </si>
  <si>
    <t>Pro_GetHistoryTransferAuthorizationsCorporateV1</t>
  </si>
  <si>
    <t>/v1/corporate/authorizations/transfer/history/get</t>
  </si>
  <si>
    <t>RESMX001189</t>
  </si>
  <si>
    <t>Rec Customer Products and Services</t>
  </si>
  <si>
    <t>RESMX001308</t>
  </si>
  <si>
    <t>RESMX001309</t>
  </si>
  <si>
    <t>RESMX001310</t>
  </si>
  <si>
    <t>RESMX001311</t>
  </si>
  <si>
    <t>RESMX001312</t>
  </si>
  <si>
    <t>RESMX001313</t>
  </si>
  <si>
    <t>RESMX001314</t>
  </si>
  <si>
    <t>RESMX001315</t>
  </si>
  <si>
    <t>RESMX001316</t>
  </si>
  <si>
    <t>RESMX001317</t>
  </si>
  <si>
    <t>RESMX001318</t>
  </si>
  <si>
    <t>RESMX001319</t>
  </si>
  <si>
    <t>RESMX001320</t>
  </si>
  <si>
    <t>RESMX001321</t>
  </si>
  <si>
    <t>RESMX001322</t>
  </si>
  <si>
    <t>RESMX001323</t>
  </si>
  <si>
    <t>Dom_RetrieveEmployeeV1</t>
  </si>
  <si>
    <t>/humanResourceManagement/employeeDataManagement</t>
  </si>
  <si>
    <t>/v1/employee/{employeeNumber}/retrieve</t>
  </si>
  <si>
    <t>Servicio de Proxy encargado de realizar la consulta del asesor previsional por medio del número de empleado.</t>
  </si>
  <si>
    <t>RESMX001324</t>
  </si>
  <si>
    <t>Pro_RetrieveEmployeeV1</t>
  </si>
  <si>
    <t>/system/humanResourceManagement/employeeDataManagement</t>
  </si>
  <si>
    <t>RESMX001325</t>
  </si>
  <si>
    <t>Br_EvaluateLocationV1</t>
  </si>
  <si>
    <t>/v1/evaluateLocation/</t>
  </si>
  <si>
    <t>Regla encargada de evaluar si una dirección es válida.</t>
  </si>
  <si>
    <t>RESMX001326</t>
  </si>
  <si>
    <t>Rec_RetrieveEmployeeV1</t>
  </si>
  <si>
    <t>/experience/humanResourceManagement/employeeDataManagement</t>
  </si>
  <si>
    <t>Servicio de Recepción encargado de realizar la consulta del asesor previsional por medio del número de empleado.</t>
  </si>
  <si>
    <t>RESMX001327</t>
  </si>
  <si>
    <t>Rec_UpdateTokenAssignmentV1</t>
  </si>
  <si>
    <t>Api de recepción que actualiza un código OTP(One Time Password) utilizado para validar el onboarding.</t>
  </si>
  <si>
    <t>RESMX001328</t>
  </si>
  <si>
    <t>Rec_RetrieveDeviceAssignmentV1</t>
  </si>
  <si>
    <t>RESMX001329</t>
  </si>
  <si>
    <t>Rec_RegisterDeviceAssignmentV1</t>
  </si>
  <si>
    <t>RESMX001330</t>
  </si>
  <si>
    <t>Rec_InitiateDeviceAssignmentV1</t>
  </si>
  <si>
    <t>Servicio de recepción encargado de almacenar la información del dispositivo del usuario, durante el proceso de onboarding del cliente.</t>
  </si>
  <si>
    <t>RESMX001331</t>
  </si>
  <si>
    <t>Rec_InitiatePartyRelationshipProcedureV1</t>
  </si>
  <si>
    <t>RESMX001332</t>
  </si>
  <si>
    <t>Rec_RetrieveCustomerContactSessionProcedureV1</t>
  </si>
  <si>
    <t>Servicio de Recepción encargado de verificar el estatus de la sesión actual en INCODE.</t>
  </si>
  <si>
    <t>RESMX001333</t>
  </si>
  <si>
    <t>Rec_InitiateCustomerContactSessionProcedureV1</t>
  </si>
  <si>
    <t>Servicio que se encargara de iniciar el proceso de onboarding.</t>
  </si>
  <si>
    <t>RESMX001334</t>
  </si>
  <si>
    <t>Pro_RetrieveCreditCardDataSyncV1</t>
  </si>
  <si>
    <t>/v1/creditCardDataSync/retrieve</t>
  </si>
  <si>
    <t>Este microservicio se utiliza en la sincronización de los ambientes de SmartVista, asegurando la descarga eficiente de información en el back office (BO) de la plataforma. Su función es mantener la coherencia y actualización de los datos en los distintos entornos, optimizando la gestión y disponibilidad de la información.</t>
  </si>
  <si>
    <t>RESMX001335</t>
  </si>
  <si>
    <t>Dom_RetrieveCreditCardDataSyncV1</t>
  </si>
  <si>
    <t>RESMX001336</t>
  </si>
  <si>
    <t>Pro_RegisterCreditCardDataSyncV1</t>
  </si>
  <si>
    <t>/system/platformOperations</t>
  </si>
  <si>
    <t>/v1/creditCardDataSync/register</t>
  </si>
  <si>
    <t>RESMX001337</t>
  </si>
  <si>
    <t>Dom_RegisterCreditCardDataSyncV1</t>
  </si>
  <si>
    <t>/platformOperations</t>
  </si>
  <si>
    <t>RESMX001338</t>
  </si>
  <si>
    <t>Rec_RetrieveCheckPointV1</t>
  </si>
  <si>
    <t>API de recepción que permite consultar la tabla de orquestación de procesos, con la finalidad de controlar las orquestaciones y saber el action en el que está una orquestación, para el proceso de paramétrico de APOLO Onboarding.</t>
  </si>
  <si>
    <t>RESMX001339</t>
  </si>
  <si>
    <t>Dom_RetrieveCardsByBatchV1</t>
  </si>
  <si>
    <t>/v1/cardsByBatch/retrieve</t>
  </si>
  <si>
    <t>Esta API operation es la encargada de recuperar el listado de tarjetas de crédito asociadas a un lote en la asignación/reposición de tarjetas de crédito en sucursales. La consulta se realiza por el número del lote y es correspondiente al proceso de "Recepción de TDC por lotes" de la iniciativa TDC Física.</t>
  </si>
  <si>
    <t>RESMX001340</t>
  </si>
  <si>
    <t>Pro_RetrieveCardsByBatchV1</t>
  </si>
  <si>
    <t>RESMX001341</t>
  </si>
  <si>
    <t>Rec_RetrieveCardsByBatchV1</t>
  </si>
  <si>
    <t>RESMX001342</t>
  </si>
  <si>
    <t>Dom_EvaluateCardBINV1</t>
  </si>
  <si>
    <t>/v1/cardBIN/evaluate</t>
  </si>
  <si>
    <t>API que valida un número de tarjeta, esto es correspondiente al proceso de Recepción de Tarjetas por lotes para la iniciativa TDC Física.</t>
  </si>
  <si>
    <t>RESMX001343</t>
  </si>
  <si>
    <t>Pro_EvaluateCardBINV1</t>
  </si>
  <si>
    <t>RESMX001344</t>
  </si>
  <si>
    <t>Rec_EvaluateCardBINV1</t>
  </si>
  <si>
    <t>RESMX001345</t>
  </si>
  <si>
    <t>Dom_EvaluateMutualFundAdministrationV1</t>
  </si>
  <si>
    <t>/marketOperations/mutualFundAdministration</t>
  </si>
  <si>
    <t>/v1/mutualFundAdministration/evaluate</t>
  </si>
  <si>
    <t>Servicio de dominio encargado de validar la afiliación de un trabajador al sistema de Afore Coppel.</t>
  </si>
  <si>
    <t>RESMX001346</t>
  </si>
  <si>
    <t>Dom_CaptureMutualFundAdministrationV1</t>
  </si>
  <si>
    <t>/v1/mutualFundAdministration/capture</t>
  </si>
  <si>
    <t>Servicio de dominio encargado de validar la autenticidad del request mediante el token, descifrando datos sensibles con AES-256 y verificando la estructura del request.</t>
  </si>
  <si>
    <t>RESMX001347</t>
  </si>
  <si>
    <t>Dom_InitiateMutualFundApplicationV1</t>
  </si>
  <si>
    <t>/v1/mutualFundApplication/initiate</t>
  </si>
  <si>
    <t>Servicio de dominio encargado de registrar los datos minimos necesario para la solicitud de Afore.</t>
  </si>
  <si>
    <t>RESMX001348</t>
  </si>
  <si>
    <t>Dom_CaptureProcesarV1</t>
  </si>
  <si>
    <t>/v1/procesar/capture</t>
  </si>
  <si>
    <t>Servicio de proxy encargado de registrar el sello generado por el servicio PROCESAR.</t>
  </si>
  <si>
    <t>RESMX001349</t>
  </si>
  <si>
    <t>Pro_EvaluateMutualFundAdministrationV1</t>
  </si>
  <si>
    <t>/system/marketOperations/mutualFundAdministration</t>
  </si>
  <si>
    <t>Servicio de Proxy encargado de validar la afiliación de un trabajador al sistema de Afore Coppel.</t>
  </si>
  <si>
    <t>RESMX001350</t>
  </si>
  <si>
    <t>Pro_CaptureMutualFundAdministrationV1</t>
  </si>
  <si>
    <t>Servicio de Proxy encargado de validar la autenticidad del request mediante el token, descifrando datos sensibles con AES-256 y verificando la estructura del request.</t>
  </si>
  <si>
    <t>RESMX001351</t>
  </si>
  <si>
    <t>Pro_InitiateMutualFundApplicationV1</t>
  </si>
  <si>
    <t>Servicio de Proxy encargado de registrar los datos minimos necesario para la solicitud de Afore.</t>
  </si>
  <si>
    <t>RESMX001352</t>
  </si>
  <si>
    <t>Pro_CaptureProcesarV1</t>
  </si>
  <si>
    <t>RESMX001353</t>
  </si>
  <si>
    <t>Rec_CaptureTokenAssignmentV1</t>
  </si>
  <si>
    <t>RESMX001354</t>
  </si>
  <si>
    <t>Rec_EvaluateMutualFundAdministrationV1</t>
  </si>
  <si>
    <t>/experience/marketOperations/mutualFundAdministration</t>
  </si>
  <si>
    <t>Servicio de recepción encargado de validar la afiliación de un trabajador al sistema de Afore Coppel.</t>
  </si>
  <si>
    <t>RESMX001355</t>
  </si>
  <si>
    <t>Rec_CaptureMutualFundAdministrationV1</t>
  </si>
  <si>
    <t>Servicio de recepción encargado de validar la autenticidad del request mediante el token, descifrando datos sensibles con AES-256 y verificando la estructura del request.</t>
  </si>
  <si>
    <t>RESMX001356</t>
  </si>
  <si>
    <t>Rec_InitiateMutualFundApplicationV1</t>
  </si>
  <si>
    <t>Servicio de recepción encargado de registrar los datos mínimos necesario para la solicitud de Afore.</t>
  </si>
  <si>
    <t>RESMX001357</t>
  </si>
  <si>
    <t>Rec_RetrieveRenapoV1</t>
  </si>
  <si>
    <t>Servicio de Recepción encargado validar el CURP en Renapo.</t>
  </si>
  <si>
    <t>RESMX001358</t>
  </si>
  <si>
    <t>Rec_CaptureProcesarV1</t>
  </si>
  <si>
    <t>RESMX001359</t>
  </si>
  <si>
    <t>Rec_ExecuteCardPaymentTransactionV1</t>
  </si>
  <si>
    <t>/cardPaymentTransaction/execute</t>
  </si>
  <si>
    <t>Esta operación realiza el proceso pago de una tarjeta en BPC y en caso de fallar reversar la transaccion</t>
  </si>
  <si>
    <t>RESMX001360</t>
  </si>
  <si>
    <t>Bus_ExecuteCardPaymentTransactionV1</t>
  </si>
  <si>
    <t>https://coppelmx.atlassian.net/wiki/spaces/GAC/pages/1289912333/RESMX001360_Bus_executeCardPaymentTransaction</t>
  </si>
  <si>
    <t>RESMX001361</t>
  </si>
  <si>
    <t>Dom_EvaluateCalendarReferenceV1</t>
  </si>
  <si>
    <t>/calendarReference/evaluate</t>
  </si>
  <si>
    <t xml:space="preserve">Permite evaluar si es un dia festivo </t>
  </si>
  <si>
    <t>RESMX001362</t>
  </si>
  <si>
    <t>Pro_EvaluateCalendarReferenceV1</t>
  </si>
  <si>
    <t>RESMX001363</t>
  </si>
  <si>
    <t>Rec_InitiateCardPaymentTransactionV1</t>
  </si>
  <si>
    <t>/cardPaymentTransaction/initiate</t>
  </si>
  <si>
    <t>RESMX001364</t>
  </si>
  <si>
    <t>Bus_InitiateCardPaymentTransactionV1</t>
  </si>
  <si>
    <t>Esta operación realiza el proceso pago de una tarjeta en BPC y en caso de fallar reversar la transacción</t>
  </si>
  <si>
    <t>RESMX001191</t>
  </si>
  <si>
    <t>RESMX001192</t>
  </si>
  <si>
    <t>RESMX001193</t>
  </si>
  <si>
    <t>RESMX001196</t>
  </si>
  <si>
    <t>RESMX001251</t>
  </si>
  <si>
    <t>/system/system/operationalServices/internalBankAccount</t>
  </si>
  <si>
    <t>RESMX001252</t>
  </si>
  <si>
    <t>/system/system/system/operationalServices/internalBankAccount</t>
  </si>
  <si>
    <t>RESMX001118</t>
  </si>
  <si>
    <t>/v1/corporate/products/statement/term</t>
  </si>
  <si>
    <t>Obtener periodos disponibles de estados de cuenta.</t>
  </si>
  <si>
    <t>RESMX001377</t>
  </si>
  <si>
    <t>Bus_GetStatementProductsCorporateV1</t>
  </si>
  <si>
    <t>/v1/customerCreditCardsIssued/retrieve</t>
  </si>
  <si>
    <t>RESMX001378</t>
  </si>
  <si>
    <t>Rec_GetStatementProductsCorporateV1</t>
  </si>
  <si>
    <t>/v1/customerCreditCardsProcessed/retrieve</t>
  </si>
  <si>
    <t>RESMX001379</t>
  </si>
  <si>
    <t>Rec_EvaluateIneV1</t>
  </si>
  <si>
    <t>POST /experience/sales/partyLifecycleManagement/v1/ine/evaluate</t>
  </si>
  <si>
    <t>Servicio de recepción que permite consultar el score de la direcciones del cliente de OCR.</t>
  </si>
  <si>
    <t>RESMX001380</t>
  </si>
  <si>
    <t>Rec_executeInternalCustomerReportingV1</t>
  </si>
  <si>
    <t>RESMX001381</t>
  </si>
  <si>
    <t>Bus_executeInternalCustomerReportingV1</t>
  </si>
  <si>
    <t>RESMX001382</t>
  </si>
  <si>
    <t>Rec_retrieveQualificationV1</t>
  </si>
  <si>
    <t>2.14</t>
  </si>
  <si>
    <t>v1/qualification/retrieve</t>
  </si>
  <si>
    <t>POST /experience/sales/partyLifecycleManagement/v1/qualification/retrieve</t>
  </si>
  <si>
    <t>Api de recepción  que permite consultar un estado de cliente en diferentes listas.</t>
  </si>
  <si>
    <t>RESMX001383</t>
  </si>
  <si>
    <t>Rec_InitiateApplicationStatusV1</t>
  </si>
  <si>
    <t>2.16</t>
  </si>
  <si>
    <t xml:space="preserve">/experience/sales/partyLifecycleManagement/
</t>
  </si>
  <si>
    <t xml:space="preserve">v1/applicationStatus/initiate
</t>
  </si>
  <si>
    <t>POST /experience/sales/partyLifecycleManagement/v1/applicationStatus/initiate</t>
  </si>
  <si>
    <t xml:space="preserve">Servicio de recepcion encargado de registrar los eventos de knockout que ocurren durante el proceso de onboarding del producto Apolo TDC.
</t>
  </si>
  <si>
    <t>RESMX001384</t>
  </si>
  <si>
    <t>Dom_InitiateApplicationStatusV1</t>
  </si>
  <si>
    <t>2.20</t>
  </si>
  <si>
    <t>/sales/partyLifecycleManagement/</t>
  </si>
  <si>
    <t xml:space="preserve">v1/applicationStatus/initiate
</t>
  </si>
  <si>
    <t>POST /sales/partyLifecycleManagement/v1/applicationStatus/initiate</t>
  </si>
  <si>
    <t xml:space="preserve">Servicio de dominio encargado de registrar los eventos de knockout que ocurren durante el proceso de onboarding del producto Apolo TDC.
</t>
  </si>
  <si>
    <t>RESMX001385</t>
  </si>
  <si>
    <t>Pro_InitiateApplicationStatusV1</t>
  </si>
  <si>
    <t>2.19</t>
  </si>
  <si>
    <t>/system/sales/partyLifecycleManagement/</t>
  </si>
  <si>
    <t xml:space="preserve">v1/applicationStatus/initiate
</t>
  </si>
  <si>
    <t>POST /system/sales/partyLifecycleManagement/v1/applicationStatus/initiate</t>
  </si>
  <si>
    <t xml:space="preserve">Servicio de proxy encargado de registrar los eventos de knockout que ocurren durante el proceso de onboarding del producto Apolo TDC.
</t>
  </si>
  <si>
    <t>RESMX001386</t>
  </si>
  <si>
    <t>Rec_retrieveCustomerIdentityV1</t>
  </si>
  <si>
    <t>1.13</t>
  </si>
  <si>
    <t xml:space="preserve">/experience/referenceData/
</t>
  </si>
  <si>
    <t xml:space="preserve">v1/customerIdentity/retrieve
</t>
  </si>
  <si>
    <t>POST /experience/referenceData/v1/customerIdentity/retrieve</t>
  </si>
  <si>
    <t xml:space="preserve">API de recepción encargado de validar el CURP mediante la integración con el servicio proporcionado por RENAPO (Incode) dom_retrieveRenapo. Con la finalidad de asegurar la veracidad de la información proporcionada por el usuario (datos personales) y realizando un guardado de la información en Yugabite (Dom_CaptureRenapo). En el proceso de onboarding
</t>
  </si>
  <si>
    <t>RESMX001387</t>
  </si>
  <si>
    <t>Bus_retrieveCustomerIdentityV1</t>
  </si>
  <si>
    <t>1.12</t>
  </si>
  <si>
    <t>/referenceData/</t>
  </si>
  <si>
    <t>POST /referenceData/v1/customerIdentity/retrieve</t>
  </si>
  <si>
    <t>En este microservicio es el encargado de validar el CURP mediante la integración con el servicio proporcionado por RENAPO (Incode). Con la finalidad de asegurar la veracidad de la información proporcionada por el usuario (datos personales) y realizando un guardado de la información en Yugabite. En el proceso de onboarding.</t>
  </si>
  <si>
    <t>RESMX001388</t>
  </si>
  <si>
    <t>Rec_EvaluateLocationV1</t>
  </si>
  <si>
    <t>/v1/location/evaluate</t>
  </si>
  <si>
    <t>POST /experience/marketData/locationDataManagement/v1/location/evaluate</t>
  </si>
  <si>
    <t>API encargada de validar que el nombre de la calle exista y retorna el número de la calle, para el flujo de validación de domicilio en el proceso de onboarding.</t>
  </si>
  <si>
    <t>RESMX001389</t>
  </si>
  <si>
    <t>Dom_EvaluateLocationV1</t>
  </si>
  <si>
    <t>POST /marketData/locationDataManagement/v1/location/evaluate</t>
  </si>
  <si>
    <t>RESMX001390</t>
  </si>
  <si>
    <t>Pro_EvaluateLocationV1</t>
  </si>
  <si>
    <t>POST /system/marketData/locationDataManagement/v1/location/evaluate</t>
  </si>
  <si>
    <t>RESMX001391</t>
  </si>
  <si>
    <t>Rec_EvaluatePartyInternalRatingBrV1</t>
  </si>
  <si>
    <t>/businessRule/accountManagement/counterpartyRisk</t>
  </si>
  <si>
    <t>/v1/evaluatePartyInternalRating</t>
  </si>
  <si>
    <t>POST /businessRule/accountManagement/counterpartyRisk/v1/evaluatePartyInternalRating</t>
  </si>
  <si>
    <t>Reception encargada de evaluar la regla #36</t>
  </si>
  <si>
    <t>RESMX001392</t>
  </si>
  <si>
    <t>Rec_retrieveCreditBureauInformationV1</t>
  </si>
  <si>
    <t>/experience/customerManagement/customerCreditRating/</t>
  </si>
  <si>
    <t>v1/creditBureauInformation/retrieve</t>
  </si>
  <si>
    <t>POST /experience/customerManagement/customerCreditRating/v1/creditBureauInformation/retrieve</t>
  </si>
  <si>
    <t>Api que retorna un numero random el cual servirá para definir si el proceso de calificación de la solicitud de crédito e Institución crediticia que se consumirá al consultar la información crediticia del cliente</t>
  </si>
  <si>
    <t>RESMX001393</t>
  </si>
  <si>
    <t>Dom_retrieveCreditBureauInformationV1</t>
  </si>
  <si>
    <t>/customerManagement/customerCreditRating/</t>
  </si>
  <si>
    <t>POST /customerManagement/customerCreditRating/v1/creditBureauInformation/retrieve</t>
  </si>
  <si>
    <t>RESMX001394</t>
  </si>
  <si>
    <t>Pro_retrieveCreditBureauInformationV1</t>
  </si>
  <si>
    <t>/system/customerManagement/customerCreditRating/</t>
  </si>
  <si>
    <t>POST /system/customerManagement/customerCreditRating/v1/creditBureauInformation/retrieve</t>
  </si>
  <si>
    <t>RESMX001395</t>
  </si>
  <si>
    <t>Dom_updateCustomerCreditRatingV1</t>
  </si>
  <si>
    <t>POST /accountManagement/counterpartyRisk/v1/customerCreditRating/initiate</t>
  </si>
  <si>
    <t>Esta Api realiza el cambio de SIC consultada a la otra SIC, como respaldo en caso de no tener respuesta de la primera SIC (Sociedad de Información Crediticia) consultada.</t>
  </si>
  <si>
    <t>RESMX001396</t>
  </si>
  <si>
    <t>Pro_updateCustomerCreditRatingV1</t>
  </si>
  <si>
    <t>POST /system/accountManagement/counterpartyRisk/v1/customerCreditRating/initiate</t>
  </si>
  <si>
    <t>RESMX001397</t>
  </si>
  <si>
    <t>Rec_evaluateApplicationServiceV1</t>
  </si>
  <si>
    <t xml:space="preserve">/experience/utility/utility/
</t>
  </si>
  <si>
    <t xml:space="preserve">v1/applicationService/evaluate
</t>
  </si>
  <si>
    <t>POST /experience/utility/utility/v1/applicationService/evaluate</t>
  </si>
  <si>
    <t>api que permite verificar la disponibilidad y operatividad de un servicio específico</t>
  </si>
  <si>
    <t>RESMX001398</t>
  </si>
  <si>
    <t>Dom_evaluateApplicationServiceV1</t>
  </si>
  <si>
    <t>/utility/utility/</t>
  </si>
  <si>
    <t>POST /utility/utility/v1/applicationService/evaluate</t>
  </si>
  <si>
    <t>RESMX001399</t>
  </si>
  <si>
    <t>Pro_evaluateApplicationServiceV1</t>
  </si>
  <si>
    <t>1.4.0</t>
  </si>
  <si>
    <t>/system/utility/utility/</t>
  </si>
  <si>
    <t xml:space="preserve">POST /system/utility/utility/v1/applicationService/evaluate
</t>
  </si>
  <si>
    <t>RESMX001400</t>
  </si>
  <si>
    <t>Rec_retrieveCreditCardApplicationV1</t>
  </si>
  <si>
    <t>1.31.1</t>
  </si>
  <si>
    <t>POST /experience/cards/creditCard/v1/creditCardApplication/retrieve</t>
  </si>
  <si>
    <t>RESMX001401</t>
  </si>
  <si>
    <t>Bus_updateCustomerCreditRatingV1</t>
  </si>
  <si>
    <t>1.16.0</t>
  </si>
  <si>
    <t>/v1/customerCreditRating/update</t>
  </si>
  <si>
    <t>POST /salesAndService/v1/customerCreditRating/update</t>
  </si>
  <si>
    <t>Permite consultar si un cliente se encuentra en una lista negra</t>
  </si>
  <si>
    <t>https://coppelmx.atlassian.net/wiki/x/DYAigQ</t>
  </si>
  <si>
    <t>Rec Sales And Service</t>
  </si>
  <si>
    <t>RESMX001402</t>
  </si>
  <si>
    <t>1.16.2</t>
  </si>
  <si>
    <t>/v1/customerCreditRatingState/register</t>
  </si>
  <si>
    <t>Servicio de recepción que registra el score crediticio</t>
  </si>
  <si>
    <t>Bus Sales And Service</t>
  </si>
  <si>
    <t>RESMX001403</t>
  </si>
  <si>
    <t>Bus_registerCustomerCreditRatingStateV1</t>
  </si>
  <si>
    <t>Servicio de negocio que registra el score crediticio.</t>
  </si>
  <si>
    <t>https://coppelmx.atlassian.net/wiki/x/SABBWQ</t>
  </si>
  <si>
    <t>RESMX001404</t>
  </si>
  <si>
    <t>/salesAndService/</t>
  </si>
  <si>
    <t>https://coppelmx.atlassian.net/wiki/x/e4A9WQ</t>
  </si>
  <si>
    <t>RESMX001119</t>
  </si>
  <si>
    <t>/v1/corporate/products/statement/get</t>
  </si>
  <si>
    <t>Obtiene estado de cuenta en formato Base64.</t>
  </si>
  <si>
    <t>RESMX001120</t>
  </si>
  <si>
    <t>/v1/corporate/list/file/get</t>
  </si>
  <si>
    <t>Obtiene el catalogo de archivos disponibles por operacion masiva.</t>
  </si>
  <si>
    <t>RESMX001236</t>
  </si>
  <si>
    <t>RESMX001238</t>
  </si>
  <si>
    <t>Obtiene movimientos de la cuenta.</t>
  </si>
  <si>
    <t>RESMX001369</t>
  </si>
  <si>
    <t>Dom_ExecuteTemplateCorporateV1</t>
  </si>
  <si>
    <t>/v1/corporate/template/execute</t>
  </si>
  <si>
    <t>RESMX001135</t>
  </si>
  <si>
    <t>Rec_TermStatementProductsCorporateV1</t>
  </si>
  <si>
    <t>RESMX001136</t>
  </si>
  <si>
    <t>RESMX001137</t>
  </si>
  <si>
    <t>Rec_GetFileListCorporateV1</t>
  </si>
  <si>
    <t>RESMX001169</t>
  </si>
  <si>
    <t>RESMX001170</t>
  </si>
  <si>
    <t>RESMX001171</t>
  </si>
  <si>
    <t>RESMX001226</t>
  </si>
  <si>
    <t>RESMX001227</t>
  </si>
  <si>
    <t>RESMX001228</t>
  </si>
  <si>
    <t>RESMX001229</t>
  </si>
  <si>
    <t>RESMX001152</t>
  </si>
  <si>
    <t>RESMX001153</t>
  </si>
  <si>
    <t>RESMX001154</t>
  </si>
  <si>
    <t>RESMX001186</t>
  </si>
  <si>
    <t>RESMX001248</t>
  </si>
  <si>
    <t>RESMX001370</t>
  </si>
  <si>
    <t>Pro_ExecuteTemplateCorporateV1</t>
  </si>
  <si>
    <t>RESMX001365</t>
  </si>
  <si>
    <t>/experience/businessSupport/documentManagementAndArchive</t>
  </si>
  <si>
    <t>RESMX001376</t>
  </si>
  <si>
    <t>https://coppelmx.atlassian.net/wiki/spaces/SEAC/pages/1350533137/RESMX001376+Rec_GetStatementProductsCorporateV1</t>
  </si>
  <si>
    <t>RESMX001366</t>
  </si>
  <si>
    <t>Bus_EmailNotificationCorporateV1</t>
  </si>
  <si>
    <t>RESMX001375</t>
  </si>
  <si>
    <t>https://coppelmx.atlassian.net/wiki/spaces/SEAC/pages/1350500379/RESMX001375+Bus_GetStatementProductsCorporateV1</t>
  </si>
  <si>
    <t>RESMX001435</t>
  </si>
  <si>
    <t>Bus_GetFileFileTransferAuthorizationsCorporateV1</t>
  </si>
  <si>
    <t>https://coppelmx.atlassian.net/wiki/spaces/SEAC/pages/1370915089/RESMX001435+Bus_GetFileFileTransferAuthorizationsCorporateV1</t>
  </si>
  <si>
    <t>RESMX001438</t>
  </si>
  <si>
    <t>Bus_CaptureDocumentsCorporateV1</t>
  </si>
  <si>
    <t>/v1/corporate/documents/capture</t>
  </si>
  <si>
    <t>https://coppelmx.atlassian.net/wiki/spaces/SEAC/pages/1372323890/RESMX001438+Bus_CaptureDocumentsCorporateV1</t>
  </si>
  <si>
    <t>RESMX001367</t>
  </si>
  <si>
    <t>Dom_NotifyEmailCorporateV1</t>
  </si>
  <si>
    <t>/v1/corporate/email/notify</t>
  </si>
  <si>
    <t>RESMX001368</t>
  </si>
  <si>
    <t>Pro_NotifyEmailCorporateV1</t>
  </si>
  <si>
    <t>RESMX001374</t>
  </si>
  <si>
    <t>Bus_SyncHardTokenCorporateV1</t>
  </si>
  <si>
    <t>Elemento encargado de orquestar las capas de dominio: Dom_syncTokenRsa y Dom_validateStatusHardtoken,  utilizados para la sincronización del dispositivo físico (hard token) que utiliza el usuario como segundo factor de autenticación para iniciar sesión en el sistema Empresanet.</t>
  </si>
  <si>
    <t>https://coppelmx.atlassian.net/wiki/spaces/SEAC/pages/1311768609/RESMX001374+Bus_SyncHardTokenCorporateV1</t>
  </si>
  <si>
    <t>RESMX001405</t>
  </si>
  <si>
    <t>Bus_ValidateOtpHardTokenCorporateV1</t>
  </si>
  <si>
    <t>https://coppelmx.atlassian.net/wiki/spaces/SEAC/pages/1314357606/RESMX001405+Bus_ValidateOtpHardTokenCorporateV1</t>
  </si>
  <si>
    <t>RESMX001434</t>
  </si>
  <si>
    <t>Bus_ValidateRecoveryCodeUserCorporateV1</t>
  </si>
  <si>
    <t>https://coppelmx.atlassian.net/wiki/spaces/SEAC/pages/1353580620/RESMX001434+Bus_ValidateRecoveryCodeUserCorporateV1</t>
  </si>
  <si>
    <t>RESMX001436</t>
  </si>
  <si>
    <t>Bus_ExecuteRecoveryCodeCorporateV1</t>
  </si>
  <si>
    <t>/v1/corporate/recoveryCode/execute</t>
  </si>
  <si>
    <t>https://coppelmx.atlassian.net/wiki/spaces/SEAC/pages/1340047362/RESMX001436+Bus_ExecuteRecoveryCodeCorporateV1</t>
  </si>
  <si>
    <t>RESMX001433</t>
  </si>
  <si>
    <t>Bus_EditStatusStatusHardTokenCorporateV1</t>
  </si>
  <si>
    <t>/v1/corporate/statusHardToken/editStatus</t>
  </si>
  <si>
    <t>https://coppelmx.atlassian.net/wiki/spaces/SEAC/pages/1343127699/RESMX001433+Bus_EditStatusHardTokenCorporateV1</t>
  </si>
  <si>
    <t>RESMX001422</t>
  </si>
  <si>
    <t>Dom_UpdateEnrollmentPhaseCorporateV1</t>
  </si>
  <si>
    <t>/v1/corporate/enrollmentPhase/update</t>
  </si>
  <si>
    <t>https://coppelmx.atlassian.net/wiki/spaces/SEAC/pages/1330905139/RESMX001422+Dom_UpdateEnrollmentPhaseCorporateV1</t>
  </si>
  <si>
    <t>RESMX001426</t>
  </si>
  <si>
    <t>Pro_UpdateEnrollmentPhaseCorporateV1</t>
  </si>
  <si>
    <t>https://coppelmx.atlassian.net/wiki/spaces/SEAC/pages/1331232789/RESMX001426+Pro_UpdateEnrollmentPhaseCorporateV1</t>
  </si>
  <si>
    <t>Bus Archive Services Corporate</t>
  </si>
  <si>
    <t>RESMX001437</t>
  </si>
  <si>
    <t>Bus_DeleteFileCorporateV1</t>
  </si>
  <si>
    <t>/documentManagementAndArchive/archiveServices</t>
  </si>
  <si>
    <t>https://coppelmx.atlassian.net/wiki/spaces/SEAC/pages/1363345598/RESMX001437+Bus_DeleteFileCorporateV1</t>
  </si>
  <si>
    <t>RESMX001439</t>
  </si>
  <si>
    <t>Bus_SignFileTransferCorporateV1</t>
  </si>
  <si>
    <t>/crossChanel/transactionAuthorization</t>
  </si>
  <si>
    <t>/v1/corporate/transfer/file/sign</t>
  </si>
  <si>
    <t>https://coppelmx.atlassian.net/wiki/spaces/SEAC/pages/1376747533/RESMX001439+Bus_SignFileTransferCorporateV1</t>
  </si>
  <si>
    <t>RESMX001444</t>
  </si>
  <si>
    <t>Dom_RetrieveStatusStatementProductsCorporateV1</t>
  </si>
  <si>
    <t>/businessSupport/documentManagementAndArchive</t>
  </si>
  <si>
    <t>/v1/corporate/products/statement/status/retrieve</t>
  </si>
  <si>
    <t>https://coppelmx.atlassian.net/wiki/spaces/SEAC/pages/1361379329/RESMX001444+Dom_RetrieveStatusStatementProductsCorporateV1</t>
  </si>
  <si>
    <t>RESMX001445</t>
  </si>
  <si>
    <t>Dom_RetrieveStatementProductsCorporateV1</t>
  </si>
  <si>
    <t>/v1/corporate/products/statement/retrieve</t>
  </si>
  <si>
    <t>https://coppelmx.atlassian.net/wiki/spaces/SEAC/pages/1366097961/RESMX001445+Dom_RetrieveStatementProductsCorporateV1</t>
  </si>
  <si>
    <t>RESMX001446</t>
  </si>
  <si>
    <t>Dom_RecordPasswordCorporateV1</t>
  </si>
  <si>
    <t>/v1/corporate/password/record</t>
  </si>
  <si>
    <t>https://coppelmx.atlassian.net/wiki/spaces/SEAC/pages/1359314979/RESMX001446+Dom_RecordPasswordCorporateV1</t>
  </si>
  <si>
    <t>RESMX001447</t>
  </si>
  <si>
    <t>Dom_ExecuteGenerateOTPRecoveryCodeUserCorporateV1</t>
  </si>
  <si>
    <t>/v1/corporate/user/recoveryCode/generateOTP/execute</t>
  </si>
  <si>
    <t>https://coppelmx.atlassian.net/wiki/spaces/SEAC/pages/1349091440/RESMX001447+Dom_ExecuteGenerateOTPRecoveryCodeUserCorporateV1</t>
  </si>
  <si>
    <t>RESMX001448</t>
  </si>
  <si>
    <t>Dom_CreateFileStatementProductsCorporateV1</t>
  </si>
  <si>
    <t>/v1/corporate/products/statement/createFile</t>
  </si>
  <si>
    <t>https://coppelmx.atlassian.net/wiki/spaces/SEAC/pages/1370325068/RESMX001448+Dom_CreateFileStatementProductsCorporateV1</t>
  </si>
  <si>
    <t>RESMX001449</t>
  </si>
  <si>
    <t>Dom_CheckOtpStatusValidateRecoveryCodeUserCorporeateV1</t>
  </si>
  <si>
    <t>v1/corporeate/user/recoveryCode/validate/status/otp/check</t>
  </si>
  <si>
    <t>https://coppelmx.atlassian.net/wiki/spaces/SEAC/pages/1354399756/RESMX001449+Dom_CheckOtpStatusValidateRecoveryCodeUserCorporeateV1</t>
  </si>
  <si>
    <t>Pro Party Reference Data Directory Corporate</t>
  </si>
  <si>
    <t>RESMX001450</t>
  </si>
  <si>
    <t>Pro_ValidatePartyContactDataCorporateV1</t>
  </si>
  <si>
    <t>https://coppelmx.atlassian.net/wiki/spaces/SEAC/pages/1372356611/RESMX001450+Pro_ValidatePartyContactDataCorporateV1</t>
  </si>
  <si>
    <t>RESMX001451</t>
  </si>
  <si>
    <t>Pro_UpdateOtpStatusValidateRecoveryCodeUserCorporeateV1</t>
  </si>
  <si>
    <t>https://coppelmx.atlassian.net/wiki/spaces/SEAC/pages/1367343105/RESMX001451+Pro_UpdateOtpStatusValidateRecoveryCodeUserCorporeateV1</t>
  </si>
  <si>
    <t>RESMX001452</t>
  </si>
  <si>
    <t>Pro_RetrieveStatusStatementProductsCorporateV1</t>
  </si>
  <si>
    <t>/system/businessSupport/documentManagementAndArchive</t>
  </si>
  <si>
    <t>https://coppelmx.atlassian.net/wiki/spaces/SEAC/pages/1361543241/RESMX001452+Pro_RetrieveStatusStatementProductsCorporateV1</t>
  </si>
  <si>
    <t>RESMX001453</t>
  </si>
  <si>
    <t>Pro_RetrieveStatementProductsCorporateV1</t>
  </si>
  <si>
    <t>https://coppelmx.atlassian.net/wiki/spaces/SEAC/pages/1366000097/RESMX001453+Pro_RetrieveStatementProductsCorporateV1</t>
  </si>
  <si>
    <t>RESMX001454</t>
  </si>
  <si>
    <t>Pro_RecordPasswordCorporateV1</t>
  </si>
  <si>
    <t>https://coppelmx.atlassian.net/wiki/spaces/SEAC/pages/1359478786/RESMX001454+Pro_RecordPasswordCorporateV1</t>
  </si>
  <si>
    <t>RESMX001455</t>
  </si>
  <si>
    <t>Pro_ExecuteGenerateOTPRecoveryCodeUserCorporateV1</t>
  </si>
  <si>
    <t>https://coppelmx.atlassian.net/wiki/spaces/SEAC/pages/1349255310/RESMX001455+Pro_ExecuteGenerateOTPRecoveryCodeUserCorporateV1</t>
  </si>
  <si>
    <t>RESMX001456</t>
  </si>
  <si>
    <t>Pro_CreateFileStatementProductsCorporateV1</t>
  </si>
  <si>
    <t>https://coppelmx.atlassian.net/wiki/spaces/SEAC/pages/1370128427/RESMX001456+Pro_CreateFileStatementProductsCorporateV1</t>
  </si>
  <si>
    <t>RESMX001457</t>
  </si>
  <si>
    <t>Pro_CheckOtpStatusValidateRecoveryCodeUserCorporeateV1</t>
  </si>
  <si>
    <t>https://coppelmx.atlassian.net/wiki/spaces/SEAC/pages/1353744401/RESMX001457+Pro_CheckOtpStatusValidateRecoveryCodeUserCorporeateV1</t>
  </si>
  <si>
    <t>RESMX001458</t>
  </si>
  <si>
    <t>Pro_ValidateStatusChangedHardTokenCorporateV1</t>
  </si>
  <si>
    <t>https://coppelmx.atlassian.net/wiki/spaces/SEAC/pages/1359872001/RESMX001458+Pro_ValidateStatusChangedHardTokenCorporateV1</t>
  </si>
  <si>
    <t>RESMX001459</t>
  </si>
  <si>
    <t>Pro_EnabledTokenEditStatusHardTokenCorporateV1</t>
  </si>
  <si>
    <t>https://coppelmx.atlassian.net/wiki/spaces/SEAC/pages/1360265237/RESMX001459+Pro_EnabledTokenEditStatusHardTokenCorporateV1</t>
  </si>
  <si>
    <t>RESMX001461</t>
  </si>
  <si>
    <t>https://coppelmx.atlassian.net/wiki/spaces/SEAC/pages/1353252884/RESMX001461+Rec_ValidateRecoveryCodeUserCorporateV1</t>
  </si>
  <si>
    <t>RESMX001462</t>
  </si>
  <si>
    <t>https://coppelmx.atlassian.net/wiki/spaces/SEAC/pages/1370816760/RESMX001462+Rec_GetFileFileTransferAuthorizationsCorporateV1</t>
  </si>
  <si>
    <t>RESMX001463</t>
  </si>
  <si>
    <t>Rec_ExecuteRecoveryCodeCorporateV1</t>
  </si>
  <si>
    <t>https://coppelmx.atlassian.net/wiki/spaces/SEAC/pages/1340112897/RESMX001463+Rec_ExecuteRecoveryCodeCorporateV1</t>
  </si>
  <si>
    <t>Rec Archive Services Corporate</t>
  </si>
  <si>
    <t>RESMX001464</t>
  </si>
  <si>
    <t>/experience/documentManagementAndArchive/archiveServices</t>
  </si>
  <si>
    <t>https://coppelmx.atlassian.net/wiki/spaces/SEAC/pages/1363345510/RESMX001464+Rec_DeleteFileCorporateV1</t>
  </si>
  <si>
    <t>RESMX001465</t>
  </si>
  <si>
    <t>Rec_CaptureDocumentsCorporateV1</t>
  </si>
  <si>
    <t>https://coppelmx.atlassian.net/wiki/spaces/SEAC/pages/1372454916/RESMX001465+Rec_CaptureDocumentsCorporateV1</t>
  </si>
  <si>
    <t>RESMX001466</t>
  </si>
  <si>
    <t>Rec_SignFileTransferCorporateV1</t>
  </si>
  <si>
    <t>/experience/crossChanel/transactionAuthorization</t>
  </si>
  <si>
    <t>https://coppelmx.atlassian.net/wiki/spaces/SEAC/pages/1376518255/RESMX001466+Rec_SignFileTransferCorporateV1</t>
  </si>
  <si>
    <t>AsyncAPI</t>
  </si>
  <si>
    <t>RESMX001467</t>
  </si>
  <si>
    <t>Wrk_QDestinationAccountRegisterCorporateV1
Wrk_DLQDestinationAccountRegisterCorporateV1</t>
  </si>
  <si>
    <t>NA</t>
  </si>
  <si>
    <t>QUEUE</t>
  </si>
  <si>
    <t>[Queue] q.destinationAccount.register
[Dead Leter Queue] dlq.destinationAccount.register</t>
  </si>
  <si>
    <t>https://coppelmx.atlassian.net/wiki/spaces/SEAC/pages/1835401281/RESMX001467+Wrk_QDestinationAccountRegisterCorporateV1</t>
  </si>
  <si>
    <t>RESMX001468</t>
  </si>
  <si>
    <t>Dom_DownloadFileTransferAuthorizationsCorporateV1</t>
  </si>
  <si>
    <t>/v1/corporate/authorizations/transfer/file/download</t>
  </si>
  <si>
    <t>https://coppelmx.atlassian.net/wiki/spaces/SEAC/pages/1381269507/RESMX001468+Dom_DownloadFileTransferAuthorizationsCorporateV1</t>
  </si>
  <si>
    <t>RESMX001469</t>
  </si>
  <si>
    <t>Pro_DownloadFileTransferAuthorizationsCorporateV1</t>
  </si>
  <si>
    <t>https://coppelmx.atlassian.net/wiki/spaces/SEAC/pages/1381007373/RESMX001469+Pro_DownloadFileTransferAuthorizationsCorporateV1</t>
  </si>
  <si>
    <t>RESMX001470</t>
  </si>
  <si>
    <t>Dom_RegisterOnlineTransferAuthorizationsCorporateV1</t>
  </si>
  <si>
    <t>/v1/corporate/authorizations/transfer/online/register</t>
  </si>
  <si>
    <t>https://coppelmx.atlassian.net/wiki/spaces/SEAC/pages/1386283086/RESMX001470+Dom_RegisterOnlineTransferAuthorizationsCorporateV1</t>
  </si>
  <si>
    <t>RESMX001471</t>
  </si>
  <si>
    <t>Pro_RegisterOnlineTransferAuthorizationsCorporateV1</t>
  </si>
  <si>
    <t>https://coppelmx.atlassian.net/wiki/spaces/SEAC/pages/1386545169/RESMX001471+Pro_RegisterOnlineTransferAuthorizationsCorporateV1</t>
  </si>
  <si>
    <t>RESMX001472</t>
  </si>
  <si>
    <t>Dom_SignFileTransferCorporateV1</t>
  </si>
  <si>
    <t>/accountManagement/transactionAuthorization</t>
  </si>
  <si>
    <t>https://coppelmx.atlassian.net/wiki/spaces/SEAC/pages/1397162034/RESMX001472+Dom_SignFileTransferCorporateV1</t>
  </si>
  <si>
    <t>RESMX001473</t>
  </si>
  <si>
    <t>Pro_SignFileTransferCorporateV1</t>
  </si>
  <si>
    <t>/system/crossChannel/transactionAuthorization</t>
  </si>
  <si>
    <t>https://coppelmx.atlassian.net/wiki/spaces/SEAC/pages/1397096461/RESMX001473+Pro_SignFileTransferCorporateV1</t>
  </si>
  <si>
    <t>RESMX001474</t>
  </si>
  <si>
    <t>Wrk_QValidateDestinationAccountFileCorporateV1 Wrk_DLQValidateDestinationAccountFileCorporateV1</t>
  </si>
  <si>
    <t>https://coppelmx.atlassian.net/wiki/spaces/SEAC/pages/1834614946/RESMX001474+Wrk_QValidateDestinationAccountFileCorporateV1</t>
  </si>
  <si>
    <t>RESMX001475</t>
  </si>
  <si>
    <t>Dom_EvaluateVerificationDocumentCorporateV1</t>
  </si>
  <si>
    <t>/v1/corporate/document/verification/evaluate</t>
  </si>
  <si>
    <t>https://coppelmx.atlassian.net/wiki/spaces/SEAC/pages/1397162082/RESMX001475+Dom_EvaluateVerificationDocumentCorporateV1</t>
  </si>
  <si>
    <t>RESMX001476</t>
  </si>
  <si>
    <t>Pro_EvaluateVerificationDocumentCorporateV1</t>
  </si>
  <si>
    <t>https://coppelmx.atlassian.net/wiki/spaces/SEAC/pages/1397096571/RESMX001476+Pro_EvaluateVerificationDocumentCorporateV1</t>
  </si>
  <si>
    <t>RESMX001477</t>
  </si>
  <si>
    <t>https://coppelmx.atlassian.net/wiki/spaces/SEAC/pages/1834713196/RESMX001477+Pro_DeleteFileCorporateV1</t>
  </si>
  <si>
    <t>RESMX001478</t>
  </si>
  <si>
    <t>https://coppelmx.atlassian.net/wiki/spaces/SEAC/pages/1835532340/RESMX001478+Dom_DeleteFileCorporateV1</t>
  </si>
  <si>
    <t>RESMX001479</t>
  </si>
  <si>
    <t>Pro_DeleteFileRecordsCorporateV1</t>
  </si>
  <si>
    <t>/v1/corporate/fileRecords/delete</t>
  </si>
  <si>
    <t>https://coppelmx.atlassian.net/wiki/spaces/SEAC/pages/1403879478/RESMX001479+Pro_DeleteFileRecordsCorporateV1</t>
  </si>
  <si>
    <t>RESMX001480</t>
  </si>
  <si>
    <t>Dom_DeleteFileRecordsCorporateV1</t>
  </si>
  <si>
    <t>https://coppelmx.atlassian.net/wiki/spaces/SEAC/pages/1403125816/RESMX001480+Dom_DeleteFileRecordsCorporateV1</t>
  </si>
  <si>
    <t>RESMX001481</t>
  </si>
  <si>
    <t>Dom_RegisterFileCorporateV1</t>
  </si>
  <si>
    <t>/v1/corporate/file/register</t>
  </si>
  <si>
    <t>https://coppelmx.atlassian.net/wiki/spaces/SEAC/pages/1400274945/RESMX001481+Dom_RegisterFileCorporateV1</t>
  </si>
  <si>
    <t>RESMX001482</t>
  </si>
  <si>
    <t>Dom_ExchangeMessageCorporateV1</t>
  </si>
  <si>
    <t>/itManagement/operationalGateway</t>
  </si>
  <si>
    <t>/v1/corporate/message/exchange</t>
  </si>
  <si>
    <t>https://coppelmx.atlassian.net/wiki/spaces/SEAC/pages/1401159685/RESMX001482+Dom_ExchangeMessageCorporateV1</t>
  </si>
  <si>
    <t>RESMX001483</t>
  </si>
  <si>
    <t>Dom_CreateFileRecordsCorporateV1</t>
  </si>
  <si>
    <t>/v1/corporate/fileRecords/create</t>
  </si>
  <si>
    <t>https://coppelmx.atlassian.net/wiki/spaces/SEAC/pages/1403912243/RESMX001483+Dom_CreateFileRecordsCorporateV1</t>
  </si>
  <si>
    <t>RESMX001484</t>
  </si>
  <si>
    <t>Pro_CreateFileRecordsCorporateV1</t>
  </si>
  <si>
    <t>https://coppelmx.atlassian.net/wiki/spaces/SEAC/pages/1403846684/RESMX001484+Pro_CreateFileRecordsCorporateV1</t>
  </si>
  <si>
    <t>RESMX001485</t>
  </si>
  <si>
    <t>Wrk_QInitiateFundsTransferCorporateV1 Wrk_DLQInitiateFundsTransferCorporateV1</t>
  </si>
  <si>
    <t>[Queue] q.transferFunds.initiate
[Dead Leter Queue] dlq.transferFunds.initiate</t>
  </si>
  <si>
    <t>https://coppelmx.atlassian.net/wiki/spaces/SEAC/pages/1835729068/RESMX001485+Wrk_QInitiateFundsTransferCorporateV1+Wrk_DLQInitiateFundsTransferCorporateV1</t>
  </si>
  <si>
    <t>RESMX001486</t>
  </si>
  <si>
    <t>Wrk_QValidateTransferFileV1  Wrk_DLQValidateTransferFileV1</t>
  </si>
  <si>
    <t>https://coppelmx.atlassian.net/wiki/spaces/SEAC/pages/1834188942/RESMX001486+Wrk_QValidateTransferFileV1+Wrk_DLQValidateTransferFileV1</t>
  </si>
  <si>
    <t>RESMX001487</t>
  </si>
  <si>
    <t>Wrk_QExecuteFundsTransferSPEI_V1
Wrk_DLQExecuteFundsTransferSPEI_V1</t>
  </si>
  <si>
    <t>[Queue] q.fundsTransferSPEI.execute
[Dead Leter Queue] dlq.fundsTransferSPEI.execute</t>
  </si>
  <si>
    <t>https://coppelmx.atlassian.net/wiki/spaces/SEAC/pages/1836155038/RESMX001487+Wrk_QExecuteFundsTransferSPEI_V1+Wrk_DLQExecuteFundsTransferSPEI_V1</t>
  </si>
  <si>
    <t>RESMX001488</t>
  </si>
  <si>
    <t>Wrk_QExecuteFundsTransferIntraBankMassive_V1
Wrk_DLQExecuteFundsTransferIntraBankMassive_V1</t>
  </si>
  <si>
    <t>[Queue] q.fundsTransferIntraBanckMassive.execute
[Dead Leter Queue] dlq.fundsTransferIntraBanckMassive.execute</t>
  </si>
  <si>
    <t>https://coppelmx.atlassian.net/wiki/spaces/SEAC/pages/1835532377/RESMX001488+Wrk_QExecuteFundsTransferIntraBankMassive_V1+Wrk_DLQExecuteFundsTransferIntraBankMassive_V1</t>
  </si>
  <si>
    <t>RESMX001489</t>
  </si>
  <si>
    <t>https://coppelmx.atlassian.net/wiki/spaces/SEAC/pages/1346535425/RESMX001489+Dom_UpdateUserCorporateV1</t>
  </si>
  <si>
    <t>RESMX001491</t>
  </si>
  <si>
    <t>Rec_captureCreditProfileV1</t>
  </si>
  <si>
    <t>/experience/partyReference/partyRetailReferenceDataDirectory</t>
  </si>
  <si>
    <t xml:space="preserve">v1/creditProfile/capture
</t>
  </si>
  <si>
    <t>POST /experience/partyReference/partyRetailReferenceDataDirectory/v1/creditProfile/capture</t>
  </si>
  <si>
    <t>RESMX001492</t>
  </si>
  <si>
    <t>Rec_RetrievecustomerCreditRatingCCV1</t>
  </si>
  <si>
    <t>1.17.0</t>
  </si>
  <si>
    <t>/experience/salesAndService/</t>
  </si>
  <si>
    <t>/v1/customerCreditRatingCC/retrieve</t>
  </si>
  <si>
    <t>POST /experience/salesAndService/v1/customerCreditRatingCC/retrieve</t>
  </si>
  <si>
    <t>Consulta un conjunto de datos que incluye la puntuación y la calificación crediticia y de riesgo de un Cliente dentro del proceso de Tarjeta de Crédito (TDC)</t>
  </si>
  <si>
    <t>RESMX001493</t>
  </si>
  <si>
    <t>Bus_RetrievecustomerCreditRatingCCV1</t>
  </si>
  <si>
    <t>POST /salesAndService/v1/customerCreditRatingCC/retrieve</t>
  </si>
  <si>
    <t>https://coppelmx.atlassian.net/wiki/x/VIAcWw</t>
  </si>
  <si>
    <t>RESMX001494</t>
  </si>
  <si>
    <t>Dom_RetrievecustomerCreditRatingCCV1</t>
  </si>
  <si>
    <t>POST /accountManagement/counterpartyRisk/v1/customerCreditRatingCC/retrieve</t>
  </si>
  <si>
    <t>Este microservicio realiza el cálculo del círculo de crédito a través de un Store Procedure</t>
  </si>
  <si>
    <t>RESMX001495</t>
  </si>
  <si>
    <t>Pro_RetrievecustomerCreditRatingCCV1</t>
  </si>
  <si>
    <t>POST /system/accountManagement/counterpartyRisk/v1/customerCreditRatingCC/retrieve</t>
  </si>
  <si>
    <t xml:space="preserve">Este microservicio realiza el cálculo del círculo de crédito a través de un Store Procedure
</t>
  </si>
  <si>
    <t>RESMX001496</t>
  </si>
  <si>
    <t>Rec_evaluateCreditCardApplicationV1</t>
  </si>
  <si>
    <t>1.20.0</t>
  </si>
  <si>
    <t>v1/creditCardApplication/evaluate</t>
  </si>
  <si>
    <t>POST /experience/cards/v1/creditCardApplication/evaluate</t>
  </si>
  <si>
    <t>API encargada evaluar el estado de solicitudes de tarjetas de credito de prospectos.</t>
  </si>
  <si>
    <t>RESMX001497</t>
  </si>
  <si>
    <t>Bus_EvaluateCreditCardApplicationV1</t>
  </si>
  <si>
    <t>POST  /cards/v1/creditCardApplication/evaluate</t>
  </si>
  <si>
    <t>RESMX001498</t>
  </si>
  <si>
    <t>Rec_ExecuteCheckPointV1</t>
  </si>
  <si>
    <t>/experience/operationSupport/utility</t>
  </si>
  <si>
    <t>/v1/checkPoint/execute</t>
  </si>
  <si>
    <t>POST /experience/operationSupport/utility/v1/checkPoint/execute</t>
  </si>
  <si>
    <t>Api que permite consultar la tabla de orquestación de procesos.</t>
  </si>
  <si>
    <t>RESMX001499</t>
  </si>
  <si>
    <t>Bus_ExecuteCheckPointV1</t>
  </si>
  <si>
    <t>/operationSupport</t>
  </si>
  <si>
    <t>POST /operationSupport/v1/checkPoint/execute</t>
  </si>
  <si>
    <t>RESMX001500</t>
  </si>
  <si>
    <t>Rec_RequestCreditProfileV1</t>
  </si>
  <si>
    <t>1.18.0</t>
  </si>
  <si>
    <t>/v1/creditProfile/request</t>
  </si>
  <si>
    <t>POST /experience/salesAndService/v1/creditProfile/request</t>
  </si>
  <si>
    <t>APi de recepción que se encarga de la precalificación del cliente prospecto ante Coppel. Consulta el historial y recupera el comportamiento del cliente en Coppel Tienda. Esto se realiza para llevar a cabo una evaluación adicional del perfil del prospecto. Si se detecta una coincidencia (HIT) con alguno de los perfiles no permitidos por BanCoppel, la solicitud se marca como Rechazada (KO) y el registro de rechazo se almacena en los sistemas Yuga e Informix.</t>
  </si>
  <si>
    <t>RESMX001501</t>
  </si>
  <si>
    <t>Bus_RequestCreditProfileV1</t>
  </si>
  <si>
    <t>POST /salesAndService/v1/creditProfile/request</t>
  </si>
  <si>
    <t>APi de negocio se encarga de la precalificación del cliente prospecto ante Coppel. Consulta el historial y recupera el comportamiento del cliente en Coppel Tienda. Esto se realiza para llevar a cabo una evaluación adicional del perfil del prospecto. Si se detecta una coincidencia (HIT) con alguno de los perfiles no permitidos por BanCoppel, la solicitud se marca como Rechazada (KO) y el registro de rechazo se almacena en los sistemas Yuga e Informix.</t>
  </si>
  <si>
    <t>RESMX001502</t>
  </si>
  <si>
    <t>Rec_EvaluateCustomerManagementV1</t>
  </si>
  <si>
    <t>/v1/customerRelationshipInvolvement/evaluate</t>
  </si>
  <si>
    <t>POST  /experience/customerManagement/v1/customerRelationshipInvolvement/evaluate</t>
  </si>
  <si>
    <t xml:space="preserve">Servicio encargado de determinar si el flujo continúa sin intervención o si realiza una inserción de KO.
</t>
  </si>
  <si>
    <t>RESMX001503</t>
  </si>
  <si>
    <t>Bus_EvaluateCustomerManagementV1</t>
  </si>
  <si>
    <t>1.19.0</t>
  </si>
  <si>
    <t>POST  /customerManagement/v1/customerRelationshipInvolvement/evaluate</t>
  </si>
  <si>
    <t>RESMX001504</t>
  </si>
  <si>
    <t>Rec_RegisterCreditProfileV1</t>
  </si>
  <si>
    <t>/v1/creditProfile/register</t>
  </si>
  <si>
    <t>Encargado de generar registros en la bitácora de precalificación del cliente coppel. En el proceso de TDC, se deberá exponer únicamente la capa de recepción puesto que ya existe capa de dominio y proxy del microservicio.</t>
  </si>
  <si>
    <t>RESMX001505</t>
  </si>
  <si>
    <t>Bus_RegisterCreditProfileV1</t>
  </si>
  <si>
    <t>RESMX001506</t>
  </si>
  <si>
    <t>Dom_captureTelecoscoringV1</t>
  </si>
  <si>
    <t>/v1/telecoscoring/capture</t>
  </si>
  <si>
    <t>POST /customerManagement/customerCreditRating/v1/telecoscoring/capture</t>
  </si>
  <si>
    <t xml:space="preserve">Este microservicio realiza el cálculo del círculo de crédito a través de un Store Procedure
</t>
  </si>
  <si>
    <t>RESMX001507</t>
  </si>
  <si>
    <t>Pro_captureTelecoscoringV1</t>
  </si>
  <si>
    <t>POST /system/customerManagement/customerCreditRating/v1/telecoscoring/capture</t>
  </si>
  <si>
    <t>Operación encargada de registrar en Informix la evaluación obtenida de forma previa por Telcos.</t>
  </si>
  <si>
    <t>RESMX001508</t>
  </si>
  <si>
    <t>Dom_RetrieveCustomerCreditProfileV1</t>
  </si>
  <si>
    <t>/v1/customerCreditProfile/retrieve</t>
  </si>
  <si>
    <t>POST  /customerManagement/customerCreditRating/v1/customerCreditProfile/retrieve</t>
  </si>
  <si>
    <t>Api encargada de consultar en Informix los datos almacenados del prospecto y enviará una respuesta al cliente.</t>
  </si>
  <si>
    <t>RESMX001509</t>
  </si>
  <si>
    <t>Pro_RetrieveCustomerCreditProfileV1</t>
  </si>
  <si>
    <t>POST  /system/customerManagement/customerCreditRating/v1/customerCreditProfile/retrieve</t>
  </si>
  <si>
    <t>RESMX001510</t>
  </si>
  <si>
    <t>Bus_CreateInternalReportingV1</t>
  </si>
  <si>
    <t>POST  /operationalServices/v1/internalReporting/create</t>
  </si>
  <si>
    <t>Servicio encargado de almacenar la primera respuesta generada por el motor de evaluación para un cliente prospecto</t>
  </si>
  <si>
    <t>RESMX001511</t>
  </si>
  <si>
    <t>Rec_CreateInternalReportingV1</t>
  </si>
  <si>
    <t>POST /experience/operationalServices/v1/internalReporting/create</t>
  </si>
  <si>
    <t>RESMX001512</t>
  </si>
  <si>
    <t>Rec_requestCertifiedTelcoscoringV1</t>
  </si>
  <si>
    <t>/v1/certifiedTelcoscoring/request</t>
  </si>
  <si>
    <t>POST /experience/customerManagement/customerCreditRating/v1/certifiedTelcoscoring/request</t>
  </si>
  <si>
    <t xml:space="preserve">Operacion encargada de consultar  en Informix la evaluación obtenida de forma previa por Telcos.
</t>
  </si>
  <si>
    <t>RESMX001513</t>
  </si>
  <si>
    <t>Bus_requestCertifiedTelcoscoringV1</t>
  </si>
  <si>
    <t>v1/certifiedTelcoscoring/request</t>
  </si>
  <si>
    <t>POST /customerManagement/customerCreditRating/v1/certifiedTelcoscoring/request</t>
  </si>
  <si>
    <t>RESMX001514</t>
  </si>
  <si>
    <t>Dom_retrieveCertifiedTelcoscoringV1</t>
  </si>
  <si>
    <t>/v1/certifiedTelcoscoring/retrieve</t>
  </si>
  <si>
    <t xml:space="preserve">POST /customerManagement/customerCreditRating/v1/certifiedTelcoscoring/retrieve
</t>
  </si>
  <si>
    <t>RESMX001515</t>
  </si>
  <si>
    <t>Pro_retrieveCertifiedTelcoscoringV1</t>
  </si>
  <si>
    <t>POST /system/customerManagement/customerCreditRating/v1/certifiedTelcoscoring/retrieve</t>
  </si>
  <si>
    <t>RESMX001516</t>
  </si>
  <si>
    <t>Dom_retrieveExternalTelcoscoringV1</t>
  </si>
  <si>
    <t>/v1/externalTelcoscoring/retrieve</t>
  </si>
  <si>
    <t>POST /customerManagement/customerCreditRating/v1/externalTelcoscoring/retrieve</t>
  </si>
  <si>
    <t>RESMX001517</t>
  </si>
  <si>
    <t>Pro_retrieveExternalTelcoscoringV1</t>
  </si>
  <si>
    <t>POST /system/customerManagement/customerCreditRating//v1/externalTelcoscoring/retrieve</t>
  </si>
  <si>
    <t>RESMX001518</t>
  </si>
  <si>
    <t>Dom_captureCertifiedtelcoscoringV1</t>
  </si>
  <si>
    <t>v1/certifiedtelcoscoring/capture</t>
  </si>
  <si>
    <t>POST /customerManagement/customerCreditRating/v1/certifiedtelcoscoring/capture</t>
  </si>
  <si>
    <t>RESMX001519</t>
  </si>
  <si>
    <t>Pro_captureCertifiedTelcoscoringV1</t>
  </si>
  <si>
    <t>POST /system/customerManagement/customerCreditRating/v1/certifiedtelcoscoring/capture</t>
  </si>
  <si>
    <t>RESMX001520</t>
  </si>
  <si>
    <t>Rec_registerCustomerRelationshipInvolvementV1</t>
  </si>
  <si>
    <t>/v1/customerRelationshipInvolvement/register</t>
  </si>
  <si>
    <t>POST /experience/referenceData/v1/customerRelationshipInvolvement/register</t>
  </si>
  <si>
    <t>API de recepción que tiene como objetivo registrar los datos del CONYUGE en las tablas de INFORMIX.</t>
  </si>
  <si>
    <t>RESMX001521</t>
  </si>
  <si>
    <t>Bus_registerCustomerRelationshipInvolvementV1</t>
  </si>
  <si>
    <t>POST /referenceData/v1/customerRelationshipInvolvement/register</t>
  </si>
  <si>
    <t>API de negocio que tiene como objetivo registrar los datos del CONYUGE en las tablas de INFORMIX.</t>
  </si>
  <si>
    <t>RESMX001522</t>
  </si>
  <si>
    <t>Rec_EvaluatePartyLocationReferenceV1</t>
  </si>
  <si>
    <t>/experience/marketData</t>
  </si>
  <si>
    <t>/v1/partyLocationReference/evaluate</t>
  </si>
  <si>
    <t>POST  /experience/marketData/v1/partyLocationReference/evaluate</t>
  </si>
  <si>
    <t>Servicio de experiencia encargado de obtener el id de la calle del cliente.</t>
  </si>
  <si>
    <t>RESMX001523</t>
  </si>
  <si>
    <t>Bus_EvaluatePartyLocationReferenceV1</t>
  </si>
  <si>
    <t>/marketData</t>
  </si>
  <si>
    <t>POST  /marketData/v1/partyLocationReference/evaluate</t>
  </si>
  <si>
    <t>Servicio de negocio encargado de obtener el id de la calle del cliente.</t>
  </si>
  <si>
    <t>Rec Regulations And Compliance</t>
  </si>
  <si>
    <t>RESMX001524</t>
  </si>
  <si>
    <t>Rec_evaluateRegulatoryComplianceAssessmentV1</t>
  </si>
  <si>
    <t>/experience/regulationsAndCompliance/</t>
  </si>
  <si>
    <t>POST/experience/regulationsAndCompliance/v1/regulatoryComplianceAssessment/evaluate</t>
  </si>
  <si>
    <t>Api de experiencia con las validaciones secuenciales de reglas KO mediante el consumo de dominios y reglas. Evalúa múltiples criterios (por nacionalidad, CURP e INE) con el objetivo de retornar un estatus de aprobación o rechazo del prospecto.</t>
  </si>
  <si>
    <t>Bus Regulations And Compliance</t>
  </si>
  <si>
    <t>RESMX001525</t>
  </si>
  <si>
    <t>Bus_evaluateRegulatoryComplianceAssessmentV1</t>
  </si>
  <si>
    <t>/regulationsAndCompliance</t>
  </si>
  <si>
    <t>POST/regulationsAndCompliance/v1/regulatoryComplianceAssessment/evaluate</t>
  </si>
  <si>
    <t xml:space="preserve">Api de negocio  con las validaciones secuenciales de reglas KO mediante el consumo de dominios y reglas. Evalúa múltiples criterios (por nacionalidad, CURP e INE) con el objetivo de retornar un estatus de aprobación o rechazo del prospecto.
</t>
  </si>
  <si>
    <t>RESMX001526</t>
  </si>
  <si>
    <t>Rec_EvaluateRegulatoryComplianceV1</t>
  </si>
  <si>
    <t>/experience/regulationsAndCompliance</t>
  </si>
  <si>
    <t>/v1/regulatoryCompliance/evaluate</t>
  </si>
  <si>
    <t>POST /experience/regulationsAndCompliance/v1/regulatoryCompliance/evaluate</t>
  </si>
  <si>
    <t>Servicio de recepción encargado de evaluar a un cliente y registar su posible KO en el proceso de onboarding</t>
  </si>
  <si>
    <t>RESMX001527</t>
  </si>
  <si>
    <t>Bus_EvaluateRegulatoryComplianceV1</t>
  </si>
  <si>
    <t>POST /regulationsAndCompliance/v1/regulatoryCompliance/evaluate</t>
  </si>
  <si>
    <t>Servicio de negocio encargado de evaluar a un cliente y registar su posible KO en el proceso de onboarding</t>
  </si>
  <si>
    <t>RESMX001528</t>
  </si>
  <si>
    <t>Rec_RetrieveTaskAssignV1</t>
  </si>
  <si>
    <t>/experience/processInstanceManagement</t>
  </si>
  <si>
    <t>/v1/taskAssign/retrieve</t>
  </si>
  <si>
    <t>Operación encargada de retornar la información de una tarea asignada en el proceso BPMS.</t>
  </si>
  <si>
    <t>RESMX001529</t>
  </si>
  <si>
    <t>Rec_executeTaskActionV1</t>
  </si>
  <si>
    <t>/experience/processInstanceManagement/</t>
  </si>
  <si>
    <t xml:space="preserve">/v1/taskAction/execute </t>
  </si>
  <si>
    <t>PATCH/experience/processInstanceManagement/v1/taskAction/execute</t>
  </si>
  <si>
    <t>Este servicio es el encargado de completar las actividades de usuario (user task) en el modelo BPMN dentro de las instancias del proceso.</t>
  </si>
  <si>
    <t>RESMX001530</t>
  </si>
  <si>
    <t>Rec_initiateProcessInstanceV1</t>
  </si>
  <si>
    <t>/v1/processInstance/initiate</t>
  </si>
  <si>
    <t>POST/experience/processInstanceManagement/v1/processInstance/initiate</t>
  </si>
  <si>
    <t>En este microservicio que inicia la instancia del proceso E2E o Flujo Principal de TDC (Tarjeta de Crédito).</t>
  </si>
  <si>
    <t>RESMX001531</t>
  </si>
  <si>
    <t>Rec_controlTaskActionV1</t>
  </si>
  <si>
    <t>/v1/taskAction/control</t>
  </si>
  <si>
    <t>PATCH/experience/processInstanceManagement/v1/taskAction/control</t>
  </si>
  <si>
    <t>Este servicio es el encargado de reenviar las actividades del proceso en el modelo BPMN dentro de las instancias del proceso.</t>
  </si>
  <si>
    <t>RESMX001532</t>
  </si>
  <si>
    <t>Rec_ExecuteOutboundMessageV1</t>
  </si>
  <si>
    <t>/experience/nonITAndNonHREnterpriseServices/securityAdvisory</t>
  </si>
  <si>
    <t>/v1/outboundMessage/execute</t>
  </si>
  <si>
    <t>Operación que realiza una Cifrado Delegado al Payload utilizando ECDH seguido de AES-256 GCM y un sellado a Base64.</t>
  </si>
  <si>
    <t>RESMX001533</t>
  </si>
  <si>
    <t>Dom_ExecuteOutboundMessageV1</t>
  </si>
  <si>
    <t>/nonITAndNonHREnterpriseServices/securityAdvisory</t>
  </si>
  <si>
    <t>RESMX001534</t>
  </si>
  <si>
    <t>Pro_ExecuteOutboundMessageV1</t>
  </si>
  <si>
    <t>/system/nonITAndNonHREnterpriseServices/securityAdvisory</t>
  </si>
  <si>
    <t>RESMX001535</t>
  </si>
  <si>
    <t>Pro_RegisterFileCorporateV1</t>
  </si>
  <si>
    <t>https://coppelmx.atlassian.net/wiki/spaces/SEAC/pages/1400307713/RESMX001535+Pro_RegisterFileCorporateV1</t>
  </si>
  <si>
    <t>RESMX001536</t>
  </si>
  <si>
    <t>Pro_ExchangeMessageCorporateV1</t>
  </si>
  <si>
    <t>/system/itManagement/operationalGateway</t>
  </si>
  <si>
    <t>https://coppelmx.atlassian.net/wiki/spaces/SEAC/pages/1400471582/RESMX001536+Pro_ExchangeMessageCorporateV1</t>
  </si>
  <si>
    <t>RESMX001537</t>
  </si>
  <si>
    <t>Bus_ValidatePasswordSecurityCorporateV1</t>
  </si>
  <si>
    <t>/crossChannel</t>
  </si>
  <si>
    <t>https://coppelmx.atlassian.net/wiki/spaces/SEAC/pages/1682212422/RESMX001537+Bus_ValidatePasswordSecurityCorporateV1</t>
  </si>
  <si>
    <t>RESMX001538</t>
  </si>
  <si>
    <t>RESMX001539</t>
  </si>
  <si>
    <t>Dom_UpdateUserAuthenticationCorporateV1</t>
  </si>
  <si>
    <t>/v1/corporate/authentication/user/update</t>
  </si>
  <si>
    <t>https://coppelmx.atlassian.net/wiki/spaces/SEAC/pages/1571750120/RESMX001539+Dom_UpdateUserAuthenticationCorporateV1</t>
  </si>
  <si>
    <t>RESMX001540</t>
  </si>
  <si>
    <t>Dom_TokenAuthenticationCorporateV1</t>
  </si>
  <si>
    <t>/v1/corporate/authentication/token</t>
  </si>
  <si>
    <t>https://coppelmx.atlassian.net/wiki/spaces/SEAC/pages/1570767155/RESMX001540+Dom_TokenAuthenticationCorporateV1</t>
  </si>
  <si>
    <t>RESMX001541</t>
  </si>
  <si>
    <t>Dom_LogsUserCorporateV1</t>
  </si>
  <si>
    <t>/v1/corporate/user/logs</t>
  </si>
  <si>
    <t>https://coppelmx.atlassian.net/wiki/spaces/SEAC/pages/1639874737/RESMX001541+Dom_LogsUserCorporateV1</t>
  </si>
  <si>
    <t>RESMX001542</t>
  </si>
  <si>
    <t>Dom_ValidateUserAuthenticationCorporateV1</t>
  </si>
  <si>
    <t>/v1/corporate/authentication/user/validate</t>
  </si>
  <si>
    <t>https://coppelmx.atlassian.net/wiki/spaces/SEAC/pages/1685324761/RESMX001542+Dom_ValidateUserAuthenticationCorporateV1</t>
  </si>
  <si>
    <t>RESMX001543</t>
  </si>
  <si>
    <t>Dom_UpdateStatusUserCorporateV1</t>
  </si>
  <si>
    <t>/v1/corporate/user/status/update</t>
  </si>
  <si>
    <t>https://coppelmx.atlassian.net/wiki/spaces/SEAC/pages/1689846111/RESMX001543+Dom_UpdateStatusUserCorporateV1</t>
  </si>
  <si>
    <t>RESMX001544</t>
  </si>
  <si>
    <t>Dom_CloseSessionCorporateV1</t>
  </si>
  <si>
    <t>/v1/corporate/session/close</t>
  </si>
  <si>
    <t>https://coppelmx.atlassian.net/wiki/spaces/SEAC/pages/1727889560/RESMX001544+Dom_CloseSessionCorporateV1</t>
  </si>
  <si>
    <t>RESMX001545</t>
  </si>
  <si>
    <t>Pro_CreateUserRsaCorporateV1</t>
  </si>
  <si>
    <t>https://coppelmx.atlassian.net/wiki/spaces/SEAC/pages/1325498369/RESMX001545+Pro_CreateUserRsaCorporateV1</t>
  </si>
  <si>
    <t>RESMX001546</t>
  </si>
  <si>
    <t>Pro_UpdateUserAuthenticationCorporateV1</t>
  </si>
  <si>
    <t>https://coppelmx.atlassian.net/wiki/spaces/SEAC/pages/1570996548/RESMX001546+Pro_UpdateUserAuthenticationCorporateV1</t>
  </si>
  <si>
    <t>RESMX001547</t>
  </si>
  <si>
    <t>Pro_TokenAuthenticationCorporateV1</t>
  </si>
  <si>
    <t>https://coppelmx.atlassian.net/wiki/spaces/SEAC/pages/1571061983/RESMX001547+Pro_TokenAuthenticationCorporateV1</t>
  </si>
  <si>
    <t>RESMX001548</t>
  </si>
  <si>
    <t>Pro_LogsUserCorporateV1</t>
  </si>
  <si>
    <t>https://coppelmx.atlassian.net/wiki/spaces/SEAC/pages/1641152568/RESMX001548+Pro_LogsUserCorporateV1</t>
  </si>
  <si>
    <t>RESMX001549</t>
  </si>
  <si>
    <t>Pro_ValidateUserAuthenticationCorporateV1</t>
  </si>
  <si>
    <t>https://coppelmx.atlassian.net/wiki/spaces/SEAC/pages/1681198333/RESMX001549+Pro_ValidateUserAuthenticationCorporateV1</t>
  </si>
  <si>
    <t>RESMX001550</t>
  </si>
  <si>
    <t>Pro_UpdateStatusUserCorporateV1</t>
  </si>
  <si>
    <t>https://coppelmx.atlassian.net/wiki/spaces/SEAC/pages/1690960207/RESMX001550+Pro_UpdateStatusUserCorporateV1</t>
  </si>
  <si>
    <t>RESMX001551</t>
  </si>
  <si>
    <t>Pro_CloseSessionCorporateV1</t>
  </si>
  <si>
    <t>https://coppelmx.atlassian.net/wiki/spaces/SEAC/pages/1728413722/RESMX001551+Pro_CloseSessionCorporateV1</t>
  </si>
  <si>
    <t>RESMX001552</t>
  </si>
  <si>
    <t>Rec_CloseSessionCorporateV1</t>
  </si>
  <si>
    <t>/experience/crossChanel/partyAuthentication</t>
  </si>
  <si>
    <t>https://coppelmx.atlassian.net/wiki/spaces/SEAC/pages/1724088999/RESMX001552+Rec_CloseSessionCorporateV1</t>
  </si>
  <si>
    <t>RESMX001553</t>
  </si>
  <si>
    <t>Bus_UpdateCredentialsUserCorporateV1</t>
  </si>
  <si>
    <t>/v1/corporate/user/credentials/update</t>
  </si>
  <si>
    <t>https://coppelmx.atlassian.net/wiki/spaces/SEAC/pages/1608319283/RESMX001553+Bus_UpdateCredentialsUserCorporateV1</t>
  </si>
  <si>
    <t>RESMX001554</t>
  </si>
  <si>
    <t>Bus_RegisterUsersCorporateV1</t>
  </si>
  <si>
    <t>/v1/corporate/users/register</t>
  </si>
  <si>
    <t>No se encuentra el API en confluence</t>
  </si>
  <si>
    <t>RESMX001555</t>
  </si>
  <si>
    <t>Dom_ValidateRecordsCorporateV1</t>
  </si>
  <si>
    <t>/v1/corporate/records/validate</t>
  </si>
  <si>
    <t>https://coppelmx.atlassian.net/wiki/spaces/SEAC/pages/1400012931/RESMX001555+Dom_ValidateRecordsCorporateV1</t>
  </si>
  <si>
    <t>RESMX001556</t>
  </si>
  <si>
    <t>Dom_ContactDataUserCorporateV1</t>
  </si>
  <si>
    <t>/v1/corporate/user/contactData</t>
  </si>
  <si>
    <t>https://coppelmx.atlassian.net/wiki/spaces/SEAC/pages/1566605537/RESMX001556+Dom_ContactDataUserCorporateV1</t>
  </si>
  <si>
    <t>RESMX001557</t>
  </si>
  <si>
    <t>Dom_RegisterUsersCorporateV1</t>
  </si>
  <si>
    <t>https://coppelmx.atlassian.net/wiki/spaces/SEAC/pages/1749451031/RESMX001557+Dom_RegisterUsersCorporateV1</t>
  </si>
  <si>
    <t>RESMX001558</t>
  </si>
  <si>
    <t>Dom_UpdateUsersCorporateV1</t>
  </si>
  <si>
    <t>/v1/corporate/users/update</t>
  </si>
  <si>
    <t>https://coppelmx.atlassian.net/wiki/spaces/SEAC/pages/1697284097/RESMX001558+Dom_UpdateUsersCorporateV1</t>
  </si>
  <si>
    <t>Hub Domiciliacion</t>
  </si>
  <si>
    <t>RESMX001559</t>
  </si>
  <si>
    <t>Bus_RetrieveChargesBusinessUnitsHubV1</t>
  </si>
  <si>
    <t>/tradeBanking</t>
  </si>
  <si>
    <t>/v1/hub/businessUnits/charges/retrieve</t>
  </si>
  <si>
    <t>https://coppelmx.atlassian.net/wiki/spaces/SHAC/pages/1962410025/Bus_DirectDebitHubV1+0</t>
  </si>
  <si>
    <t>RESMX001560</t>
  </si>
  <si>
    <t>Pro_ValidateRecordsCorporateV1</t>
  </si>
  <si>
    <t>https://coppelmx.atlassian.net/wiki/spaces/SEAC/pages/1400012963/RESMX001560+Pro_ValidateRecordsCorporateV1</t>
  </si>
  <si>
    <t>RESMX001561</t>
  </si>
  <si>
    <t>Pro_ContactDataUserCorporateV1</t>
  </si>
  <si>
    <t>https://coppelmx.atlassian.net/wiki/spaces/SEAC/pages/1567719747/RESMX001561+Pro_ContactDataUserCorporateV1</t>
  </si>
  <si>
    <t>RESMX001562</t>
  </si>
  <si>
    <t>Pro_RegisterUsersCorporateV1</t>
  </si>
  <si>
    <t>https://coppelmx.atlassian.net/wiki/spaces/SEAC/pages/1749188805/RESMX001562+Pro_RegisterUsersCorporateV1</t>
  </si>
  <si>
    <t>RESMX001563</t>
  </si>
  <si>
    <t>Pro_UpdateUsersCorporateV1</t>
  </si>
  <si>
    <t>https://coppelmx.atlassian.net/wiki/spaces/SEAC/pages/1695711666/RESMX001563+Pro_UpdateUsersCorporateV1</t>
  </si>
  <si>
    <t>RESMX001564</t>
  </si>
  <si>
    <t>RESMX001565</t>
  </si>
  <si>
    <t>Rec_ContactDataUserCorporateV1</t>
  </si>
  <si>
    <t>https://coppelmx.atlassian.net/wiki/spaces/SEAC/pages/1566146813/RESMX001565+Rec_ContactDataUserCorporateV1</t>
  </si>
  <si>
    <t>RESMX001566</t>
  </si>
  <si>
    <t>Bus_SignFileTransferAuthorizationsCorporateV1</t>
  </si>
  <si>
    <t>https://coppelmx.atlassian.net/wiki/spaces/SEAC/pages/1507131438/RESMX001566+Bus_SignFileTransferAuthorizationsCorporateV1</t>
  </si>
  <si>
    <t>RESMX001567</t>
  </si>
  <si>
    <t>Dom_RetrieveTransferRecordsFileCorporateV1</t>
  </si>
  <si>
    <t>/v1/corporate/file/records/transfer/retrieve</t>
  </si>
  <si>
    <t>https://coppelmx.atlassian.net/wiki/spaces/SEAC/pages/1796641614/RESMX001567+Dom_RetrieveTransferRecordsFileCorporateV1</t>
  </si>
  <si>
    <t>RESMX001568</t>
  </si>
  <si>
    <t>Dom_UpdateStatusFileCorporateV1</t>
  </si>
  <si>
    <t>/v1/corporate/file/status/update</t>
  </si>
  <si>
    <t>https://coppelmx.atlassian.net/wiki/spaces/SEAC/pages/1801618119/RESMX001568+Dom_UpdateStatusFileCorporateV1</t>
  </si>
  <si>
    <t>RESMX001569</t>
  </si>
  <si>
    <t>Dom_CreateErrorTransferCorporateV1</t>
  </si>
  <si>
    <t>/v1/corporate/transfer/error/create</t>
  </si>
  <si>
    <t>https://coppelmx.atlassian.net/wiki/spaces/SEAC/pages/1798965274/RESMX001569+Dom_CreateErrorTransferCorporateV1</t>
  </si>
  <si>
    <t>RESMX001570</t>
  </si>
  <si>
    <t>Dom_CreateFolioTransferCorporateV1</t>
  </si>
  <si>
    <t>/v1/corporate/transfer/folio/create</t>
  </si>
  <si>
    <t>https://coppelmx.atlassian.net/wiki/spaces/SEAC/pages/1798965281/RESMX001570+Dom_CreateFolioTransferCorporateV1</t>
  </si>
  <si>
    <t>RESMX001571</t>
  </si>
  <si>
    <t>Dom_RetrieveStatusFileCorporateV1</t>
  </si>
  <si>
    <t>/v1/corporate/file/status/retrieve</t>
  </si>
  <si>
    <t>https://coppelmx.atlassian.net/wiki/spaces/SEAC/pages/1807384757/RESMX001571+Dom_RetrieveStatusFileCorporateV1</t>
  </si>
  <si>
    <t>RESMX001572</t>
  </si>
  <si>
    <t>Pro_RetrieveTransferRecordsFileCorporateV1</t>
  </si>
  <si>
    <t>https://coppelmx.atlassian.net/wiki/spaces/SEAC/pages/1798965259/RESMX001572+Pro_RetrieveTransferRecordsFileCorporateV1</t>
  </si>
  <si>
    <t>RESMX001573</t>
  </si>
  <si>
    <t>Pro_UpdateStatusFileCorporateV1</t>
  </si>
  <si>
    <t>https://coppelmx.atlassian.net/wiki/spaces/SEAC/pages/1801487076/RESMX001573+Pro_UpdateStatusFileCorporateV1</t>
  </si>
  <si>
    <t>RESMX001574</t>
  </si>
  <si>
    <t>Pro_CreateErrorTransferCorporateV1</t>
  </si>
  <si>
    <t>https://coppelmx.atlassian.net/wiki/spaces/SEAC/pages/1801421512/RESMX001574+Pro_CreateErrorTransferCorporateV1</t>
  </si>
  <si>
    <t>RESMX001575</t>
  </si>
  <si>
    <t>Pro_CreateFolioTransferCorporateV1</t>
  </si>
  <si>
    <t>https://coppelmx.atlassian.net/wiki/spaces/SEAC/pages/1801749065/RESMX001575+Pro_CreateFolioTransferCorporateV1</t>
  </si>
  <si>
    <t>RESMX001576</t>
  </si>
  <si>
    <t>Pro_RetrieveStatusFileCorporateV1</t>
  </si>
  <si>
    <t>https://coppelmx.atlassian.net/wiki/spaces/SEAC/pages/1807089946/RESMX001576+Pro_RetrieveStatusFileCorporateV1</t>
  </si>
  <si>
    <t>RESMX001577</t>
  </si>
  <si>
    <t>Dom_RegisterFileAuthorizationsCorporateV1</t>
  </si>
  <si>
    <t>/v1/corporate/authorizations/file/register</t>
  </si>
  <si>
    <t>https://coppelmx.atlassian.net/wiki/spaces/SEAC/pages/1508245563/RESMX001577+Dom_RegisterFileAuthorizationsCorporateV1</t>
  </si>
  <si>
    <t>RESMX001578</t>
  </si>
  <si>
    <t>Dom_RollbackFileAuthorizationsCorporateV1</t>
  </si>
  <si>
    <t>/v1/corporate/authorizations/file/rollback</t>
  </si>
  <si>
    <t>https://coppelmx.atlassian.net/wiki/spaces/SEAC/pages/1507885385/RESMX001578+Dom_RollbackFileAuthorizationsCorporateV1</t>
  </si>
  <si>
    <t>RESMX001579</t>
  </si>
  <si>
    <t>Pro_RegisterFileAuthorizationsCorporateV1</t>
  </si>
  <si>
    <t>https://coppelmx.atlassian.net/wiki/spaces/SEAC/pages/1507393726/RESMX001579+Pro_RegisterFileAuthorizationsCorporateV1</t>
  </si>
  <si>
    <t>RESMX001580</t>
  </si>
  <si>
    <t>Pro_RollbackFileAuthorizationsCorporateV1</t>
  </si>
  <si>
    <t>https://coppelmx.atlassian.net/wiki/spaces/SEAC/pages/1506804024/RESMX001580+Pro_RollbackFileAuthorizationsCorporateV1</t>
  </si>
  <si>
    <t>RESMX001581</t>
  </si>
  <si>
    <t>Bus_ProcessFileMainCorporateV1</t>
  </si>
  <si>
    <t>/accountManagement</t>
  </si>
  <si>
    <t>/v1/corporate/main/file/process</t>
  </si>
  <si>
    <t>https://coppelmx.atlassian.net/wiki/spaces/SEAC/pages/1801388700/RESMX001581+Bus_ProcessFileMainCorporateV1</t>
  </si>
  <si>
    <t>RESMX001582</t>
  </si>
  <si>
    <t>Bus_ProcessFileRecordsCorporateV1</t>
  </si>
  <si>
    <t>/v1/corporate/records/file/process</t>
  </si>
  <si>
    <t>https://coppelmx.atlassian.net/wiki/spaces/SEAC/pages/1801487062/RESMX001582+Bus_ProcessFileRecordsCorporateV1</t>
  </si>
  <si>
    <t>RESMX001583</t>
  </si>
  <si>
    <t>Rec_InitiateDirectDebitMandateHubV1</t>
  </si>
  <si>
    <t>/v1/hub/directDebitMandate/initiate</t>
  </si>
  <si>
    <t>POST /experience/payments/v1/hub/directDebitMandate/initiate</t>
  </si>
  <si>
    <t>Hub de domiciliación</t>
  </si>
  <si>
    <t>RESMX001584</t>
  </si>
  <si>
    <t>Rec_TerminateDirectDebitMandateHubV1</t>
  </si>
  <si>
    <t>/v1/hub/directDebitMandate/terminate</t>
  </si>
  <si>
    <t>PUT /experience/payments/v1/hub/directDebitMandate/terminate</t>
  </si>
  <si>
    <t>RESMX001585</t>
  </si>
  <si>
    <t>Rec_UpdateDirectDebitMandateHubV1</t>
  </si>
  <si>
    <t>/v1/hub/directDebitMandate/update</t>
  </si>
  <si>
    <t>PATCH /experience/payments/v1/hub/directDebitMandate/update</t>
  </si>
  <si>
    <t>RESMX001586</t>
  </si>
  <si>
    <t>Rec_RetrieveDirectDebitMandatesHubV1</t>
  </si>
  <si>
    <t>/v1/hub/directDebitMandates/retrieve</t>
  </si>
  <si>
    <t>POST /experience/payments/v1/hub/directDebitMandates/retrieve</t>
  </si>
  <si>
    <t>RESMX001587</t>
  </si>
  <si>
    <t>Rec_RetrieveChargesDirectDebitMandateHubV1</t>
  </si>
  <si>
    <t>/v1/hub/directDebitMandate/charges/retrieve</t>
  </si>
  <si>
    <t>POST /experience/payments/v1/hub/directDebitMandate/charges/retrieve</t>
  </si>
  <si>
    <t>RESMX001588</t>
  </si>
  <si>
    <t>Rec_RetrieveDebtorAccountsHubV1</t>
  </si>
  <si>
    <t>/experience/tradeBanking/cashManagementAndAccountServices</t>
  </si>
  <si>
    <t>/v1/hub/debtorAccounts/retrieve</t>
  </si>
  <si>
    <t>POST /experience/tradeBanking/cashManagementAndAccountServices/v1/hub/debtorAccounts/retrieve</t>
  </si>
  <si>
    <t>RESMX001589</t>
  </si>
  <si>
    <t>Pro_UpdateStatusDirectDebitMandateHubV1</t>
  </si>
  <si>
    <t>/system/payments</t>
  </si>
  <si>
    <t>/v1/hub/directDebitMandate/status/update</t>
  </si>
  <si>
    <t>PATCH /system/payments/v1/hub/directDebitMandate/status/update</t>
  </si>
  <si>
    <t>RESMX001590</t>
  </si>
  <si>
    <t>Pro_InitiateContractsDirectDebitMandateHubV1</t>
  </si>
  <si>
    <t>/v1/hub/directDebitMandate/contracts/initiate</t>
  </si>
  <si>
    <t>POST /system/documentManagementAndArchive/documentServices/v1/hub/directDebitMandate/contracts/initiate</t>
  </si>
  <si>
    <t>RESMX001591</t>
  </si>
  <si>
    <t>Pro_UpdateTotalsFilesPaymentClearingSettlementsHubV1</t>
  </si>
  <si>
    <t>/v1/hub/paymentClearingSettlements/files/totals/update</t>
  </si>
  <si>
    <t>PUT /system/payments/paymentExecution/v1/hub/paymentClearingSettlements/files/totals/update</t>
  </si>
  <si>
    <t>RESMX001592</t>
  </si>
  <si>
    <t>Pro_RetrievePartyReferenceDataDirectoryEntryHubV1</t>
  </si>
  <si>
    <t>/v1/hub/partyReferenceDataDirectoryEntry/retrieve</t>
  </si>
  <si>
    <t>POST /system/customerManagement/partyReferenceDataDirectory/v1/hub/partyReferenceDataDirectoryEntry/retrieve</t>
  </si>
  <si>
    <t>RESMX001593</t>
  </si>
  <si>
    <t>Pro_InitiateChargesDirectDebitMandateHubV1</t>
  </si>
  <si>
    <t>/v1/hub/directDebitMandate/charges/initiate</t>
  </si>
  <si>
    <t>POST /system/payments/paymentExecution/v1/hub/directDebitMandate/charges/initiate</t>
  </si>
  <si>
    <t>RESMX001594</t>
  </si>
  <si>
    <t>Pro_RegisterEventsDirectDebitMandateHubV1</t>
  </si>
  <si>
    <t>/system/operationalReporting/operationalEventHistory</t>
  </si>
  <si>
    <t>/v1/hub/directDebitMandate/events/register</t>
  </si>
  <si>
    <t>POST /system/operationalReporting/operationalEventHistory/v1/hub/directDebitMandate/events/register</t>
  </si>
  <si>
    <t>RESMX001595</t>
  </si>
  <si>
    <t>Pro_RetrieveValidationDirectDebitMandateHubV1</t>
  </si>
  <si>
    <t>/v1/hub/directDebitMandate/validation/retrieve</t>
  </si>
  <si>
    <t>POST /system/payments/v1/hub/directDebitMandate/validation/retrieve</t>
  </si>
  <si>
    <t>RESMX001596</t>
  </si>
  <si>
    <t>Pro_RetrieveDirectDebitMandatesHubV1</t>
  </si>
  <si>
    <t>POST /system/payments/v1/hub/directDebitMandates/retrieve</t>
  </si>
  <si>
    <t>RESMX001597</t>
  </si>
  <si>
    <t>Pro_EvaluateAssessmentAccountValidationHubV1</t>
  </si>
  <si>
    <t>/system/accountManagement</t>
  </si>
  <si>
    <t>/v1/hub/accountValidation/assessment/evaluate</t>
  </si>
  <si>
    <t>POST /system/accountManagement/v1/hub/accountValidation/assessment/evaluate</t>
  </si>
  <si>
    <t>RESMX001598</t>
  </si>
  <si>
    <t>Rec_RetrieveChargesBusinessUnitsDirectDebitMandateHubV1</t>
  </si>
  <si>
    <t>/v1/hub/directDebitMandate/businessUnits/charges/retrieve</t>
  </si>
  <si>
    <t>POST /experience/payments/v1/hub/directDebitMandate/businessUnits/charges/retrieve</t>
  </si>
  <si>
    <t>RESMX001599</t>
  </si>
  <si>
    <t>Pro_MaintainFilesPaymentClearingSettlementsHubV1</t>
  </si>
  <si>
    <t>/v1/hub/paymentClearingSettlements/files/maintain</t>
  </si>
  <si>
    <t>POST /system/payments/paymentExecution/v1/hub/paymentClearingSettlements/files/maintain</t>
  </si>
  <si>
    <t>RESMX001600</t>
  </si>
  <si>
    <t>Pro_EvaluatePaymentScheduleHubV1</t>
  </si>
  <si>
    <t>/v1/hub/paymentSchedule/evaluate</t>
  </si>
  <si>
    <t>POST /system/utility/utility//v1/hub/paymentSchedule/evaluate</t>
  </si>
  <si>
    <t>RESMX001601</t>
  </si>
  <si>
    <t>Pro_ExecuteRollbackDirectDebitMandateHubV1</t>
  </si>
  <si>
    <t>/v1/hub/directDebitMandate/rollback/execute</t>
  </si>
  <si>
    <t>POST /system/payments/v1/hub/directDebitMandate/rollback/execute</t>
  </si>
  <si>
    <t>RESMX001602</t>
  </si>
  <si>
    <t>Pro_CreateDirectDebitMandateHubV1</t>
  </si>
  <si>
    <t>/v1/hub/directDebitMandate/create</t>
  </si>
  <si>
    <t>POST /system/payments/v1/hub/directDebitMandate/create</t>
  </si>
  <si>
    <t>RESMX001603</t>
  </si>
  <si>
    <t>Pro_RecordDirectDebitMandateHubV1</t>
  </si>
  <si>
    <t>/v1/hub/directDebitMandate/record</t>
  </si>
  <si>
    <t>POST /system/customerManagement/customerAgreement/v1/hub/directDebitMandate/record</t>
  </si>
  <si>
    <t>RESMX001604</t>
  </si>
  <si>
    <t>Pro_RetrieveInstructionStatusDirectDebitMandatesHubV1</t>
  </si>
  <si>
    <t>/v1/hub/directDebitMandates/instructionStatus/retrieve</t>
  </si>
  <si>
    <t>GET /system/payments/v1/hub/directDebitMandates/instructionStatus/retrieve</t>
  </si>
  <si>
    <t>RESMX001605</t>
  </si>
  <si>
    <t>Pro_RetrieveChargeAccountDataHubV1</t>
  </si>
  <si>
    <t>/system/tradeBanking/cashManagementandAccountServices</t>
  </si>
  <si>
    <t>/v1/hub/chargeAccountData/retrieve</t>
  </si>
  <si>
    <t>POST /system/tradeBanking/cashManagementandAccountServices/v1/hub/chargeAccountData/retrieve</t>
  </si>
  <si>
    <t>RESMX001606</t>
  </si>
  <si>
    <t>RESMX001607</t>
  </si>
  <si>
    <t>Bus_CreateOrchestratorDomiciliationHubV1</t>
  </si>
  <si>
    <t>/v1/hub/domiciliation/orchestrator/create</t>
  </si>
  <si>
    <t>POST /payments/v1/hub/domiciliation/orchestrator/create</t>
  </si>
  <si>
    <t>RESMX001608</t>
  </si>
  <si>
    <t>Bus_RetrieveHistoricalChargesHubV1</t>
  </si>
  <si>
    <t>/v1/hub/historicalCharges/retrieve</t>
  </si>
  <si>
    <t>POST /system/payments/v1/hub/historicalCharges/retrieve</t>
  </si>
  <si>
    <t>RESMX001609</t>
  </si>
  <si>
    <t>Bus_ExchangeContractsHubV1</t>
  </si>
  <si>
    <t>/v1/hub/contracts/exchange</t>
  </si>
  <si>
    <t>POST /payments/v1/hub/contracts/exchange</t>
  </si>
  <si>
    <t>RESMX001610</t>
  </si>
  <si>
    <t>Bus_ExecuteCancellationDirectDebitMandateHubV1</t>
  </si>
  <si>
    <t>/v1/hub/directDebitMandate/cancellation/execute</t>
  </si>
  <si>
    <t>POST /payments/v1/hub/directDebitMandate/cancellation/execute</t>
  </si>
  <si>
    <t>RESMX001611</t>
  </si>
  <si>
    <t>Bus_RetrieveDirectDebitMandateHubV1</t>
  </si>
  <si>
    <t>/v1/hub/DirectDebitMandate/retrieve</t>
  </si>
  <si>
    <t>POST /payments/v1/hub/DirectDebitMandate/retrieve</t>
  </si>
  <si>
    <t>RESMX001612</t>
  </si>
  <si>
    <t>Pro_AccountsReceivableHubV1</t>
  </si>
  <si>
    <t>/system/finance/accountsReceivable</t>
  </si>
  <si>
    <t>/v1/hub/receivableEvent/record</t>
  </si>
  <si>
    <t>POST /system/finance/accountsReceivable/v1/hub/receivableEvent/record</t>
  </si>
  <si>
    <t>RESMX001613</t>
  </si>
  <si>
    <t>Pro_RetrieveChannelConfigurationHubV1</t>
  </si>
  <si>
    <t>/system/channels/channelManagement</t>
  </si>
  <si>
    <t>/v1/hub/channelConfiguration/retrieve</t>
  </si>
  <si>
    <t>GET /system/channels/channelManagement/v1/hub/channelConfiguration/retrieve</t>
  </si>
  <si>
    <t>RESMX001614</t>
  </si>
  <si>
    <t>Pro_ReverseCancelDomiciliationHubV1</t>
  </si>
  <si>
    <t>/v1/hub/cancelDomiciliation/reverse</t>
  </si>
  <si>
    <t>POST /system/tradeBanking/directDebit/v1/hub/cancelDomiciliation/reverse</t>
  </si>
  <si>
    <t>RESMX001615</t>
  </si>
  <si>
    <t>Pro_UpdateChargesHubV1</t>
  </si>
  <si>
    <t>/v1/hub/charges/update</t>
  </si>
  <si>
    <t>POST /system/tradeBanking/directDebit/v1/hub/charges/update</t>
  </si>
  <si>
    <t>RESMX001616</t>
  </si>
  <si>
    <t>Pro_ExecuteInternalAccountsChargesHubV1</t>
  </si>
  <si>
    <t>/v1/hub/charges/internalAccounts/execute</t>
  </si>
  <si>
    <t>POST /system/tradeBanking/directDebit/v1/hub/charges/internalAccounts/execute</t>
  </si>
  <si>
    <t>RESMX001617</t>
  </si>
  <si>
    <t>Pro_CreateCancellationHubV1</t>
  </si>
  <si>
    <t>/v1/hub/cancellation/create</t>
  </si>
  <si>
    <t>RESMX001618</t>
  </si>
  <si>
    <t>RESMX001619</t>
  </si>
  <si>
    <t>Pro_RegisterUsersHubV1</t>
  </si>
  <si>
    <t>/v1/hub/users/register</t>
  </si>
  <si>
    <t>RESMX001620</t>
  </si>
  <si>
    <t>Pro_RetrieveUrlDocumentHubV1</t>
  </si>
  <si>
    <t>/v1/hub/document/url/retrieve</t>
  </si>
  <si>
    <t>RESMX001621</t>
  </si>
  <si>
    <t>Pro_DirectDebitMandateHubV1</t>
  </si>
  <si>
    <t>RESMX001622</t>
  </si>
  <si>
    <t>Pro_RetrieveDocumentsHubV1</t>
  </si>
  <si>
    <t>/v1/hub/documents/retrieve</t>
  </si>
  <si>
    <t>POST /system/documentManagementAndArchive/documentServices/v1/hub/documents/retrieve</t>
  </si>
  <si>
    <t>RESMX001623</t>
  </si>
  <si>
    <t>Pro_DocumentServicesHubV1</t>
  </si>
  <si>
    <t>/v1/hub/documents/create</t>
  </si>
  <si>
    <t>POST /system/documentManagementAndArchive/documentServices/v1/hub/documents/create</t>
  </si>
  <si>
    <t>RESMX001624</t>
  </si>
  <si>
    <t>Pro_RetrieveChargesHubV1</t>
  </si>
  <si>
    <t>/v1/hub/charges/retrieve</t>
  </si>
  <si>
    <t>RESMX001625</t>
  </si>
  <si>
    <t>Pro_RetrieveParametersHubV1</t>
  </si>
  <si>
    <t>/system/marketData/publicReferenceDataManagement</t>
  </si>
  <si>
    <t>/v1/hub/parameters/retrieve</t>
  </si>
  <si>
    <t>RESMX001626</t>
  </si>
  <si>
    <t>Pro_UploadDocumentsHubV1</t>
  </si>
  <si>
    <t>/system/itManagement/systemsOperations</t>
  </si>
  <si>
    <t>/v1/hub/documents/upload</t>
  </si>
  <si>
    <t>RESMX001627</t>
  </si>
  <si>
    <t>Pro_registerCustomerCreditRatingV1</t>
  </si>
  <si>
    <t>RESMX001628</t>
  </si>
  <si>
    <t>Dom_registerCustomerCreditRatingV1</t>
  </si>
  <si>
    <t>RESMX001629</t>
  </si>
  <si>
    <t>Dom_UpdateLocationV2</t>
  </si>
  <si>
    <t>2.21.0</t>
  </si>
  <si>
    <t>/v2/location/{sessionDialogueIdentification}/update</t>
  </si>
  <si>
    <t>RESMX001630</t>
  </si>
  <si>
    <t>Pro_UpdateLocationV2</t>
  </si>
  <si>
    <t>2.20.0</t>
  </si>
  <si>
    <t>RESMX001631</t>
  </si>
  <si>
    <t>Dom_RetrieveLocationV2</t>
  </si>
  <si>
    <t>/v2/location/retrieve</t>
  </si>
  <si>
    <t>RESMX001632</t>
  </si>
  <si>
    <t>Pro_RetrieveLocationV2</t>
  </si>
  <si>
    <t>RESMX001633</t>
  </si>
  <si>
    <t>Rec_exchangeDocumentationV1</t>
  </si>
  <si>
    <t xml:space="preserve">/v1/documentation/exchange
</t>
  </si>
  <si>
    <t>Servicio de recepción encargado de firmar los contratos del prospecto.</t>
  </si>
  <si>
    <t>RESMX001634</t>
  </si>
  <si>
    <t>Rec_registerOnBoardingDocumentationV1</t>
  </si>
  <si>
    <t xml:space="preserve">/v1/onBoardingDocumentation/register
</t>
  </si>
  <si>
    <t>Servicio encargado de realizar la carga y posteriormente plasmar la firma autógrafa del trabajador y/o del asesor previsional, realiza el guardado de los documentos en AWS S3 y el guardado de metadatos del documento firmado.</t>
  </si>
  <si>
    <t>RESMX001635</t>
  </si>
  <si>
    <t>Dom_RegisterProductV1</t>
  </si>
  <si>
    <t>/v1/product/register</t>
  </si>
  <si>
    <t>Servicio de dominio encargado de realizar la generación del identificador correspondiente a una solicitud para el onboarding N2 y N4, usado como referencia en la apertura de estos productos.</t>
  </si>
  <si>
    <t>RESMX001636</t>
  </si>
  <si>
    <t>Dom_RetrieveTransactionalProfileV1</t>
  </si>
  <si>
    <t>/v1/transactionalProfile/retrieve</t>
  </si>
  <si>
    <t>Servicio de Dominio encargado de revisar si ya existe información guardada sobre un cliente en la tabla transactional_profile dentro de la base de datos de Yugabyte. Básicamente, ayuda a saber si ese cliente ya tiene un perfil transaccional registrado y devuelve la información en caso de encontrarlo. Esta consulta es usada dentro del proceso de OnBoarding N4.</t>
  </si>
  <si>
    <t>RESMX001637</t>
  </si>
  <si>
    <t>Dom_RegisterTransactionalProfileV1</t>
  </si>
  <si>
    <t>/v1/transactionalProfile/register</t>
  </si>
  <si>
    <t>Servicio de Dominio responsable de almacenar la información del perfil transaccional durante el proceso de creación de una cuenta N4. Los datos provienen de las respuestas del cliente a las preguntas relacionadas con el uso de recursos, número de movimientos, monto de los movimientos, procedencia de los recursos y monto mensual estimado a manejar.</t>
  </si>
  <si>
    <t>RESMX001638</t>
  </si>
  <si>
    <t>Dom_ControlLocationV1</t>
  </si>
  <si>
    <t>/v1/location/control</t>
  </si>
  <si>
    <t>Servicio de domain responsable de eliminar la información de domicilio almacenada en la base de datos Yugabyte.</t>
  </si>
  <si>
    <t>RESMX001639</t>
  </si>
  <si>
    <t>Dom_RegisterCustomerRelationshipInvolvementV1</t>
  </si>
  <si>
    <t>Servicio encargado de realizar el registro de la información del beneficiario capturada durante el proceso de OnBoarding N4, con el propósito de que, una vez creada la cuenta, dicha información pueda ser vinculada al beneficiario correspondiente.</t>
  </si>
  <si>
    <t>RESMX001640</t>
  </si>
  <si>
    <t>Pro_RegisterProductV1</t>
  </si>
  <si>
    <t>Servicio proxy encargado de realizar la generación del identificador correspondiente a una solicitud para el onboarding N2 y N4, usado como referencia en la apertura de estos productos.</t>
  </si>
  <si>
    <t>RESMX001641</t>
  </si>
  <si>
    <t>Pro_RetrieveTransactionalProfileV1</t>
  </si>
  <si>
    <t>Servicio de Proxy encargado de revisar si ya existe información guardada sobre un cliente en la tabla transactional_profile dentro de la base de datos de Yugabyte. Básicamente, ayuda a saber si ese cliente ya tiene un perfil transaccional registrado y devuelve la información en caso de encontrarlo. Esta consulta es usada dentro del proceso de OnBoarding N4.</t>
  </si>
  <si>
    <t>RESMX001642</t>
  </si>
  <si>
    <t>Pro_RegisterTransactionalProfileV1</t>
  </si>
  <si>
    <t>Servicio de Proxy responsable de almacenar la información del perfil transaccional durante el proceso de creación de una cuenta N4. Los datos provienen de las respuestas del cliente a las preguntas relacionadas con el uso de recursos, número de movimientos, monto de los movimientos, procedencia de los recursos y monto mensual estimado a manejar.</t>
  </si>
  <si>
    <t>RESMX001643</t>
  </si>
  <si>
    <t>Pro_ControlLocationV1</t>
  </si>
  <si>
    <t>Servicio de proxy responsable de eliminar la información de domicilio almacenada en la base de datos Yugabyte.</t>
  </si>
  <si>
    <t>RESMX001644</t>
  </si>
  <si>
    <t>Pro_RegisterCustomerRelationshipInvolvementV1</t>
  </si>
  <si>
    <t>RESMX001645</t>
  </si>
  <si>
    <t>Rec_RegisterProductV1</t>
  </si>
  <si>
    <t>Servicio de recepción encargado de realizar la generación del identificador correspondiente a una solicitud para el onboarding N2 y N4, usado como referencia en la apertura de estos productos.</t>
  </si>
  <si>
    <t>RESMX001646</t>
  </si>
  <si>
    <t>Rec_RetrieveTransactionalProfileV1</t>
  </si>
  <si>
    <t>Servicio de Recepción encargado de revisar si ya existe información guardada sobre un cliente en la tabla transactional_profile dentro de la base de datos de Yugabyte. Básicamente, ayuda a saber si ese cliente ya tiene un perfil transaccional registrado y devuelve la información en caso de encontrarlo. Esta consulta es usada dentro del proceso de OnBoarding N4.</t>
  </si>
  <si>
    <t>RESMX001647</t>
  </si>
  <si>
    <t>Rec_RegisterTransactionalProfileV1</t>
  </si>
  <si>
    <t>Servicio de Recepción responsable de almacenar la información del perfil transaccional durante el proceso de creación de una cuenta N4. Los datos provienen de las respuestas del cliente a las preguntas relacionadas con el uso de recursos, número de movimientos, monto de los movimientos, procedencia de los recursos y monto mensual estimado a manejar.</t>
  </si>
  <si>
    <t>RESMX001648</t>
  </si>
  <si>
    <t>Rec_ControlLocationV1</t>
  </si>
  <si>
    <t>Servicio de recepción responsable de eliminar la información de domicilio almacenada en la base de datos Yugabyte.</t>
  </si>
  <si>
    <t>RESMX001649</t>
  </si>
  <si>
    <t>Rec_RegisterCustomerRelationshipInvolvementV1</t>
  </si>
  <si>
    <t>RESMX001650</t>
  </si>
  <si>
    <t>Pro_RetrieveCustomerrelationshipinvolvementV2</t>
  </si>
  <si>
    <t>/v2/customerRelationshipInvolvement/retrieve</t>
  </si>
  <si>
    <t>RESMX001651</t>
  </si>
  <si>
    <t>Dom_RetrieveCustomerrelationshipinvolvementV2</t>
  </si>
  <si>
    <t>RESMX001652</t>
  </si>
  <si>
    <t>Pro_RegisterLocationV2</t>
  </si>
  <si>
    <t>/v2/location/register</t>
  </si>
  <si>
    <t>RESMX001653</t>
  </si>
  <si>
    <t>Rec_RegisterLocationV2</t>
  </si>
  <si>
    <t>RESMX001654</t>
  </si>
  <si>
    <t>Pro_UpdateCustomerrelationshipinvolvementV2</t>
  </si>
  <si>
    <t>/v2/customerRelationshipInvolvement/update</t>
  </si>
  <si>
    <t>RESMX001655</t>
  </si>
  <si>
    <t>Bus_CaptureTransactionalProfileV1</t>
  </si>
  <si>
    <t>1.10.0</t>
  </si>
  <si>
    <t>/v1/transactionalProfile/capture</t>
  </si>
  <si>
    <t>PUT /crossProductOperations/v1/transactionalProfile/capture</t>
  </si>
  <si>
    <t>Servicio de Business encargado de revisar si ya existe información guardada sobre un cliente en la tabla transactional_profile dentro de la base de datos de Yugabyte. Básicamente, ayuda a saber si ese cliente ya tiene un perfil transaccional registrado y devuelve la información en caso de encontrarlo. Esta consulta es usada dentro del proceso de OnBoarding N4.</t>
  </si>
  <si>
    <t>RESMX001656</t>
  </si>
  <si>
    <t>Dom_ControlProspectBeneficiaryV1</t>
  </si>
  <si>
    <t>2.25.0</t>
  </si>
  <si>
    <t>/v1/prospectBeneficiary/control</t>
  </si>
  <si>
    <t>PATCH /sales/partyLifecycleManagement/v1/prospectBeneficiary/control</t>
  </si>
  <si>
    <t>Este microservicio es responsable de eliminar la información de un beneficiario asociado a un cliente prospecto.</t>
  </si>
  <si>
    <t>RESMX001657</t>
  </si>
  <si>
    <t>Dom_UpdateTransactionalProfileV1</t>
  </si>
  <si>
    <t>/v1/transactionalProfile/update</t>
  </si>
  <si>
    <t>PUT /sales/partyLifecycleManagement/v1/transactionalProfile/update</t>
  </si>
  <si>
    <t>Servicio de Proxy responsable de actualizar los datos de las preguntas referidas a el uso de recursos, número de movimientos, monto de movimientos, procedencia de los recursos y monto mensual a manejar, estos datos son capturados dentro del proceso de creación de una cuenta y actualizados dentro de la tabla transactional_profile contenida en la base de datos de Yugabyte. Es un componente dentro del flujo de OnBoarding de N4.</t>
  </si>
  <si>
    <t>RESMX001658</t>
  </si>
  <si>
    <t>Pro_ControlProspectBeneficiaryV1</t>
  </si>
  <si>
    <t>2.24.0</t>
  </si>
  <si>
    <t>PATCH /system/sales/partyLifecycleManagement/v1/prospectBeneficiary/control</t>
  </si>
  <si>
    <t>RESMX001659</t>
  </si>
  <si>
    <t>Pro_UpdateTransactionalProfileV1</t>
  </si>
  <si>
    <t>PUT /system/sales/partyLifecycleManagement/v1/transactionalProfile/update</t>
  </si>
  <si>
    <t>RESMX001660</t>
  </si>
  <si>
    <t>Rec_CaptureTransactionalProfileV1</t>
  </si>
  <si>
    <t>1.9.0</t>
  </si>
  <si>
    <t>PUT /experience/crossProductOperations/v1/transactionalProfile/capture</t>
  </si>
  <si>
    <t>RESMX001661</t>
  </si>
  <si>
    <t>Rec_ControlProspectBeneficiaryV1</t>
  </si>
  <si>
    <t>2.19.0</t>
  </si>
  <si>
    <t>PATCH /experience/sales/partyLifecycleManagement/v1/prospectBeneficiary/control</t>
  </si>
  <si>
    <t>RESMX001662</t>
  </si>
  <si>
    <t>Rec_UpdateTransactionalProfileV1</t>
  </si>
  <si>
    <t>PUT /experience/sales/partyLifecycleManagement/v1/transactionalProfile/update</t>
  </si>
  <si>
    <t>RESMX001663</t>
  </si>
  <si>
    <t>Dom_RegisterLocationV2</t>
  </si>
  <si>
    <t>2.26.1</t>
  </si>
  <si>
    <t>https://coppelmx.atlassian.net/wiki/x/EgAPgQ</t>
  </si>
  <si>
    <t>RESMX001664</t>
  </si>
  <si>
    <t>Dom_UpdateCustomerrelationshipinvolvementV2</t>
  </si>
  <si>
    <t>1.15.0</t>
  </si>
  <si>
    <t>https://coppelmx.atlassian.net/wiki/x/jIAIgQ</t>
  </si>
  <si>
    <t>RESMX001665</t>
  </si>
  <si>
    <t>Dom_CreateDocumentationV2</t>
  </si>
  <si>
    <t>2.27.3</t>
  </si>
  <si>
    <t>/v2/documentation/create</t>
  </si>
  <si>
    <t>RESMX001666</t>
  </si>
  <si>
    <t>Dom_InitiateCustomerRiskProfileV1</t>
  </si>
  <si>
    <t>/v1/customerRiskProfile/initiate</t>
  </si>
  <si>
    <t>POST /customerManagement/customerCreditRating/v1/customerRiskProfile/initiate</t>
  </si>
  <si>
    <t>Inicializa el CustomerCreditRatingAssessment para el cliente, registrando la información base necesaria para la evaluación de riesgo (factores inherentes y perfil transaccional esperado).</t>
  </si>
  <si>
    <t>RESMX001667</t>
  </si>
  <si>
    <t>Dom_EvaluateCustomerRiskProfileV1</t>
  </si>
  <si>
    <t>/v1/customerRiskProfile/evaluate</t>
  </si>
  <si>
    <t>POST /customerManagement/customerCreditRating/v1/customerRiskProfile/evaluate</t>
  </si>
  <si>
    <t>Ejecuta el modelo de scoring para calcular el riesgo del cliente, generando un risk score y su clasificación (Low / Medium / High), los cuales quedan persistidos en el assessment.</t>
  </si>
  <si>
    <t>RESMX001668</t>
  </si>
  <si>
    <t>Dom_EvaluateSavingsAccountV1</t>
  </si>
  <si>
    <t>/v1/savingsAccount/evaluate</t>
  </si>
  <si>
    <t>POST /loansAndDeposits/savingsAccount/v1/savingsAccount/evaluate</t>
  </si>
  <si>
    <t>Este Servicio Dominio es responsable de la generación de una cuenta de nivel 4 (N4) para un cliente, realizando la persistencia de la información tanto en el backend de Informix.</t>
  </si>
  <si>
    <t>RESMX001669</t>
  </si>
  <si>
    <t>Dom_RegisterSavingsAccountV1</t>
  </si>
  <si>
    <t>/v1/savingsAccount/register</t>
  </si>
  <si>
    <t>POST /loansAndDeposits/savingsAccount/v1/savingsAccount/register</t>
  </si>
  <si>
    <t>Este Servicio Dominio es responsable de la generación de una cuenta de nivel 4 (N4) para un cliente, realizando la persistencia de la información tanto en el backend de YugabyteDB.</t>
  </si>
  <si>
    <t>RESMX001670</t>
  </si>
  <si>
    <t>Pro_InitiateCustomerRiskProfileV1</t>
  </si>
  <si>
    <t>1.16.5</t>
  </si>
  <si>
    <t>POST /system/customerManagement/customerCreditRating/v1/customerRiskProfile/initiate</t>
  </si>
  <si>
    <t>RESMX001671</t>
  </si>
  <si>
    <t>Pro_EvaluateCustomerRiskProfileV1</t>
  </si>
  <si>
    <t>POST /system/customerManagement/customerCreditRating/v1/customerRiskProfile/evaluate</t>
  </si>
  <si>
    <t>RESMX001672</t>
  </si>
  <si>
    <t>Pro_EvaluateSavingsAccountV1</t>
  </si>
  <si>
    <t>POST /system/loansAndDeposits/savingsAccount/v1/savingsAccount/evaluate</t>
  </si>
  <si>
    <t>Este Servicio Proxy es responsable de la generación de una cuenta de nivel 4 (N4) para un cliente, realizando la persistencia de la información tanto en el backend de Informix.</t>
  </si>
  <si>
    <t>RESMX001673</t>
  </si>
  <si>
    <t>Pro_RegisterSavingsAccountV1</t>
  </si>
  <si>
    <t>POST /system/loansAndDeposits/savingsAccount/v1/savingsAccount/register</t>
  </si>
  <si>
    <t>Este Servicio Proxy es responsable de la generación de una cuenta de nivel 4 (N4) para un cliente, realizando la persistencia de la información tanto en el backend de YugabyteDB.</t>
  </si>
  <si>
    <t>RESMX001674</t>
  </si>
  <si>
    <t>Pro_CreateDocumentationV2</t>
  </si>
  <si>
    <t>RESMX001675</t>
  </si>
  <si>
    <t>Rec_EvaluatePartyAgeEligibilityV1</t>
  </si>
  <si>
    <t>API de reception encargada de validar el cumplimiento de la política de edad del prospecto y de orquestar automáticamente el registro de rechazos (Knockouts) dentro del flujo de perfilamiento.</t>
  </si>
  <si>
    <t>RESMX001676</t>
  </si>
  <si>
    <t>Pro_RegisterCustomerRelationshipInvolvementV2</t>
  </si>
  <si>
    <t>2.26.0</t>
  </si>
  <si>
    <t>/v2/customerRelationshipInvolvement/register</t>
  </si>
  <si>
    <r>
      <rPr>
        <color rgb="FF1155CC"/>
        <u/>
      </rPr>
      <t>mx-api-bc-rec-party-lifecycle-management</t>
    </r>
  </si>
  <si>
    <t>RESMX001677</t>
  </si>
</sst>
</file>

<file path=xl/styles.xml><?xml version="1.0" encoding="utf-8"?>
<styleSheet xmlns="http://schemas.openxmlformats.org/spreadsheetml/2006/main" xmlns:x14ac="http://schemas.microsoft.com/office/spreadsheetml/2009/9/ac" xmlns:mc="http://schemas.openxmlformats.org/markup-compatibility/2006">
  <fonts count="67">
    <font>
      <sz val="10.0"/>
      <color rgb="FF000000"/>
      <name val="Verdana"/>
      <scheme val="minor"/>
    </font>
    <font>
      <sz val="10.0"/>
      <color theme="1"/>
      <name val="Verdana"/>
      <scheme val="minor"/>
    </font>
    <font>
      <color theme="1"/>
      <name val="Verdana"/>
      <scheme val="minor"/>
    </font>
    <font>
      <b/>
      <sz val="10.0"/>
      <color rgb="FFF8F9FA"/>
      <name val="Verdana"/>
      <scheme val="minor"/>
    </font>
    <font>
      <b/>
      <sz val="10.0"/>
      <color rgb="FFFFFFFF"/>
      <name val="Verdana"/>
    </font>
    <font>
      <sz val="10.0"/>
      <color rgb="FFFFFFFF"/>
      <name val="Verdana"/>
    </font>
    <font>
      <b/>
      <sz val="10.0"/>
      <color theme="0"/>
      <name val="Verdana"/>
      <scheme val="minor"/>
    </font>
    <font>
      <b/>
      <sz val="10.0"/>
      <color rgb="FFF5FCFF"/>
      <name val="Verdana"/>
      <scheme val="minor"/>
    </font>
    <font>
      <sz val="10.0"/>
      <color rgb="FF000000"/>
      <name val="Verdana"/>
    </font>
    <font>
      <u/>
      <sz val="10.0"/>
      <color rgb="FF0000FF"/>
    </font>
    <font>
      <u/>
      <sz val="10.0"/>
      <color rgb="FF000000"/>
      <name val="Verdana"/>
    </font>
    <font>
      <u/>
      <sz val="10.0"/>
      <color rgb="FF0000FF"/>
    </font>
    <font>
      <u/>
      <sz val="10.0"/>
      <color rgb="FF0000FF"/>
    </font>
    <font>
      <b/>
      <color theme="1"/>
      <name val="Verdana"/>
      <scheme val="minor"/>
    </font>
    <font>
      <u/>
      <sz val="10.0"/>
      <color rgb="FF0091DE"/>
    </font>
    <font>
      <u/>
      <sz val="10.0"/>
      <color rgb="FF000000"/>
      <name val="Verdana"/>
    </font>
    <font>
      <sz val="9.0"/>
      <color rgb="FF000000"/>
      <name val="&quot;Google Sans Mono&quot;"/>
    </font>
    <font>
      <sz val="10.0"/>
      <color rgb="FF1F1F1F"/>
      <name val="Verdana"/>
      <scheme val="minor"/>
    </font>
    <font>
      <color rgb="FF1F1F1F"/>
      <name val="Verdana"/>
      <scheme val="minor"/>
    </font>
    <font>
      <u/>
      <sz val="10.0"/>
      <color rgb="FF0000FF"/>
    </font>
    <font>
      <color rgb="FF000000"/>
      <name val="Verdana"/>
    </font>
    <font>
      <color rgb="FF000000"/>
      <name val="Verdana"/>
      <scheme val="minor"/>
    </font>
    <font>
      <b/>
      <color theme="1"/>
      <name val="Arial"/>
    </font>
    <font>
      <color theme="1"/>
      <name val="Arial"/>
    </font>
    <font>
      <u/>
      <color rgb="FF0000FF"/>
    </font>
    <font>
      <u/>
      <color rgb="FF0000FF"/>
    </font>
    <font>
      <sz val="11.0"/>
      <color rgb="FF292A2E"/>
      <name val="&quot;Atlassian Sans&quot;"/>
    </font>
    <font>
      <color theme="1"/>
      <name val="Verdana"/>
    </font>
    <font>
      <u/>
      <color rgb="FF000000"/>
      <name val="Verdana"/>
    </font>
    <font>
      <u/>
      <color rgb="FF000000"/>
      <name val="Verdana"/>
    </font>
    <font>
      <b/>
      <sz val="11.0"/>
      <color theme="1"/>
      <name val="Verdana"/>
      <scheme val="minor"/>
    </font>
    <font>
      <u/>
      <color rgb="FF0000FF"/>
    </font>
    <font>
      <u/>
      <color rgb="FF0000FF"/>
    </font>
    <font>
      <u/>
      <color rgb="FF0000FF"/>
    </font>
    <font>
      <sz val="11.0"/>
      <color theme="1"/>
      <name val="Arial"/>
    </font>
    <font>
      <u/>
      <color rgb="FF0000FF"/>
    </font>
    <font>
      <sz val="11.0"/>
      <color theme="1"/>
      <name val="Verdana"/>
      <scheme val="minor"/>
    </font>
    <font>
      <u/>
      <color rgb="FF0000FF"/>
    </font>
    <font>
      <sz val="10.0"/>
      <color rgb="FF005975"/>
      <name val="Verdana"/>
      <scheme val="minor"/>
    </font>
    <font>
      <u/>
      <color rgb="FF0091DE"/>
      <name val="Verdana"/>
    </font>
    <font>
      <u/>
      <sz val="10.0"/>
      <color rgb="FF0000FF"/>
    </font>
    <font>
      <sz val="11.0"/>
      <color rgb="FF5C5C5C"/>
      <name val="Consolas"/>
    </font>
    <font>
      <sz val="11.0"/>
      <color rgb="FF5C5C5C"/>
      <name val="System-ui"/>
    </font>
    <font>
      <u/>
      <sz val="10.0"/>
      <color rgb="FF0091DE"/>
    </font>
    <font>
      <sz val="11.0"/>
      <color rgb="FF00A2DF"/>
      <name val="System-ui"/>
    </font>
    <font>
      <u/>
      <sz val="10.0"/>
      <color rgb="FF0000FF"/>
    </font>
    <font>
      <sz val="10.0"/>
      <color rgb="FF0550AE"/>
      <name val="Verdana"/>
      <scheme val="minor"/>
    </font>
    <font>
      <sz val="11.0"/>
      <color rgb="FF000000"/>
      <name val="Calibri"/>
    </font>
    <font>
      <sz val="11.0"/>
      <color theme="1"/>
      <name val="Calibri"/>
    </font>
    <font>
      <sz val="11.0"/>
      <color theme="1"/>
      <name val="Consolas"/>
    </font>
    <font>
      <u/>
      <sz val="10.0"/>
      <color rgb="FF0000FF"/>
    </font>
    <font>
      <u/>
      <color rgb="FF0091DE"/>
      <name val="Verdana"/>
    </font>
    <font>
      <sz val="11.0"/>
      <color rgb="FF292A2E"/>
      <name val="Arial"/>
    </font>
    <font>
      <sz val="11.0"/>
      <color rgb="FF292A2E"/>
      <name val="Atlassian Sans"/>
    </font>
    <font>
      <sz val="10.0"/>
      <color rgb="FF0000FF"/>
      <name val="Verdana"/>
      <scheme val="minor"/>
    </font>
    <font>
      <color rgb="FF0000FF"/>
      <name val="Verdana"/>
      <scheme val="minor"/>
    </font>
    <font>
      <color rgb="FF0000FF"/>
      <name val="Arial"/>
    </font>
    <font>
      <u/>
      <color rgb="FF0000FF"/>
      <name val="Verdana"/>
    </font>
    <font>
      <u/>
      <color rgb="FF0091DE"/>
      <name val="Verdana"/>
    </font>
    <font>
      <sz val="10.0"/>
      <color theme="1"/>
      <name val="Arial"/>
    </font>
    <font>
      <u/>
      <color rgb="FF0000FF"/>
      <name val="Arial"/>
    </font>
    <font>
      <color rgb="FF292A2E"/>
      <name val="Atlassian Sans"/>
    </font>
    <font>
      <color rgb="FF292A2E"/>
      <name val="Arial"/>
    </font>
    <font>
      <u/>
      <color rgb="FF0091DE"/>
      <name val="Verdana"/>
    </font>
    <font>
      <color rgb="FF005975"/>
      <name val="Verdana"/>
      <scheme val="minor"/>
    </font>
    <font>
      <u/>
      <color rgb="FF0091DE"/>
      <name val="Verdana"/>
    </font>
    <font>
      <u/>
      <color rgb="FF0000FF"/>
    </font>
  </fonts>
  <fills count="18">
    <fill>
      <patternFill patternType="none"/>
    </fill>
    <fill>
      <patternFill patternType="lightGray"/>
    </fill>
    <fill>
      <patternFill patternType="solid">
        <fgColor theme="4"/>
        <bgColor theme="4"/>
      </patternFill>
    </fill>
    <fill>
      <patternFill patternType="solid">
        <fgColor rgb="FF26A69A"/>
        <bgColor rgb="FF26A69A"/>
      </patternFill>
    </fill>
    <fill>
      <patternFill patternType="solid">
        <fgColor rgb="FF1155CC"/>
        <bgColor rgb="FF1155CC"/>
      </patternFill>
    </fill>
    <fill>
      <patternFill patternType="solid">
        <fgColor rgb="FFFFFFFE"/>
        <bgColor rgb="FFFFFFFE"/>
      </patternFill>
    </fill>
    <fill>
      <patternFill patternType="solid">
        <fgColor rgb="FFFFFFFF"/>
        <bgColor rgb="FFFFFFFF"/>
      </patternFill>
    </fill>
    <fill>
      <patternFill patternType="solid">
        <fgColor rgb="FFDDF2F0"/>
        <bgColor rgb="FFDDF2F0"/>
      </patternFill>
    </fill>
    <fill>
      <patternFill patternType="solid">
        <fgColor rgb="FFFFFF00"/>
        <bgColor rgb="FFFFFF00"/>
      </patternFill>
    </fill>
    <fill>
      <patternFill patternType="solid">
        <fgColor rgb="FFCCCCCC"/>
        <bgColor rgb="FFCCCCCC"/>
      </patternFill>
    </fill>
    <fill>
      <patternFill patternType="solid">
        <fgColor rgb="FFEA9999"/>
        <bgColor rgb="FFEA9999"/>
      </patternFill>
    </fill>
    <fill>
      <patternFill patternType="solid">
        <fgColor rgb="FFD9EAD3"/>
        <bgColor rgb="FFD9EAD3"/>
      </patternFill>
    </fill>
    <fill>
      <patternFill patternType="solid">
        <fgColor rgb="FFFF0000"/>
        <bgColor rgb="FFFF0000"/>
      </patternFill>
    </fill>
    <fill>
      <patternFill patternType="solid">
        <fgColor rgb="FF0000FF"/>
        <bgColor rgb="FF0000FF"/>
      </patternFill>
    </fill>
    <fill>
      <patternFill patternType="solid">
        <fgColor rgb="FFF4F5F6"/>
        <bgColor rgb="FFF4F5F6"/>
      </patternFill>
    </fill>
    <fill>
      <patternFill patternType="solid">
        <fgColor rgb="FF8CD3CD"/>
        <bgColor rgb="FF8CD3CD"/>
      </patternFill>
    </fill>
    <fill>
      <patternFill patternType="solid">
        <fgColor rgb="FFFF9900"/>
        <bgColor rgb="FFFF990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1" numFmtId="0" xfId="0" applyAlignment="1" applyFont="1">
      <alignment horizontal="left" readingOrder="0" shrinkToFit="0" wrapText="0"/>
    </xf>
    <xf borderId="0" fillId="2" fontId="3" numFmtId="0" xfId="0" applyAlignment="1" applyFill="1" applyFont="1">
      <alignment horizontal="center" readingOrder="0"/>
    </xf>
    <xf borderId="0" fillId="2" fontId="3" numFmtId="0" xfId="0" applyAlignment="1" applyFont="1">
      <alignment horizontal="center" readingOrder="0" shrinkToFit="0" wrapText="0"/>
    </xf>
    <xf borderId="0" fillId="3" fontId="4" numFmtId="0" xfId="0" applyAlignment="1" applyFill="1" applyFont="1">
      <alignment horizontal="center" readingOrder="0" shrinkToFit="0" wrapText="0"/>
    </xf>
    <xf borderId="0" fillId="2" fontId="3" numFmtId="0" xfId="0" applyAlignment="1" applyFont="1">
      <alignment horizontal="center" readingOrder="0" shrinkToFit="0" vertical="bottom" wrapText="0"/>
    </xf>
    <xf borderId="0" fillId="2" fontId="3" numFmtId="0" xfId="0" applyAlignment="1" applyFont="1">
      <alignment horizontal="center" shrinkToFit="0" wrapText="0"/>
    </xf>
    <xf borderId="1" fillId="3" fontId="4" numFmtId="0" xfId="0" applyAlignment="1" applyBorder="1" applyFont="1">
      <alignment horizontal="center" shrinkToFit="0" wrapText="0"/>
    </xf>
    <xf borderId="1" fillId="3" fontId="4" numFmtId="0" xfId="0" applyAlignment="1" applyBorder="1" applyFont="1">
      <alignment horizontal="center" readingOrder="0" shrinkToFit="0" wrapText="0"/>
    </xf>
    <xf borderId="1" fillId="3" fontId="4" numFmtId="0" xfId="0" applyAlignment="1" applyBorder="1" applyFont="1">
      <alignment horizontal="center" readingOrder="0" shrinkToFit="0" vertical="bottom" wrapText="0"/>
    </xf>
    <xf borderId="0" fillId="2" fontId="3" numFmtId="0" xfId="0" applyAlignment="1" applyFont="1">
      <alignment horizontal="left" readingOrder="0" shrinkToFit="0" vertical="bottom" wrapText="0"/>
    </xf>
    <xf borderId="1" fillId="3" fontId="4" numFmtId="0" xfId="0" applyAlignment="1" applyBorder="1" applyFont="1">
      <alignment horizontal="center" shrinkToFit="0" vertical="bottom" wrapText="0"/>
    </xf>
    <xf borderId="1" fillId="3" fontId="4" numFmtId="49" xfId="0" applyAlignment="1" applyBorder="1" applyFont="1" applyNumberFormat="1">
      <alignment horizontal="center" readingOrder="0" shrinkToFit="0" vertical="bottom" wrapText="0"/>
    </xf>
    <xf borderId="1" fillId="3" fontId="4" numFmtId="49" xfId="0" applyAlignment="1" applyBorder="1" applyFont="1" applyNumberFormat="1">
      <alignment horizontal="left" readingOrder="0" shrinkToFit="0" vertical="bottom" wrapText="0"/>
    </xf>
    <xf borderId="1" fillId="3" fontId="5" numFmtId="0" xfId="0" applyAlignment="1" applyBorder="1" applyFont="1">
      <alignment shrinkToFit="0" wrapText="0"/>
    </xf>
    <xf borderId="0" fillId="4" fontId="6" numFmtId="0" xfId="0" applyAlignment="1" applyFill="1" applyFont="1">
      <alignment horizontal="center" readingOrder="0" shrinkToFit="0" wrapText="0"/>
    </xf>
    <xf borderId="0" fillId="0" fontId="0" numFmtId="0" xfId="0" applyAlignment="1" applyFont="1">
      <alignment horizontal="center" readingOrder="0" shrinkToFit="0" wrapText="0"/>
    </xf>
    <xf borderId="0" fillId="4" fontId="7" numFmtId="0" xfId="0" applyAlignment="1" applyFont="1">
      <alignment horizontal="center" readingOrder="0" shrinkToFit="0" wrapText="0"/>
    </xf>
    <xf borderId="0" fillId="4" fontId="7" numFmtId="0" xfId="0" applyAlignment="1" applyFont="1">
      <alignment horizontal="center" readingOrder="0" shrinkToFit="0" vertical="bottom" wrapText="0"/>
    </xf>
    <xf borderId="0" fillId="4" fontId="6" numFmtId="0" xfId="0" applyAlignment="1" applyFont="1">
      <alignment horizontal="center" shrinkToFit="0" wrapText="0"/>
    </xf>
    <xf borderId="0" fillId="0" fontId="1" numFmtId="0" xfId="0" applyAlignment="1" applyFont="1">
      <alignment readingOrder="0" shrinkToFit="0" wrapText="0"/>
    </xf>
    <xf borderId="0" fillId="0" fontId="1" numFmtId="0" xfId="0" applyAlignment="1" applyFont="1">
      <alignment horizontal="center" readingOrder="0" shrinkToFit="0" vertical="bottom" wrapText="0"/>
    </xf>
    <xf borderId="0" fillId="5" fontId="1" numFmtId="0" xfId="0" applyAlignment="1" applyFill="1" applyFont="1">
      <alignment horizontal="center" readingOrder="0" shrinkToFit="0" wrapText="0"/>
    </xf>
    <xf borderId="0" fillId="0" fontId="1" numFmtId="0" xfId="0" applyAlignment="1" applyFont="1">
      <alignment shrinkToFit="0" vertical="bottom" wrapText="0"/>
    </xf>
    <xf borderId="0" fillId="0" fontId="1" numFmtId="0" xfId="0" applyAlignment="1" applyFont="1">
      <alignment horizontal="center" readingOrder="0" shrinkToFit="0" vertical="center" wrapText="0"/>
    </xf>
    <xf borderId="0" fillId="6" fontId="8" numFmtId="0" xfId="0" applyAlignment="1" applyFill="1" applyFont="1">
      <alignment horizontal="center" readingOrder="0" shrinkToFit="0" wrapText="0"/>
    </xf>
    <xf borderId="1" fillId="6" fontId="8" numFmtId="0" xfId="0" applyAlignment="1" applyBorder="1" applyFont="1">
      <alignment shrinkToFit="0" wrapText="0"/>
    </xf>
    <xf borderId="0" fillId="0" fontId="1" numFmtId="49" xfId="0" applyAlignment="1" applyFont="1" applyNumberFormat="1">
      <alignment horizontal="center" readingOrder="0" shrinkToFit="0" wrapText="0"/>
    </xf>
    <xf borderId="0" fillId="0" fontId="2" numFmtId="0" xfId="0" applyAlignment="1" applyFont="1">
      <alignment shrinkToFit="0" wrapText="0"/>
    </xf>
    <xf borderId="0" fillId="0" fontId="1" numFmtId="0" xfId="0" applyAlignment="1" applyFont="1">
      <alignment horizontal="center" readingOrder="0" shrinkToFit="0" wrapText="0"/>
    </xf>
    <xf borderId="0" fillId="0" fontId="1" numFmtId="0" xfId="0" applyAlignment="1" applyFont="1">
      <alignment shrinkToFit="0" wrapText="0"/>
    </xf>
    <xf borderId="1" fillId="6" fontId="8" numFmtId="0" xfId="0" applyAlignment="1" applyBorder="1" applyFont="1">
      <alignment horizontal="center" shrinkToFit="0" wrapText="0"/>
    </xf>
    <xf borderId="1" fillId="6" fontId="8" numFmtId="0" xfId="0" applyAlignment="1" applyBorder="1" applyFont="1">
      <alignment horizontal="center" shrinkToFit="0" vertical="bottom" wrapText="0"/>
    </xf>
    <xf borderId="1" fillId="6" fontId="8" numFmtId="0" xfId="0" applyAlignment="1" applyBorder="1" applyFont="1">
      <alignment horizontal="left" readingOrder="0" shrinkToFit="0" wrapText="0"/>
    </xf>
    <xf borderId="0" fillId="0" fontId="9" numFmtId="0" xfId="0" applyAlignment="1" applyFont="1">
      <alignment horizontal="left" readingOrder="0" shrinkToFit="0" wrapText="0"/>
    </xf>
    <xf borderId="1" fillId="6" fontId="10" numFmtId="0" xfId="0" applyAlignment="1" applyBorder="1" applyFont="1">
      <alignment horizontal="left" readingOrder="0" shrinkToFit="0" vertical="center" wrapText="0"/>
    </xf>
    <xf borderId="0" fillId="0" fontId="11" numFmtId="0" xfId="0" applyAlignment="1" applyFont="1">
      <alignment shrinkToFit="0" wrapText="0"/>
    </xf>
    <xf borderId="1" fillId="6" fontId="8" numFmtId="49" xfId="0" applyAlignment="1" applyBorder="1" applyFont="1" applyNumberFormat="1">
      <alignment horizontal="center" readingOrder="0" shrinkToFit="0" vertical="bottom" wrapText="0"/>
    </xf>
    <xf borderId="0" fillId="0" fontId="1" numFmtId="0" xfId="0" applyAlignment="1" applyFont="1">
      <alignment shrinkToFit="0" wrapText="0"/>
    </xf>
    <xf borderId="1" fillId="6" fontId="8" numFmtId="49" xfId="0" applyAlignment="1" applyBorder="1" applyFont="1" applyNumberFormat="1">
      <alignment horizontal="left" readingOrder="0" shrinkToFit="0" vertical="bottom" wrapText="0"/>
    </xf>
    <xf borderId="1" fillId="6" fontId="8" numFmtId="49" xfId="0" applyAlignment="1" applyBorder="1" applyFont="1" applyNumberFormat="1">
      <alignment horizontal="center" readingOrder="0" shrinkToFit="0" wrapText="0"/>
    </xf>
    <xf borderId="1" fillId="6" fontId="8" numFmtId="0" xfId="0" applyAlignment="1" applyBorder="1" applyFont="1">
      <alignment shrinkToFit="0" wrapText="0"/>
    </xf>
    <xf borderId="0" fillId="0" fontId="12" numFmtId="0" xfId="0" applyAlignment="1" applyFont="1">
      <alignment horizontal="left" readingOrder="0" shrinkToFit="0" wrapText="0"/>
    </xf>
    <xf borderId="0" fillId="0" fontId="13" numFmtId="0" xfId="0" applyAlignment="1" applyFont="1">
      <alignment readingOrder="0"/>
    </xf>
    <xf borderId="0" fillId="7" fontId="8" numFmtId="0" xfId="0" applyAlignment="1" applyFill="1" applyFont="1">
      <alignment horizontal="center" readingOrder="0" shrinkToFit="0" wrapText="0"/>
    </xf>
    <xf borderId="1" fillId="7" fontId="8" numFmtId="0" xfId="0" applyAlignment="1" applyBorder="1" applyFont="1">
      <alignment shrinkToFit="0" wrapText="0"/>
    </xf>
    <xf borderId="0" fillId="0" fontId="13" numFmtId="0" xfId="0" applyFont="1"/>
    <xf borderId="0" fillId="0" fontId="14" numFmtId="0" xfId="0" applyAlignment="1" applyFont="1">
      <alignment horizontal="left" readingOrder="0" shrinkToFit="0" wrapText="0"/>
    </xf>
    <xf borderId="1" fillId="7" fontId="8" numFmtId="0" xfId="0" applyAlignment="1" applyBorder="1" applyFont="1">
      <alignment horizontal="center" shrinkToFit="0" wrapText="0"/>
    </xf>
    <xf borderId="1" fillId="7" fontId="8" numFmtId="0" xfId="0" applyAlignment="1" applyBorder="1" applyFont="1">
      <alignment horizontal="center" shrinkToFit="0" vertical="bottom" wrapText="0"/>
    </xf>
    <xf borderId="0" fillId="0" fontId="2" numFmtId="0" xfId="0" applyFont="1"/>
    <xf borderId="1" fillId="7" fontId="8" numFmtId="0" xfId="0" applyAlignment="1" applyBorder="1" applyFont="1">
      <alignment horizontal="left" readingOrder="0" shrinkToFit="0" wrapText="0"/>
    </xf>
    <xf borderId="1" fillId="7" fontId="15" numFmtId="0" xfId="0" applyAlignment="1" applyBorder="1" applyFont="1">
      <alignment horizontal="left" readingOrder="0" shrinkToFit="0" vertical="center" wrapText="0"/>
    </xf>
    <xf borderId="1" fillId="7" fontId="8" numFmtId="49" xfId="0" applyAlignment="1" applyBorder="1" applyFont="1" applyNumberFormat="1">
      <alignment horizontal="center" readingOrder="0" shrinkToFit="0" vertical="bottom" wrapText="0"/>
    </xf>
    <xf borderId="0" fillId="6" fontId="16" numFmtId="0" xfId="0" applyFont="1"/>
    <xf borderId="1" fillId="7" fontId="8" numFmtId="49" xfId="0" applyAlignment="1" applyBorder="1" applyFont="1" applyNumberFormat="1">
      <alignment horizontal="left" readingOrder="0" shrinkToFit="0" vertical="bottom" wrapText="0"/>
    </xf>
    <xf borderId="0" fillId="6" fontId="17" numFmtId="0" xfId="0" applyFont="1"/>
    <xf borderId="1" fillId="7" fontId="8" numFmtId="49" xfId="0" applyAlignment="1" applyBorder="1" applyFont="1" applyNumberFormat="1">
      <alignment horizontal="center" readingOrder="0" shrinkToFit="0" wrapText="0"/>
    </xf>
    <xf borderId="1" fillId="7" fontId="8" numFmtId="0" xfId="0" applyAlignment="1" applyBorder="1" applyFont="1">
      <alignment shrinkToFit="0" wrapText="0"/>
    </xf>
    <xf borderId="0" fillId="0" fontId="1" numFmtId="0" xfId="0" applyAlignment="1" applyFont="1">
      <alignment horizontal="left" shrinkToFit="0" wrapText="0"/>
    </xf>
    <xf borderId="0" fillId="6" fontId="18" numFmtId="0" xfId="0" applyFont="1"/>
    <xf borderId="0" fillId="0" fontId="2" numFmtId="0" xfId="0" applyFont="1"/>
    <xf borderId="0" fillId="0" fontId="13" numFmtId="0" xfId="0" applyFont="1"/>
    <xf borderId="0" fillId="8" fontId="1" numFmtId="0" xfId="0" applyAlignment="1" applyFill="1" applyFont="1">
      <alignment readingOrder="0" shrinkToFit="0" wrapText="0"/>
    </xf>
    <xf borderId="0" fillId="8" fontId="1" numFmtId="0" xfId="0" applyAlignment="1" applyFont="1">
      <alignment shrinkToFit="0" wrapText="0"/>
    </xf>
    <xf borderId="1" fillId="6" fontId="8" numFmtId="0" xfId="0" applyAlignment="1" applyBorder="1" applyFont="1">
      <alignment readingOrder="0" shrinkToFit="0" wrapText="0"/>
    </xf>
    <xf borderId="0" fillId="0" fontId="13" numFmtId="0" xfId="0" applyAlignment="1" applyFont="1">
      <alignment horizontal="center" readingOrder="0" shrinkToFit="0" wrapText="0"/>
    </xf>
    <xf borderId="0" fillId="0" fontId="13" numFmtId="0" xfId="0" applyAlignment="1" applyFont="1">
      <alignment readingOrder="0" shrinkToFit="0" wrapText="0"/>
    </xf>
    <xf borderId="0" fillId="0" fontId="13" numFmtId="49" xfId="0" applyAlignment="1" applyFont="1" applyNumberFormat="1">
      <alignment horizontal="center" readingOrder="0" shrinkToFit="0" wrapText="0"/>
    </xf>
    <xf borderId="0" fillId="0" fontId="13" numFmtId="0" xfId="0" applyAlignment="1" applyFont="1">
      <alignment horizontal="center" shrinkToFit="0" wrapText="0"/>
    </xf>
    <xf borderId="0" fillId="0" fontId="2" numFmtId="0" xfId="0" applyAlignment="1" applyFont="1">
      <alignment readingOrder="0" shrinkToFit="0" wrapText="0"/>
    </xf>
    <xf borderId="0" fillId="0" fontId="2" numFmtId="0" xfId="0" applyAlignment="1" applyFont="1">
      <alignment horizontal="center" readingOrder="0" shrinkToFit="0" wrapText="0"/>
    </xf>
    <xf borderId="0" fillId="0" fontId="2" numFmtId="0" xfId="0" applyAlignment="1" applyFont="1">
      <alignment horizontal="center" shrinkToFit="0" wrapText="0"/>
    </xf>
    <xf borderId="0" fillId="0" fontId="2" numFmtId="0" xfId="0" applyAlignment="1" applyFont="1">
      <alignment shrinkToFit="0" wrapText="0"/>
    </xf>
    <xf borderId="1" fillId="7" fontId="8" numFmtId="49" xfId="0" applyAlignment="1" applyBorder="1" applyFont="1" applyNumberFormat="1">
      <alignment horizontal="left" readingOrder="0" shrinkToFit="0" wrapText="0"/>
    </xf>
    <xf borderId="1" fillId="6" fontId="8" numFmtId="49" xfId="0" applyAlignment="1" applyBorder="1" applyFont="1" applyNumberFormat="1">
      <alignment horizontal="left" readingOrder="0" shrinkToFit="0" wrapText="0"/>
    </xf>
    <xf borderId="0" fillId="0" fontId="1" numFmtId="0" xfId="0" applyAlignment="1" applyFont="1">
      <alignment horizontal="center" shrinkToFit="0" vertical="bottom" wrapText="0"/>
    </xf>
    <xf borderId="0" fillId="8" fontId="0" numFmtId="0" xfId="0" applyAlignment="1" applyFont="1">
      <alignment horizontal="center" readingOrder="0" shrinkToFit="0" wrapText="0"/>
    </xf>
    <xf borderId="0" fillId="8" fontId="1" numFmtId="0" xfId="0" applyAlignment="1" applyFont="1">
      <alignment horizontal="center" readingOrder="0" shrinkToFit="0" vertical="bottom" wrapText="0"/>
    </xf>
    <xf borderId="0" fillId="8" fontId="1" numFmtId="0" xfId="0" applyAlignment="1" applyFont="1">
      <alignment horizontal="center" readingOrder="0" shrinkToFit="0" wrapText="0"/>
    </xf>
    <xf borderId="0" fillId="8" fontId="1" numFmtId="0" xfId="0" applyAlignment="1" applyFont="1">
      <alignment shrinkToFit="0" vertical="bottom" wrapText="0"/>
    </xf>
    <xf borderId="0" fillId="8" fontId="1" numFmtId="0" xfId="0" applyAlignment="1" applyFont="1">
      <alignment horizontal="center" readingOrder="0" shrinkToFit="0" vertical="center" wrapText="0"/>
    </xf>
    <xf borderId="0" fillId="8" fontId="1" numFmtId="49" xfId="0" applyAlignment="1" applyFont="1" applyNumberFormat="1">
      <alignment horizontal="center" readingOrder="0" shrinkToFit="0" wrapText="0"/>
    </xf>
    <xf borderId="0" fillId="8" fontId="1" numFmtId="0" xfId="0" applyAlignment="1" applyFont="1">
      <alignment horizontal="left" readingOrder="0" shrinkToFit="0" wrapText="0"/>
    </xf>
    <xf borderId="0" fillId="8" fontId="1" numFmtId="0" xfId="0" applyAlignment="1" applyFont="1">
      <alignment shrinkToFit="0" wrapText="0"/>
    </xf>
    <xf borderId="0" fillId="8" fontId="1" numFmtId="0" xfId="0" applyAlignment="1" applyFont="1">
      <alignment horizontal="left" shrinkToFit="0" wrapText="0"/>
    </xf>
    <xf borderId="0" fillId="8" fontId="19" numFmtId="0" xfId="0" applyAlignment="1" applyFont="1">
      <alignment shrinkToFit="0" wrapText="0"/>
    </xf>
    <xf borderId="0" fillId="6" fontId="8" numFmtId="49" xfId="0" applyAlignment="1" applyFont="1" applyNumberFormat="1">
      <alignment horizontal="center" readingOrder="0" shrinkToFit="0" wrapText="0"/>
    </xf>
    <xf borderId="1" fillId="7" fontId="8" numFmtId="0" xfId="0" applyAlignment="1" applyBorder="1" applyFont="1">
      <alignment readingOrder="0" shrinkToFit="0" wrapText="0"/>
    </xf>
    <xf borderId="1" fillId="7" fontId="8" numFmtId="0" xfId="0" applyAlignment="1" applyBorder="1" applyFont="1">
      <alignment horizontal="left" readingOrder="0" shrinkToFit="0" vertical="bottom" wrapText="0"/>
    </xf>
    <xf borderId="1" fillId="5" fontId="8" numFmtId="49" xfId="0" applyAlignment="1" applyBorder="1" applyFont="1" applyNumberFormat="1">
      <alignment horizontal="center" readingOrder="0" shrinkToFit="0" wrapText="0"/>
    </xf>
    <xf borderId="0" fillId="7" fontId="8" numFmtId="49" xfId="0" applyAlignment="1" applyFont="1" applyNumberFormat="1">
      <alignment horizontal="center" readingOrder="0" shrinkToFit="0" wrapText="0"/>
    </xf>
    <xf borderId="1" fillId="7" fontId="20" numFmtId="0" xfId="0" applyAlignment="1" applyBorder="1" applyFont="1">
      <alignment horizontal="center" shrinkToFit="0" vertical="bottom" wrapText="0"/>
    </xf>
    <xf borderId="1" fillId="7" fontId="8" numFmtId="49" xfId="0" applyAlignment="1" applyBorder="1" applyFont="1" applyNumberFormat="1">
      <alignment horizontal="center" shrinkToFit="0" wrapText="0"/>
    </xf>
    <xf borderId="1" fillId="7" fontId="8" numFmtId="49" xfId="0" applyAlignment="1" applyBorder="1" applyFont="1" applyNumberFormat="1">
      <alignment horizontal="left" shrinkToFit="0" wrapText="0"/>
    </xf>
    <xf borderId="1" fillId="6" fontId="20" numFmtId="0" xfId="0" applyAlignment="1" applyBorder="1" applyFont="1">
      <alignment horizontal="center" shrinkToFit="0" vertical="bottom" wrapText="0"/>
    </xf>
    <xf borderId="1" fillId="6" fontId="8" numFmtId="49" xfId="0" applyAlignment="1" applyBorder="1" applyFont="1" applyNumberFormat="1">
      <alignment horizontal="center" shrinkToFit="0" wrapText="0"/>
    </xf>
    <xf borderId="1" fillId="6" fontId="8" numFmtId="49" xfId="0" applyAlignment="1" applyBorder="1" applyFont="1" applyNumberFormat="1">
      <alignment horizontal="left" shrinkToFit="0" wrapText="0"/>
    </xf>
    <xf borderId="1" fillId="7" fontId="8" numFmtId="0" xfId="0" applyAlignment="1" applyBorder="1" applyFont="1">
      <alignment shrinkToFit="0" vertical="bottom" wrapText="0"/>
    </xf>
    <xf borderId="1" fillId="6" fontId="8" numFmtId="0" xfId="0" applyAlignment="1" applyBorder="1" applyFont="1">
      <alignment shrinkToFit="0" vertical="bottom" wrapText="0"/>
    </xf>
    <xf borderId="0" fillId="0" fontId="21" numFmtId="0" xfId="0" applyAlignment="1" applyFont="1">
      <alignment readingOrder="0"/>
    </xf>
    <xf borderId="1" fillId="6" fontId="8" numFmtId="0" xfId="0" applyAlignment="1" applyBorder="1" applyFont="1">
      <alignment shrinkToFit="0" vertical="bottom" wrapText="0"/>
    </xf>
    <xf borderId="1" fillId="6" fontId="8" numFmtId="0" xfId="0" applyBorder="1" applyFont="1"/>
    <xf borderId="1" fillId="7" fontId="8" numFmtId="0" xfId="0" applyAlignment="1" applyBorder="1" applyFont="1">
      <alignment shrinkToFit="0" vertical="bottom" wrapText="0"/>
    </xf>
    <xf borderId="1" fillId="7" fontId="8" numFmtId="0" xfId="0" applyBorder="1" applyFont="1"/>
    <xf borderId="1" fillId="7" fontId="8" numFmtId="49" xfId="0" applyAlignment="1" applyBorder="1" applyFont="1" applyNumberFormat="1">
      <alignment shrinkToFit="0" vertical="bottom" wrapText="0"/>
    </xf>
    <xf borderId="0" fillId="6" fontId="8" numFmtId="0" xfId="0" applyFont="1"/>
    <xf borderId="1" fillId="6" fontId="8" numFmtId="0" xfId="0" applyAlignment="1" applyBorder="1" applyFont="1">
      <alignment vertical="bottom"/>
    </xf>
    <xf borderId="1" fillId="6" fontId="8" numFmtId="0" xfId="0" applyAlignment="1" applyBorder="1" applyFont="1">
      <alignment horizontal="center" readingOrder="0" shrinkToFit="0" vertical="bottom" wrapText="0"/>
    </xf>
    <xf borderId="1" fillId="6" fontId="8" numFmtId="49" xfId="0" applyAlignment="1" applyBorder="1" applyFont="1" applyNumberFormat="1">
      <alignment horizontal="center" shrinkToFit="0" vertical="bottom" wrapText="0"/>
    </xf>
    <xf borderId="1" fillId="7" fontId="8" numFmtId="49" xfId="0" applyAlignment="1" applyBorder="1" applyFont="1" applyNumberFormat="1">
      <alignment horizontal="center" shrinkToFit="0" vertical="bottom" wrapText="0"/>
    </xf>
    <xf borderId="1" fillId="7" fontId="8" numFmtId="0" xfId="0" applyAlignment="1" applyBorder="1" applyFont="1">
      <alignment horizontal="center" readingOrder="0" shrinkToFit="0" vertical="bottom" wrapText="0"/>
    </xf>
    <xf borderId="0" fillId="0" fontId="13" numFmtId="0" xfId="0" applyAlignment="1" applyFont="1">
      <alignment horizontal="center" readingOrder="0"/>
    </xf>
    <xf borderId="0" fillId="0" fontId="13" numFmtId="0" xfId="0" applyAlignment="1" applyFont="1">
      <alignment horizontal="left" readingOrder="0" shrinkToFit="0" wrapText="0"/>
    </xf>
    <xf borderId="0" fillId="0" fontId="22" numFmtId="0" xfId="0" applyAlignment="1" applyFont="1">
      <alignment horizontal="center" vertical="bottom"/>
    </xf>
    <xf borderId="0" fillId="0" fontId="22" numFmtId="0" xfId="0" applyAlignment="1" applyFont="1">
      <alignment horizontal="center" readingOrder="0" vertical="bottom"/>
    </xf>
    <xf borderId="0" fillId="0" fontId="23" numFmtId="0" xfId="0" applyAlignment="1" applyFont="1">
      <alignment horizontal="center" readingOrder="0" vertical="bottom"/>
    </xf>
    <xf borderId="0" fillId="0" fontId="23" numFmtId="0" xfId="0" applyAlignment="1" applyFont="1">
      <alignment horizontal="center" readingOrder="0" shrinkToFit="0" vertical="bottom" wrapText="0"/>
    </xf>
    <xf borderId="0" fillId="7" fontId="21" numFmtId="0" xfId="0" applyAlignment="1" applyFont="1">
      <alignment readingOrder="0"/>
    </xf>
    <xf borderId="0" fillId="0" fontId="24" numFmtId="0" xfId="0" applyAlignment="1" applyFont="1">
      <alignment readingOrder="0" shrinkToFit="0" wrapText="0"/>
    </xf>
    <xf borderId="0" fillId="0" fontId="16" numFmtId="0" xfId="0" applyAlignment="1" applyFont="1">
      <alignment horizontal="center"/>
    </xf>
    <xf borderId="0" fillId="0" fontId="25" numFmtId="0" xfId="0" applyAlignment="1" applyFont="1">
      <alignment horizontal="center" readingOrder="0" shrinkToFit="0" wrapText="0"/>
    </xf>
    <xf borderId="0" fillId="6" fontId="26" numFmtId="0" xfId="0" applyAlignment="1" applyFont="1">
      <alignment horizontal="left" readingOrder="0"/>
    </xf>
    <xf borderId="1" fillId="6" fontId="8" numFmtId="0" xfId="0" applyAlignment="1" applyBorder="1" applyFont="1">
      <alignment horizontal="left" readingOrder="0" shrinkToFit="0" vertical="bottom" wrapText="0"/>
    </xf>
    <xf borderId="0" fillId="7" fontId="1" numFmtId="0" xfId="0" applyAlignment="1" applyFont="1">
      <alignment readingOrder="0" shrinkToFit="0" wrapText="0"/>
    </xf>
    <xf borderId="0" fillId="6" fontId="1" numFmtId="0" xfId="0" applyAlignment="1" applyFont="1">
      <alignment readingOrder="0" shrinkToFit="0" wrapText="0"/>
    </xf>
    <xf borderId="0" fillId="6" fontId="23" numFmtId="0" xfId="0" applyAlignment="1" applyFont="1">
      <alignment readingOrder="0" shrinkToFit="0" vertical="bottom" wrapText="1"/>
    </xf>
    <xf borderId="0" fillId="0" fontId="2" numFmtId="0" xfId="0" applyAlignment="1" applyFont="1">
      <alignment shrinkToFit="0" wrapText="0"/>
    </xf>
    <xf borderId="0" fillId="7" fontId="23" numFmtId="0" xfId="0" applyAlignment="1" applyFont="1">
      <alignment shrinkToFit="0" vertical="bottom" wrapText="0"/>
    </xf>
    <xf borderId="0" fillId="6" fontId="23" numFmtId="0" xfId="0" applyAlignment="1" applyFont="1">
      <alignment vertical="bottom"/>
    </xf>
    <xf borderId="0" fillId="7" fontId="27" numFmtId="0" xfId="0" applyAlignment="1" applyFont="1">
      <alignment horizontal="center" shrinkToFit="0" vertical="bottom" wrapText="0"/>
    </xf>
    <xf borderId="1" fillId="6" fontId="20" numFmtId="0" xfId="0" applyAlignment="1" applyBorder="1" applyFont="1">
      <alignment shrinkToFit="0" vertical="bottom" wrapText="0"/>
    </xf>
    <xf borderId="1" fillId="7" fontId="27" numFmtId="0" xfId="0" applyAlignment="1" applyBorder="1" applyFont="1">
      <alignment horizontal="center" shrinkToFit="0" vertical="bottom" wrapText="0"/>
    </xf>
    <xf borderId="1" fillId="6" fontId="20" numFmtId="0" xfId="0" applyAlignment="1" applyBorder="1" applyFont="1">
      <alignment shrinkToFit="0" vertical="bottom" wrapText="0"/>
    </xf>
    <xf borderId="1" fillId="6" fontId="28" numFmtId="0" xfId="0" applyAlignment="1" applyBorder="1" applyFont="1">
      <alignment shrinkToFit="0" wrapText="0"/>
    </xf>
    <xf borderId="1" fillId="6" fontId="27" numFmtId="49" xfId="0" applyAlignment="1" applyBorder="1" applyFont="1" applyNumberFormat="1">
      <alignment vertical="bottom"/>
    </xf>
    <xf borderId="1" fillId="7" fontId="20" numFmtId="49" xfId="0" applyAlignment="1" applyBorder="1" applyFont="1" applyNumberFormat="1">
      <alignment shrinkToFit="0" vertical="bottom" wrapText="0"/>
    </xf>
    <xf borderId="1" fillId="7" fontId="27" numFmtId="49" xfId="0" applyAlignment="1" applyBorder="1" applyFont="1" applyNumberFormat="1">
      <alignment horizontal="center" shrinkToFit="0" vertical="bottom" wrapText="0"/>
    </xf>
    <xf borderId="1" fillId="6" fontId="20" numFmtId="49" xfId="0" applyAlignment="1" applyBorder="1" applyFont="1" applyNumberFormat="1">
      <alignment shrinkToFit="0" vertical="bottom" wrapText="0"/>
    </xf>
    <xf borderId="1" fillId="6" fontId="20" numFmtId="49" xfId="0" applyAlignment="1" applyBorder="1" applyFont="1" applyNumberFormat="1">
      <alignment horizontal="center" shrinkToFit="0" vertical="bottom" wrapText="0"/>
    </xf>
    <xf borderId="1" fillId="6" fontId="27" numFmtId="0" xfId="0" applyAlignment="1" applyBorder="1" applyFont="1">
      <alignment vertical="bottom"/>
    </xf>
    <xf borderId="0" fillId="6" fontId="27" numFmtId="0" xfId="0" applyAlignment="1" applyFont="1">
      <alignment horizontal="center" shrinkToFit="0" vertical="bottom" wrapText="0"/>
    </xf>
    <xf borderId="1" fillId="7" fontId="20" numFmtId="0" xfId="0" applyAlignment="1" applyBorder="1" applyFont="1">
      <alignment shrinkToFit="0" vertical="bottom" wrapText="0"/>
    </xf>
    <xf borderId="1" fillId="6" fontId="27" numFmtId="0" xfId="0" applyAlignment="1" applyBorder="1" applyFont="1">
      <alignment horizontal="center" shrinkToFit="0" vertical="bottom" wrapText="0"/>
    </xf>
    <xf borderId="0" fillId="7" fontId="27" numFmtId="0" xfId="0" applyAlignment="1" applyFont="1">
      <alignment shrinkToFit="0" vertical="bottom" wrapText="1"/>
    </xf>
    <xf borderId="1" fillId="7" fontId="20" numFmtId="0" xfId="0" applyAlignment="1" applyBorder="1" applyFont="1">
      <alignment shrinkToFit="0" vertical="bottom" wrapText="0"/>
    </xf>
    <xf borderId="1" fillId="7" fontId="29" numFmtId="0" xfId="0" applyAlignment="1" applyBorder="1" applyFont="1">
      <alignment shrinkToFit="0" vertical="bottom" wrapText="0"/>
    </xf>
    <xf borderId="1" fillId="7" fontId="27" numFmtId="49" xfId="0" applyAlignment="1" applyBorder="1" applyFont="1" applyNumberFormat="1">
      <alignment vertical="bottom"/>
    </xf>
    <xf borderId="1" fillId="6" fontId="27" numFmtId="49" xfId="0" applyAlignment="1" applyBorder="1" applyFont="1" applyNumberFormat="1">
      <alignment horizontal="center" shrinkToFit="0" vertical="bottom" wrapText="0"/>
    </xf>
    <xf borderId="1" fillId="7" fontId="20" numFmtId="49" xfId="0" applyAlignment="1" applyBorder="1" applyFont="1" applyNumberFormat="1">
      <alignment horizontal="center" shrinkToFit="0" vertical="bottom" wrapText="0"/>
    </xf>
    <xf borderId="1" fillId="7" fontId="27" numFmtId="0" xfId="0" applyAlignment="1" applyBorder="1" applyFont="1">
      <alignment vertical="bottom"/>
    </xf>
    <xf borderId="0" fillId="7" fontId="27" numFmtId="0" xfId="0" applyAlignment="1" applyFont="1">
      <alignment shrinkToFit="0" vertical="bottom" wrapText="0"/>
    </xf>
    <xf borderId="0" fillId="7" fontId="27" numFmtId="0" xfId="0" applyAlignment="1" applyFont="1">
      <alignment shrinkToFit="0" vertical="bottom" wrapText="0"/>
    </xf>
    <xf borderId="0" fillId="7" fontId="27" numFmtId="49" xfId="0" applyAlignment="1" applyFont="1" applyNumberFormat="1">
      <alignment shrinkToFit="0" vertical="bottom" wrapText="0"/>
    </xf>
    <xf borderId="0" fillId="6" fontId="27" numFmtId="0" xfId="0" applyAlignment="1" applyFont="1">
      <alignment horizontal="center" readingOrder="0" shrinkToFit="0" vertical="bottom" wrapText="0"/>
    </xf>
    <xf borderId="1" fillId="7" fontId="20" numFmtId="0" xfId="0" applyAlignment="1" applyBorder="1" applyFont="1">
      <alignment readingOrder="0" shrinkToFit="0" vertical="bottom" wrapText="0"/>
    </xf>
    <xf borderId="1" fillId="6" fontId="27" numFmtId="0" xfId="0" applyAlignment="1" applyBorder="1" applyFont="1">
      <alignment horizontal="center" readingOrder="0" shrinkToFit="0" vertical="bottom" wrapText="0"/>
    </xf>
    <xf borderId="0" fillId="7" fontId="27" numFmtId="0" xfId="0" applyAlignment="1" applyFont="1">
      <alignment horizontal="center" readingOrder="0" shrinkToFit="0" vertical="bottom" wrapText="0"/>
    </xf>
    <xf borderId="1" fillId="7" fontId="27" numFmtId="0" xfId="0" applyAlignment="1" applyBorder="1" applyFont="1">
      <alignment horizontal="center" readingOrder="0" shrinkToFit="0" vertical="bottom" wrapText="0"/>
    </xf>
    <xf borderId="0" fillId="7" fontId="27" numFmtId="0" xfId="0" applyAlignment="1" applyFont="1">
      <alignment readingOrder="0" shrinkToFit="0" vertical="bottom" wrapText="1"/>
    </xf>
    <xf borderId="0" fillId="7" fontId="27" numFmtId="0" xfId="0" applyAlignment="1" applyFont="1">
      <alignment readingOrder="0" shrinkToFit="0" vertical="bottom" wrapText="0"/>
    </xf>
    <xf borderId="0" fillId="6" fontId="27" numFmtId="0" xfId="0" applyAlignment="1" applyFont="1">
      <alignment readingOrder="0" shrinkToFit="0" vertical="bottom" wrapText="0"/>
    </xf>
    <xf borderId="1" fillId="0" fontId="30" numFmtId="0" xfId="0" applyAlignment="1" applyBorder="1" applyFont="1">
      <alignment horizontal="center" readingOrder="0"/>
    </xf>
    <xf borderId="0" fillId="0" fontId="2" numFmtId="0" xfId="0" applyAlignment="1" applyFont="1">
      <alignment horizontal="center"/>
    </xf>
    <xf borderId="1" fillId="9" fontId="2" numFmtId="0" xfId="0" applyAlignment="1" applyBorder="1" applyFill="1" applyFont="1">
      <alignment readingOrder="0"/>
    </xf>
    <xf borderId="1" fillId="9" fontId="31" numFmtId="0" xfId="0" applyAlignment="1" applyBorder="1" applyFont="1">
      <alignment readingOrder="0"/>
    </xf>
    <xf borderId="0" fillId="7" fontId="27" numFmtId="0" xfId="0" applyAlignment="1" applyFont="1">
      <alignment readingOrder="0" shrinkToFit="0" wrapText="0"/>
    </xf>
    <xf borderId="1" fillId="9" fontId="2" numFmtId="0" xfId="0" applyAlignment="1" applyBorder="1" applyFont="1">
      <alignment horizontal="center" readingOrder="0"/>
    </xf>
    <xf borderId="1" fillId="0" fontId="2" numFmtId="0" xfId="0" applyAlignment="1" applyBorder="1" applyFont="1">
      <alignment readingOrder="0"/>
    </xf>
    <xf borderId="1" fillId="0" fontId="32" numFmtId="0" xfId="0" applyAlignment="1" applyBorder="1" applyFont="1">
      <alignment readingOrder="0"/>
    </xf>
    <xf borderId="0" fillId="0" fontId="2" numFmtId="49" xfId="0" applyAlignment="1" applyFont="1" applyNumberFormat="1">
      <alignment readingOrder="0" shrinkToFit="0" wrapText="0"/>
    </xf>
    <xf borderId="1" fillId="9" fontId="33" numFmtId="0" xfId="0" applyAlignment="1" applyBorder="1" applyFont="1">
      <alignment readingOrder="0"/>
    </xf>
    <xf borderId="0" fillId="7" fontId="34" numFmtId="0" xfId="0" applyAlignment="1" applyFont="1">
      <alignment readingOrder="0" vertical="bottom"/>
    </xf>
    <xf borderId="0" fillId="6" fontId="34" numFmtId="0" xfId="0" applyAlignment="1" applyFont="1">
      <alignment readingOrder="0" vertical="bottom"/>
    </xf>
    <xf borderId="1" fillId="0" fontId="35" numFmtId="0" xfId="0" applyAlignment="1" applyBorder="1" applyFont="1">
      <alignment readingOrder="0"/>
    </xf>
    <xf borderId="0" fillId="7" fontId="36" numFmtId="0" xfId="0" applyAlignment="1" applyFont="1">
      <alignment readingOrder="0" shrinkToFit="0" wrapText="0"/>
    </xf>
    <xf borderId="0" fillId="6" fontId="36" numFmtId="0" xfId="0" applyAlignment="1" applyFont="1">
      <alignment readingOrder="0" shrinkToFit="0" wrapText="0"/>
    </xf>
    <xf borderId="0" fillId="6" fontId="2" numFmtId="0" xfId="0" applyAlignment="1" applyFont="1">
      <alignment readingOrder="0" shrinkToFit="0" vertical="bottom" wrapText="0"/>
    </xf>
    <xf borderId="1" fillId="10" fontId="2" numFmtId="0" xfId="0" applyAlignment="1" applyBorder="1" applyFill="1" applyFont="1">
      <alignment readingOrder="0"/>
    </xf>
    <xf borderId="1" fillId="10" fontId="37" numFmtId="0" xfId="0" applyAlignment="1" applyBorder="1" applyFont="1">
      <alignment readingOrder="0"/>
    </xf>
    <xf borderId="1" fillId="10" fontId="2" numFmtId="0" xfId="0" applyAlignment="1" applyBorder="1" applyFont="1">
      <alignment horizontal="center" readingOrder="0"/>
    </xf>
    <xf borderId="0" fillId="0" fontId="2" numFmtId="0" xfId="0" applyAlignment="1" applyFont="1">
      <alignment readingOrder="0"/>
    </xf>
    <xf borderId="0" fillId="8" fontId="1" numFmtId="0" xfId="0" applyAlignment="1" applyFont="1">
      <alignment horizontal="center" shrinkToFit="0" vertical="bottom" wrapText="0"/>
    </xf>
    <xf borderId="0" fillId="6" fontId="8" numFmtId="0" xfId="0" applyAlignment="1" applyFont="1">
      <alignment readingOrder="0" shrinkToFit="0" wrapText="0"/>
    </xf>
    <xf borderId="1" fillId="6" fontId="8" numFmtId="0" xfId="0" applyAlignment="1" applyBorder="1" applyFont="1">
      <alignment horizontal="center" readingOrder="0" shrinkToFit="0" wrapText="0"/>
    </xf>
    <xf borderId="1" fillId="6" fontId="8" numFmtId="0" xfId="0" applyAlignment="1" applyBorder="1" applyFont="1">
      <alignment horizontal="left" shrinkToFit="0" wrapText="0"/>
    </xf>
    <xf borderId="0" fillId="7" fontId="8" numFmtId="0" xfId="0" applyAlignment="1" applyFont="1">
      <alignment readingOrder="0" shrinkToFit="0" wrapText="0"/>
    </xf>
    <xf borderId="1" fillId="7" fontId="8" numFmtId="0" xfId="0" applyAlignment="1" applyBorder="1" applyFont="1">
      <alignment horizontal="center" readingOrder="0" shrinkToFit="0" wrapText="0"/>
    </xf>
    <xf borderId="1" fillId="7" fontId="8" numFmtId="0" xfId="0" applyAlignment="1" applyBorder="1" applyFont="1">
      <alignment horizontal="left" shrinkToFit="0" wrapText="0"/>
    </xf>
    <xf borderId="0" fillId="0" fontId="2" numFmtId="49" xfId="0" applyFont="1" applyNumberFormat="1"/>
    <xf borderId="0" fillId="0" fontId="23" numFmtId="0" xfId="0" applyAlignment="1" applyFont="1">
      <alignment vertical="bottom"/>
    </xf>
    <xf borderId="0" fillId="0" fontId="23" numFmtId="0" xfId="0" applyAlignment="1" applyFont="1">
      <alignment readingOrder="0" vertical="bottom"/>
    </xf>
    <xf borderId="0" fillId="0" fontId="23" numFmtId="0" xfId="0" applyAlignment="1" applyFont="1">
      <alignment readingOrder="0" shrinkToFit="0" vertical="bottom" wrapText="0"/>
    </xf>
    <xf borderId="0" fillId="0" fontId="17" numFmtId="0" xfId="0" applyAlignment="1" applyFont="1">
      <alignment horizontal="left" readingOrder="0" shrinkToFit="0" wrapText="0"/>
    </xf>
    <xf borderId="0" fillId="0" fontId="38" numFmtId="0" xfId="0" applyAlignment="1" applyFont="1">
      <alignment readingOrder="0" shrinkToFit="0" wrapText="0"/>
    </xf>
    <xf borderId="0" fillId="0" fontId="2" numFmtId="49" xfId="0" applyAlignment="1" applyFont="1" applyNumberFormat="1">
      <alignment shrinkToFit="0" wrapText="0"/>
    </xf>
    <xf borderId="0" fillId="0" fontId="20" numFmtId="0" xfId="0" applyAlignment="1" applyFont="1">
      <alignment readingOrder="0"/>
    </xf>
    <xf borderId="0" fillId="0" fontId="1" numFmtId="0" xfId="0" applyAlignment="1" applyFont="1">
      <alignment horizontal="left" readingOrder="0" shrinkToFit="0" vertical="bottom" wrapText="0"/>
    </xf>
    <xf borderId="0" fillId="0" fontId="1" numFmtId="49" xfId="0" applyAlignment="1" applyFont="1" applyNumberFormat="1">
      <alignment horizontal="center" shrinkToFit="0" vertical="bottom" wrapText="0"/>
    </xf>
    <xf borderId="0" fillId="0" fontId="1" numFmtId="49" xfId="0" applyAlignment="1" applyFont="1" applyNumberFormat="1">
      <alignment shrinkToFit="0" wrapText="0"/>
    </xf>
    <xf borderId="0" fillId="0" fontId="1" numFmtId="49" xfId="0" applyAlignment="1" applyFont="1" applyNumberFormat="1">
      <alignment horizontal="left" shrinkToFit="0" wrapText="0"/>
    </xf>
    <xf borderId="0" fillId="0" fontId="1" numFmtId="49" xfId="0" applyAlignment="1" applyFont="1" applyNumberFormat="1">
      <alignment horizontal="center" shrinkToFit="0"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0" fillId="0" fontId="1" numFmtId="0" xfId="0" applyAlignment="1" applyFont="1">
      <alignment horizontal="center" shrinkToFit="0" vertical="bottom" wrapText="0"/>
    </xf>
    <xf borderId="0" fillId="0" fontId="1" numFmtId="49" xfId="0" applyAlignment="1" applyFont="1" applyNumberFormat="1">
      <alignment shrinkToFit="0" vertical="bottom" wrapText="0"/>
    </xf>
    <xf borderId="0" fillId="0" fontId="1" numFmtId="49" xfId="0" applyAlignment="1" applyFont="1" applyNumberFormat="1">
      <alignment horizontal="left" shrinkToFit="0" vertical="bottom" wrapText="0"/>
    </xf>
    <xf borderId="1" fillId="6" fontId="8" numFmtId="0" xfId="0" applyAlignment="1" applyBorder="1" applyFont="1">
      <alignment horizontal="center" shrinkToFit="0" wrapText="0"/>
    </xf>
    <xf borderId="1" fillId="7" fontId="8" numFmtId="0" xfId="0" applyAlignment="1" applyBorder="1" applyFont="1">
      <alignment horizontal="center" shrinkToFit="0" wrapText="0"/>
    </xf>
    <xf borderId="0" fillId="0" fontId="1" numFmtId="0" xfId="0" applyAlignment="1" applyFont="1">
      <alignment horizontal="center" shrinkToFit="0" wrapText="0"/>
    </xf>
    <xf borderId="0" fillId="0" fontId="1" numFmtId="0" xfId="0" applyAlignment="1" applyFont="1">
      <alignment horizontal="left" shrinkToFit="0" wrapText="0"/>
    </xf>
    <xf borderId="0" fillId="0" fontId="1" numFmtId="49" xfId="0" applyAlignment="1" applyFont="1" applyNumberFormat="1">
      <alignment horizontal="center" readingOrder="0" shrinkToFit="0" vertical="bottom" wrapText="0"/>
    </xf>
    <xf borderId="0" fillId="0" fontId="1" numFmtId="0" xfId="0" applyAlignment="1" applyFont="1">
      <alignment horizontal="center" shrinkToFit="0" wrapText="0"/>
    </xf>
    <xf borderId="0" fillId="0" fontId="2" numFmtId="0" xfId="0" applyAlignment="1" applyFont="1">
      <alignment shrinkToFit="0" vertical="bottom" wrapText="0"/>
    </xf>
    <xf borderId="0" fillId="0" fontId="23" numFmtId="0" xfId="0" applyAlignment="1" applyFont="1">
      <alignment shrinkToFit="0" vertical="bottom" wrapText="0"/>
    </xf>
    <xf borderId="0" fillId="0" fontId="23" numFmtId="0" xfId="0" applyAlignment="1" applyFont="1">
      <alignment shrinkToFit="0" vertical="bottom" wrapText="0"/>
    </xf>
    <xf borderId="0" fillId="0" fontId="39" numFmtId="0" xfId="0" applyAlignment="1" applyFont="1">
      <alignment shrinkToFit="0" vertical="bottom" wrapText="0"/>
    </xf>
    <xf borderId="0" fillId="0" fontId="2" numFmtId="0" xfId="0" applyAlignment="1" applyFont="1">
      <alignment vertical="bottom"/>
    </xf>
    <xf borderId="0" fillId="11" fontId="0" numFmtId="0" xfId="0" applyAlignment="1" applyFill="1" applyFont="1">
      <alignment horizontal="center" readingOrder="0" shrinkToFit="0" wrapText="0"/>
    </xf>
    <xf borderId="0" fillId="11" fontId="1" numFmtId="0" xfId="0" applyAlignment="1" applyFont="1">
      <alignment readingOrder="0" shrinkToFit="0" wrapText="0"/>
    </xf>
    <xf borderId="0" fillId="11" fontId="1" numFmtId="49" xfId="0" applyAlignment="1" applyFont="1" applyNumberFormat="1">
      <alignment horizontal="center" shrinkToFit="0" vertical="bottom" wrapText="0"/>
    </xf>
    <xf borderId="0" fillId="11" fontId="1" numFmtId="0" xfId="0" applyAlignment="1" applyFont="1">
      <alignment horizontal="center" readingOrder="0" shrinkToFit="0" wrapText="0"/>
    </xf>
    <xf borderId="0" fillId="11" fontId="1" numFmtId="0" xfId="0" applyAlignment="1" applyFont="1">
      <alignment shrinkToFit="0" vertical="bottom" wrapText="0"/>
    </xf>
    <xf borderId="0" fillId="11" fontId="1" numFmtId="0" xfId="0" applyAlignment="1" applyFont="1">
      <alignment horizontal="center" readingOrder="0" shrinkToFit="0" vertical="center" wrapText="0"/>
    </xf>
    <xf borderId="0" fillId="11" fontId="1" numFmtId="0" xfId="0" applyAlignment="1" applyFont="1">
      <alignment horizontal="left" shrinkToFit="0" vertical="bottom" wrapText="0"/>
    </xf>
    <xf borderId="0" fillId="11" fontId="1" numFmtId="0" xfId="0" applyAlignment="1" applyFont="1">
      <alignment horizontal="center" shrinkToFit="0" wrapText="0"/>
    </xf>
    <xf borderId="0" fillId="11" fontId="1" numFmtId="0" xfId="0" applyAlignment="1" applyFont="1">
      <alignment horizontal="left" shrinkToFit="0" wrapText="0"/>
    </xf>
    <xf borderId="0" fillId="11" fontId="1" numFmtId="0" xfId="0" applyAlignment="1" applyFont="1">
      <alignment shrinkToFit="0" wrapText="0"/>
    </xf>
    <xf borderId="0" fillId="11" fontId="1" numFmtId="0" xfId="0" applyAlignment="1" applyFont="1">
      <alignment horizontal="left" shrinkToFit="0" wrapText="0"/>
    </xf>
    <xf borderId="0" fillId="11" fontId="40" numFmtId="0" xfId="0" applyAlignment="1" applyFont="1">
      <alignment shrinkToFit="0" wrapText="0"/>
    </xf>
    <xf borderId="0" fillId="0" fontId="23" numFmtId="0" xfId="0" applyAlignment="1" applyFont="1">
      <alignment shrinkToFit="0" vertical="bottom" wrapText="1"/>
    </xf>
    <xf borderId="0" fillId="12" fontId="1" numFmtId="0" xfId="0" applyAlignment="1" applyFill="1" applyFont="1">
      <alignment shrinkToFit="0" wrapText="0"/>
    </xf>
    <xf borderId="0" fillId="0" fontId="23" numFmtId="49" xfId="0" applyAlignment="1" applyFont="1" applyNumberFormat="1">
      <alignment horizontal="center" shrinkToFit="0" vertical="bottom" wrapText="0"/>
    </xf>
    <xf borderId="0" fillId="0" fontId="1" numFmtId="0" xfId="0" applyAlignment="1" applyFont="1">
      <alignment horizontal="left" readingOrder="0"/>
    </xf>
    <xf borderId="0" fillId="12" fontId="23" numFmtId="49" xfId="0" applyAlignment="1" applyFont="1" applyNumberFormat="1">
      <alignment shrinkToFit="0" vertical="bottom" wrapText="1"/>
    </xf>
    <xf borderId="0" fillId="12" fontId="23" numFmtId="0" xfId="0" applyAlignment="1" applyFont="1">
      <alignment shrinkToFit="0" vertical="bottom" wrapText="0"/>
    </xf>
    <xf borderId="0" fillId="12" fontId="23" numFmtId="0" xfId="0" applyAlignment="1" applyFont="1">
      <alignment horizontal="center" shrinkToFit="0" vertical="bottom" wrapText="0"/>
    </xf>
    <xf borderId="0" fillId="12" fontId="23" numFmtId="49" xfId="0" applyAlignment="1" applyFont="1" applyNumberFormat="1">
      <alignment horizontal="center" shrinkToFit="0" vertical="bottom" wrapText="0"/>
    </xf>
    <xf borderId="0" fillId="12" fontId="23" numFmtId="0" xfId="0" applyAlignment="1" applyFont="1">
      <alignment vertical="bottom"/>
    </xf>
    <xf borderId="0" fillId="12" fontId="23" numFmtId="0" xfId="0" applyAlignment="1" applyFont="1">
      <alignment vertical="bottom"/>
    </xf>
    <xf borderId="0" fillId="0" fontId="23" numFmtId="0" xfId="0" applyAlignment="1" applyFont="1">
      <alignment horizontal="center" shrinkToFit="0" vertical="bottom" wrapText="0"/>
    </xf>
    <xf borderId="0" fillId="12" fontId="23" numFmtId="0" xfId="0" applyAlignment="1" applyFont="1">
      <alignment horizontal="center" shrinkToFit="0" vertical="bottom" wrapText="0"/>
    </xf>
    <xf borderId="0" fillId="7" fontId="8" numFmtId="0" xfId="0" applyAlignment="1" applyFont="1">
      <alignment shrinkToFit="0" wrapText="0"/>
    </xf>
    <xf borderId="0" fillId="6" fontId="8" numFmtId="0" xfId="0" applyAlignment="1" applyFont="1">
      <alignment shrinkToFit="0" wrapText="0"/>
    </xf>
    <xf borderId="0" fillId="6" fontId="0" numFmtId="0" xfId="0" applyAlignment="1" applyFont="1">
      <alignment horizontal="center" readingOrder="0" shrinkToFit="0" wrapText="0"/>
    </xf>
    <xf borderId="0" fillId="6" fontId="1" numFmtId="49" xfId="0" applyAlignment="1" applyFont="1" applyNumberFormat="1">
      <alignment horizontal="center" readingOrder="0" shrinkToFit="0" vertical="bottom" wrapText="0"/>
    </xf>
    <xf borderId="0" fillId="6" fontId="1" numFmtId="0" xfId="0" applyAlignment="1" applyFont="1">
      <alignment horizontal="left" readingOrder="0" shrinkToFit="0" wrapText="0"/>
    </xf>
    <xf borderId="0" fillId="13" fontId="1" numFmtId="0" xfId="0" applyAlignment="1" applyFill="1" applyFont="1">
      <alignment shrinkToFit="0" wrapText="0"/>
    </xf>
    <xf borderId="0" fillId="0" fontId="27" numFmtId="0" xfId="0" applyAlignment="1" applyFont="1">
      <alignment horizontal="center" shrinkToFit="0" vertical="bottom" wrapText="0"/>
    </xf>
    <xf borderId="0" fillId="0" fontId="1" numFmtId="49" xfId="0" applyAlignment="1" applyFont="1" applyNumberFormat="1">
      <alignment horizontal="left" readingOrder="0" shrinkToFit="0" vertical="bottom" wrapText="0"/>
    </xf>
    <xf borderId="0" fillId="14" fontId="41" numFmtId="0" xfId="0" applyAlignment="1" applyFill="1" applyFont="1">
      <alignment readingOrder="0"/>
    </xf>
    <xf borderId="0" fillId="0" fontId="42" numFmtId="0" xfId="0" applyAlignment="1" applyFont="1">
      <alignment readingOrder="0"/>
    </xf>
    <xf borderId="0" fillId="0" fontId="43" numFmtId="0" xfId="0" applyAlignment="1" applyFont="1">
      <alignment readingOrder="0" shrinkToFit="0" wrapText="0"/>
    </xf>
    <xf borderId="0" fillId="0" fontId="44" numFmtId="0" xfId="0" applyFont="1"/>
    <xf borderId="0" fillId="13" fontId="0" numFmtId="0" xfId="0" applyAlignment="1" applyFont="1">
      <alignment horizontal="center" readingOrder="0" shrinkToFit="0" wrapText="0"/>
    </xf>
    <xf borderId="0" fillId="13" fontId="1" numFmtId="0" xfId="0" applyAlignment="1" applyFont="1">
      <alignment readingOrder="0" shrinkToFit="0" wrapText="0"/>
    </xf>
    <xf borderId="0" fillId="13" fontId="1" numFmtId="49" xfId="0" applyAlignment="1" applyFont="1" applyNumberFormat="1">
      <alignment horizontal="center" shrinkToFit="0" vertical="bottom" wrapText="0"/>
    </xf>
    <xf borderId="0" fillId="13" fontId="1" numFmtId="0" xfId="0" applyAlignment="1" applyFont="1">
      <alignment horizontal="center" readingOrder="0" shrinkToFit="0" wrapText="0"/>
    </xf>
    <xf borderId="0" fillId="13" fontId="1" numFmtId="0" xfId="0" applyAlignment="1" applyFont="1">
      <alignment shrinkToFit="0" vertical="bottom" wrapText="0"/>
    </xf>
    <xf borderId="0" fillId="13" fontId="1" numFmtId="0" xfId="0" applyAlignment="1" applyFont="1">
      <alignment horizontal="center" readingOrder="0" shrinkToFit="0" vertical="center" wrapText="0"/>
    </xf>
    <xf borderId="0" fillId="13" fontId="1" numFmtId="0" xfId="0" applyAlignment="1" applyFont="1">
      <alignment horizontal="left" shrinkToFit="0" vertical="bottom" wrapText="0"/>
    </xf>
    <xf borderId="0" fillId="13" fontId="1" numFmtId="49" xfId="0" applyAlignment="1" applyFont="1" applyNumberFormat="1">
      <alignment horizontal="center" readingOrder="0" shrinkToFit="0" wrapText="0"/>
    </xf>
    <xf borderId="0" fillId="13" fontId="1" numFmtId="0" xfId="0" applyAlignment="1" applyFont="1">
      <alignment horizontal="center" shrinkToFit="0" wrapText="0"/>
    </xf>
    <xf borderId="0" fillId="13" fontId="1" numFmtId="0" xfId="0" applyAlignment="1" applyFont="1">
      <alignment horizontal="left" shrinkToFit="0" wrapText="0"/>
    </xf>
    <xf borderId="0" fillId="13" fontId="1" numFmtId="0" xfId="0" applyAlignment="1" applyFont="1">
      <alignment horizontal="left" readingOrder="0" shrinkToFit="0" wrapText="0"/>
    </xf>
    <xf borderId="0" fillId="13" fontId="1" numFmtId="0" xfId="0" applyAlignment="1" applyFont="1">
      <alignment horizontal="left" shrinkToFit="0" wrapText="0"/>
    </xf>
    <xf borderId="0" fillId="12" fontId="0" numFmtId="0" xfId="0" applyAlignment="1" applyFont="1">
      <alignment horizontal="center" readingOrder="0" shrinkToFit="0" wrapText="0"/>
    </xf>
    <xf borderId="0" fillId="12" fontId="1" numFmtId="0" xfId="0" applyAlignment="1" applyFont="1">
      <alignment readingOrder="0" shrinkToFit="0" wrapText="0"/>
    </xf>
    <xf borderId="0" fillId="12" fontId="1" numFmtId="49" xfId="0" applyAlignment="1" applyFont="1" applyNumberFormat="1">
      <alignment horizontal="center" shrinkToFit="0" vertical="bottom" wrapText="0"/>
    </xf>
    <xf borderId="0" fillId="12" fontId="1" numFmtId="0" xfId="0" applyAlignment="1" applyFont="1">
      <alignment horizontal="center" readingOrder="0" shrinkToFit="0" wrapText="0"/>
    </xf>
    <xf borderId="0" fillId="12" fontId="1" numFmtId="0" xfId="0" applyAlignment="1" applyFont="1">
      <alignment shrinkToFit="0" vertical="bottom" wrapText="0"/>
    </xf>
    <xf borderId="0" fillId="12" fontId="1" numFmtId="0" xfId="0" applyAlignment="1" applyFont="1">
      <alignment horizontal="center" readingOrder="0" shrinkToFit="0" vertical="center" wrapText="0"/>
    </xf>
    <xf borderId="0" fillId="12" fontId="1" numFmtId="0" xfId="0" applyAlignment="1" applyFont="1">
      <alignment horizontal="left" shrinkToFit="0" vertical="bottom" wrapText="0"/>
    </xf>
    <xf borderId="0" fillId="12" fontId="1" numFmtId="49" xfId="0" applyAlignment="1" applyFont="1" applyNumberFormat="1">
      <alignment horizontal="center" readingOrder="0" shrinkToFit="0" wrapText="0"/>
    </xf>
    <xf borderId="0" fillId="12" fontId="1" numFmtId="0" xfId="0" applyAlignment="1" applyFont="1">
      <alignment readingOrder="0" shrinkToFit="0" vertical="bottom" wrapText="0"/>
    </xf>
    <xf borderId="0" fillId="12" fontId="1" numFmtId="0" xfId="0" applyAlignment="1" applyFont="1">
      <alignment horizontal="center" shrinkToFit="0" wrapText="0"/>
    </xf>
    <xf borderId="0" fillId="12" fontId="1" numFmtId="0" xfId="0" applyAlignment="1" applyFont="1">
      <alignment horizontal="left" shrinkToFit="0" wrapText="0"/>
    </xf>
    <xf borderId="0" fillId="12" fontId="1" numFmtId="0" xfId="0" applyAlignment="1" applyFont="1">
      <alignment horizontal="left" readingOrder="0" shrinkToFit="0" wrapText="0"/>
    </xf>
    <xf borderId="0" fillId="12" fontId="1" numFmtId="0" xfId="0" applyAlignment="1" applyFont="1">
      <alignment horizontal="left" shrinkToFit="0" wrapText="0"/>
    </xf>
    <xf borderId="0" fillId="12" fontId="45" numFmtId="0" xfId="0" applyAlignment="1" applyFont="1">
      <alignment shrinkToFit="0" wrapText="0"/>
    </xf>
    <xf borderId="0" fillId="0" fontId="1" numFmtId="0" xfId="0" applyAlignment="1" applyFont="1">
      <alignment vertical="bottom"/>
    </xf>
    <xf borderId="0" fillId="13" fontId="1" numFmtId="0" xfId="0" applyAlignment="1" applyFont="1">
      <alignment horizontal="center" shrinkToFit="0" wrapText="0"/>
    </xf>
    <xf borderId="0" fillId="13" fontId="1" numFmtId="0" xfId="0" applyAlignment="1" applyFont="1">
      <alignment readingOrder="0" shrinkToFit="0" vertical="bottom" wrapText="0"/>
    </xf>
    <xf borderId="0" fillId="13" fontId="1" numFmtId="49" xfId="0" applyAlignment="1" applyFont="1" applyNumberFormat="1">
      <alignment horizontal="center" readingOrder="0" shrinkToFit="0" vertical="bottom" wrapText="0"/>
    </xf>
    <xf borderId="0" fillId="13" fontId="1" numFmtId="0" xfId="0" applyAlignment="1" applyFont="1">
      <alignment vertical="bottom"/>
    </xf>
    <xf borderId="0" fillId="0" fontId="1" numFmtId="0" xfId="0" applyAlignment="1" applyFont="1">
      <alignment horizontal="left"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49" xfId="0" applyAlignment="1" applyFont="1" applyNumberFormat="1">
      <alignment horizontal="center" shrinkToFit="0" wrapText="1"/>
    </xf>
    <xf borderId="0" fillId="0" fontId="2" numFmtId="0" xfId="0" applyAlignment="1" applyFont="1">
      <alignment horizontal="left"/>
    </xf>
    <xf borderId="0" fillId="0" fontId="27" numFmtId="0" xfId="0" applyAlignment="1" applyFont="1">
      <alignment readingOrder="0"/>
    </xf>
    <xf borderId="0" fillId="0" fontId="27" numFmtId="0" xfId="0" applyAlignment="1" applyFont="1">
      <alignment horizontal="center" readingOrder="0" shrinkToFit="0" vertical="bottom" wrapText="0"/>
    </xf>
    <xf borderId="0" fillId="0" fontId="20" numFmtId="0" xfId="0" applyAlignment="1" applyFont="1">
      <alignment shrinkToFit="0" vertical="bottom" wrapText="0"/>
    </xf>
    <xf borderId="0" fillId="0" fontId="27" numFmtId="49" xfId="0" applyAlignment="1" applyFont="1" applyNumberFormat="1">
      <alignment horizontal="center" vertical="bottom"/>
    </xf>
    <xf borderId="0" fillId="5" fontId="27" numFmtId="0" xfId="0" applyAlignment="1" applyFont="1">
      <alignment horizontal="center"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7" numFmtId="49" xfId="0" applyAlignment="1" applyFont="1" applyNumberFormat="1">
      <alignment vertical="bottom"/>
    </xf>
    <xf borderId="0" fillId="0" fontId="27" numFmtId="49" xfId="0" applyAlignment="1" applyFont="1" applyNumberFormat="1">
      <alignment horizontal="center" shrinkToFit="0" vertical="bottom" wrapText="0"/>
    </xf>
    <xf borderId="0" fillId="0" fontId="0" numFmtId="0" xfId="0" applyAlignment="1" applyFont="1">
      <alignment readingOrder="0"/>
    </xf>
    <xf borderId="0" fillId="0" fontId="27" numFmtId="0" xfId="0" applyAlignment="1" applyFont="1">
      <alignment vertical="bottom"/>
    </xf>
    <xf borderId="0" fillId="0" fontId="27" numFmtId="0" xfId="0" applyAlignment="1" applyFont="1">
      <alignment horizontal="center" shrinkToFit="0" vertical="bottom" wrapText="0"/>
    </xf>
    <xf borderId="0" fillId="0" fontId="27" numFmtId="0" xfId="0" applyAlignment="1" applyFont="1">
      <alignment shrinkToFit="0" vertical="bottom" wrapText="0"/>
    </xf>
    <xf borderId="0" fillId="0" fontId="27" numFmtId="49" xfId="0" applyAlignment="1" applyFont="1" applyNumberFormat="1">
      <alignment horizontal="center" readingOrder="0" vertical="bottom"/>
    </xf>
    <xf borderId="0" fillId="0" fontId="46" numFmtId="0" xfId="0" applyAlignment="1" applyFont="1">
      <alignment readingOrder="0"/>
    </xf>
    <xf borderId="0" fillId="0" fontId="36" numFmtId="0" xfId="0" applyAlignment="1" applyFont="1">
      <alignment vertical="bottom"/>
    </xf>
    <xf borderId="0" fillId="0" fontId="36" numFmtId="0" xfId="0" applyAlignment="1" applyFont="1">
      <alignment readingOrder="0" vertical="bottom"/>
    </xf>
    <xf borderId="0" fillId="0" fontId="47" numFmtId="0" xfId="0" applyAlignment="1" applyFont="1">
      <alignment readingOrder="0" shrinkToFit="0" vertical="bottom" wrapText="0"/>
    </xf>
    <xf borderId="0" fillId="0" fontId="48" numFmtId="0" xfId="0" applyAlignment="1" applyFont="1">
      <alignment readingOrder="0" vertical="bottom"/>
    </xf>
    <xf borderId="0" fillId="0" fontId="2" numFmtId="0" xfId="0" applyAlignment="1" applyFont="1">
      <alignment readingOrder="0" shrinkToFit="0" vertical="bottom" wrapText="1"/>
    </xf>
    <xf borderId="0" fillId="15" fontId="8" numFmtId="0" xfId="0" applyAlignment="1" applyFill="1" applyFont="1">
      <alignment shrinkToFit="0" wrapText="0"/>
    </xf>
    <xf borderId="1" fillId="15" fontId="8" numFmtId="0" xfId="0" applyAlignment="1" applyBorder="1" applyFont="1">
      <alignment shrinkToFit="0" wrapText="0"/>
    </xf>
    <xf borderId="1" fillId="15" fontId="8" numFmtId="0" xfId="0" applyAlignment="1" applyBorder="1" applyFont="1">
      <alignment horizontal="center" shrinkToFit="0" wrapText="0"/>
    </xf>
    <xf borderId="1" fillId="15" fontId="8" numFmtId="0" xfId="0" applyAlignment="1" applyBorder="1" applyFont="1">
      <alignment horizontal="left" shrinkToFit="0" wrapText="0"/>
    </xf>
    <xf borderId="1" fillId="15" fontId="8" numFmtId="49" xfId="0" applyAlignment="1" applyBorder="1" applyFont="1" applyNumberFormat="1">
      <alignment horizontal="center" shrinkToFit="0" wrapText="0"/>
    </xf>
    <xf borderId="1" fillId="15" fontId="8" numFmtId="49" xfId="0" applyAlignment="1" applyBorder="1" applyFont="1" applyNumberFormat="1">
      <alignment horizontal="left" shrinkToFit="0" wrapText="0"/>
    </xf>
    <xf borderId="0" fillId="0" fontId="2" numFmtId="0" xfId="0" applyAlignment="1" applyFont="1">
      <alignment readingOrder="0" vertical="bottom"/>
    </xf>
    <xf borderId="0" fillId="0" fontId="1" numFmtId="0" xfId="0" applyAlignment="1" applyFont="1">
      <alignment shrinkToFit="0" wrapText="1"/>
    </xf>
    <xf borderId="0" fillId="0" fontId="48" numFmtId="0" xfId="0" applyAlignment="1" applyFont="1">
      <alignment vertical="bottom"/>
    </xf>
    <xf borderId="0" fillId="0" fontId="48" numFmtId="0" xfId="0" applyAlignment="1" applyFont="1">
      <alignment vertical="bottom"/>
    </xf>
    <xf borderId="0" fillId="0" fontId="48" numFmtId="0" xfId="0" applyFont="1"/>
    <xf borderId="0" fillId="0" fontId="49" numFmtId="0" xfId="0" applyAlignment="1" applyFont="1">
      <alignment readingOrder="0"/>
    </xf>
    <xf borderId="0" fillId="12" fontId="1" numFmtId="49" xfId="0" applyAlignment="1" applyFont="1" applyNumberFormat="1">
      <alignment horizontal="center" readingOrder="0" shrinkToFit="0" vertical="bottom" wrapText="0"/>
    </xf>
    <xf borderId="0" fillId="12" fontId="2" numFmtId="0" xfId="0" applyAlignment="1" applyFont="1">
      <alignment vertical="bottom"/>
    </xf>
    <xf borderId="0" fillId="12" fontId="1" numFmtId="0" xfId="0" applyAlignment="1" applyFont="1">
      <alignment horizontal="left" readingOrder="0" shrinkToFit="0" vertical="bottom" wrapText="0"/>
    </xf>
    <xf borderId="0" fillId="12" fontId="23" numFmtId="0" xfId="0" applyAlignment="1" applyFont="1">
      <alignment vertical="bottom"/>
    </xf>
    <xf borderId="0" fillId="12" fontId="50" numFmtId="0" xfId="0" applyAlignment="1" applyFont="1">
      <alignment horizontal="left" readingOrder="0" shrinkToFit="0" wrapText="0"/>
    </xf>
    <xf borderId="0" fillId="13" fontId="2" numFmtId="0" xfId="0" applyAlignment="1" applyFont="1">
      <alignment shrinkToFit="0" vertical="bottom" wrapText="0"/>
    </xf>
    <xf borderId="0" fillId="13" fontId="1" numFmtId="0" xfId="0" applyAlignment="1" applyFont="1">
      <alignment horizontal="left" readingOrder="0" shrinkToFit="0" vertical="bottom" wrapText="0"/>
    </xf>
    <xf borderId="0" fillId="13" fontId="23" numFmtId="0" xfId="0" applyAlignment="1" applyFont="1">
      <alignment shrinkToFit="0" vertical="bottom" wrapText="0"/>
    </xf>
    <xf borderId="0" fillId="13" fontId="23" numFmtId="0" xfId="0" applyAlignment="1" applyFont="1">
      <alignment vertical="bottom"/>
    </xf>
    <xf borderId="0" fillId="13" fontId="23" numFmtId="0" xfId="0" applyAlignment="1" applyFont="1">
      <alignment shrinkToFit="0" vertical="bottom" wrapText="0"/>
    </xf>
    <xf borderId="0" fillId="13" fontId="51" numFmtId="0" xfId="0" applyAlignment="1" applyFont="1">
      <alignment shrinkToFit="0" vertical="bottom" wrapText="0"/>
    </xf>
    <xf borderId="0" fillId="13" fontId="2" numFmtId="0" xfId="0" applyAlignment="1" applyFont="1">
      <alignment vertical="bottom"/>
    </xf>
    <xf borderId="0" fillId="6" fontId="52" numFmtId="0" xfId="0" applyAlignment="1" applyFont="1">
      <alignment vertical="bottom"/>
    </xf>
    <xf borderId="0" fillId="6" fontId="53" numFmtId="0" xfId="0" applyAlignment="1" applyFont="1">
      <alignment vertical="bottom"/>
    </xf>
    <xf borderId="0" fillId="0" fontId="23" numFmtId="0" xfId="0" applyAlignment="1" applyFont="1">
      <alignment readingOrder="0" shrinkToFit="0" vertical="bottom" wrapText="1"/>
    </xf>
    <xf borderId="0" fillId="0" fontId="2" numFmtId="0" xfId="0" applyAlignment="1" applyFont="1">
      <alignment horizontal="left" readingOrder="0" shrinkToFit="0" vertical="bottom" wrapText="0"/>
    </xf>
    <xf borderId="0" fillId="13" fontId="54" numFmtId="0" xfId="0" applyAlignment="1" applyFont="1">
      <alignment horizontal="center" readingOrder="0" shrinkToFit="0" wrapText="0"/>
    </xf>
    <xf borderId="0" fillId="13" fontId="55" numFmtId="0" xfId="0" applyAlignment="1" applyFont="1">
      <alignment readingOrder="0" shrinkToFit="0" vertical="bottom" wrapText="1"/>
    </xf>
    <xf borderId="0" fillId="13" fontId="54" numFmtId="49" xfId="0" applyAlignment="1" applyFont="1" applyNumberFormat="1">
      <alignment horizontal="center" readingOrder="0" shrinkToFit="0" vertical="bottom" wrapText="0"/>
    </xf>
    <xf borderId="0" fillId="13" fontId="55" numFmtId="0" xfId="0" applyAlignment="1" applyFont="1">
      <alignment vertical="bottom"/>
    </xf>
    <xf borderId="0" fillId="13" fontId="54" numFmtId="0" xfId="0" applyAlignment="1" applyFont="1">
      <alignment horizontal="center" readingOrder="0" shrinkToFit="0" vertical="center" wrapText="0"/>
    </xf>
    <xf borderId="0" fillId="13" fontId="55" numFmtId="0" xfId="0" applyAlignment="1" applyFont="1">
      <alignment horizontal="left" readingOrder="0" shrinkToFit="0" vertical="bottom" wrapText="0"/>
    </xf>
    <xf borderId="0" fillId="13" fontId="54" numFmtId="49" xfId="0" applyAlignment="1" applyFont="1" applyNumberFormat="1">
      <alignment horizontal="center" readingOrder="0" shrinkToFit="0" wrapText="0"/>
    </xf>
    <xf borderId="0" fillId="13" fontId="55" numFmtId="0" xfId="0" applyAlignment="1" applyFont="1">
      <alignment readingOrder="0" vertical="bottom"/>
    </xf>
    <xf borderId="0" fillId="13" fontId="56" numFmtId="0" xfId="0" applyAlignment="1" applyFont="1">
      <alignment vertical="bottom"/>
    </xf>
    <xf borderId="0" fillId="13" fontId="56" numFmtId="0" xfId="0" applyAlignment="1" applyFont="1">
      <alignment shrinkToFit="0" vertical="bottom" wrapText="0"/>
    </xf>
    <xf borderId="0" fillId="13" fontId="54" numFmtId="0" xfId="0" applyAlignment="1" applyFont="1">
      <alignment shrinkToFit="0" wrapText="0"/>
    </xf>
    <xf borderId="0" fillId="13" fontId="54" numFmtId="0" xfId="0" applyAlignment="1" applyFont="1">
      <alignment horizontal="left" shrinkToFit="0" wrapText="0"/>
    </xf>
    <xf borderId="0" fillId="13" fontId="57" numFmtId="0" xfId="0" applyAlignment="1" applyFont="1">
      <alignment shrinkToFit="0" vertical="bottom" wrapText="0"/>
    </xf>
    <xf borderId="0" fillId="13" fontId="54" numFmtId="0" xfId="0" applyAlignment="1" applyFont="1">
      <alignment readingOrder="0" shrinkToFit="0" wrapText="0"/>
    </xf>
    <xf borderId="0" fillId="8" fontId="1" numFmtId="49" xfId="0" applyAlignment="1" applyFont="1" applyNumberFormat="1">
      <alignment horizontal="center" readingOrder="0" shrinkToFit="0" vertical="bottom" wrapText="0"/>
    </xf>
    <xf borderId="0" fillId="8" fontId="27" numFmtId="49" xfId="0" applyAlignment="1" applyFont="1" applyNumberFormat="1">
      <alignment horizontal="center" shrinkToFit="0" vertical="bottom" wrapText="0"/>
    </xf>
    <xf borderId="0" fillId="8" fontId="1" numFmtId="0" xfId="0" applyAlignment="1" applyFont="1">
      <alignment horizontal="left" readingOrder="0" shrinkToFit="0" vertical="bottom" wrapText="0"/>
    </xf>
    <xf borderId="0" fillId="8" fontId="2" numFmtId="0" xfId="0" applyAlignment="1" applyFont="1">
      <alignment readingOrder="0" vertical="bottom"/>
    </xf>
    <xf borderId="0" fillId="8" fontId="23" numFmtId="0" xfId="0" applyAlignment="1" applyFont="1">
      <alignment vertical="bottom"/>
    </xf>
    <xf borderId="0" fillId="8" fontId="23" numFmtId="0" xfId="0" applyAlignment="1" applyFont="1">
      <alignment shrinkToFit="0" vertical="bottom" wrapText="0"/>
    </xf>
    <xf borderId="0" fillId="8" fontId="1" numFmtId="0" xfId="0" applyAlignment="1" applyFont="1">
      <alignment horizontal="left" shrinkToFit="0" wrapText="0"/>
    </xf>
    <xf borderId="0" fillId="8" fontId="58" numFmtId="0" xfId="0" applyAlignment="1" applyFont="1">
      <alignment shrinkToFit="0" vertical="bottom" wrapText="0"/>
    </xf>
    <xf borderId="0" fillId="0" fontId="27" numFmtId="49" xfId="0" applyAlignment="1" applyFont="1" applyNumberFormat="1">
      <alignment horizontal="center" readingOrder="0" shrinkToFit="0" vertical="bottom" wrapText="0"/>
    </xf>
    <xf borderId="0" fillId="0" fontId="23" numFmtId="0" xfId="0" applyAlignment="1" applyFont="1">
      <alignment readingOrder="0" shrinkToFit="0" vertical="center" wrapText="1"/>
    </xf>
    <xf borderId="0" fillId="5" fontId="23" numFmtId="0" xfId="0" applyAlignment="1" applyFont="1">
      <alignment readingOrder="0" vertical="center"/>
    </xf>
    <xf borderId="0" fillId="0" fontId="48" numFmtId="0" xfId="0" applyFont="1"/>
    <xf borderId="0" fillId="0" fontId="48" numFmtId="0" xfId="0" applyFont="1"/>
    <xf borderId="0" fillId="0" fontId="48" numFmtId="0" xfId="0" applyAlignment="1" applyFont="1">
      <alignment shrinkToFit="0" wrapText="1"/>
    </xf>
    <xf borderId="0" fillId="8" fontId="27" numFmtId="49" xfId="0" applyAlignment="1" applyFont="1" applyNumberFormat="1">
      <alignment horizontal="center" readingOrder="0" shrinkToFit="0" vertical="bottom" wrapText="0"/>
    </xf>
    <xf borderId="0" fillId="8" fontId="23" numFmtId="0" xfId="0" applyAlignment="1" applyFont="1">
      <alignment readingOrder="0" shrinkToFit="0" vertical="center" wrapText="1"/>
    </xf>
    <xf borderId="0" fillId="8" fontId="23" numFmtId="0" xfId="0" applyAlignment="1" applyFont="1">
      <alignment readingOrder="0" vertical="center"/>
    </xf>
    <xf borderId="0" fillId="8" fontId="48" numFmtId="0" xfId="0" applyFont="1"/>
    <xf borderId="0" fillId="8" fontId="48" numFmtId="0" xfId="0" applyFont="1"/>
    <xf borderId="0" fillId="8" fontId="48" numFmtId="0" xfId="0" applyAlignment="1" applyFont="1">
      <alignment shrinkToFit="0" wrapText="1"/>
    </xf>
    <xf borderId="0" fillId="0" fontId="59" numFmtId="0" xfId="0" applyAlignment="1" applyFont="1">
      <alignment readingOrder="0"/>
    </xf>
    <xf borderId="0" fillId="0" fontId="48" numFmtId="0" xfId="0" applyAlignment="1" applyFont="1">
      <alignment vertical="bottom"/>
    </xf>
    <xf borderId="0" fillId="0" fontId="48" numFmtId="0" xfId="0" applyAlignment="1" applyFont="1">
      <alignment shrinkToFit="0" wrapText="1"/>
    </xf>
    <xf borderId="0" fillId="0" fontId="23" numFmtId="0" xfId="0" applyAlignment="1" applyFont="1">
      <alignment vertical="bottom"/>
    </xf>
    <xf borderId="0" fillId="0" fontId="48" numFmtId="0" xfId="0" applyAlignment="1" applyFont="1">
      <alignment shrinkToFit="0" vertical="bottom" wrapText="1"/>
    </xf>
    <xf borderId="0" fillId="0" fontId="2" numFmtId="0" xfId="0" applyAlignment="1" applyFont="1">
      <alignment readingOrder="0" vertical="center"/>
    </xf>
    <xf borderId="0" fillId="0" fontId="23" numFmtId="0" xfId="0" applyAlignment="1" applyFont="1">
      <alignment shrinkToFit="0" wrapText="1"/>
    </xf>
    <xf borderId="0" fillId="0" fontId="59" numFmtId="0" xfId="0" applyAlignment="1" applyFont="1">
      <alignment shrinkToFit="0" wrapText="1"/>
    </xf>
    <xf borderId="0" fillId="0" fontId="59" numFmtId="0" xfId="0" applyAlignment="1" applyFont="1">
      <alignment horizontal="left" shrinkToFit="0" wrapText="1"/>
    </xf>
    <xf borderId="0" fillId="0" fontId="2" numFmtId="0" xfId="0" applyFont="1"/>
    <xf borderId="0" fillId="0" fontId="48" numFmtId="0" xfId="0" applyAlignment="1" applyFont="1">
      <alignment readingOrder="0" vertical="center"/>
    </xf>
    <xf borderId="0" fillId="5" fontId="23" numFmtId="0" xfId="0" applyAlignment="1" applyFont="1">
      <alignment readingOrder="0"/>
    </xf>
    <xf borderId="0" fillId="0" fontId="23" numFmtId="49" xfId="0" applyAlignment="1" applyFont="1" applyNumberFormat="1">
      <alignment shrinkToFit="0" vertical="bottom" wrapText="0"/>
    </xf>
    <xf borderId="0" fillId="0" fontId="60" numFmtId="0" xfId="0" applyAlignment="1" applyFont="1">
      <alignment readingOrder="0" shrinkToFit="0" vertical="bottom" wrapText="0"/>
    </xf>
    <xf borderId="0" fillId="6" fontId="61" numFmtId="0" xfId="0" applyAlignment="1" applyFont="1">
      <alignment vertical="bottom"/>
    </xf>
    <xf borderId="0" fillId="0" fontId="23" numFmtId="49" xfId="0" applyAlignment="1" applyFont="1" applyNumberFormat="1">
      <alignment shrinkToFit="0" vertical="bottom" wrapText="1"/>
    </xf>
    <xf borderId="0" fillId="6" fontId="62" numFmtId="0" xfId="0" applyAlignment="1" applyFont="1">
      <alignment vertical="bottom"/>
    </xf>
    <xf borderId="0" fillId="16" fontId="0" numFmtId="0" xfId="0" applyAlignment="1" applyFill="1" applyFont="1">
      <alignment horizontal="center" readingOrder="0" shrinkToFit="0" wrapText="0"/>
    </xf>
    <xf borderId="0" fillId="16" fontId="1" numFmtId="0" xfId="0" applyAlignment="1" applyFont="1">
      <alignment readingOrder="0" shrinkToFit="0" wrapText="0"/>
    </xf>
    <xf borderId="0" fillId="16" fontId="23" numFmtId="49" xfId="0" applyAlignment="1" applyFont="1" applyNumberFormat="1">
      <alignment horizontal="center" shrinkToFit="0" vertical="bottom" wrapText="0"/>
    </xf>
    <xf borderId="0" fillId="16" fontId="1" numFmtId="0" xfId="0" applyAlignment="1" applyFont="1">
      <alignment horizontal="center" readingOrder="0" shrinkToFit="0" wrapText="0"/>
    </xf>
    <xf borderId="0" fillId="16" fontId="34" numFmtId="0" xfId="0" applyAlignment="1" applyFont="1">
      <alignment vertical="bottom"/>
    </xf>
    <xf borderId="0" fillId="16" fontId="1" numFmtId="0" xfId="0" applyAlignment="1" applyFont="1">
      <alignment horizontal="center" readingOrder="0" shrinkToFit="0" vertical="center" wrapText="0"/>
    </xf>
    <xf borderId="0" fillId="16" fontId="23" numFmtId="0" xfId="0" applyAlignment="1" applyFont="1">
      <alignment shrinkToFit="0" vertical="bottom" wrapText="0"/>
    </xf>
    <xf borderId="0" fillId="16" fontId="23" numFmtId="49" xfId="0" applyAlignment="1" applyFont="1" applyNumberFormat="1">
      <alignment shrinkToFit="0" vertical="bottom" wrapText="1"/>
    </xf>
    <xf borderId="0" fillId="16" fontId="23" numFmtId="0" xfId="0" applyAlignment="1" applyFont="1">
      <alignment shrinkToFit="0" vertical="bottom" wrapText="0"/>
    </xf>
    <xf borderId="0" fillId="16" fontId="1" numFmtId="49" xfId="0" applyAlignment="1" applyFont="1" applyNumberFormat="1">
      <alignment horizontal="center" readingOrder="0" shrinkToFit="0" vertical="bottom" wrapText="0"/>
    </xf>
    <xf borderId="0" fillId="16" fontId="23" numFmtId="0" xfId="0" applyAlignment="1" applyFont="1">
      <alignment vertical="bottom"/>
    </xf>
    <xf borderId="0" fillId="16" fontId="63" numFmtId="0" xfId="0" applyAlignment="1" applyFont="1">
      <alignment shrinkToFit="0" vertical="bottom" wrapText="0"/>
    </xf>
    <xf borderId="0" fillId="16" fontId="23" numFmtId="0" xfId="0" applyAlignment="1" applyFont="1">
      <alignment readingOrder="0" vertical="bottom"/>
    </xf>
    <xf borderId="0" fillId="16" fontId="1" numFmtId="0" xfId="0" applyAlignment="1" applyFont="1">
      <alignment shrinkToFit="0" wrapText="0"/>
    </xf>
    <xf borderId="0" fillId="0" fontId="23" numFmtId="49" xfId="0" applyAlignment="1" applyFont="1" applyNumberFormat="1">
      <alignment horizontal="center" readingOrder="0" shrinkToFit="0" vertical="bottom" wrapText="0"/>
    </xf>
    <xf borderId="0" fillId="0" fontId="34" numFmtId="0" xfId="0" applyAlignment="1" applyFont="1">
      <alignment readingOrder="0" vertical="bottom"/>
    </xf>
    <xf borderId="0" fillId="13" fontId="23" numFmtId="49" xfId="0" applyAlignment="1" applyFont="1" applyNumberFormat="1">
      <alignment horizontal="center" shrinkToFit="0" vertical="bottom" wrapText="0"/>
    </xf>
    <xf borderId="0" fillId="13" fontId="23" numFmtId="0" xfId="0" applyAlignment="1" applyFont="1">
      <alignment vertical="bottom"/>
    </xf>
    <xf borderId="0" fillId="13" fontId="23" numFmtId="49" xfId="0" applyAlignment="1" applyFont="1" applyNumberFormat="1">
      <alignment shrinkToFit="0" vertical="bottom" wrapText="1"/>
    </xf>
    <xf borderId="0" fillId="13" fontId="23" numFmtId="0" xfId="0" applyAlignment="1" applyFont="1">
      <alignment horizontal="center" shrinkToFit="0" vertical="bottom" wrapText="0"/>
    </xf>
    <xf borderId="0" fillId="13" fontId="23" numFmtId="0" xfId="0" applyAlignment="1" applyFont="1">
      <alignment readingOrder="0" vertical="bottom"/>
    </xf>
    <xf borderId="0" fillId="0" fontId="64" numFmtId="0" xfId="0" applyAlignment="1" applyFont="1">
      <alignment readingOrder="0" shrinkToFit="0" vertical="bottom" wrapText="0"/>
    </xf>
    <xf borderId="0" fillId="17" fontId="1" numFmtId="0" xfId="0" applyAlignment="1" applyFill="1" applyFont="1">
      <alignment horizontal="center" readingOrder="0" shrinkToFit="0" vertical="center" wrapText="0"/>
    </xf>
    <xf borderId="0" fillId="0" fontId="23" numFmtId="49" xfId="0" applyAlignment="1" applyFont="1" applyNumberFormat="1">
      <alignment readingOrder="0" shrinkToFit="0" vertical="bottom" wrapText="0"/>
    </xf>
    <xf borderId="0" fillId="10" fontId="0" numFmtId="0" xfId="0" applyAlignment="1" applyFont="1">
      <alignment horizontal="center" readingOrder="0" shrinkToFit="0" wrapText="0"/>
    </xf>
    <xf borderId="0" fillId="10" fontId="1" numFmtId="0" xfId="0" applyAlignment="1" applyFont="1">
      <alignment readingOrder="0" shrinkToFit="0" wrapText="0"/>
    </xf>
    <xf borderId="0" fillId="10" fontId="23" numFmtId="49" xfId="0" applyAlignment="1" applyFont="1" applyNumberFormat="1">
      <alignment horizontal="center" readingOrder="0" shrinkToFit="0" vertical="bottom" wrapText="0"/>
    </xf>
    <xf borderId="0" fillId="10" fontId="1" numFmtId="0" xfId="0" applyAlignment="1" applyFont="1">
      <alignment horizontal="center" readingOrder="0" shrinkToFit="0" wrapText="0"/>
    </xf>
    <xf borderId="0" fillId="10" fontId="34" numFmtId="0" xfId="0" applyAlignment="1" applyFont="1">
      <alignment readingOrder="0" vertical="bottom"/>
    </xf>
    <xf borderId="0" fillId="10" fontId="1" numFmtId="0" xfId="0" applyAlignment="1" applyFont="1">
      <alignment horizontal="center" readingOrder="0" shrinkToFit="0" vertical="center" wrapText="0"/>
    </xf>
    <xf borderId="0" fillId="10" fontId="1" numFmtId="0" xfId="0" applyAlignment="1" applyFont="1">
      <alignment horizontal="left" readingOrder="0" shrinkToFit="0" vertical="bottom" wrapText="0"/>
    </xf>
    <xf borderId="0" fillId="10" fontId="1" numFmtId="49" xfId="0" applyAlignment="1" applyFont="1" applyNumberFormat="1">
      <alignment horizontal="center" readingOrder="0" shrinkToFit="0" wrapText="0"/>
    </xf>
    <xf borderId="0" fillId="10" fontId="23" numFmtId="0" xfId="0" applyAlignment="1" applyFont="1">
      <alignment shrinkToFit="0" vertical="bottom" wrapText="0"/>
    </xf>
    <xf borderId="0" fillId="10" fontId="23" numFmtId="49" xfId="0" applyAlignment="1" applyFont="1" applyNumberFormat="1">
      <alignment horizontal="center" shrinkToFit="0" vertical="bottom" wrapText="0"/>
    </xf>
    <xf borderId="0" fillId="10" fontId="23" numFmtId="0" xfId="0" applyAlignment="1" applyFont="1">
      <alignment vertical="bottom"/>
    </xf>
    <xf borderId="0" fillId="10" fontId="23" numFmtId="0" xfId="0" applyAlignment="1" applyFont="1">
      <alignment shrinkToFit="0" vertical="bottom" wrapText="0"/>
    </xf>
    <xf borderId="0" fillId="10" fontId="1" numFmtId="0" xfId="0" applyAlignment="1" applyFont="1">
      <alignment shrinkToFit="0" wrapText="0"/>
    </xf>
    <xf borderId="0" fillId="10" fontId="1" numFmtId="0" xfId="0" applyAlignment="1" applyFont="1">
      <alignment horizontal="left" shrinkToFit="0" wrapText="0"/>
    </xf>
    <xf borderId="0" fillId="10" fontId="65" numFmtId="0" xfId="0" applyAlignment="1" applyFont="1">
      <alignment shrinkToFit="0" vertical="bottom" wrapText="0"/>
    </xf>
    <xf borderId="0" fillId="0" fontId="36" numFmtId="0" xfId="0" applyAlignment="1" applyFont="1">
      <alignment readingOrder="0"/>
    </xf>
    <xf borderId="0" fillId="0" fontId="59" numFmtId="0" xfId="0" applyAlignment="1" applyFont="1">
      <alignment shrinkToFit="0" wrapText="0"/>
    </xf>
    <xf borderId="0" fillId="0" fontId="23" numFmtId="0" xfId="0" applyAlignment="1" applyFont="1">
      <alignment horizontal="left" readingOrder="0" shrinkToFit="0" vertical="bottom" wrapText="0"/>
    </xf>
    <xf borderId="0" fillId="6" fontId="1" numFmtId="0" xfId="0" applyAlignment="1" applyFont="1">
      <alignment horizontal="left" readingOrder="0" shrinkToFit="0" vertical="bottom" wrapText="0"/>
    </xf>
    <xf borderId="0" fillId="8" fontId="38" numFmtId="0" xfId="0" applyAlignment="1" applyFont="1">
      <alignment readingOrder="0" shrinkToFit="0" wrapText="0"/>
    </xf>
    <xf borderId="0" fillId="0" fontId="0" numFmtId="0" xfId="0" applyAlignment="1" applyFont="1">
      <alignment horizontal="center" readingOrder="0" shrinkToFit="0" wrapText="0"/>
    </xf>
    <xf borderId="1" fillId="0" fontId="48" numFmtId="0" xfId="0" applyBorder="1" applyFont="1"/>
    <xf borderId="0" fillId="0" fontId="66" numFmtId="0" xfId="0" applyAlignment="1" applyFont="1">
      <alignment readingOrder="0"/>
    </xf>
  </cellXfs>
  <cellStyles count="1">
    <cellStyle xfId="0" name="Normal" builtinId="0"/>
  </cellStyles>
  <dxfs count="7">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F8F9FA"/>
          <bgColor rgb="FFF8F9FA"/>
        </patternFill>
      </fill>
      <border/>
    </dxf>
    <dxf>
      <font/>
      <fill>
        <patternFill patternType="solid">
          <fgColor rgb="FFCC0000"/>
          <bgColor rgb="FFCC0000"/>
        </patternFill>
      </fill>
      <border/>
    </dxf>
    <dxf>
      <font/>
      <fill>
        <patternFill patternType="solid">
          <fgColor rgb="FF00FF00"/>
          <bgColor rgb="FF00FF00"/>
        </patternFill>
      </fill>
      <border/>
    </dxf>
  </dxfs>
  <tableStyles count="2">
    <tableStyle count="3" pivot="0" name="metrics-style">
      <tableStyleElement dxfId="1" type="headerRow"/>
      <tableStyleElement dxfId="2" type="firstRowStripe"/>
      <tableStyleElement dxfId="3" type="secondRowStripe"/>
    </tableStyle>
    <tableStyle count="2" pivot="0" name="unity-ms-style">
      <tableStyleElement dxfId="4"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A5B4"/>
                </a:solidFill>
                <a:latin typeface="Arial"/>
              </a:defRPr>
            </a:pPr>
            <a:r>
              <a:rPr b="0">
                <a:solidFill>
                  <a:srgbClr val="75A5B4"/>
                </a:solidFill>
                <a:latin typeface="Arial"/>
              </a:rPr>
              <a:t>API Operations by Layer</a:t>
            </a:r>
          </a:p>
        </c:rich>
      </c:tx>
      <c:overlay val="0"/>
    </c:title>
    <c:view3D>
      <c:rotX val="15"/>
      <c:rotY val="20"/>
      <c:depthPercent val="100"/>
      <c:rAngAx val="1"/>
    </c:view3D>
    <c:plotArea>
      <c:layout/>
      <c:bar3DChart>
        <c:barDir val="col"/>
        <c:grouping val="clustered"/>
        <c:ser>
          <c:idx val="0"/>
          <c:order val="0"/>
          <c:tx>
            <c:strRef>
              <c:f>metrics!$F$2</c:f>
            </c:strRef>
          </c:tx>
          <c:spPr>
            <a:solidFill>
              <a:schemeClr val="accent1"/>
            </a:solidFill>
            <a:ln cmpd="sng">
              <a:noFill/>
            </a:ln>
          </c:spPr>
          <c:cat>
            <c:strRef>
              <c:f>metrics!$E$3:$E$7</c:f>
            </c:strRef>
          </c:cat>
          <c:val>
            <c:numRef>
              <c:f>metrics!$F$3:$F$7</c:f>
              <c:numCache/>
            </c:numRef>
          </c:val>
        </c:ser>
        <c:axId val="207387546"/>
        <c:axId val="1377033971"/>
      </c:bar3DChart>
      <c:catAx>
        <c:axId val="207387546"/>
        <c:scaling>
          <c:orientation val="minMax"/>
        </c:scaling>
        <c:delete val="0"/>
        <c:axPos val="b"/>
        <c:title>
          <c:tx>
            <c:rich>
              <a:bodyPr/>
              <a:lstStyle/>
              <a:p>
                <a:pPr lvl="0">
                  <a:defRPr b="0">
                    <a:solidFill>
                      <a:srgbClr val="005975"/>
                    </a:solidFill>
                    <a:latin typeface="Arial"/>
                  </a:defRPr>
                </a:pPr>
                <a:r>
                  <a:rPr b="0">
                    <a:solidFill>
                      <a:srgbClr val="005975"/>
                    </a:solidFill>
                    <a:latin typeface="Arial"/>
                  </a:rPr>
                  <a:t>Layer</a:t>
                </a:r>
              </a:p>
            </c:rich>
          </c:tx>
          <c:overlay val="0"/>
        </c:title>
        <c:numFmt formatCode="General" sourceLinked="1"/>
        <c:majorTickMark val="none"/>
        <c:minorTickMark val="none"/>
        <c:spPr>
          <a:ln>
            <a:noFill/>
          </a:ln>
        </c:spPr>
        <c:txPr>
          <a:bodyPr/>
          <a:lstStyle/>
          <a:p>
            <a:pPr lvl="0">
              <a:defRPr b="0">
                <a:solidFill>
                  <a:srgbClr val="005975"/>
                </a:solidFill>
                <a:latin typeface="Arial"/>
              </a:defRPr>
            </a:pPr>
          </a:p>
        </c:txPr>
        <c:crossAx val="1377033971"/>
      </c:catAx>
      <c:valAx>
        <c:axId val="1377033971"/>
        <c:scaling>
          <c:orientation val="minMax"/>
        </c:scaling>
        <c:delete val="0"/>
        <c:axPos val="l"/>
        <c:majorGridlines>
          <c:spPr>
            <a:ln>
              <a:solidFill>
                <a:srgbClr val="A4C2F4"/>
              </a:solidFill>
            </a:ln>
          </c:spPr>
        </c:majorGridlines>
        <c:minorGridlines>
          <c:spPr>
            <a:ln>
              <a:solidFill>
                <a:srgbClr val="CCCCCC">
                  <a:alpha val="0"/>
                </a:srgbClr>
              </a:solidFill>
            </a:ln>
          </c:spPr>
        </c:minorGridlines>
        <c:title>
          <c:tx>
            <c:rich>
              <a:bodyPr/>
              <a:lstStyle/>
              <a:p>
                <a:pPr lvl="0">
                  <a:defRPr b="0">
                    <a:solidFill>
                      <a:srgbClr val="005975"/>
                    </a:solidFill>
                    <a:latin typeface="Arial"/>
                  </a:defRPr>
                </a:pPr>
                <a:r>
                  <a:rPr b="0">
                    <a:solidFill>
                      <a:srgbClr val="005975"/>
                    </a:solidFill>
                    <a:latin typeface="Arial"/>
                  </a:rPr>
                  <a:t>API Operations</a:t>
                </a:r>
              </a:p>
            </c:rich>
          </c:tx>
          <c:overlay val="0"/>
        </c:title>
        <c:numFmt formatCode="General" sourceLinked="1"/>
        <c:majorTickMark val="none"/>
        <c:minorTickMark val="none"/>
        <c:tickLblPos val="nextTo"/>
        <c:spPr>
          <a:ln>
            <a:noFill/>
          </a:ln>
        </c:spPr>
        <c:txPr>
          <a:bodyPr/>
          <a:lstStyle/>
          <a:p>
            <a:pPr lvl="0">
              <a:defRPr b="0">
                <a:solidFill>
                  <a:srgbClr val="005975"/>
                </a:solidFill>
                <a:latin typeface="Arial"/>
              </a:defRPr>
            </a:pPr>
          </a:p>
        </c:txPr>
        <c:crossAx val="207387546"/>
      </c:valAx>
    </c:plotArea>
    <c:legend>
      <c:legendPos val="r"/>
      <c:overlay val="0"/>
      <c:txPr>
        <a:bodyPr/>
        <a:lstStyle/>
        <a:p>
          <a:pPr lvl="0">
            <a:defRPr b="0">
              <a:solidFill>
                <a:srgbClr val="1A6A83"/>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A5B4"/>
                </a:solidFill>
                <a:latin typeface="+mn-lt"/>
              </a:defRPr>
            </a:pPr>
            <a:r>
              <a:rPr b="0">
                <a:solidFill>
                  <a:srgbClr val="75A5B4"/>
                </a:solidFill>
                <a:latin typeface="+mn-lt"/>
              </a:rPr>
              <a:t>API Component</a:t>
            </a:r>
          </a:p>
        </c:rich>
      </c:tx>
      <c:overlay val="0"/>
    </c:title>
    <c:plotArea>
      <c:layout/>
      <c:pieChart>
        <c:varyColors val="1"/>
        <c:ser>
          <c:idx val="0"/>
          <c:order val="0"/>
          <c:tx>
            <c:strRef>
              <c:f>metrics!$C$2</c:f>
            </c:strRef>
          </c:tx>
          <c:dPt>
            <c:idx val="0"/>
            <c:spPr>
              <a:solidFill>
                <a:srgbClr val="0078B8"/>
              </a:solidFill>
            </c:spPr>
          </c:dPt>
          <c:dPt>
            <c:idx val="1"/>
            <c:spPr>
              <a:solidFill>
                <a:srgbClr val="0091DE"/>
              </a:solidFill>
            </c:spPr>
          </c:dPt>
          <c:dPt>
            <c:idx val="2"/>
            <c:spPr>
              <a:solidFill>
                <a:srgbClr val="00A3FA"/>
              </a:solidFill>
            </c:spPr>
          </c:dPt>
          <c:dPt>
            <c:idx val="3"/>
            <c:spPr>
              <a:solidFill>
                <a:srgbClr val="42BDFF"/>
              </a:solidFill>
            </c:spPr>
          </c:dPt>
          <c:dPt>
            <c:idx val="4"/>
            <c:spPr>
              <a:solidFill>
                <a:srgbClr val="6ECCFF"/>
              </a:solidFill>
            </c:spPr>
          </c:dPt>
          <c:dLbls>
            <c:showLegendKey val="0"/>
            <c:showVal val="0"/>
            <c:showCatName val="0"/>
            <c:showSerName val="0"/>
            <c:showPercent val="0"/>
            <c:showBubbleSize val="0"/>
            <c:showLeaderLines val="1"/>
          </c:dLbls>
          <c:cat>
            <c:strRef>
              <c:f>metrics!$B$3:$B$7</c:f>
            </c:strRef>
          </c:cat>
          <c:val>
            <c:numRef>
              <c:f>metrics!$C$3:$C$7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6A83"/>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17</xdr:row>
      <xdr:rowOff>9525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9525</xdr:colOff>
      <xdr:row>17</xdr:row>
      <xdr:rowOff>9525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J3:M8" displayName="Table_1" name="Table_1" id="1">
  <tableColumns count="4">
    <tableColumn name="Column1" id="1"/>
    <tableColumn name="Column2" id="2"/>
    <tableColumn name="Column3" id="3"/>
    <tableColumn name="Column4" id="4"/>
  </tableColumns>
  <tableStyleInfo name="metric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4:A111" displayName="Table_2" name="Table_2" id="2">
  <tableColumns count="1">
    <tableColumn name="Column1" id="1"/>
  </tableColumns>
  <tableStyleInfo name="unity-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5975"/>
      </a:dk1>
      <a:lt1>
        <a:srgbClr val="F5FCFF"/>
      </a:lt1>
      <a:dk2>
        <a:srgbClr val="005975"/>
      </a:dk2>
      <a:lt2>
        <a:srgbClr val="F5FC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coppelmx.atlassian.net/wiki/spaces/SEAC/pages/1311670323/RESMX001409+Dom_ControlRegisterAttemptsCorporateV1" TargetMode="External"/><Relationship Id="rId42" Type="http://schemas.openxmlformats.org/officeDocument/2006/relationships/hyperlink" Target="https://coppelmx.atlassian.net/wiki/spaces/SEAC/pages/1367343143/RESMX001442+Dom_UpdateOtpStatusValidateRecoveryCodeUserCorporeateV1" TargetMode="External"/><Relationship Id="rId41" Type="http://schemas.openxmlformats.org/officeDocument/2006/relationships/hyperlink" Target="https://coppelmx.atlassian.net/wiki/spaces/SEAC/pages/1347715124/RESMX001424+Dom_DeleteUserRsaCorporateV1" TargetMode="External"/><Relationship Id="rId44" Type="http://schemas.openxmlformats.org/officeDocument/2006/relationships/hyperlink" Target="https://coppelmx.atlassian.net/wiki/spaces/SEAC/pages/1312522242/RESMX001372+Pro_ExecuteSyncHardTokenCorporateV1" TargetMode="External"/><Relationship Id="rId43" Type="http://schemas.openxmlformats.org/officeDocument/2006/relationships/hyperlink" Target="https://coppelmx.atlassian.net/wiki/spaces/SEAC/pages/1352761375/RESMX001164+Pro_EditStatusHardTokenCorporateV1" TargetMode="External"/><Relationship Id="rId46" Type="http://schemas.openxmlformats.org/officeDocument/2006/relationships/hyperlink" Target="https://coppelmx.atlassian.net/wiki/spaces/SEAC/pages/1312653345/RESMX001413+Pro_RetrieveStatusHardTokenCorporateV1" TargetMode="External"/><Relationship Id="rId45" Type="http://schemas.openxmlformats.org/officeDocument/2006/relationships/hyperlink" Target="https://coppelmx.atlassian.net/wiki/spaces/SEAC/pages/1314324481/RESMX001410+Pro_UpdateDisableHardTokenCorporateV1" TargetMode="External"/><Relationship Id="rId107" Type="http://schemas.openxmlformats.org/officeDocument/2006/relationships/hyperlink" Target="https://coppelmx.atlassian.net/wiki/spaces/SEAC/pages/1400274945/RESMX001481+Dom_RegisterFileCorporateV1" TargetMode="External"/><Relationship Id="rId106" Type="http://schemas.openxmlformats.org/officeDocument/2006/relationships/hyperlink" Target="https://coppelmx.atlassian.net/wiki/spaces/SEAC/pages/1403125816/RESMX001480+Dom_DeleteFileRecordsCorporateV1" TargetMode="External"/><Relationship Id="rId105" Type="http://schemas.openxmlformats.org/officeDocument/2006/relationships/hyperlink" Target="https://coppelmx.atlassian.net/wiki/spaces/SEAC/pages/1403879478/RESMX001479+Pro_DeleteFileRecordsCorporateV1" TargetMode="External"/><Relationship Id="rId104" Type="http://schemas.openxmlformats.org/officeDocument/2006/relationships/hyperlink" Target="https://coppelmx.atlassian.net/wiki/spaces/SEAC/pages/1835532340/RESMX001478+Dom_DeleteFileCorporateV1" TargetMode="External"/><Relationship Id="rId109" Type="http://schemas.openxmlformats.org/officeDocument/2006/relationships/hyperlink" Target="https://coppelmx.atlassian.net/wiki/spaces/SEAC/pages/1403912243/RESMX001483+Dom_CreateFileRecordsCorporateV1" TargetMode="External"/><Relationship Id="rId108" Type="http://schemas.openxmlformats.org/officeDocument/2006/relationships/hyperlink" Target="https://coppelmx.atlassian.net/wiki/spaces/SEAC/pages/1401159685/RESMX001482+Dom_ExchangeMessageCorporateV1" TargetMode="External"/><Relationship Id="rId48" Type="http://schemas.openxmlformats.org/officeDocument/2006/relationships/hyperlink" Target="https://coppelmx.atlassian.net/wiki/spaces/SEAC/pages/1324613648/RESMX001428+Pro_GrantAssignHardTokenCorporateV1" TargetMode="External"/><Relationship Id="rId47" Type="http://schemas.openxmlformats.org/officeDocument/2006/relationships/hyperlink" Target="https://coppelmx.atlassian.net/wiki/spaces/SEAC/pages/1328250918/RESMX001425+Pro_RegisterTokenCorporateV1" TargetMode="External"/><Relationship Id="rId49" Type="http://schemas.openxmlformats.org/officeDocument/2006/relationships/hyperlink" Target="https://coppelmx.atlassian.net/wiki/spaces/SEAC/pages/1388282193/RESMX001430+Pro_UnassignTokenRsaCorporateV1" TargetMode="External"/><Relationship Id="rId103" Type="http://schemas.openxmlformats.org/officeDocument/2006/relationships/hyperlink" Target="https://coppelmx.atlassian.net/wiki/spaces/SEAC/pages/1834713196/RESMX001477+Pro_DeleteFileCorporateV1" TargetMode="External"/><Relationship Id="rId102" Type="http://schemas.openxmlformats.org/officeDocument/2006/relationships/hyperlink" Target="https://coppelmx.atlassian.net/wiki/spaces/SEAC/pages/1397096571/RESMX001476+Pro_EvaluateVerificationDocumentCorporateV1" TargetMode="External"/><Relationship Id="rId101" Type="http://schemas.openxmlformats.org/officeDocument/2006/relationships/hyperlink" Target="https://coppelmx.atlassian.net/wiki/spaces/SEAC/pages/1397162082/RESMX001475+Dom_EvaluateVerificationDocumentCorporateV1" TargetMode="External"/><Relationship Id="rId100" Type="http://schemas.openxmlformats.org/officeDocument/2006/relationships/hyperlink" Target="https://coppelmx.atlassian.net/wiki/spaces/SEAC/pages/1834614946/RESMX001474+Wrk_QValidateDestinationAccountFileCorporateV1" TargetMode="External"/><Relationship Id="rId31" Type="http://schemas.openxmlformats.org/officeDocument/2006/relationships/hyperlink" Target="https://coppelmx.atlassian.net/wiki/spaces/SEAC/pages/1334378497/RESMX001415+Dom_UnassignHardTokenCorporateV1" TargetMode="External"/><Relationship Id="rId30" Type="http://schemas.openxmlformats.org/officeDocument/2006/relationships/hyperlink" Target="https://coppelmx.atlassian.net/wiki/spaces/SEAC/pages/1312653313/RESMX001407+Dom_RetrieveStatusHardTokenCorporateV1" TargetMode="External"/><Relationship Id="rId33" Type="http://schemas.openxmlformats.org/officeDocument/2006/relationships/hyperlink" Target="https://coppelmx.atlassian.net/wiki/spaces/SEAC/pages/1313669177/RESMX001417+Dom_RetrieveValidateHardTokenCustomerCorporateV1" TargetMode="External"/><Relationship Id="rId32" Type="http://schemas.openxmlformats.org/officeDocument/2006/relationships/hyperlink" Target="https://coppelmx.atlassian.net/wiki/spaces/SEAC/pages/1388282145/RESMX001416+Dom_UnassignTokenRsaCorporateV1" TargetMode="External"/><Relationship Id="rId35" Type="http://schemas.openxmlformats.org/officeDocument/2006/relationships/hyperlink" Target="https://coppelmx.atlassian.net/wiki/spaces/SEAC/pages/1328250881/RESMX001419+Dom_RegisterTokenCorporateV1" TargetMode="External"/><Relationship Id="rId34" Type="http://schemas.openxmlformats.org/officeDocument/2006/relationships/hyperlink" Target="https://coppelmx.atlassian.net/wiki/spaces/SEAC/pages/1334870058/RESMX001418+Dom_RetrieveHardTokenAssociateCorporateV1" TargetMode="External"/><Relationship Id="rId37" Type="http://schemas.openxmlformats.org/officeDocument/2006/relationships/hyperlink" Target="https://coppelmx.atlassian.net/wiki/spaces/SEAC/pages/1359806465/RESMX001440+Dom_ValidateStatusChangedHardTokenCorporateV1" TargetMode="External"/><Relationship Id="rId36" Type="http://schemas.openxmlformats.org/officeDocument/2006/relationships/hyperlink" Target="https://coppelmx.atlassian.net/wiki/spaces/SEAC/pages/1324548118/RESMX001420+Dom_GrantAssignHardTokenCorporateV1" TargetMode="External"/><Relationship Id="rId39" Type="http://schemas.openxmlformats.org/officeDocument/2006/relationships/hyperlink" Target="https://coppelmx.atlassian.net/wiki/spaces/SEAC/pages/1314357249/RESMX001408+Dom_EvaluateAuthenticationCorporateV1" TargetMode="External"/><Relationship Id="rId38" Type="http://schemas.openxmlformats.org/officeDocument/2006/relationships/hyperlink" Target="https://coppelmx.atlassian.net/wiki/spaces/SEAC/pages/1360265220/RESMX001441+Dom_EnabledTokenEditStatusHardTokenCorporateV1" TargetMode="External"/><Relationship Id="rId20" Type="http://schemas.openxmlformats.org/officeDocument/2006/relationships/hyperlink" Target="https://coppelmx.atlassian.net/wiki/x/kwCmg" TargetMode="External"/><Relationship Id="rId22" Type="http://schemas.openxmlformats.org/officeDocument/2006/relationships/hyperlink" Target="https://coppelmx.atlassian.net/wiki/x/jICfg" TargetMode="External"/><Relationship Id="rId21" Type="http://schemas.openxmlformats.org/officeDocument/2006/relationships/hyperlink" Target="https://coppelmx.atlassian.net/wiki/x/ZgCYg" TargetMode="External"/><Relationship Id="rId24" Type="http://schemas.openxmlformats.org/officeDocument/2006/relationships/hyperlink" Target="https://coppelmx.atlassian.net/wiki/x/nYGug" TargetMode="External"/><Relationship Id="rId23" Type="http://schemas.openxmlformats.org/officeDocument/2006/relationships/hyperlink" Target="https://coppelmx.atlassian.net/wiki/x/ZgCYg" TargetMode="External"/><Relationship Id="rId129" Type="http://schemas.openxmlformats.org/officeDocument/2006/relationships/hyperlink" Target="https://coppelmx.atlassian.net/wiki/spaces/SEAC/pages/1571061983/RESMX001547+Pro_TokenAuthenticationCorporateV1" TargetMode="External"/><Relationship Id="rId128" Type="http://schemas.openxmlformats.org/officeDocument/2006/relationships/hyperlink" Target="https://coppelmx.atlassian.net/wiki/spaces/SEAC/pages/1570996548/RESMX001546+Pro_UpdateUserAuthenticationCorporateV1" TargetMode="External"/><Relationship Id="rId127" Type="http://schemas.openxmlformats.org/officeDocument/2006/relationships/hyperlink" Target="https://coppelmx.atlassian.net/wiki/spaces/SEAC/pages/1325498369/RESMX001545+Pro_CreateUserRsaCorporateV1" TargetMode="External"/><Relationship Id="rId126" Type="http://schemas.openxmlformats.org/officeDocument/2006/relationships/hyperlink" Target="https://coppelmx.atlassian.net/wiki/spaces/SEAC/pages/1727889560/RESMX001544+Dom_CloseSessionCorporateV1" TargetMode="External"/><Relationship Id="rId26" Type="http://schemas.openxmlformats.org/officeDocument/2006/relationships/hyperlink" Target="https://coppelmx.atlassian.net/wiki/x/FAAkgQ" TargetMode="External"/><Relationship Id="rId121" Type="http://schemas.openxmlformats.org/officeDocument/2006/relationships/hyperlink" Target="https://coppelmx.atlassian.net/wiki/spaces/SEAC/pages/1571750120/RESMX001539+Dom_UpdateUserAuthenticationCorporateV1" TargetMode="External"/><Relationship Id="rId25" Type="http://schemas.openxmlformats.org/officeDocument/2006/relationships/hyperlink" Target="https://coppelmx.atlassian.net/wiki/x/LYDWg" TargetMode="External"/><Relationship Id="rId120" Type="http://schemas.openxmlformats.org/officeDocument/2006/relationships/hyperlink" Target="https://coppelmx.atlassian.net/wiki/spaces/SEAC/pages/1400471582/RESMX001536+Pro_ExchangeMessageCorporateV1" TargetMode="External"/><Relationship Id="rId28" Type="http://schemas.openxmlformats.org/officeDocument/2006/relationships/hyperlink" Target="https://coppelmx.atlassian.net/wiki/spaces/SEAC/pages/1325367297/RESMX001423+Dom_CreateUserRsaCorporateV1" TargetMode="External"/><Relationship Id="rId27" Type="http://schemas.openxmlformats.org/officeDocument/2006/relationships/hyperlink" Target="https://coppelmx.atlassian.net/wiki/spaces/SEAC/pages/1372323850/RESMX001421+Dom_ValidatePartyContactDataCorporateV1" TargetMode="External"/><Relationship Id="rId125" Type="http://schemas.openxmlformats.org/officeDocument/2006/relationships/hyperlink" Target="https://coppelmx.atlassian.net/wiki/spaces/SEAC/pages/1689846111/RESMX001543+Dom_UpdateStatusUserCorporateV1" TargetMode="External"/><Relationship Id="rId29" Type="http://schemas.openxmlformats.org/officeDocument/2006/relationships/hyperlink" Target="https://coppelmx.atlassian.net/wiki/spaces/SEAC/pages/1314291714/RESMX001406+Dom_UpdateDisableHardTokenCorporateV1" TargetMode="External"/><Relationship Id="rId124" Type="http://schemas.openxmlformats.org/officeDocument/2006/relationships/hyperlink" Target="https://coppelmx.atlassian.net/wiki/spaces/SEAC/pages/1685324761/RESMX001542+Dom_ValidateUserAuthenticationCorporateV1" TargetMode="External"/><Relationship Id="rId123" Type="http://schemas.openxmlformats.org/officeDocument/2006/relationships/hyperlink" Target="https://coppelmx.atlassian.net/wiki/spaces/SEAC/pages/1639874737/RESMX001541+Dom_LogsUserCorporateV1" TargetMode="External"/><Relationship Id="rId122" Type="http://schemas.openxmlformats.org/officeDocument/2006/relationships/hyperlink" Target="https://coppelmx.atlassian.net/wiki/spaces/SEAC/pages/1570767155/RESMX001540+Dom_TokenAuthenticationCorporateV1" TargetMode="External"/><Relationship Id="rId95" Type="http://schemas.openxmlformats.org/officeDocument/2006/relationships/hyperlink" Target="https://coppelmx.atlassian.net/wiki/spaces/SEAC/pages/1381007373/RESMX001469+Pro_DownloadFileTransferAuthorizationsCorporateV1" TargetMode="External"/><Relationship Id="rId94" Type="http://schemas.openxmlformats.org/officeDocument/2006/relationships/hyperlink" Target="https://coppelmx.atlassian.net/wiki/spaces/SEAC/pages/1381269507/RESMX001468+Dom_DownloadFileTransferAuthorizationsCorporateV1" TargetMode="External"/><Relationship Id="rId97" Type="http://schemas.openxmlformats.org/officeDocument/2006/relationships/hyperlink" Target="https://coppelmx.atlassian.net/wiki/spaces/SEAC/pages/1386545169/RESMX001471+Pro_RegisterOnlineTransferAuthorizationsCorporateV1" TargetMode="External"/><Relationship Id="rId96" Type="http://schemas.openxmlformats.org/officeDocument/2006/relationships/hyperlink" Target="https://coppelmx.atlassian.net/wiki/spaces/SEAC/pages/1386283086/RESMX001470+Dom_RegisterOnlineTransferAuthorizationsCorporateV1" TargetMode="External"/><Relationship Id="rId11" Type="http://schemas.openxmlformats.org/officeDocument/2006/relationships/hyperlink" Target="https://coppelmx.atlassian.net/wiki/x/AoCNOw" TargetMode="External"/><Relationship Id="rId99" Type="http://schemas.openxmlformats.org/officeDocument/2006/relationships/hyperlink" Target="https://coppelmx.atlassian.net/wiki/spaces/SEAC/pages/1397096461/RESMX001473+Pro_SignFileTransferCorporateV1" TargetMode="External"/><Relationship Id="rId10" Type="http://schemas.openxmlformats.org/officeDocument/2006/relationships/hyperlink" Target="https://coppelmx.atlassian.net/wiki/x/lIGZg" TargetMode="External"/><Relationship Id="rId98" Type="http://schemas.openxmlformats.org/officeDocument/2006/relationships/hyperlink" Target="https://coppelmx.atlassian.net/wiki/spaces/SEAC/pages/1397162034/RESMX001472+Dom_SignFileTransferCorporateV1" TargetMode="External"/><Relationship Id="rId13" Type="http://schemas.openxmlformats.org/officeDocument/2006/relationships/hyperlink" Target="https://coppelmx.atlassian.net/wiki/x/JAD_g" TargetMode="External"/><Relationship Id="rId12" Type="http://schemas.openxmlformats.org/officeDocument/2006/relationships/hyperlink" Target="https://coppelmx.atlassian.net/wiki/spaces/GAC/pages/1452736555/RESMX000420+Pro_UpdateLocationV1?atlOrigin=eyJpIjoiNzFlMTZhYzIyMTc1NGMwNTgxYTY3MDJhYjMwZTQ1MGYiLCJwIjoiYyJ9" TargetMode="External"/><Relationship Id="rId91" Type="http://schemas.openxmlformats.org/officeDocument/2006/relationships/hyperlink" Target="https://coppelmx.atlassian.net/wiki/spaces/SEAC/pages/1372454916/RESMX001465+Rec_CaptureDocumentsCorporateV1" TargetMode="External"/><Relationship Id="rId90" Type="http://schemas.openxmlformats.org/officeDocument/2006/relationships/hyperlink" Target="https://coppelmx.atlassian.net/wiki/spaces/SEAC/pages/1363345510/RESMX001464+Rec_DeleteFileCorporateV1" TargetMode="External"/><Relationship Id="rId93" Type="http://schemas.openxmlformats.org/officeDocument/2006/relationships/hyperlink" Target="https://coppelmx.atlassian.net/wiki/spaces/SEAC/pages/1835401281/RESMX001467+Wrk_QDestinationAccountRegisterCorporateV1" TargetMode="External"/><Relationship Id="rId92" Type="http://schemas.openxmlformats.org/officeDocument/2006/relationships/hyperlink" Target="https://coppelmx.atlassian.net/wiki/spaces/SEAC/pages/1376518255/RESMX001466+Rec_SignFileTransferCorporateV1" TargetMode="External"/><Relationship Id="rId118" Type="http://schemas.openxmlformats.org/officeDocument/2006/relationships/hyperlink" Target="https://coppelmx.atlassian.net/wiki/spaces/SEAC/pages/1400471582/RESMX001536+Pro_ExchangeMessageCorporateV1" TargetMode="External"/><Relationship Id="rId117" Type="http://schemas.openxmlformats.org/officeDocument/2006/relationships/hyperlink" Target="https://coppelmx.atlassian.net/wiki/spaces/SEAC/pages/1400307713/RESMX001535+Pro_RegisterFileCorporateV1" TargetMode="External"/><Relationship Id="rId116" Type="http://schemas.openxmlformats.org/officeDocument/2006/relationships/hyperlink" Target="https://coppelmx.atlassian.net/wiki/x/VIAcWw" TargetMode="External"/><Relationship Id="rId115" Type="http://schemas.openxmlformats.org/officeDocument/2006/relationships/hyperlink" Target="https://coppelmx.atlassian.net/wiki/spaces/SEAC/pages/1346535425/RESMX001489+Dom_UpdateUserCorporateV1" TargetMode="External"/><Relationship Id="rId119" Type="http://schemas.openxmlformats.org/officeDocument/2006/relationships/hyperlink" Target="https://coppelmx.atlassian.net/wiki/spaces/SEAC/pages/1682212422/RESMX001537+Bus_ValidatePasswordSecurityCorporateV1" TargetMode="External"/><Relationship Id="rId15" Type="http://schemas.openxmlformats.org/officeDocument/2006/relationships/hyperlink" Target="https://coppelmx.atlassian.net/wiki/x/E4Dbg" TargetMode="External"/><Relationship Id="rId110" Type="http://schemas.openxmlformats.org/officeDocument/2006/relationships/hyperlink" Target="https://coppelmx.atlassian.net/wiki/spaces/SEAC/pages/1403846684/RESMX001484+Pro_CreateFileRecordsCorporateV1" TargetMode="External"/><Relationship Id="rId14" Type="http://schemas.openxmlformats.org/officeDocument/2006/relationships/hyperlink" Target="https://coppelmx.atlassian.net/wiki/x/AoANgQ" TargetMode="External"/><Relationship Id="rId17" Type="http://schemas.openxmlformats.org/officeDocument/2006/relationships/hyperlink" Target="https://coppelmx.atlassian.net/wiki/x/9AC6g" TargetMode="External"/><Relationship Id="rId16" Type="http://schemas.openxmlformats.org/officeDocument/2006/relationships/hyperlink" Target="https://coppelmx.atlassian.net/wiki/x/MQG4g" TargetMode="External"/><Relationship Id="rId19" Type="http://schemas.openxmlformats.org/officeDocument/2006/relationships/hyperlink" Target="https://coppelmx.atlassian.net/wiki/x/_ICcg" TargetMode="External"/><Relationship Id="rId114" Type="http://schemas.openxmlformats.org/officeDocument/2006/relationships/hyperlink" Target="https://coppelmx.atlassian.net/wiki/spaces/SEAC/pages/1835532377/RESMX001488+Wrk_QExecuteFundsTransferIntraBankMassive_V1+Wrk_DLQExecuteFundsTransferIntraBankMassive_V1" TargetMode="External"/><Relationship Id="rId18" Type="http://schemas.openxmlformats.org/officeDocument/2006/relationships/hyperlink" Target="https://coppelmx.atlassian.net/wiki/x/nICxg" TargetMode="External"/><Relationship Id="rId113" Type="http://schemas.openxmlformats.org/officeDocument/2006/relationships/hyperlink" Target="https://coppelmx.atlassian.net/wiki/spaces/SEAC/pages/1836155038/RESMX001487+Wrk_QExecuteFundsTransferSPEI_V1+Wrk_DLQExecuteFundsTransferSPEI_V1" TargetMode="External"/><Relationship Id="rId112" Type="http://schemas.openxmlformats.org/officeDocument/2006/relationships/hyperlink" Target="https://coppelmx.atlassian.net/wiki/spaces/SEAC/pages/1834188942/RESMX001486+Wrk_QValidateTransferFileV1+Wrk_DLQValidateTransferFileV1" TargetMode="External"/><Relationship Id="rId111" Type="http://schemas.openxmlformats.org/officeDocument/2006/relationships/hyperlink" Target="https://coppelmx.atlassian.net/wiki/spaces/SEAC/pages/1835729068/RESMX001485+Wrk_QInitiateFundsTransferCorporateV1+Wrk_DLQInitiateFundsTransferCorporateV1" TargetMode="External"/><Relationship Id="rId84" Type="http://schemas.openxmlformats.org/officeDocument/2006/relationships/hyperlink" Target="https://coppelmx.atlassian.net/wiki/spaces/SEAC/pages/1353744401/RESMX001457+Pro_CheckOtpStatusValidateRecoveryCodeUserCorporeateV1" TargetMode="External"/><Relationship Id="rId83" Type="http://schemas.openxmlformats.org/officeDocument/2006/relationships/hyperlink" Target="https://coppelmx.atlassian.net/wiki/spaces/SEAC/pages/1370128427/RESMX001456+Pro_CreateFileStatementProductsCorporateV1" TargetMode="External"/><Relationship Id="rId86" Type="http://schemas.openxmlformats.org/officeDocument/2006/relationships/hyperlink" Target="https://coppelmx.atlassian.net/wiki/spaces/SEAC/pages/1360265237/RESMX001459+Pro_EnabledTokenEditStatusHardTokenCorporateV1" TargetMode="External"/><Relationship Id="rId85" Type="http://schemas.openxmlformats.org/officeDocument/2006/relationships/hyperlink" Target="https://coppelmx.atlassian.net/wiki/spaces/SEAC/pages/1359872001/RESMX001458+Pro_ValidateStatusChangedHardTokenCorporateV1" TargetMode="External"/><Relationship Id="rId88" Type="http://schemas.openxmlformats.org/officeDocument/2006/relationships/hyperlink" Target="https://coppelmx.atlassian.net/wiki/spaces/SEAC/pages/1370816760/RESMX001462+Rec_GetFileFileTransferAuthorizationsCorporateV1" TargetMode="External"/><Relationship Id="rId150" Type="http://schemas.openxmlformats.org/officeDocument/2006/relationships/hyperlink" Target="https://coppelmx.atlassian.net/wiki/spaces/SEAC/pages/1798965281/RESMX001570+Dom_CreateFolioTransferCorporateV1" TargetMode="External"/><Relationship Id="rId87" Type="http://schemas.openxmlformats.org/officeDocument/2006/relationships/hyperlink" Target="https://coppelmx.atlassian.net/wiki/spaces/SEAC/pages/1353252884/RESMX001461+Rec_ValidateRecoveryCodeUserCorporateV1" TargetMode="External"/><Relationship Id="rId89" Type="http://schemas.openxmlformats.org/officeDocument/2006/relationships/hyperlink" Target="https://coppelmx.atlassian.net/wiki/spaces/SEAC/pages/1340112897/RESMX001463+Rec_ExecuteRecoveryCodeCorporateV1" TargetMode="External"/><Relationship Id="rId80" Type="http://schemas.openxmlformats.org/officeDocument/2006/relationships/hyperlink" Target="https://coppelmx.atlassian.net/wiki/spaces/SEAC/pages/1366000097/RESMX001453+Pro_RetrieveStatementProductsCorporateV1" TargetMode="External"/><Relationship Id="rId82" Type="http://schemas.openxmlformats.org/officeDocument/2006/relationships/hyperlink" Target="https://coppelmx.atlassian.net/wiki/spaces/SEAC/pages/1349255310/RESMX001455+Pro_ExecuteGenerateOTPRecoveryCodeUserCorporateV1" TargetMode="External"/><Relationship Id="rId81" Type="http://schemas.openxmlformats.org/officeDocument/2006/relationships/hyperlink" Target="https://coppelmx.atlassian.net/wiki/spaces/SEAC/pages/1359478786/RESMX001454+Pro_RecordPasswordCorporateV1" TargetMode="External"/><Relationship Id="rId1" Type="http://schemas.openxmlformats.org/officeDocument/2006/relationships/hyperlink" Target="https://coppelmx.atlassian.net/wiki/spaces/GAC/pages/edit-v2/2157347017" TargetMode="External"/><Relationship Id="rId2" Type="http://schemas.openxmlformats.org/officeDocument/2006/relationships/hyperlink" Target="https://coppelmx.atlassian.net/wiki/spaces/GAC/pages/2158362691/RESMX000002_Bus_ExecuteExecuteOrderConfirmation_V1" TargetMode="External"/><Relationship Id="rId3" Type="http://schemas.openxmlformats.org/officeDocument/2006/relationships/hyperlink" Target="https://coppelmx.atlassian.net/wiki/x/aYCfg" TargetMode="External"/><Relationship Id="rId149" Type="http://schemas.openxmlformats.org/officeDocument/2006/relationships/hyperlink" Target="https://coppelmx.atlassian.net/wiki/spaces/SEAC/pages/1798965274/RESMX001569+Dom_CreateErrorTransferCorporateV1" TargetMode="External"/><Relationship Id="rId4" Type="http://schemas.openxmlformats.org/officeDocument/2006/relationships/hyperlink" Target="https://coppelmx.atlassian.net/wiki/spaces/GAC/pages/2159214684/RESMX000004_Bus_InitiatePaymentOrderProcedure_V1" TargetMode="External"/><Relationship Id="rId148" Type="http://schemas.openxmlformats.org/officeDocument/2006/relationships/hyperlink" Target="https://coppelmx.atlassian.net/wiki/spaces/SEAC/pages/1801618119/RESMX001568+Dom_UpdateStatusFileCorporateV1" TargetMode="External"/><Relationship Id="rId9" Type="http://schemas.openxmlformats.org/officeDocument/2006/relationships/hyperlink" Target="https://coppelmx.atlassian.net/wiki/x/yIC8g" TargetMode="External"/><Relationship Id="rId143" Type="http://schemas.openxmlformats.org/officeDocument/2006/relationships/hyperlink" Target="https://coppelmx.atlassian.net/wiki/spaces/SEAC/pages/1749188805/RESMX001562+Pro_RegisterUsersCorporateV1" TargetMode="External"/><Relationship Id="rId142" Type="http://schemas.openxmlformats.org/officeDocument/2006/relationships/hyperlink" Target="https://coppelmx.atlassian.net/wiki/spaces/SEAC/pages/1567719747/RESMX001561+Pro_ContactDataUserCorporateV1" TargetMode="External"/><Relationship Id="rId141" Type="http://schemas.openxmlformats.org/officeDocument/2006/relationships/hyperlink" Target="https://coppelmx.atlassian.net/wiki/spaces/SEAC/pages/1400012963/RESMX001560+Pro_ValidateRecordsCorporateV1" TargetMode="External"/><Relationship Id="rId140" Type="http://schemas.openxmlformats.org/officeDocument/2006/relationships/hyperlink" Target="https://coppelmx.atlassian.net/wiki/spaces/SHAC/pages/1962410025/Bus_DirectDebitHubV1+0" TargetMode="External"/><Relationship Id="rId5" Type="http://schemas.openxmlformats.org/officeDocument/2006/relationships/hyperlink" Target="https://coppelmx.atlassian.net/wiki/spaces/GAC/pages/2158821554/RESMX000036_Bus_ExecuteBiometricManagement_V1" TargetMode="External"/><Relationship Id="rId147" Type="http://schemas.openxmlformats.org/officeDocument/2006/relationships/hyperlink" Target="https://coppelmx.atlassian.net/wiki/spaces/SEAC/pages/1796641614/RESMX001567+Dom_RetrieveTransferRecordsFileCorporateV1" TargetMode="External"/><Relationship Id="rId6" Type="http://schemas.openxmlformats.org/officeDocument/2006/relationships/hyperlink" Target="https://coppelmx.atlassian.net/wiki/spaces/GAC/pages/2159313123/RESMX000037_Bus_EvaluateCustomerContactOperation_V1" TargetMode="External"/><Relationship Id="rId146" Type="http://schemas.openxmlformats.org/officeDocument/2006/relationships/hyperlink" Target="https://coppelmx.atlassian.net/wiki/spaces/SEAC/pages/1507131438/RESMX001566+Bus_SignFileTransferAuthorizationsCorporateV1" TargetMode="External"/><Relationship Id="rId7" Type="http://schemas.openxmlformats.org/officeDocument/2006/relationships/hyperlink" Target="https://coppelmx.atlassian.net/wiki/x/xYC4g" TargetMode="External"/><Relationship Id="rId145" Type="http://schemas.openxmlformats.org/officeDocument/2006/relationships/hyperlink" Target="https://coppelmx.atlassian.net/wiki/spaces/SEAC/pages/1566146813/RESMX001565+Rec_ContactDataUserCorporateV1" TargetMode="External"/><Relationship Id="rId8" Type="http://schemas.openxmlformats.org/officeDocument/2006/relationships/hyperlink" Target="https://coppelmx.atlassian.net/wiki/x/vQCsg" TargetMode="External"/><Relationship Id="rId144" Type="http://schemas.openxmlformats.org/officeDocument/2006/relationships/hyperlink" Target="https://coppelmx.atlassian.net/wiki/spaces/SEAC/pages/1695711666/RESMX001563+Pro_UpdateUsersCorporateV1" TargetMode="External"/><Relationship Id="rId73" Type="http://schemas.openxmlformats.org/officeDocument/2006/relationships/hyperlink" Target="https://coppelmx.atlassian.net/wiki/spaces/SEAC/pages/1359314979/RESMX001446+Dom_RecordPasswordCorporateV1" TargetMode="External"/><Relationship Id="rId72" Type="http://schemas.openxmlformats.org/officeDocument/2006/relationships/hyperlink" Target="https://coppelmx.atlassian.net/wiki/spaces/SEAC/pages/1366097961/RESMX001445+Dom_RetrieveStatementProductsCorporateV1" TargetMode="External"/><Relationship Id="rId75" Type="http://schemas.openxmlformats.org/officeDocument/2006/relationships/hyperlink" Target="https://coppelmx.atlassian.net/wiki/spaces/SEAC/pages/1370325068/RESMX001448+Dom_CreateFileStatementProductsCorporateV1" TargetMode="External"/><Relationship Id="rId74" Type="http://schemas.openxmlformats.org/officeDocument/2006/relationships/hyperlink" Target="https://coppelmx.atlassian.net/wiki/spaces/SEAC/pages/1349091440/RESMX001447+Dom_ExecuteGenerateOTPRecoveryCodeUserCorporateV1" TargetMode="External"/><Relationship Id="rId77" Type="http://schemas.openxmlformats.org/officeDocument/2006/relationships/hyperlink" Target="https://coppelmx.atlassian.net/wiki/spaces/SEAC/pages/1372356611/RESMX001450+Pro_ValidatePartyContactDataCorporateV1" TargetMode="External"/><Relationship Id="rId76" Type="http://schemas.openxmlformats.org/officeDocument/2006/relationships/hyperlink" Target="https://coppelmx.atlassian.net/wiki/spaces/SEAC/pages/1354399756/RESMX001449+Dom_CheckOtpStatusValidateRecoveryCodeUserCorporeateV1" TargetMode="External"/><Relationship Id="rId79" Type="http://schemas.openxmlformats.org/officeDocument/2006/relationships/hyperlink" Target="https://coppelmx.atlassian.net/wiki/spaces/SEAC/pages/1361543241/RESMX001452+Pro_RetrieveStatusStatementProductsCorporateV1" TargetMode="External"/><Relationship Id="rId78" Type="http://schemas.openxmlformats.org/officeDocument/2006/relationships/hyperlink" Target="https://coppelmx.atlassian.net/wiki/spaces/SEAC/pages/1367343105/RESMX001451+Pro_UpdateOtpStatusValidateRecoveryCodeUserCorporeateV1" TargetMode="External"/><Relationship Id="rId71" Type="http://schemas.openxmlformats.org/officeDocument/2006/relationships/hyperlink" Target="https://coppelmx.atlassian.net/wiki/spaces/SEAC/pages/1361379329/RESMX001444+Dom_RetrieveStatusStatementProductsCorporateV1" TargetMode="External"/><Relationship Id="rId70" Type="http://schemas.openxmlformats.org/officeDocument/2006/relationships/hyperlink" Target="https://coppelmx.atlassian.net/wiki/spaces/SEAC/pages/1376747533/RESMX001439+Bus_SignFileTransferCorporateV1" TargetMode="External"/><Relationship Id="rId139" Type="http://schemas.openxmlformats.org/officeDocument/2006/relationships/hyperlink" Target="https://coppelmx.atlassian.net/wiki/spaces/SEAC/pages/1697284097/RESMX001558+Dom_UpdateUsersCorporateV1" TargetMode="External"/><Relationship Id="rId138" Type="http://schemas.openxmlformats.org/officeDocument/2006/relationships/hyperlink" Target="https://coppelmx.atlassian.net/wiki/spaces/SEAC/pages/1749451031/RESMX001557+Dom_RegisterUsersCorporateV1" TargetMode="External"/><Relationship Id="rId137" Type="http://schemas.openxmlformats.org/officeDocument/2006/relationships/hyperlink" Target="https://coppelmx.atlassian.net/wiki/spaces/SEAC/pages/1566605537/RESMX001556+Dom_ContactDataUserCorporateV1" TargetMode="External"/><Relationship Id="rId132" Type="http://schemas.openxmlformats.org/officeDocument/2006/relationships/hyperlink" Target="https://coppelmx.atlassian.net/wiki/spaces/SEAC/pages/1690960207/RESMX001550+Pro_UpdateStatusUserCorporateV1" TargetMode="External"/><Relationship Id="rId131" Type="http://schemas.openxmlformats.org/officeDocument/2006/relationships/hyperlink" Target="https://coppelmx.atlassian.net/wiki/spaces/SEAC/pages/1681198333/RESMX001549+Pro_ValidateUserAuthenticationCorporateV1" TargetMode="External"/><Relationship Id="rId130" Type="http://schemas.openxmlformats.org/officeDocument/2006/relationships/hyperlink" Target="https://coppelmx.atlassian.net/wiki/spaces/SEAC/pages/1641152568/RESMX001548+Pro_LogsUserCorporateV1" TargetMode="External"/><Relationship Id="rId136" Type="http://schemas.openxmlformats.org/officeDocument/2006/relationships/hyperlink" Target="https://coppelmx.atlassian.net/wiki/spaces/SEAC/pages/1400012931/RESMX001555+Dom_ValidateRecordsCorporateV1" TargetMode="External"/><Relationship Id="rId135" Type="http://schemas.openxmlformats.org/officeDocument/2006/relationships/hyperlink" Target="https://coppelmx.atlassian.net/wiki/spaces/SEAC/pages/1608319283/RESMX001553+Bus_UpdateCredentialsUserCorporateV1" TargetMode="External"/><Relationship Id="rId134" Type="http://schemas.openxmlformats.org/officeDocument/2006/relationships/hyperlink" Target="https://coppelmx.atlassian.net/wiki/spaces/SEAC/pages/1724088999/RESMX001552+Rec_CloseSessionCorporateV1" TargetMode="External"/><Relationship Id="rId133" Type="http://schemas.openxmlformats.org/officeDocument/2006/relationships/hyperlink" Target="https://coppelmx.atlassian.net/wiki/spaces/SEAC/pages/1728413722/RESMX001551+Pro_CloseSessionCorporateV1" TargetMode="External"/><Relationship Id="rId62" Type="http://schemas.openxmlformats.org/officeDocument/2006/relationships/hyperlink" Target="https://coppelmx.atlassian.net/wiki/spaces/SEAC/pages/1372323890/RESMX001438+Bus_CaptureDocumentsCorporateV1" TargetMode="External"/><Relationship Id="rId61" Type="http://schemas.openxmlformats.org/officeDocument/2006/relationships/hyperlink" Target="https://coppelmx.atlassian.net/wiki/spaces/SEAC/pages/1370915089/RESMX001435+Bus_GetFileFileTransferAuthorizationsCorporateV1" TargetMode="External"/><Relationship Id="rId64" Type="http://schemas.openxmlformats.org/officeDocument/2006/relationships/hyperlink" Target="https://coppelmx.atlassian.net/wiki/spaces/SEAC/pages/1353580620/RESMX001434+Bus_ValidateRecoveryCodeUserCorporateV1" TargetMode="External"/><Relationship Id="rId63" Type="http://schemas.openxmlformats.org/officeDocument/2006/relationships/hyperlink" Target="https://coppelmx.atlassian.net/wiki/spaces/SEAC/pages/1314357606/RESMX001405+Bus_ValidateOtpHardTokenCorporateV1" TargetMode="External"/><Relationship Id="rId66" Type="http://schemas.openxmlformats.org/officeDocument/2006/relationships/hyperlink" Target="https://coppelmx.atlassian.net/wiki/spaces/SEAC/pages/1343127699/RESMX001433+Bus_EditStatusHardTokenCorporateV1" TargetMode="External"/><Relationship Id="rId65" Type="http://schemas.openxmlformats.org/officeDocument/2006/relationships/hyperlink" Target="https://coppelmx.atlassian.net/wiki/spaces/SEAC/pages/1340047362/RESMX001436+Bus_ExecuteRecoveryCodeCorporateV1" TargetMode="External"/><Relationship Id="rId68" Type="http://schemas.openxmlformats.org/officeDocument/2006/relationships/hyperlink" Target="https://coppelmx.atlassian.net/wiki/spaces/SEAC/pages/1331232789/RESMX001426+Pro_UpdateEnrollmentPhaseCorporateV1" TargetMode="External"/><Relationship Id="rId67" Type="http://schemas.openxmlformats.org/officeDocument/2006/relationships/hyperlink" Target="https://coppelmx.atlassian.net/wiki/spaces/SEAC/pages/1330905139/RESMX001422+Dom_UpdateEnrollmentPhaseCorporateV1" TargetMode="External"/><Relationship Id="rId60" Type="http://schemas.openxmlformats.org/officeDocument/2006/relationships/hyperlink" Target="https://coppelmx.atlassian.net/wiki/spaces/SEAC/pages/1350500379/RESMX001375+Bus_GetStatementProductsCorporateV1" TargetMode="External"/><Relationship Id="rId165" Type="http://schemas.openxmlformats.org/officeDocument/2006/relationships/hyperlink" Target="https://coppelmx.atlassian.net/wiki/x/jIAIgQ" TargetMode="External"/><Relationship Id="rId69" Type="http://schemas.openxmlformats.org/officeDocument/2006/relationships/hyperlink" Target="https://coppelmx.atlassian.net/wiki/spaces/SEAC/pages/1363345598/RESMX001437+Bus_DeleteFileCorporateV1" TargetMode="External"/><Relationship Id="rId164" Type="http://schemas.openxmlformats.org/officeDocument/2006/relationships/hyperlink" Target="https://coppelmx.atlassian.net/wiki/x/EgAPgQ" TargetMode="External"/><Relationship Id="rId163" Type="http://schemas.openxmlformats.org/officeDocument/2006/relationships/hyperlink" Target="https://coppelmx.atlassian.net/wiki/spaces/GAC/pages/1452736555/RESMX000420+Pro_UpdateLocationV1?atlOrigin=eyJpIjoiNzFlMTZhYzIyMTc1NGMwNTgxYTY3MDJhYjMwZTQ1MGYiLCJwIjoiYyJ9" TargetMode="External"/><Relationship Id="rId162" Type="http://schemas.openxmlformats.org/officeDocument/2006/relationships/hyperlink" Target="https://coppelmx.atlassian.net/wiki/spaces/SEAC/pages/1801487062/RESMX001582+Bus_ProcessFileRecordsCorporateV1" TargetMode="External"/><Relationship Id="rId167" Type="http://schemas.openxmlformats.org/officeDocument/2006/relationships/drawing" Target="../drawings/drawing2.xml"/><Relationship Id="rId166" Type="http://schemas.openxmlformats.org/officeDocument/2006/relationships/hyperlink" Target="https://github.com/SF-Bancoppel/mx-api-bc-rec-party-lifecycle-management" TargetMode="External"/><Relationship Id="rId51" Type="http://schemas.openxmlformats.org/officeDocument/2006/relationships/hyperlink" Target="https://coppelmx.atlassian.net/wiki/spaces/SEAC/pages/1335197717/RESMX001432+Pro_RetrieveHardTokenAssociateCorporateV1" TargetMode="External"/><Relationship Id="rId50" Type="http://schemas.openxmlformats.org/officeDocument/2006/relationships/hyperlink" Target="https://coppelmx.atlassian.net/wiki/spaces/SEAC/pages/1313505387/RESMX001431+Pro_RetrieveValidateHardTokenCustomerCorporateV1" TargetMode="External"/><Relationship Id="rId53" Type="http://schemas.openxmlformats.org/officeDocument/2006/relationships/hyperlink" Target="https://coppelmx.atlassian.net/wiki/spaces/SEAC/pages/1311768641/RESMX001412+Pro_ControlRegisterAttemptsCorporateV1" TargetMode="External"/><Relationship Id="rId52" Type="http://schemas.openxmlformats.org/officeDocument/2006/relationships/hyperlink" Target="https://coppelmx.atlassian.net/wiki/spaces/SEAC/pages/1314324512/RESMX001411+Pro_EvaluateAuthenticationCorporateV1" TargetMode="External"/><Relationship Id="rId55" Type="http://schemas.openxmlformats.org/officeDocument/2006/relationships/hyperlink" Target="https://github.com/SF-Bancoppel/mx-api-bc-bus-customer-management" TargetMode="External"/><Relationship Id="rId161" Type="http://schemas.openxmlformats.org/officeDocument/2006/relationships/hyperlink" Target="https://coppelmx.atlassian.net/wiki/spaces/SEAC/pages/1801388700/RESMX001581+Bus_ProcessFileMainCorporateV1" TargetMode="External"/><Relationship Id="rId54" Type="http://schemas.openxmlformats.org/officeDocument/2006/relationships/hyperlink" Target="https://coppelmx.atlassian.net/wiki/spaces/GAC/pages/2209087512/RESMX001026+Bus_EvaluatePartyAgeEligibilityV1" TargetMode="External"/><Relationship Id="rId160" Type="http://schemas.openxmlformats.org/officeDocument/2006/relationships/hyperlink" Target="https://coppelmx.atlassian.net/wiki/spaces/SEAC/pages/1506804024/RESMX001580+Pro_RollbackFileAuthorizationsCorporateV1" TargetMode="External"/><Relationship Id="rId57" Type="http://schemas.openxmlformats.org/officeDocument/2006/relationships/hyperlink" Target="https://coppelmx.atlassian.net/wiki/x/SABBWQ" TargetMode="External"/><Relationship Id="rId56" Type="http://schemas.openxmlformats.org/officeDocument/2006/relationships/hyperlink" Target="https://coppelmx.atlassian.net/wiki/x/DYAigQ" TargetMode="External"/><Relationship Id="rId159" Type="http://schemas.openxmlformats.org/officeDocument/2006/relationships/hyperlink" Target="https://coppelmx.atlassian.net/wiki/spaces/SEAC/pages/1507393726/RESMX001579+Pro_RegisterFileAuthorizationsCorporateV1" TargetMode="External"/><Relationship Id="rId59" Type="http://schemas.openxmlformats.org/officeDocument/2006/relationships/hyperlink" Target="https://coppelmx.atlassian.net/wiki/spaces/SEAC/pages/1350533137/RESMX001376+Rec_GetStatementProductsCorporateV1" TargetMode="External"/><Relationship Id="rId154" Type="http://schemas.openxmlformats.org/officeDocument/2006/relationships/hyperlink" Target="https://coppelmx.atlassian.net/wiki/spaces/SEAC/pages/1801421512/RESMX001574+Pro_CreateErrorTransferCorporateV1" TargetMode="External"/><Relationship Id="rId58" Type="http://schemas.openxmlformats.org/officeDocument/2006/relationships/hyperlink" Target="https://coppelmx.atlassian.net/wiki/x/e4A9WQ" TargetMode="External"/><Relationship Id="rId153" Type="http://schemas.openxmlformats.org/officeDocument/2006/relationships/hyperlink" Target="https://coppelmx.atlassian.net/wiki/spaces/SEAC/pages/1801487076/RESMX001573+Pro_UpdateStatusFileCorporateV1" TargetMode="External"/><Relationship Id="rId152" Type="http://schemas.openxmlformats.org/officeDocument/2006/relationships/hyperlink" Target="https://coppelmx.atlassian.net/wiki/spaces/SEAC/pages/1798965259/RESMX001572+Pro_RetrieveTransferRecordsFileCorporateV1" TargetMode="External"/><Relationship Id="rId151" Type="http://schemas.openxmlformats.org/officeDocument/2006/relationships/hyperlink" Target="https://coppelmx.atlassian.net/wiki/spaces/SEAC/pages/1807384757/RESMX001571+Dom_RetrieveStatusFileCorporateV1" TargetMode="External"/><Relationship Id="rId158" Type="http://schemas.openxmlformats.org/officeDocument/2006/relationships/hyperlink" Target="https://coppelmx.atlassian.net/wiki/spaces/SEAC/pages/1507885385/RESMX001578+Dom_RollbackFileAuthorizationsCorporateV1" TargetMode="External"/><Relationship Id="rId157" Type="http://schemas.openxmlformats.org/officeDocument/2006/relationships/hyperlink" Target="https://coppelmx.atlassian.net/wiki/spaces/SEAC/pages/1508245563/RESMX001577+Dom_RegisterFileAuthorizationsCorporateV1" TargetMode="External"/><Relationship Id="rId156" Type="http://schemas.openxmlformats.org/officeDocument/2006/relationships/hyperlink" Target="https://coppelmx.atlassian.net/wiki/spaces/SEAC/pages/1807089946/RESMX001576+Pro_RetrieveStatusFileCorporateV1" TargetMode="External"/><Relationship Id="rId155" Type="http://schemas.openxmlformats.org/officeDocument/2006/relationships/hyperlink" Target="https://coppelmx.atlassian.net/wiki/spaces/SEAC/pages/1801749065/RESMX001575+Pro_CreateFolioTransferCorporateV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drive/folders/1GMli1LyzbAUWqi89diOJZ9H85wfFbk5F?usp=drive_link" TargetMode="External"/><Relationship Id="rId42" Type="http://schemas.openxmlformats.org/officeDocument/2006/relationships/hyperlink" Target="https://drive.google.com/drive/folders/1RUh2nfNuhLcljmErRYEDRXiCl78YKc5x?usp=drive_link" TargetMode="External"/><Relationship Id="rId41" Type="http://schemas.openxmlformats.org/officeDocument/2006/relationships/hyperlink" Target="https://drive.google.com/drive/folders/1ouNWtjIvO0Au_hDTGu9_Pd9wuqEgCO_g?usp=drive_link" TargetMode="External"/><Relationship Id="rId44" Type="http://schemas.openxmlformats.org/officeDocument/2006/relationships/hyperlink" Target="https://drive.google.com/drive/folders/1ckq7r7Fxews1D_dfD-ThCxG36Dji7gyR?usp=drive_link" TargetMode="External"/><Relationship Id="rId43" Type="http://schemas.openxmlformats.org/officeDocument/2006/relationships/hyperlink" Target="https://drive.google.com/drive/folders/1GMli1LyzbAUWqi89diOJZ9H85wfFbk5F?usp=drive_link" TargetMode="External"/><Relationship Id="rId46" Type="http://schemas.openxmlformats.org/officeDocument/2006/relationships/hyperlink" Target="https://drive.google.com/drive/folders/1GMli1LyzbAUWqi89diOJZ9H85wfFbk5F?usp=drive_link" TargetMode="External"/><Relationship Id="rId45" Type="http://schemas.openxmlformats.org/officeDocument/2006/relationships/hyperlink" Target="https://drive.google.com/drive/folders/1891SUiR9wANnKJZ_OyJ1jpkLUAMrrjkc?usp=drive_link" TargetMode="External"/><Relationship Id="rId107" Type="http://schemas.openxmlformats.org/officeDocument/2006/relationships/hyperlink" Target="https://drive.google.com/drive/folders/1NyBNehpAt6c7bgVCSJvVCEp_bu5GxTCO?usp=drive_link" TargetMode="External"/><Relationship Id="rId106" Type="http://schemas.openxmlformats.org/officeDocument/2006/relationships/hyperlink" Target="https://drive.google.com/drive/folders/1GMli1LyzbAUWqi89diOJZ9H85wfFbk5F?usp=drive_link" TargetMode="External"/><Relationship Id="rId105" Type="http://schemas.openxmlformats.org/officeDocument/2006/relationships/hyperlink" Target="https://drive.google.com/drive/folders/1_PmHCzN-I0-JvA6K_NGTPbfccMTeKkUz?usp=drive_link" TargetMode="External"/><Relationship Id="rId104" Type="http://schemas.openxmlformats.org/officeDocument/2006/relationships/hyperlink" Target="https://drive.google.com/drive/folders/12PFoC2aAPlcz2S5hPxIg-AuwwIJ8a0Pq?usp=drive_link" TargetMode="External"/><Relationship Id="rId109" Type="http://schemas.openxmlformats.org/officeDocument/2006/relationships/hyperlink" Target="https://drive.google.com/drive/folders/1GMli1LyzbAUWqi89diOJZ9H85wfFbk5F?usp=drive_link" TargetMode="External"/><Relationship Id="rId108" Type="http://schemas.openxmlformats.org/officeDocument/2006/relationships/hyperlink" Target="https://drive.google.com/drive/folders/1WiB44L0nz5_HLCrlRNxvhPFTjJ7rhFpY?usp=drive_link" TargetMode="External"/><Relationship Id="rId48" Type="http://schemas.openxmlformats.org/officeDocument/2006/relationships/hyperlink" Target="https://drive.google.com/drive/folders/1RUh2nfNuhLcljmErRYEDRXiCl78YKc5x?usp=drive_link" TargetMode="External"/><Relationship Id="rId47" Type="http://schemas.openxmlformats.org/officeDocument/2006/relationships/hyperlink" Target="https://drive.google.com/drive/folders/1ouNWtjIvO0Au_hDTGu9_Pd9wuqEgCO_g?usp=drive_link" TargetMode="External"/><Relationship Id="rId49" Type="http://schemas.openxmlformats.org/officeDocument/2006/relationships/hyperlink" Target="https://drive.google.com/drive/folders/1GMli1LyzbAUWqi89diOJZ9H85wfFbk5F?usp=drive_link" TargetMode="External"/><Relationship Id="rId103" Type="http://schemas.openxmlformats.org/officeDocument/2006/relationships/hyperlink" Target="https://drive.google.com/drive/folders/1GMli1LyzbAUWqi89diOJZ9H85wfFbk5F?usp=drive_link" TargetMode="External"/><Relationship Id="rId102" Type="http://schemas.openxmlformats.org/officeDocument/2006/relationships/hyperlink" Target="https://drive.google.com/drive/folders/1-mMjYpaYWUxAHVBV6SDWGHgdepsibCoi?usp=drive_link" TargetMode="External"/><Relationship Id="rId101" Type="http://schemas.openxmlformats.org/officeDocument/2006/relationships/hyperlink" Target="https://drive.google.com/drive/folders/1BjioHY-nOq1fBxtbRyXTtAkC2-ueUSNF?usp=drive_link" TargetMode="External"/><Relationship Id="rId100" Type="http://schemas.openxmlformats.org/officeDocument/2006/relationships/hyperlink" Target="https://drive.google.com/drive/folders/1GMli1LyzbAUWqi89diOJZ9H85wfFbk5F?usp=drive_link" TargetMode="External"/><Relationship Id="rId31" Type="http://schemas.openxmlformats.org/officeDocument/2006/relationships/hyperlink" Target="https://drive.google.com/drive/folders/1GMli1LyzbAUWqi89diOJZ9H85wfFbk5F?usp=drive_link" TargetMode="External"/><Relationship Id="rId30" Type="http://schemas.openxmlformats.org/officeDocument/2006/relationships/hyperlink" Target="https://drive.google.com/drive/folders/1HtfFHRvi7DJ8IApmewz7WmdYcgzu_qVl?usp=drive_link" TargetMode="External"/><Relationship Id="rId33" Type="http://schemas.openxmlformats.org/officeDocument/2006/relationships/hyperlink" Target="https://drive.google.com/drive/folders/1Lv2_yX4lkjDpuUKrBigVvfMC-zni4AP5?usp=drive_link" TargetMode="External"/><Relationship Id="rId32" Type="http://schemas.openxmlformats.org/officeDocument/2006/relationships/hyperlink" Target="https://drive.google.com/drive/folders/1kO7YhNowOheji8J14-NBWzLT7GnAvUP-?usp=drive_link" TargetMode="External"/><Relationship Id="rId35" Type="http://schemas.openxmlformats.org/officeDocument/2006/relationships/hyperlink" Target="https://drive.google.com/drive/folders/1hJMs1VUozdiIEwD8Jnsy0EfyizZQ4Eqq?usp=drive_link" TargetMode="External"/><Relationship Id="rId34" Type="http://schemas.openxmlformats.org/officeDocument/2006/relationships/hyperlink" Target="https://drive.google.com/drive/folders/1GMli1LyzbAUWqi89diOJZ9H85wfFbk5F?usp=drive_link" TargetMode="External"/><Relationship Id="rId37" Type="http://schemas.openxmlformats.org/officeDocument/2006/relationships/hyperlink" Target="https://drive.google.com/drive/folders/1GMli1LyzbAUWqi89diOJZ9H85wfFbk5F?usp=drive_link" TargetMode="External"/><Relationship Id="rId36" Type="http://schemas.openxmlformats.org/officeDocument/2006/relationships/hyperlink" Target="https://drive.google.com/drive/folders/1UbFJT4qOqOcUvzjiwTv4gIBpKQKru3Re?usp=drive_link" TargetMode="External"/><Relationship Id="rId39" Type="http://schemas.openxmlformats.org/officeDocument/2006/relationships/hyperlink" Target="https://drive.google.com/drive/folders/1vxvkWEQFURuapaGgLoTy6ixw0OpGN-HK?usp=drive_link" TargetMode="External"/><Relationship Id="rId38" Type="http://schemas.openxmlformats.org/officeDocument/2006/relationships/hyperlink" Target="https://drive.google.com/drive/folders/1eck5DZhAFumrqtqbAdxenrLBlygt2ryq?usp=drive_link" TargetMode="External"/><Relationship Id="rId20" Type="http://schemas.openxmlformats.org/officeDocument/2006/relationships/hyperlink" Target="https://drive.google.com/drive/folders/1krFVrJp0DMgu7by3PhyFi545ii5spvwf?usp=drive_link" TargetMode="External"/><Relationship Id="rId22" Type="http://schemas.openxmlformats.org/officeDocument/2006/relationships/hyperlink" Target="https://drive.google.com/drive/folders/1GMli1LyzbAUWqi89diOJZ9H85wfFbk5F?usp=drive_link" TargetMode="External"/><Relationship Id="rId21" Type="http://schemas.openxmlformats.org/officeDocument/2006/relationships/hyperlink" Target="https://drive.google.com/drive/folders/10MVSJvoaS5nCyVTxpVPUdkxOHvD-xY3R?usp=drive_link" TargetMode="External"/><Relationship Id="rId24" Type="http://schemas.openxmlformats.org/officeDocument/2006/relationships/hyperlink" Target="https://drive.google.com/drive/folders/1cylyu9ojZZRRxDpyQeoLPfZYrbOh8bF7?usp=drive_link" TargetMode="External"/><Relationship Id="rId23" Type="http://schemas.openxmlformats.org/officeDocument/2006/relationships/hyperlink" Target="https://drive.google.com/drive/folders/1eaH-rtIDfhCgEA4nDOVfCN1ySePf9yQR?usp=drive_link" TargetMode="External"/><Relationship Id="rId26" Type="http://schemas.openxmlformats.org/officeDocument/2006/relationships/hyperlink" Target="https://drive.google.com/drive/folders/1o9wucABoEW-A7GZ0vj9wDZ2ak4cdNNcf?usp=drive_link" TargetMode="External"/><Relationship Id="rId121" Type="http://schemas.openxmlformats.org/officeDocument/2006/relationships/drawing" Target="../drawings/drawing10.xml"/><Relationship Id="rId25" Type="http://schemas.openxmlformats.org/officeDocument/2006/relationships/hyperlink" Target="https://drive.google.com/drive/folders/1GMli1LyzbAUWqi89diOJZ9H85wfFbk5F?usp=drive_link" TargetMode="External"/><Relationship Id="rId120" Type="http://schemas.openxmlformats.org/officeDocument/2006/relationships/hyperlink" Target="https://drive.google.com/drive/folders/1Vkoi1G02B60JmHneug0NpSl9ym6KkZHg?usp=drive_link" TargetMode="External"/><Relationship Id="rId28" Type="http://schemas.openxmlformats.org/officeDocument/2006/relationships/hyperlink" Target="https://drive.google.com/drive/folders/1GMli1LyzbAUWqi89diOJZ9H85wfFbk5F?usp=drive_link" TargetMode="External"/><Relationship Id="rId27" Type="http://schemas.openxmlformats.org/officeDocument/2006/relationships/hyperlink" Target="https://drive.google.com/drive/folders/1lj-w2uhc79u6dMayeANI0Zrfj73mXw53?usp=drive_link" TargetMode="External"/><Relationship Id="rId29" Type="http://schemas.openxmlformats.org/officeDocument/2006/relationships/hyperlink" Target="https://drive.google.com/drive/folders/10UMaFKGxCQWgZUmoz2zPtRARXx3VPlRE?usp=drive_link" TargetMode="External"/><Relationship Id="rId95" Type="http://schemas.openxmlformats.org/officeDocument/2006/relationships/hyperlink" Target="https://drive.google.com/drive/folders/1K4OCwlUkTfPHnv7g-dZBbLMgeJrvxsiA?usp=drive_link" TargetMode="External"/><Relationship Id="rId94" Type="http://schemas.openxmlformats.org/officeDocument/2006/relationships/hyperlink" Target="https://drive.google.com/drive/folders/1GMli1LyzbAUWqi89diOJZ9H85wfFbk5F?usp=drive_link" TargetMode="External"/><Relationship Id="rId97" Type="http://schemas.openxmlformats.org/officeDocument/2006/relationships/hyperlink" Target="https://drive.google.com/drive/folders/1GMli1LyzbAUWqi89diOJZ9H85wfFbk5F?usp=drive_link" TargetMode="External"/><Relationship Id="rId96" Type="http://schemas.openxmlformats.org/officeDocument/2006/relationships/hyperlink" Target="https://drive.google.com/drive/folders/1VVhgBCbUIWTeT4RUeQAoApcDgWHu9LRa?usp=drive_link" TargetMode="External"/><Relationship Id="rId11" Type="http://schemas.openxmlformats.org/officeDocument/2006/relationships/hyperlink" Target="https://drive.google.com/drive/folders/11yC-kD3HtaQpIkw_HB35FHwP1_SADdah?usp=drive_link" TargetMode="External"/><Relationship Id="rId99" Type="http://schemas.openxmlformats.org/officeDocument/2006/relationships/hyperlink" Target="https://drive.google.com/drive/folders/1ECLds8-1DEzYSCDTihpIgcKBMGqueO_D?usp=drive_link" TargetMode="External"/><Relationship Id="rId10" Type="http://schemas.openxmlformats.org/officeDocument/2006/relationships/hyperlink" Target="https://drive.google.com/drive/folders/1GMli1LyzbAUWqi89diOJZ9H85wfFbk5F?usp=drive_link" TargetMode="External"/><Relationship Id="rId98" Type="http://schemas.openxmlformats.org/officeDocument/2006/relationships/hyperlink" Target="https://drive.google.com/drive/folders/1C7t4sCF8OmGd29AfQY8BSlWWL14Ay0Ku?usp=drive_link" TargetMode="External"/><Relationship Id="rId13" Type="http://schemas.openxmlformats.org/officeDocument/2006/relationships/hyperlink" Target="https://drive.google.com/drive/folders/1GMli1LyzbAUWqi89diOJZ9H85wfFbk5F?usp=drive_link" TargetMode="External"/><Relationship Id="rId12" Type="http://schemas.openxmlformats.org/officeDocument/2006/relationships/hyperlink" Target="https://drive.google.com/drive/folders/1mE36wm5u_ZnFiHwXgpKB6R_Y9JDKbHk6?usp=drive_link" TargetMode="External"/><Relationship Id="rId91" Type="http://schemas.openxmlformats.org/officeDocument/2006/relationships/hyperlink" Target="https://drive.google.com/drive/folders/1GMli1LyzbAUWqi89diOJZ9H85wfFbk5F?usp=drive_link" TargetMode="External"/><Relationship Id="rId90" Type="http://schemas.openxmlformats.org/officeDocument/2006/relationships/hyperlink" Target="https://drive.google.com/drive/folders/1D17uimpegkXjeQvesY8oNlZKhrMshIQu?usp=drive_link" TargetMode="External"/><Relationship Id="rId93" Type="http://schemas.openxmlformats.org/officeDocument/2006/relationships/hyperlink" Target="https://drive.google.com/drive/folders/1BRy_B4NfFfvtzjLF2fSr5tJM2HOMqpm1?usp=drive_link" TargetMode="External"/><Relationship Id="rId92" Type="http://schemas.openxmlformats.org/officeDocument/2006/relationships/hyperlink" Target="https://drive.google.com/drive/folders/1muZoRzZWXPJoIwAUkWqZsW497RNxdPOW?usp=drive_link" TargetMode="External"/><Relationship Id="rId118" Type="http://schemas.openxmlformats.org/officeDocument/2006/relationships/hyperlink" Target="https://drive.google.com/drive/folders/1GMli1LyzbAUWqi89diOJZ9H85wfFbk5F?usp=drive_link" TargetMode="External"/><Relationship Id="rId117" Type="http://schemas.openxmlformats.org/officeDocument/2006/relationships/hyperlink" Target="https://drive.google.com/drive/folders/122DDbbXMaf_or1EXTjlNHUiEkwDB0n8H?usp=drive_link" TargetMode="External"/><Relationship Id="rId116" Type="http://schemas.openxmlformats.org/officeDocument/2006/relationships/hyperlink" Target="https://drive.google.com/drive/folders/1aq9VOnI2WXX2gw7HZKsKZ9ELmEzjCAHS?usp=drive_link" TargetMode="External"/><Relationship Id="rId115" Type="http://schemas.openxmlformats.org/officeDocument/2006/relationships/hyperlink" Target="https://drive.google.com/drive/folders/1GMli1LyzbAUWqi89diOJZ9H85wfFbk5F?usp=drive_link" TargetMode="External"/><Relationship Id="rId119" Type="http://schemas.openxmlformats.org/officeDocument/2006/relationships/hyperlink" Target="https://drive.google.com/drive/folders/1ieAu0m46DshdImAWrVU1p_UwmGo42Pfr?usp=drive_link" TargetMode="External"/><Relationship Id="rId15" Type="http://schemas.openxmlformats.org/officeDocument/2006/relationships/hyperlink" Target="https://drive.google.com/drive/folders/1yANeoezVjQ5iVF6s9b6qVhz_Sn-oeONK?usp=drive_link" TargetMode="External"/><Relationship Id="rId110" Type="http://schemas.openxmlformats.org/officeDocument/2006/relationships/hyperlink" Target="https://drive.google.com/drive/folders/1guv7fStQvUZEWQuIhxoDjXICdqKb8DlB?usp=drive_link" TargetMode="External"/><Relationship Id="rId14" Type="http://schemas.openxmlformats.org/officeDocument/2006/relationships/hyperlink" Target="https://drive.google.com/drive/folders/1ynvcRXejg18S0buRPE3uIrvzJtOmIIIn?usp=drive_link" TargetMode="External"/><Relationship Id="rId17" Type="http://schemas.openxmlformats.org/officeDocument/2006/relationships/hyperlink" Target="https://drive.google.com/drive/folders/1gl5oTF2nGDq8wcyyvdGq9CkxKNdWrpNB?usp=drive_link" TargetMode="External"/><Relationship Id="rId16" Type="http://schemas.openxmlformats.org/officeDocument/2006/relationships/hyperlink" Target="https://drive.google.com/drive/folders/1GMli1LyzbAUWqi89diOJZ9H85wfFbk5F?usp=drive_link" TargetMode="External"/><Relationship Id="rId19" Type="http://schemas.openxmlformats.org/officeDocument/2006/relationships/hyperlink" Target="https://drive.google.com/drive/folders/1GMli1LyzbAUWqi89diOJZ9H85wfFbk5F?usp=drive_link" TargetMode="External"/><Relationship Id="rId114" Type="http://schemas.openxmlformats.org/officeDocument/2006/relationships/hyperlink" Target="https://drive.google.com/drive/folders/1H8Vi5TEsArbbiXYRBkXT1av62dYE84_B?usp=drive_link" TargetMode="External"/><Relationship Id="rId18" Type="http://schemas.openxmlformats.org/officeDocument/2006/relationships/hyperlink" Target="https://drive.google.com/drive/folders/1m44Cmn0xw22bShhCTpVtMFmyYd0cWaKT?usp=drive_link" TargetMode="External"/><Relationship Id="rId113" Type="http://schemas.openxmlformats.org/officeDocument/2006/relationships/hyperlink" Target="https://drive.google.com/drive/folders/1sdCCrxQWyCiG6g3u8dcCo3mPwPZ5qCTV?usp=drive_link" TargetMode="External"/><Relationship Id="rId112" Type="http://schemas.openxmlformats.org/officeDocument/2006/relationships/hyperlink" Target="https://drive.google.com/drive/folders/1GMli1LyzbAUWqi89diOJZ9H85wfFbk5F?usp=drive_link" TargetMode="External"/><Relationship Id="rId111" Type="http://schemas.openxmlformats.org/officeDocument/2006/relationships/hyperlink" Target="https://drive.google.com/drive/folders/1Awb1eD5lyTE_jZ7xLspqP5ZgJoZf9-jG?usp=drive_link" TargetMode="External"/><Relationship Id="rId84" Type="http://schemas.openxmlformats.org/officeDocument/2006/relationships/hyperlink" Target="https://drive.google.com/drive/folders/1oqYeJEoswOrsHLMQejiLpPtZk-2VYHkG?usp=drive_link" TargetMode="External"/><Relationship Id="rId83" Type="http://schemas.openxmlformats.org/officeDocument/2006/relationships/hyperlink" Target="https://drive.google.com/drive/folders/1uRshjxRtiCIMW9rI7_7vo3rXzI6_qW-R?usp=drive_link" TargetMode="External"/><Relationship Id="rId86" Type="http://schemas.openxmlformats.org/officeDocument/2006/relationships/hyperlink" Target="https://drive.google.com/drive/folders/1vdhw5qJURzQV3erHpkAigcp0mKhpULxq?usp=drive_link" TargetMode="External"/><Relationship Id="rId85" Type="http://schemas.openxmlformats.org/officeDocument/2006/relationships/hyperlink" Target="https://drive.google.com/drive/folders/1GMli1LyzbAUWqi89diOJZ9H85wfFbk5F?usp=drive_link" TargetMode="External"/><Relationship Id="rId88" Type="http://schemas.openxmlformats.org/officeDocument/2006/relationships/hyperlink" Target="https://drive.google.com/drive/folders/1GMli1LyzbAUWqi89diOJZ9H85wfFbk5F?usp=drive_link" TargetMode="External"/><Relationship Id="rId87" Type="http://schemas.openxmlformats.org/officeDocument/2006/relationships/hyperlink" Target="https://drive.google.com/drive/folders/12iiZDTDuesDC23sBxFWUZ0Icel6f9J0Q?usp=drive_link" TargetMode="External"/><Relationship Id="rId89" Type="http://schemas.openxmlformats.org/officeDocument/2006/relationships/hyperlink" Target="https://drive.google.com/drive/folders/1X7zL0VDZRDNbYX6FjosAaQKa3dwYvGC7?usp=drive_link" TargetMode="External"/><Relationship Id="rId80" Type="http://schemas.openxmlformats.org/officeDocument/2006/relationships/hyperlink" Target="https://drive.google.com/drive/folders/1_fQ9PD17ndwETf7dStdMvemdrYJBKGDi?usp=drive_link" TargetMode="External"/><Relationship Id="rId82" Type="http://schemas.openxmlformats.org/officeDocument/2006/relationships/hyperlink" Target="https://drive.google.com/drive/folders/1GMli1LyzbAUWqi89diOJZ9H85wfFbk5F?usp=drive_link" TargetMode="External"/><Relationship Id="rId81" Type="http://schemas.openxmlformats.org/officeDocument/2006/relationships/hyperlink" Target="https://drive.google.com/drive/folders/1bR-ciqu2ZzWz34QMUgLsnWIiqYbdXCa3?usp=drive_link" TargetMode="External"/><Relationship Id="rId1" Type="http://schemas.openxmlformats.org/officeDocument/2006/relationships/hyperlink" Target="https://drive.google.com/drive/folders/1GMli1LyzbAUWqi89diOJZ9H85wfFbk5F?usp=drive_link" TargetMode="External"/><Relationship Id="rId2" Type="http://schemas.openxmlformats.org/officeDocument/2006/relationships/hyperlink" Target="https://drive.google.com/drive/folders/1FetDI_osEayuB0nQiZ5JM5VqgQrOUy4L?usp=drive_link" TargetMode="External"/><Relationship Id="rId3" Type="http://schemas.openxmlformats.org/officeDocument/2006/relationships/hyperlink" Target="https://drive.google.com/drive/folders/10URYmY66J0D7AFYWC6TTDL2-tzCKXtkz?usp=drive_link" TargetMode="External"/><Relationship Id="rId4" Type="http://schemas.openxmlformats.org/officeDocument/2006/relationships/hyperlink" Target="https://drive.google.com/drive/folders/1GMli1LyzbAUWqi89diOJZ9H85wfFbk5F?usp=drive_link" TargetMode="External"/><Relationship Id="rId9" Type="http://schemas.openxmlformats.org/officeDocument/2006/relationships/hyperlink" Target="https://drive.google.com/drive/folders/1epxvx4l09hGlBq4-pSWP5W0nI7tCHARk?usp=drive_link" TargetMode="External"/><Relationship Id="rId5" Type="http://schemas.openxmlformats.org/officeDocument/2006/relationships/hyperlink" Target="https://drive.google.com/drive/folders/1Ltz3RbK1okfzW7AYavtPEeepfb0FtTv_?usp=drive_link" TargetMode="External"/><Relationship Id="rId6" Type="http://schemas.openxmlformats.org/officeDocument/2006/relationships/hyperlink" Target="https://drive.google.com/drive/folders/1CdNqyzXBla4VS3GLVL5oxZc_5tLbg0Ox?usp=drive_link" TargetMode="External"/><Relationship Id="rId7" Type="http://schemas.openxmlformats.org/officeDocument/2006/relationships/hyperlink" Target="https://drive.google.com/drive/folders/1GMli1LyzbAUWqi89diOJZ9H85wfFbk5F?usp=drive_link" TargetMode="External"/><Relationship Id="rId8" Type="http://schemas.openxmlformats.org/officeDocument/2006/relationships/hyperlink" Target="https://drive.google.com/drive/folders/10JbisHOmyxOsmsET4Nf4B2rVqHT6o_TV?usp=drive_link" TargetMode="External"/><Relationship Id="rId73" Type="http://schemas.openxmlformats.org/officeDocument/2006/relationships/hyperlink" Target="https://drive.google.com/drive/folders/1GMli1LyzbAUWqi89diOJZ9H85wfFbk5F?usp=drive_link" TargetMode="External"/><Relationship Id="rId72" Type="http://schemas.openxmlformats.org/officeDocument/2006/relationships/hyperlink" Target="https://drive.google.com/drive/folders/15gwPuQkvA2dqc4lTo_V1UIRd1lARvXil?usp=drive_link" TargetMode="External"/><Relationship Id="rId75" Type="http://schemas.openxmlformats.org/officeDocument/2006/relationships/hyperlink" Target="https://drive.google.com/drive/folders/1R_AZ88jdINrk81HijlACB4VuwxBiRg9R?usp=drive_link" TargetMode="External"/><Relationship Id="rId74" Type="http://schemas.openxmlformats.org/officeDocument/2006/relationships/hyperlink" Target="https://drive.google.com/drive/folders/1qHhxITvq2PiWNtcFnLgdSSMNx-7yyhZ7?usp=drive_link" TargetMode="External"/><Relationship Id="rId77" Type="http://schemas.openxmlformats.org/officeDocument/2006/relationships/hyperlink" Target="https://drive.google.com/drive/folders/1eoyQhYTAiuspPszIpxXHVX7WthjvOWh7?usp=drive_link" TargetMode="External"/><Relationship Id="rId76" Type="http://schemas.openxmlformats.org/officeDocument/2006/relationships/hyperlink" Target="https://drive.google.com/drive/folders/1GMli1LyzbAUWqi89diOJZ9H85wfFbk5F?usp=drive_link" TargetMode="External"/><Relationship Id="rId79" Type="http://schemas.openxmlformats.org/officeDocument/2006/relationships/hyperlink" Target="https://drive.google.com/drive/folders/1GMli1LyzbAUWqi89diOJZ9H85wfFbk5F?usp=drive_link" TargetMode="External"/><Relationship Id="rId78" Type="http://schemas.openxmlformats.org/officeDocument/2006/relationships/hyperlink" Target="https://drive.google.com/drive/folders/14AMQJ1PGgTcwy1X8wygO9hphfBvnopdx?usp=drive_link" TargetMode="External"/><Relationship Id="rId71" Type="http://schemas.openxmlformats.org/officeDocument/2006/relationships/hyperlink" Target="https://drive.google.com/drive/folders/1R2ERTpI__XSGz2-xGEq0nRupvk6Rs9HD?usp=drive_link" TargetMode="External"/><Relationship Id="rId70" Type="http://schemas.openxmlformats.org/officeDocument/2006/relationships/hyperlink" Target="https://drive.google.com/drive/folders/1GMli1LyzbAUWqi89diOJZ9H85wfFbk5F?usp=drive_link" TargetMode="External"/><Relationship Id="rId62" Type="http://schemas.openxmlformats.org/officeDocument/2006/relationships/hyperlink" Target="https://drive.google.com/drive/folders/1_zkCUtVpSx2c8aFiaeujfosXcBQoh5tv?usp=drive_link" TargetMode="External"/><Relationship Id="rId61" Type="http://schemas.openxmlformats.org/officeDocument/2006/relationships/hyperlink" Target="https://drive.google.com/drive/folders/1GMli1LyzbAUWqi89diOJZ9H85wfFbk5F?usp=drive_link" TargetMode="External"/><Relationship Id="rId64" Type="http://schemas.openxmlformats.org/officeDocument/2006/relationships/hyperlink" Target="https://drive.google.com/drive/folders/1GMli1LyzbAUWqi89diOJZ9H85wfFbk5F?usp=drive_link" TargetMode="External"/><Relationship Id="rId63" Type="http://schemas.openxmlformats.org/officeDocument/2006/relationships/hyperlink" Target="https://drive.google.com/drive/folders/1IR1b1fMLbXeVqWJhG1Di8rQpNDSP3KhM?usp=drive_link" TargetMode="External"/><Relationship Id="rId66" Type="http://schemas.openxmlformats.org/officeDocument/2006/relationships/hyperlink" Target="https://drive.google.com/drive/folders/12KqEaJ7Aq3w8acK4I33c0siiJmIigrEi?usp=drive_link" TargetMode="External"/><Relationship Id="rId65" Type="http://schemas.openxmlformats.org/officeDocument/2006/relationships/hyperlink" Target="https://drive.google.com/drive/folders/1J4Ug_OyWzv_00yToH1ebOuhASlOatXYl?usp=drive_link" TargetMode="External"/><Relationship Id="rId68" Type="http://schemas.openxmlformats.org/officeDocument/2006/relationships/hyperlink" Target="https://drive.google.com/drive/folders/1z2JqLr1xJq7SORegUw9N-LtNGgpPQ5BZ?usp=drive_link" TargetMode="External"/><Relationship Id="rId67" Type="http://schemas.openxmlformats.org/officeDocument/2006/relationships/hyperlink" Target="https://drive.google.com/drive/folders/1GMli1LyzbAUWqi89diOJZ9H85wfFbk5F?usp=drive_link" TargetMode="External"/><Relationship Id="rId60" Type="http://schemas.openxmlformats.org/officeDocument/2006/relationships/hyperlink" Target="https://drive.google.com/drive/folders/1-e6tBqJ37nMelrSEtILC2RviwV6beiy7?usp=drive_link" TargetMode="External"/><Relationship Id="rId69" Type="http://schemas.openxmlformats.org/officeDocument/2006/relationships/hyperlink" Target="https://drive.google.com/drive/folders/1olezMqtEHmc-a6AL7CPbBOLJmSnXc-b8?usp=drive_link" TargetMode="External"/><Relationship Id="rId51" Type="http://schemas.openxmlformats.org/officeDocument/2006/relationships/hyperlink" Target="https://drive.google.com/drive/folders/19A-rgk7PwM3WsC9bbzpwI-qCFQ47DwK_?usp=drive_link" TargetMode="External"/><Relationship Id="rId50" Type="http://schemas.openxmlformats.org/officeDocument/2006/relationships/hyperlink" Target="https://drive.google.com/drive/folders/1NAPILBAbNnOCTdTbpaTvAaMbuHucXFhJ?usp=drive_link" TargetMode="External"/><Relationship Id="rId53" Type="http://schemas.openxmlformats.org/officeDocument/2006/relationships/hyperlink" Target="https://drive.google.com/drive/folders/1czQQrKEL-VFRH77EH7-2S3cekHIO89Ti?usp=drive_link" TargetMode="External"/><Relationship Id="rId52" Type="http://schemas.openxmlformats.org/officeDocument/2006/relationships/hyperlink" Target="https://drive.google.com/drive/folders/1GMli1LyzbAUWqi89diOJZ9H85wfFbk5F?usp=drive_link" TargetMode="External"/><Relationship Id="rId55" Type="http://schemas.openxmlformats.org/officeDocument/2006/relationships/hyperlink" Target="https://drive.google.com/drive/folders/1GMli1LyzbAUWqi89diOJZ9H85wfFbk5F?usp=drive_link" TargetMode="External"/><Relationship Id="rId54" Type="http://schemas.openxmlformats.org/officeDocument/2006/relationships/hyperlink" Target="https://drive.google.com/drive/folders/1gH0vij6ByVSwayHUQrK8sxTss1aE-2gU?usp=drive_link" TargetMode="External"/><Relationship Id="rId57" Type="http://schemas.openxmlformats.org/officeDocument/2006/relationships/hyperlink" Target="https://drive.google.com/drive/folders/1mefETg_2KpGpW2M_wUwVt_wHFpXpKo-5?usp=drive_link" TargetMode="External"/><Relationship Id="rId56" Type="http://schemas.openxmlformats.org/officeDocument/2006/relationships/hyperlink" Target="https://drive.google.com/drive/folders/1lnoT69D-XVBy8V7fK3bmlQID5fMaq3Tj?usp=drive_link" TargetMode="External"/><Relationship Id="rId59" Type="http://schemas.openxmlformats.org/officeDocument/2006/relationships/hyperlink" Target="https://drive.google.com/drive/folders/1VHuLiFIL2F1VcR-v0ksLFuAuST5X5g7h?usp=drive_link" TargetMode="External"/><Relationship Id="rId58" Type="http://schemas.openxmlformats.org/officeDocument/2006/relationships/hyperlink" Target="https://drive.google.com/drive/folders/1GMli1LyzbAUWqi89diOJZ9H85wfFbk5F?usp=drive_link"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drive/folders/1GMli1LyzbAUWqi89diOJZ9H85wfFbk5F?usp=drive_link" TargetMode="External"/><Relationship Id="rId42" Type="http://schemas.openxmlformats.org/officeDocument/2006/relationships/hyperlink" Target="https://drive.google.com/drive/folders/1FTrBOLz7RC4iF8puZuk_NXsBKBWR9jmu?usp=drive_link" TargetMode="External"/><Relationship Id="rId41" Type="http://schemas.openxmlformats.org/officeDocument/2006/relationships/hyperlink" Target="https://drive.google.com/drive/folders/1xTHw3-KV3X7XIFeZWrh7h-oyXvL2zim2?usp=drive_link" TargetMode="External"/><Relationship Id="rId44" Type="http://schemas.openxmlformats.org/officeDocument/2006/relationships/hyperlink" Target="https://drive.google.com/drive/folders/1Toiq0FYFnKCmKTjFd2jU8uBiIb5HNlWZ?usp=drive_link" TargetMode="External"/><Relationship Id="rId43" Type="http://schemas.openxmlformats.org/officeDocument/2006/relationships/hyperlink" Target="https://drive.google.com/drive/folders/1GMli1LyzbAUWqi89diOJZ9H85wfFbk5F?usp=drive_link" TargetMode="External"/><Relationship Id="rId46" Type="http://schemas.openxmlformats.org/officeDocument/2006/relationships/hyperlink" Target="https://drive.google.com/drive/folders/1GMli1LyzbAUWqi89diOJZ9H85wfFbk5F?usp=drive_link" TargetMode="External"/><Relationship Id="rId45" Type="http://schemas.openxmlformats.org/officeDocument/2006/relationships/hyperlink" Target="https://drive.google.com/drive/folders/1RQNVA8NlmKJ05iPxqoemP3LTiYg4NcEh?usp=drive_link" TargetMode="External"/><Relationship Id="rId107" Type="http://schemas.openxmlformats.org/officeDocument/2006/relationships/hyperlink" Target="https://drive.google.com/drive/folders/1HiuvEnJ5djX9dppfNYQK6so2s-xNLFGb?usp=drive_link" TargetMode="External"/><Relationship Id="rId106" Type="http://schemas.openxmlformats.org/officeDocument/2006/relationships/hyperlink" Target="https://drive.google.com/drive/folders/1GMli1LyzbAUWqi89diOJZ9H85wfFbk5F?usp=drive_link" TargetMode="External"/><Relationship Id="rId105" Type="http://schemas.openxmlformats.org/officeDocument/2006/relationships/hyperlink" Target="https://drive.google.com/drive/folders/1jitb2addb3xKUgT380rJjW1bTspud-eQ?usp=drive_link" TargetMode="External"/><Relationship Id="rId104" Type="http://schemas.openxmlformats.org/officeDocument/2006/relationships/hyperlink" Target="https://drive.google.com/drive/folders/1GpTEAjEtBqULm3N_xfLWvpfz7friXWzG?usp=drive_link" TargetMode="External"/><Relationship Id="rId109" Type="http://schemas.openxmlformats.org/officeDocument/2006/relationships/hyperlink" Target="https://drive.google.com/drive/folders/1GMli1LyzbAUWqi89diOJZ9H85wfFbk5F?usp=drive_link" TargetMode="External"/><Relationship Id="rId108" Type="http://schemas.openxmlformats.org/officeDocument/2006/relationships/hyperlink" Target="https://drive.google.com/drive/folders/1YmJf7pkXcpOHsmiiZE9v5MaCoguHds6b?usp=drive_link" TargetMode="External"/><Relationship Id="rId48" Type="http://schemas.openxmlformats.org/officeDocument/2006/relationships/hyperlink" Target="https://drive.google.com/drive/folders/16h40Fmn6PSipdaBZLOQaEZiBfSq7zM5p?usp=drive_link" TargetMode="External"/><Relationship Id="rId47" Type="http://schemas.openxmlformats.org/officeDocument/2006/relationships/hyperlink" Target="https://drive.google.com/drive/folders/19Zo7M9rzpv5ceumostZ6evK6XaECzBIS?usp=drive_link" TargetMode="External"/><Relationship Id="rId49" Type="http://schemas.openxmlformats.org/officeDocument/2006/relationships/hyperlink" Target="https://drive.google.com/drive/folders/1GMli1LyzbAUWqi89diOJZ9H85wfFbk5F?usp=drive_link" TargetMode="External"/><Relationship Id="rId103" Type="http://schemas.openxmlformats.org/officeDocument/2006/relationships/hyperlink" Target="https://drive.google.com/drive/folders/1GMli1LyzbAUWqi89diOJZ9H85wfFbk5F?usp=drive_link" TargetMode="External"/><Relationship Id="rId102" Type="http://schemas.openxmlformats.org/officeDocument/2006/relationships/hyperlink" Target="https://drive.google.com/drive/folders/1p87DnfnSaYy81zhKz1gUSTP93IJ0WOSk?usp=drive_link" TargetMode="External"/><Relationship Id="rId101" Type="http://schemas.openxmlformats.org/officeDocument/2006/relationships/hyperlink" Target="https://drive.google.com/drive/folders/1whLCYNmkg16R8wWD0CONx8GcF6cYqcif?usp=drive_link" TargetMode="External"/><Relationship Id="rId100" Type="http://schemas.openxmlformats.org/officeDocument/2006/relationships/hyperlink" Target="https://drive.google.com/drive/folders/1GMli1LyzbAUWqi89diOJZ9H85wfFbk5F?usp=drive_link" TargetMode="External"/><Relationship Id="rId31" Type="http://schemas.openxmlformats.org/officeDocument/2006/relationships/hyperlink" Target="https://drive.google.com/drive/folders/1GMli1LyzbAUWqi89diOJZ9H85wfFbk5F?usp=drive_link" TargetMode="External"/><Relationship Id="rId30" Type="http://schemas.openxmlformats.org/officeDocument/2006/relationships/hyperlink" Target="https://drive.google.com/drive/folders/1pIkxqgN27PJB8flP2bg-J0YzbLb7MQOk?usp=drive_link" TargetMode="External"/><Relationship Id="rId33" Type="http://schemas.openxmlformats.org/officeDocument/2006/relationships/hyperlink" Target="https://drive.google.com/drive/folders/1_JngY6gggV1wScuQKq68ur4E-AiWlE2v?usp=drive_link" TargetMode="External"/><Relationship Id="rId32" Type="http://schemas.openxmlformats.org/officeDocument/2006/relationships/hyperlink" Target="https://drive.google.com/drive/folders/1ubj6nFB-m-K-PIhl80hqoGNd9tdLI0J_?usp=drive_link" TargetMode="External"/><Relationship Id="rId35" Type="http://schemas.openxmlformats.org/officeDocument/2006/relationships/hyperlink" Target="https://drive.google.com/drive/folders/1KUuNe-JPRkvEWEeIqUn9lLMDTmsPE4Pd?usp=drive_link" TargetMode="External"/><Relationship Id="rId34" Type="http://schemas.openxmlformats.org/officeDocument/2006/relationships/hyperlink" Target="https://drive.google.com/drive/folders/1GMli1LyzbAUWqi89diOJZ9H85wfFbk5F?usp=drive_link" TargetMode="External"/><Relationship Id="rId37" Type="http://schemas.openxmlformats.org/officeDocument/2006/relationships/hyperlink" Target="https://drive.google.com/drive/folders/1GMli1LyzbAUWqi89diOJZ9H85wfFbk5F?usp=drive_link" TargetMode="External"/><Relationship Id="rId36" Type="http://schemas.openxmlformats.org/officeDocument/2006/relationships/hyperlink" Target="https://drive.google.com/drive/folders/1RxiKRJ4dAVFarbyis5owSPVTx05q_bG1?usp=drive_link" TargetMode="External"/><Relationship Id="rId39" Type="http://schemas.openxmlformats.org/officeDocument/2006/relationships/hyperlink" Target="https://drive.google.com/drive/folders/157xrN3DsvnTGmdhZuptf4e-6pRKGx-M0?usp=drive_link" TargetMode="External"/><Relationship Id="rId38" Type="http://schemas.openxmlformats.org/officeDocument/2006/relationships/hyperlink" Target="https://drive.google.com/drive/folders/1WtJHcFb37vVsQ8X0DCxLL1KjiOaOjMxK?usp=drive_link" TargetMode="External"/><Relationship Id="rId20" Type="http://schemas.openxmlformats.org/officeDocument/2006/relationships/hyperlink" Target="https://drive.google.com/drive/folders/19ZOCuGvVLd4a7uT7fLDoYPLhggbsLV94?usp=drive_link" TargetMode="External"/><Relationship Id="rId22" Type="http://schemas.openxmlformats.org/officeDocument/2006/relationships/hyperlink" Target="https://drive.google.com/drive/folders/1GMli1LyzbAUWqi89diOJZ9H85wfFbk5F?usp=drive_link" TargetMode="External"/><Relationship Id="rId21" Type="http://schemas.openxmlformats.org/officeDocument/2006/relationships/hyperlink" Target="https://drive.google.com/drive/folders/1YWj_0SHUmuNLVYHqmhQzY8nevtTeMTBs?usp=drive_link" TargetMode="External"/><Relationship Id="rId24" Type="http://schemas.openxmlformats.org/officeDocument/2006/relationships/hyperlink" Target="https://drive.google.com/drive/folders/1tyKFGcDZiPE3vbCCA4KTeF5j3Op6CRZ-?usp=drive_link" TargetMode="External"/><Relationship Id="rId23" Type="http://schemas.openxmlformats.org/officeDocument/2006/relationships/hyperlink" Target="https://drive.google.com/drive/folders/11bBIPhB_wEKRwoItyEbLyPWgVDWmNuIN?usp=drive_link" TargetMode="External"/><Relationship Id="rId26" Type="http://schemas.openxmlformats.org/officeDocument/2006/relationships/hyperlink" Target="https://drive.google.com/drive/folders/1JAGQfYDfpNu8389zyFovRovlndKkuxFj?usp=drive_link" TargetMode="External"/><Relationship Id="rId121" Type="http://schemas.openxmlformats.org/officeDocument/2006/relationships/drawing" Target="../drawings/drawing11.xml"/><Relationship Id="rId25" Type="http://schemas.openxmlformats.org/officeDocument/2006/relationships/hyperlink" Target="https://drive.google.com/drive/folders/1GMli1LyzbAUWqi89diOJZ9H85wfFbk5F?usp=drive_link" TargetMode="External"/><Relationship Id="rId120" Type="http://schemas.openxmlformats.org/officeDocument/2006/relationships/hyperlink" Target="https://drive.google.com/drive/folders/15jfFl6wr4KSXGaGkdn2HMxru767kQKaw?usp=drive_link" TargetMode="External"/><Relationship Id="rId28" Type="http://schemas.openxmlformats.org/officeDocument/2006/relationships/hyperlink" Target="https://drive.google.com/drive/folders/1GMli1LyzbAUWqi89diOJZ9H85wfFbk5F?usp=drive_link" TargetMode="External"/><Relationship Id="rId27" Type="http://schemas.openxmlformats.org/officeDocument/2006/relationships/hyperlink" Target="https://drive.google.com/drive/folders/1E3Qzwh4U7HuKn42kndP0o2vbvErgVdtF?usp=drive_link" TargetMode="External"/><Relationship Id="rId29" Type="http://schemas.openxmlformats.org/officeDocument/2006/relationships/hyperlink" Target="https://drive.google.com/drive/folders/1UcuON2PhYQpd58sCBLTP6pmVrocWPkzq?usp=drive_link" TargetMode="External"/><Relationship Id="rId95" Type="http://schemas.openxmlformats.org/officeDocument/2006/relationships/hyperlink" Target="https://drive.google.com/drive/folders/1YYnfMXNnnmn61U7evHRQbxiwNyu6Rrln?usp=drive_link" TargetMode="External"/><Relationship Id="rId94" Type="http://schemas.openxmlformats.org/officeDocument/2006/relationships/hyperlink" Target="https://drive.google.com/drive/folders/1GMli1LyzbAUWqi89diOJZ9H85wfFbk5F?usp=drive_link" TargetMode="External"/><Relationship Id="rId97" Type="http://schemas.openxmlformats.org/officeDocument/2006/relationships/hyperlink" Target="https://drive.google.com/drive/folders/1GMli1LyzbAUWqi89diOJZ9H85wfFbk5F?usp=drive_link" TargetMode="External"/><Relationship Id="rId96" Type="http://schemas.openxmlformats.org/officeDocument/2006/relationships/hyperlink" Target="https://drive.google.com/drive/folders/1hmOpe22_mzwWRCGzBBUVFpQnhtAVYpa0?usp=drive_link" TargetMode="External"/><Relationship Id="rId11" Type="http://schemas.openxmlformats.org/officeDocument/2006/relationships/hyperlink" Target="https://drive.google.com/drive/folders/1mtbPnjGcVNTpWWAa6PMSVbSsN7OB38wO?usp=drive_link" TargetMode="External"/><Relationship Id="rId99" Type="http://schemas.openxmlformats.org/officeDocument/2006/relationships/hyperlink" Target="https://drive.google.com/drive/folders/1EO7XCdBcLmEeEm0aLycNxRwwthe_vZsz?usp=drive_link" TargetMode="External"/><Relationship Id="rId10" Type="http://schemas.openxmlformats.org/officeDocument/2006/relationships/hyperlink" Target="https://drive.google.com/drive/folders/1GMli1LyzbAUWqi89diOJZ9H85wfFbk5F?usp=drive_link" TargetMode="External"/><Relationship Id="rId98" Type="http://schemas.openxmlformats.org/officeDocument/2006/relationships/hyperlink" Target="https://drive.google.com/drive/folders/1lrRwxBDnvQF_yeDJDbcZU4OcOKb91-xR?usp=drive_link" TargetMode="External"/><Relationship Id="rId13" Type="http://schemas.openxmlformats.org/officeDocument/2006/relationships/hyperlink" Target="https://drive.google.com/drive/folders/1GMli1LyzbAUWqi89diOJZ9H85wfFbk5F?usp=drive_link" TargetMode="External"/><Relationship Id="rId12" Type="http://schemas.openxmlformats.org/officeDocument/2006/relationships/hyperlink" Target="https://drive.google.com/drive/folders/1MX-nj5siOFASYVzE6JICNCZOTPbMpuoN?usp=drive_link" TargetMode="External"/><Relationship Id="rId91" Type="http://schemas.openxmlformats.org/officeDocument/2006/relationships/hyperlink" Target="https://drive.google.com/drive/folders/1GMli1LyzbAUWqi89diOJZ9H85wfFbk5F?usp=drive_link" TargetMode="External"/><Relationship Id="rId90" Type="http://schemas.openxmlformats.org/officeDocument/2006/relationships/hyperlink" Target="https://drive.google.com/drive/folders/1Z0Qub-4gd_h0hOLnPE25KnhEGdO6SVX7?usp=drive_link" TargetMode="External"/><Relationship Id="rId93" Type="http://schemas.openxmlformats.org/officeDocument/2006/relationships/hyperlink" Target="https://drive.google.com/drive/folders/1Pl7ZW21uUCb6tcwJYtLKf-n7JxOVkaHS?usp=drive_link" TargetMode="External"/><Relationship Id="rId92" Type="http://schemas.openxmlformats.org/officeDocument/2006/relationships/hyperlink" Target="https://drive.google.com/drive/folders/1sbLpRz6qHiHSCRLygRoD8YmnpuDbfc6f?usp=drive_link" TargetMode="External"/><Relationship Id="rId118" Type="http://schemas.openxmlformats.org/officeDocument/2006/relationships/hyperlink" Target="https://drive.google.com/drive/folders/1GMli1LyzbAUWqi89diOJZ9H85wfFbk5F?usp=drive_link" TargetMode="External"/><Relationship Id="rId117" Type="http://schemas.openxmlformats.org/officeDocument/2006/relationships/hyperlink" Target="https://drive.google.com/drive/folders/15c7gwMDg-4UpHgbl0l_Fymeq20U4uz--?usp=drive_link" TargetMode="External"/><Relationship Id="rId116" Type="http://schemas.openxmlformats.org/officeDocument/2006/relationships/hyperlink" Target="https://drive.google.com/drive/folders/1CXW2tX2q0m2E7ea1wXwcryEHmtIUcNsu?usp=drive_link" TargetMode="External"/><Relationship Id="rId115" Type="http://schemas.openxmlformats.org/officeDocument/2006/relationships/hyperlink" Target="https://drive.google.com/drive/folders/1GMli1LyzbAUWqi89diOJZ9H85wfFbk5F?usp=drive_link" TargetMode="External"/><Relationship Id="rId119" Type="http://schemas.openxmlformats.org/officeDocument/2006/relationships/hyperlink" Target="https://drive.google.com/drive/folders/1iORld6RjW4jRpVT8K_y0ELB4d0x5GXFP?usp=drive_link" TargetMode="External"/><Relationship Id="rId15" Type="http://schemas.openxmlformats.org/officeDocument/2006/relationships/hyperlink" Target="https://drive.google.com/drive/folders/1pkjIyMDxGGKN0I5RUCTkczObAWzCzYBC?usp=drive_link" TargetMode="External"/><Relationship Id="rId110" Type="http://schemas.openxmlformats.org/officeDocument/2006/relationships/hyperlink" Target="https://drive.google.com/drive/folders/1Ou6EZ8GPNCS__AuiJn1XKr-sG_HEeLJL?usp=drive_link" TargetMode="External"/><Relationship Id="rId14" Type="http://schemas.openxmlformats.org/officeDocument/2006/relationships/hyperlink" Target="https://drive.google.com/drive/folders/1bL6jFH2M-HuJTk9Q1eXYhirCPyMAosar?usp=drive_link" TargetMode="External"/><Relationship Id="rId17" Type="http://schemas.openxmlformats.org/officeDocument/2006/relationships/hyperlink" Target="https://drive.google.com/drive/folders/19ZOCuGvVLd4a7uT7fLDoYPLhggbsLV94?usp=drive_link" TargetMode="External"/><Relationship Id="rId16" Type="http://schemas.openxmlformats.org/officeDocument/2006/relationships/hyperlink" Target="https://drive.google.com/drive/folders/1GMli1LyzbAUWqi89diOJZ9H85wfFbk5F?usp=drive_link" TargetMode="External"/><Relationship Id="rId19" Type="http://schemas.openxmlformats.org/officeDocument/2006/relationships/hyperlink" Target="https://drive.google.com/drive/folders/1GMli1LyzbAUWqi89diOJZ9H85wfFbk5F?usp=drive_link" TargetMode="External"/><Relationship Id="rId114" Type="http://schemas.openxmlformats.org/officeDocument/2006/relationships/hyperlink" Target="https://drive.google.com/drive/folders/1LBZOneeOvJSWa0VlfnoSq00DfLNkYYlt?usp=drive_link" TargetMode="External"/><Relationship Id="rId18" Type="http://schemas.openxmlformats.org/officeDocument/2006/relationships/hyperlink" Target="https://drive.google.com/drive/folders/1YWj_0SHUmuNLVYHqmhQzY8nevtTeMTBs?usp=drive_link" TargetMode="External"/><Relationship Id="rId113" Type="http://schemas.openxmlformats.org/officeDocument/2006/relationships/hyperlink" Target="https://drive.google.com/drive/folders/1Wr9WUltkik4l3zJ1jq_Lxz4n2O9cD2Ig?usp=drive_link" TargetMode="External"/><Relationship Id="rId112" Type="http://schemas.openxmlformats.org/officeDocument/2006/relationships/hyperlink" Target="https://drive.google.com/drive/folders/1GMli1LyzbAUWqi89diOJZ9H85wfFbk5F?usp=drive_link" TargetMode="External"/><Relationship Id="rId111" Type="http://schemas.openxmlformats.org/officeDocument/2006/relationships/hyperlink" Target="https://drive.google.com/drive/folders/1EU0sPsWgFhomRRURp4inK2ZHXtNVURJ-?usp=drive_link" TargetMode="External"/><Relationship Id="rId84" Type="http://schemas.openxmlformats.org/officeDocument/2006/relationships/hyperlink" Target="https://drive.google.com/drive/folders/12ADGk_UfxM_oQptXBbmQbUxjrs--AdEa?usp=drive_link" TargetMode="External"/><Relationship Id="rId83" Type="http://schemas.openxmlformats.org/officeDocument/2006/relationships/hyperlink" Target="https://drive.google.com/drive/folders/1nXSCQw394qKMt0MzgxZ4-njRHWmrRcg2?usp=drive_link" TargetMode="External"/><Relationship Id="rId86" Type="http://schemas.openxmlformats.org/officeDocument/2006/relationships/hyperlink" Target="https://drive.google.com/drive/folders/1Z4QPDGAVHlCndxymqemGIwZT8LIdz7jJ?usp=drive_link" TargetMode="External"/><Relationship Id="rId85" Type="http://schemas.openxmlformats.org/officeDocument/2006/relationships/hyperlink" Target="https://drive.google.com/drive/folders/1GMli1LyzbAUWqi89diOJZ9H85wfFbk5F?usp=drive_link" TargetMode="External"/><Relationship Id="rId88" Type="http://schemas.openxmlformats.org/officeDocument/2006/relationships/hyperlink" Target="https://drive.google.com/drive/folders/1GMli1LyzbAUWqi89diOJZ9H85wfFbk5F?usp=drive_link" TargetMode="External"/><Relationship Id="rId87" Type="http://schemas.openxmlformats.org/officeDocument/2006/relationships/hyperlink" Target="https://drive.google.com/drive/folders/1rHH5Z4OJZPl5JgP_RMxL00SNy_B8UGW3?usp=drive_link" TargetMode="External"/><Relationship Id="rId89" Type="http://schemas.openxmlformats.org/officeDocument/2006/relationships/hyperlink" Target="https://drive.google.com/drive/folders/1-SOGE_ihjn9nhG1QGlaYv3fgdwySZR3d?usp=drive_link" TargetMode="External"/><Relationship Id="rId80" Type="http://schemas.openxmlformats.org/officeDocument/2006/relationships/hyperlink" Target="https://drive.google.com/drive/folders/1N0RaWDKGE-WOTIo4jLExyn6ZM_oTlfJZ?usp=drive_link" TargetMode="External"/><Relationship Id="rId82" Type="http://schemas.openxmlformats.org/officeDocument/2006/relationships/hyperlink" Target="https://drive.google.com/drive/folders/1GMli1LyzbAUWqi89diOJZ9H85wfFbk5F?usp=drive_link" TargetMode="External"/><Relationship Id="rId81" Type="http://schemas.openxmlformats.org/officeDocument/2006/relationships/hyperlink" Target="https://drive.google.com/drive/folders/1rgTkTbXZJwye84bonARC73WdDtbochVX?usp=drive_link" TargetMode="External"/><Relationship Id="rId1" Type="http://schemas.openxmlformats.org/officeDocument/2006/relationships/hyperlink" Target="https://drive.google.com/drive/folders/1GMli1LyzbAUWqi89diOJZ9H85wfFbk5F?usp=drive_link" TargetMode="External"/><Relationship Id="rId2" Type="http://schemas.openxmlformats.org/officeDocument/2006/relationships/hyperlink" Target="https://drive.google.com/drive/folders/1Rt0N-o96ZOAZH4C4J88tDbiNeXUpyT9_?usp=drive_link" TargetMode="External"/><Relationship Id="rId3" Type="http://schemas.openxmlformats.org/officeDocument/2006/relationships/hyperlink" Target="https://drive.google.com/drive/folders/1WBsecb7FhqsogYeotfuneXT-S6JfBuNT?usp=drive_link" TargetMode="External"/><Relationship Id="rId4" Type="http://schemas.openxmlformats.org/officeDocument/2006/relationships/hyperlink" Target="https://drive.google.com/drive/folders/1GMli1LyzbAUWqi89diOJZ9H85wfFbk5F?usp=drive_link" TargetMode="External"/><Relationship Id="rId9" Type="http://schemas.openxmlformats.org/officeDocument/2006/relationships/hyperlink" Target="https://drive.google.com/drive/folders/12bvLTfjVzTzkOMYZ-xUMDikSKgl-4q3T?usp=drive_link" TargetMode="External"/><Relationship Id="rId5" Type="http://schemas.openxmlformats.org/officeDocument/2006/relationships/hyperlink" Target="https://drive.google.com/drive/folders/1wex-JBwnB8gIIX_IMIbZw0a-GdVg3Tq6?usp=drive_link" TargetMode="External"/><Relationship Id="rId6" Type="http://schemas.openxmlformats.org/officeDocument/2006/relationships/hyperlink" Target="https://drive.google.com/drive/folders/1UsyoN9vy8obOsbrkchqdcVcpo3eb1RmJ?usp=drive_link" TargetMode="External"/><Relationship Id="rId7" Type="http://schemas.openxmlformats.org/officeDocument/2006/relationships/hyperlink" Target="https://drive.google.com/drive/folders/1GMli1LyzbAUWqi89diOJZ9H85wfFbk5F?usp=drive_link" TargetMode="External"/><Relationship Id="rId8" Type="http://schemas.openxmlformats.org/officeDocument/2006/relationships/hyperlink" Target="https://drive.google.com/drive/folders/1nT_epGikowep4hrliA4UmX45hqzY5MBh?usp=drive_link" TargetMode="External"/><Relationship Id="rId73" Type="http://schemas.openxmlformats.org/officeDocument/2006/relationships/hyperlink" Target="https://drive.google.com/drive/folders/1GMli1LyzbAUWqi89diOJZ9H85wfFbk5F?usp=drive_link" TargetMode="External"/><Relationship Id="rId72" Type="http://schemas.openxmlformats.org/officeDocument/2006/relationships/hyperlink" Target="https://drive.google.com/drive/folders/1T_iPezG11flQ-1RZkplXYhlm4DEjJijc?usp=drive_link" TargetMode="External"/><Relationship Id="rId75" Type="http://schemas.openxmlformats.org/officeDocument/2006/relationships/hyperlink" Target="https://drive.google.com/drive/folders/1o4ns45cP--lX1MHjZUBrbZTCzts2V-WO?usp=drive_link" TargetMode="External"/><Relationship Id="rId74" Type="http://schemas.openxmlformats.org/officeDocument/2006/relationships/hyperlink" Target="https://drive.google.com/drive/folders/1w8j7NFA9FUwPgrNyVMM0u0hXAJoJC5c5?usp=drive_link" TargetMode="External"/><Relationship Id="rId77" Type="http://schemas.openxmlformats.org/officeDocument/2006/relationships/hyperlink" Target="https://drive.google.com/drive/folders/16uudrLAUkvCN81lUQzXBxwR8q4K-YnIg?usp=drive_link" TargetMode="External"/><Relationship Id="rId76" Type="http://schemas.openxmlformats.org/officeDocument/2006/relationships/hyperlink" Target="https://drive.google.com/drive/folders/1GMli1LyzbAUWqi89diOJZ9H85wfFbk5F?usp=drive_link" TargetMode="External"/><Relationship Id="rId79" Type="http://schemas.openxmlformats.org/officeDocument/2006/relationships/hyperlink" Target="https://drive.google.com/drive/folders/1GMli1LyzbAUWqi89diOJZ9H85wfFbk5F?usp=drive_link" TargetMode="External"/><Relationship Id="rId78" Type="http://schemas.openxmlformats.org/officeDocument/2006/relationships/hyperlink" Target="https://drive.google.com/drive/folders/17RwoMeBvnvM-9SqEmJj6Pu6fJQFp_Q0l?usp=drive_link" TargetMode="External"/><Relationship Id="rId71" Type="http://schemas.openxmlformats.org/officeDocument/2006/relationships/hyperlink" Target="https://drive.google.com/drive/folders/1icLqBY_IuzdhN_bXcYc-p23yRyZWa07H?usp=drive_link" TargetMode="External"/><Relationship Id="rId70" Type="http://schemas.openxmlformats.org/officeDocument/2006/relationships/hyperlink" Target="https://drive.google.com/drive/folders/1GMli1LyzbAUWqi89diOJZ9H85wfFbk5F?usp=drive_link" TargetMode="External"/><Relationship Id="rId62" Type="http://schemas.openxmlformats.org/officeDocument/2006/relationships/hyperlink" Target="https://drive.google.com/drive/folders/199SQtUp_gbKn5g5Uw8zgru5I4jc_B6nd?usp=drive_link" TargetMode="External"/><Relationship Id="rId61" Type="http://schemas.openxmlformats.org/officeDocument/2006/relationships/hyperlink" Target="https://drive.google.com/drive/folders/1GMli1LyzbAUWqi89diOJZ9H85wfFbk5F?usp=drive_link" TargetMode="External"/><Relationship Id="rId64" Type="http://schemas.openxmlformats.org/officeDocument/2006/relationships/hyperlink" Target="https://drive.google.com/drive/folders/1GMli1LyzbAUWqi89diOJZ9H85wfFbk5F?usp=drive_link" TargetMode="External"/><Relationship Id="rId63" Type="http://schemas.openxmlformats.org/officeDocument/2006/relationships/hyperlink" Target="https://drive.google.com/drive/folders/1jNhPT5-Ou4p-h-Ta9AtBHxigfLAzXBU7?usp=drive_link" TargetMode="External"/><Relationship Id="rId66" Type="http://schemas.openxmlformats.org/officeDocument/2006/relationships/hyperlink" Target="https://drive.google.com/drive/folders/1iDBDpoF3lxXimBLuRdBQ6idsmFA6WE7p?usp=drive_link" TargetMode="External"/><Relationship Id="rId65" Type="http://schemas.openxmlformats.org/officeDocument/2006/relationships/hyperlink" Target="https://drive.google.com/drive/folders/1eqA_rwDN2e_G9_f4_ePW8ZVYbqoirWzM?usp=drive_link" TargetMode="External"/><Relationship Id="rId68" Type="http://schemas.openxmlformats.org/officeDocument/2006/relationships/hyperlink" Target="https://drive.google.com/drive/folders/1z4HhayAHHPqlqPJZfaChCDwfTxmlZRA_?usp=drive_link" TargetMode="External"/><Relationship Id="rId67" Type="http://schemas.openxmlformats.org/officeDocument/2006/relationships/hyperlink" Target="https://drive.google.com/drive/folders/1GMli1LyzbAUWqi89diOJZ9H85wfFbk5F?usp=drive_link" TargetMode="External"/><Relationship Id="rId60" Type="http://schemas.openxmlformats.org/officeDocument/2006/relationships/hyperlink" Target="https://drive.google.com/drive/folders/1_JngY6gggV1wScuQKq68ur4E-AiWlE2v?usp=drive_link" TargetMode="External"/><Relationship Id="rId69" Type="http://schemas.openxmlformats.org/officeDocument/2006/relationships/hyperlink" Target="https://drive.google.com/drive/folders/1dmBAlokxElvoA1qKrlWjgN0NwswQ4l_z?usp=drive_link" TargetMode="External"/><Relationship Id="rId51" Type="http://schemas.openxmlformats.org/officeDocument/2006/relationships/hyperlink" Target="https://drive.google.com/drive/folders/1CmA_M-WHJR3vmzUeKHGehQtpZRrlk0v2?usp=drive_link" TargetMode="External"/><Relationship Id="rId50" Type="http://schemas.openxmlformats.org/officeDocument/2006/relationships/hyperlink" Target="https://drive.google.com/drive/folders/165orzZU0klgJpTAiY9FtKjFwt2ivjHjA?usp=drive_link" TargetMode="External"/><Relationship Id="rId53" Type="http://schemas.openxmlformats.org/officeDocument/2006/relationships/hyperlink" Target="https://drive.google.com/drive/folders/1-ccg3Qsj3WDYKsVHX9WKktGK52Chz0P1?usp=drive_link" TargetMode="External"/><Relationship Id="rId52" Type="http://schemas.openxmlformats.org/officeDocument/2006/relationships/hyperlink" Target="https://drive.google.com/drive/folders/1GMli1LyzbAUWqi89diOJZ9H85wfFbk5F?usp=drive_link" TargetMode="External"/><Relationship Id="rId55" Type="http://schemas.openxmlformats.org/officeDocument/2006/relationships/hyperlink" Target="https://drive.google.com/drive/folders/1GMli1LyzbAUWqi89diOJZ9H85wfFbk5F?usp=drive_link" TargetMode="External"/><Relationship Id="rId54" Type="http://schemas.openxmlformats.org/officeDocument/2006/relationships/hyperlink" Target="https://drive.google.com/drive/folders/1gia5WpLCJi-m0hOftyupNomkc48jtXMS?usp=drive_link" TargetMode="External"/><Relationship Id="rId57" Type="http://schemas.openxmlformats.org/officeDocument/2006/relationships/hyperlink" Target="https://drive.google.com/drive/folders/1zINMT4jvitT9LkCN3fYa8s9yBCoFfoDN?usp=drive_link" TargetMode="External"/><Relationship Id="rId56" Type="http://schemas.openxmlformats.org/officeDocument/2006/relationships/hyperlink" Target="https://drive.google.com/drive/folders/1BGE48eD8LewQwcjvOJ_-ApWfL3myA-E_?usp=drive_link" TargetMode="External"/><Relationship Id="rId59" Type="http://schemas.openxmlformats.org/officeDocument/2006/relationships/hyperlink" Target="https://drive.google.com/drive/folders/1ubj6nFB-m-K-PIhl80hqoGNd9tdLI0J_?usp=drive_link" TargetMode="External"/><Relationship Id="rId58" Type="http://schemas.openxmlformats.org/officeDocument/2006/relationships/hyperlink" Target="https://drive.google.com/drive/folders/1GMli1LyzbAUWqi89diOJZ9H85wfFbk5F?usp=drive_link"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coppelmx.atlassian.net/browse/GD-455" TargetMode="External"/><Relationship Id="rId41" Type="http://schemas.openxmlformats.org/officeDocument/2006/relationships/drawing" Target="../drawings/drawing12.xml"/><Relationship Id="rId31" Type="http://schemas.openxmlformats.org/officeDocument/2006/relationships/hyperlink" Target="https://coppelmx.atlassian.net/browse/GD-446" TargetMode="External"/><Relationship Id="rId30" Type="http://schemas.openxmlformats.org/officeDocument/2006/relationships/hyperlink" Target="https://coppelmx.atlassian.net/browse/GD-445" TargetMode="External"/><Relationship Id="rId33" Type="http://schemas.openxmlformats.org/officeDocument/2006/relationships/hyperlink" Target="https://coppelmx.atlassian.net/browse/GD-448" TargetMode="External"/><Relationship Id="rId32" Type="http://schemas.openxmlformats.org/officeDocument/2006/relationships/hyperlink" Target="https://coppelmx.atlassian.net/browse/GD-447" TargetMode="External"/><Relationship Id="rId35" Type="http://schemas.openxmlformats.org/officeDocument/2006/relationships/hyperlink" Target="https://coppelmx.atlassian.net/browse/GD-450" TargetMode="External"/><Relationship Id="rId34" Type="http://schemas.openxmlformats.org/officeDocument/2006/relationships/hyperlink" Target="https://coppelmx.atlassian.net/browse/GD-449" TargetMode="External"/><Relationship Id="rId37" Type="http://schemas.openxmlformats.org/officeDocument/2006/relationships/hyperlink" Target="https://coppelmx.atlassian.net/browse/GD-452" TargetMode="External"/><Relationship Id="rId36" Type="http://schemas.openxmlformats.org/officeDocument/2006/relationships/hyperlink" Target="https://coppelmx.atlassian.net/browse/GD-451" TargetMode="External"/><Relationship Id="rId39" Type="http://schemas.openxmlformats.org/officeDocument/2006/relationships/hyperlink" Target="https://coppelmx.atlassian.net/browse/GD-454" TargetMode="External"/><Relationship Id="rId38" Type="http://schemas.openxmlformats.org/officeDocument/2006/relationships/hyperlink" Target="https://coppelmx.atlassian.net/browse/GD-453" TargetMode="External"/><Relationship Id="rId20" Type="http://schemas.openxmlformats.org/officeDocument/2006/relationships/hyperlink" Target="https://coppelmx.atlassian.net/browse/GD-435" TargetMode="External"/><Relationship Id="rId22" Type="http://schemas.openxmlformats.org/officeDocument/2006/relationships/hyperlink" Target="https://coppelmx.atlassian.net/browse/GD-437" TargetMode="External"/><Relationship Id="rId21" Type="http://schemas.openxmlformats.org/officeDocument/2006/relationships/hyperlink" Target="https://coppelmx.atlassian.net/browse/GD-436" TargetMode="External"/><Relationship Id="rId24" Type="http://schemas.openxmlformats.org/officeDocument/2006/relationships/hyperlink" Target="https://coppelmx.atlassian.net/browse/GD-439" TargetMode="External"/><Relationship Id="rId23" Type="http://schemas.openxmlformats.org/officeDocument/2006/relationships/hyperlink" Target="https://coppelmx.atlassian.net/browse/GD-438" TargetMode="External"/><Relationship Id="rId26" Type="http://schemas.openxmlformats.org/officeDocument/2006/relationships/hyperlink" Target="https://coppelmx.atlassian.net/browse/GD-441" TargetMode="External"/><Relationship Id="rId25" Type="http://schemas.openxmlformats.org/officeDocument/2006/relationships/hyperlink" Target="https://coppelmx.atlassian.net/browse/GD-440" TargetMode="External"/><Relationship Id="rId28" Type="http://schemas.openxmlformats.org/officeDocument/2006/relationships/hyperlink" Target="https://coppelmx.atlassian.net/browse/GD-443" TargetMode="External"/><Relationship Id="rId27" Type="http://schemas.openxmlformats.org/officeDocument/2006/relationships/hyperlink" Target="https://coppelmx.atlassian.net/browse/GD-442" TargetMode="External"/><Relationship Id="rId29" Type="http://schemas.openxmlformats.org/officeDocument/2006/relationships/hyperlink" Target="https://coppelmx.atlassian.net/browse/GD-444" TargetMode="External"/><Relationship Id="rId11" Type="http://schemas.openxmlformats.org/officeDocument/2006/relationships/hyperlink" Target="https://coppelmx.atlassian.net/browse/GD-427" TargetMode="External"/><Relationship Id="rId10" Type="http://schemas.openxmlformats.org/officeDocument/2006/relationships/hyperlink" Target="https://coppelmx.atlassian.net/browse/GD-426" TargetMode="External"/><Relationship Id="rId13" Type="http://schemas.openxmlformats.org/officeDocument/2006/relationships/hyperlink" Target="https://coppelmx.atlassian.net/browse/GD-428" TargetMode="External"/><Relationship Id="rId12" Type="http://schemas.openxmlformats.org/officeDocument/2006/relationships/hyperlink" Target="https://coppelmx.atlassian.net/browse/GD-454" TargetMode="External"/><Relationship Id="rId15" Type="http://schemas.openxmlformats.org/officeDocument/2006/relationships/hyperlink" Target="https://coppelmx.atlassian.net/browse/GD-430" TargetMode="External"/><Relationship Id="rId14" Type="http://schemas.openxmlformats.org/officeDocument/2006/relationships/hyperlink" Target="https://coppelmx.atlassian.net/browse/GD-429" TargetMode="External"/><Relationship Id="rId17" Type="http://schemas.openxmlformats.org/officeDocument/2006/relationships/hyperlink" Target="https://coppelmx.atlassian.net/browse/GD-432" TargetMode="External"/><Relationship Id="rId16" Type="http://schemas.openxmlformats.org/officeDocument/2006/relationships/hyperlink" Target="https://coppelmx.atlassian.net/browse/GD-431" TargetMode="External"/><Relationship Id="rId19" Type="http://schemas.openxmlformats.org/officeDocument/2006/relationships/hyperlink" Target="https://coppelmx.atlassian.net/browse/GD-434" TargetMode="External"/><Relationship Id="rId18" Type="http://schemas.openxmlformats.org/officeDocument/2006/relationships/hyperlink" Target="https://coppelmx.atlassian.net/browse/GD-433" TargetMode="External"/><Relationship Id="rId1" Type="http://schemas.openxmlformats.org/officeDocument/2006/relationships/hyperlink" Target="https://coppelmx.atlassian.net/browse/GD-417" TargetMode="External"/><Relationship Id="rId2" Type="http://schemas.openxmlformats.org/officeDocument/2006/relationships/hyperlink" Target="https://coppelmx.atlassian.net/browse/GD-418" TargetMode="External"/><Relationship Id="rId3" Type="http://schemas.openxmlformats.org/officeDocument/2006/relationships/hyperlink" Target="https://coppelmx.atlassian.net/browse/GD-419" TargetMode="External"/><Relationship Id="rId4" Type="http://schemas.openxmlformats.org/officeDocument/2006/relationships/hyperlink" Target="https://coppelmx.atlassian.net/browse/GD-420" TargetMode="External"/><Relationship Id="rId9" Type="http://schemas.openxmlformats.org/officeDocument/2006/relationships/hyperlink" Target="https://coppelmx.atlassian.net/browse/GD-425" TargetMode="External"/><Relationship Id="rId5" Type="http://schemas.openxmlformats.org/officeDocument/2006/relationships/hyperlink" Target="https://coppelmx.atlassian.net/browse/GD-421" TargetMode="External"/><Relationship Id="rId6" Type="http://schemas.openxmlformats.org/officeDocument/2006/relationships/hyperlink" Target="https://coppelmx.atlassian.net/browse/GD-422" TargetMode="External"/><Relationship Id="rId7" Type="http://schemas.openxmlformats.org/officeDocument/2006/relationships/hyperlink" Target="https://coppelmx.atlassian.net/browse/GD-423" TargetMode="External"/><Relationship Id="rId8" Type="http://schemas.openxmlformats.org/officeDocument/2006/relationships/hyperlink" Target="https://coppelmx.atlassian.net/browse/GD-424"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17.0"/>
    <col customWidth="1" min="3" max="3" width="16.56"/>
    <col customWidth="1" min="6" max="6" width="17.0"/>
    <col customWidth="1" min="9" max="9" width="16.78"/>
    <col customWidth="1" min="11" max="11" width="15.44"/>
  </cols>
  <sheetData>
    <row r="2">
      <c r="B2" s="45" t="s">
        <v>66</v>
      </c>
      <c r="C2" s="45" t="s">
        <v>69</v>
      </c>
      <c r="E2" s="45" t="s">
        <v>66</v>
      </c>
      <c r="F2" s="45" t="s">
        <v>16</v>
      </c>
      <c r="H2" s="45" t="s">
        <v>66</v>
      </c>
      <c r="I2" s="45" t="s">
        <v>69</v>
      </c>
      <c r="J2" s="45"/>
      <c r="K2" s="45" t="s">
        <v>74</v>
      </c>
      <c r="L2" s="48"/>
      <c r="M2" s="48"/>
      <c r="O2" s="48"/>
    </row>
    <row r="3">
      <c r="B3" s="2" t="s">
        <v>75</v>
      </c>
      <c r="C3" s="52">
        <f>IFERROR(__xludf.DUMMYFUNCTION("COUNTUNIQUEIFS(develop!F2:F1001,develop!D2:D1001,""BUSINESS RULE"")"),4.0)</f>
        <v>4</v>
      </c>
      <c r="E3" s="2" t="s">
        <v>75</v>
      </c>
      <c r="F3" s="56">
        <f>COUNTIF(develop!D1:D1001,"BUSINESS RULE")</f>
        <v>11</v>
      </c>
      <c r="H3" s="2" t="s">
        <v>75</v>
      </c>
      <c r="I3" s="52">
        <f>IFERROR(__xludf.DUMMYFUNCTION("COUNTUNIQUEIFS('api-register-id'!B2:B1001,'api-register-id'!D2:D1001,""BUSINESS RULES"")"),5.0)</f>
        <v>5</v>
      </c>
      <c r="J3" s="58"/>
      <c r="K3" s="58">
        <f>IFERROR(__xludf.DUMMYFUNCTION("COUNTUNIQUE(develop!G2:G1001)"),1652.0)</f>
        <v>1652</v>
      </c>
      <c r="L3" s="58"/>
      <c r="M3" s="58"/>
    </row>
    <row r="4">
      <c r="B4" s="2" t="s">
        <v>81</v>
      </c>
      <c r="C4" s="52">
        <f>IFERROR(__xludf.DUMMYFUNCTION("COUNTUNIQUEIFS(develop!F2:F1001,develop!D2:D1001,""RECEPTION"")"),72.0)</f>
        <v>72</v>
      </c>
      <c r="E4" s="2" t="s">
        <v>81</v>
      </c>
      <c r="F4" s="56">
        <f>COUNTIF(develop!D2:D1001,"RECEPTION")</f>
        <v>410</v>
      </c>
      <c r="H4" s="2" t="s">
        <v>81</v>
      </c>
      <c r="I4" s="52">
        <f>IFERROR(__xludf.DUMMYFUNCTION("COUNTUNIQUEIFS('api-register-id'!B2:B1001,'api-register-id'!D2:D1001,""RECEPTION"")"),72.0)</f>
        <v>72</v>
      </c>
      <c r="J4" s="58"/>
      <c r="K4" s="58"/>
      <c r="L4" s="58"/>
      <c r="M4" s="58"/>
    </row>
    <row r="5">
      <c r="B5" s="2" t="s">
        <v>85</v>
      </c>
      <c r="C5" s="52">
        <f>IFERROR(__xludf.DUMMYFUNCTION("COUNTUNIQUEIFS(develop!F2:F1001,develop!D2:D1001,""BUSINESS"")"),26.0)</f>
        <v>26</v>
      </c>
      <c r="E5" s="2" t="s">
        <v>85</v>
      </c>
      <c r="F5" s="56">
        <f>COUNTIF(develop!D2:D1001,"BUSINESS")</f>
        <v>138</v>
      </c>
      <c r="H5" s="2" t="s">
        <v>85</v>
      </c>
      <c r="I5" s="52">
        <f>IFERROR(__xludf.DUMMYFUNCTION("COUNTUNIQUEIFS('api-register-id'!B2:B1001,'api-register-id'!D2:D1001,""BUSINESS"")"),28.0)</f>
        <v>28</v>
      </c>
      <c r="J5" s="58"/>
      <c r="K5" s="58"/>
      <c r="L5" s="58"/>
      <c r="M5" s="58"/>
    </row>
    <row r="6">
      <c r="B6" s="2" t="s">
        <v>88</v>
      </c>
      <c r="C6" s="52">
        <f>IFERROR(__xludf.DUMMYFUNCTION("COUNTUNIQUEIFS(develop!F2:F1001,develop!D2:D1001,""DOMAIN"")"),76.0)</f>
        <v>76</v>
      </c>
      <c r="E6" s="2" t="s">
        <v>88</v>
      </c>
      <c r="F6" s="56">
        <f>COUNTIF(develop!D2:D1001,"DOMAIN")</f>
        <v>515</v>
      </c>
      <c r="H6" s="2" t="s">
        <v>88</v>
      </c>
      <c r="I6" s="52">
        <f>IFERROR(__xludf.DUMMYFUNCTION("COUNTUNIQUEIFS('api-register-id'!B2:B1001,'api-register-id'!D2:D1001,""DOMAIN"")"),74.0)</f>
        <v>74</v>
      </c>
      <c r="J6" s="58"/>
      <c r="K6" s="58"/>
      <c r="L6" s="58"/>
      <c r="M6" s="58"/>
    </row>
    <row r="7">
      <c r="B7" s="2" t="s">
        <v>97</v>
      </c>
      <c r="C7" s="52">
        <f>IFERROR(__xludf.DUMMYFUNCTION("COUNTUNIQUEIFS(develop!F2:F1001,develop!D2:D1001,""PROXY"")"),91.0)</f>
        <v>91</v>
      </c>
      <c r="E7" s="2" t="s">
        <v>97</v>
      </c>
      <c r="F7" s="56">
        <f>COUNTIF(develop!D2:D1001,"PROXY")</f>
        <v>554</v>
      </c>
      <c r="H7" s="2" t="s">
        <v>97</v>
      </c>
      <c r="I7" s="52">
        <f>IFERROR(__xludf.DUMMYFUNCTION("COUNTUNIQUEIFS('api-register-id'!B2:B1001,'api-register-id'!D2:D1001,""PROXY"")"),89.0)</f>
        <v>89</v>
      </c>
      <c r="J7" s="62"/>
      <c r="K7" s="62"/>
      <c r="L7" s="62"/>
      <c r="M7" s="62"/>
    </row>
    <row r="8">
      <c r="J8" s="63"/>
      <c r="K8" s="63"/>
      <c r="L8" s="63"/>
      <c r="M8" s="63"/>
    </row>
    <row r="9">
      <c r="B9" s="45" t="s">
        <v>100</v>
      </c>
      <c r="C9" s="64">
        <f>SUM(C3:C7)</f>
        <v>269</v>
      </c>
      <c r="E9" s="45" t="s">
        <v>102</v>
      </c>
      <c r="F9" s="64">
        <f>SUM(F3:F7)</f>
        <v>1628</v>
      </c>
      <c r="H9" s="45" t="s">
        <v>100</v>
      </c>
      <c r="I9" s="64">
        <f>SUM(I3:I7)</f>
        <v>268</v>
      </c>
    </row>
    <row r="11">
      <c r="B11" s="45" t="s">
        <v>105</v>
      </c>
      <c r="C11" s="45" t="s">
        <v>69</v>
      </c>
      <c r="E11" s="45" t="s">
        <v>105</v>
      </c>
      <c r="F11" s="45" t="s">
        <v>16</v>
      </c>
      <c r="M11" s="2"/>
    </row>
    <row r="12">
      <c r="B12" s="2" t="s">
        <v>41</v>
      </c>
      <c r="C12" s="52">
        <f>IFERROR(__xludf.DUMMYFUNCTION("COUNTUNIQUEIFS(develop!F2:F1001,develop!C2:C1001,""RAML"")"),195.0)</f>
        <v>195</v>
      </c>
      <c r="E12" s="2" t="s">
        <v>41</v>
      </c>
      <c r="F12" s="52">
        <f>COUNTIF(develop!C:C,"RAML")</f>
        <v>1209</v>
      </c>
    </row>
    <row r="13">
      <c r="B13" s="2" t="s">
        <v>112</v>
      </c>
      <c r="C13" s="52">
        <f>IFERROR(__xludf.DUMMYFUNCTION("COUNTUNIQUEIFS(develop!F2:F1001,develop!C2:C1001,""OAS"")"),76.0)</f>
        <v>76</v>
      </c>
      <c r="E13" s="2" t="s">
        <v>112</v>
      </c>
      <c r="F13" s="52">
        <f>COUNTIF(develop!C:C,"OAS")</f>
        <v>419</v>
      </c>
    </row>
    <row r="15">
      <c r="B15" s="45" t="s">
        <v>102</v>
      </c>
      <c r="C15" s="64">
        <f>IFERROR(__xludf.DUMMYFUNCTION("COUNTUNIQUE(develop!F2:F1001)"),271.0)</f>
        <v>271</v>
      </c>
      <c r="E15" s="45" t="s">
        <v>102</v>
      </c>
      <c r="F15" s="64">
        <f>SUM(F12:F13)</f>
        <v>1628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1.22" defaultRowHeight="15.75"/>
  <cols>
    <col customWidth="1" min="1" max="1" width="18.78"/>
    <col customWidth="1" min="2" max="2" width="38.0"/>
    <col customWidth="1" min="3" max="3" width="18.78"/>
    <col customWidth="1" min="4" max="4" width="17.44"/>
    <col customWidth="1" min="5" max="5" width="21.67"/>
    <col customWidth="1" min="6" max="6" width="40.78"/>
    <col customWidth="1" min="7" max="7" width="16.89"/>
    <col customWidth="1" min="8" max="8" width="59.78"/>
    <col customWidth="1" min="9" max="9" width="13.0"/>
    <col customWidth="1" min="10" max="10" width="59.89"/>
    <col customWidth="1" min="11" max="11" width="17.56"/>
    <col customWidth="1" min="12" max="12" width="14.11"/>
    <col customWidth="1" min="13" max="13" width="59.67"/>
    <col customWidth="1" min="14" max="14" width="108.22"/>
    <col customWidth="1" min="15" max="15" width="99.56"/>
    <col customWidth="1" min="16" max="16" width="14.22"/>
    <col customWidth="1" min="17" max="17" width="62.22"/>
    <col customWidth="1" min="18" max="18" width="14.22"/>
    <col customWidth="1" min="19" max="19" width="68.56"/>
    <col customWidth="1" min="20" max="20" width="33.56"/>
    <col customWidth="1" min="22" max="22" width="37.67"/>
    <col customWidth="1" min="23" max="23" width="29.78"/>
  </cols>
  <sheetData>
    <row r="1" ht="18.75" customHeight="1">
      <c r="A1" s="4" t="s">
        <v>4</v>
      </c>
      <c r="B1" s="4" t="s">
        <v>5</v>
      </c>
      <c r="C1" s="5" t="s">
        <v>7</v>
      </c>
      <c r="D1" s="5" t="s">
        <v>8</v>
      </c>
      <c r="E1" s="7" t="s">
        <v>9</v>
      </c>
      <c r="F1" s="8" t="s">
        <v>10</v>
      </c>
      <c r="G1" s="5" t="s">
        <v>11</v>
      </c>
      <c r="H1" s="5" t="s">
        <v>12</v>
      </c>
      <c r="I1" s="5" t="s">
        <v>13</v>
      </c>
      <c r="J1" s="5" t="s">
        <v>14</v>
      </c>
      <c r="K1" s="5" t="s">
        <v>15</v>
      </c>
      <c r="L1" s="5" t="s">
        <v>17</v>
      </c>
      <c r="M1" s="5" t="s">
        <v>18</v>
      </c>
      <c r="N1" s="5" t="s">
        <v>19</v>
      </c>
      <c r="O1" s="5" t="s">
        <v>20</v>
      </c>
      <c r="P1" s="5" t="s">
        <v>21</v>
      </c>
      <c r="Q1" s="12" t="s">
        <v>22</v>
      </c>
      <c r="R1" s="5" t="s">
        <v>25</v>
      </c>
      <c r="S1" s="5" t="s">
        <v>26</v>
      </c>
      <c r="T1" s="5" t="s">
        <v>27</v>
      </c>
      <c r="U1" s="5"/>
      <c r="V1" s="5" t="s">
        <v>29</v>
      </c>
      <c r="W1" s="5" t="s">
        <v>31</v>
      </c>
      <c r="X1" s="5"/>
      <c r="Y1" s="5"/>
      <c r="Z1" s="5"/>
      <c r="AA1" s="5"/>
      <c r="AB1" s="5"/>
    </row>
    <row r="2" ht="18.75" customHeight="1">
      <c r="A2" s="18" t="str">
        <f t="array" ref="A2">IFERROR(
  INDEX(
    'api-register-id'!A:A,
    MATCH(F2, 'api-register-id'!B:B, 0)
  ),
  "Not found Organization"
)</f>
        <v>SSFF</v>
      </c>
      <c r="B2" s="22" t="str">
        <f>IFERROR(VLOOKUP(F2, 'api-register-id'!B:F, 4, FALSE), "Not found path.")</f>
        <v>mx-api-bc-bus-business-support</v>
      </c>
      <c r="C2" s="23" t="s">
        <v>41</v>
      </c>
      <c r="D2" s="23" t="s">
        <v>42</v>
      </c>
      <c r="E2" s="24" t="str">
        <f>IFERROR(VLOOKUP(F2, 'api-register-id'!B:F, 5, FALSE), "Not found path.")</f>
        <v>APIMX000001</v>
      </c>
      <c r="F2" s="25" t="s">
        <v>43</v>
      </c>
      <c r="G2" s="26" t="s">
        <v>45</v>
      </c>
      <c r="H2" s="22" t="s">
        <v>46</v>
      </c>
      <c r="I2" s="29" t="str">
        <f>IFERROR(VLOOKUP(F2, 'api-register-id'!B:I, 8, FALSE), "Not found path.")</f>
        <v>1.3.0</v>
      </c>
      <c r="J2" s="3" t="s">
        <v>47</v>
      </c>
      <c r="K2" s="31" t="s">
        <v>48</v>
      </c>
      <c r="L2" s="23" t="s">
        <v>49</v>
      </c>
      <c r="M2" s="3" t="s">
        <v>50</v>
      </c>
      <c r="N2" s="3" t="str">
        <f t="shared" ref="N2:N1087" si="1">CONCATENATE(L2," ",J2,M2)</f>
        <v>POST /businessSupport/v1/smsNotification/execute</v>
      </c>
      <c r="O2" s="32" t="s">
        <v>51</v>
      </c>
      <c r="P2" s="32" t="s">
        <v>52</v>
      </c>
      <c r="Q2" s="36" t="s">
        <v>53</v>
      </c>
      <c r="R2" s="31" t="s">
        <v>56</v>
      </c>
      <c r="S2" s="38" t="str">
        <f t="shared" ref="S2:S1145" si="2">"https://github.com/SF-Bancoppel/"&amp;B2</f>
        <v>https://github.com/SF-Bancoppel/mx-api-bc-bus-business-support</v>
      </c>
      <c r="T2" s="40"/>
      <c r="U2" s="22"/>
      <c r="V2" s="40"/>
      <c r="W2" s="40"/>
      <c r="X2" s="40"/>
      <c r="Y2" s="40"/>
      <c r="Z2" s="22"/>
      <c r="AA2" s="22"/>
      <c r="AB2" s="22"/>
    </row>
    <row r="3" ht="18.75" customHeight="1">
      <c r="A3" s="18" t="str">
        <f t="array" ref="A3">IFERROR(
  INDEX(
    'api-register-id'!A:A,
    MATCH(F3, 'api-register-id'!B:B, 0)
  ),
  "Not found Organization"
)</f>
        <v>SSFF</v>
      </c>
      <c r="B3" s="22" t="str">
        <f>IFERROR(VLOOKUP(F3, 'api-register-id'!B:F, 4, FALSE), "Not found path.")</f>
        <v>mx-api-bc-bus-business-support</v>
      </c>
      <c r="C3" s="23" t="s">
        <v>41</v>
      </c>
      <c r="D3" s="23" t="s">
        <v>42</v>
      </c>
      <c r="E3" s="24" t="str">
        <f>IFERROR(VLOOKUP(F3, 'api-register-id'!B:F, 5, FALSE), "Not found path.")</f>
        <v>APIMX000001</v>
      </c>
      <c r="F3" s="25" t="s">
        <v>43</v>
      </c>
      <c r="G3" s="26" t="s">
        <v>59</v>
      </c>
      <c r="H3" s="22" t="s">
        <v>60</v>
      </c>
      <c r="I3" s="29" t="str">
        <f>IFERROR(VLOOKUP(F3, 'api-register-id'!B:I, 8, FALSE), "Not found path.")</f>
        <v>1.3.0</v>
      </c>
      <c r="J3" s="3" t="s">
        <v>47</v>
      </c>
      <c r="K3" s="31" t="s">
        <v>48</v>
      </c>
      <c r="L3" s="23" t="s">
        <v>61</v>
      </c>
      <c r="M3" s="3" t="s">
        <v>62</v>
      </c>
      <c r="N3" s="3" t="str">
        <f t="shared" si="1"/>
        <v>PUT /businessSupport/v1/executeOrderConfirmation/execute</v>
      </c>
      <c r="O3" s="32" t="s">
        <v>63</v>
      </c>
      <c r="P3" s="32" t="s">
        <v>64</v>
      </c>
      <c r="Q3" s="44" t="s">
        <v>65</v>
      </c>
      <c r="R3" s="31" t="s">
        <v>56</v>
      </c>
      <c r="S3" s="38" t="str">
        <f t="shared" si="2"/>
        <v>https://github.com/SF-Bancoppel/mx-api-bc-bus-business-support</v>
      </c>
      <c r="T3" s="40"/>
      <c r="U3" s="22"/>
      <c r="V3" s="40"/>
      <c r="W3" s="40"/>
      <c r="X3" s="40"/>
      <c r="Y3" s="40"/>
      <c r="Z3" s="22"/>
      <c r="AA3" s="22"/>
      <c r="AB3" s="22"/>
    </row>
    <row r="4" ht="18.75" customHeight="1">
      <c r="A4" s="18" t="str">
        <f t="array" ref="A4">IFERROR(
  INDEX(
    'api-register-id'!A:A,
    MATCH(F4, 'api-register-id'!B:B, 0)
  ),
  "Not found Organization"
)</f>
        <v>SSFF</v>
      </c>
      <c r="B4" s="22" t="str">
        <f>IFERROR(VLOOKUP(F4, 'api-register-id'!B:F, 4, FALSE), "Not found path.")</f>
        <v>mx-api-bc-bus-business-support</v>
      </c>
      <c r="C4" s="23" t="s">
        <v>41</v>
      </c>
      <c r="D4" s="23" t="s">
        <v>42</v>
      </c>
      <c r="E4" s="24" t="str">
        <f>IFERROR(VLOOKUP(F4, 'api-register-id'!B:F, 5, FALSE), "Not found path.")</f>
        <v>APIMX000001</v>
      </c>
      <c r="F4" s="25" t="s">
        <v>43</v>
      </c>
      <c r="G4" s="26" t="s">
        <v>67</v>
      </c>
      <c r="H4" s="22" t="s">
        <v>68</v>
      </c>
      <c r="I4" s="29" t="str">
        <f>IFERROR(VLOOKUP(F4, 'api-register-id'!B:I, 8, FALSE), "Not found path.")</f>
        <v>1.3.0</v>
      </c>
      <c r="J4" s="3" t="s">
        <v>47</v>
      </c>
      <c r="K4" s="31" t="s">
        <v>48</v>
      </c>
      <c r="L4" s="23" t="s">
        <v>49</v>
      </c>
      <c r="M4" s="3" t="s">
        <v>70</v>
      </c>
      <c r="N4" s="3" t="str">
        <f t="shared" si="1"/>
        <v>POST /businessSupport/v1/orderCancellation/retrieve</v>
      </c>
      <c r="O4" s="32" t="s">
        <v>71</v>
      </c>
      <c r="P4" s="32"/>
      <c r="Q4" s="49" t="s">
        <v>73</v>
      </c>
      <c r="R4" s="31" t="s">
        <v>56</v>
      </c>
      <c r="S4" s="38" t="str">
        <f t="shared" si="2"/>
        <v>https://github.com/SF-Bancoppel/mx-api-bc-bus-business-support</v>
      </c>
      <c r="T4" s="40"/>
      <c r="U4" s="22"/>
      <c r="V4" s="22"/>
      <c r="W4" s="22"/>
      <c r="X4" s="40"/>
      <c r="Y4" s="40"/>
      <c r="Z4" s="22"/>
      <c r="AA4" s="22"/>
      <c r="AB4" s="22"/>
    </row>
    <row r="5" ht="18.75" customHeight="1">
      <c r="A5" s="18" t="str">
        <f t="array" ref="A5">IFERROR(
  INDEX(
    'api-register-id'!A:A,
    MATCH(F5, 'api-register-id'!B:B, 0)
  ),
  "Not found Organization"
)</f>
        <v>SSFF</v>
      </c>
      <c r="B5" s="22" t="str">
        <f>IFERROR(VLOOKUP(F5, 'api-register-id'!B:F, 4, FALSE), "Not found path.")</f>
        <v>mx-api-bc-bus-business-support</v>
      </c>
      <c r="C5" s="23" t="s">
        <v>41</v>
      </c>
      <c r="D5" s="23" t="s">
        <v>42</v>
      </c>
      <c r="E5" s="24" t="str">
        <f>IFERROR(VLOOKUP(F5, 'api-register-id'!B:F, 5, FALSE), "Not found path.")</f>
        <v>APIMX000001</v>
      </c>
      <c r="F5" s="25" t="s">
        <v>43</v>
      </c>
      <c r="G5" s="26" t="s">
        <v>79</v>
      </c>
      <c r="H5" s="22" t="s">
        <v>80</v>
      </c>
      <c r="I5" s="29" t="str">
        <f>IFERROR(VLOOKUP(F5, 'api-register-id'!B:I, 8, FALSE), "Not found path.")</f>
        <v>1.3.0</v>
      </c>
      <c r="J5" s="3" t="s">
        <v>47</v>
      </c>
      <c r="K5" s="31" t="s">
        <v>48</v>
      </c>
      <c r="L5" s="23" t="s">
        <v>49</v>
      </c>
      <c r="M5" s="3" t="s">
        <v>82</v>
      </c>
      <c r="N5" s="3" t="str">
        <f t="shared" si="1"/>
        <v>POST /businessSupport/v1/paymentOrderProcedure/initiate</v>
      </c>
      <c r="O5" s="32" t="s">
        <v>83</v>
      </c>
      <c r="P5" s="32"/>
      <c r="Q5" s="36" t="s">
        <v>84</v>
      </c>
      <c r="R5" s="31" t="s">
        <v>56</v>
      </c>
      <c r="S5" s="38" t="str">
        <f t="shared" si="2"/>
        <v>https://github.com/SF-Bancoppel/mx-api-bc-bus-business-support</v>
      </c>
      <c r="T5" s="40"/>
      <c r="U5" s="22"/>
      <c r="V5" s="40"/>
      <c r="W5" s="40"/>
      <c r="X5" s="40"/>
      <c r="Y5" s="40"/>
      <c r="Z5" s="22"/>
      <c r="AA5" s="22"/>
      <c r="AB5" s="22"/>
    </row>
    <row r="6" ht="18.75" customHeight="1">
      <c r="A6" s="18" t="str">
        <f t="array" ref="A6">IFERROR(
  INDEX(
    'api-register-id'!A:A,
    MATCH(F6, 'api-register-id'!B:B, 0)
  ),
  "Not found Organization"
)</f>
        <v>SSFF</v>
      </c>
      <c r="B6" s="22" t="str">
        <f>IFERROR(VLOOKUP(F6, 'api-register-id'!B:F, 4, FALSE), "Not found path.")</f>
        <v>mx-api-bc-bus-operations-and-execution</v>
      </c>
      <c r="C6" s="23" t="s">
        <v>41</v>
      </c>
      <c r="D6" s="23" t="s">
        <v>42</v>
      </c>
      <c r="E6" s="24" t="str">
        <f>IFERROR(VLOOKUP(F6, 'api-register-id'!B:F, 5, FALSE), "Not found path.")</f>
        <v>APIMX000002</v>
      </c>
      <c r="F6" s="25" t="s">
        <v>72</v>
      </c>
      <c r="G6" s="26" t="s">
        <v>90</v>
      </c>
      <c r="H6" s="22" t="s">
        <v>91</v>
      </c>
      <c r="I6" s="29" t="str">
        <f>IFERROR(VLOOKUP(F6, 'api-register-id'!B:I, 8, FALSE), "Not found path.")</f>
        <v>1.16.1</v>
      </c>
      <c r="J6" s="3" t="s">
        <v>93</v>
      </c>
      <c r="K6" s="31" t="s">
        <v>48</v>
      </c>
      <c r="L6" s="23" t="s">
        <v>49</v>
      </c>
      <c r="M6" s="3" t="s">
        <v>95</v>
      </c>
      <c r="N6" s="3" t="str">
        <f t="shared" si="1"/>
        <v>POST /operationsAndExecution/v1/loanFacility/initiate</v>
      </c>
      <c r="O6" s="32" t="s">
        <v>96</v>
      </c>
      <c r="P6" s="32"/>
      <c r="Q6" s="61" t="s">
        <v>98</v>
      </c>
      <c r="R6" s="31" t="s">
        <v>56</v>
      </c>
      <c r="S6" s="38" t="str">
        <f t="shared" si="2"/>
        <v>https://github.com/SF-Bancoppel/mx-api-bc-bus-operations-and-execution</v>
      </c>
      <c r="T6" s="40"/>
      <c r="U6" s="22"/>
      <c r="V6" s="22" t="s">
        <v>99</v>
      </c>
      <c r="W6" s="40"/>
      <c r="X6" s="40"/>
      <c r="Y6" s="40"/>
      <c r="Z6" s="22"/>
      <c r="AA6" s="22"/>
      <c r="AB6" s="22"/>
    </row>
    <row r="7" ht="18.75" customHeight="1">
      <c r="A7" s="18" t="str">
        <f t="array" ref="A7">IFERROR(
  INDEX(
    'api-register-id'!A:A,
    MATCH(F7, 'api-register-id'!B:B, 0)
  ),
  "Not found Organization"
)</f>
        <v>SSFF</v>
      </c>
      <c r="B7" s="22" t="str">
        <f>IFERROR(VLOOKUP(F7, 'api-register-id'!B:F, 4, FALSE), "Not found path.")</f>
        <v>mx-api-bc-bus-operations-and-execution</v>
      </c>
      <c r="C7" s="23" t="s">
        <v>41</v>
      </c>
      <c r="D7" s="23" t="s">
        <v>42</v>
      </c>
      <c r="E7" s="24" t="str">
        <f>IFERROR(VLOOKUP(F7, 'api-register-id'!B:F, 5, FALSE), "Not found path.")</f>
        <v>APIMX000002</v>
      </c>
      <c r="F7" s="25" t="s">
        <v>72</v>
      </c>
      <c r="G7" s="26" t="s">
        <v>103</v>
      </c>
      <c r="H7" s="22" t="s">
        <v>104</v>
      </c>
      <c r="I7" s="29" t="str">
        <f>IFERROR(VLOOKUP(F7, 'api-register-id'!B:I, 8, FALSE), "Not found path.")</f>
        <v>1.16.1</v>
      </c>
      <c r="J7" s="3" t="s">
        <v>93</v>
      </c>
      <c r="K7" s="31" t="s">
        <v>48</v>
      </c>
      <c r="L7" s="23" t="s">
        <v>108</v>
      </c>
      <c r="M7" s="3" t="s">
        <v>109</v>
      </c>
      <c r="N7" s="3" t="str">
        <f t="shared" si="1"/>
        <v>GET /operationsAndExecution/v1/creditDataDocument/retrieve</v>
      </c>
      <c r="O7" s="32" t="s">
        <v>110</v>
      </c>
      <c r="P7" s="32"/>
      <c r="Q7" s="61" t="s">
        <v>98</v>
      </c>
      <c r="R7" s="31" t="s">
        <v>56</v>
      </c>
      <c r="S7" s="38" t="str">
        <f t="shared" si="2"/>
        <v>https://github.com/SF-Bancoppel/mx-api-bc-bus-operations-and-execution</v>
      </c>
      <c r="T7" s="40"/>
      <c r="U7" s="65"/>
      <c r="V7" s="22" t="s">
        <v>99</v>
      </c>
      <c r="W7" s="66"/>
      <c r="X7" s="66"/>
      <c r="Y7" s="66"/>
      <c r="Z7" s="65"/>
      <c r="AA7" s="65"/>
      <c r="AB7" s="65"/>
    </row>
    <row r="8" ht="18.75" customHeight="1">
      <c r="A8" s="18" t="str">
        <f t="array" ref="A8">IFERROR(
  INDEX(
    'api-register-id'!A:A,
    MATCH(F8, 'api-register-id'!B:B, 0)
  ),
  "Not found Organization"
)</f>
        <v>SSFF</v>
      </c>
      <c r="B8" s="22" t="str">
        <f>IFERROR(VLOOKUP(F8, 'api-register-id'!B:F, 4, FALSE), "Not found path.")</f>
        <v>mx-api-bc-bus-operations-and-execution</v>
      </c>
      <c r="C8" s="23" t="s">
        <v>41</v>
      </c>
      <c r="D8" s="23" t="s">
        <v>42</v>
      </c>
      <c r="E8" s="24" t="str">
        <f>IFERROR(VLOOKUP(F8, 'api-register-id'!B:F, 5, FALSE), "Not found path.")</f>
        <v>APIMX000002</v>
      </c>
      <c r="F8" s="25" t="s">
        <v>72</v>
      </c>
      <c r="G8" s="26" t="s">
        <v>114</v>
      </c>
      <c r="H8" s="22" t="s">
        <v>115</v>
      </c>
      <c r="I8" s="29" t="str">
        <f>IFERROR(VLOOKUP(F8, 'api-register-id'!B:I, 8, FALSE), "Not found path.")</f>
        <v>1.16.1</v>
      </c>
      <c r="J8" s="3" t="s">
        <v>93</v>
      </c>
      <c r="K8" s="31" t="s">
        <v>48</v>
      </c>
      <c r="L8" s="23" t="s">
        <v>108</v>
      </c>
      <c r="M8" s="3" t="s">
        <v>116</v>
      </c>
      <c r="N8" s="3" t="str">
        <f t="shared" si="1"/>
        <v>GET /operationsAndExecution/v1/customerCreditBalance/retrieve</v>
      </c>
      <c r="O8" s="32" t="s">
        <v>117</v>
      </c>
      <c r="P8" s="32"/>
      <c r="Q8" s="61" t="s">
        <v>98</v>
      </c>
      <c r="R8" s="31" t="s">
        <v>56</v>
      </c>
      <c r="S8" s="38" t="str">
        <f t="shared" si="2"/>
        <v>https://github.com/SF-Bancoppel/mx-api-bc-bus-operations-and-execution</v>
      </c>
      <c r="T8" s="40"/>
      <c r="U8" s="40"/>
      <c r="V8" s="22" t="s">
        <v>99</v>
      </c>
      <c r="W8" s="40"/>
      <c r="X8" s="40"/>
      <c r="Y8" s="40"/>
      <c r="Z8" s="40"/>
      <c r="AA8" s="40"/>
      <c r="AB8" s="40"/>
    </row>
    <row r="9" ht="18.75" customHeight="1">
      <c r="A9" s="18" t="str">
        <f t="array" ref="A9">IFERROR(
  INDEX(
    'api-register-id'!A:A,
    MATCH(F9, 'api-register-id'!B:B, 0)
  ),
  "Not found Organization"
)</f>
        <v>SSFF</v>
      </c>
      <c r="B9" s="22" t="str">
        <f>IFERROR(VLOOKUP(F9, 'api-register-id'!B:F, 4, FALSE), "Not found path.")</f>
        <v>mx-api-bc-bus-operations-and-execution</v>
      </c>
      <c r="C9" s="23" t="s">
        <v>41</v>
      </c>
      <c r="D9" s="23" t="s">
        <v>42</v>
      </c>
      <c r="E9" s="24" t="str">
        <f>IFERROR(VLOOKUP(F9, 'api-register-id'!B:F, 5, FALSE), "Not found path.")</f>
        <v>APIMX000002</v>
      </c>
      <c r="F9" s="25" t="s">
        <v>72</v>
      </c>
      <c r="G9" s="26" t="s">
        <v>123</v>
      </c>
      <c r="H9" s="22" t="s">
        <v>124</v>
      </c>
      <c r="I9" s="29" t="str">
        <f>IFERROR(VLOOKUP(F9, 'api-register-id'!B:I, 8, FALSE), "Not found path.")</f>
        <v>1.16.1</v>
      </c>
      <c r="J9" s="3" t="s">
        <v>93</v>
      </c>
      <c r="K9" s="31" t="s">
        <v>48</v>
      </c>
      <c r="L9" s="23" t="s">
        <v>108</v>
      </c>
      <c r="M9" s="3" t="s">
        <v>125</v>
      </c>
      <c r="N9" s="3" t="str">
        <f t="shared" si="1"/>
        <v>GET /operationsAndExecution/v1/customerProductInformation/{companyReference}/retrieve</v>
      </c>
      <c r="O9" s="32" t="s">
        <v>126</v>
      </c>
      <c r="P9" s="32"/>
      <c r="Q9" s="61" t="s">
        <v>98</v>
      </c>
      <c r="R9" s="31" t="s">
        <v>56</v>
      </c>
      <c r="S9" s="38" t="str">
        <f t="shared" si="2"/>
        <v>https://github.com/SF-Bancoppel/mx-api-bc-bus-operations-and-execution</v>
      </c>
      <c r="T9" s="40"/>
      <c r="U9" s="40"/>
      <c r="V9" s="22" t="s">
        <v>99</v>
      </c>
      <c r="W9" s="40"/>
      <c r="X9" s="40"/>
      <c r="Y9" s="40"/>
      <c r="Z9" s="40"/>
      <c r="AA9" s="40"/>
      <c r="AB9" s="40"/>
    </row>
    <row r="10" ht="18.75" customHeight="1">
      <c r="A10" s="18" t="str">
        <f t="array" ref="A10">IFERROR(
  INDEX(
    'api-register-id'!A:A,
    MATCH(F10, 'api-register-id'!B:B, 0)
  ),
  "Not found Organization"
)</f>
        <v>SSFF</v>
      </c>
      <c r="B10" s="22" t="str">
        <f>IFERROR(VLOOKUP(F10, 'api-register-id'!B:F, 4, FALSE), "Not found path.")</f>
        <v>mx-api-bc-bus-operations-and-execution</v>
      </c>
      <c r="C10" s="23" t="s">
        <v>41</v>
      </c>
      <c r="D10" s="23" t="s">
        <v>42</v>
      </c>
      <c r="E10" s="24" t="str">
        <f>IFERROR(VLOOKUP(F10, 'api-register-id'!B:F, 5, FALSE), "Not found path.")</f>
        <v>APIMX000002</v>
      </c>
      <c r="F10" s="25" t="s">
        <v>72</v>
      </c>
      <c r="G10" s="26" t="s">
        <v>127</v>
      </c>
      <c r="H10" s="22" t="s">
        <v>128</v>
      </c>
      <c r="I10" s="29" t="str">
        <f>IFERROR(VLOOKUP(F10, 'api-register-id'!B:I, 8, FALSE), "Not found path.")</f>
        <v>1.16.1</v>
      </c>
      <c r="J10" s="3" t="s">
        <v>93</v>
      </c>
      <c r="K10" s="31" t="s">
        <v>48</v>
      </c>
      <c r="L10" s="23" t="s">
        <v>108</v>
      </c>
      <c r="M10" s="3" t="s">
        <v>130</v>
      </c>
      <c r="N10" s="3" t="str">
        <f t="shared" si="1"/>
        <v>GET /operationsAndExecution/v1/balanceCreditProduct/retrieve</v>
      </c>
      <c r="O10" s="32" t="s">
        <v>131</v>
      </c>
      <c r="P10" s="32"/>
      <c r="Q10" s="61" t="s">
        <v>98</v>
      </c>
      <c r="R10" s="31" t="s">
        <v>56</v>
      </c>
      <c r="S10" s="38" t="str">
        <f t="shared" si="2"/>
        <v>https://github.com/SF-Bancoppel/mx-api-bc-bus-operations-and-execution</v>
      </c>
      <c r="T10" s="40"/>
      <c r="U10" s="40"/>
      <c r="V10" s="22" t="s">
        <v>99</v>
      </c>
      <c r="W10" s="40"/>
      <c r="X10" s="40"/>
      <c r="Y10" s="40"/>
      <c r="Z10" s="40"/>
      <c r="AA10" s="40"/>
      <c r="AB10" s="40"/>
    </row>
    <row r="11" ht="18.75" customHeight="1">
      <c r="A11" s="18" t="str">
        <f t="array" ref="A11">IFERROR(
  INDEX(
    'api-register-id'!A:A,
    MATCH(F11, 'api-register-id'!B:B, 0)
  ),
  "Not found Organization"
)</f>
        <v>SSFF</v>
      </c>
      <c r="B11" s="22" t="str">
        <f>IFERROR(VLOOKUP(F11, 'api-register-id'!B:F, 4, FALSE), "Not found path.")</f>
        <v>mx-api-bc-bus-operations-and-execution</v>
      </c>
      <c r="C11" s="23" t="s">
        <v>41</v>
      </c>
      <c r="D11" s="23" t="s">
        <v>42</v>
      </c>
      <c r="E11" s="24" t="str">
        <f>IFERROR(VLOOKUP(F11, 'api-register-id'!B:F, 5, FALSE), "Not found path.")</f>
        <v>APIMX000002</v>
      </c>
      <c r="F11" s="25" t="s">
        <v>72</v>
      </c>
      <c r="G11" s="26" t="s">
        <v>135</v>
      </c>
      <c r="H11" s="22" t="s">
        <v>136</v>
      </c>
      <c r="I11" s="29" t="str">
        <f>IFERROR(VLOOKUP(F11, 'api-register-id'!B:I, 8, FALSE), "Not found path.")</f>
        <v>1.16.1</v>
      </c>
      <c r="J11" s="3" t="s">
        <v>93</v>
      </c>
      <c r="K11" s="31" t="s">
        <v>48</v>
      </c>
      <c r="L11" s="23" t="s">
        <v>108</v>
      </c>
      <c r="M11" s="3" t="s">
        <v>137</v>
      </c>
      <c r="N11" s="3" t="str">
        <f t="shared" si="1"/>
        <v>GET /operationsAndExecution/v1/balanceCreditInformation/retrieve</v>
      </c>
      <c r="O11" s="32" t="s">
        <v>131</v>
      </c>
      <c r="P11" s="32"/>
      <c r="Q11" s="61" t="s">
        <v>98</v>
      </c>
      <c r="R11" s="31" t="s">
        <v>56</v>
      </c>
      <c r="S11" s="38" t="str">
        <f t="shared" si="2"/>
        <v>https://github.com/SF-Bancoppel/mx-api-bc-bus-operations-and-execution</v>
      </c>
      <c r="T11" s="40"/>
      <c r="U11" s="40"/>
      <c r="V11" s="22" t="s">
        <v>99</v>
      </c>
      <c r="W11" s="40"/>
      <c r="X11" s="40"/>
      <c r="Y11" s="40"/>
      <c r="Z11" s="40"/>
      <c r="AA11" s="40"/>
      <c r="AB11" s="40"/>
    </row>
    <row r="12" ht="18.75" customHeight="1">
      <c r="A12" s="18" t="str">
        <f t="array" ref="A12">IFERROR(
  INDEX(
    'api-register-id'!A:A,
    MATCH(F12, 'api-register-id'!B:B, 0)
  ),
  "Not found Organization"
)</f>
        <v>SSFF</v>
      </c>
      <c r="B12" s="22" t="str">
        <f>IFERROR(VLOOKUP(F12, 'api-register-id'!B:F, 4, FALSE), "Not found path.")</f>
        <v>mx-api-bc-bus-operations-and-execution</v>
      </c>
      <c r="C12" s="23" t="s">
        <v>41</v>
      </c>
      <c r="D12" s="23" t="s">
        <v>42</v>
      </c>
      <c r="E12" s="24" t="str">
        <f>IFERROR(VLOOKUP(F12, 'api-register-id'!B:F, 5, FALSE), "Not found path.")</f>
        <v>APIMX000002</v>
      </c>
      <c r="F12" s="25" t="s">
        <v>72</v>
      </c>
      <c r="G12" s="26" t="s">
        <v>142</v>
      </c>
      <c r="H12" s="22" t="s">
        <v>143</v>
      </c>
      <c r="I12" s="29" t="str">
        <f>IFERROR(VLOOKUP(F12, 'api-register-id'!B:I, 8, FALSE), "Not found path.")</f>
        <v>1.16.1</v>
      </c>
      <c r="J12" s="3" t="s">
        <v>93</v>
      </c>
      <c r="K12" s="31" t="s">
        <v>48</v>
      </c>
      <c r="L12" s="23" t="s">
        <v>108</v>
      </c>
      <c r="M12" s="3" t="s">
        <v>146</v>
      </c>
      <c r="N12" s="3" t="str">
        <f t="shared" si="1"/>
        <v>GET /operationsAndExecution/v1/loanAgreement/retrieve</v>
      </c>
      <c r="O12" s="32" t="s">
        <v>147</v>
      </c>
      <c r="P12" s="32"/>
      <c r="Q12" s="61" t="s">
        <v>98</v>
      </c>
      <c r="R12" s="31" t="s">
        <v>56</v>
      </c>
      <c r="S12" s="38" t="str">
        <f t="shared" si="2"/>
        <v>https://github.com/SF-Bancoppel/mx-api-bc-bus-operations-and-execution</v>
      </c>
      <c r="T12" s="40"/>
      <c r="U12" s="40"/>
      <c r="V12" s="22" t="s">
        <v>99</v>
      </c>
      <c r="W12" s="40"/>
      <c r="X12" s="40"/>
      <c r="Y12" s="40"/>
      <c r="Z12" s="40"/>
      <c r="AA12" s="40"/>
      <c r="AB12" s="40"/>
    </row>
    <row r="13" ht="18.75" customHeight="1">
      <c r="A13" s="18" t="str">
        <f t="array" ref="A13">IFERROR(
  INDEX(
    'api-register-id'!A:A,
    MATCH(F13, 'api-register-id'!B:B, 0)
  ),
  "Not found Organization"
)</f>
        <v>SSFF</v>
      </c>
      <c r="B13" s="22" t="str">
        <f>IFERROR(VLOOKUP(F13, 'api-register-id'!B:F, 4, FALSE), "Not found path.")</f>
        <v>mx-api-bc-bus-operations-and-execution</v>
      </c>
      <c r="C13" s="23" t="s">
        <v>41</v>
      </c>
      <c r="D13" s="23" t="s">
        <v>42</v>
      </c>
      <c r="E13" s="24" t="str">
        <f>IFERROR(VLOOKUP(F13, 'api-register-id'!B:F, 5, FALSE), "Not found path.")</f>
        <v>APIMX000002</v>
      </c>
      <c r="F13" s="25" t="s">
        <v>72</v>
      </c>
      <c r="G13" s="26" t="s">
        <v>149</v>
      </c>
      <c r="H13" s="22" t="s">
        <v>150</v>
      </c>
      <c r="I13" s="29" t="str">
        <f>IFERROR(VLOOKUP(F13, 'api-register-id'!B:I, 8, FALSE), "Not found path.")</f>
        <v>1.16.1</v>
      </c>
      <c r="J13" s="3" t="s">
        <v>93</v>
      </c>
      <c r="K13" s="31" t="s">
        <v>48</v>
      </c>
      <c r="L13" s="23" t="s">
        <v>108</v>
      </c>
      <c r="M13" s="3" t="s">
        <v>153</v>
      </c>
      <c r="N13" s="3" t="str">
        <f t="shared" si="1"/>
        <v>GET /operationsAndExecution/v1/savingAccountBalance/{companyReference}/retrieve</v>
      </c>
      <c r="O13" s="32" t="s">
        <v>154</v>
      </c>
      <c r="P13" s="32"/>
      <c r="Q13" s="61" t="s">
        <v>98</v>
      </c>
      <c r="R13" s="31" t="s">
        <v>56</v>
      </c>
      <c r="S13" s="38" t="str">
        <f t="shared" si="2"/>
        <v>https://github.com/SF-Bancoppel/mx-api-bc-bus-operations-and-execution</v>
      </c>
      <c r="T13" s="40"/>
      <c r="U13" s="40"/>
      <c r="V13" s="22" t="s">
        <v>99</v>
      </c>
      <c r="W13" s="40"/>
      <c r="X13" s="40"/>
      <c r="Y13" s="40"/>
      <c r="Z13" s="40"/>
      <c r="AA13" s="40"/>
      <c r="AB13" s="40"/>
    </row>
    <row r="14" ht="18.75" customHeight="1">
      <c r="A14" s="18" t="str">
        <f t="array" ref="A14">IFERROR(
  INDEX(
    'api-register-id'!A:A,
    MATCH(F14, 'api-register-id'!B:B, 0)
  ),
  "Not found Organization"
)</f>
        <v>SSFF</v>
      </c>
      <c r="B14" s="22" t="str">
        <f>IFERROR(VLOOKUP(F14, 'api-register-id'!B:F, 4, FALSE), "Not found path.")</f>
        <v>mx-api-bc-bus-operations-and-execution</v>
      </c>
      <c r="C14" s="23" t="s">
        <v>41</v>
      </c>
      <c r="D14" s="23" t="s">
        <v>42</v>
      </c>
      <c r="E14" s="24" t="str">
        <f>IFERROR(VLOOKUP(F14, 'api-register-id'!B:F, 5, FALSE), "Not found path.")</f>
        <v>APIMX000002</v>
      </c>
      <c r="F14" s="25" t="s">
        <v>72</v>
      </c>
      <c r="G14" s="26" t="s">
        <v>159</v>
      </c>
      <c r="H14" s="22" t="s">
        <v>160</v>
      </c>
      <c r="I14" s="29" t="str">
        <f>IFERROR(VLOOKUP(F14, 'api-register-id'!B:I, 8, FALSE), "Not found path.")</f>
        <v>1.16.1</v>
      </c>
      <c r="J14" s="3" t="s">
        <v>93</v>
      </c>
      <c r="K14" s="31" t="s">
        <v>48</v>
      </c>
      <c r="L14" s="23" t="s">
        <v>49</v>
      </c>
      <c r="M14" s="3" t="s">
        <v>163</v>
      </c>
      <c r="N14" s="3" t="str">
        <f t="shared" si="1"/>
        <v>POST /operationsAndExecution/v1/creditCardFacilityApplication/request</v>
      </c>
      <c r="O14" s="32" t="s">
        <v>164</v>
      </c>
      <c r="P14" s="32" t="s">
        <v>165</v>
      </c>
      <c r="Q14" s="61" t="s">
        <v>98</v>
      </c>
      <c r="R14" s="31" t="s">
        <v>56</v>
      </c>
      <c r="S14" s="38" t="str">
        <f t="shared" si="2"/>
        <v>https://github.com/SF-Bancoppel/mx-api-bc-bus-operations-and-execution</v>
      </c>
      <c r="T14" s="40"/>
      <c r="U14" s="40"/>
      <c r="V14" s="22" t="s">
        <v>99</v>
      </c>
      <c r="W14" s="40"/>
      <c r="X14" s="40"/>
      <c r="Y14" s="40"/>
      <c r="Z14" s="40"/>
      <c r="AA14" s="40"/>
      <c r="AB14" s="40"/>
    </row>
    <row r="15" ht="18.75" customHeight="1">
      <c r="A15" s="18" t="str">
        <f t="array" ref="A15">IFERROR(
  INDEX(
    'api-register-id'!A:A,
    MATCH(F15, 'api-register-id'!B:B, 0)
  ),
  "Not found Organization"
)</f>
        <v>SSFF</v>
      </c>
      <c r="B15" s="22" t="str">
        <f>IFERROR(VLOOKUP(F15, 'api-register-id'!B:F, 4, FALSE), "Not found path.")</f>
        <v>mx-api-bc-bus-operations-and-execution</v>
      </c>
      <c r="C15" s="23" t="s">
        <v>41</v>
      </c>
      <c r="D15" s="23" t="s">
        <v>42</v>
      </c>
      <c r="E15" s="24" t="str">
        <f>IFERROR(VLOOKUP(F15, 'api-register-id'!B:F, 5, FALSE), "Not found path.")</f>
        <v>APIMX000002</v>
      </c>
      <c r="F15" s="25" t="s">
        <v>72</v>
      </c>
      <c r="G15" s="26" t="s">
        <v>168</v>
      </c>
      <c r="H15" s="22" t="s">
        <v>169</v>
      </c>
      <c r="I15" s="29" t="str">
        <f>IFERROR(VLOOKUP(F15, 'api-register-id'!B:I, 8, FALSE), "Not found path.")</f>
        <v>1.16.1</v>
      </c>
      <c r="J15" s="3" t="s">
        <v>93</v>
      </c>
      <c r="K15" s="31" t="s">
        <v>48</v>
      </c>
      <c r="L15" s="23" t="s">
        <v>49</v>
      </c>
      <c r="M15" s="3" t="s">
        <v>171</v>
      </c>
      <c r="N15" s="3" t="str">
        <f t="shared" si="1"/>
        <v>POST /operationsAndExecution/v1/creditCardFacility/initiate</v>
      </c>
      <c r="O15" s="32" t="s">
        <v>172</v>
      </c>
      <c r="P15" s="32"/>
      <c r="Q15" s="61" t="s">
        <v>98</v>
      </c>
      <c r="R15" s="31" t="s">
        <v>56</v>
      </c>
      <c r="S15" s="38" t="str">
        <f t="shared" si="2"/>
        <v>https://github.com/SF-Bancoppel/mx-api-bc-bus-operations-and-execution</v>
      </c>
      <c r="T15" s="40"/>
      <c r="U15" s="40"/>
      <c r="V15" s="22" t="s">
        <v>99</v>
      </c>
      <c r="W15" s="40"/>
      <c r="X15" s="40"/>
      <c r="Y15" s="40"/>
      <c r="Z15" s="40"/>
      <c r="AA15" s="40"/>
      <c r="AB15" s="40"/>
    </row>
    <row r="16" ht="18.75" customHeight="1">
      <c r="A16" s="18" t="str">
        <f t="array" ref="A16">IFERROR(
  INDEX(
    'api-register-id'!A:A,
    MATCH(F16, 'api-register-id'!B:B, 0)
  ),
  "Not found Organization"
)</f>
        <v>SSFF</v>
      </c>
      <c r="B16" s="22" t="str">
        <f>IFERROR(VLOOKUP(F16, 'api-register-id'!B:F, 4, FALSE), "Not found path.")</f>
        <v>mx-api-bc-bus-operations-and-execution</v>
      </c>
      <c r="C16" s="23" t="s">
        <v>41</v>
      </c>
      <c r="D16" s="23" t="s">
        <v>42</v>
      </c>
      <c r="E16" s="24" t="str">
        <f>IFERROR(VLOOKUP(F16, 'api-register-id'!B:F, 5, FALSE), "Not found path.")</f>
        <v>APIMX000002</v>
      </c>
      <c r="F16" s="25" t="s">
        <v>72</v>
      </c>
      <c r="G16" s="26" t="s">
        <v>179</v>
      </c>
      <c r="H16" s="22" t="s">
        <v>180</v>
      </c>
      <c r="I16" s="29" t="str">
        <f>IFERROR(VLOOKUP(F16, 'api-register-id'!B:I, 8, FALSE), "Not found path.")</f>
        <v>1.16.1</v>
      </c>
      <c r="J16" s="3" t="s">
        <v>93</v>
      </c>
      <c r="K16" s="31" t="s">
        <v>48</v>
      </c>
      <c r="L16" s="23" t="s">
        <v>108</v>
      </c>
      <c r="M16" s="3" t="s">
        <v>182</v>
      </c>
      <c r="N16" s="3" t="str">
        <f t="shared" si="1"/>
        <v>GET /operationsAndExecution/v1/creditCardInformation/retrieve</v>
      </c>
      <c r="O16" s="32" t="s">
        <v>183</v>
      </c>
      <c r="P16" s="32"/>
      <c r="Q16" s="61" t="s">
        <v>98</v>
      </c>
      <c r="R16" s="31" t="s">
        <v>56</v>
      </c>
      <c r="S16" s="38" t="str">
        <f t="shared" si="2"/>
        <v>https://github.com/SF-Bancoppel/mx-api-bc-bus-operations-and-execution</v>
      </c>
      <c r="T16" s="40"/>
      <c r="U16" s="40"/>
      <c r="V16" s="22" t="s">
        <v>99</v>
      </c>
      <c r="W16" s="40"/>
      <c r="X16" s="40"/>
      <c r="Y16" s="40"/>
      <c r="Z16" s="40"/>
      <c r="AA16" s="40"/>
      <c r="AB16" s="40"/>
    </row>
    <row r="17" ht="18.75" customHeight="1">
      <c r="A17" s="18" t="str">
        <f t="array" ref="A17">IFERROR(
  INDEX(
    'api-register-id'!A:A,
    MATCH(F17, 'api-register-id'!B:B, 0)
  ),
  "Not found Organization"
)</f>
        <v>SSFF</v>
      </c>
      <c r="B17" s="22" t="str">
        <f>IFERROR(VLOOKUP(F17, 'api-register-id'!B:F, 4, FALSE), "Not found path.")</f>
        <v>mx-api-bc-bus-operations-and-execution</v>
      </c>
      <c r="C17" s="23" t="s">
        <v>41</v>
      </c>
      <c r="D17" s="23" t="s">
        <v>42</v>
      </c>
      <c r="E17" s="24" t="str">
        <f>IFERROR(VLOOKUP(F17, 'api-register-id'!B:F, 5, FALSE), "Not found path.")</f>
        <v>APIMX000002</v>
      </c>
      <c r="F17" s="25" t="s">
        <v>72</v>
      </c>
      <c r="G17" s="26" t="s">
        <v>187</v>
      </c>
      <c r="H17" s="22" t="s">
        <v>188</v>
      </c>
      <c r="I17" s="29" t="str">
        <f>IFERROR(VLOOKUP(F17, 'api-register-id'!B:I, 8, FALSE), "Not found path.")</f>
        <v>1.16.1</v>
      </c>
      <c r="J17" s="3" t="s">
        <v>93</v>
      </c>
      <c r="K17" s="31" t="s">
        <v>48</v>
      </c>
      <c r="L17" s="23" t="s">
        <v>108</v>
      </c>
      <c r="M17" s="3" t="s">
        <v>190</v>
      </c>
      <c r="N17" s="3" t="str">
        <f t="shared" si="1"/>
        <v>GET /operationsAndExecution/v1/creditCardCashProvision/retrieve</v>
      </c>
      <c r="O17" s="32" t="s">
        <v>191</v>
      </c>
      <c r="P17" s="32"/>
      <c r="Q17" s="61" t="s">
        <v>98</v>
      </c>
      <c r="R17" s="31" t="s">
        <v>56</v>
      </c>
      <c r="S17" s="38" t="str">
        <f t="shared" si="2"/>
        <v>https://github.com/SF-Bancoppel/mx-api-bc-bus-operations-and-execution</v>
      </c>
      <c r="T17" s="40"/>
      <c r="U17" s="40"/>
      <c r="V17" s="22" t="s">
        <v>99</v>
      </c>
      <c r="W17" s="40"/>
      <c r="X17" s="40"/>
      <c r="Y17" s="40"/>
      <c r="Z17" s="40"/>
      <c r="AA17" s="40"/>
      <c r="AB17" s="40"/>
    </row>
    <row r="18" ht="18.75" customHeight="1">
      <c r="A18" s="18" t="str">
        <f t="array" ref="A18">IFERROR(
  INDEX(
    'api-register-id'!A:A,
    MATCH(F18, 'api-register-id'!B:B, 0)
  ),
  "Not found Organization"
)</f>
        <v>SSFF</v>
      </c>
      <c r="B18" s="22" t="str">
        <f>IFERROR(VLOOKUP(F18, 'api-register-id'!B:F, 4, FALSE), "Not found path.")</f>
        <v>mx-api-bc-bus-operations-and-execution</v>
      </c>
      <c r="C18" s="23" t="s">
        <v>41</v>
      </c>
      <c r="D18" s="23" t="s">
        <v>42</v>
      </c>
      <c r="E18" s="24" t="str">
        <f>IFERROR(VLOOKUP(F18, 'api-register-id'!B:F, 5, FALSE), "Not found path.")</f>
        <v>APIMX000002</v>
      </c>
      <c r="F18" s="25" t="s">
        <v>72</v>
      </c>
      <c r="G18" s="26" t="s">
        <v>196</v>
      </c>
      <c r="H18" s="22" t="s">
        <v>197</v>
      </c>
      <c r="I18" s="29" t="str">
        <f>IFERROR(VLOOKUP(F18, 'api-register-id'!B:I, 8, FALSE), "Not found path.")</f>
        <v>1.16.1</v>
      </c>
      <c r="J18" s="3" t="s">
        <v>93</v>
      </c>
      <c r="K18" s="31" t="s">
        <v>48</v>
      </c>
      <c r="L18" s="23" t="s">
        <v>49</v>
      </c>
      <c r="M18" s="3" t="s">
        <v>199</v>
      </c>
      <c r="N18" s="3" t="str">
        <f t="shared" si="1"/>
        <v>POST /operationsAndExecution/v1/creditCardActivationLog/initiate</v>
      </c>
      <c r="O18" s="32" t="s">
        <v>200</v>
      </c>
      <c r="P18" s="32"/>
      <c r="Q18" s="61" t="s">
        <v>98</v>
      </c>
      <c r="R18" s="31" t="s">
        <v>56</v>
      </c>
      <c r="S18" s="38" t="str">
        <f t="shared" si="2"/>
        <v>https://github.com/SF-Bancoppel/mx-api-bc-bus-operations-and-execution</v>
      </c>
      <c r="T18" s="40"/>
      <c r="U18" s="40"/>
      <c r="V18" s="22" t="s">
        <v>99</v>
      </c>
      <c r="W18" s="40"/>
      <c r="X18" s="40"/>
      <c r="Y18" s="40"/>
      <c r="Z18" s="40"/>
      <c r="AA18" s="40"/>
      <c r="AB18" s="40"/>
    </row>
    <row r="19" ht="18.75" customHeight="1">
      <c r="A19" s="18" t="str">
        <f t="array" ref="A19">IFERROR(
  INDEX(
    'api-register-id'!A:A,
    MATCH(F19, 'api-register-id'!B:B, 0)
  ),
  "Not found Organization"
)</f>
        <v>SSFF</v>
      </c>
      <c r="B19" s="22" t="str">
        <f>IFERROR(VLOOKUP(F19, 'api-register-id'!B:F, 4, FALSE), "Not found path.")</f>
        <v>mx-api-bc-bus-operations-and-execution</v>
      </c>
      <c r="C19" s="23" t="s">
        <v>41</v>
      </c>
      <c r="D19" s="23" t="s">
        <v>42</v>
      </c>
      <c r="E19" s="24" t="str">
        <f>IFERROR(VLOOKUP(F19, 'api-register-id'!B:F, 5, FALSE), "Not found path.")</f>
        <v>APIMX000002</v>
      </c>
      <c r="F19" s="25" t="s">
        <v>72</v>
      </c>
      <c r="G19" s="26" t="s">
        <v>204</v>
      </c>
      <c r="H19" s="22" t="s">
        <v>205</v>
      </c>
      <c r="I19" s="29" t="str">
        <f>IFERROR(VLOOKUP(F19, 'api-register-id'!B:I, 8, FALSE), "Not found path.")</f>
        <v>1.16.1</v>
      </c>
      <c r="J19" s="3" t="s">
        <v>93</v>
      </c>
      <c r="K19" s="31" t="s">
        <v>48</v>
      </c>
      <c r="L19" s="23" t="s">
        <v>49</v>
      </c>
      <c r="M19" s="3" t="s">
        <v>209</v>
      </c>
      <c r="N19" s="3" t="str">
        <f t="shared" si="1"/>
        <v>POST /operationsAndExecution/v1/creditCardHolder/retrieve</v>
      </c>
      <c r="O19" s="32" t="s">
        <v>210</v>
      </c>
      <c r="P19" s="32"/>
      <c r="Q19" s="61" t="s">
        <v>98</v>
      </c>
      <c r="R19" s="31" t="s">
        <v>56</v>
      </c>
      <c r="S19" s="38" t="str">
        <f t="shared" si="2"/>
        <v>https://github.com/SF-Bancoppel/mx-api-bc-bus-operations-and-execution</v>
      </c>
      <c r="T19" s="40"/>
      <c r="U19" s="40"/>
      <c r="V19" s="22" t="s">
        <v>99</v>
      </c>
      <c r="W19" s="40"/>
      <c r="X19" s="40"/>
      <c r="Y19" s="40"/>
      <c r="Z19" s="40"/>
      <c r="AA19" s="40"/>
      <c r="AB19" s="40"/>
    </row>
    <row r="20" ht="18.75" customHeight="1">
      <c r="A20" s="18" t="str">
        <f t="array" ref="A20">IFERROR(
  INDEX(
    'api-register-id'!A:A,
    MATCH(F20, 'api-register-id'!B:B, 0)
  ),
  "Not found Organization"
)</f>
        <v>SSFF</v>
      </c>
      <c r="B20" s="22" t="str">
        <f>IFERROR(VLOOKUP(F20, 'api-register-id'!B:F, 4, FALSE), "Not found path.")</f>
        <v>mx-api-bc-bus-operations-and-execution</v>
      </c>
      <c r="C20" s="23" t="s">
        <v>41</v>
      </c>
      <c r="D20" s="23" t="s">
        <v>42</v>
      </c>
      <c r="E20" s="24" t="str">
        <f>IFERROR(VLOOKUP(F20, 'api-register-id'!B:F, 5, FALSE), "Not found path.")</f>
        <v>APIMX000002</v>
      </c>
      <c r="F20" s="25" t="s">
        <v>72</v>
      </c>
      <c r="G20" s="26" t="s">
        <v>213</v>
      </c>
      <c r="H20" s="22" t="s">
        <v>214</v>
      </c>
      <c r="I20" s="29" t="str">
        <f>IFERROR(VLOOKUP(F20, 'api-register-id'!B:I, 8, FALSE), "Not found path.")</f>
        <v>1.16.1</v>
      </c>
      <c r="J20" s="3" t="s">
        <v>93</v>
      </c>
      <c r="K20" s="31" t="s">
        <v>48</v>
      </c>
      <c r="L20" s="23" t="s">
        <v>49</v>
      </c>
      <c r="M20" s="3" t="s">
        <v>215</v>
      </c>
      <c r="N20" s="3" t="str">
        <f t="shared" si="1"/>
        <v>POST /operationsAndExecution/v1/customerUpgrade/register</v>
      </c>
      <c r="O20" s="32" t="s">
        <v>216</v>
      </c>
      <c r="P20" s="32"/>
      <c r="Q20" s="61" t="s">
        <v>98</v>
      </c>
      <c r="R20" s="31" t="s">
        <v>56</v>
      </c>
      <c r="S20" s="38" t="str">
        <f t="shared" si="2"/>
        <v>https://github.com/SF-Bancoppel/mx-api-bc-bus-operations-and-execution</v>
      </c>
      <c r="T20" s="40"/>
      <c r="U20" s="40"/>
      <c r="V20" s="22" t="s">
        <v>99</v>
      </c>
      <c r="W20" s="40"/>
      <c r="X20" s="40"/>
      <c r="Y20" s="40"/>
      <c r="Z20" s="40"/>
      <c r="AA20" s="40"/>
      <c r="AB20" s="40"/>
    </row>
    <row r="21" ht="18.75" customHeight="1">
      <c r="A21" s="18" t="str">
        <f t="array" ref="A21">IFERROR(
  INDEX(
    'api-register-id'!A:A,
    MATCH(F21, 'api-register-id'!B:B, 0)
  ),
  "Not found Organization"
)</f>
        <v>SSFF</v>
      </c>
      <c r="B21" s="22" t="str">
        <f>IFERROR(VLOOKUP(F21, 'api-register-id'!B:F, 4, FALSE), "Not found path.")</f>
        <v>mx-api-bc-bus-operations-and-execution</v>
      </c>
      <c r="C21" s="23" t="s">
        <v>41</v>
      </c>
      <c r="D21" s="23" t="s">
        <v>42</v>
      </c>
      <c r="E21" s="24" t="str">
        <f>IFERROR(VLOOKUP(F21, 'api-register-id'!B:F, 5, FALSE), "Not found path.")</f>
        <v>APIMX000002</v>
      </c>
      <c r="F21" s="25" t="s">
        <v>72</v>
      </c>
      <c r="G21" s="26" t="s">
        <v>223</v>
      </c>
      <c r="H21" s="22" t="s">
        <v>224</v>
      </c>
      <c r="I21" s="29" t="str">
        <f>IFERROR(VLOOKUP(F21, 'api-register-id'!B:I, 8, FALSE), "Not found path.")</f>
        <v>1.16.1</v>
      </c>
      <c r="J21" s="3" t="s">
        <v>93</v>
      </c>
      <c r="K21" s="31" t="s">
        <v>48</v>
      </c>
      <c r="L21" s="23" t="s">
        <v>49</v>
      </c>
      <c r="M21" s="3" t="s">
        <v>227</v>
      </c>
      <c r="N21" s="3" t="str">
        <f t="shared" si="1"/>
        <v>POST /operationsAndExecution/v1/customerUpgrade/initiate</v>
      </c>
      <c r="O21" s="32" t="s">
        <v>228</v>
      </c>
      <c r="P21" s="32"/>
      <c r="Q21" s="61" t="s">
        <v>98</v>
      </c>
      <c r="R21" s="31" t="s">
        <v>56</v>
      </c>
      <c r="S21" s="38" t="str">
        <f t="shared" si="2"/>
        <v>https://github.com/SF-Bancoppel/mx-api-bc-bus-operations-and-execution</v>
      </c>
      <c r="T21" s="40"/>
      <c r="U21" s="40"/>
      <c r="V21" s="22" t="s">
        <v>99</v>
      </c>
      <c r="W21" s="40"/>
      <c r="X21" s="40"/>
      <c r="Y21" s="40"/>
      <c r="Z21" s="40"/>
      <c r="AA21" s="40"/>
      <c r="AB21" s="40"/>
    </row>
    <row r="22" ht="18.75" customHeight="1">
      <c r="A22" s="18" t="str">
        <f t="array" ref="A22">IFERROR(
  INDEX(
    'api-register-id'!A:A,
    MATCH(F22, 'api-register-id'!B:B, 0)
  ),
  "Not found Organization"
)</f>
        <v>SSFF</v>
      </c>
      <c r="B22" s="22" t="str">
        <f>IFERROR(VLOOKUP(F22, 'api-register-id'!B:F, 4, FALSE), "Not found path.")</f>
        <v>mx-api-bc-bus-operations-and-execution</v>
      </c>
      <c r="C22" s="23" t="s">
        <v>41</v>
      </c>
      <c r="D22" s="23" t="s">
        <v>42</v>
      </c>
      <c r="E22" s="24" t="str">
        <f>IFERROR(VLOOKUP(F22, 'api-register-id'!B:F, 5, FALSE), "Not found path.")</f>
        <v>APIMX000002</v>
      </c>
      <c r="F22" s="25" t="s">
        <v>72</v>
      </c>
      <c r="G22" s="26" t="s">
        <v>232</v>
      </c>
      <c r="H22" s="22" t="s">
        <v>233</v>
      </c>
      <c r="I22" s="29" t="str">
        <f>IFERROR(VLOOKUP(F22, 'api-register-id'!B:I, 8, FALSE), "Not found path.")</f>
        <v>1.16.1</v>
      </c>
      <c r="J22" s="3" t="s">
        <v>93</v>
      </c>
      <c r="K22" s="31" t="s">
        <v>48</v>
      </c>
      <c r="L22" s="23" t="s">
        <v>49</v>
      </c>
      <c r="M22" s="3" t="s">
        <v>234</v>
      </c>
      <c r="N22" s="3" t="str">
        <f t="shared" si="1"/>
        <v>POST /operationsAndExecution/v1/customerUpgrade/retrieve</v>
      </c>
      <c r="O22" s="32" t="s">
        <v>235</v>
      </c>
      <c r="P22" s="32"/>
      <c r="Q22" s="61" t="s">
        <v>98</v>
      </c>
      <c r="R22" s="31" t="s">
        <v>56</v>
      </c>
      <c r="S22" s="38" t="str">
        <f t="shared" si="2"/>
        <v>https://github.com/SF-Bancoppel/mx-api-bc-bus-operations-and-execution</v>
      </c>
      <c r="T22" s="40"/>
      <c r="U22" s="40"/>
      <c r="V22" s="22" t="s">
        <v>99</v>
      </c>
      <c r="W22" s="40"/>
      <c r="X22" s="40"/>
      <c r="Y22" s="40"/>
      <c r="Z22" s="40"/>
      <c r="AA22" s="40"/>
      <c r="AB22" s="40"/>
    </row>
    <row r="23" ht="18.75" customHeight="1">
      <c r="A23" s="18" t="str">
        <f t="array" ref="A23">IFERROR(
  INDEX(
    'api-register-id'!A:A,
    MATCH(F23, 'api-register-id'!B:B, 0)
  ),
  "Not found Organization"
)</f>
        <v>SSFF</v>
      </c>
      <c r="B23" s="22" t="str">
        <f>IFERROR(VLOOKUP(F23, 'api-register-id'!B:F, 4, FALSE), "Not found path.")</f>
        <v>mx-api-bc-bus-operations-and-execution</v>
      </c>
      <c r="C23" s="23" t="s">
        <v>41</v>
      </c>
      <c r="D23" s="23" t="s">
        <v>42</v>
      </c>
      <c r="E23" s="24" t="str">
        <f>IFERROR(VLOOKUP(F23, 'api-register-id'!B:F, 5, FALSE), "Not found path.")</f>
        <v>APIMX000002</v>
      </c>
      <c r="F23" s="25" t="s">
        <v>72</v>
      </c>
      <c r="G23" s="26" t="s">
        <v>244</v>
      </c>
      <c r="H23" s="22" t="s">
        <v>245</v>
      </c>
      <c r="I23" s="29" t="str">
        <f>IFERROR(VLOOKUP(F23, 'api-register-id'!B:I, 8, FALSE), "Not found path.")</f>
        <v>1.16.1</v>
      </c>
      <c r="J23" s="3" t="s">
        <v>93</v>
      </c>
      <c r="K23" s="31" t="s">
        <v>48</v>
      </c>
      <c r="L23" s="23" t="s">
        <v>49</v>
      </c>
      <c r="M23" s="3" t="s">
        <v>246</v>
      </c>
      <c r="N23" s="3" t="str">
        <f t="shared" si="1"/>
        <v>POST /operationsAndExecution/v1/balanceProduct/retrieve</v>
      </c>
      <c r="O23" s="32" t="s">
        <v>248</v>
      </c>
      <c r="P23" s="32"/>
      <c r="Q23" s="61" t="s">
        <v>98</v>
      </c>
      <c r="R23" s="31" t="s">
        <v>56</v>
      </c>
      <c r="S23" s="38" t="str">
        <f t="shared" si="2"/>
        <v>https://github.com/SF-Bancoppel/mx-api-bc-bus-operations-and-execution</v>
      </c>
      <c r="T23" s="40"/>
      <c r="U23" s="40"/>
      <c r="V23" s="22" t="s">
        <v>99</v>
      </c>
      <c r="W23" s="40"/>
      <c r="X23" s="40"/>
      <c r="Y23" s="40"/>
      <c r="Z23" s="40"/>
      <c r="AA23" s="40"/>
      <c r="AB23" s="40"/>
    </row>
    <row r="24" ht="18.75" customHeight="1">
      <c r="A24" s="18" t="str">
        <f t="array" ref="A24">IFERROR(
  INDEX(
    'api-register-id'!A:A,
    MATCH(F24, 'api-register-id'!B:B, 0)
  ),
  "Not found Organization"
)</f>
        <v>SSFF</v>
      </c>
      <c r="B24" s="22" t="str">
        <f>IFERROR(VLOOKUP(F24, 'api-register-id'!B:F, 4, FALSE), "Not found path.")</f>
        <v>mx-api-bc-bus-operations-and-execution</v>
      </c>
      <c r="C24" s="23" t="s">
        <v>41</v>
      </c>
      <c r="D24" s="23" t="s">
        <v>42</v>
      </c>
      <c r="E24" s="24" t="str">
        <f>IFERROR(VLOOKUP(F24, 'api-register-id'!B:F, 5, FALSE), "Not found path.")</f>
        <v>APIMX000002</v>
      </c>
      <c r="F24" s="25" t="s">
        <v>72</v>
      </c>
      <c r="G24" s="26" t="s">
        <v>252</v>
      </c>
      <c r="H24" s="22" t="s">
        <v>253</v>
      </c>
      <c r="I24" s="29" t="str">
        <f>IFERROR(VLOOKUP(F24, 'api-register-id'!B:I, 8, FALSE), "Not found path.")</f>
        <v>1.16.1</v>
      </c>
      <c r="J24" s="3" t="s">
        <v>93</v>
      </c>
      <c r="K24" s="31" t="s">
        <v>48</v>
      </c>
      <c r="L24" s="23" t="s">
        <v>61</v>
      </c>
      <c r="M24" s="3" t="s">
        <v>256</v>
      </c>
      <c r="N24" s="3" t="str">
        <f t="shared" si="1"/>
        <v>PUT /operationsAndExecution/v1/creditCardStatus/control</v>
      </c>
      <c r="O24" s="32" t="s">
        <v>258</v>
      </c>
      <c r="P24" s="32"/>
      <c r="Q24" s="61" t="s">
        <v>98</v>
      </c>
      <c r="R24" s="31" t="s">
        <v>56</v>
      </c>
      <c r="S24" s="38" t="str">
        <f t="shared" si="2"/>
        <v>https://github.com/SF-Bancoppel/mx-api-bc-bus-operations-and-execution</v>
      </c>
      <c r="T24" s="40"/>
      <c r="U24" s="40"/>
      <c r="V24" s="22" t="s">
        <v>99</v>
      </c>
      <c r="W24" s="40"/>
      <c r="X24" s="40"/>
      <c r="Y24" s="40"/>
      <c r="Z24" s="40"/>
      <c r="AA24" s="40"/>
      <c r="AB24" s="40"/>
    </row>
    <row r="25" ht="18.75" customHeight="1">
      <c r="A25" s="18" t="str">
        <f t="array" ref="A25">IFERROR(
  INDEX(
    'api-register-id'!A:A,
    MATCH(F25, 'api-register-id'!B:B, 0)
  ),
  "Not found Organization"
)</f>
        <v>SSFF</v>
      </c>
      <c r="B25" s="22" t="str">
        <f>IFERROR(VLOOKUP(F25, 'api-register-id'!B:F, 4, FALSE), "Not found path.")</f>
        <v>mx-api-bc-bus-operations-and-execution</v>
      </c>
      <c r="C25" s="78" t="s">
        <v>41</v>
      </c>
      <c r="D25" s="78" t="s">
        <v>42</v>
      </c>
      <c r="E25" s="24" t="str">
        <f>IFERROR(VLOOKUP(F25, 'api-register-id'!B:F, 5, FALSE), "Not found path.")</f>
        <v>APIMX000002</v>
      </c>
      <c r="F25" s="25" t="s">
        <v>72</v>
      </c>
      <c r="G25" s="26" t="s">
        <v>262</v>
      </c>
      <c r="H25" s="22" t="s">
        <v>263</v>
      </c>
      <c r="I25" s="29" t="str">
        <f>IFERROR(VLOOKUP(F25, 'api-register-id'!B:I, 8, FALSE), "Not found path.")</f>
        <v>1.16.1</v>
      </c>
      <c r="J25" s="3" t="s">
        <v>93</v>
      </c>
      <c r="K25" s="31" t="s">
        <v>48</v>
      </c>
      <c r="L25" s="78" t="s">
        <v>49</v>
      </c>
      <c r="M25" s="3" t="s">
        <v>267</v>
      </c>
      <c r="N25" s="3" t="str">
        <f t="shared" si="1"/>
        <v>POST /operationsAndExecution/v1/executionCashAdvance/initiate</v>
      </c>
      <c r="O25" s="32" t="s">
        <v>268</v>
      </c>
      <c r="P25" s="32"/>
      <c r="Q25" s="61" t="s">
        <v>98</v>
      </c>
      <c r="R25" s="31" t="s">
        <v>56</v>
      </c>
      <c r="S25" s="38" t="str">
        <f t="shared" si="2"/>
        <v>https://github.com/SF-Bancoppel/mx-api-bc-bus-operations-and-execution</v>
      </c>
      <c r="T25" s="40"/>
      <c r="U25" s="40"/>
      <c r="V25" s="22" t="s">
        <v>269</v>
      </c>
      <c r="W25" s="40"/>
      <c r="X25" s="40"/>
      <c r="Y25" s="40"/>
      <c r="Z25" s="40"/>
      <c r="AA25" s="40"/>
      <c r="AB25" s="40"/>
    </row>
    <row r="26" ht="18.75" customHeight="1">
      <c r="A26" s="18" t="str">
        <f t="array" ref="A26">IFERROR(
  INDEX(
    'api-register-id'!A:A,
    MATCH(F26, 'api-register-id'!B:B, 0)
  ),
  "Not found Organization"
)</f>
        <v>SSFF</v>
      </c>
      <c r="B26" s="22" t="str">
        <f>IFERROR(VLOOKUP(F26, 'api-register-id'!B:F, 4, FALSE), "Not found path.")</f>
        <v>mx-api-bc-bus-reference-data</v>
      </c>
      <c r="C26" s="23" t="s">
        <v>41</v>
      </c>
      <c r="D26" s="23" t="s">
        <v>42</v>
      </c>
      <c r="E26" s="24" t="str">
        <f>IFERROR(VLOOKUP(F26, 'api-register-id'!B:F, 5, FALSE), "Not found path.")</f>
        <v>APIMX000003</v>
      </c>
      <c r="F26" s="25" t="s">
        <v>86</v>
      </c>
      <c r="G26" s="26" t="s">
        <v>272</v>
      </c>
      <c r="H26" s="22" t="s">
        <v>273</v>
      </c>
      <c r="I26" s="29" t="str">
        <f>IFERROR(VLOOKUP(F26, 'api-register-id'!B:I, 8, FALSE), "Not found path.")</f>
        <v>1.7.0</v>
      </c>
      <c r="J26" s="3" t="s">
        <v>274</v>
      </c>
      <c r="K26" s="31" t="s">
        <v>48</v>
      </c>
      <c r="L26" s="23" t="s">
        <v>108</v>
      </c>
      <c r="M26" s="3" t="s">
        <v>275</v>
      </c>
      <c r="N26" s="3" t="str">
        <f t="shared" si="1"/>
        <v>GET /referenceData/v1/ocrDocument/retrieve</v>
      </c>
      <c r="O26" s="32" t="s">
        <v>277</v>
      </c>
      <c r="P26" s="32"/>
      <c r="Q26" s="61" t="s">
        <v>278</v>
      </c>
      <c r="R26" s="31" t="s">
        <v>56</v>
      </c>
      <c r="S26" s="38" t="str">
        <f t="shared" si="2"/>
        <v>https://github.com/SF-Bancoppel/mx-api-bc-bus-reference-data</v>
      </c>
      <c r="T26" s="40"/>
      <c r="U26" s="40"/>
      <c r="V26" s="40"/>
      <c r="W26" s="40"/>
      <c r="X26" s="40"/>
      <c r="Y26" s="40"/>
      <c r="Z26" s="40"/>
      <c r="AA26" s="40"/>
      <c r="AB26" s="40"/>
    </row>
    <row r="27" ht="18.75" customHeight="1">
      <c r="A27" s="18" t="str">
        <f t="array" ref="A27">IFERROR(
  INDEX(
    'api-register-id'!A:A,
    MATCH(F27, 'api-register-id'!B:B, 0)
  ),
  "Not found Organization"
)</f>
        <v>SSFF</v>
      </c>
      <c r="B27" s="22" t="str">
        <f>IFERROR(VLOOKUP(F27, 'api-register-id'!B:F, 4, FALSE), "Not found path.")</f>
        <v>mx-api-bc-bus-reference-data</v>
      </c>
      <c r="C27" s="23" t="s">
        <v>41</v>
      </c>
      <c r="D27" s="23" t="s">
        <v>42</v>
      </c>
      <c r="E27" s="24" t="str">
        <f>IFERROR(VLOOKUP(F27, 'api-register-id'!B:F, 5, FALSE), "Not found path.")</f>
        <v>APIMX000003</v>
      </c>
      <c r="F27" s="25" t="s">
        <v>86</v>
      </c>
      <c r="G27" s="26" t="s">
        <v>283</v>
      </c>
      <c r="H27" s="22" t="s">
        <v>284</v>
      </c>
      <c r="I27" s="29" t="str">
        <f>IFERROR(VLOOKUP(F27, 'api-register-id'!B:I, 8, FALSE), "Not found path.")</f>
        <v>1.7.0</v>
      </c>
      <c r="J27" s="3" t="s">
        <v>274</v>
      </c>
      <c r="K27" s="31" t="s">
        <v>48</v>
      </c>
      <c r="L27" s="23" t="s">
        <v>49</v>
      </c>
      <c r="M27" s="3" t="s">
        <v>286</v>
      </c>
      <c r="N27" s="3" t="str">
        <f t="shared" si="1"/>
        <v>POST /referenceData/v1/onboardingPartySuitability/evaluate</v>
      </c>
      <c r="O27" s="32" t="s">
        <v>287</v>
      </c>
      <c r="P27" s="32"/>
      <c r="Q27" s="61" t="s">
        <v>278</v>
      </c>
      <c r="R27" s="31" t="s">
        <v>56</v>
      </c>
      <c r="S27" s="38" t="str">
        <f t="shared" si="2"/>
        <v>https://github.com/SF-Bancoppel/mx-api-bc-bus-reference-data</v>
      </c>
      <c r="T27" s="40"/>
      <c r="U27" s="22"/>
      <c r="V27" s="40"/>
      <c r="W27" s="40"/>
      <c r="X27" s="40"/>
      <c r="Y27" s="40"/>
      <c r="Z27" s="22"/>
      <c r="AA27" s="22"/>
      <c r="AB27" s="22"/>
    </row>
    <row r="28" ht="18.75" customHeight="1">
      <c r="A28" s="18" t="str">
        <f t="array" ref="A28">IFERROR(
  INDEX(
    'api-register-id'!A:A,
    MATCH(F28, 'api-register-id'!B:B, 0)
  ),
  "Not found Organization"
)</f>
        <v>SSFF</v>
      </c>
      <c r="B28" s="22" t="str">
        <f>IFERROR(VLOOKUP(F28, 'api-register-id'!B:F, 4, FALSE), "Not found path.")</f>
        <v>mx-api-bc-bus-reference-data</v>
      </c>
      <c r="C28" s="23" t="s">
        <v>41</v>
      </c>
      <c r="D28" s="23" t="s">
        <v>42</v>
      </c>
      <c r="E28" s="24" t="str">
        <f>IFERROR(VLOOKUP(F28, 'api-register-id'!B:F, 5, FALSE), "Not found path.")</f>
        <v>APIMX000003</v>
      </c>
      <c r="F28" s="25" t="s">
        <v>86</v>
      </c>
      <c r="G28" s="26" t="s">
        <v>289</v>
      </c>
      <c r="H28" s="22" t="s">
        <v>290</v>
      </c>
      <c r="I28" s="29" t="str">
        <f>IFERROR(VLOOKUP(F28, 'api-register-id'!B:I, 8, FALSE), "Not found path.")</f>
        <v>1.7.0</v>
      </c>
      <c r="J28" s="3" t="s">
        <v>274</v>
      </c>
      <c r="K28" s="31" t="s">
        <v>48</v>
      </c>
      <c r="L28" s="23" t="s">
        <v>49</v>
      </c>
      <c r="M28" s="3" t="s">
        <v>292</v>
      </c>
      <c r="N28" s="3" t="str">
        <f t="shared" si="1"/>
        <v>POST /referenceData/v1/reviewCustomerAccount/evaluate</v>
      </c>
      <c r="O28" s="32" t="s">
        <v>293</v>
      </c>
      <c r="P28" s="32"/>
      <c r="Q28" s="61" t="s">
        <v>98</v>
      </c>
      <c r="R28" s="31" t="s">
        <v>56</v>
      </c>
      <c r="S28" s="38" t="str">
        <f t="shared" si="2"/>
        <v>https://github.com/SF-Bancoppel/mx-api-bc-bus-reference-data</v>
      </c>
      <c r="T28" s="40"/>
      <c r="U28" s="22"/>
      <c r="V28" s="22" t="s">
        <v>269</v>
      </c>
      <c r="W28" s="40"/>
      <c r="X28" s="40"/>
      <c r="Y28" s="40"/>
      <c r="Z28" s="22"/>
      <c r="AA28" s="22"/>
      <c r="AB28" s="22"/>
    </row>
    <row r="29" ht="18.75" customHeight="1">
      <c r="A29" s="18" t="str">
        <f t="array" ref="A29">IFERROR(
  INDEX(
    'api-register-id'!A:A,
    MATCH(F29, 'api-register-id'!B:B, 0)
  ),
  "Not found Organization"
)</f>
        <v>SSFF</v>
      </c>
      <c r="B29" s="22" t="str">
        <f>IFERROR(VLOOKUP(F29, 'api-register-id'!B:F, 4, FALSE), "Not found path.")</f>
        <v>mx-api-bc-bus-reference-data</v>
      </c>
      <c r="C29" s="23" t="s">
        <v>41</v>
      </c>
      <c r="D29" s="23" t="s">
        <v>42</v>
      </c>
      <c r="E29" s="24" t="str">
        <f>IFERROR(VLOOKUP(F29, 'api-register-id'!B:F, 5, FALSE), "Not found path.")</f>
        <v>APIMX000003</v>
      </c>
      <c r="F29" s="25" t="s">
        <v>86</v>
      </c>
      <c r="G29" s="26" t="s">
        <v>298</v>
      </c>
      <c r="H29" s="22" t="s">
        <v>300</v>
      </c>
      <c r="I29" s="29" t="str">
        <f>IFERROR(VLOOKUP(F29, 'api-register-id'!B:I, 8, FALSE), "Not found path.")</f>
        <v>1.7.0</v>
      </c>
      <c r="J29" s="3" t="s">
        <v>274</v>
      </c>
      <c r="K29" s="31" t="s">
        <v>48</v>
      </c>
      <c r="L29" s="23" t="s">
        <v>49</v>
      </c>
      <c r="M29" s="3" t="s">
        <v>302</v>
      </c>
      <c r="N29" s="3" t="str">
        <f t="shared" si="1"/>
        <v>POST /referenceData/v1/generateParty/register</v>
      </c>
      <c r="O29" s="32" t="s">
        <v>303</v>
      </c>
      <c r="P29" s="32"/>
      <c r="Q29" s="61" t="s">
        <v>98</v>
      </c>
      <c r="R29" s="31" t="s">
        <v>56</v>
      </c>
      <c r="S29" s="38" t="str">
        <f t="shared" si="2"/>
        <v>https://github.com/SF-Bancoppel/mx-api-bc-bus-reference-data</v>
      </c>
      <c r="T29" s="40"/>
      <c r="U29" s="22"/>
      <c r="V29" s="22" t="s">
        <v>269</v>
      </c>
      <c r="W29" s="40"/>
      <c r="X29" s="40"/>
      <c r="Y29" s="40"/>
      <c r="Z29" s="22"/>
      <c r="AA29" s="22"/>
      <c r="AB29" s="22"/>
    </row>
    <row r="30" ht="18.75" customHeight="1">
      <c r="A30" s="18" t="str">
        <f t="array" ref="A30">IFERROR(
  INDEX(
    'api-register-id'!A:A,
    MATCH(F30, 'api-register-id'!B:B, 0)
  ),
  "Not found Organization"
)</f>
        <v>SSFF</v>
      </c>
      <c r="B30" s="22" t="str">
        <f>IFERROR(VLOOKUP(F30, 'api-register-id'!B:F, 4, FALSE), "Not found path.")</f>
        <v>mx-api-bc-bus-reference-data</v>
      </c>
      <c r="C30" s="23" t="s">
        <v>41</v>
      </c>
      <c r="D30" s="23" t="s">
        <v>42</v>
      </c>
      <c r="E30" s="24" t="str">
        <f>IFERROR(VLOOKUP(F30, 'api-register-id'!B:F, 5, FALSE), "Not found path.")</f>
        <v>APIMX000003</v>
      </c>
      <c r="F30" s="25" t="s">
        <v>86</v>
      </c>
      <c r="G30" s="26" t="s">
        <v>305</v>
      </c>
      <c r="H30" s="22" t="s">
        <v>306</v>
      </c>
      <c r="I30" s="29" t="str">
        <f>IFERROR(VLOOKUP(F30, 'api-register-id'!B:I, 8, FALSE), "Not found path.")</f>
        <v>1.7.0</v>
      </c>
      <c r="J30" s="3" t="s">
        <v>274</v>
      </c>
      <c r="K30" s="31" t="s">
        <v>48</v>
      </c>
      <c r="L30" s="23" t="s">
        <v>49</v>
      </c>
      <c r="M30" s="3" t="s">
        <v>308</v>
      </c>
      <c r="N30" s="3" t="str">
        <f t="shared" si="1"/>
        <v>POST /referenceData/v1/retrievePaymentBalances/retrieve</v>
      </c>
      <c r="O30" s="32" t="s">
        <v>309</v>
      </c>
      <c r="P30" s="32" t="s">
        <v>310</v>
      </c>
      <c r="Q30" s="61" t="s">
        <v>98</v>
      </c>
      <c r="R30" s="31" t="s">
        <v>56</v>
      </c>
      <c r="S30" s="38" t="str">
        <f t="shared" si="2"/>
        <v>https://github.com/SF-Bancoppel/mx-api-bc-bus-reference-data</v>
      </c>
      <c r="T30" s="40"/>
      <c r="U30" s="22"/>
      <c r="V30" s="22" t="s">
        <v>269</v>
      </c>
      <c r="W30" s="40"/>
      <c r="X30" s="40"/>
      <c r="Y30" s="40"/>
      <c r="Z30" s="22"/>
      <c r="AA30" s="22"/>
      <c r="AB30" s="22"/>
    </row>
    <row r="31" ht="18.75" customHeight="1">
      <c r="A31" s="18" t="str">
        <f t="array" ref="A31">IFERROR(
  INDEX(
    'api-register-id'!A:A,
    MATCH(F31, 'api-register-id'!B:B, 0)
  ),
  "Not found Organization"
)</f>
        <v>SSFF</v>
      </c>
      <c r="B31" s="22" t="str">
        <f>IFERROR(VLOOKUP(F31, 'api-register-id'!B:F, 4, FALSE), "Not found path.")</f>
        <v>mx-api-bc-bus-reference-data</v>
      </c>
      <c r="C31" s="23" t="s">
        <v>41</v>
      </c>
      <c r="D31" s="23" t="s">
        <v>42</v>
      </c>
      <c r="E31" s="24" t="str">
        <f>IFERROR(VLOOKUP(F31, 'api-register-id'!B:F, 5, FALSE), "Not found path.")</f>
        <v>APIMX000003</v>
      </c>
      <c r="F31" s="25" t="s">
        <v>86</v>
      </c>
      <c r="G31" s="26" t="s">
        <v>315</v>
      </c>
      <c r="H31" s="22" t="s">
        <v>316</v>
      </c>
      <c r="I31" s="29" t="str">
        <f>IFERROR(VLOOKUP(F31, 'api-register-id'!B:I, 8, FALSE), "Not found path.")</f>
        <v>1.7.0</v>
      </c>
      <c r="J31" s="3" t="s">
        <v>274</v>
      </c>
      <c r="K31" s="31" t="s">
        <v>48</v>
      </c>
      <c r="L31" s="23" t="s">
        <v>61</v>
      </c>
      <c r="M31" s="3" t="s">
        <v>319</v>
      </c>
      <c r="N31" s="3" t="str">
        <f t="shared" si="1"/>
        <v>PUT /referenceData/v1/onboardingParty/execute</v>
      </c>
      <c r="O31" s="32" t="s">
        <v>320</v>
      </c>
      <c r="P31" s="32"/>
      <c r="Q31" s="61" t="s">
        <v>321</v>
      </c>
      <c r="R31" s="31" t="s">
        <v>56</v>
      </c>
      <c r="S31" s="38" t="str">
        <f t="shared" si="2"/>
        <v>https://github.com/SF-Bancoppel/mx-api-bc-bus-reference-data</v>
      </c>
      <c r="T31" s="40"/>
      <c r="U31" s="22"/>
      <c r="V31" s="40"/>
      <c r="W31" s="40"/>
      <c r="X31" s="40"/>
      <c r="Y31" s="40"/>
      <c r="Z31" s="22"/>
      <c r="AA31" s="22"/>
      <c r="AB31" s="22"/>
    </row>
    <row r="32" ht="18.75" customHeight="1">
      <c r="A32" s="18" t="str">
        <f t="array" ref="A32">IFERROR(
  INDEX(
    'api-register-id'!A:A,
    MATCH(F32, 'api-register-id'!B:B, 0)
  ),
  "Not found Organization"
)</f>
        <v>SSFF</v>
      </c>
      <c r="B32" s="22" t="str">
        <f>IFERROR(VLOOKUP(F32, 'api-register-id'!B:F, 4, FALSE), "Not found path.")</f>
        <v>mx-api-bc-bus-reference-data</v>
      </c>
      <c r="C32" s="23" t="s">
        <v>41</v>
      </c>
      <c r="D32" s="23" t="s">
        <v>42</v>
      </c>
      <c r="E32" s="24" t="str">
        <f>IFERROR(VLOOKUP(F32, 'api-register-id'!B:F, 5, FALSE), "Not found path.")</f>
        <v>APIMX000003</v>
      </c>
      <c r="F32" s="25" t="s">
        <v>86</v>
      </c>
      <c r="G32" s="26" t="s">
        <v>324</v>
      </c>
      <c r="H32" s="22" t="s">
        <v>326</v>
      </c>
      <c r="I32" s="29" t="str">
        <f>IFERROR(VLOOKUP(F32, 'api-register-id'!B:I, 8, FALSE), "Not found path.")</f>
        <v>1.7.0</v>
      </c>
      <c r="J32" s="3" t="s">
        <v>274</v>
      </c>
      <c r="K32" s="31" t="s">
        <v>48</v>
      </c>
      <c r="L32" s="23" t="s">
        <v>49</v>
      </c>
      <c r="M32" s="3" t="s">
        <v>327</v>
      </c>
      <c r="N32" s="3" t="str">
        <f t="shared" si="1"/>
        <v>POST /referenceData/v1/customer/retrieve</v>
      </c>
      <c r="O32" s="32" t="s">
        <v>328</v>
      </c>
      <c r="P32" s="32"/>
      <c r="Q32" s="61" t="s">
        <v>330</v>
      </c>
      <c r="R32" s="31" t="s">
        <v>56</v>
      </c>
      <c r="S32" s="38" t="str">
        <f t="shared" si="2"/>
        <v>https://github.com/SF-Bancoppel/mx-api-bc-bus-reference-data</v>
      </c>
      <c r="T32" s="40"/>
      <c r="U32" s="22"/>
      <c r="V32" s="40"/>
      <c r="W32" s="40"/>
      <c r="X32" s="40"/>
      <c r="Y32" s="40"/>
      <c r="Z32" s="22"/>
      <c r="AA32" s="22"/>
      <c r="AB32" s="22"/>
    </row>
    <row r="33" ht="18.75" customHeight="1">
      <c r="A33" s="18" t="str">
        <f t="array" ref="A33">IFERROR(
  INDEX(
    'api-register-id'!A:A,
    MATCH(F33, 'api-register-id'!B:B, 0)
  ),
  "Not found Organization"
)</f>
        <v>SSFF</v>
      </c>
      <c r="B33" s="22" t="str">
        <f>IFERROR(VLOOKUP(F33, 'api-register-id'!B:F, 4, FALSE), "Not found path.")</f>
        <v>mx-api-bc-bus-reference-data</v>
      </c>
      <c r="C33" s="23" t="s">
        <v>41</v>
      </c>
      <c r="D33" s="23" t="s">
        <v>42</v>
      </c>
      <c r="E33" s="24" t="str">
        <f>IFERROR(VLOOKUP(F33, 'api-register-id'!B:F, 5, FALSE), "Not found path.")</f>
        <v>APIMX000003</v>
      </c>
      <c r="F33" s="25" t="s">
        <v>86</v>
      </c>
      <c r="G33" s="26" t="s">
        <v>335</v>
      </c>
      <c r="H33" s="22" t="s">
        <v>336</v>
      </c>
      <c r="I33" s="29" t="str">
        <f>IFERROR(VLOOKUP(F33, 'api-register-id'!B:I, 8, FALSE), "Not found path.")</f>
        <v>1.7.0</v>
      </c>
      <c r="J33" s="3" t="s">
        <v>274</v>
      </c>
      <c r="K33" s="31" t="s">
        <v>48</v>
      </c>
      <c r="L33" s="23" t="s">
        <v>49</v>
      </c>
      <c r="M33" s="3" t="s">
        <v>337</v>
      </c>
      <c r="N33" s="3" t="str">
        <f t="shared" si="1"/>
        <v>POST /referenceData/v1/customerCard/retrieve</v>
      </c>
      <c r="O33" s="32" t="s">
        <v>338</v>
      </c>
      <c r="P33" s="32"/>
      <c r="Q33" s="61" t="s">
        <v>98</v>
      </c>
      <c r="R33" s="31" t="s">
        <v>56</v>
      </c>
      <c r="S33" s="38" t="str">
        <f t="shared" si="2"/>
        <v>https://github.com/SF-Bancoppel/mx-api-bc-bus-reference-data</v>
      </c>
      <c r="T33" s="40"/>
      <c r="U33" s="22"/>
      <c r="V33" s="22" t="s">
        <v>269</v>
      </c>
      <c r="W33" s="40"/>
      <c r="X33" s="40"/>
      <c r="Y33" s="40"/>
      <c r="Z33" s="22"/>
      <c r="AA33" s="22"/>
      <c r="AB33" s="22"/>
    </row>
    <row r="34" ht="18.75" customHeight="1">
      <c r="A34" s="18" t="str">
        <f t="array" ref="A34">IFERROR(
  INDEX(
    'api-register-id'!A:A,
    MATCH(F34, 'api-register-id'!B:B, 0)
  ),
  "Not found Organization"
)</f>
        <v>SSFF</v>
      </c>
      <c r="B34" s="22" t="str">
        <f>IFERROR(VLOOKUP(F34, 'api-register-id'!B:F, 4, FALSE), "Not found path.")</f>
        <v>mx-api-bc-bus-reference-data</v>
      </c>
      <c r="C34" s="23" t="s">
        <v>41</v>
      </c>
      <c r="D34" s="23" t="s">
        <v>42</v>
      </c>
      <c r="E34" s="24" t="str">
        <f>IFERROR(VLOOKUP(F34, 'api-register-id'!B:F, 5, FALSE), "Not found path.")</f>
        <v>APIMX000003</v>
      </c>
      <c r="F34" s="25" t="s">
        <v>86</v>
      </c>
      <c r="G34" s="26" t="s">
        <v>342</v>
      </c>
      <c r="H34" s="22" t="s">
        <v>343</v>
      </c>
      <c r="I34" s="29" t="str">
        <f>IFERROR(VLOOKUP(F34, 'api-register-id'!B:I, 8, FALSE), "Not found path.")</f>
        <v>1.7.0</v>
      </c>
      <c r="J34" s="3" t="s">
        <v>274</v>
      </c>
      <c r="K34" s="31" t="s">
        <v>48</v>
      </c>
      <c r="L34" s="23" t="s">
        <v>49</v>
      </c>
      <c r="M34" s="3" t="s">
        <v>346</v>
      </c>
      <c r="N34" s="3" t="str">
        <f t="shared" si="1"/>
        <v>POST /referenceData/v1/lifeInsurance/retrieve</v>
      </c>
      <c r="O34" s="32" t="s">
        <v>348</v>
      </c>
      <c r="P34" s="32"/>
      <c r="Q34" s="61" t="s">
        <v>98</v>
      </c>
      <c r="R34" s="31" t="s">
        <v>56</v>
      </c>
      <c r="S34" s="38" t="str">
        <f t="shared" si="2"/>
        <v>https://github.com/SF-Bancoppel/mx-api-bc-bus-reference-data</v>
      </c>
      <c r="T34" s="40"/>
      <c r="U34" s="22"/>
      <c r="V34" s="22" t="s">
        <v>269</v>
      </c>
      <c r="W34" s="40"/>
      <c r="X34" s="40"/>
      <c r="Y34" s="40"/>
      <c r="Z34" s="22"/>
      <c r="AA34" s="22"/>
      <c r="AB34" s="22"/>
    </row>
    <row r="35" ht="18.75" customHeight="1">
      <c r="A35" s="18" t="str">
        <f t="array" ref="A35">IFERROR(
  INDEX(
    'api-register-id'!A:A,
    MATCH(F35, 'api-register-id'!B:B, 0)
  ),
  "Not found Organization"
)</f>
        <v>SSFF</v>
      </c>
      <c r="B35" s="22" t="str">
        <f>IFERROR(VLOOKUP(F35, 'api-register-id'!B:F, 4, FALSE), "Not found path.")</f>
        <v>mx-api-bc-bus-sales-and-service</v>
      </c>
      <c r="C35" s="23" t="s">
        <v>41</v>
      </c>
      <c r="D35" s="23" t="s">
        <v>42</v>
      </c>
      <c r="E35" s="24" t="str">
        <f>IFERROR(VLOOKUP(F35, 'api-register-id'!B:F, 5, FALSE), "Not found path.")</f>
        <v>APIMX000004</v>
      </c>
      <c r="F35" s="25" t="s">
        <v>101</v>
      </c>
      <c r="G35" s="26" t="s">
        <v>350</v>
      </c>
      <c r="H35" s="22" t="s">
        <v>351</v>
      </c>
      <c r="I35" s="29" t="str">
        <f>IFERROR(VLOOKUP(F35, 'api-register-id'!B:I, 8, FALSE), "Not found path.")</f>
        <v>1.12.0</v>
      </c>
      <c r="J35" s="3" t="s">
        <v>352</v>
      </c>
      <c r="K35" s="31" t="s">
        <v>48</v>
      </c>
      <c r="L35" s="23" t="s">
        <v>49</v>
      </c>
      <c r="M35" s="3" t="s">
        <v>353</v>
      </c>
      <c r="N35" s="3" t="str">
        <f t="shared" si="1"/>
        <v>POST /salesAndService/v1/onBoardingParty/initiate</v>
      </c>
      <c r="O35" s="22" t="s">
        <v>355</v>
      </c>
      <c r="P35" s="32"/>
      <c r="Q35" s="61" t="s">
        <v>356</v>
      </c>
      <c r="R35" s="31" t="s">
        <v>56</v>
      </c>
      <c r="S35" s="38" t="str">
        <f t="shared" si="2"/>
        <v>https://github.com/SF-Bancoppel/mx-api-bc-bus-sales-and-service</v>
      </c>
      <c r="T35" s="40"/>
      <c r="U35" s="22"/>
      <c r="V35" s="40"/>
      <c r="W35" s="40"/>
      <c r="X35" s="40"/>
      <c r="Y35" s="40"/>
      <c r="Z35" s="22"/>
      <c r="AA35" s="22"/>
      <c r="AB35" s="22"/>
    </row>
    <row r="36" ht="18.75" customHeight="1">
      <c r="A36" s="18" t="str">
        <f t="array" ref="A36">IFERROR(
  INDEX(
    'api-register-id'!A:A,
    MATCH(F36, 'api-register-id'!B:B, 0)
  ),
  "Not found Organization"
)</f>
        <v>SSFF</v>
      </c>
      <c r="B36" s="22" t="str">
        <f>IFERROR(VLOOKUP(F36, 'api-register-id'!B:F, 4, FALSE), "Not found path.")</f>
        <v>mx-api-bc-bus-sales-and-service</v>
      </c>
      <c r="C36" s="23" t="s">
        <v>41</v>
      </c>
      <c r="D36" s="23" t="s">
        <v>42</v>
      </c>
      <c r="E36" s="24" t="str">
        <f>IFERROR(VLOOKUP(F36, 'api-register-id'!B:F, 5, FALSE), "Not found path.")</f>
        <v>APIMX000004</v>
      </c>
      <c r="F36" s="25" t="s">
        <v>101</v>
      </c>
      <c r="G36" s="26" t="s">
        <v>359</v>
      </c>
      <c r="H36" s="22" t="s">
        <v>360</v>
      </c>
      <c r="I36" s="29" t="str">
        <f>IFERROR(VLOOKUP(F36, 'api-register-id'!B:I, 8, FALSE), "Not found path.")</f>
        <v>1.12.0</v>
      </c>
      <c r="J36" s="3" t="s">
        <v>352</v>
      </c>
      <c r="K36" s="31" t="s">
        <v>48</v>
      </c>
      <c r="L36" s="23" t="s">
        <v>49</v>
      </c>
      <c r="M36" s="3" t="s">
        <v>362</v>
      </c>
      <c r="N36" s="3" t="str">
        <f t="shared" si="1"/>
        <v>POST /salesAndService/v1/onBoardingPhoneParty/evaluate</v>
      </c>
      <c r="O36" s="32" t="s">
        <v>363</v>
      </c>
      <c r="P36" s="32"/>
      <c r="Q36" s="61" t="s">
        <v>365</v>
      </c>
      <c r="R36" s="31" t="s">
        <v>56</v>
      </c>
      <c r="S36" s="38" t="str">
        <f t="shared" si="2"/>
        <v>https://github.com/SF-Bancoppel/mx-api-bc-bus-sales-and-service</v>
      </c>
      <c r="T36" s="40"/>
      <c r="U36" s="22"/>
      <c r="V36" s="40"/>
      <c r="W36" s="40"/>
      <c r="X36" s="40"/>
      <c r="Y36" s="40"/>
      <c r="Z36" s="22"/>
      <c r="AA36" s="22"/>
      <c r="AB36" s="22"/>
    </row>
    <row r="37" ht="18.75" customHeight="1">
      <c r="A37" s="18" t="str">
        <f t="array" ref="A37">IFERROR(
  INDEX(
    'api-register-id'!A:A,
    MATCH(F37, 'api-register-id'!B:B, 0)
  ),
  "Not found Organization"
)</f>
        <v>SSFF</v>
      </c>
      <c r="B37" s="22" t="str">
        <f>IFERROR(VLOOKUP(F37, 'api-register-id'!B:F, 4, FALSE), "Not found path.")</f>
        <v>mx-api-bc-bus-sales-and-service</v>
      </c>
      <c r="C37" s="23" t="s">
        <v>41</v>
      </c>
      <c r="D37" s="23" t="s">
        <v>42</v>
      </c>
      <c r="E37" s="24" t="str">
        <f>IFERROR(VLOOKUP(F37, 'api-register-id'!B:F, 5, FALSE), "Not found path.")</f>
        <v>APIMX000004</v>
      </c>
      <c r="F37" s="25" t="s">
        <v>101</v>
      </c>
      <c r="G37" s="26" t="s">
        <v>369</v>
      </c>
      <c r="H37" s="22" t="s">
        <v>370</v>
      </c>
      <c r="I37" s="29" t="str">
        <f>IFERROR(VLOOKUP(F37, 'api-register-id'!B:I, 8, FALSE), "Not found path.")</f>
        <v>1.12.0</v>
      </c>
      <c r="J37" s="3" t="s">
        <v>352</v>
      </c>
      <c r="K37" s="31" t="s">
        <v>48</v>
      </c>
      <c r="L37" s="23" t="s">
        <v>61</v>
      </c>
      <c r="M37" s="3" t="s">
        <v>372</v>
      </c>
      <c r="N37" s="3" t="str">
        <f t="shared" si="1"/>
        <v>PUT /salesAndService/v1/generateBiometricManagement/execute</v>
      </c>
      <c r="O37" s="32" t="s">
        <v>373</v>
      </c>
      <c r="P37" s="32"/>
      <c r="Q37" s="36" t="s">
        <v>374</v>
      </c>
      <c r="R37" s="31" t="s">
        <v>56</v>
      </c>
      <c r="S37" s="38" t="str">
        <f t="shared" si="2"/>
        <v>https://github.com/SF-Bancoppel/mx-api-bc-bus-sales-and-service</v>
      </c>
      <c r="T37" s="40"/>
      <c r="U37" s="22"/>
      <c r="V37" s="40"/>
      <c r="W37" s="40"/>
      <c r="X37" s="40"/>
      <c r="Y37" s="40"/>
      <c r="Z37" s="22"/>
      <c r="AA37" s="22"/>
      <c r="AB37" s="22"/>
    </row>
    <row r="38" ht="18.75" customHeight="1">
      <c r="A38" s="18" t="str">
        <f t="array" ref="A38">IFERROR(
  INDEX(
    'api-register-id'!A:A,
    MATCH(F38, 'api-register-id'!B:B, 0)
  ),
  "Not found Organization"
)</f>
        <v>SSFF</v>
      </c>
      <c r="B38" s="22" t="str">
        <f>IFERROR(VLOOKUP(F38, 'api-register-id'!B:F, 4, FALSE), "Not found path.")</f>
        <v>mx-api-bc-bus-sales-and-service</v>
      </c>
      <c r="C38" s="23" t="s">
        <v>41</v>
      </c>
      <c r="D38" s="23" t="s">
        <v>42</v>
      </c>
      <c r="E38" s="24" t="str">
        <f>IFERROR(VLOOKUP(F38, 'api-register-id'!B:F, 5, FALSE), "Not found path.")</f>
        <v>APIMX000004</v>
      </c>
      <c r="F38" s="25" t="s">
        <v>101</v>
      </c>
      <c r="G38" s="26" t="s">
        <v>381</v>
      </c>
      <c r="H38" s="22" t="s">
        <v>382</v>
      </c>
      <c r="I38" s="29" t="str">
        <f>IFERROR(VLOOKUP(F38, 'api-register-id'!B:I, 8, FALSE), "Not found path.")</f>
        <v>1.12.0</v>
      </c>
      <c r="J38" s="3" t="s">
        <v>352</v>
      </c>
      <c r="K38" s="31" t="s">
        <v>48</v>
      </c>
      <c r="L38" s="23" t="s">
        <v>49</v>
      </c>
      <c r="M38" s="3" t="s">
        <v>384</v>
      </c>
      <c r="N38" s="3" t="str">
        <f t="shared" si="1"/>
        <v>POST /salesAndService/v1/customerContactOperation/evaluate</v>
      </c>
      <c r="O38" s="32" t="s">
        <v>385</v>
      </c>
      <c r="P38" s="32"/>
      <c r="Q38" s="36" t="s">
        <v>386</v>
      </c>
      <c r="R38" s="31" t="s">
        <v>56</v>
      </c>
      <c r="S38" s="38" t="str">
        <f t="shared" si="2"/>
        <v>https://github.com/SF-Bancoppel/mx-api-bc-bus-sales-and-service</v>
      </c>
      <c r="T38" s="40"/>
      <c r="U38" s="40"/>
      <c r="V38" s="40"/>
      <c r="W38" s="40"/>
      <c r="X38" s="40"/>
      <c r="Y38" s="40"/>
      <c r="Z38" s="40"/>
      <c r="AA38" s="40"/>
      <c r="AB38" s="40"/>
    </row>
    <row r="39" ht="18.75" customHeight="1">
      <c r="A39" s="18" t="str">
        <f t="array" ref="A39">IFERROR(
  INDEX(
    'api-register-id'!A:A,
    MATCH(F39, 'api-register-id'!B:B, 0)
  ),
  "Not found Organization"
)</f>
        <v>SSFF</v>
      </c>
      <c r="B39" s="22" t="str">
        <f>IFERROR(VLOOKUP(F39, 'api-register-id'!B:F, 4, FALSE), "Not found path.")</f>
        <v>mx-api-bc-bus-sales-and-service</v>
      </c>
      <c r="C39" s="23" t="s">
        <v>41</v>
      </c>
      <c r="D39" s="23" t="s">
        <v>42</v>
      </c>
      <c r="E39" s="24" t="str">
        <f>IFERROR(VLOOKUP(F39, 'api-register-id'!B:F, 5, FALSE), "Not found path.")</f>
        <v>APIMX000004</v>
      </c>
      <c r="F39" s="25" t="s">
        <v>101</v>
      </c>
      <c r="G39" s="26" t="s">
        <v>392</v>
      </c>
      <c r="H39" s="22" t="s">
        <v>393</v>
      </c>
      <c r="I39" s="29" t="str">
        <f>IFERROR(VLOOKUP(F39, 'api-register-id'!B:I, 8, FALSE), "Not found path.")</f>
        <v>1.12.0</v>
      </c>
      <c r="J39" s="3" t="s">
        <v>352</v>
      </c>
      <c r="K39" s="31" t="s">
        <v>48</v>
      </c>
      <c r="L39" s="23" t="s">
        <v>49</v>
      </c>
      <c r="M39" s="3" t="s">
        <v>396</v>
      </c>
      <c r="N39" s="3" t="str">
        <f t="shared" si="1"/>
        <v>POST /salesAndService/v1/customerWorkbenchFinancialTransaction/evaluate</v>
      </c>
      <c r="O39" s="32" t="s">
        <v>397</v>
      </c>
      <c r="P39" s="32"/>
      <c r="Q39" s="49" t="s">
        <v>398</v>
      </c>
      <c r="R39" s="31" t="s">
        <v>56</v>
      </c>
      <c r="S39" s="38" t="str">
        <f t="shared" si="2"/>
        <v>https://github.com/SF-Bancoppel/mx-api-bc-bus-sales-and-service</v>
      </c>
      <c r="T39" s="40"/>
      <c r="U39" s="22"/>
      <c r="V39" s="40"/>
      <c r="W39" s="40"/>
      <c r="X39" s="40"/>
      <c r="Y39" s="40"/>
      <c r="Z39" s="22"/>
      <c r="AA39" s="22"/>
      <c r="AB39" s="22"/>
    </row>
    <row r="40" ht="18.75" customHeight="1">
      <c r="A40" s="79" t="str">
        <f t="array" ref="A40">IFERROR(
  INDEX(
    'api-register-id'!A:A,
    MATCH(F40, 'api-register-id'!B:B, 0)
  ),
  "Not found Organization"
)</f>
        <v>SSFF</v>
      </c>
      <c r="B40" s="65" t="str">
        <f>IFERROR(VLOOKUP(F40, 'api-register-id'!B:F, 4, FALSE), "Not found path.")</f>
        <v>mx-api-bc-bus-sales-and-service</v>
      </c>
      <c r="C40" s="80" t="s">
        <v>41</v>
      </c>
      <c r="D40" s="80" t="s">
        <v>42</v>
      </c>
      <c r="E40" s="81" t="str">
        <f>IFERROR(VLOOKUP(F40, 'api-register-id'!B:F, 5, FALSE), "Not found path.")</f>
        <v>APIMX000004</v>
      </c>
      <c r="F40" s="82" t="s">
        <v>101</v>
      </c>
      <c r="G40" s="83" t="s">
        <v>401</v>
      </c>
      <c r="H40" s="65" t="s">
        <v>402</v>
      </c>
      <c r="I40" s="84" t="str">
        <f>IFERROR(VLOOKUP(F40, 'api-register-id'!B:I, 8, FALSE), "Not found path.")</f>
        <v>1.12.0</v>
      </c>
      <c r="J40" s="85" t="s">
        <v>352</v>
      </c>
      <c r="K40" s="81" t="s">
        <v>48</v>
      </c>
      <c r="L40" s="80" t="s">
        <v>61</v>
      </c>
      <c r="M40" s="85" t="s">
        <v>407</v>
      </c>
      <c r="N40" s="85" t="str">
        <f t="shared" si="1"/>
        <v>PUT /salesAndService/v1/contactPoint/update</v>
      </c>
      <c r="O40" s="86" t="s">
        <v>408</v>
      </c>
      <c r="P40" s="86"/>
      <c r="Q40" s="87" t="s">
        <v>98</v>
      </c>
      <c r="R40" s="81" t="s">
        <v>56</v>
      </c>
      <c r="S40" s="88" t="str">
        <f t="shared" si="2"/>
        <v>https://github.com/SF-Bancoppel/mx-api-bc-bus-sales-and-service</v>
      </c>
      <c r="T40" s="66"/>
      <c r="U40" s="22"/>
      <c r="V40" s="22" t="s">
        <v>269</v>
      </c>
      <c r="W40" s="40"/>
      <c r="X40" s="40"/>
      <c r="Y40" s="40"/>
      <c r="Z40" s="22"/>
      <c r="AA40" s="22"/>
      <c r="AB40" s="22"/>
    </row>
    <row r="41" ht="18.75" customHeight="1">
      <c r="A41" s="18" t="str">
        <f t="array" ref="A41">IFERROR(
  INDEX(
    'api-register-id'!A:A,
    MATCH(F41, 'api-register-id'!B:B, 0)
  ),
  "Not found Organization"
)</f>
        <v>SSFF</v>
      </c>
      <c r="B41" s="22" t="str">
        <f>IFERROR(VLOOKUP(F41, 'api-register-id'!B:F, 4, FALSE), "Not found path.")</f>
        <v>mx-api-bc-bus-sales-and-service</v>
      </c>
      <c r="C41" s="23" t="s">
        <v>41</v>
      </c>
      <c r="D41" s="23" t="s">
        <v>42</v>
      </c>
      <c r="E41" s="24" t="str">
        <f>IFERROR(VLOOKUP(F41, 'api-register-id'!B:F, 5, FALSE), "Not found path.")</f>
        <v>APIMX000004</v>
      </c>
      <c r="F41" s="25" t="s">
        <v>101</v>
      </c>
      <c r="G41" s="26" t="s">
        <v>412</v>
      </c>
      <c r="H41" s="22" t="s">
        <v>413</v>
      </c>
      <c r="I41" s="29" t="str">
        <f>IFERROR(VLOOKUP(F41, 'api-register-id'!B:I, 8, FALSE), "Not found path.")</f>
        <v>1.12.0</v>
      </c>
      <c r="J41" s="3" t="s">
        <v>352</v>
      </c>
      <c r="K41" s="31" t="s">
        <v>48</v>
      </c>
      <c r="L41" s="23" t="s">
        <v>61</v>
      </c>
      <c r="M41" s="3" t="s">
        <v>415</v>
      </c>
      <c r="N41" s="3" t="str">
        <f t="shared" si="1"/>
        <v>PUT /salesAndService/v1/personProfile/update</v>
      </c>
      <c r="O41" s="32" t="s">
        <v>417</v>
      </c>
      <c r="P41" s="32"/>
      <c r="Q41" s="36" t="s">
        <v>418</v>
      </c>
      <c r="R41" s="31" t="s">
        <v>56</v>
      </c>
      <c r="S41" s="38" t="str">
        <f t="shared" si="2"/>
        <v>https://github.com/SF-Bancoppel/mx-api-bc-bus-sales-and-service</v>
      </c>
      <c r="T41" s="40"/>
      <c r="U41" s="22"/>
      <c r="V41" s="40"/>
      <c r="W41" s="40"/>
      <c r="X41" s="40"/>
      <c r="Y41" s="40"/>
      <c r="Z41" s="22"/>
      <c r="AA41" s="22"/>
      <c r="AB41" s="22"/>
    </row>
    <row r="42" ht="18.75" customHeight="1">
      <c r="A42" s="18" t="str">
        <f t="array" ref="A42">IFERROR(
  INDEX(
    'api-register-id'!A:A,
    MATCH(F42, 'api-register-id'!B:B, 0)
  ),
  "Not found Organization"
)</f>
        <v>SSFF</v>
      </c>
      <c r="B42" s="22" t="str">
        <f>IFERROR(VLOOKUP(F42, 'api-register-id'!B:F, 4, FALSE), "Not found path.")</f>
        <v>mx-api-bc-bus-sales-and-service</v>
      </c>
      <c r="C42" s="23" t="s">
        <v>41</v>
      </c>
      <c r="D42" s="23" t="s">
        <v>42</v>
      </c>
      <c r="E42" s="24" t="str">
        <f>IFERROR(VLOOKUP(F42, 'api-register-id'!B:F, 5, FALSE), "Not found path.")</f>
        <v>APIMX000004</v>
      </c>
      <c r="F42" s="25" t="s">
        <v>101</v>
      </c>
      <c r="G42" s="26" t="s">
        <v>425</v>
      </c>
      <c r="H42" s="22" t="s">
        <v>426</v>
      </c>
      <c r="I42" s="29" t="str">
        <f>IFERROR(VLOOKUP(F42, 'api-register-id'!B:I, 8, FALSE), "Not found path.")</f>
        <v>1.12.0</v>
      </c>
      <c r="J42" s="3" t="s">
        <v>352</v>
      </c>
      <c r="K42" s="31" t="s">
        <v>48</v>
      </c>
      <c r="L42" s="23" t="s">
        <v>428</v>
      </c>
      <c r="M42" s="3" t="s">
        <v>429</v>
      </c>
      <c r="N42" s="3" t="str">
        <f t="shared" si="1"/>
        <v>PATCH /salesAndService/v1/onBoardingEmailParty/update</v>
      </c>
      <c r="O42" s="32" t="s">
        <v>430</v>
      </c>
      <c r="P42" s="32"/>
      <c r="Q42" s="61" t="s">
        <v>431</v>
      </c>
      <c r="R42" s="31" t="s">
        <v>56</v>
      </c>
      <c r="S42" s="38" t="str">
        <f t="shared" si="2"/>
        <v>https://github.com/SF-Bancoppel/mx-api-bc-bus-sales-and-service</v>
      </c>
      <c r="T42" s="40"/>
      <c r="U42" s="22"/>
      <c r="V42" s="40"/>
      <c r="W42" s="40"/>
      <c r="X42" s="40"/>
      <c r="Y42" s="40"/>
      <c r="Z42" s="22"/>
      <c r="AA42" s="22"/>
      <c r="AB42" s="22"/>
    </row>
    <row r="43" ht="18.75" customHeight="1">
      <c r="A43" s="18" t="str">
        <f t="array" ref="A43">IFERROR(
  INDEX(
    'api-register-id'!A:A,
    MATCH(F43, 'api-register-id'!B:B, 0)
  ),
  "Not found Organization"
)</f>
        <v>SSFF</v>
      </c>
      <c r="B43" s="22" t="str">
        <f>IFERROR(VLOOKUP(F43, 'api-register-id'!B:F, 4, FALSE), "Not found path.")</f>
        <v>mx-api-bc-bus-sales-and-service</v>
      </c>
      <c r="C43" s="23" t="s">
        <v>41</v>
      </c>
      <c r="D43" s="23" t="s">
        <v>42</v>
      </c>
      <c r="E43" s="24" t="str">
        <f>IFERROR(VLOOKUP(F43, 'api-register-id'!B:F, 5, FALSE), "Not found path.")</f>
        <v>APIMX000004</v>
      </c>
      <c r="F43" s="25" t="s">
        <v>101</v>
      </c>
      <c r="G43" s="26" t="s">
        <v>433</v>
      </c>
      <c r="H43" s="22" t="s">
        <v>434</v>
      </c>
      <c r="I43" s="29" t="str">
        <f>IFERROR(VLOOKUP(F43, 'api-register-id'!B:I, 8, FALSE), "Not found path.")</f>
        <v>1.12.0</v>
      </c>
      <c r="J43" s="3" t="s">
        <v>352</v>
      </c>
      <c r="K43" s="31" t="s">
        <v>48</v>
      </c>
      <c r="L43" s="23" t="s">
        <v>49</v>
      </c>
      <c r="M43" s="3" t="s">
        <v>436</v>
      </c>
      <c r="N43" s="3" t="str">
        <f t="shared" si="1"/>
        <v>POST /salesAndService/v1/onBoardingEmailParty/evaluate</v>
      </c>
      <c r="O43" s="32" t="s">
        <v>437</v>
      </c>
      <c r="P43" s="32"/>
      <c r="Q43" s="61" t="s">
        <v>439</v>
      </c>
      <c r="R43" s="31" t="s">
        <v>56</v>
      </c>
      <c r="S43" s="38" t="str">
        <f t="shared" si="2"/>
        <v>https://github.com/SF-Bancoppel/mx-api-bc-bus-sales-and-service</v>
      </c>
      <c r="T43" s="40"/>
      <c r="U43" s="22"/>
      <c r="V43" s="40"/>
      <c r="W43" s="40"/>
      <c r="X43" s="40"/>
      <c r="Y43" s="40"/>
      <c r="Z43" s="22"/>
      <c r="AA43" s="22"/>
      <c r="AB43" s="22"/>
    </row>
    <row r="44" ht="18.75" customHeight="1">
      <c r="A44" s="18" t="str">
        <f t="array" ref="A44">IFERROR(
  INDEX(
    'api-register-id'!A:A,
    MATCH(F44, 'api-register-id'!B:B, 0)
  ),
  "Not found Organization"
)</f>
        <v>SSFF</v>
      </c>
      <c r="B44" s="22" t="str">
        <f>IFERROR(VLOOKUP(F44, 'api-register-id'!B:F, 4, FALSE), "Not found path.")</f>
        <v>mx-api-bc-bus-sales-and-service</v>
      </c>
      <c r="C44" s="23" t="s">
        <v>41</v>
      </c>
      <c r="D44" s="23" t="s">
        <v>42</v>
      </c>
      <c r="E44" s="24" t="str">
        <f>IFERROR(VLOOKUP(F44, 'api-register-id'!B:F, 5, FALSE), "Not found path.")</f>
        <v>APIMX000004</v>
      </c>
      <c r="F44" s="25" t="s">
        <v>101</v>
      </c>
      <c r="G44" s="26" t="s">
        <v>444</v>
      </c>
      <c r="H44" s="22" t="s">
        <v>445</v>
      </c>
      <c r="I44" s="29" t="str">
        <f>IFERROR(VLOOKUP(F44, 'api-register-id'!B:I, 8, FALSE), "Not found path.")</f>
        <v>1.12.0</v>
      </c>
      <c r="J44" s="3" t="s">
        <v>352</v>
      </c>
      <c r="K44" s="31" t="s">
        <v>48</v>
      </c>
      <c r="L44" s="23" t="s">
        <v>49</v>
      </c>
      <c r="M44" s="3" t="s">
        <v>446</v>
      </c>
      <c r="N44" s="3" t="str">
        <f t="shared" si="1"/>
        <v>POST /salesAndService/v1/generateCustomerOfferProcedure/retrieve</v>
      </c>
      <c r="O44" s="32" t="s">
        <v>447</v>
      </c>
      <c r="P44" s="32"/>
      <c r="Q44" s="36" t="s">
        <v>449</v>
      </c>
      <c r="R44" s="31" t="s">
        <v>56</v>
      </c>
      <c r="S44" s="38" t="str">
        <f t="shared" si="2"/>
        <v>https://github.com/SF-Bancoppel/mx-api-bc-bus-sales-and-service</v>
      </c>
      <c r="T44" s="40"/>
      <c r="U44" s="22"/>
      <c r="V44" s="40"/>
      <c r="W44" s="40"/>
      <c r="X44" s="40"/>
      <c r="Y44" s="40"/>
      <c r="Z44" s="22"/>
      <c r="AA44" s="22"/>
      <c r="AB44" s="22"/>
    </row>
    <row r="45" ht="18.75" customHeight="1">
      <c r="A45" s="18" t="str">
        <f t="array" ref="A45">IFERROR(
  INDEX(
    'api-register-id'!A:A,
    MATCH(F45, 'api-register-id'!B:B, 0)
  ),
  "Not found Organization"
)</f>
        <v>SSFF</v>
      </c>
      <c r="B45" s="22" t="str">
        <f>IFERROR(VLOOKUP(F45, 'api-register-id'!B:F, 4, FALSE), "Not found path.")</f>
        <v>mx-api-bc-bus-sales-and-service</v>
      </c>
      <c r="C45" s="23" t="s">
        <v>41</v>
      </c>
      <c r="D45" s="23" t="s">
        <v>42</v>
      </c>
      <c r="E45" s="24" t="str">
        <f>IFERROR(VLOOKUP(F45, 'api-register-id'!B:F, 5, FALSE), "Not found path.")</f>
        <v>APIMX000004</v>
      </c>
      <c r="F45" s="25" t="s">
        <v>101</v>
      </c>
      <c r="G45" s="26" t="s">
        <v>454</v>
      </c>
      <c r="H45" s="22" t="s">
        <v>456</v>
      </c>
      <c r="I45" s="29" t="str">
        <f>IFERROR(VLOOKUP(F45, 'api-register-id'!B:I, 8, FALSE), "Not found path.")</f>
        <v>1.12.0</v>
      </c>
      <c r="J45" s="3" t="s">
        <v>352</v>
      </c>
      <c r="K45" s="31" t="s">
        <v>48</v>
      </c>
      <c r="L45" s="23" t="s">
        <v>49</v>
      </c>
      <c r="M45" s="3" t="s">
        <v>457</v>
      </c>
      <c r="N45" s="3" t="str">
        <f t="shared" si="1"/>
        <v>POST /salesAndService/v1/customerCreditRating/retrieve</v>
      </c>
      <c r="O45" s="32" t="s">
        <v>458</v>
      </c>
      <c r="P45" s="32"/>
      <c r="Q45" s="36" t="s">
        <v>459</v>
      </c>
      <c r="R45" s="31" t="s">
        <v>56</v>
      </c>
      <c r="S45" s="38" t="str">
        <f t="shared" si="2"/>
        <v>https://github.com/SF-Bancoppel/mx-api-bc-bus-sales-and-service</v>
      </c>
      <c r="T45" s="40"/>
      <c r="U45" s="22"/>
      <c r="V45" s="40"/>
      <c r="W45" s="40"/>
      <c r="X45" s="40"/>
      <c r="Y45" s="40"/>
      <c r="Z45" s="22"/>
      <c r="AA45" s="22"/>
      <c r="AB45" s="22"/>
    </row>
    <row r="46" ht="18.75" customHeight="1">
      <c r="A46" s="18" t="str">
        <f t="array" ref="A46">IFERROR(
  INDEX(
    'api-register-id'!A:A,
    MATCH(F46, 'api-register-id'!B:B, 0)
  ),
  "Not found Organization"
)</f>
        <v>SSFF</v>
      </c>
      <c r="B46" s="22" t="str">
        <f>IFERROR(VLOOKUP(F46, 'api-register-id'!B:F, 4, FALSE), "Not found path.")</f>
        <v>mx-api-bc-bus-sales-and-service</v>
      </c>
      <c r="C46" s="23" t="s">
        <v>41</v>
      </c>
      <c r="D46" s="23" t="s">
        <v>42</v>
      </c>
      <c r="E46" s="24" t="str">
        <f>IFERROR(VLOOKUP(F46, 'api-register-id'!B:F, 5, FALSE), "Not found path.")</f>
        <v>APIMX000004</v>
      </c>
      <c r="F46" s="25" t="s">
        <v>101</v>
      </c>
      <c r="G46" s="26" t="s">
        <v>463</v>
      </c>
      <c r="H46" s="22" t="s">
        <v>464</v>
      </c>
      <c r="I46" s="29" t="str">
        <f>IFERROR(VLOOKUP(F46, 'api-register-id'!B:I, 8, FALSE), "Not found path.")</f>
        <v>1.12.0</v>
      </c>
      <c r="J46" s="3" t="s">
        <v>352</v>
      </c>
      <c r="K46" s="31" t="s">
        <v>48</v>
      </c>
      <c r="L46" s="23" t="s">
        <v>428</v>
      </c>
      <c r="M46" s="3" t="s">
        <v>467</v>
      </c>
      <c r="N46" s="3" t="str">
        <f t="shared" si="1"/>
        <v>PATCH /salesAndService/v1/onBoardingPartyLocation/{sessionDialogueIdentification}/update</v>
      </c>
      <c r="O46" s="32" t="s">
        <v>430</v>
      </c>
      <c r="P46" s="32"/>
      <c r="Q46" s="61" t="s">
        <v>469</v>
      </c>
      <c r="R46" s="31" t="s">
        <v>56</v>
      </c>
      <c r="S46" s="38" t="str">
        <f t="shared" si="2"/>
        <v>https://github.com/SF-Bancoppel/mx-api-bc-bus-sales-and-service</v>
      </c>
      <c r="T46" s="40"/>
      <c r="U46" s="22"/>
      <c r="V46" s="40"/>
      <c r="W46" s="40"/>
      <c r="X46" s="40"/>
      <c r="Y46" s="40"/>
      <c r="Z46" s="22"/>
      <c r="AA46" s="22"/>
      <c r="AB46" s="22"/>
    </row>
    <row r="47" ht="18.75" customHeight="1">
      <c r="A47" s="18" t="str">
        <f t="array" ref="A47">IFERROR(
  INDEX(
    'api-register-id'!A:A,
    MATCH(F47, 'api-register-id'!B:B, 0)
  ),
  "Not found Organization"
)</f>
        <v>SSFF</v>
      </c>
      <c r="B47" s="22" t="str">
        <f>IFERROR(VLOOKUP(F47, 'api-register-id'!B:F, 4, FALSE), "Not found path.")</f>
        <v>mx-api-bc-bus-sales-and-service</v>
      </c>
      <c r="C47" s="23" t="s">
        <v>41</v>
      </c>
      <c r="D47" s="23" t="s">
        <v>42</v>
      </c>
      <c r="E47" s="24" t="str">
        <f>IFERROR(VLOOKUP(F47, 'api-register-id'!B:F, 5, FALSE), "Not found path.")</f>
        <v>APIMX000004</v>
      </c>
      <c r="F47" s="25" t="s">
        <v>101</v>
      </c>
      <c r="G47" s="26" t="s">
        <v>472</v>
      </c>
      <c r="H47" s="22" t="s">
        <v>473</v>
      </c>
      <c r="I47" s="29" t="str">
        <f>IFERROR(VLOOKUP(F47, 'api-register-id'!B:I, 8, FALSE), "Not found path.")</f>
        <v>1.12.0</v>
      </c>
      <c r="J47" s="3" t="s">
        <v>352</v>
      </c>
      <c r="K47" s="31" t="s">
        <v>48</v>
      </c>
      <c r="L47" s="23" t="s">
        <v>49</v>
      </c>
      <c r="M47" s="3" t="s">
        <v>474</v>
      </c>
      <c r="N47" s="3" t="str">
        <f t="shared" si="1"/>
        <v>POST /salesAndService/v1/onboardingPartySIC/evaluate</v>
      </c>
      <c r="O47" s="32" t="s">
        <v>475</v>
      </c>
      <c r="P47" s="32"/>
      <c r="Q47" s="61" t="s">
        <v>476</v>
      </c>
      <c r="R47" s="31" t="s">
        <v>56</v>
      </c>
      <c r="S47" s="38" t="str">
        <f t="shared" si="2"/>
        <v>https://github.com/SF-Bancoppel/mx-api-bc-bus-sales-and-service</v>
      </c>
      <c r="T47" s="40"/>
      <c r="U47" s="22"/>
      <c r="V47" s="40"/>
      <c r="W47" s="40"/>
      <c r="X47" s="40"/>
      <c r="Y47" s="40"/>
      <c r="Z47" s="22"/>
      <c r="AA47" s="22"/>
      <c r="AB47" s="22"/>
    </row>
    <row r="48" ht="18.75" customHeight="1">
      <c r="A48" s="18" t="str">
        <f t="array" ref="A48">IFERROR(
  INDEX(
    'api-register-id'!A:A,
    MATCH(F48, 'api-register-id'!B:B, 0)
  ),
  "Not found Organization"
)</f>
        <v>SSFF</v>
      </c>
      <c r="B48" s="22" t="str">
        <f>IFERROR(VLOOKUP(F48, 'api-register-id'!B:F, 4, FALSE), "Not found path.")</f>
        <v>mx-api-bc-dom-account-reconciliation</v>
      </c>
      <c r="C48" s="23" t="s">
        <v>41</v>
      </c>
      <c r="D48" s="23" t="s">
        <v>119</v>
      </c>
      <c r="E48" s="24" t="str">
        <f>IFERROR(VLOOKUP(F48, 'api-register-id'!B:F, 5, FALSE), "Not found path.")</f>
        <v>APIMX000005</v>
      </c>
      <c r="F48" s="25" t="s">
        <v>118</v>
      </c>
      <c r="G48" s="26" t="s">
        <v>482</v>
      </c>
      <c r="H48" s="22" t="s">
        <v>483</v>
      </c>
      <c r="I48" s="29" t="str">
        <f>IFERROR(VLOOKUP(F48, 'api-register-id'!B:I, 8, FALSE), "Not found path.")</f>
        <v>1.1.0</v>
      </c>
      <c r="J48" s="3" t="s">
        <v>484</v>
      </c>
      <c r="K48" s="31" t="s">
        <v>48</v>
      </c>
      <c r="L48" s="23" t="s">
        <v>428</v>
      </c>
      <c r="M48" s="3" t="s">
        <v>485</v>
      </c>
      <c r="N48" s="3" t="str">
        <f t="shared" si="1"/>
        <v>PATCH /accountManagement/accountReconciliation/v1/accountReconciliationProcedure/capture</v>
      </c>
      <c r="O48" s="32" t="s">
        <v>486</v>
      </c>
      <c r="P48" s="32"/>
      <c r="Q48" s="61" t="s">
        <v>98</v>
      </c>
      <c r="R48" s="31" t="s">
        <v>56</v>
      </c>
      <c r="S48" s="38" t="str">
        <f t="shared" si="2"/>
        <v>https://github.com/SF-Bancoppel/mx-api-bc-dom-account-reconciliation</v>
      </c>
      <c r="T48" s="40"/>
      <c r="U48" s="22"/>
      <c r="V48" s="22" t="s">
        <v>269</v>
      </c>
      <c r="W48" s="40"/>
      <c r="X48" s="40"/>
      <c r="Y48" s="40"/>
      <c r="Z48" s="22"/>
      <c r="AA48" s="22"/>
      <c r="AB48" s="22"/>
    </row>
    <row r="49" ht="18.75" customHeight="1">
      <c r="A49" s="18" t="str">
        <f t="array" ref="A49">IFERROR(
  INDEX(
    'api-register-id'!A:A,
    MATCH(F49, 'api-register-id'!B:B, 0)
  ),
  "Not found Organization"
)</f>
        <v>SSFF</v>
      </c>
      <c r="B49" s="22" t="str">
        <f>IFERROR(VLOOKUP(F49, 'api-register-id'!B:F, 4, FALSE), "Not found path.")</f>
        <v>mx-api-bc-dom-branch-location-operations</v>
      </c>
      <c r="C49" s="23" t="s">
        <v>41</v>
      </c>
      <c r="D49" s="23" t="s">
        <v>119</v>
      </c>
      <c r="E49" s="24" t="str">
        <f>IFERROR(VLOOKUP(F49, 'api-register-id'!B:F, 5, FALSE), "Not found path.")</f>
        <v>APIMX000006</v>
      </c>
      <c r="F49" s="25" t="s">
        <v>129</v>
      </c>
      <c r="G49" s="26" t="s">
        <v>488</v>
      </c>
      <c r="H49" s="22" t="s">
        <v>489</v>
      </c>
      <c r="I49" s="29" t="str">
        <f>IFERROR(VLOOKUP(F49, 'api-register-id'!B:I, 8, FALSE), "Not found path.")</f>
        <v>1.2.0</v>
      </c>
      <c r="J49" s="3" t="s">
        <v>491</v>
      </c>
      <c r="K49" s="31" t="s">
        <v>48</v>
      </c>
      <c r="L49" s="23" t="s">
        <v>49</v>
      </c>
      <c r="M49" s="3" t="s">
        <v>492</v>
      </c>
      <c r="N49" s="3" t="str">
        <f t="shared" si="1"/>
        <v>POST /channelSpecific/branchLocationOperations/v1/branchLocation/retrieve</v>
      </c>
      <c r="O49" s="32" t="s">
        <v>493</v>
      </c>
      <c r="P49" s="32"/>
      <c r="Q49" s="61" t="s">
        <v>98</v>
      </c>
      <c r="R49" s="31" t="s">
        <v>56</v>
      </c>
      <c r="S49" s="38" t="str">
        <f t="shared" si="2"/>
        <v>https://github.com/SF-Bancoppel/mx-api-bc-dom-branch-location-operations</v>
      </c>
      <c r="T49" s="22"/>
      <c r="U49" s="22"/>
      <c r="V49" s="22" t="s">
        <v>269</v>
      </c>
      <c r="W49" s="22"/>
      <c r="X49" s="22"/>
      <c r="Y49" s="22"/>
      <c r="Z49" s="22"/>
      <c r="AA49" s="22"/>
      <c r="AB49" s="22"/>
    </row>
    <row r="50" ht="18.75" customHeight="1">
      <c r="A50" s="18" t="str">
        <f t="array" ref="A50">IFERROR(
  INDEX(
    'api-register-id'!A:A,
    MATCH(F50, 'api-register-id'!B:B, 0)
  ),
  "Not found Organization"
)</f>
        <v>SSFF</v>
      </c>
      <c r="B50" s="22" t="str">
        <f>IFERROR(VLOOKUP(F50, 'api-register-id'!B:F, 4, FALSE), "Not found path.")</f>
        <v>mx-api-bc-dom-card-ecommerce-gateway</v>
      </c>
      <c r="C50" s="23" t="s">
        <v>41</v>
      </c>
      <c r="D50" s="23" t="s">
        <v>119</v>
      </c>
      <c r="E50" s="24" t="str">
        <f>IFERROR(VLOOKUP(F50, 'api-register-id'!B:F, 5, FALSE), "Not found path.")</f>
        <v>APIMX000008</v>
      </c>
      <c r="F50" s="25" t="s">
        <v>156</v>
      </c>
      <c r="G50" s="26" t="s">
        <v>499</v>
      </c>
      <c r="H50" s="22" t="s">
        <v>500</v>
      </c>
      <c r="I50" s="29" t="str">
        <f>IFERROR(VLOOKUP(F50, 'api-register-id'!B:I, 8, FALSE), "Not found path.")</f>
        <v>1.0.0</v>
      </c>
      <c r="J50" s="3" t="s">
        <v>501</v>
      </c>
      <c r="K50" s="31" t="s">
        <v>48</v>
      </c>
      <c r="L50" s="23" t="s">
        <v>49</v>
      </c>
      <c r="M50" s="3" t="s">
        <v>502</v>
      </c>
      <c r="N50" s="3" t="str">
        <f t="shared" si="1"/>
        <v>POST /payments/cardeCommerceGateway/v1/tokenAssignment/create</v>
      </c>
      <c r="O50" s="32" t="s">
        <v>503</v>
      </c>
      <c r="P50" s="32"/>
      <c r="Q50" s="61" t="s">
        <v>504</v>
      </c>
      <c r="R50" s="31" t="s">
        <v>56</v>
      </c>
      <c r="S50" s="38" t="str">
        <f t="shared" si="2"/>
        <v>https://github.com/SF-Bancoppel/mx-api-bc-dom-card-ecommerce-gateway</v>
      </c>
      <c r="T50" s="40"/>
      <c r="U50" s="22"/>
      <c r="V50" s="40"/>
      <c r="W50" s="40"/>
      <c r="X50" s="40"/>
      <c r="Y50" s="40"/>
      <c r="Z50" s="22"/>
      <c r="AA50" s="22"/>
      <c r="AB50" s="22"/>
    </row>
    <row r="51" ht="18.75" customHeight="1">
      <c r="A51" s="18" t="str">
        <f t="array" ref="A51">IFERROR(
  INDEX(
    'api-register-id'!A:A,
    MATCH(F51, 'api-register-id'!B:B, 0)
  ),
  "Not found Organization"
)</f>
        <v>SSFF</v>
      </c>
      <c r="B51" s="22" t="str">
        <f>IFERROR(VLOOKUP(F51, 'api-register-id'!B:F, 4, FALSE), "Not found path.")</f>
        <v>mx-api-bc-dom-corporate-current-account</v>
      </c>
      <c r="C51" s="23" t="s">
        <v>41</v>
      </c>
      <c r="D51" s="23" t="s">
        <v>119</v>
      </c>
      <c r="E51" s="24" t="str">
        <f>IFERROR(VLOOKUP(F51, 'api-register-id'!B:F, 5, FALSE), "Not found path.")</f>
        <v>APIMX000009</v>
      </c>
      <c r="F51" s="25" t="s">
        <v>174</v>
      </c>
      <c r="G51" s="26" t="s">
        <v>507</v>
      </c>
      <c r="H51" s="22" t="s">
        <v>508</v>
      </c>
      <c r="I51" s="29" t="str">
        <f>IFERROR(VLOOKUP(F51, 'api-register-id'!B:I, 8, FALSE), "Not found path.")</f>
        <v>1.1.0</v>
      </c>
      <c r="J51" s="3" t="s">
        <v>510</v>
      </c>
      <c r="K51" s="31" t="s">
        <v>48</v>
      </c>
      <c r="L51" s="23" t="s">
        <v>49</v>
      </c>
      <c r="M51" s="3" t="s">
        <v>512</v>
      </c>
      <c r="N51" s="3" t="str">
        <f t="shared" si="1"/>
        <v>POST /loansAndDeposits/corporateCurrentAccount/v1/corporateCurrentAccountFacility/initiate</v>
      </c>
      <c r="O51" s="32" t="s">
        <v>514</v>
      </c>
      <c r="P51" s="32"/>
      <c r="Q51" s="61" t="s">
        <v>98</v>
      </c>
      <c r="R51" s="31" t="s">
        <v>56</v>
      </c>
      <c r="S51" s="38" t="str">
        <f t="shared" si="2"/>
        <v>https://github.com/SF-Bancoppel/mx-api-bc-dom-corporate-current-account</v>
      </c>
      <c r="T51" s="40"/>
      <c r="U51" s="22"/>
      <c r="V51" s="22" t="s">
        <v>269</v>
      </c>
      <c r="W51" s="22"/>
      <c r="X51" s="22"/>
      <c r="Y51" s="40"/>
      <c r="Z51" s="22"/>
      <c r="AA51" s="22"/>
      <c r="AB51" s="22"/>
    </row>
    <row r="52" ht="18.75" customHeight="1">
      <c r="A52" s="18" t="str">
        <f t="array" ref="A52">IFERROR(
  INDEX(
    'api-register-id'!A:A,
    MATCH(F52, 'api-register-id'!B:B, 0)
  ),
  "Not found Organization"
)</f>
        <v>SSFF</v>
      </c>
      <c r="B52" s="22" t="str">
        <f>IFERROR(VLOOKUP(F52, 'api-register-id'!B:F, 4, FALSE), "Not found path.")</f>
        <v>mx-api-bc-dom-correspondence</v>
      </c>
      <c r="C52" s="23" t="s">
        <v>41</v>
      </c>
      <c r="D52" s="23" t="s">
        <v>119</v>
      </c>
      <c r="E52" s="24" t="str">
        <f>IFERROR(VLOOKUP(F52, 'api-register-id'!B:F, 5, FALSE), "Not found path.")</f>
        <v>APIMX000010</v>
      </c>
      <c r="F52" s="25" t="s">
        <v>186</v>
      </c>
      <c r="G52" s="26" t="s">
        <v>518</v>
      </c>
      <c r="H52" s="22" t="s">
        <v>519</v>
      </c>
      <c r="I52" s="29" t="str">
        <f>IFERROR(VLOOKUP(F52, 'api-register-id'!B:I, 8, FALSE), "Not found path.")</f>
        <v>1.0.0</v>
      </c>
      <c r="J52" s="3" t="s">
        <v>520</v>
      </c>
      <c r="K52" s="31" t="s">
        <v>48</v>
      </c>
      <c r="L52" s="23" t="s">
        <v>49</v>
      </c>
      <c r="M52" s="3" t="s">
        <v>521</v>
      </c>
      <c r="N52" s="3" t="str">
        <f t="shared" si="1"/>
        <v>POST /documentManagementAndArchive/correspondence/v1/outbound/register</v>
      </c>
      <c r="O52" s="32" t="s">
        <v>523</v>
      </c>
      <c r="P52" s="32"/>
      <c r="Q52" s="61" t="s">
        <v>524</v>
      </c>
      <c r="R52" s="31" t="s">
        <v>56</v>
      </c>
      <c r="S52" s="38" t="str">
        <f t="shared" si="2"/>
        <v>https://github.com/SF-Bancoppel/mx-api-bc-dom-correspondence</v>
      </c>
      <c r="T52" s="40"/>
      <c r="U52" s="22"/>
      <c r="V52" s="40"/>
      <c r="W52" s="40"/>
      <c r="X52" s="40"/>
      <c r="Y52" s="40"/>
      <c r="Z52" s="22"/>
      <c r="AA52" s="22"/>
      <c r="AB52" s="22"/>
    </row>
    <row r="53" ht="18.75" customHeight="1">
      <c r="A53" s="18" t="str">
        <f t="array" ref="A53">IFERROR(
  INDEX(
    'api-register-id'!A:A,
    MATCH(F53, 'api-register-id'!B:B, 0)
  ),
  "Not found Organization"
)</f>
        <v>SSFF</v>
      </c>
      <c r="B53" s="22" t="str">
        <f>IFERROR(VLOOKUP(F53, 'api-register-id'!B:F, 4, FALSE), "Not found path.")</f>
        <v>mx-api-bc-dom-counterparty-risk</v>
      </c>
      <c r="C53" s="23" t="s">
        <v>41</v>
      </c>
      <c r="D53" s="23" t="s">
        <v>119</v>
      </c>
      <c r="E53" s="24" t="str">
        <f>IFERROR(VLOOKUP(F53, 'api-register-id'!B:F, 5, FALSE), "Not found path.")</f>
        <v>APIMX000011</v>
      </c>
      <c r="F53" s="25" t="s">
        <v>202</v>
      </c>
      <c r="G53" s="26" t="s">
        <v>529</v>
      </c>
      <c r="H53" s="22" t="s">
        <v>530</v>
      </c>
      <c r="I53" s="29" t="str">
        <f>IFERROR(VLOOKUP(F53, 'api-register-id'!B:I, 8, FALSE), "Not found path.")</f>
        <v>1.2.0</v>
      </c>
      <c r="J53" s="3" t="s">
        <v>531</v>
      </c>
      <c r="K53" s="31" t="s">
        <v>48</v>
      </c>
      <c r="L53" s="23" t="s">
        <v>49</v>
      </c>
      <c r="M53" s="3" t="s">
        <v>457</v>
      </c>
      <c r="N53" s="3" t="str">
        <f t="shared" si="1"/>
        <v>POST /accountManagement/counterpartyRisk/v1/customerCreditRating/retrieve</v>
      </c>
      <c r="O53" s="32" t="s">
        <v>533</v>
      </c>
      <c r="P53" s="32"/>
      <c r="Q53" s="61" t="s">
        <v>534</v>
      </c>
      <c r="R53" s="31" t="s">
        <v>56</v>
      </c>
      <c r="S53" s="38" t="str">
        <f t="shared" si="2"/>
        <v>https://github.com/SF-Bancoppel/mx-api-bc-dom-counterparty-risk</v>
      </c>
      <c r="T53" s="40"/>
      <c r="U53" s="22"/>
      <c r="V53" s="40"/>
      <c r="W53" s="40"/>
      <c r="X53" s="40"/>
      <c r="Y53" s="40"/>
      <c r="Z53" s="22"/>
      <c r="AA53" s="22"/>
      <c r="AB53" s="22"/>
    </row>
    <row r="54" ht="18.75" customHeight="1">
      <c r="A54" s="18" t="str">
        <f t="array" ref="A54">IFERROR(
  INDEX(
    'api-register-id'!A:A,
    MATCH(F54, 'api-register-id'!B:B, 0)
  ),
  "Not found Organization"
)</f>
        <v>SSFF</v>
      </c>
      <c r="B54" s="22" t="str">
        <f>IFERROR(VLOOKUP(F54, 'api-register-id'!B:F, 4, FALSE), "Not found path.")</f>
        <v>mx-api-bc-dom-counterparty-risk</v>
      </c>
      <c r="C54" s="23" t="s">
        <v>41</v>
      </c>
      <c r="D54" s="23" t="s">
        <v>119</v>
      </c>
      <c r="E54" s="24" t="str">
        <f>IFERROR(VLOOKUP(F54, 'api-register-id'!B:F, 5, FALSE), "Not found path.")</f>
        <v>APIMX000011</v>
      </c>
      <c r="F54" s="25" t="s">
        <v>202</v>
      </c>
      <c r="G54" s="26" t="s">
        <v>537</v>
      </c>
      <c r="H54" s="22" t="s">
        <v>538</v>
      </c>
      <c r="I54" s="29" t="str">
        <f>IFERROR(VLOOKUP(F54, 'api-register-id'!B:I, 8, FALSE), "Not found path.")</f>
        <v>1.2.0</v>
      </c>
      <c r="J54" s="3" t="s">
        <v>531</v>
      </c>
      <c r="K54" s="31" t="s">
        <v>48</v>
      </c>
      <c r="L54" s="23" t="s">
        <v>49</v>
      </c>
      <c r="M54" s="3" t="s">
        <v>540</v>
      </c>
      <c r="N54" s="3" t="str">
        <f t="shared" si="1"/>
        <v>POST /accountManagement/counterpartyRisk/v1/customerCreditRating/evaluate</v>
      </c>
      <c r="O54" s="32" t="s">
        <v>542</v>
      </c>
      <c r="P54" s="32"/>
      <c r="Q54" s="61" t="s">
        <v>543</v>
      </c>
      <c r="R54" s="31" t="s">
        <v>56</v>
      </c>
      <c r="S54" s="38" t="str">
        <f t="shared" si="2"/>
        <v>https://github.com/SF-Bancoppel/mx-api-bc-dom-counterparty-risk</v>
      </c>
      <c r="T54" s="40"/>
      <c r="U54" s="22"/>
      <c r="V54" s="22"/>
      <c r="W54" s="40"/>
      <c r="X54" s="40"/>
      <c r="Y54" s="40"/>
      <c r="Z54" s="22"/>
      <c r="AA54" s="22"/>
      <c r="AB54" s="22"/>
    </row>
    <row r="55" ht="18.75" customHeight="1">
      <c r="A55" s="18" t="str">
        <f t="array" ref="A55">IFERROR(
  INDEX(
    'api-register-id'!A:A,
    MATCH(F55, 'api-register-id'!B:B, 0)
  ),
  "Not found Organization"
)</f>
        <v>SSFF</v>
      </c>
      <c r="B55" s="22" t="str">
        <f>IFERROR(VLOOKUP(F55, 'api-register-id'!B:F, 4, FALSE), "Not found path.")</f>
        <v>mx-api-bc-dom-counterparty-risk</v>
      </c>
      <c r="C55" s="23" t="s">
        <v>41</v>
      </c>
      <c r="D55" s="23" t="s">
        <v>119</v>
      </c>
      <c r="E55" s="24" t="str">
        <f>IFERROR(VLOOKUP(F55, 'api-register-id'!B:F, 5, FALSE), "Not found path.")</f>
        <v>APIMX000011</v>
      </c>
      <c r="F55" s="25" t="s">
        <v>202</v>
      </c>
      <c r="G55" s="26" t="s">
        <v>546</v>
      </c>
      <c r="H55" s="22" t="s">
        <v>547</v>
      </c>
      <c r="I55" s="29" t="str">
        <f>IFERROR(VLOOKUP(F55, 'api-register-id'!B:I, 8, FALSE), "Not found path.")</f>
        <v>1.2.0</v>
      </c>
      <c r="J55" s="3" t="s">
        <v>531</v>
      </c>
      <c r="K55" s="31" t="s">
        <v>48</v>
      </c>
      <c r="L55" s="23" t="s">
        <v>108</v>
      </c>
      <c r="M55" s="3" t="s">
        <v>549</v>
      </c>
      <c r="N55" s="3" t="str">
        <f t="shared" si="1"/>
        <v>GET /accountManagement/counterpartyRisk/v1/reasonsRejection/retrieve</v>
      </c>
      <c r="O55" s="32" t="s">
        <v>550</v>
      </c>
      <c r="P55" s="32"/>
      <c r="Q55" s="61" t="s">
        <v>98</v>
      </c>
      <c r="R55" s="31" t="s">
        <v>56</v>
      </c>
      <c r="S55" s="38" t="str">
        <f t="shared" si="2"/>
        <v>https://github.com/SF-Bancoppel/mx-api-bc-dom-counterparty-risk</v>
      </c>
      <c r="T55" s="22"/>
      <c r="U55" s="22"/>
      <c r="V55" s="22" t="s">
        <v>269</v>
      </c>
      <c r="W55" s="22"/>
      <c r="X55" s="22"/>
      <c r="Y55" s="22"/>
      <c r="Z55" s="22"/>
      <c r="AA55" s="22"/>
      <c r="AB55" s="22"/>
    </row>
    <row r="56" ht="18.75" customHeight="1">
      <c r="A56" s="18" t="str">
        <f t="array" ref="A56">IFERROR(
  INDEX(
    'api-register-id'!A:A,
    MATCH(F56, 'api-register-id'!B:B, 0)
  ),
  "Not found Organization"
)</f>
        <v>SSFF</v>
      </c>
      <c r="B56" s="22" t="str">
        <f>IFERROR(VLOOKUP(F56, 'api-register-id'!B:F, 4, FALSE), "Not found path.")</f>
        <v>mx-api-bc-dom-credit-card</v>
      </c>
      <c r="C56" s="23" t="s">
        <v>41</v>
      </c>
      <c r="D56" s="23" t="s">
        <v>119</v>
      </c>
      <c r="E56" s="24" t="str">
        <f>IFERROR(VLOOKUP(F56, 'api-register-id'!B:F, 5, FALSE), "Not found path.")</f>
        <v>APIMX000012</v>
      </c>
      <c r="F56" s="25" t="s">
        <v>218</v>
      </c>
      <c r="G56" s="26" t="s">
        <v>557</v>
      </c>
      <c r="H56" s="22" t="s">
        <v>558</v>
      </c>
      <c r="I56" s="29" t="str">
        <f>IFERROR(VLOOKUP(F56, 'api-register-id'!B:I, 8, FALSE), "Not found path.")</f>
        <v>1.31.0</v>
      </c>
      <c r="J56" s="3" t="s">
        <v>560</v>
      </c>
      <c r="K56" s="31" t="s">
        <v>48</v>
      </c>
      <c r="L56" s="23" t="s">
        <v>49</v>
      </c>
      <c r="M56" s="3" t="s">
        <v>561</v>
      </c>
      <c r="N56" s="3" t="str">
        <f t="shared" si="1"/>
        <v>POST /cards/creditCard/v1/creditCardApplication/retrieve</v>
      </c>
      <c r="O56" s="32" t="s">
        <v>562</v>
      </c>
      <c r="P56" s="32"/>
      <c r="Q56" s="61" t="s">
        <v>563</v>
      </c>
      <c r="R56" s="31" t="s">
        <v>56</v>
      </c>
      <c r="S56" s="38" t="str">
        <f t="shared" si="2"/>
        <v>https://github.com/SF-Bancoppel/mx-api-bc-dom-credit-card</v>
      </c>
      <c r="T56" s="40"/>
      <c r="U56" s="22"/>
      <c r="V56" s="40"/>
      <c r="W56" s="40"/>
      <c r="X56" s="40"/>
      <c r="Y56" s="40"/>
      <c r="Z56" s="22"/>
      <c r="AA56" s="22"/>
      <c r="AB56" s="22"/>
    </row>
    <row r="57" ht="18.75" customHeight="1">
      <c r="A57" s="18" t="str">
        <f t="array" ref="A57">IFERROR(
  INDEX(
    'api-register-id'!A:A,
    MATCH(F57, 'api-register-id'!B:B, 0)
  ),
  "Not found Organization"
)</f>
        <v>SSFF</v>
      </c>
      <c r="B57" s="22" t="str">
        <f>IFERROR(VLOOKUP(F57, 'api-register-id'!B:F, 4, FALSE), "Not found path.")</f>
        <v>mx-api-bc-dom-credit-card</v>
      </c>
      <c r="C57" s="23" t="s">
        <v>41</v>
      </c>
      <c r="D57" s="23" t="s">
        <v>119</v>
      </c>
      <c r="E57" s="24" t="str">
        <f>IFERROR(VLOOKUP(F57, 'api-register-id'!B:F, 5, FALSE), "Not found path.")</f>
        <v>APIMX000012</v>
      </c>
      <c r="F57" s="25" t="s">
        <v>218</v>
      </c>
      <c r="G57" s="26" t="s">
        <v>568</v>
      </c>
      <c r="H57" s="22" t="s">
        <v>569</v>
      </c>
      <c r="I57" s="29" t="str">
        <f>IFERROR(VLOOKUP(F57, 'api-register-id'!B:I, 8, FALSE), "Not found path.")</f>
        <v>1.31.0</v>
      </c>
      <c r="J57" s="3" t="s">
        <v>560</v>
      </c>
      <c r="K57" s="31" t="s">
        <v>48</v>
      </c>
      <c r="L57" s="23" t="s">
        <v>49</v>
      </c>
      <c r="M57" s="3" t="s">
        <v>573</v>
      </c>
      <c r="N57" s="3" t="str">
        <f t="shared" si="1"/>
        <v>POST /cards/creditCard/v1/creditCardApplication/initiate</v>
      </c>
      <c r="O57" s="32" t="s">
        <v>574</v>
      </c>
      <c r="P57" s="32"/>
      <c r="Q57" s="61" t="s">
        <v>575</v>
      </c>
      <c r="R57" s="31" t="s">
        <v>56</v>
      </c>
      <c r="S57" s="38" t="str">
        <f t="shared" si="2"/>
        <v>https://github.com/SF-Bancoppel/mx-api-bc-dom-credit-card</v>
      </c>
      <c r="T57" s="40"/>
      <c r="U57" s="22"/>
      <c r="V57" s="40"/>
      <c r="W57" s="40"/>
      <c r="X57" s="40"/>
      <c r="Y57" s="40"/>
      <c r="Z57" s="22"/>
      <c r="AA57" s="22"/>
      <c r="AB57" s="22"/>
    </row>
    <row r="58" ht="18.75" customHeight="1">
      <c r="A58" s="18" t="str">
        <f t="array" ref="A58">IFERROR(
  INDEX(
    'api-register-id'!A:A,
    MATCH(F58, 'api-register-id'!B:B, 0)
  ),
  "Not found Organization"
)</f>
        <v>SSFF</v>
      </c>
      <c r="B58" s="22" t="str">
        <f>IFERROR(VLOOKUP(F58, 'api-register-id'!B:F, 4, FALSE), "Not found path.")</f>
        <v>mx-api-bc-dom-credit-card</v>
      </c>
      <c r="C58" s="23" t="s">
        <v>41</v>
      </c>
      <c r="D58" s="23" t="s">
        <v>119</v>
      </c>
      <c r="E58" s="24" t="str">
        <f>IFERROR(VLOOKUP(F58, 'api-register-id'!B:F, 5, FALSE), "Not found path.")</f>
        <v>APIMX000012</v>
      </c>
      <c r="F58" s="25" t="s">
        <v>218</v>
      </c>
      <c r="G58" s="26" t="s">
        <v>578</v>
      </c>
      <c r="H58" s="22" t="s">
        <v>579</v>
      </c>
      <c r="I58" s="29" t="str">
        <f>IFERROR(VLOOKUP(F58, 'api-register-id'!B:I, 8, FALSE), "Not found path.")</f>
        <v>1.31.0</v>
      </c>
      <c r="J58" s="3" t="s">
        <v>560</v>
      </c>
      <c r="K58" s="31" t="s">
        <v>48</v>
      </c>
      <c r="L58" s="23" t="s">
        <v>49</v>
      </c>
      <c r="M58" s="3" t="s">
        <v>580</v>
      </c>
      <c r="N58" s="3" t="str">
        <f t="shared" si="1"/>
        <v>POST /cards/creditCard/v1/creditCardApplication/exchange</v>
      </c>
      <c r="O58" s="32" t="s">
        <v>581</v>
      </c>
      <c r="P58" s="32" t="s">
        <v>582</v>
      </c>
      <c r="Q58" s="61" t="s">
        <v>98</v>
      </c>
      <c r="R58" s="31" t="s">
        <v>56</v>
      </c>
      <c r="S58" s="38" t="str">
        <f t="shared" si="2"/>
        <v>https://github.com/SF-Bancoppel/mx-api-bc-dom-credit-card</v>
      </c>
      <c r="T58" s="40"/>
      <c r="U58" s="22"/>
      <c r="V58" s="22" t="s">
        <v>269</v>
      </c>
      <c r="W58" s="22"/>
      <c r="X58" s="22"/>
      <c r="Y58" s="40"/>
      <c r="Z58" s="22"/>
      <c r="AA58" s="22"/>
      <c r="AB58" s="22"/>
    </row>
    <row r="59" ht="18.75" customHeight="1">
      <c r="A59" s="18" t="str">
        <f t="array" ref="A59">IFERROR(
  INDEX(
    'api-register-id'!A:A,
    MATCH(F59, 'api-register-id'!B:B, 0)
  ),
  "Not found Organization"
)</f>
        <v>SSFF</v>
      </c>
      <c r="B59" s="22" t="str">
        <f>IFERROR(VLOOKUP(F59, 'api-register-id'!B:F, 4, FALSE), "Not found path.")</f>
        <v>mx-api-bc-dom-credit-card</v>
      </c>
      <c r="C59" s="23" t="s">
        <v>41</v>
      </c>
      <c r="D59" s="23" t="s">
        <v>119</v>
      </c>
      <c r="E59" s="24" t="str">
        <f>IFERROR(VLOOKUP(F59, 'api-register-id'!B:F, 5, FALSE), "Not found path.")</f>
        <v>APIMX000012</v>
      </c>
      <c r="F59" s="25" t="s">
        <v>218</v>
      </c>
      <c r="G59" s="26" t="s">
        <v>587</v>
      </c>
      <c r="H59" s="22" t="s">
        <v>588</v>
      </c>
      <c r="I59" s="29" t="str">
        <f>IFERROR(VLOOKUP(F59, 'api-register-id'!B:I, 8, FALSE), "Not found path.")</f>
        <v>1.31.0</v>
      </c>
      <c r="J59" s="3" t="s">
        <v>560</v>
      </c>
      <c r="K59" s="31" t="s">
        <v>48</v>
      </c>
      <c r="L59" s="23" t="s">
        <v>428</v>
      </c>
      <c r="M59" s="3" t="s">
        <v>589</v>
      </c>
      <c r="N59" s="3" t="str">
        <f t="shared" si="1"/>
        <v>PATCH /cards/creditCard/v1/creditCardApplication/update</v>
      </c>
      <c r="O59" s="32" t="s">
        <v>590</v>
      </c>
      <c r="P59" s="32"/>
      <c r="Q59" s="61" t="s">
        <v>591</v>
      </c>
      <c r="R59" s="31" t="s">
        <v>56</v>
      </c>
      <c r="S59" s="38" t="str">
        <f t="shared" si="2"/>
        <v>https://github.com/SF-Bancoppel/mx-api-bc-dom-credit-card</v>
      </c>
      <c r="T59" s="40"/>
      <c r="U59" s="65"/>
      <c r="V59" s="66"/>
      <c r="W59" s="66"/>
      <c r="X59" s="66"/>
      <c r="Y59" s="66"/>
      <c r="Z59" s="65"/>
      <c r="AA59" s="65"/>
      <c r="AB59" s="65"/>
    </row>
    <row r="60" ht="18.75" customHeight="1">
      <c r="A60" s="18" t="str">
        <f t="array" ref="A60">IFERROR(
  INDEX(
    'api-register-id'!A:A,
    MATCH(F60, 'api-register-id'!B:B, 0)
  ),
  "Not found Organization"
)</f>
        <v>SSFF</v>
      </c>
      <c r="B60" s="22" t="str">
        <f>IFERROR(VLOOKUP(F60, 'api-register-id'!B:F, 4, FALSE), "Not found path.")</f>
        <v>mx-api-bc-dom-credit-card</v>
      </c>
      <c r="C60" s="23" t="s">
        <v>41</v>
      </c>
      <c r="D60" s="23" t="s">
        <v>119</v>
      </c>
      <c r="E60" s="24" t="str">
        <f>IFERROR(VLOOKUP(F60, 'api-register-id'!B:F, 5, FALSE), "Not found path.")</f>
        <v>APIMX000012</v>
      </c>
      <c r="F60" s="25" t="s">
        <v>218</v>
      </c>
      <c r="G60" s="26" t="s">
        <v>595</v>
      </c>
      <c r="H60" s="22" t="s">
        <v>596</v>
      </c>
      <c r="I60" s="29" t="str">
        <f>IFERROR(VLOOKUP(F60, 'api-register-id'!B:I, 8, FALSE), "Not found path.")</f>
        <v>1.31.0</v>
      </c>
      <c r="J60" s="3" t="s">
        <v>560</v>
      </c>
      <c r="K60" s="31" t="s">
        <v>48</v>
      </c>
      <c r="L60" s="23" t="s">
        <v>49</v>
      </c>
      <c r="M60" s="3" t="s">
        <v>597</v>
      </c>
      <c r="N60" s="3" t="str">
        <f t="shared" si="1"/>
        <v>POST /cards/creditCard/v1/creditCardFacility/register</v>
      </c>
      <c r="O60" s="32" t="s">
        <v>599</v>
      </c>
      <c r="P60" s="32"/>
      <c r="Q60" s="61" t="s">
        <v>600</v>
      </c>
      <c r="R60" s="31" t="s">
        <v>56</v>
      </c>
      <c r="S60" s="38" t="str">
        <f t="shared" si="2"/>
        <v>https://github.com/SF-Bancoppel/mx-api-bc-dom-credit-card</v>
      </c>
      <c r="T60" s="40"/>
      <c r="U60" s="22"/>
      <c r="V60" s="40"/>
      <c r="W60" s="40"/>
      <c r="X60" s="40"/>
      <c r="Y60" s="40"/>
      <c r="Z60" s="22"/>
      <c r="AA60" s="22"/>
      <c r="AB60" s="22"/>
    </row>
    <row r="61" ht="18.75" customHeight="1">
      <c r="A61" s="18" t="str">
        <f t="array" ref="A61">IFERROR(
  INDEX(
    'api-register-id'!A:A,
    MATCH(F61, 'api-register-id'!B:B, 0)
  ),
  "Not found Organization"
)</f>
        <v>SSFF</v>
      </c>
      <c r="B61" s="22" t="str">
        <f>IFERROR(VLOOKUP(F61, 'api-register-id'!B:F, 4, FALSE), "Not found path.")</f>
        <v>mx-api-bc-dom-credit-card</v>
      </c>
      <c r="C61" s="23" t="s">
        <v>41</v>
      </c>
      <c r="D61" s="23" t="s">
        <v>119</v>
      </c>
      <c r="E61" s="24" t="str">
        <f>IFERROR(VLOOKUP(F61, 'api-register-id'!B:F, 5, FALSE), "Not found path.")</f>
        <v>APIMX000012</v>
      </c>
      <c r="F61" s="25" t="s">
        <v>218</v>
      </c>
      <c r="G61" s="26" t="s">
        <v>601</v>
      </c>
      <c r="H61" s="22" t="s">
        <v>602</v>
      </c>
      <c r="I61" s="29" t="str">
        <f>IFERROR(VLOOKUP(F61, 'api-register-id'!B:I, 8, FALSE), "Not found path.")</f>
        <v>1.31.0</v>
      </c>
      <c r="J61" s="3" t="s">
        <v>560</v>
      </c>
      <c r="K61" s="31" t="s">
        <v>48</v>
      </c>
      <c r="L61" s="23" t="s">
        <v>49</v>
      </c>
      <c r="M61" s="3" t="s">
        <v>604</v>
      </c>
      <c r="N61" s="3" t="str">
        <f t="shared" si="1"/>
        <v>POST /cards/creditCard/v1/creditCardFacility/retrieve</v>
      </c>
      <c r="O61" s="32" t="s">
        <v>607</v>
      </c>
      <c r="P61" s="32"/>
      <c r="Q61" s="61" t="s">
        <v>608</v>
      </c>
      <c r="R61" s="31" t="s">
        <v>56</v>
      </c>
      <c r="S61" s="38" t="str">
        <f t="shared" si="2"/>
        <v>https://github.com/SF-Bancoppel/mx-api-bc-dom-credit-card</v>
      </c>
      <c r="T61" s="40"/>
      <c r="U61" s="22"/>
      <c r="V61" s="40"/>
      <c r="W61" s="40"/>
      <c r="X61" s="40"/>
      <c r="Y61" s="40"/>
      <c r="Z61" s="22"/>
      <c r="AA61" s="22"/>
      <c r="AB61" s="22"/>
    </row>
    <row r="62" ht="18.75" customHeight="1">
      <c r="A62" s="18" t="str">
        <f t="array" ref="A62">IFERROR(
  INDEX(
    'api-register-id'!A:A,
    MATCH(F62, 'api-register-id'!B:B, 0)
  ),
  "Not found Organization"
)</f>
        <v>SSFF</v>
      </c>
      <c r="B62" s="22" t="str">
        <f>IFERROR(VLOOKUP(F62, 'api-register-id'!B:F, 4, FALSE), "Not found path.")</f>
        <v>mx-api-bc-dom-credit-card</v>
      </c>
      <c r="C62" s="23" t="s">
        <v>41</v>
      </c>
      <c r="D62" s="23" t="s">
        <v>119</v>
      </c>
      <c r="E62" s="24" t="str">
        <f>IFERROR(VLOOKUP(F62, 'api-register-id'!B:F, 5, FALSE), "Not found path.")</f>
        <v>APIMX000012</v>
      </c>
      <c r="F62" s="25" t="s">
        <v>218</v>
      </c>
      <c r="G62" s="26" t="s">
        <v>610</v>
      </c>
      <c r="H62" s="22" t="s">
        <v>611</v>
      </c>
      <c r="I62" s="29" t="str">
        <f>IFERROR(VLOOKUP(F62, 'api-register-id'!B:I, 8, FALSE), "Not found path.")</f>
        <v>1.31.0</v>
      </c>
      <c r="J62" s="3" t="s">
        <v>560</v>
      </c>
      <c r="K62" s="31" t="s">
        <v>48</v>
      </c>
      <c r="L62" s="23" t="s">
        <v>49</v>
      </c>
      <c r="M62" s="3" t="s">
        <v>612</v>
      </c>
      <c r="N62" s="3" t="str">
        <f t="shared" si="1"/>
        <v>POST /cards/creditCard/v1/creditCardBalance/update</v>
      </c>
      <c r="O62" s="32" t="s">
        <v>613</v>
      </c>
      <c r="P62" s="32" t="s">
        <v>614</v>
      </c>
      <c r="Q62" s="61" t="s">
        <v>98</v>
      </c>
      <c r="R62" s="31" t="s">
        <v>56</v>
      </c>
      <c r="S62" s="38" t="str">
        <f t="shared" si="2"/>
        <v>https://github.com/SF-Bancoppel/mx-api-bc-dom-credit-card</v>
      </c>
      <c r="T62" s="40"/>
      <c r="U62" s="22"/>
      <c r="V62" s="22" t="s">
        <v>269</v>
      </c>
      <c r="W62" s="40"/>
      <c r="X62" s="40"/>
      <c r="Y62" s="40"/>
      <c r="Z62" s="22"/>
      <c r="AA62" s="22"/>
      <c r="AB62" s="22"/>
    </row>
    <row r="63" ht="18.75" customHeight="1">
      <c r="A63" s="18" t="str">
        <f t="array" ref="A63">IFERROR(
  INDEX(
    'api-register-id'!A:A,
    MATCH(F63, 'api-register-id'!B:B, 0)
  ),
  "Not found Organization"
)</f>
        <v>SSFF</v>
      </c>
      <c r="B63" s="22" t="str">
        <f>IFERROR(VLOOKUP(F63, 'api-register-id'!B:F, 4, FALSE), "Not found path.")</f>
        <v>mx-api-bc-dom-credit-card</v>
      </c>
      <c r="C63" s="23" t="s">
        <v>41</v>
      </c>
      <c r="D63" s="23" t="s">
        <v>119</v>
      </c>
      <c r="E63" s="24" t="str">
        <f>IFERROR(VLOOKUP(F63, 'api-register-id'!B:F, 5, FALSE), "Not found path.")</f>
        <v>APIMX000012</v>
      </c>
      <c r="F63" s="25" t="s">
        <v>218</v>
      </c>
      <c r="G63" s="26" t="s">
        <v>619</v>
      </c>
      <c r="H63" s="22" t="s">
        <v>620</v>
      </c>
      <c r="I63" s="29" t="str">
        <f>IFERROR(VLOOKUP(F63, 'api-register-id'!B:I, 8, FALSE), "Not found path.")</f>
        <v>1.31.0</v>
      </c>
      <c r="J63" s="3" t="s">
        <v>560</v>
      </c>
      <c r="K63" s="31" t="s">
        <v>48</v>
      </c>
      <c r="L63" s="23" t="s">
        <v>49</v>
      </c>
      <c r="M63" s="3" t="s">
        <v>621</v>
      </c>
      <c r="N63" s="3" t="str">
        <f t="shared" si="1"/>
        <v>POST /cards/creditCard/v1/creditCardBalance/retrieve</v>
      </c>
      <c r="O63" s="32" t="s">
        <v>622</v>
      </c>
      <c r="P63" s="32"/>
      <c r="Q63" s="61" t="s">
        <v>623</v>
      </c>
      <c r="R63" s="31" t="s">
        <v>56</v>
      </c>
      <c r="S63" s="38" t="str">
        <f t="shared" si="2"/>
        <v>https://github.com/SF-Bancoppel/mx-api-bc-dom-credit-card</v>
      </c>
      <c r="T63" s="40"/>
      <c r="U63" s="22"/>
      <c r="V63" s="40"/>
      <c r="W63" s="40"/>
      <c r="X63" s="40"/>
      <c r="Y63" s="40"/>
      <c r="Z63" s="22"/>
      <c r="AA63" s="22"/>
      <c r="AB63" s="22"/>
    </row>
    <row r="64" ht="18.75" customHeight="1">
      <c r="A64" s="18" t="str">
        <f t="array" ref="A64">IFERROR(
  INDEX(
    'api-register-id'!A:A,
    MATCH(F64, 'api-register-id'!B:B, 0)
  ),
  "Not found Organization"
)</f>
        <v>SSFF</v>
      </c>
      <c r="B64" s="22" t="str">
        <f>IFERROR(VLOOKUP(F64, 'api-register-id'!B:F, 4, FALSE), "Not found path.")</f>
        <v>mx-api-bc-dom-credit-card</v>
      </c>
      <c r="C64" s="23" t="s">
        <v>41</v>
      </c>
      <c r="D64" s="23" t="s">
        <v>119</v>
      </c>
      <c r="E64" s="24" t="str">
        <f>IFERROR(VLOOKUP(F64, 'api-register-id'!B:F, 5, FALSE), "Not found path.")</f>
        <v>APIMX000012</v>
      </c>
      <c r="F64" s="25" t="s">
        <v>218</v>
      </c>
      <c r="G64" s="26" t="s">
        <v>625</v>
      </c>
      <c r="H64" s="22" t="s">
        <v>626</v>
      </c>
      <c r="I64" s="29" t="str">
        <f>IFERROR(VLOOKUP(F64, 'api-register-id'!B:I, 8, FALSE), "Not found path.")</f>
        <v>1.31.0</v>
      </c>
      <c r="J64" s="3" t="s">
        <v>560</v>
      </c>
      <c r="K64" s="31" t="s">
        <v>48</v>
      </c>
      <c r="L64" s="23" t="s">
        <v>108</v>
      </c>
      <c r="M64" s="3" t="s">
        <v>630</v>
      </c>
      <c r="N64" s="3" t="str">
        <f t="shared" si="1"/>
        <v>GET /cards/creditCard/v1/interest/{companyReference}/{applicationReferenceId}/retrieve</v>
      </c>
      <c r="O64" s="32" t="s">
        <v>631</v>
      </c>
      <c r="P64" s="32"/>
      <c r="Q64" s="61" t="s">
        <v>98</v>
      </c>
      <c r="R64" s="31" t="s">
        <v>56</v>
      </c>
      <c r="S64" s="38" t="str">
        <f t="shared" si="2"/>
        <v>https://github.com/SF-Bancoppel/mx-api-bc-dom-credit-card</v>
      </c>
      <c r="T64" s="40"/>
      <c r="U64" s="22"/>
      <c r="V64" s="22" t="s">
        <v>269</v>
      </c>
      <c r="W64" s="40"/>
      <c r="X64" s="40"/>
      <c r="Y64" s="40"/>
      <c r="Z64" s="22"/>
      <c r="AA64" s="22"/>
      <c r="AB64" s="22"/>
    </row>
    <row r="65" ht="18.75" customHeight="1">
      <c r="A65" s="18" t="str">
        <f t="array" ref="A65">IFERROR(
  INDEX(
    'api-register-id'!A:A,
    MATCH(F65, 'api-register-id'!B:B, 0)
  ),
  "Not found Organization"
)</f>
        <v>SSFF</v>
      </c>
      <c r="B65" s="22" t="str">
        <f>IFERROR(VLOOKUP(F65, 'api-register-id'!B:F, 4, FALSE), "Not found path.")</f>
        <v>mx-api-bc-dom-credit-card</v>
      </c>
      <c r="C65" s="23" t="s">
        <v>41</v>
      </c>
      <c r="D65" s="23" t="s">
        <v>119</v>
      </c>
      <c r="E65" s="24" t="str">
        <f>IFERROR(VLOOKUP(F65, 'api-register-id'!B:F, 5, FALSE), "Not found path.")</f>
        <v>APIMX000012</v>
      </c>
      <c r="F65" s="25" t="s">
        <v>218</v>
      </c>
      <c r="G65" s="26" t="s">
        <v>633</v>
      </c>
      <c r="H65" s="22" t="s">
        <v>634</v>
      </c>
      <c r="I65" s="29" t="str">
        <f>IFERROR(VLOOKUP(F65, 'api-register-id'!B:I, 8, FALSE), "Not found path.")</f>
        <v>1.31.0</v>
      </c>
      <c r="J65" s="3" t="s">
        <v>560</v>
      </c>
      <c r="K65" s="31" t="s">
        <v>48</v>
      </c>
      <c r="L65" s="23" t="s">
        <v>49</v>
      </c>
      <c r="M65" s="3" t="s">
        <v>635</v>
      </c>
      <c r="N65" s="3" t="str">
        <f t="shared" si="1"/>
        <v>POST /cards/creditCard/v1/interest/update</v>
      </c>
      <c r="O65" s="32" t="s">
        <v>636</v>
      </c>
      <c r="P65" s="32" t="s">
        <v>614</v>
      </c>
      <c r="Q65" s="61" t="s">
        <v>98</v>
      </c>
      <c r="R65" s="31" t="s">
        <v>56</v>
      </c>
      <c r="S65" s="38" t="str">
        <f t="shared" si="2"/>
        <v>https://github.com/SF-Bancoppel/mx-api-bc-dom-credit-card</v>
      </c>
      <c r="T65" s="40"/>
      <c r="U65" s="22"/>
      <c r="V65" s="22" t="s">
        <v>269</v>
      </c>
      <c r="W65" s="40"/>
      <c r="X65" s="40"/>
      <c r="Y65" s="40"/>
      <c r="Z65" s="22"/>
      <c r="AA65" s="22"/>
      <c r="AB65" s="22"/>
    </row>
    <row r="66" ht="18.75" customHeight="1">
      <c r="A66" s="18" t="str">
        <f t="array" ref="A66">IFERROR(
  INDEX(
    'api-register-id'!A:A,
    MATCH(F66, 'api-register-id'!B:B, 0)
  ),
  "Not found Organization"
)</f>
        <v>SSFF</v>
      </c>
      <c r="B66" s="22" t="str">
        <f>IFERROR(VLOOKUP(F66, 'api-register-id'!B:F, 4, FALSE), "Not found path.")</f>
        <v>mx-api-bc-dom-credit-card</v>
      </c>
      <c r="C66" s="23" t="s">
        <v>41</v>
      </c>
      <c r="D66" s="23" t="s">
        <v>119</v>
      </c>
      <c r="E66" s="24" t="str">
        <f>IFERROR(VLOOKUP(F66, 'api-register-id'!B:F, 5, FALSE), "Not found path.")</f>
        <v>APIMX000012</v>
      </c>
      <c r="F66" s="25" t="s">
        <v>218</v>
      </c>
      <c r="G66" s="26" t="s">
        <v>641</v>
      </c>
      <c r="H66" s="22" t="s">
        <v>642</v>
      </c>
      <c r="I66" s="29" t="str">
        <f>IFERROR(VLOOKUP(F66, 'api-register-id'!B:I, 8, FALSE), "Not found path.")</f>
        <v>1.31.0</v>
      </c>
      <c r="J66" s="3" t="s">
        <v>560</v>
      </c>
      <c r="K66" s="31" t="s">
        <v>48</v>
      </c>
      <c r="L66" s="23" t="s">
        <v>49</v>
      </c>
      <c r="M66" s="3" t="s">
        <v>644</v>
      </c>
      <c r="N66" s="3" t="str">
        <f t="shared" si="1"/>
        <v>POST /cards/creditCard/v1/cardPaymentAgreement/retrieve</v>
      </c>
      <c r="O66" s="32" t="s">
        <v>645</v>
      </c>
      <c r="P66" s="32"/>
      <c r="Q66" s="61" t="s">
        <v>646</v>
      </c>
      <c r="R66" s="31" t="s">
        <v>56</v>
      </c>
      <c r="S66" s="38" t="str">
        <f t="shared" si="2"/>
        <v>https://github.com/SF-Bancoppel/mx-api-bc-dom-credit-card</v>
      </c>
      <c r="T66" s="40"/>
      <c r="U66" s="22"/>
      <c r="V66" s="40"/>
      <c r="W66" s="40"/>
      <c r="X66" s="40"/>
      <c r="Y66" s="40"/>
      <c r="Z66" s="22"/>
      <c r="AA66" s="22"/>
      <c r="AB66" s="22"/>
    </row>
    <row r="67" ht="18.75" customHeight="1">
      <c r="A67" s="18" t="str">
        <f t="array" ref="A67">IFERROR(
  INDEX(
    'api-register-id'!A:A,
    MATCH(F67, 'api-register-id'!B:B, 0)
  ),
  "Not found Organization"
)</f>
        <v>SSFF</v>
      </c>
      <c r="B67" s="22" t="str">
        <f>IFERROR(VLOOKUP(F67, 'api-register-id'!B:F, 4, FALSE), "Not found path.")</f>
        <v>mx-api-bc-dom-credit-card</v>
      </c>
      <c r="C67" s="23" t="s">
        <v>41</v>
      </c>
      <c r="D67" s="23" t="s">
        <v>119</v>
      </c>
      <c r="E67" s="24" t="str">
        <f>IFERROR(VLOOKUP(F67, 'api-register-id'!B:F, 5, FALSE), "Not found path.")</f>
        <v>APIMX000012</v>
      </c>
      <c r="F67" s="25" t="s">
        <v>218</v>
      </c>
      <c r="G67" s="26" t="s">
        <v>647</v>
      </c>
      <c r="H67" s="22" t="s">
        <v>648</v>
      </c>
      <c r="I67" s="29" t="str">
        <f>IFERROR(VLOOKUP(F67, 'api-register-id'!B:I, 8, FALSE), "Not found path.")</f>
        <v>1.31.0</v>
      </c>
      <c r="J67" s="3" t="s">
        <v>560</v>
      </c>
      <c r="K67" s="31" t="s">
        <v>48</v>
      </c>
      <c r="L67" s="23" t="s">
        <v>49</v>
      </c>
      <c r="M67" s="3" t="s">
        <v>650</v>
      </c>
      <c r="N67" s="3" t="str">
        <f t="shared" si="1"/>
        <v>POST /cards/creditCard/v1/paymentCard/retrieve</v>
      </c>
      <c r="O67" s="32" t="s">
        <v>651</v>
      </c>
      <c r="P67" s="32" t="s">
        <v>652</v>
      </c>
      <c r="Q67" s="61" t="s">
        <v>654</v>
      </c>
      <c r="R67" s="31" t="s">
        <v>56</v>
      </c>
      <c r="S67" s="38" t="str">
        <f t="shared" si="2"/>
        <v>https://github.com/SF-Bancoppel/mx-api-bc-dom-credit-card</v>
      </c>
      <c r="T67" s="40"/>
      <c r="U67" s="22"/>
      <c r="V67" s="40"/>
      <c r="W67" s="40"/>
      <c r="X67" s="40"/>
      <c r="Y67" s="40"/>
      <c r="Z67" s="22"/>
      <c r="AA67" s="22"/>
      <c r="AB67" s="22"/>
    </row>
    <row r="68" ht="18.75" customHeight="1">
      <c r="A68" s="18" t="str">
        <f t="array" ref="A68">IFERROR(
  INDEX(
    'api-register-id'!A:A,
    MATCH(F68, 'api-register-id'!B:B, 0)
  ),
  "Not found Organization"
)</f>
        <v>SSFF</v>
      </c>
      <c r="B68" s="22" t="str">
        <f>IFERROR(VLOOKUP(F68, 'api-register-id'!B:F, 4, FALSE), "Not found path.")</f>
        <v>mx-api-bc-dom-credit-card</v>
      </c>
      <c r="C68" s="23" t="s">
        <v>41</v>
      </c>
      <c r="D68" s="23" t="s">
        <v>119</v>
      </c>
      <c r="E68" s="24" t="str">
        <f>IFERROR(VLOOKUP(F68, 'api-register-id'!B:F, 5, FALSE), "Not found path.")</f>
        <v>APIMX000012</v>
      </c>
      <c r="F68" s="25" t="s">
        <v>218</v>
      </c>
      <c r="G68" s="26" t="s">
        <v>658</v>
      </c>
      <c r="H68" s="22" t="s">
        <v>659</v>
      </c>
      <c r="I68" s="29" t="str">
        <f>IFERROR(VLOOKUP(F68, 'api-register-id'!B:I, 8, FALSE), "Not found path.")</f>
        <v>1.31.0</v>
      </c>
      <c r="J68" s="3" t="s">
        <v>560</v>
      </c>
      <c r="K68" s="31" t="s">
        <v>48</v>
      </c>
      <c r="L68" s="23" t="s">
        <v>49</v>
      </c>
      <c r="M68" s="3" t="s">
        <v>660</v>
      </c>
      <c r="N68" s="3" t="str">
        <f t="shared" si="1"/>
        <v>POST /cards/creditCard/v1/creditCardActivationLog/register</v>
      </c>
      <c r="O68" s="32" t="s">
        <v>651</v>
      </c>
      <c r="P68" s="32"/>
      <c r="Q68" s="61" t="s">
        <v>98</v>
      </c>
      <c r="R68" s="31" t="s">
        <v>56</v>
      </c>
      <c r="S68" s="38" t="str">
        <f t="shared" si="2"/>
        <v>https://github.com/SF-Bancoppel/mx-api-bc-dom-credit-card</v>
      </c>
      <c r="T68" s="40"/>
      <c r="U68" s="22"/>
      <c r="V68" s="22" t="s">
        <v>269</v>
      </c>
      <c r="W68" s="40"/>
      <c r="X68" s="40"/>
      <c r="Y68" s="40"/>
      <c r="Z68" s="22"/>
      <c r="AA68" s="22"/>
      <c r="AB68" s="22"/>
    </row>
    <row r="69" ht="18.75" customHeight="1">
      <c r="A69" s="18" t="str">
        <f t="array" ref="A69">IFERROR(
  INDEX(
    'api-register-id'!A:A,
    MATCH(F69, 'api-register-id'!B:B, 0)
  ),
  "Not found Organization"
)</f>
        <v>SSFF</v>
      </c>
      <c r="B69" s="22" t="str">
        <f>IFERROR(VLOOKUP(F69, 'api-register-id'!B:F, 4, FALSE), "Not found path.")</f>
        <v>mx-api-bc-dom-credit-card</v>
      </c>
      <c r="C69" s="23" t="s">
        <v>41</v>
      </c>
      <c r="D69" s="23" t="s">
        <v>119</v>
      </c>
      <c r="E69" s="24" t="str">
        <f>IFERROR(VLOOKUP(F69, 'api-register-id'!B:F, 5, FALSE), "Not found path.")</f>
        <v>APIMX000012</v>
      </c>
      <c r="F69" s="25" t="s">
        <v>218</v>
      </c>
      <c r="G69" s="26" t="s">
        <v>662</v>
      </c>
      <c r="H69" s="22" t="s">
        <v>663</v>
      </c>
      <c r="I69" s="29" t="str">
        <f>IFERROR(VLOOKUP(F69, 'api-register-id'!B:I, 8, FALSE), "Not found path.")</f>
        <v>1.31.0</v>
      </c>
      <c r="J69" s="3" t="s">
        <v>560</v>
      </c>
      <c r="K69" s="31" t="s">
        <v>48</v>
      </c>
      <c r="L69" s="23" t="s">
        <v>428</v>
      </c>
      <c r="M69" s="3" t="s">
        <v>665</v>
      </c>
      <c r="N69" s="3" t="str">
        <f t="shared" si="1"/>
        <v>PATCH /cards/creditCard/v1/creditCardActivationLog/update</v>
      </c>
      <c r="O69" s="32" t="s">
        <v>651</v>
      </c>
      <c r="P69" s="32"/>
      <c r="Q69" s="61" t="s">
        <v>98</v>
      </c>
      <c r="R69" s="31" t="s">
        <v>56</v>
      </c>
      <c r="S69" s="38" t="str">
        <f t="shared" si="2"/>
        <v>https://github.com/SF-Bancoppel/mx-api-bc-dom-credit-card</v>
      </c>
      <c r="T69" s="40"/>
      <c r="U69" s="22"/>
      <c r="V69" s="22" t="s">
        <v>269</v>
      </c>
      <c r="W69" s="40"/>
      <c r="X69" s="40"/>
      <c r="Y69" s="40"/>
      <c r="Z69" s="22"/>
      <c r="AA69" s="22"/>
      <c r="AB69" s="22"/>
    </row>
    <row r="70" ht="18.75" customHeight="1">
      <c r="A70" s="18" t="str">
        <f t="array" ref="A70">IFERROR(
  INDEX(
    'api-register-id'!A:A,
    MATCH(F70, 'api-register-id'!B:B, 0)
  ),
  "Not found Organization"
)</f>
        <v>SSFF</v>
      </c>
      <c r="B70" s="22" t="str">
        <f>IFERROR(VLOOKUP(F70, 'api-register-id'!B:F, 4, FALSE), "Not found path.")</f>
        <v>mx-api-bc-dom-credit-card</v>
      </c>
      <c r="C70" s="23" t="s">
        <v>41</v>
      </c>
      <c r="D70" s="23" t="s">
        <v>119</v>
      </c>
      <c r="E70" s="24" t="str">
        <f>IFERROR(VLOOKUP(F70, 'api-register-id'!B:F, 5, FALSE), "Not found path.")</f>
        <v>APIMX000012</v>
      </c>
      <c r="F70" s="25" t="s">
        <v>218</v>
      </c>
      <c r="G70" s="26" t="s">
        <v>668</v>
      </c>
      <c r="H70" s="22" t="s">
        <v>669</v>
      </c>
      <c r="I70" s="29" t="str">
        <f>IFERROR(VLOOKUP(F70, 'api-register-id'!B:I, 8, FALSE), "Not found path.")</f>
        <v>1.31.0</v>
      </c>
      <c r="J70" s="3" t="s">
        <v>560</v>
      </c>
      <c r="K70" s="31" t="s">
        <v>48</v>
      </c>
      <c r="L70" s="23" t="s">
        <v>61</v>
      </c>
      <c r="M70" s="3" t="s">
        <v>670</v>
      </c>
      <c r="N70" s="3" t="str">
        <f t="shared" si="1"/>
        <v>PUT /cards/creditCard/v1/paymentCard/control</v>
      </c>
      <c r="O70" s="32" t="s">
        <v>671</v>
      </c>
      <c r="P70" s="32"/>
      <c r="Q70" s="61" t="s">
        <v>98</v>
      </c>
      <c r="R70" s="31" t="s">
        <v>56</v>
      </c>
      <c r="S70" s="38" t="str">
        <f t="shared" si="2"/>
        <v>https://github.com/SF-Bancoppel/mx-api-bc-dom-credit-card</v>
      </c>
      <c r="T70" s="40"/>
      <c r="U70" s="22"/>
      <c r="V70" s="22" t="s">
        <v>269</v>
      </c>
      <c r="W70" s="40"/>
      <c r="X70" s="40"/>
      <c r="Y70" s="40"/>
      <c r="Z70" s="22"/>
      <c r="AA70" s="22"/>
      <c r="AB70" s="22"/>
    </row>
    <row r="71" ht="18.75" customHeight="1">
      <c r="A71" s="18" t="str">
        <f t="array" ref="A71">IFERROR(
  INDEX(
    'api-register-id'!A:A,
    MATCH(F71, 'api-register-id'!B:B, 0)
  ),
  "Not found Organization"
)</f>
        <v>SSFF</v>
      </c>
      <c r="B71" s="22" t="str">
        <f>IFERROR(VLOOKUP(F71, 'api-register-id'!B:F, 4, FALSE), "Not found path.")</f>
        <v>mx-api-bc-dom-credit-card</v>
      </c>
      <c r="C71" s="23" t="s">
        <v>41</v>
      </c>
      <c r="D71" s="23" t="s">
        <v>119</v>
      </c>
      <c r="E71" s="24" t="str">
        <f>IFERROR(VLOOKUP(F71, 'api-register-id'!B:F, 5, FALSE), "Not found path.")</f>
        <v>APIMX000012</v>
      </c>
      <c r="F71" s="25" t="s">
        <v>218</v>
      </c>
      <c r="G71" s="26" t="s">
        <v>673</v>
      </c>
      <c r="H71" s="22" t="s">
        <v>674</v>
      </c>
      <c r="I71" s="29" t="str">
        <f>IFERROR(VLOOKUP(F71, 'api-register-id'!B:I, 8, FALSE), "Not found path.")</f>
        <v>1.31.0</v>
      </c>
      <c r="J71" s="3" t="s">
        <v>560</v>
      </c>
      <c r="K71" s="31" t="s">
        <v>48</v>
      </c>
      <c r="L71" s="23" t="s">
        <v>49</v>
      </c>
      <c r="M71" s="3" t="s">
        <v>677</v>
      </c>
      <c r="N71" s="3" t="str">
        <f t="shared" si="1"/>
        <v>POST /cards/creditCard/v1/paymentCard/register</v>
      </c>
      <c r="O71" s="32" t="s">
        <v>651</v>
      </c>
      <c r="P71" s="32"/>
      <c r="Q71" s="61" t="s">
        <v>98</v>
      </c>
      <c r="R71" s="31" t="s">
        <v>56</v>
      </c>
      <c r="S71" s="38" t="str">
        <f t="shared" si="2"/>
        <v>https://github.com/SF-Bancoppel/mx-api-bc-dom-credit-card</v>
      </c>
      <c r="T71" s="40"/>
      <c r="U71" s="22"/>
      <c r="V71" s="22" t="s">
        <v>269</v>
      </c>
      <c r="W71" s="40"/>
      <c r="X71" s="40"/>
      <c r="Y71" s="40"/>
      <c r="Z71" s="22"/>
      <c r="AA71" s="22"/>
      <c r="AB71" s="22"/>
    </row>
    <row r="72" ht="18.75" customHeight="1">
      <c r="A72" s="18" t="str">
        <f t="array" ref="A72">IFERROR(
  INDEX(
    'api-register-id'!A:A,
    MATCH(F72, 'api-register-id'!B:B, 0)
  ),
  "Not found Organization"
)</f>
        <v>SSFF</v>
      </c>
      <c r="B72" s="22" t="str">
        <f>IFERROR(VLOOKUP(F72, 'api-register-id'!B:F, 4, FALSE), "Not found path.")</f>
        <v>mx-api-bc-dom-credit-card</v>
      </c>
      <c r="C72" s="23" t="s">
        <v>41</v>
      </c>
      <c r="D72" s="23" t="s">
        <v>119</v>
      </c>
      <c r="E72" s="24" t="str">
        <f>IFERROR(VLOOKUP(F72, 'api-register-id'!B:F, 5, FALSE), "Not found path.")</f>
        <v>APIMX000012</v>
      </c>
      <c r="F72" s="25" t="s">
        <v>218</v>
      </c>
      <c r="G72" s="26" t="s">
        <v>678</v>
      </c>
      <c r="H72" s="22" t="s">
        <v>679</v>
      </c>
      <c r="I72" s="29" t="str">
        <f>IFERROR(VLOOKUP(F72, 'api-register-id'!B:I, 8, FALSE), "Not found path.")</f>
        <v>1.31.0</v>
      </c>
      <c r="J72" s="3" t="s">
        <v>560</v>
      </c>
      <c r="K72" s="31" t="s">
        <v>48</v>
      </c>
      <c r="L72" s="23" t="s">
        <v>49</v>
      </c>
      <c r="M72" s="3" t="s">
        <v>680</v>
      </c>
      <c r="N72" s="3" t="str">
        <f t="shared" si="1"/>
        <v>POST /cards/creditCard/v1/creditCardApplication/evaluate</v>
      </c>
      <c r="O72" s="32" t="s">
        <v>681</v>
      </c>
      <c r="P72" s="32"/>
      <c r="Q72" s="61" t="s">
        <v>98</v>
      </c>
      <c r="R72" s="31" t="s">
        <v>56</v>
      </c>
      <c r="S72" s="38" t="str">
        <f t="shared" si="2"/>
        <v>https://github.com/SF-Bancoppel/mx-api-bc-dom-credit-card</v>
      </c>
      <c r="T72" s="40"/>
      <c r="U72" s="22"/>
      <c r="V72" s="22" t="s">
        <v>269</v>
      </c>
      <c r="W72" s="40"/>
      <c r="X72" s="40"/>
      <c r="Y72" s="40"/>
      <c r="Z72" s="22"/>
      <c r="AA72" s="22"/>
      <c r="AB72" s="22"/>
    </row>
    <row r="73" ht="18.75" customHeight="1">
      <c r="A73" s="18" t="str">
        <f t="array" ref="A73">IFERROR(
  INDEX(
    'api-register-id'!A:A,
    MATCH(F73, 'api-register-id'!B:B, 0)
  ),
  "Not found Organization"
)</f>
        <v>SSFF</v>
      </c>
      <c r="B73" s="22" t="str">
        <f>IFERROR(VLOOKUP(F73, 'api-register-id'!B:F, 4, FALSE), "Not found path.")</f>
        <v>mx-api-bc-dom-credit-card</v>
      </c>
      <c r="C73" s="23" t="s">
        <v>41</v>
      </c>
      <c r="D73" s="23" t="s">
        <v>119</v>
      </c>
      <c r="E73" s="24" t="str">
        <f>IFERROR(VLOOKUP(F73, 'api-register-id'!B:F, 5, FALSE), "Not found path.")</f>
        <v>APIMX000012</v>
      </c>
      <c r="F73" s="25" t="s">
        <v>218</v>
      </c>
      <c r="G73" s="26" t="s">
        <v>685</v>
      </c>
      <c r="H73" s="22" t="s">
        <v>686</v>
      </c>
      <c r="I73" s="29" t="str">
        <f>IFERROR(VLOOKUP(F73, 'api-register-id'!B:I, 8, FALSE), "Not found path.")</f>
        <v>1.31.0</v>
      </c>
      <c r="J73" s="3" t="s">
        <v>560</v>
      </c>
      <c r="K73" s="31" t="s">
        <v>48</v>
      </c>
      <c r="L73" s="23" t="s">
        <v>49</v>
      </c>
      <c r="M73" s="3" t="s">
        <v>687</v>
      </c>
      <c r="N73" s="3" t="str">
        <f t="shared" si="1"/>
        <v>POST /cards/creditCard/v1/creditCardFacility/evaluate</v>
      </c>
      <c r="O73" s="32" t="s">
        <v>688</v>
      </c>
      <c r="P73" s="32"/>
      <c r="Q73" s="61" t="s">
        <v>689</v>
      </c>
      <c r="R73" s="31" t="s">
        <v>56</v>
      </c>
      <c r="S73" s="38" t="str">
        <f t="shared" si="2"/>
        <v>https://github.com/SF-Bancoppel/mx-api-bc-dom-credit-card</v>
      </c>
      <c r="T73" s="40"/>
      <c r="U73" s="22"/>
      <c r="V73" s="40"/>
      <c r="W73" s="40"/>
      <c r="X73" s="40"/>
      <c r="Y73" s="40"/>
      <c r="Z73" s="22"/>
      <c r="AA73" s="22"/>
      <c r="AB73" s="22"/>
    </row>
    <row r="74" ht="18.75" customHeight="1">
      <c r="A74" s="18" t="str">
        <f t="array" ref="A74">IFERROR(
  INDEX(
    'api-register-id'!A:A,
    MATCH(F74, 'api-register-id'!B:B, 0)
  ),
  "Not found Organization"
)</f>
        <v>SSFF</v>
      </c>
      <c r="B74" s="22" t="str">
        <f>IFERROR(VLOOKUP(F74, 'api-register-id'!B:F, 4, FALSE), "Not found path.")</f>
        <v>mx-api-bc-dom-credit-card</v>
      </c>
      <c r="C74" s="23" t="s">
        <v>41</v>
      </c>
      <c r="D74" s="23" t="s">
        <v>119</v>
      </c>
      <c r="E74" s="24" t="str">
        <f>IFERROR(VLOOKUP(F74, 'api-register-id'!B:F, 5, FALSE), "Not found path.")</f>
        <v>APIMX000012</v>
      </c>
      <c r="F74" s="25" t="s">
        <v>218</v>
      </c>
      <c r="G74" s="26" t="s">
        <v>690</v>
      </c>
      <c r="H74" s="22" t="s">
        <v>691</v>
      </c>
      <c r="I74" s="29" t="str">
        <f>IFERROR(VLOOKUP(F74, 'api-register-id'!B:I, 8, FALSE), "Not found path.")</f>
        <v>1.31.0</v>
      </c>
      <c r="J74" s="3" t="s">
        <v>560</v>
      </c>
      <c r="K74" s="31" t="s">
        <v>48</v>
      </c>
      <c r="L74" s="23" t="s">
        <v>49</v>
      </c>
      <c r="M74" s="3" t="s">
        <v>693</v>
      </c>
      <c r="N74" s="3" t="str">
        <f t="shared" si="1"/>
        <v>POST /cards/creditCard/v1/cardTransaction/retrieve</v>
      </c>
      <c r="O74" s="32" t="s">
        <v>695</v>
      </c>
      <c r="P74" s="32"/>
      <c r="Q74" s="61" t="s">
        <v>696</v>
      </c>
      <c r="R74" s="31" t="s">
        <v>56</v>
      </c>
      <c r="S74" s="38" t="str">
        <f t="shared" si="2"/>
        <v>https://github.com/SF-Bancoppel/mx-api-bc-dom-credit-card</v>
      </c>
      <c r="T74" s="40"/>
      <c r="U74" s="22"/>
      <c r="V74" s="40"/>
      <c r="W74" s="40"/>
      <c r="X74" s="40"/>
      <c r="Y74" s="40"/>
      <c r="Z74" s="22"/>
      <c r="AA74" s="22"/>
      <c r="AB74" s="22"/>
    </row>
    <row r="75" ht="18.75" customHeight="1">
      <c r="A75" s="18" t="str">
        <f t="array" ref="A75">IFERROR(
  INDEX(
    'api-register-id'!A:A,
    MATCH(F75, 'api-register-id'!B:B, 0)
  ),
  "Not found Organization"
)</f>
        <v>SSFF</v>
      </c>
      <c r="B75" s="22" t="str">
        <f>IFERROR(VLOOKUP(F75, 'api-register-id'!B:F, 4, FALSE), "Not found path.")</f>
        <v>mx-api-bc-dom-credit-card</v>
      </c>
      <c r="C75" s="23" t="s">
        <v>41</v>
      </c>
      <c r="D75" s="23" t="s">
        <v>119</v>
      </c>
      <c r="E75" s="24" t="str">
        <f>IFERROR(VLOOKUP(F75, 'api-register-id'!B:F, 5, FALSE), "Not found path.")</f>
        <v>APIMX000012</v>
      </c>
      <c r="F75" s="25" t="s">
        <v>218</v>
      </c>
      <c r="G75" s="26" t="s">
        <v>698</v>
      </c>
      <c r="H75" s="22" t="s">
        <v>699</v>
      </c>
      <c r="I75" s="29" t="str">
        <f>IFERROR(VLOOKUP(F75, 'api-register-id'!B:I, 8, FALSE), "Not found path.")</f>
        <v>1.31.0</v>
      </c>
      <c r="J75" s="3" t="s">
        <v>560</v>
      </c>
      <c r="K75" s="31" t="s">
        <v>48</v>
      </c>
      <c r="L75" s="23" t="s">
        <v>49</v>
      </c>
      <c r="M75" s="3" t="s">
        <v>209</v>
      </c>
      <c r="N75" s="3" t="str">
        <f t="shared" si="1"/>
        <v>POST /cards/creditCard/v1/creditCardHolder/retrieve</v>
      </c>
      <c r="O75" s="32" t="s">
        <v>700</v>
      </c>
      <c r="P75" s="32" t="s">
        <v>652</v>
      </c>
      <c r="Q75" s="61" t="s">
        <v>701</v>
      </c>
      <c r="R75" s="31" t="s">
        <v>56</v>
      </c>
      <c r="S75" s="38" t="str">
        <f t="shared" si="2"/>
        <v>https://github.com/SF-Bancoppel/mx-api-bc-dom-credit-card</v>
      </c>
      <c r="T75" s="40"/>
      <c r="U75" s="22"/>
      <c r="V75" s="40"/>
      <c r="W75" s="40"/>
      <c r="X75" s="40"/>
      <c r="Y75" s="40"/>
      <c r="Z75" s="22"/>
      <c r="AA75" s="22"/>
      <c r="AB75" s="22"/>
    </row>
    <row r="76" ht="18.75" customHeight="1">
      <c r="A76" s="18" t="str">
        <f t="array" ref="A76">IFERROR(
  INDEX(
    'api-register-id'!A:A,
    MATCH(F76, 'api-register-id'!B:B, 0)
  ),
  "Not found Organization"
)</f>
        <v>SSFF</v>
      </c>
      <c r="B76" s="22" t="str">
        <f>IFERROR(VLOOKUP(F76, 'api-register-id'!B:F, 4, FALSE), "Not found path.")</f>
        <v>mx-api-bc-dom-credit-card</v>
      </c>
      <c r="C76" s="23" t="s">
        <v>41</v>
      </c>
      <c r="D76" s="23" t="s">
        <v>119</v>
      </c>
      <c r="E76" s="24" t="str">
        <f>IFERROR(VLOOKUP(F76, 'api-register-id'!B:F, 5, FALSE), "Not found path.")</f>
        <v>APIMX000012</v>
      </c>
      <c r="F76" s="25" t="s">
        <v>218</v>
      </c>
      <c r="G76" s="26" t="s">
        <v>703</v>
      </c>
      <c r="H76" s="22" t="s">
        <v>704</v>
      </c>
      <c r="I76" s="29" t="str">
        <f>IFERROR(VLOOKUP(F76, 'api-register-id'!B:I, 8, FALSE), "Not found path.")</f>
        <v>1.31.0</v>
      </c>
      <c r="J76" s="3" t="s">
        <v>560</v>
      </c>
      <c r="K76" s="31" t="s">
        <v>48</v>
      </c>
      <c r="L76" s="23" t="s">
        <v>61</v>
      </c>
      <c r="M76" s="3" t="s">
        <v>707</v>
      </c>
      <c r="N76" s="3" t="str">
        <f t="shared" si="1"/>
        <v>PUT /cards/creditCard/v1/creditCardFacility/control</v>
      </c>
      <c r="O76" s="32" t="s">
        <v>708</v>
      </c>
      <c r="P76" s="32"/>
      <c r="Q76" s="61" t="s">
        <v>98</v>
      </c>
      <c r="R76" s="31" t="s">
        <v>56</v>
      </c>
      <c r="S76" s="38" t="str">
        <f t="shared" si="2"/>
        <v>https://github.com/SF-Bancoppel/mx-api-bc-dom-credit-card</v>
      </c>
      <c r="T76" s="40"/>
      <c r="U76" s="22"/>
      <c r="V76" s="40"/>
      <c r="W76" s="40"/>
      <c r="X76" s="40"/>
      <c r="Y76" s="40"/>
      <c r="Z76" s="22"/>
      <c r="AA76" s="22"/>
      <c r="AB76" s="22"/>
    </row>
    <row r="77" ht="18.75" customHeight="1">
      <c r="A77" s="18" t="str">
        <f t="array" ref="A77">IFERROR(
  INDEX(
    'api-register-id'!A:A,
    MATCH(F77, 'api-register-id'!B:B, 0)
  ),
  "Not found Organization"
)</f>
        <v>SSFF</v>
      </c>
      <c r="B77" s="22" t="str">
        <f>IFERROR(VLOOKUP(F77, 'api-register-id'!B:F, 4, FALSE), "Not found path.")</f>
        <v>mx-api-bc-dom-credit-card</v>
      </c>
      <c r="C77" s="23" t="s">
        <v>41</v>
      </c>
      <c r="D77" s="23" t="s">
        <v>119</v>
      </c>
      <c r="E77" s="24" t="str">
        <f>IFERROR(VLOOKUP(F77, 'api-register-id'!B:F, 5, FALSE), "Not found path.")</f>
        <v>APIMX000012</v>
      </c>
      <c r="F77" s="25" t="s">
        <v>218</v>
      </c>
      <c r="G77" s="26" t="s">
        <v>710</v>
      </c>
      <c r="H77" s="22" t="s">
        <v>711</v>
      </c>
      <c r="I77" s="29" t="str">
        <f>IFERROR(VLOOKUP(F77, 'api-register-id'!B:I, 8, FALSE), "Not found path.")</f>
        <v>1.31.0</v>
      </c>
      <c r="J77" s="3" t="s">
        <v>560</v>
      </c>
      <c r="K77" s="31" t="s">
        <v>48</v>
      </c>
      <c r="L77" s="23" t="s">
        <v>49</v>
      </c>
      <c r="M77" s="3" t="s">
        <v>714</v>
      </c>
      <c r="N77" s="3" t="str">
        <f t="shared" si="1"/>
        <v>POST /cards/creditCard/v1/creditCardPosition/retrieve</v>
      </c>
      <c r="O77" s="32" t="s">
        <v>715</v>
      </c>
      <c r="P77" s="32"/>
      <c r="Q77" s="61" t="s">
        <v>716</v>
      </c>
      <c r="R77" s="31" t="s">
        <v>56</v>
      </c>
      <c r="S77" s="38" t="str">
        <f t="shared" si="2"/>
        <v>https://github.com/SF-Bancoppel/mx-api-bc-dom-credit-card</v>
      </c>
      <c r="T77" s="40"/>
      <c r="U77" s="22"/>
      <c r="V77" s="40"/>
      <c r="W77" s="40"/>
      <c r="X77" s="40"/>
      <c r="Y77" s="40"/>
      <c r="Z77" s="22"/>
      <c r="AA77" s="22"/>
      <c r="AB77" s="22"/>
    </row>
    <row r="78" ht="18.75" customHeight="1">
      <c r="A78" s="18" t="str">
        <f t="array" ref="A78">IFERROR(
  INDEX(
    'api-register-id'!A:A,
    MATCH(F78, 'api-register-id'!B:B, 0)
  ),
  "Not found Organization"
)</f>
        <v>SSFF</v>
      </c>
      <c r="B78" s="22" t="str">
        <f>IFERROR(VLOOKUP(F78, 'api-register-id'!B:F, 4, FALSE), "Not found path.")</f>
        <v>mx-api-bc-dom-credit-card</v>
      </c>
      <c r="C78" s="23" t="s">
        <v>41</v>
      </c>
      <c r="D78" s="23" t="s">
        <v>119</v>
      </c>
      <c r="E78" s="24" t="str">
        <f>IFERROR(VLOOKUP(F78, 'api-register-id'!B:F, 5, FALSE), "Not found path.")</f>
        <v>APIMX000012</v>
      </c>
      <c r="F78" s="25" t="s">
        <v>218</v>
      </c>
      <c r="G78" s="26" t="s">
        <v>717</v>
      </c>
      <c r="H78" s="22" t="s">
        <v>718</v>
      </c>
      <c r="I78" s="29" t="str">
        <f>IFERROR(VLOOKUP(F78, 'api-register-id'!B:I, 8, FALSE), "Not found path.")</f>
        <v>1.31.0</v>
      </c>
      <c r="J78" s="3" t="s">
        <v>560</v>
      </c>
      <c r="K78" s="31" t="s">
        <v>48</v>
      </c>
      <c r="L78" s="23" t="s">
        <v>49</v>
      </c>
      <c r="M78" s="3" t="s">
        <v>722</v>
      </c>
      <c r="N78" s="3" t="str">
        <f t="shared" si="1"/>
        <v>POST /cards/creditCard/v1/paymentCard/evaluate</v>
      </c>
      <c r="O78" s="32" t="s">
        <v>723</v>
      </c>
      <c r="P78" s="32"/>
      <c r="Q78" s="61" t="s">
        <v>98</v>
      </c>
      <c r="R78" s="31" t="s">
        <v>56</v>
      </c>
      <c r="S78" s="38" t="str">
        <f t="shared" si="2"/>
        <v>https://github.com/SF-Bancoppel/mx-api-bc-dom-credit-card</v>
      </c>
      <c r="T78" s="40"/>
      <c r="U78" s="22"/>
      <c r="V78" s="40"/>
      <c r="W78" s="40"/>
      <c r="X78" s="40"/>
      <c r="Y78" s="40"/>
      <c r="Z78" s="22"/>
      <c r="AA78" s="22"/>
      <c r="AB78" s="22"/>
    </row>
    <row r="79" ht="18.75" customHeight="1">
      <c r="A79" s="18" t="str">
        <f t="array" ref="A79">IFERROR(
  INDEX(
    'api-register-id'!A:A,
    MATCH(F79, 'api-register-id'!B:B, 0)
  ),
  "Not found Organization"
)</f>
        <v>SSFF</v>
      </c>
      <c r="B79" s="22" t="str">
        <f>IFERROR(VLOOKUP(F79, 'api-register-id'!B:F, 4, FALSE), "Not found path.")</f>
        <v>mx-api-bc-dom-credit-card</v>
      </c>
      <c r="C79" s="23" t="s">
        <v>41</v>
      </c>
      <c r="D79" s="23" t="s">
        <v>119</v>
      </c>
      <c r="E79" s="24" t="str">
        <f>IFERROR(VLOOKUP(F79, 'api-register-id'!B:F, 5, FALSE), "Not found path.")</f>
        <v>APIMX000012</v>
      </c>
      <c r="F79" s="25" t="s">
        <v>218</v>
      </c>
      <c r="G79" s="26" t="s">
        <v>724</v>
      </c>
      <c r="H79" s="22" t="s">
        <v>725</v>
      </c>
      <c r="I79" s="29" t="str">
        <f>IFERROR(VLOOKUP(F79, 'api-register-id'!B:I, 8, FALSE), "Not found path.")</f>
        <v>1.31.0</v>
      </c>
      <c r="J79" s="3" t="s">
        <v>560</v>
      </c>
      <c r="K79" s="31" t="s">
        <v>48</v>
      </c>
      <c r="L79" s="23" t="s">
        <v>428</v>
      </c>
      <c r="M79" s="3" t="s">
        <v>726</v>
      </c>
      <c r="N79" s="3" t="str">
        <f t="shared" si="1"/>
        <v>PATCH /cards/creditCard/v1/paymentCard/update</v>
      </c>
      <c r="O79" s="32" t="s">
        <v>728</v>
      </c>
      <c r="P79" s="32" t="s">
        <v>652</v>
      </c>
      <c r="Q79" s="61" t="s">
        <v>729</v>
      </c>
      <c r="R79" s="31" t="s">
        <v>56</v>
      </c>
      <c r="S79" s="38" t="str">
        <f t="shared" si="2"/>
        <v>https://github.com/SF-Bancoppel/mx-api-bc-dom-credit-card</v>
      </c>
      <c r="T79" s="40"/>
      <c r="U79" s="65"/>
      <c r="V79" s="66"/>
      <c r="W79" s="66"/>
      <c r="X79" s="66"/>
      <c r="Y79" s="66"/>
      <c r="Z79" s="65"/>
      <c r="AA79" s="65"/>
      <c r="AB79" s="65"/>
    </row>
    <row r="80" ht="18.75" customHeight="1">
      <c r="A80" s="18" t="str">
        <f t="array" ref="A80">IFERROR(
  INDEX(
    'api-register-id'!A:A,
    MATCH(F80, 'api-register-id'!B:B, 0)
  ),
  "Not found Organization"
)</f>
        <v>SSFF</v>
      </c>
      <c r="B80" s="22" t="str">
        <f>IFERROR(VLOOKUP(F80, 'api-register-id'!B:F, 4, FALSE), "Not found path.")</f>
        <v>mx-api-bc-dom-credit-card</v>
      </c>
      <c r="C80" s="23" t="s">
        <v>41</v>
      </c>
      <c r="D80" s="23" t="s">
        <v>119</v>
      </c>
      <c r="E80" s="24" t="str">
        <f>IFERROR(VLOOKUP(F80, 'api-register-id'!B:F, 5, FALSE), "Not found path.")</f>
        <v>APIMX000012</v>
      </c>
      <c r="F80" s="25" t="s">
        <v>218</v>
      </c>
      <c r="G80" s="26" t="s">
        <v>732</v>
      </c>
      <c r="H80" s="22" t="s">
        <v>733</v>
      </c>
      <c r="I80" s="29" t="str">
        <f>IFERROR(VLOOKUP(F80, 'api-register-id'!B:I, 8, FALSE), "Not found path.")</f>
        <v>1.31.0</v>
      </c>
      <c r="J80" s="3" t="s">
        <v>560</v>
      </c>
      <c r="K80" s="31" t="s">
        <v>48</v>
      </c>
      <c r="L80" s="23" t="s">
        <v>49</v>
      </c>
      <c r="M80" s="3" t="s">
        <v>734</v>
      </c>
      <c r="N80" s="3" t="str">
        <f t="shared" si="1"/>
        <v>POST /cards/creditCard/v1/positionLimit/retrieve</v>
      </c>
      <c r="O80" s="32" t="s">
        <v>735</v>
      </c>
      <c r="P80" s="32"/>
      <c r="Q80" s="61" t="s">
        <v>98</v>
      </c>
      <c r="R80" s="31" t="s">
        <v>56</v>
      </c>
      <c r="S80" s="38" t="str">
        <f t="shared" si="2"/>
        <v>https://github.com/SF-Bancoppel/mx-api-bc-dom-credit-card</v>
      </c>
      <c r="T80" s="40"/>
      <c r="U80" s="65"/>
      <c r="V80" s="66"/>
      <c r="W80" s="66"/>
      <c r="X80" s="66"/>
      <c r="Y80" s="66"/>
      <c r="Z80" s="65"/>
      <c r="AA80" s="65"/>
      <c r="AB80" s="65"/>
    </row>
    <row r="81" ht="18.75" customHeight="1">
      <c r="A81" s="18" t="str">
        <f t="array" ref="A81">IFERROR(
  INDEX(
    'api-register-id'!A:A,
    MATCH(F81, 'api-register-id'!B:B, 0)
  ),
  "Not found Organization"
)</f>
        <v>SSFF</v>
      </c>
      <c r="B81" s="22" t="str">
        <f>IFERROR(VLOOKUP(F81, 'api-register-id'!B:F, 4, FALSE), "Not found path.")</f>
        <v>mx-api-bc-dom-credit-card</v>
      </c>
      <c r="C81" s="23" t="s">
        <v>41</v>
      </c>
      <c r="D81" s="23" t="s">
        <v>119</v>
      </c>
      <c r="E81" s="24" t="str">
        <f>IFERROR(VLOOKUP(F81, 'api-register-id'!B:F, 5, FALSE), "Not found path.")</f>
        <v>APIMX000012</v>
      </c>
      <c r="F81" s="25" t="s">
        <v>218</v>
      </c>
      <c r="G81" s="26" t="s">
        <v>739</v>
      </c>
      <c r="H81" s="22" t="s">
        <v>740</v>
      </c>
      <c r="I81" s="29" t="str">
        <f>IFERROR(VLOOKUP(F81, 'api-register-id'!B:I, 8, FALSE), "Not found path.")</f>
        <v>1.31.0</v>
      </c>
      <c r="J81" s="3" t="s">
        <v>560</v>
      </c>
      <c r="K81" s="31" t="s">
        <v>48</v>
      </c>
      <c r="L81" s="23" t="s">
        <v>49</v>
      </c>
      <c r="M81" s="3" t="s">
        <v>741</v>
      </c>
      <c r="N81" s="3" t="str">
        <f t="shared" si="1"/>
        <v>POST /cards/creditCard/v1/specialCreditCardConditions/retrieve</v>
      </c>
      <c r="O81" s="32" t="s">
        <v>742</v>
      </c>
      <c r="P81" s="32"/>
      <c r="Q81" s="61" t="s">
        <v>98</v>
      </c>
      <c r="R81" s="31" t="s">
        <v>56</v>
      </c>
      <c r="S81" s="38" t="str">
        <f t="shared" si="2"/>
        <v>https://github.com/SF-Bancoppel/mx-api-bc-dom-credit-card</v>
      </c>
      <c r="T81" s="40"/>
      <c r="U81" s="22"/>
      <c r="V81" s="40"/>
      <c r="W81" s="40"/>
      <c r="X81" s="40"/>
      <c r="Y81" s="40"/>
      <c r="Z81" s="22"/>
      <c r="AA81" s="22"/>
      <c r="AB81" s="22"/>
    </row>
    <row r="82" ht="18.75" customHeight="1">
      <c r="A82" s="18" t="str">
        <f t="array" ref="A82">IFERROR(
  INDEX(
    'api-register-id'!A:A,
    MATCH(F82, 'api-register-id'!B:B, 0)
  ),
  "Not found Organization"
)</f>
        <v>SSFF</v>
      </c>
      <c r="B82" s="22" t="str">
        <f>IFERROR(VLOOKUP(F82, 'api-register-id'!B:F, 4, FALSE), "Not found path.")</f>
        <v>mx-api-bc-dom-credit-card</v>
      </c>
      <c r="C82" s="23" t="s">
        <v>41</v>
      </c>
      <c r="D82" s="23" t="s">
        <v>119</v>
      </c>
      <c r="E82" s="24" t="str">
        <f>IFERROR(VLOOKUP(F82, 'api-register-id'!B:F, 5, FALSE), "Not found path.")</f>
        <v>APIMX000012</v>
      </c>
      <c r="F82" s="25" t="s">
        <v>218</v>
      </c>
      <c r="G82" s="26" t="s">
        <v>746</v>
      </c>
      <c r="H82" s="22" t="s">
        <v>747</v>
      </c>
      <c r="I82" s="29" t="str">
        <f>IFERROR(VLOOKUP(F82, 'api-register-id'!B:I, 8, FALSE), "Not found path.")</f>
        <v>1.31.0</v>
      </c>
      <c r="J82" s="3" t="s">
        <v>560</v>
      </c>
      <c r="K82" s="31" t="s">
        <v>48</v>
      </c>
      <c r="L82" s="23" t="s">
        <v>49</v>
      </c>
      <c r="M82" s="3" t="s">
        <v>748</v>
      </c>
      <c r="N82" s="3" t="str">
        <f t="shared" si="1"/>
        <v>POST /cards/creditCard/v1/paymentCardType/retrieve</v>
      </c>
      <c r="O82" s="32" t="s">
        <v>749</v>
      </c>
      <c r="P82" s="32"/>
      <c r="Q82" s="61" t="s">
        <v>98</v>
      </c>
      <c r="R82" s="31" t="s">
        <v>56</v>
      </c>
      <c r="S82" s="38" t="str">
        <f t="shared" si="2"/>
        <v>https://github.com/SF-Bancoppel/mx-api-bc-dom-credit-card</v>
      </c>
      <c r="T82" s="40"/>
      <c r="U82" s="22"/>
      <c r="V82" s="40"/>
      <c r="W82" s="40"/>
      <c r="X82" s="40"/>
      <c r="Y82" s="40"/>
      <c r="Z82" s="22"/>
      <c r="AA82" s="22"/>
      <c r="AB82" s="22"/>
    </row>
    <row r="83" ht="18.75" customHeight="1">
      <c r="A83" s="18" t="str">
        <f t="array" ref="A83">IFERROR(
  INDEX(
    'api-register-id'!A:A,
    MATCH(F83, 'api-register-id'!B:B, 0)
  ),
  "Not found Organization"
)</f>
        <v>SSFF</v>
      </c>
      <c r="B83" s="22" t="str">
        <f>IFERROR(VLOOKUP(F83, 'api-register-id'!B:F, 4, FALSE), "Not found path.")</f>
        <v>mx-api-bc-dom-credit-card</v>
      </c>
      <c r="C83" s="23" t="s">
        <v>41</v>
      </c>
      <c r="D83" s="23" t="s">
        <v>119</v>
      </c>
      <c r="E83" s="24" t="str">
        <f>IFERROR(VLOOKUP(F83, 'api-register-id'!B:F, 5, FALSE), "Not found path.")</f>
        <v>APIMX000012</v>
      </c>
      <c r="F83" s="25" t="s">
        <v>218</v>
      </c>
      <c r="G83" s="26" t="s">
        <v>750</v>
      </c>
      <c r="H83" s="22" t="s">
        <v>751</v>
      </c>
      <c r="I83" s="29" t="str">
        <f>IFERROR(VLOOKUP(F83, 'api-register-id'!B:I, 8, FALSE), "Not found path.")</f>
        <v>1.31.0</v>
      </c>
      <c r="J83" s="3" t="s">
        <v>560</v>
      </c>
      <c r="K83" s="31" t="s">
        <v>48</v>
      </c>
      <c r="L83" s="23" t="s">
        <v>49</v>
      </c>
      <c r="M83" s="3" t="s">
        <v>752</v>
      </c>
      <c r="N83" s="3" t="str">
        <f t="shared" si="1"/>
        <v>POST /cards/creditCard/v1/refund/retrieve</v>
      </c>
      <c r="O83" s="32" t="s">
        <v>753</v>
      </c>
      <c r="P83" s="32"/>
      <c r="Q83" s="61" t="s">
        <v>754</v>
      </c>
      <c r="R83" s="31" t="s">
        <v>56</v>
      </c>
      <c r="S83" s="38" t="str">
        <f t="shared" si="2"/>
        <v>https://github.com/SF-Bancoppel/mx-api-bc-dom-credit-card</v>
      </c>
      <c r="T83" s="40"/>
      <c r="U83" s="22"/>
      <c r="V83" s="40"/>
      <c r="W83" s="40"/>
      <c r="X83" s="40"/>
      <c r="Y83" s="40"/>
      <c r="Z83" s="22"/>
      <c r="AA83" s="22"/>
      <c r="AB83" s="22"/>
    </row>
    <row r="84" ht="18.75" customHeight="1">
      <c r="A84" s="18" t="str">
        <f t="array" ref="A84">IFERROR(
  INDEX(
    'api-register-id'!A:A,
    MATCH(F84, 'api-register-id'!B:B, 0)
  ),
  "Not found Organization"
)</f>
        <v>SSFF</v>
      </c>
      <c r="B84" s="22" t="str">
        <f>IFERROR(VLOOKUP(F84, 'api-register-id'!B:F, 4, FALSE), "Not found path.")</f>
        <v>mx-api-bc-dom-credit-card</v>
      </c>
      <c r="C84" s="23" t="s">
        <v>41</v>
      </c>
      <c r="D84" s="23" t="s">
        <v>119</v>
      </c>
      <c r="E84" s="24" t="str">
        <f>IFERROR(VLOOKUP(F84, 'api-register-id'!B:F, 5, FALSE), "Not found path.")</f>
        <v>APIMX000012</v>
      </c>
      <c r="F84" s="25" t="s">
        <v>218</v>
      </c>
      <c r="G84" s="26" t="s">
        <v>758</v>
      </c>
      <c r="H84" s="22" t="s">
        <v>759</v>
      </c>
      <c r="I84" s="29" t="str">
        <f>IFERROR(VLOOKUP(F84, 'api-register-id'!B:I, 8, FALSE), "Not found path.")</f>
        <v>1.31.0</v>
      </c>
      <c r="J84" s="3" t="s">
        <v>560</v>
      </c>
      <c r="K84" s="31" t="s">
        <v>48</v>
      </c>
      <c r="L84" s="23" t="s">
        <v>61</v>
      </c>
      <c r="M84" s="3" t="s">
        <v>760</v>
      </c>
      <c r="N84" s="3" t="str">
        <f t="shared" si="1"/>
        <v>PUT /cards/creditCard/v1/traceAssignment/control</v>
      </c>
      <c r="O84" s="32" t="s">
        <v>761</v>
      </c>
      <c r="P84" s="32"/>
      <c r="Q84" s="61" t="s">
        <v>98</v>
      </c>
      <c r="R84" s="31" t="s">
        <v>56</v>
      </c>
      <c r="S84" s="38" t="str">
        <f t="shared" si="2"/>
        <v>https://github.com/SF-Bancoppel/mx-api-bc-dom-credit-card</v>
      </c>
      <c r="T84" s="40"/>
      <c r="U84" s="22"/>
      <c r="V84" s="40"/>
      <c r="W84" s="40"/>
      <c r="X84" s="40"/>
      <c r="Y84" s="40"/>
      <c r="Z84" s="22"/>
      <c r="AA84" s="22"/>
      <c r="AB84" s="22"/>
    </row>
    <row r="85" ht="18.75" customHeight="1">
      <c r="A85" s="18" t="str">
        <f t="array" ref="A85">IFERROR(
  INDEX(
    'api-register-id'!A:A,
    MATCH(F85, 'api-register-id'!B:B, 0)
  ),
  "Not found Organization"
)</f>
        <v>SSFF</v>
      </c>
      <c r="B85" s="22" t="str">
        <f>IFERROR(VLOOKUP(F85, 'api-register-id'!B:F, 4, FALSE), "Not found path.")</f>
        <v>mx-api-bc-dom-credit-card</v>
      </c>
      <c r="C85" s="23" t="s">
        <v>41</v>
      </c>
      <c r="D85" s="23" t="s">
        <v>119</v>
      </c>
      <c r="E85" s="24" t="str">
        <f>IFERROR(VLOOKUP(F85, 'api-register-id'!B:F, 5, FALSE), "Not found path.")</f>
        <v>APIMX000012</v>
      </c>
      <c r="F85" s="25" t="s">
        <v>218</v>
      </c>
      <c r="G85" s="26" t="s">
        <v>762</v>
      </c>
      <c r="H85" s="22" t="s">
        <v>763</v>
      </c>
      <c r="I85" s="29" t="str">
        <f>IFERROR(VLOOKUP(F85, 'api-register-id'!B:I, 8, FALSE), "Not found path.")</f>
        <v>1.31.0</v>
      </c>
      <c r="J85" s="3" t="s">
        <v>560</v>
      </c>
      <c r="K85" s="31" t="s">
        <v>48</v>
      </c>
      <c r="L85" s="23" t="s">
        <v>49</v>
      </c>
      <c r="M85" s="3" t="s">
        <v>765</v>
      </c>
      <c r="N85" s="3" t="str">
        <f t="shared" si="1"/>
        <v>POST /cards/creditCard/v1/paymentCard/initiate</v>
      </c>
      <c r="O85" s="32" t="s">
        <v>767</v>
      </c>
      <c r="P85" s="32"/>
      <c r="Q85" s="61" t="s">
        <v>98</v>
      </c>
      <c r="R85" s="31" t="s">
        <v>56</v>
      </c>
      <c r="S85" s="38" t="str">
        <f t="shared" si="2"/>
        <v>https://github.com/SF-Bancoppel/mx-api-bc-dom-credit-card</v>
      </c>
      <c r="T85" s="40"/>
      <c r="U85" s="22"/>
      <c r="V85" s="40"/>
      <c r="W85" s="40"/>
      <c r="X85" s="40"/>
      <c r="Y85" s="40"/>
      <c r="Z85" s="22"/>
      <c r="AA85" s="22"/>
      <c r="AB85" s="22"/>
    </row>
    <row r="86" ht="18.75" customHeight="1">
      <c r="A86" s="18" t="str">
        <f t="array" ref="A86">IFERROR(
  INDEX(
    'api-register-id'!A:A,
    MATCH(F86, 'api-register-id'!B:B, 0)
  ),
  "Not found Organization"
)</f>
        <v>SSFF</v>
      </c>
      <c r="B86" s="22" t="str">
        <f>IFERROR(VLOOKUP(F86, 'api-register-id'!B:F, 4, FALSE), "Not found path.")</f>
        <v>mx-api-bc-dom-credit-card</v>
      </c>
      <c r="C86" s="23" t="s">
        <v>41</v>
      </c>
      <c r="D86" s="23" t="s">
        <v>119</v>
      </c>
      <c r="E86" s="24" t="str">
        <f>IFERROR(VLOOKUP(F86, 'api-register-id'!B:F, 5, FALSE), "Not found path.")</f>
        <v>APIMX000012</v>
      </c>
      <c r="F86" s="25" t="s">
        <v>218</v>
      </c>
      <c r="G86" s="26" t="s">
        <v>769</v>
      </c>
      <c r="H86" s="22" t="s">
        <v>770</v>
      </c>
      <c r="I86" s="29" t="str">
        <f>IFERROR(VLOOKUP(F86, 'api-register-id'!B:I, 8, FALSE), "Not found path.")</f>
        <v>1.31.0</v>
      </c>
      <c r="J86" s="3" t="s">
        <v>560</v>
      </c>
      <c r="K86" s="31" t="s">
        <v>48</v>
      </c>
      <c r="L86" s="23" t="s">
        <v>49</v>
      </c>
      <c r="M86" s="3" t="s">
        <v>771</v>
      </c>
      <c r="N86" s="3" t="str">
        <f t="shared" si="1"/>
        <v>POST /cards/creditCard/v1/fees/retrieve</v>
      </c>
      <c r="O86" s="32" t="s">
        <v>772</v>
      </c>
      <c r="P86" s="32"/>
      <c r="Q86" s="61" t="s">
        <v>98</v>
      </c>
      <c r="R86" s="31" t="s">
        <v>56</v>
      </c>
      <c r="S86" s="38" t="str">
        <f t="shared" si="2"/>
        <v>https://github.com/SF-Bancoppel/mx-api-bc-dom-credit-card</v>
      </c>
      <c r="T86" s="40"/>
      <c r="U86" s="22"/>
      <c r="V86" s="40"/>
      <c r="W86" s="40"/>
      <c r="X86" s="40"/>
      <c r="Y86" s="40"/>
      <c r="Z86" s="22"/>
      <c r="AA86" s="22"/>
      <c r="AB86" s="22"/>
    </row>
    <row r="87" ht="18.75" customHeight="1">
      <c r="A87" s="18" t="str">
        <f t="array" ref="A87">IFERROR(
  INDEX(
    'api-register-id'!A:A,
    MATCH(F87, 'api-register-id'!B:B, 0)
  ),
  "Not found Organization"
)</f>
        <v>SSFF</v>
      </c>
      <c r="B87" s="22" t="str">
        <f>IFERROR(VLOOKUP(F87, 'api-register-id'!B:F, 4, FALSE), "Not found path.")</f>
        <v>mx-api-bc-dom-credit-card</v>
      </c>
      <c r="C87" s="23" t="s">
        <v>41</v>
      </c>
      <c r="D87" s="23" t="s">
        <v>119</v>
      </c>
      <c r="E87" s="24" t="str">
        <f>IFERROR(VLOOKUP(F87, 'api-register-id'!B:F, 5, FALSE), "Not found path.")</f>
        <v>APIMX000012</v>
      </c>
      <c r="F87" s="25" t="s">
        <v>218</v>
      </c>
      <c r="G87" s="26" t="s">
        <v>777</v>
      </c>
      <c r="H87" s="22" t="s">
        <v>778</v>
      </c>
      <c r="I87" s="29" t="str">
        <f>IFERROR(VLOOKUP(F87, 'api-register-id'!B:I, 8, FALSE), "Not found path.")</f>
        <v>1.31.0</v>
      </c>
      <c r="J87" s="3" t="s">
        <v>560</v>
      </c>
      <c r="K87" s="31" t="s">
        <v>48</v>
      </c>
      <c r="L87" s="23" t="s">
        <v>49</v>
      </c>
      <c r="M87" s="3" t="s">
        <v>779</v>
      </c>
      <c r="N87" s="3" t="str">
        <f t="shared" si="1"/>
        <v>POST /cards/creditCard/v1/cashAdvanceOffer/retrieve</v>
      </c>
      <c r="O87" s="32" t="s">
        <v>780</v>
      </c>
      <c r="P87" s="32"/>
      <c r="Q87" s="61" t="s">
        <v>98</v>
      </c>
      <c r="R87" s="31" t="s">
        <v>56</v>
      </c>
      <c r="S87" s="38" t="str">
        <f t="shared" si="2"/>
        <v>https://github.com/SF-Bancoppel/mx-api-bc-dom-credit-card</v>
      </c>
      <c r="T87" s="40"/>
      <c r="U87" s="22"/>
      <c r="V87" s="40"/>
      <c r="W87" s="40"/>
      <c r="X87" s="40"/>
      <c r="Y87" s="40"/>
      <c r="Z87" s="22"/>
      <c r="AA87" s="22"/>
      <c r="AB87" s="22"/>
    </row>
    <row r="88" ht="18.75" customHeight="1">
      <c r="A88" s="18" t="str">
        <f t="array" ref="A88">IFERROR(
  INDEX(
    'api-register-id'!A:A,
    MATCH(F88, 'api-register-id'!B:B, 0)
  ),
  "Not found Organization"
)</f>
        <v>SSFF</v>
      </c>
      <c r="B88" s="22" t="str">
        <f>IFERROR(VLOOKUP(F88, 'api-register-id'!B:F, 4, FALSE), "Not found path.")</f>
        <v>mx-api-bc-dom-credit-card</v>
      </c>
      <c r="C88" s="23" t="s">
        <v>41</v>
      </c>
      <c r="D88" s="23" t="s">
        <v>119</v>
      </c>
      <c r="E88" s="24" t="str">
        <f>IFERROR(VLOOKUP(F88, 'api-register-id'!B:F, 5, FALSE), "Not found path.")</f>
        <v>APIMX000012</v>
      </c>
      <c r="F88" s="25" t="s">
        <v>218</v>
      </c>
      <c r="G88" s="26" t="s">
        <v>782</v>
      </c>
      <c r="H88" s="22" t="s">
        <v>783</v>
      </c>
      <c r="I88" s="29" t="str">
        <f>IFERROR(VLOOKUP(F88, 'api-register-id'!B:I, 8, FALSE), "Not found path.")</f>
        <v>1.31.0</v>
      </c>
      <c r="J88" s="3" t="s">
        <v>560</v>
      </c>
      <c r="K88" s="31" t="s">
        <v>48</v>
      </c>
      <c r="L88" s="23" t="s">
        <v>428</v>
      </c>
      <c r="M88" s="3" t="s">
        <v>786</v>
      </c>
      <c r="N88" s="3" t="str">
        <f t="shared" si="1"/>
        <v>PATCH /cards/creditCard/v1/creditCardFacility/update</v>
      </c>
      <c r="O88" s="32" t="s">
        <v>787</v>
      </c>
      <c r="P88" s="32"/>
      <c r="Q88" s="61" t="s">
        <v>98</v>
      </c>
      <c r="R88" s="31" t="s">
        <v>56</v>
      </c>
      <c r="S88" s="38" t="str">
        <f t="shared" si="2"/>
        <v>https://github.com/SF-Bancoppel/mx-api-bc-dom-credit-card</v>
      </c>
      <c r="T88" s="40"/>
      <c r="U88" s="22"/>
      <c r="V88" s="40"/>
      <c r="W88" s="40"/>
      <c r="X88" s="40"/>
      <c r="Y88" s="40"/>
      <c r="Z88" s="22"/>
      <c r="AA88" s="22"/>
      <c r="AB88" s="22"/>
    </row>
    <row r="89" ht="18.75" customHeight="1">
      <c r="A89" s="18" t="str">
        <f t="array" ref="A89">IFERROR(
  INDEX(
    'api-register-id'!A:A,
    MATCH(F89, 'api-register-id'!B:B, 0)
  ),
  "Not found Organization"
)</f>
        <v>SSFF</v>
      </c>
      <c r="B89" s="22" t="str">
        <f>IFERROR(VLOOKUP(F89, 'api-register-id'!B:F, 4, FALSE), "Not found path.")</f>
        <v>mx-api-bc-dom-credit-card</v>
      </c>
      <c r="C89" s="23" t="s">
        <v>41</v>
      </c>
      <c r="D89" s="23" t="s">
        <v>119</v>
      </c>
      <c r="E89" s="24" t="str">
        <f>IFERROR(VLOOKUP(F89, 'api-register-id'!B:F, 5, FALSE), "Not found path.")</f>
        <v>APIMX000012</v>
      </c>
      <c r="F89" s="25" t="s">
        <v>218</v>
      </c>
      <c r="G89" s="26" t="s">
        <v>788</v>
      </c>
      <c r="H89" s="22" t="s">
        <v>789</v>
      </c>
      <c r="I89" s="29" t="str">
        <f>IFERROR(VLOOKUP(F89, 'api-register-id'!B:I, 8, FALSE), "Not found path.")</f>
        <v>1.31.0</v>
      </c>
      <c r="J89" s="3" t="s">
        <v>560</v>
      </c>
      <c r="K89" s="31" t="s">
        <v>48</v>
      </c>
      <c r="L89" s="23" t="s">
        <v>428</v>
      </c>
      <c r="M89" s="3" t="s">
        <v>790</v>
      </c>
      <c r="N89" s="3" t="str">
        <f t="shared" si="1"/>
        <v>PATCH /cards/creditCard/v1/cashAdvanceOffer/control</v>
      </c>
      <c r="O89" s="32" t="s">
        <v>791</v>
      </c>
      <c r="P89" s="32"/>
      <c r="Q89" s="61" t="s">
        <v>98</v>
      </c>
      <c r="R89" s="31" t="s">
        <v>56</v>
      </c>
      <c r="S89" s="38" t="str">
        <f t="shared" si="2"/>
        <v>https://github.com/SF-Bancoppel/mx-api-bc-dom-credit-card</v>
      </c>
      <c r="T89" s="40"/>
      <c r="U89" s="22"/>
      <c r="V89" s="40"/>
      <c r="W89" s="40"/>
      <c r="X89" s="40"/>
      <c r="Y89" s="40"/>
      <c r="Z89" s="22"/>
      <c r="AA89" s="22"/>
      <c r="AB89" s="22"/>
    </row>
    <row r="90" ht="18.75" customHeight="1">
      <c r="A90" s="18" t="str">
        <f t="array" ref="A90">IFERROR(
  INDEX(
    'api-register-id'!A:A,
    MATCH(F90, 'api-register-id'!B:B, 0)
  ),
  "Not found Organization"
)</f>
        <v>SSFF</v>
      </c>
      <c r="B90" s="22" t="str">
        <f>IFERROR(VLOOKUP(F90, 'api-register-id'!B:F, 4, FALSE), "Not found path.")</f>
        <v>mx-api-bc-dom-credit-card</v>
      </c>
      <c r="C90" s="23" t="s">
        <v>41</v>
      </c>
      <c r="D90" s="23" t="s">
        <v>119</v>
      </c>
      <c r="E90" s="24" t="str">
        <f>IFERROR(VLOOKUP(F90, 'api-register-id'!B:F, 5, FALSE), "Not found path.")</f>
        <v>APIMX000012</v>
      </c>
      <c r="F90" s="25" t="s">
        <v>218</v>
      </c>
      <c r="G90" s="26" t="s">
        <v>795</v>
      </c>
      <c r="H90" s="22" t="s">
        <v>796</v>
      </c>
      <c r="I90" s="29" t="str">
        <f>IFERROR(VLOOKUP(F90, 'api-register-id'!B:I, 8, FALSE), "Not found path.")</f>
        <v>1.31.0</v>
      </c>
      <c r="J90" s="3" t="s">
        <v>560</v>
      </c>
      <c r="K90" s="31" t="s">
        <v>48</v>
      </c>
      <c r="L90" s="23" t="s">
        <v>428</v>
      </c>
      <c r="M90" s="3" t="s">
        <v>797</v>
      </c>
      <c r="N90" s="3" t="str">
        <f t="shared" si="1"/>
        <v>PATCH /cards/creditCard/v1/cashAdvanceBalance/update</v>
      </c>
      <c r="O90" s="32" t="s">
        <v>798</v>
      </c>
      <c r="P90" s="32"/>
      <c r="Q90" s="61" t="s">
        <v>98</v>
      </c>
      <c r="R90" s="31" t="s">
        <v>56</v>
      </c>
      <c r="S90" s="38" t="str">
        <f t="shared" si="2"/>
        <v>https://github.com/SF-Bancoppel/mx-api-bc-dom-credit-card</v>
      </c>
      <c r="T90" s="40"/>
      <c r="U90" s="22"/>
      <c r="V90" s="40"/>
      <c r="W90" s="40"/>
      <c r="X90" s="40"/>
      <c r="Y90" s="40"/>
      <c r="Z90" s="22"/>
      <c r="AA90" s="22"/>
      <c r="AB90" s="22"/>
    </row>
    <row r="91" ht="18.75" customHeight="1">
      <c r="A91" s="18" t="str">
        <f t="array" ref="A91">IFERROR(
  INDEX(
    'api-register-id'!A:A,
    MATCH(F91, 'api-register-id'!B:B, 0)
  ),
  "Not found Organization"
)</f>
        <v>SSFF</v>
      </c>
      <c r="B91" s="22" t="str">
        <f>IFERROR(VLOOKUP(F91, 'api-register-id'!B:F, 4, FALSE), "Not found path.")</f>
        <v>mx-api-bc-dom-credit-card-position-keeping</v>
      </c>
      <c r="C91" s="23" t="s">
        <v>41</v>
      </c>
      <c r="D91" s="23" t="s">
        <v>119</v>
      </c>
      <c r="E91" s="24" t="str">
        <f>IFERROR(VLOOKUP(F91, 'api-register-id'!B:F, 5, FALSE), "Not found path.")</f>
        <v>APIMX000013</v>
      </c>
      <c r="F91" s="25" t="s">
        <v>237</v>
      </c>
      <c r="G91" s="26" t="s">
        <v>799</v>
      </c>
      <c r="H91" s="22" t="s">
        <v>800</v>
      </c>
      <c r="I91" s="29" t="str">
        <f>IFERROR(VLOOKUP(F91, 'api-register-id'!B:I, 8, FALSE), "Not found path.")</f>
        <v>1.4.3</v>
      </c>
      <c r="J91" s="3" t="s">
        <v>801</v>
      </c>
      <c r="K91" s="31" t="s">
        <v>48</v>
      </c>
      <c r="L91" s="23" t="s">
        <v>49</v>
      </c>
      <c r="M91" s="3" t="s">
        <v>803</v>
      </c>
      <c r="N91" s="3" t="str">
        <f t="shared" si="1"/>
        <v>POST /cards/creditCardPositionKeeping/v1/cardTransactionEvent/register</v>
      </c>
      <c r="O91" s="32" t="s">
        <v>804</v>
      </c>
      <c r="P91" s="32"/>
      <c r="Q91" s="61" t="s">
        <v>98</v>
      </c>
      <c r="R91" s="31" t="s">
        <v>56</v>
      </c>
      <c r="S91" s="38" t="str">
        <f t="shared" si="2"/>
        <v>https://github.com/SF-Bancoppel/mx-api-bc-dom-credit-card-position-keeping</v>
      </c>
      <c r="T91" s="40"/>
      <c r="U91" s="22"/>
      <c r="V91" s="40"/>
      <c r="W91" s="40"/>
      <c r="X91" s="40"/>
      <c r="Y91" s="40"/>
      <c r="Z91" s="22"/>
      <c r="AA91" s="22"/>
      <c r="AB91" s="22"/>
    </row>
    <row r="92" ht="18.75" customHeight="1">
      <c r="A92" s="18" t="str">
        <f t="array" ref="A92">IFERROR(
  INDEX(
    'api-register-id'!A:A,
    MATCH(F92, 'api-register-id'!B:B, 0)
  ),
  "Not found Organization"
)</f>
        <v>SSFF</v>
      </c>
      <c r="B92" s="22" t="str">
        <f>IFERROR(VLOOKUP(F92, 'api-register-id'!B:F, 4, FALSE), "Not found path.")</f>
        <v>mx-api-bc-dom-credit-card-position-keeping</v>
      </c>
      <c r="C92" s="23" t="s">
        <v>41</v>
      </c>
      <c r="D92" s="23" t="s">
        <v>119</v>
      </c>
      <c r="E92" s="24" t="str">
        <f>IFERROR(VLOOKUP(F92, 'api-register-id'!B:F, 5, FALSE), "Not found path.")</f>
        <v>APIMX000013</v>
      </c>
      <c r="F92" s="25" t="s">
        <v>237</v>
      </c>
      <c r="G92" s="26" t="s">
        <v>807</v>
      </c>
      <c r="H92" s="22" t="s">
        <v>711</v>
      </c>
      <c r="I92" s="29" t="str">
        <f>IFERROR(VLOOKUP(F92, 'api-register-id'!B:I, 8, FALSE), "Not found path.")</f>
        <v>1.4.3</v>
      </c>
      <c r="J92" s="3" t="s">
        <v>801</v>
      </c>
      <c r="K92" s="31" t="s">
        <v>48</v>
      </c>
      <c r="L92" s="23" t="s">
        <v>49</v>
      </c>
      <c r="M92" s="3" t="s">
        <v>714</v>
      </c>
      <c r="N92" s="3" t="str">
        <f t="shared" si="1"/>
        <v>POST /cards/creditCardPositionKeeping/v1/creditCardPosition/retrieve</v>
      </c>
      <c r="O92" s="32" t="s">
        <v>808</v>
      </c>
      <c r="P92" s="32"/>
      <c r="Q92" s="61" t="s">
        <v>809</v>
      </c>
      <c r="R92" s="31" t="s">
        <v>56</v>
      </c>
      <c r="S92" s="38" t="str">
        <f t="shared" si="2"/>
        <v>https://github.com/SF-Bancoppel/mx-api-bc-dom-credit-card-position-keeping</v>
      </c>
      <c r="T92" s="40"/>
      <c r="U92" s="22"/>
      <c r="V92" s="22"/>
      <c r="W92" s="22"/>
      <c r="X92" s="40"/>
      <c r="Y92" s="40"/>
      <c r="Z92" s="22"/>
      <c r="AA92" s="22"/>
      <c r="AB92" s="22"/>
    </row>
    <row r="93" ht="18.75" customHeight="1">
      <c r="A93" s="18" t="str">
        <f t="array" ref="A93">IFERROR(
  INDEX(
    'api-register-id'!A:A,
    MATCH(F93, 'api-register-id'!B:B, 0)
  ),
  "Not found Organization"
)</f>
        <v>SSFF</v>
      </c>
      <c r="B93" s="22" t="str">
        <f>IFERROR(VLOOKUP(F93, 'api-register-id'!B:F, 4, FALSE), "Not found path.")</f>
        <v>mx-api-bc-dom-credit-card-position-keeping</v>
      </c>
      <c r="C93" s="23" t="s">
        <v>41</v>
      </c>
      <c r="D93" s="23" t="s">
        <v>119</v>
      </c>
      <c r="E93" s="24" t="str">
        <f>IFERROR(VLOOKUP(F93, 'api-register-id'!B:F, 5, FALSE), "Not found path.")</f>
        <v>APIMX000013</v>
      </c>
      <c r="F93" s="25" t="s">
        <v>237</v>
      </c>
      <c r="G93" s="26" t="s">
        <v>814</v>
      </c>
      <c r="H93" s="22" t="s">
        <v>815</v>
      </c>
      <c r="I93" s="29" t="str">
        <f>IFERROR(VLOOKUP(F93, 'api-register-id'!B:I, 8, FALSE), "Not found path.")</f>
        <v>1.4.3</v>
      </c>
      <c r="J93" s="3" t="s">
        <v>801</v>
      </c>
      <c r="K93" s="31" t="s">
        <v>48</v>
      </c>
      <c r="L93" s="23" t="s">
        <v>49</v>
      </c>
      <c r="M93" s="3" t="s">
        <v>817</v>
      </c>
      <c r="N93" s="3" t="str">
        <f t="shared" si="1"/>
        <v>POST /cards/creditCardPositionKeeping/v1/creditCardAssessment/retrieve</v>
      </c>
      <c r="O93" s="32" t="s">
        <v>818</v>
      </c>
      <c r="P93" s="32"/>
      <c r="Q93" s="61" t="s">
        <v>98</v>
      </c>
      <c r="R93" s="31" t="s">
        <v>56</v>
      </c>
      <c r="S93" s="38" t="str">
        <f t="shared" si="2"/>
        <v>https://github.com/SF-Bancoppel/mx-api-bc-dom-credit-card-position-keeping</v>
      </c>
      <c r="T93" s="40"/>
      <c r="U93" s="22"/>
      <c r="V93" s="40"/>
      <c r="W93" s="40"/>
      <c r="X93" s="40"/>
      <c r="Y93" s="40"/>
      <c r="Z93" s="22"/>
      <c r="AA93" s="22"/>
      <c r="AB93" s="22"/>
    </row>
    <row r="94" ht="18.75" customHeight="1">
      <c r="A94" s="18" t="str">
        <f t="array" ref="A94">IFERROR(
  INDEX(
    'api-register-id'!A:A,
    MATCH(F94, 'api-register-id'!B:B, 0)
  ),
  "Not found Organization"
)</f>
        <v>SSFF</v>
      </c>
      <c r="B94" s="22" t="str">
        <f>IFERROR(VLOOKUP(F94, 'api-register-id'!B:F, 4, FALSE), "Not found path.")</f>
        <v>mx-api-bc-dom-credit-card-position-keeping</v>
      </c>
      <c r="C94" s="23" t="s">
        <v>41</v>
      </c>
      <c r="D94" s="23" t="s">
        <v>119</v>
      </c>
      <c r="E94" s="24" t="str">
        <f>IFERROR(VLOOKUP(F94, 'api-register-id'!B:F, 5, FALSE), "Not found path.")</f>
        <v>APIMX000013</v>
      </c>
      <c r="F94" s="25" t="s">
        <v>237</v>
      </c>
      <c r="G94" s="26" t="s">
        <v>819</v>
      </c>
      <c r="H94" s="22" t="s">
        <v>820</v>
      </c>
      <c r="I94" s="29" t="str">
        <f>IFERROR(VLOOKUP(F94, 'api-register-id'!B:I, 8, FALSE), "Not found path.")</f>
        <v>1.4.3</v>
      </c>
      <c r="J94" s="3" t="s">
        <v>801</v>
      </c>
      <c r="K94" s="31" t="s">
        <v>48</v>
      </c>
      <c r="L94" s="23" t="s">
        <v>49</v>
      </c>
      <c r="M94" s="3" t="s">
        <v>821</v>
      </c>
      <c r="N94" s="3" t="str">
        <f t="shared" si="1"/>
        <v>POST /cards/creditCardPositionKeeping/v1/creditCardStatement/retrieve</v>
      </c>
      <c r="O94" s="32" t="s">
        <v>823</v>
      </c>
      <c r="P94" s="32" t="s">
        <v>652</v>
      </c>
      <c r="Q94" s="61" t="s">
        <v>824</v>
      </c>
      <c r="R94" s="31" t="s">
        <v>56</v>
      </c>
      <c r="S94" s="38" t="str">
        <f t="shared" si="2"/>
        <v>https://github.com/SF-Bancoppel/mx-api-bc-dom-credit-card-position-keeping</v>
      </c>
      <c r="T94" s="40"/>
      <c r="U94" s="22"/>
      <c r="V94" s="40"/>
      <c r="W94" s="40"/>
      <c r="X94" s="40"/>
      <c r="Y94" s="40"/>
      <c r="Z94" s="22"/>
      <c r="AA94" s="22"/>
      <c r="AB94" s="22"/>
    </row>
    <row r="95" ht="18.75" customHeight="1">
      <c r="A95" s="18" t="str">
        <f t="array" ref="A95">IFERROR(
  INDEX(
    'api-register-id'!A:A,
    MATCH(F95, 'api-register-id'!B:B, 0)
  ),
  "Not found Organization"
)</f>
        <v>SSFF</v>
      </c>
      <c r="B95" s="22" t="str">
        <f>IFERROR(VLOOKUP(F95, 'api-register-id'!B:F, 4, FALSE), "Not found path.")</f>
        <v>mx-api-bc-dom-credit-card-position-keeping</v>
      </c>
      <c r="C95" s="23" t="s">
        <v>41</v>
      </c>
      <c r="D95" s="23" t="s">
        <v>119</v>
      </c>
      <c r="E95" s="24" t="str">
        <f>IFERROR(VLOOKUP(F95, 'api-register-id'!B:F, 5, FALSE), "Not found path.")</f>
        <v>APIMX000013</v>
      </c>
      <c r="F95" s="25" t="s">
        <v>237</v>
      </c>
      <c r="G95" s="26" t="s">
        <v>827</v>
      </c>
      <c r="H95" s="22" t="s">
        <v>699</v>
      </c>
      <c r="I95" s="29" t="str">
        <f>IFERROR(VLOOKUP(F95, 'api-register-id'!B:I, 8, FALSE), "Not found path.")</f>
        <v>1.4.3</v>
      </c>
      <c r="J95" s="3" t="s">
        <v>801</v>
      </c>
      <c r="K95" s="31" t="s">
        <v>48</v>
      </c>
      <c r="L95" s="23" t="s">
        <v>49</v>
      </c>
      <c r="M95" s="3" t="s">
        <v>209</v>
      </c>
      <c r="N95" s="3" t="str">
        <f t="shared" si="1"/>
        <v>POST /cards/creditCardPositionKeeping/v1/creditCardHolder/retrieve</v>
      </c>
      <c r="O95" s="32" t="s">
        <v>715</v>
      </c>
      <c r="P95" s="32" t="s">
        <v>652</v>
      </c>
      <c r="Q95" s="61" t="s">
        <v>828</v>
      </c>
      <c r="R95" s="31" t="s">
        <v>56</v>
      </c>
      <c r="S95" s="38" t="str">
        <f t="shared" si="2"/>
        <v>https://github.com/SF-Bancoppel/mx-api-bc-dom-credit-card-position-keeping</v>
      </c>
      <c r="T95" s="40"/>
      <c r="U95" s="22"/>
      <c r="V95" s="40"/>
      <c r="W95" s="40"/>
      <c r="X95" s="40"/>
      <c r="Y95" s="40"/>
      <c r="Z95" s="22"/>
      <c r="AA95" s="22"/>
      <c r="AB95" s="22"/>
    </row>
    <row r="96" ht="18.75" customHeight="1">
      <c r="A96" s="18" t="str">
        <f t="array" ref="A96">IFERROR(
  INDEX(
    'api-register-id'!A:A,
    MATCH(F96, 'api-register-id'!B:B, 0)
  ),
  "Not found Organization"
)</f>
        <v>SSFF</v>
      </c>
      <c r="B96" s="22" t="str">
        <f>IFERROR(VLOOKUP(F96, 'api-register-id'!B:F, 4, FALSE), "Not found path.")</f>
        <v>mx-api-bc-dom-credit-facility</v>
      </c>
      <c r="C96" s="23" t="s">
        <v>41</v>
      </c>
      <c r="D96" s="23" t="s">
        <v>119</v>
      </c>
      <c r="E96" s="24" t="str">
        <f>IFERROR(VLOOKUP(F96, 'api-register-id'!B:F, 5, FALSE), "Not found path.")</f>
        <v>APIMX000014</v>
      </c>
      <c r="F96" s="25" t="s">
        <v>250</v>
      </c>
      <c r="G96" s="26" t="s">
        <v>830</v>
      </c>
      <c r="H96" s="22" t="s">
        <v>831</v>
      </c>
      <c r="I96" s="29" t="str">
        <f>IFERROR(VLOOKUP(F96, 'api-register-id'!B:I, 8, FALSE), "Not found path.")</f>
        <v>1.2.1</v>
      </c>
      <c r="J96" s="3" t="s">
        <v>832</v>
      </c>
      <c r="K96" s="31" t="s">
        <v>48</v>
      </c>
      <c r="L96" s="23" t="s">
        <v>428</v>
      </c>
      <c r="M96" s="3" t="s">
        <v>833</v>
      </c>
      <c r="N96" s="3" t="str">
        <f t="shared" si="1"/>
        <v>PATCH /corporateBanking/creditFacility/v1/creditLineFacility/update</v>
      </c>
      <c r="O96" s="32" t="s">
        <v>834</v>
      </c>
      <c r="P96" s="32" t="s">
        <v>836</v>
      </c>
      <c r="Q96" s="61" t="s">
        <v>98</v>
      </c>
      <c r="R96" s="31" t="s">
        <v>56</v>
      </c>
      <c r="S96" s="38" t="str">
        <f t="shared" si="2"/>
        <v>https://github.com/SF-Bancoppel/mx-api-bc-dom-credit-facility</v>
      </c>
      <c r="T96" s="40"/>
      <c r="U96" s="22"/>
      <c r="V96" s="40"/>
      <c r="W96" s="40"/>
      <c r="X96" s="40"/>
      <c r="Y96" s="40"/>
      <c r="Z96" s="22"/>
      <c r="AA96" s="22"/>
      <c r="AB96" s="22"/>
    </row>
    <row r="97" ht="18.75" customHeight="1">
      <c r="A97" s="18" t="str">
        <f t="array" ref="A97">IFERROR(
  INDEX(
    'api-register-id'!A:A,
    MATCH(F97, 'api-register-id'!B:B, 0)
  ),
  "Not found Organization"
)</f>
        <v>SSFF</v>
      </c>
      <c r="B97" s="22" t="str">
        <f>IFERROR(VLOOKUP(F97, 'api-register-id'!B:F, 4, FALSE), "Not found path.")</f>
        <v>mx-api-bc-dom-currency-exchange</v>
      </c>
      <c r="C97" s="23" t="s">
        <v>41</v>
      </c>
      <c r="D97" s="23" t="s">
        <v>119</v>
      </c>
      <c r="E97" s="24" t="str">
        <f>IFERROR(VLOOKUP(F97, 'api-register-id'!B:F, 5, FALSE), "Not found path.")</f>
        <v>APIMX000015</v>
      </c>
      <c r="F97" s="25" t="s">
        <v>261</v>
      </c>
      <c r="G97" s="26" t="s">
        <v>838</v>
      </c>
      <c r="H97" s="22" t="s">
        <v>839</v>
      </c>
      <c r="I97" s="29" t="str">
        <f>IFERROR(VLOOKUP(F97, 'api-register-id'!B:I, 8, FALSE), "Not found path.")</f>
        <v>1.0.0</v>
      </c>
      <c r="J97" s="3" t="s">
        <v>840</v>
      </c>
      <c r="K97" s="31" t="s">
        <v>48</v>
      </c>
      <c r="L97" s="23" t="s">
        <v>49</v>
      </c>
      <c r="M97" s="3" t="s">
        <v>841</v>
      </c>
      <c r="N97" s="3" t="str">
        <f t="shared" si="1"/>
        <v>POST /consumerServices/currencyExchange/v1/currencyExchangeTransaction/retrieve</v>
      </c>
      <c r="O97" s="32" t="s">
        <v>842</v>
      </c>
      <c r="P97" s="32"/>
      <c r="Q97" s="61" t="s">
        <v>98</v>
      </c>
      <c r="R97" s="31" t="s">
        <v>56</v>
      </c>
      <c r="S97" s="38" t="str">
        <f t="shared" si="2"/>
        <v>https://github.com/SF-Bancoppel/mx-api-bc-dom-currency-exchange</v>
      </c>
      <c r="T97" s="40"/>
      <c r="U97" s="22"/>
      <c r="V97" s="40"/>
      <c r="W97" s="40"/>
      <c r="X97" s="40"/>
      <c r="Y97" s="40"/>
      <c r="Z97" s="22"/>
      <c r="AA97" s="22"/>
      <c r="AB97" s="22"/>
    </row>
    <row r="98" ht="18.75" customHeight="1">
      <c r="A98" s="18" t="str">
        <f t="array" ref="A98">IFERROR(
  INDEX(
    'api-register-id'!A:A,
    MATCH(F98, 'api-register-id'!B:B, 0)
  ),
  "Not found Organization"
)</f>
        <v>SSFF</v>
      </c>
      <c r="B98" s="22" t="str">
        <f>IFERROR(VLOOKUP(F98, 'api-register-id'!B:F, 4, FALSE), "Not found path.")</f>
        <v>mx-api-bc-dom-current-account</v>
      </c>
      <c r="C98" s="23" t="s">
        <v>41</v>
      </c>
      <c r="D98" s="23" t="s">
        <v>119</v>
      </c>
      <c r="E98" s="24" t="str">
        <f>IFERROR(VLOOKUP(F98, 'api-register-id'!B:F, 5, FALSE), "Not found path.")</f>
        <v>APIMX000016</v>
      </c>
      <c r="F98" s="25" t="s">
        <v>279</v>
      </c>
      <c r="G98" s="26" t="s">
        <v>844</v>
      </c>
      <c r="H98" s="22" t="s">
        <v>845</v>
      </c>
      <c r="I98" s="29" t="str">
        <f>IFERROR(VLOOKUP(F98, 'api-register-id'!B:I, 8, FALSE), "Not found path.")</f>
        <v>1.0.0</v>
      </c>
      <c r="J98" s="3" t="s">
        <v>846</v>
      </c>
      <c r="K98" s="31" t="s">
        <v>48</v>
      </c>
      <c r="L98" s="23" t="s">
        <v>49</v>
      </c>
      <c r="M98" s="3" t="s">
        <v>847</v>
      </c>
      <c r="N98" s="3" t="str">
        <f t="shared" si="1"/>
        <v>POST /loansAndDeposits/currentAccount/v1/currentAccountFacility/retrieve</v>
      </c>
      <c r="O98" s="32" t="s">
        <v>848</v>
      </c>
      <c r="P98" s="32"/>
      <c r="Q98" s="61" t="s">
        <v>98</v>
      </c>
      <c r="R98" s="31" t="s">
        <v>56</v>
      </c>
      <c r="S98" s="38" t="str">
        <f t="shared" si="2"/>
        <v>https://github.com/SF-Bancoppel/mx-api-bc-dom-current-account</v>
      </c>
      <c r="T98" s="40"/>
      <c r="U98" s="22"/>
      <c r="V98" s="40"/>
      <c r="W98" s="40"/>
      <c r="X98" s="40"/>
      <c r="Y98" s="40"/>
      <c r="Z98" s="22"/>
      <c r="AA98" s="22"/>
      <c r="AB98" s="22"/>
    </row>
    <row r="99" ht="18.75" customHeight="1">
      <c r="A99" s="18" t="str">
        <f t="array" ref="A99">IFERROR(
  INDEX(
    'api-register-id'!A:A,
    MATCH(F99, 'api-register-id'!B:B, 0)
  ),
  "Not found Organization"
)</f>
        <v>SSFF</v>
      </c>
      <c r="B99" s="22" t="str">
        <f>IFERROR(VLOOKUP(F99, 'api-register-id'!B:F, 4, FALSE), "Not found path.")</f>
        <v>mx-api-bc-dom-customer-access-entitlement</v>
      </c>
      <c r="C99" s="23" t="s">
        <v>41</v>
      </c>
      <c r="D99" s="23" t="s">
        <v>119</v>
      </c>
      <c r="E99" s="24" t="str">
        <f>IFERROR(VLOOKUP(F99, 'api-register-id'!B:F, 5, FALSE), "Not found path.")</f>
        <v>APIMX000017</v>
      </c>
      <c r="F99" s="25" t="s">
        <v>294</v>
      </c>
      <c r="G99" s="26" t="s">
        <v>851</v>
      </c>
      <c r="H99" s="22" t="s">
        <v>852</v>
      </c>
      <c r="I99" s="29" t="str">
        <f>IFERROR(VLOOKUP(F99, 'api-register-id'!B:I, 8, FALSE), "Not found path.")</f>
        <v>1.1.1</v>
      </c>
      <c r="J99" s="3" t="s">
        <v>853</v>
      </c>
      <c r="K99" s="31" t="s">
        <v>48</v>
      </c>
      <c r="L99" s="23" t="s">
        <v>49</v>
      </c>
      <c r="M99" s="3" t="s">
        <v>854</v>
      </c>
      <c r="N99" s="3" t="str">
        <f t="shared" si="1"/>
        <v>POST /customerManagement/customerAccessEntitlement/v1/restrictions/retrieve</v>
      </c>
      <c r="O99" s="32" t="s">
        <v>855</v>
      </c>
      <c r="P99" s="32"/>
      <c r="Q99" s="61" t="s">
        <v>98</v>
      </c>
      <c r="R99" s="31" t="s">
        <v>56</v>
      </c>
      <c r="S99" s="38" t="str">
        <f t="shared" si="2"/>
        <v>https://github.com/SF-Bancoppel/mx-api-bc-dom-customer-access-entitlement</v>
      </c>
      <c r="T99" s="40"/>
      <c r="U99" s="22"/>
      <c r="V99" s="22"/>
      <c r="W99" s="40"/>
      <c r="X99" s="40"/>
      <c r="Y99" s="40"/>
      <c r="Z99" s="22"/>
      <c r="AA99" s="22"/>
      <c r="AB99" s="22"/>
    </row>
    <row r="100" ht="18.75" customHeight="1">
      <c r="A100" s="18" t="str">
        <f t="array" ref="A100">IFERROR(
  INDEX(
    'api-register-id'!A:A,
    MATCH(F100, 'api-register-id'!B:B, 0)
  ),
  "Not found Organization"
)</f>
        <v>SSFF</v>
      </c>
      <c r="B100" s="22" t="str">
        <f>IFERROR(VLOOKUP(F100, 'api-register-id'!B:F, 4, FALSE), "Not found path.")</f>
        <v>mx-api-bc-dom-customer-agreement</v>
      </c>
      <c r="C100" s="23" t="s">
        <v>41</v>
      </c>
      <c r="D100" s="23" t="s">
        <v>119</v>
      </c>
      <c r="E100" s="24" t="str">
        <f>IFERROR(VLOOKUP(F100, 'api-register-id'!B:F, 5, FALSE), "Not found path.")</f>
        <v>APIMX000018</v>
      </c>
      <c r="F100" s="25" t="s">
        <v>311</v>
      </c>
      <c r="G100" s="26" t="s">
        <v>859</v>
      </c>
      <c r="H100" s="22" t="s">
        <v>860</v>
      </c>
      <c r="I100" s="29" t="str">
        <f>IFERROR(VLOOKUP(F100, 'api-register-id'!B:I, 8, FALSE), "Not found path.")</f>
        <v>1.3.0</v>
      </c>
      <c r="J100" s="3" t="s">
        <v>861</v>
      </c>
      <c r="K100" s="31" t="s">
        <v>48</v>
      </c>
      <c r="L100" s="23" t="s">
        <v>49</v>
      </c>
      <c r="M100" s="3" t="s">
        <v>862</v>
      </c>
      <c r="N100" s="3" t="str">
        <f t="shared" si="1"/>
        <v>POST  /v1/legalTerms/evaluate</v>
      </c>
      <c r="O100" s="32" t="s">
        <v>863</v>
      </c>
      <c r="P100" s="32"/>
      <c r="Q100" s="61" t="s">
        <v>864</v>
      </c>
      <c r="R100" s="31" t="s">
        <v>56</v>
      </c>
      <c r="S100" s="38" t="str">
        <f t="shared" si="2"/>
        <v>https://github.com/SF-Bancoppel/mx-api-bc-dom-customer-agreement</v>
      </c>
      <c r="T100" s="40"/>
      <c r="U100" s="22"/>
      <c r="V100" s="40"/>
      <c r="W100" s="40"/>
      <c r="X100" s="40"/>
      <c r="Y100" s="40"/>
      <c r="Z100" s="22"/>
      <c r="AA100" s="22"/>
      <c r="AB100" s="22"/>
    </row>
    <row r="101" ht="18.75" customHeight="1">
      <c r="A101" s="18" t="str">
        <f t="array" ref="A101">IFERROR(
  INDEX(
    'api-register-id'!A:A,
    MATCH(F101, 'api-register-id'!B:B, 0)
  ),
  "Not found Organization"
)</f>
        <v>SSFF</v>
      </c>
      <c r="B101" s="22" t="str">
        <f>IFERROR(VLOOKUP(F101, 'api-register-id'!B:F, 4, FALSE), "Not found path.")</f>
        <v>mx-api-bc-dom-customer-agreement</v>
      </c>
      <c r="C101" s="23" t="s">
        <v>41</v>
      </c>
      <c r="D101" s="23" t="s">
        <v>119</v>
      </c>
      <c r="E101" s="24" t="str">
        <f>IFERROR(VLOOKUP(F101, 'api-register-id'!B:F, 5, FALSE), "Not found path.")</f>
        <v>APIMX000018</v>
      </c>
      <c r="F101" s="25" t="s">
        <v>311</v>
      </c>
      <c r="G101" s="26" t="s">
        <v>865</v>
      </c>
      <c r="H101" s="22" t="s">
        <v>867</v>
      </c>
      <c r="I101" s="29" t="str">
        <f>IFERROR(VLOOKUP(F101, 'api-register-id'!B:I, 8, FALSE), "Not found path.")</f>
        <v>1.3.0</v>
      </c>
      <c r="J101" s="3" t="s">
        <v>868</v>
      </c>
      <c r="K101" s="31" t="s">
        <v>48</v>
      </c>
      <c r="L101" s="23" t="s">
        <v>49</v>
      </c>
      <c r="M101" s="3" t="s">
        <v>869</v>
      </c>
      <c r="N101" s="3" t="str">
        <f t="shared" si="1"/>
        <v>POST /customerManagement/customerAgreement/v1/customerAgreement/evaluate</v>
      </c>
      <c r="O101" s="32" t="s">
        <v>871</v>
      </c>
      <c r="P101" s="32"/>
      <c r="Q101" s="61" t="s">
        <v>873</v>
      </c>
      <c r="R101" s="31" t="s">
        <v>56</v>
      </c>
      <c r="S101" s="38" t="str">
        <f t="shared" si="2"/>
        <v>https://github.com/SF-Bancoppel/mx-api-bc-dom-customer-agreement</v>
      </c>
      <c r="T101" s="40"/>
      <c r="U101" s="22"/>
      <c r="V101" s="40"/>
      <c r="W101" s="40"/>
      <c r="X101" s="40"/>
      <c r="Y101" s="40"/>
      <c r="Z101" s="22"/>
      <c r="AA101" s="22"/>
      <c r="AB101" s="22"/>
    </row>
    <row r="102" ht="18.75" customHeight="1">
      <c r="A102" s="18" t="str">
        <f t="array" ref="A102">IFERROR(
  INDEX(
    'api-register-id'!A:A,
    MATCH(F102, 'api-register-id'!B:B, 0)
  ),
  "Not found Organization"
)</f>
        <v>SSFF</v>
      </c>
      <c r="B102" s="22" t="str">
        <f>IFERROR(VLOOKUP(F102, 'api-register-id'!B:F, 4, FALSE), "Not found path.")</f>
        <v>mx-api-bc-dom-customer-agreement</v>
      </c>
      <c r="C102" s="23" t="s">
        <v>41</v>
      </c>
      <c r="D102" s="23" t="s">
        <v>119</v>
      </c>
      <c r="E102" s="24" t="str">
        <f>IFERROR(VLOOKUP(F102, 'api-register-id'!B:F, 5, FALSE), "Not found path.")</f>
        <v>APIMX000018</v>
      </c>
      <c r="F102" s="25" t="s">
        <v>311</v>
      </c>
      <c r="G102" s="26" t="s">
        <v>874</v>
      </c>
      <c r="H102" s="22" t="s">
        <v>875</v>
      </c>
      <c r="I102" s="29" t="str">
        <f>IFERROR(VLOOKUP(F102, 'api-register-id'!B:I, 8, FALSE), "Not found path.")</f>
        <v>1.3.0</v>
      </c>
      <c r="J102" s="3" t="s">
        <v>868</v>
      </c>
      <c r="K102" s="31" t="s">
        <v>48</v>
      </c>
      <c r="L102" s="23" t="s">
        <v>49</v>
      </c>
      <c r="M102" s="3" t="s">
        <v>876</v>
      </c>
      <c r="N102" s="3" t="str">
        <f t="shared" si="1"/>
        <v>POST /customerManagement/customerAgreement/v1/regulatoryTerms/evaluate</v>
      </c>
      <c r="O102" s="32" t="s">
        <v>877</v>
      </c>
      <c r="P102" s="32"/>
      <c r="Q102" s="61" t="s">
        <v>878</v>
      </c>
      <c r="R102" s="31" t="s">
        <v>56</v>
      </c>
      <c r="S102" s="38" t="str">
        <f t="shared" si="2"/>
        <v>https://github.com/SF-Bancoppel/mx-api-bc-dom-customer-agreement</v>
      </c>
      <c r="T102" s="40"/>
      <c r="U102" s="22"/>
      <c r="V102" s="22"/>
      <c r="W102" s="40"/>
      <c r="X102" s="40"/>
      <c r="Y102" s="40"/>
      <c r="Z102" s="22"/>
      <c r="AA102" s="22"/>
      <c r="AB102" s="22"/>
    </row>
    <row r="103" ht="18.75" customHeight="1">
      <c r="A103" s="18" t="str">
        <f t="array" ref="A103">IFERROR(
  INDEX(
    'api-register-id'!A:A,
    MATCH(F103, 'api-register-id'!B:B, 0)
  ),
  "Not found Organization"
)</f>
        <v>SSFF</v>
      </c>
      <c r="B103" s="22" t="str">
        <f>IFERROR(VLOOKUP(F103, 'api-register-id'!B:F, 4, FALSE), "Not found path.")</f>
        <v>mx-api-bc-dom-customer-agreement</v>
      </c>
      <c r="C103" s="23" t="s">
        <v>41</v>
      </c>
      <c r="D103" s="23" t="s">
        <v>119</v>
      </c>
      <c r="E103" s="24" t="str">
        <f>IFERROR(VLOOKUP(F103, 'api-register-id'!B:F, 5, FALSE), "Not found path.")</f>
        <v>APIMX000018</v>
      </c>
      <c r="F103" s="25" t="s">
        <v>311</v>
      </c>
      <c r="G103" s="26" t="s">
        <v>880</v>
      </c>
      <c r="H103" s="22" t="s">
        <v>881</v>
      </c>
      <c r="I103" s="29" t="str">
        <f>IFERROR(VLOOKUP(F103, 'api-register-id'!B:I, 8, FALSE), "Not found path.")</f>
        <v>1.3.0</v>
      </c>
      <c r="J103" s="3" t="s">
        <v>868</v>
      </c>
      <c r="K103" s="31" t="s">
        <v>48</v>
      </c>
      <c r="L103" s="23" t="s">
        <v>49</v>
      </c>
      <c r="M103" s="3" t="s">
        <v>884</v>
      </c>
      <c r="N103" s="3" t="str">
        <f t="shared" si="1"/>
        <v>POST /customerManagement/customerAgreement/v1/endorsement/register</v>
      </c>
      <c r="O103" s="32" t="s">
        <v>885</v>
      </c>
      <c r="P103" s="32"/>
      <c r="Q103" s="61" t="s">
        <v>886</v>
      </c>
      <c r="R103" s="31" t="s">
        <v>56</v>
      </c>
      <c r="S103" s="38" t="str">
        <f t="shared" si="2"/>
        <v>https://github.com/SF-Bancoppel/mx-api-bc-dom-customer-agreement</v>
      </c>
      <c r="T103" s="40"/>
      <c r="U103" s="22"/>
      <c r="V103" s="40"/>
      <c r="W103" s="40"/>
      <c r="X103" s="40"/>
      <c r="Y103" s="40"/>
      <c r="Z103" s="22"/>
      <c r="AA103" s="22"/>
      <c r="AB103" s="22"/>
    </row>
    <row r="104" ht="18.75" customHeight="1">
      <c r="A104" s="18" t="str">
        <f t="array" ref="A104">IFERROR(
  INDEX(
    'api-register-id'!A:A,
    MATCH(F104, 'api-register-id'!B:B, 0)
  ),
  "Not found Organization"
)</f>
        <v>SSFF</v>
      </c>
      <c r="B104" s="22" t="str">
        <f>IFERROR(VLOOKUP(F104, 'api-register-id'!B:F, 4, FALSE), "Not found path.")</f>
        <v>mx-api-bc-dom-customer-agreement</v>
      </c>
      <c r="C104" s="23" t="s">
        <v>41</v>
      </c>
      <c r="D104" s="23" t="s">
        <v>119</v>
      </c>
      <c r="E104" s="24" t="str">
        <f>IFERROR(VLOOKUP(F104, 'api-register-id'!B:F, 5, FALSE), "Not found path.")</f>
        <v>APIMX000018</v>
      </c>
      <c r="F104" s="25" t="s">
        <v>311</v>
      </c>
      <c r="G104" s="26" t="s">
        <v>887</v>
      </c>
      <c r="H104" s="22" t="s">
        <v>888</v>
      </c>
      <c r="I104" s="29" t="str">
        <f>IFERROR(VLOOKUP(F104, 'api-register-id'!B:I, 8, FALSE), "Not found path.")</f>
        <v>1.3.0</v>
      </c>
      <c r="J104" s="3" t="s">
        <v>868</v>
      </c>
      <c r="K104" s="31" t="s">
        <v>48</v>
      </c>
      <c r="L104" s="23" t="s">
        <v>108</v>
      </c>
      <c r="M104" s="3" t="s">
        <v>889</v>
      </c>
      <c r="N104" s="3" t="str">
        <f t="shared" si="1"/>
        <v>GET /customerManagement/customerAgreement/v1/endorsement/{sessionDialogueIdentification}/retrieve</v>
      </c>
      <c r="O104" s="32" t="s">
        <v>890</v>
      </c>
      <c r="P104" s="32"/>
      <c r="Q104" s="61" t="s">
        <v>891</v>
      </c>
      <c r="R104" s="31" t="s">
        <v>56</v>
      </c>
      <c r="S104" s="38" t="str">
        <f t="shared" si="2"/>
        <v>https://github.com/SF-Bancoppel/mx-api-bc-dom-customer-agreement</v>
      </c>
      <c r="T104" s="40"/>
      <c r="U104" s="22"/>
      <c r="V104" s="40"/>
      <c r="W104" s="40"/>
      <c r="X104" s="40"/>
      <c r="Y104" s="40"/>
      <c r="Z104" s="22"/>
      <c r="AA104" s="22"/>
      <c r="AB104" s="22"/>
    </row>
    <row r="105" ht="18.75" customHeight="1">
      <c r="A105" s="18" t="str">
        <f t="array" ref="A105">IFERROR(
  INDEX(
    'api-register-id'!A:A,
    MATCH(F105, 'api-register-id'!B:B, 0)
  ),
  "Not found Organization"
)</f>
        <v>SSFF</v>
      </c>
      <c r="B105" s="22" t="str">
        <f>IFERROR(VLOOKUP(F105, 'api-register-id'!B:F, 4, FALSE), "Not found path.")</f>
        <v>mx-api-bc-dom-customer-credit-rating</v>
      </c>
      <c r="C105" s="23" t="s">
        <v>41</v>
      </c>
      <c r="D105" s="23" t="s">
        <v>119</v>
      </c>
      <c r="E105" s="24" t="str">
        <f>IFERROR(VLOOKUP(F105, 'api-register-id'!B:F, 5, FALSE), "Not found path.")</f>
        <v>APIMX000019</v>
      </c>
      <c r="F105" s="25" t="s">
        <v>325</v>
      </c>
      <c r="G105" s="26" t="s">
        <v>895</v>
      </c>
      <c r="H105" s="22" t="s">
        <v>896</v>
      </c>
      <c r="I105" s="29" t="str">
        <f>IFERROR(VLOOKUP(F105, 'api-register-id'!B:I, 8, FALSE), "Not found path.")</f>
        <v>1.5.1</v>
      </c>
      <c r="J105" s="3" t="s">
        <v>897</v>
      </c>
      <c r="K105" s="31" t="s">
        <v>48</v>
      </c>
      <c r="L105" s="23" t="s">
        <v>49</v>
      </c>
      <c r="M105" s="3" t="s">
        <v>898</v>
      </c>
      <c r="N105" s="3" t="str">
        <f t="shared" si="1"/>
        <v>POST /relationshipManagement/customerCreditRating/v1/customerCreditRatingState/evaluate</v>
      </c>
      <c r="O105" s="32" t="s">
        <v>899</v>
      </c>
      <c r="P105" s="32" t="s">
        <v>900</v>
      </c>
      <c r="Q105" s="61" t="s">
        <v>98</v>
      </c>
      <c r="R105" s="31" t="s">
        <v>56</v>
      </c>
      <c r="S105" s="38" t="str">
        <f t="shared" si="2"/>
        <v>https://github.com/SF-Bancoppel/mx-api-bc-dom-customer-credit-rating</v>
      </c>
      <c r="T105" s="40"/>
      <c r="U105" s="22"/>
      <c r="V105" s="40"/>
      <c r="W105" s="40"/>
      <c r="X105" s="40"/>
      <c r="Y105" s="40"/>
      <c r="Z105" s="22"/>
      <c r="AA105" s="22"/>
      <c r="AB105" s="22"/>
    </row>
    <row r="106" ht="18.75" customHeight="1">
      <c r="A106" s="18" t="str">
        <f t="array" ref="A106">IFERROR(
  INDEX(
    'api-register-id'!A:A,
    MATCH(F106, 'api-register-id'!B:B, 0)
  ),
  "Not found Organization"
)</f>
        <v>SSFF</v>
      </c>
      <c r="B106" s="22" t="str">
        <f>IFERROR(VLOOKUP(F106, 'api-register-id'!B:F, 4, FALSE), "Not found path.")</f>
        <v>mx-api-bc-dom-customer-credit-rating</v>
      </c>
      <c r="C106" s="23" t="s">
        <v>41</v>
      </c>
      <c r="D106" s="23" t="s">
        <v>119</v>
      </c>
      <c r="E106" s="24" t="str">
        <f>IFERROR(VLOOKUP(F106, 'api-register-id'!B:F, 5, FALSE), "Not found path.")</f>
        <v>APIMX000019</v>
      </c>
      <c r="F106" s="25" t="s">
        <v>325</v>
      </c>
      <c r="G106" s="26" t="s">
        <v>901</v>
      </c>
      <c r="H106" s="22" t="s">
        <v>902</v>
      </c>
      <c r="I106" s="29" t="str">
        <f>IFERROR(VLOOKUP(F106, 'api-register-id'!B:I, 8, FALSE), "Not found path.")</f>
        <v>1.5.1</v>
      </c>
      <c r="J106" s="3" t="s">
        <v>897</v>
      </c>
      <c r="K106" s="31" t="s">
        <v>48</v>
      </c>
      <c r="L106" s="23" t="s">
        <v>49</v>
      </c>
      <c r="M106" s="3" t="s">
        <v>903</v>
      </c>
      <c r="N106" s="3" t="str">
        <f t="shared" si="1"/>
        <v>POST /relationshipManagement/customerCreditRating/v1/internalReporting/evaluate</v>
      </c>
      <c r="O106" s="32" t="s">
        <v>904</v>
      </c>
      <c r="P106" s="32" t="s">
        <v>900</v>
      </c>
      <c r="Q106" s="61" t="s">
        <v>98</v>
      </c>
      <c r="R106" s="31" t="s">
        <v>56</v>
      </c>
      <c r="S106" s="38" t="str">
        <f t="shared" si="2"/>
        <v>https://github.com/SF-Bancoppel/mx-api-bc-dom-customer-credit-rating</v>
      </c>
      <c r="T106" s="40"/>
      <c r="U106" s="22"/>
      <c r="V106" s="40"/>
      <c r="W106" s="40"/>
      <c r="X106" s="40"/>
      <c r="Y106" s="40"/>
      <c r="Z106" s="22"/>
      <c r="AA106" s="22"/>
      <c r="AB106" s="22"/>
    </row>
    <row r="107" ht="18.75" customHeight="1">
      <c r="A107" s="18" t="str">
        <f t="array" ref="A107">IFERROR(
  INDEX(
    'api-register-id'!A:A,
    MATCH(F107, 'api-register-id'!B:B, 0)
  ),
  "Not found Organization"
)</f>
        <v>SSFF</v>
      </c>
      <c r="B107" s="22" t="str">
        <f>IFERROR(VLOOKUP(F107, 'api-register-id'!B:F, 4, FALSE), "Not found path.")</f>
        <v>mx-api-bc-dom-customer-offer</v>
      </c>
      <c r="C107" s="23" t="s">
        <v>41</v>
      </c>
      <c r="D107" s="23" t="s">
        <v>119</v>
      </c>
      <c r="E107" s="24" t="str">
        <f>IFERROR(VLOOKUP(F107, 'api-register-id'!B:F, 5, FALSE), "Not found path.")</f>
        <v>APIMX000020</v>
      </c>
      <c r="F107" s="25" t="s">
        <v>340</v>
      </c>
      <c r="G107" s="26" t="s">
        <v>908</v>
      </c>
      <c r="H107" s="22" t="s">
        <v>909</v>
      </c>
      <c r="I107" s="29" t="str">
        <f>IFERROR(VLOOKUP(F107, 'api-register-id'!B:I, 8, FALSE), "Not found path.")</f>
        <v>1.0.0</v>
      </c>
      <c r="J107" s="3" t="s">
        <v>910</v>
      </c>
      <c r="K107" s="31" t="s">
        <v>48</v>
      </c>
      <c r="L107" s="23" t="s">
        <v>49</v>
      </c>
      <c r="M107" s="3" t="s">
        <v>911</v>
      </c>
      <c r="N107" s="3" t="str">
        <f t="shared" si="1"/>
        <v>POST /sales/customerOffer/v1/facilityApplication/evaluate</v>
      </c>
      <c r="O107" s="32" t="s">
        <v>912</v>
      </c>
      <c r="P107" s="32"/>
      <c r="Q107" s="61" t="s">
        <v>98</v>
      </c>
      <c r="R107" s="31" t="s">
        <v>56</v>
      </c>
      <c r="S107" s="38" t="str">
        <f t="shared" si="2"/>
        <v>https://github.com/SF-Bancoppel/mx-api-bc-dom-customer-offer</v>
      </c>
      <c r="T107" s="40"/>
      <c r="U107" s="22"/>
      <c r="V107" s="22"/>
      <c r="W107" s="40"/>
      <c r="X107" s="40"/>
      <c r="Y107" s="40"/>
      <c r="Z107" s="22"/>
      <c r="AA107" s="22"/>
      <c r="AB107" s="22"/>
    </row>
    <row r="108" ht="18.75" customHeight="1">
      <c r="A108" s="18" t="str">
        <f t="array" ref="A108">IFERROR(
  INDEX(
    'api-register-id'!A:A,
    MATCH(F108, 'api-register-id'!B:B, 0)
  ),
  "Not found Organization"
)</f>
        <v>SSFF</v>
      </c>
      <c r="B108" s="22" t="str">
        <f>IFERROR(VLOOKUP(F108, 'api-register-id'!B:F, 4, FALSE), "Not found path.")</f>
        <v>mx-api-bc-dom-customer-offer</v>
      </c>
      <c r="C108" s="23" t="s">
        <v>41</v>
      </c>
      <c r="D108" s="23" t="s">
        <v>119</v>
      </c>
      <c r="E108" s="24" t="str">
        <f>IFERROR(VLOOKUP(F108, 'api-register-id'!B:F, 5, FALSE), "Not found path.")</f>
        <v>APIMX000020</v>
      </c>
      <c r="F108" s="25" t="s">
        <v>340</v>
      </c>
      <c r="G108" s="26" t="s">
        <v>916</v>
      </c>
      <c r="H108" s="22" t="s">
        <v>917</v>
      </c>
      <c r="I108" s="29" t="str">
        <f>IFERROR(VLOOKUP(F108, 'api-register-id'!B:I, 8, FALSE), "Not found path.")</f>
        <v>1.0.0</v>
      </c>
      <c r="J108" s="3" t="s">
        <v>910</v>
      </c>
      <c r="K108" s="31" t="s">
        <v>48</v>
      </c>
      <c r="L108" s="23" t="s">
        <v>428</v>
      </c>
      <c r="M108" s="3" t="s">
        <v>918</v>
      </c>
      <c r="N108" s="3" t="str">
        <f t="shared" si="1"/>
        <v>PATCH /sales/customerOffer/v1/customerOfferProcedure/update</v>
      </c>
      <c r="O108" s="32" t="s">
        <v>919</v>
      </c>
      <c r="P108" s="32"/>
      <c r="Q108" s="61" t="s">
        <v>98</v>
      </c>
      <c r="R108" s="31" t="s">
        <v>56</v>
      </c>
      <c r="S108" s="38" t="str">
        <f t="shared" si="2"/>
        <v>https://github.com/SF-Bancoppel/mx-api-bc-dom-customer-offer</v>
      </c>
      <c r="T108" s="40"/>
      <c r="U108" s="22"/>
      <c r="V108" s="40"/>
      <c r="W108" s="40"/>
      <c r="X108" s="40"/>
      <c r="Y108" s="40"/>
      <c r="Z108" s="22"/>
      <c r="AA108" s="22"/>
      <c r="AB108" s="22"/>
    </row>
    <row r="109" ht="18.75" customHeight="1">
      <c r="A109" s="18" t="str">
        <f t="array" ref="A109">IFERROR(
  INDEX(
    'api-register-id'!A:A,
    MATCH(F109, 'api-register-id'!B:B, 0)
  ),
  "Not found Organization"
)</f>
        <v>SSFF</v>
      </c>
      <c r="B109" s="22" t="str">
        <f>IFERROR(VLOOKUP(F109, 'api-register-id'!B:F, 4, FALSE), "Not found path.")</f>
        <v>mx-api-bc-dom-customer-offer</v>
      </c>
      <c r="C109" s="23" t="s">
        <v>41</v>
      </c>
      <c r="D109" s="23" t="s">
        <v>119</v>
      </c>
      <c r="E109" s="24" t="str">
        <f>IFERROR(VLOOKUP(F109, 'api-register-id'!B:F, 5, FALSE), "Not found path.")</f>
        <v>APIMX000020</v>
      </c>
      <c r="F109" s="25" t="s">
        <v>340</v>
      </c>
      <c r="G109" s="26" t="s">
        <v>920</v>
      </c>
      <c r="H109" s="22" t="s">
        <v>921</v>
      </c>
      <c r="I109" s="29" t="str">
        <f>IFERROR(VLOOKUP(F109, 'api-register-id'!B:I, 8, FALSE), "Not found path.")</f>
        <v>1.0.0</v>
      </c>
      <c r="J109" s="3" t="s">
        <v>910</v>
      </c>
      <c r="K109" s="31" t="s">
        <v>48</v>
      </c>
      <c r="L109" s="23" t="s">
        <v>49</v>
      </c>
      <c r="M109" s="3" t="s">
        <v>923</v>
      </c>
      <c r="N109" s="3" t="str">
        <f t="shared" si="1"/>
        <v>POST /sales/customerOffer/v1/customerOfferProcedure/evaluate</v>
      </c>
      <c r="O109" s="32" t="s">
        <v>924</v>
      </c>
      <c r="P109" s="32"/>
      <c r="Q109" s="61" t="s">
        <v>98</v>
      </c>
      <c r="R109" s="31" t="s">
        <v>56</v>
      </c>
      <c r="S109" s="38" t="str">
        <f t="shared" si="2"/>
        <v>https://github.com/SF-Bancoppel/mx-api-bc-dom-customer-offer</v>
      </c>
      <c r="T109" s="40"/>
      <c r="U109" s="22"/>
      <c r="V109" s="40"/>
      <c r="W109" s="40"/>
      <c r="X109" s="40"/>
      <c r="Y109" s="40"/>
      <c r="Z109" s="22"/>
      <c r="AA109" s="22"/>
      <c r="AB109" s="22"/>
    </row>
    <row r="110" ht="18.75" customHeight="1">
      <c r="A110" s="18" t="str">
        <f t="array" ref="A110">IFERROR(
  INDEX(
    'api-register-id'!A:A,
    MATCH(F110, 'api-register-id'!B:B, 0)
  ),
  "Not found Organization"
)</f>
        <v>SSFF</v>
      </c>
      <c r="B110" s="22" t="str">
        <f>IFERROR(VLOOKUP(F110, 'api-register-id'!B:F, 4, FALSE), "Not found path.")</f>
        <v>mx-api-bc-dom-customer-offer</v>
      </c>
      <c r="C110" s="23" t="s">
        <v>41</v>
      </c>
      <c r="D110" s="23" t="s">
        <v>119</v>
      </c>
      <c r="E110" s="24" t="str">
        <f>IFERROR(VLOOKUP(F110, 'api-register-id'!B:F, 5, FALSE), "Not found path.")</f>
        <v>APIMX000020</v>
      </c>
      <c r="F110" s="25" t="s">
        <v>340</v>
      </c>
      <c r="G110" s="26" t="s">
        <v>927</v>
      </c>
      <c r="H110" s="22" t="s">
        <v>928</v>
      </c>
      <c r="I110" s="29" t="str">
        <f>IFERROR(VLOOKUP(F110, 'api-register-id'!B:I, 8, FALSE), "Not found path.")</f>
        <v>1.0.0</v>
      </c>
      <c r="J110" s="3" t="s">
        <v>910</v>
      </c>
      <c r="K110" s="31" t="s">
        <v>48</v>
      </c>
      <c r="L110" s="23" t="s">
        <v>49</v>
      </c>
      <c r="M110" s="3" t="s">
        <v>929</v>
      </c>
      <c r="N110" s="3" t="str">
        <f t="shared" si="1"/>
        <v>POST /sales/customerOffer/v1/customerOfferProcedure/retrieve</v>
      </c>
      <c r="O110" s="32" t="s">
        <v>447</v>
      </c>
      <c r="P110" s="32"/>
      <c r="Q110" s="61" t="s">
        <v>98</v>
      </c>
      <c r="R110" s="31" t="s">
        <v>56</v>
      </c>
      <c r="S110" s="38" t="str">
        <f t="shared" si="2"/>
        <v>https://github.com/SF-Bancoppel/mx-api-bc-dom-customer-offer</v>
      </c>
      <c r="T110" s="40"/>
      <c r="U110" s="22"/>
      <c r="V110" s="40"/>
      <c r="W110" s="40"/>
      <c r="X110" s="40"/>
      <c r="Y110" s="40"/>
      <c r="Z110" s="22"/>
      <c r="AA110" s="22"/>
      <c r="AB110" s="22"/>
    </row>
    <row r="111" ht="18.75" customHeight="1">
      <c r="A111" s="18" t="str">
        <f t="array" ref="A111">IFERROR(
  INDEX(
    'api-register-id'!A:A,
    MATCH(F111, 'api-register-id'!B:B, 0)
  ),
  "Not found Organization"
)</f>
        <v>SSFF</v>
      </c>
      <c r="B111" s="22" t="str">
        <f>IFERROR(VLOOKUP(F111, 'api-register-id'!B:F, 4, FALSE), "Not found path.")</f>
        <v>mx-api-bc-dom-customer-position</v>
      </c>
      <c r="C111" s="23" t="s">
        <v>41</v>
      </c>
      <c r="D111" s="23" t="s">
        <v>119</v>
      </c>
      <c r="E111" s="24" t="str">
        <f>IFERROR(VLOOKUP(F111, 'api-register-id'!B:F, 5, FALSE), "Not found path.")</f>
        <v>APIMX000021</v>
      </c>
      <c r="F111" s="25" t="s">
        <v>358</v>
      </c>
      <c r="G111" s="26" t="s">
        <v>930</v>
      </c>
      <c r="H111" s="22" t="s">
        <v>931</v>
      </c>
      <c r="I111" s="29" t="str">
        <f>IFERROR(VLOOKUP(F111, 'api-register-id'!B:I, 8, FALSE), "Not found path.")</f>
        <v>1.3.0</v>
      </c>
      <c r="J111" s="3" t="s">
        <v>932</v>
      </c>
      <c r="K111" s="31" t="s">
        <v>48</v>
      </c>
      <c r="L111" s="23" t="s">
        <v>428</v>
      </c>
      <c r="M111" s="3" t="s">
        <v>933</v>
      </c>
      <c r="N111" s="3" t="str">
        <f t="shared" si="1"/>
        <v>PATCH /accountManagement/customerPosition/v1/customerPositionCredit/update</v>
      </c>
      <c r="O111" s="32" t="s">
        <v>935</v>
      </c>
      <c r="P111" s="32"/>
      <c r="Q111" s="61" t="s">
        <v>98</v>
      </c>
      <c r="R111" s="31" t="s">
        <v>56</v>
      </c>
      <c r="S111" s="38" t="str">
        <f t="shared" si="2"/>
        <v>https://github.com/SF-Bancoppel/mx-api-bc-dom-customer-position</v>
      </c>
      <c r="T111" s="40"/>
      <c r="U111" s="22"/>
      <c r="V111" s="40"/>
      <c r="W111" s="40"/>
      <c r="X111" s="40"/>
      <c r="Y111" s="40"/>
      <c r="Z111" s="22"/>
      <c r="AA111" s="22"/>
      <c r="AB111" s="22"/>
    </row>
    <row r="112" ht="18.75" customHeight="1">
      <c r="A112" s="18" t="str">
        <f t="array" ref="A112">IFERROR(
  INDEX(
    'api-register-id'!A:A,
    MATCH(F112, 'api-register-id'!B:B, 0)
  ),
  "Not found Organization"
)</f>
        <v>SSFF</v>
      </c>
      <c r="B112" s="22" t="str">
        <f>IFERROR(VLOOKUP(F112, 'api-register-id'!B:F, 4, FALSE), "Not found path.")</f>
        <v>mx-api-bc-dom-customer-product-and-service-eligibility</v>
      </c>
      <c r="C112" s="23" t="s">
        <v>41</v>
      </c>
      <c r="D112" s="23" t="s">
        <v>119</v>
      </c>
      <c r="E112" s="24" t="str">
        <f>IFERROR(VLOOKUP(F112, 'api-register-id'!B:F, 5, FALSE), "Not found path.")</f>
        <v>APIMX000022</v>
      </c>
      <c r="F112" s="25" t="s">
        <v>375</v>
      </c>
      <c r="G112" s="26" t="s">
        <v>938</v>
      </c>
      <c r="H112" s="22" t="s">
        <v>939</v>
      </c>
      <c r="I112" s="29" t="str">
        <f>IFERROR(VLOOKUP(F112, 'api-register-id'!B:I, 8, FALSE), "Not found path.")</f>
        <v>1.1.0</v>
      </c>
      <c r="J112" s="3" t="s">
        <v>940</v>
      </c>
      <c r="K112" s="31" t="s">
        <v>48</v>
      </c>
      <c r="L112" s="23" t="s">
        <v>49</v>
      </c>
      <c r="M112" s="3" t="s">
        <v>941</v>
      </c>
      <c r="N112" s="3" t="str">
        <f t="shared" si="1"/>
        <v>POST /customerManagement/customerProductAndServiceEligibility/v1/customerEligibilityReport/retrieve</v>
      </c>
      <c r="O112" s="32" t="s">
        <v>942</v>
      </c>
      <c r="P112" s="32"/>
      <c r="Q112" s="61" t="s">
        <v>98</v>
      </c>
      <c r="R112" s="31" t="s">
        <v>56</v>
      </c>
      <c r="S112" s="38" t="str">
        <f t="shared" si="2"/>
        <v>https://github.com/SF-Bancoppel/mx-api-bc-dom-customer-product-and-service-eligibility</v>
      </c>
      <c r="T112" s="40"/>
      <c r="U112" s="22"/>
      <c r="V112" s="40"/>
      <c r="W112" s="40"/>
      <c r="X112" s="40"/>
      <c r="Y112" s="40"/>
      <c r="Z112" s="22"/>
      <c r="AA112" s="22"/>
      <c r="AB112" s="22"/>
    </row>
    <row r="113" ht="18.75" customHeight="1">
      <c r="A113" s="18" t="str">
        <f t="array" ref="A113">IFERROR(
  INDEX(
    'api-register-id'!A:A,
    MATCH(F113, 'api-register-id'!B:B, 0)
  ),
  "Not found Organization"
)</f>
        <v>SSFF</v>
      </c>
      <c r="B113" s="22" t="str">
        <f>IFERROR(VLOOKUP(F113, 'api-register-id'!B:F, 4, FALSE), "Not found path.")</f>
        <v>mx-api-bc-dom-customer-products-and-services</v>
      </c>
      <c r="C113" s="23" t="s">
        <v>41</v>
      </c>
      <c r="D113" s="23" t="s">
        <v>119</v>
      </c>
      <c r="E113" s="24" t="str">
        <f>IFERROR(VLOOKUP(F113, 'api-register-id'!B:F, 5, FALSE), "Not found path.")</f>
        <v>APIMX000023</v>
      </c>
      <c r="F113" s="25" t="s">
        <v>943</v>
      </c>
      <c r="G113" s="26" t="s">
        <v>944</v>
      </c>
      <c r="H113" s="22" t="s">
        <v>945</v>
      </c>
      <c r="I113" s="29" t="str">
        <f>IFERROR(VLOOKUP(F113, 'api-register-id'!B:I, 8, FALSE), "Not found path.")</f>
        <v>1.2.1</v>
      </c>
      <c r="J113" s="3" t="s">
        <v>947</v>
      </c>
      <c r="K113" s="31" t="s">
        <v>48</v>
      </c>
      <c r="L113" s="23" t="s">
        <v>108</v>
      </c>
      <c r="M113" s="3" t="s">
        <v>948</v>
      </c>
      <c r="N113" s="3" t="str">
        <f t="shared" si="1"/>
        <v>GET /customerManagement/customerProductsAndServices/v1/depositAccountFacility/{companyReference}/{customerId}/retrieve</v>
      </c>
      <c r="O113" s="32" t="s">
        <v>949</v>
      </c>
      <c r="P113" s="32"/>
      <c r="Q113" s="61" t="s">
        <v>98</v>
      </c>
      <c r="R113" s="31" t="s">
        <v>56</v>
      </c>
      <c r="S113" s="38" t="str">
        <f t="shared" si="2"/>
        <v>https://github.com/SF-Bancoppel/mx-api-bc-dom-customer-products-and-services</v>
      </c>
      <c r="T113" s="40"/>
      <c r="U113" s="22"/>
      <c r="V113" s="40"/>
      <c r="W113" s="40"/>
      <c r="X113" s="40"/>
      <c r="Y113" s="40"/>
      <c r="Z113" s="22"/>
      <c r="AA113" s="22"/>
      <c r="AB113" s="22"/>
    </row>
    <row r="114" ht="18.75" customHeight="1">
      <c r="A114" s="18" t="str">
        <f t="array" ref="A114">IFERROR(
  INDEX(
    'api-register-id'!A:A,
    MATCH(F114, 'api-register-id'!B:B, 0)
  ),
  "Not found Organization"
)</f>
        <v>SSFF</v>
      </c>
      <c r="B114" s="22" t="str">
        <f>IFERROR(VLOOKUP(F114, 'api-register-id'!B:F, 4, FALSE), "Not found path.")</f>
        <v>mx-api-bc-dom-customer-products-and-services</v>
      </c>
      <c r="C114" s="23" t="s">
        <v>41</v>
      </c>
      <c r="D114" s="23" t="s">
        <v>119</v>
      </c>
      <c r="E114" s="24" t="str">
        <f>IFERROR(VLOOKUP(F114, 'api-register-id'!B:F, 5, FALSE), "Not found path.")</f>
        <v>APIMX000023</v>
      </c>
      <c r="F114" s="25" t="s">
        <v>943</v>
      </c>
      <c r="G114" s="26" t="s">
        <v>952</v>
      </c>
      <c r="H114" s="22" t="s">
        <v>953</v>
      </c>
      <c r="I114" s="29" t="str">
        <f>IFERROR(VLOOKUP(F114, 'api-register-id'!B:I, 8, FALSE), "Not found path.")</f>
        <v>1.2.1</v>
      </c>
      <c r="J114" s="3" t="s">
        <v>947</v>
      </c>
      <c r="K114" s="31" t="s">
        <v>48</v>
      </c>
      <c r="L114" s="23" t="s">
        <v>49</v>
      </c>
      <c r="M114" s="3" t="s">
        <v>954</v>
      </c>
      <c r="N114" s="3" t="str">
        <f t="shared" si="1"/>
        <v>POST /customerManagement/customerProductsAndServices/v1/paymentBalanceFacility/retrieve</v>
      </c>
      <c r="O114" s="32" t="s">
        <v>955</v>
      </c>
      <c r="P114" s="32"/>
      <c r="Q114" s="61" t="s">
        <v>98</v>
      </c>
      <c r="R114" s="31" t="s">
        <v>56</v>
      </c>
      <c r="S114" s="38" t="str">
        <f t="shared" si="2"/>
        <v>https://github.com/SF-Bancoppel/mx-api-bc-dom-customer-products-and-services</v>
      </c>
      <c r="T114" s="40"/>
      <c r="U114" s="22"/>
      <c r="V114" s="40"/>
      <c r="W114" s="40"/>
      <c r="X114" s="40"/>
      <c r="Y114" s="40"/>
      <c r="Z114" s="22"/>
      <c r="AA114" s="22"/>
      <c r="AB114" s="22"/>
    </row>
    <row r="115" ht="18.75" customHeight="1">
      <c r="A115" s="18" t="str">
        <f t="array" ref="A115">IFERROR(
  INDEX(
    'api-register-id'!A:A,
    MATCH(F115, 'api-register-id'!B:B, 0)
  ),
  "Not found Organization"
)</f>
        <v>SSFF</v>
      </c>
      <c r="B115" s="22" t="str">
        <f>IFERROR(VLOOKUP(F115, 'api-register-id'!B:F, 4, FALSE), "Not found path.")</f>
        <v>mx-api-bc-dom-customer-products-and-services</v>
      </c>
      <c r="C115" s="23" t="s">
        <v>41</v>
      </c>
      <c r="D115" s="23" t="s">
        <v>119</v>
      </c>
      <c r="E115" s="24" t="str">
        <f>IFERROR(VLOOKUP(F115, 'api-register-id'!B:F, 5, FALSE), "Not found path.")</f>
        <v>APIMX000023</v>
      </c>
      <c r="F115" s="25" t="s">
        <v>943</v>
      </c>
      <c r="G115" s="26" t="s">
        <v>958</v>
      </c>
      <c r="H115" s="22" t="s">
        <v>960</v>
      </c>
      <c r="I115" s="29" t="str">
        <f>IFERROR(VLOOKUP(F115, 'api-register-id'!B:I, 8, FALSE), "Not found path.")</f>
        <v>1.2.1</v>
      </c>
      <c r="J115" s="3" t="s">
        <v>947</v>
      </c>
      <c r="K115" s="31" t="s">
        <v>48</v>
      </c>
      <c r="L115" s="23" t="s">
        <v>49</v>
      </c>
      <c r="M115" s="3" t="s">
        <v>961</v>
      </c>
      <c r="N115" s="3" t="str">
        <f t="shared" si="1"/>
        <v>POST /customerManagement/customerProductsAndServices/v1/positiveBalanceFacility/retrieve</v>
      </c>
      <c r="O115" s="32" t="s">
        <v>962</v>
      </c>
      <c r="P115" s="32"/>
      <c r="Q115" s="61" t="s">
        <v>98</v>
      </c>
      <c r="R115" s="31" t="s">
        <v>56</v>
      </c>
      <c r="S115" s="38" t="str">
        <f t="shared" si="2"/>
        <v>https://github.com/SF-Bancoppel/mx-api-bc-dom-customer-products-and-services</v>
      </c>
      <c r="T115" s="40"/>
      <c r="U115" s="22"/>
      <c r="V115" s="40"/>
      <c r="W115" s="40"/>
      <c r="X115" s="40"/>
      <c r="Y115" s="40"/>
      <c r="Z115" s="22"/>
      <c r="AA115" s="22"/>
      <c r="AB115" s="22"/>
    </row>
    <row r="116" ht="18.75" customHeight="1">
      <c r="A116" s="18" t="str">
        <f t="array" ref="A116">IFERROR(
  INDEX(
    'api-register-id'!A:A,
    MATCH(F116, 'api-register-id'!B:B, 0)
  ),
  "Not found Organization"
)</f>
        <v>SSFF</v>
      </c>
      <c r="B116" s="22" t="str">
        <f>IFERROR(VLOOKUP(F116, 'api-register-id'!B:F, 4, FALSE), "Not found path.")</f>
        <v>mx-api-bc-dom-customer-products-and-services</v>
      </c>
      <c r="C116" s="23" t="s">
        <v>41</v>
      </c>
      <c r="D116" s="23" t="s">
        <v>119</v>
      </c>
      <c r="E116" s="24" t="str">
        <f>IFERROR(VLOOKUP(F116, 'api-register-id'!B:F, 5, FALSE), "Not found path.")</f>
        <v>APIMX000023</v>
      </c>
      <c r="F116" s="25" t="s">
        <v>943</v>
      </c>
      <c r="G116" s="26" t="s">
        <v>963</v>
      </c>
      <c r="H116" s="22" t="s">
        <v>964</v>
      </c>
      <c r="I116" s="29" t="str">
        <f>IFERROR(VLOOKUP(F116, 'api-register-id'!B:I, 8, FALSE), "Not found path.")</f>
        <v>1.2.1</v>
      </c>
      <c r="J116" s="3" t="s">
        <v>947</v>
      </c>
      <c r="K116" s="31" t="s">
        <v>48</v>
      </c>
      <c r="L116" s="23" t="s">
        <v>49</v>
      </c>
      <c r="M116" s="3" t="s">
        <v>965</v>
      </c>
      <c r="N116" s="3" t="str">
        <f t="shared" si="1"/>
        <v>POST /customerManagement/customerProductsAndServices/v1/customerProductInformation/retrieve</v>
      </c>
      <c r="O116" s="32" t="s">
        <v>966</v>
      </c>
      <c r="P116" s="32"/>
      <c r="Q116" s="61" t="s">
        <v>967</v>
      </c>
      <c r="R116" s="31" t="s">
        <v>56</v>
      </c>
      <c r="S116" s="38" t="str">
        <f t="shared" si="2"/>
        <v>https://github.com/SF-Bancoppel/mx-api-bc-dom-customer-products-and-services</v>
      </c>
      <c r="T116" s="40"/>
      <c r="U116" s="22"/>
      <c r="V116" s="40"/>
      <c r="W116" s="40"/>
      <c r="X116" s="40"/>
      <c r="Y116" s="40"/>
      <c r="Z116" s="22"/>
      <c r="AA116" s="22"/>
      <c r="AB116" s="22"/>
    </row>
    <row r="117" ht="18.75" customHeight="1">
      <c r="A117" s="18" t="str">
        <f t="array" ref="A117">IFERROR(
  INDEX(
    'api-register-id'!A:A,
    MATCH(F117, 'api-register-id'!B:B, 0)
  ),
  "Not found Organization"
)</f>
        <v>SSFF</v>
      </c>
      <c r="B117" s="22" t="str">
        <f>IFERROR(VLOOKUP(F117, 'api-register-id'!B:F, 4, FALSE), "Not found path.")</f>
        <v>mx-api-bc-dom-customer-products-and-services</v>
      </c>
      <c r="C117" s="23" t="s">
        <v>41</v>
      </c>
      <c r="D117" s="23" t="s">
        <v>119</v>
      </c>
      <c r="E117" s="24" t="str">
        <f>IFERROR(VLOOKUP(F117, 'api-register-id'!B:F, 5, FALSE), "Not found path.")</f>
        <v>APIMX000023</v>
      </c>
      <c r="F117" s="25" t="s">
        <v>943</v>
      </c>
      <c r="G117" s="26" t="s">
        <v>971</v>
      </c>
      <c r="H117" s="22" t="s">
        <v>972</v>
      </c>
      <c r="I117" s="29" t="str">
        <f>IFERROR(VLOOKUP(F117, 'api-register-id'!B:I, 8, FALSE), "Not found path.")</f>
        <v>1.2.1</v>
      </c>
      <c r="J117" s="3" t="s">
        <v>947</v>
      </c>
      <c r="K117" s="31" t="s">
        <v>48</v>
      </c>
      <c r="L117" s="23" t="s">
        <v>49</v>
      </c>
      <c r="M117" s="3" t="s">
        <v>973</v>
      </c>
      <c r="N117" s="3" t="str">
        <f t="shared" si="1"/>
        <v>POST /customerManagement/customerProductsAndServices/v1/customerProductInformation/evaluate</v>
      </c>
      <c r="O117" s="32" t="s">
        <v>974</v>
      </c>
      <c r="P117" s="32"/>
      <c r="Q117" s="61" t="s">
        <v>98</v>
      </c>
      <c r="R117" s="31" t="s">
        <v>56</v>
      </c>
      <c r="S117" s="38" t="str">
        <f t="shared" si="2"/>
        <v>https://github.com/SF-Bancoppel/mx-api-bc-dom-customer-products-and-services</v>
      </c>
      <c r="T117" s="40"/>
      <c r="U117" s="22"/>
      <c r="V117" s="40"/>
      <c r="W117" s="40"/>
      <c r="X117" s="40"/>
      <c r="Y117" s="40"/>
      <c r="Z117" s="22"/>
      <c r="AA117" s="22"/>
      <c r="AB117" s="22"/>
    </row>
    <row r="118" ht="18.75" customHeight="1">
      <c r="A118" s="18" t="str">
        <f t="array" ref="A118">IFERROR(
  INDEX(
    'api-register-id'!A:A,
    MATCH(F118, 'api-register-id'!B:B, 0)
  ),
  "Not found Organization"
)</f>
        <v>SSFF</v>
      </c>
      <c r="B118" s="22" t="str">
        <f>IFERROR(VLOOKUP(F118, 'api-register-id'!B:F, 4, FALSE), "Not found path.")</f>
        <v>mx-api-bc-dom-customer-products-and-services</v>
      </c>
      <c r="C118" s="23" t="s">
        <v>41</v>
      </c>
      <c r="D118" s="23" t="s">
        <v>119</v>
      </c>
      <c r="E118" s="24" t="str">
        <f>IFERROR(VLOOKUP(F118, 'api-register-id'!B:F, 5, FALSE), "Not found path.")</f>
        <v>APIMX000023</v>
      </c>
      <c r="F118" s="25" t="s">
        <v>943</v>
      </c>
      <c r="G118" s="26" t="s">
        <v>975</v>
      </c>
      <c r="H118" s="22" t="s">
        <v>976</v>
      </c>
      <c r="I118" s="29" t="str">
        <f>IFERROR(VLOOKUP(F118, 'api-register-id'!B:I, 8, FALSE), "Not found path.")</f>
        <v>1.2.1</v>
      </c>
      <c r="J118" s="3" t="s">
        <v>947</v>
      </c>
      <c r="K118" s="31" t="s">
        <v>48</v>
      </c>
      <c r="L118" s="23" t="s">
        <v>49</v>
      </c>
      <c r="M118" s="3" t="s">
        <v>978</v>
      </c>
      <c r="N118" s="3" t="str">
        <f t="shared" si="1"/>
        <v>POST /customerManagement/customerProductsAndServices/v1/accountStatement/retrieve</v>
      </c>
      <c r="O118" s="32" t="s">
        <v>979</v>
      </c>
      <c r="P118" s="32"/>
      <c r="Q118" s="61" t="s">
        <v>98</v>
      </c>
      <c r="R118" s="31" t="s">
        <v>56</v>
      </c>
      <c r="S118" s="38" t="str">
        <f t="shared" si="2"/>
        <v>https://github.com/SF-Bancoppel/mx-api-bc-dom-customer-products-and-services</v>
      </c>
      <c r="T118" s="40"/>
      <c r="U118" s="22"/>
      <c r="V118" s="40"/>
      <c r="W118" s="40"/>
      <c r="X118" s="40"/>
      <c r="Y118" s="40"/>
      <c r="Z118" s="22"/>
      <c r="AA118" s="22"/>
      <c r="AB118" s="22"/>
    </row>
    <row r="119" ht="18.75" customHeight="1">
      <c r="A119" s="18" t="str">
        <f t="array" ref="A119">IFERROR(
  INDEX(
    'api-register-id'!A:A,
    MATCH(F119, 'api-register-id'!B:B, 0)
  ),
  "Not found Organization"
)</f>
        <v>SSFF</v>
      </c>
      <c r="B119" s="22" t="str">
        <f>IFERROR(VLOOKUP(F119, 'api-register-id'!B:F, 4, FALSE), "Not found path.")</f>
        <v>mx-api-bc-dom-customer-products-and-services</v>
      </c>
      <c r="C119" s="23" t="s">
        <v>41</v>
      </c>
      <c r="D119" s="23" t="s">
        <v>119</v>
      </c>
      <c r="E119" s="24" t="str">
        <f>IFERROR(VLOOKUP(F119, 'api-register-id'!B:F, 5, FALSE), "Not found path.")</f>
        <v>APIMX000023</v>
      </c>
      <c r="F119" s="25" t="s">
        <v>943</v>
      </c>
      <c r="G119" s="26" t="s">
        <v>982</v>
      </c>
      <c r="H119" s="22" t="s">
        <v>983</v>
      </c>
      <c r="I119" s="29" t="str">
        <f>IFERROR(VLOOKUP(F119, 'api-register-id'!B:I, 8, FALSE), "Not found path.")</f>
        <v>1.2.1</v>
      </c>
      <c r="J119" s="3" t="s">
        <v>947</v>
      </c>
      <c r="K119" s="31" t="s">
        <v>48</v>
      </c>
      <c r="L119" s="23" t="s">
        <v>49</v>
      </c>
      <c r="M119" s="3" t="s">
        <v>984</v>
      </c>
      <c r="N119" s="3" t="str">
        <f t="shared" si="1"/>
        <v>POST /customerManagement/customerProductsAndServices/v1/product/retrieve</v>
      </c>
      <c r="O119" s="32" t="s">
        <v>985</v>
      </c>
      <c r="P119" s="32"/>
      <c r="Q119" s="61" t="s">
        <v>98</v>
      </c>
      <c r="R119" s="31" t="s">
        <v>56</v>
      </c>
      <c r="S119" s="38" t="str">
        <f t="shared" si="2"/>
        <v>https://github.com/SF-Bancoppel/mx-api-bc-dom-customer-products-and-services</v>
      </c>
      <c r="T119" s="40"/>
      <c r="U119" s="22"/>
      <c r="V119" s="40"/>
      <c r="W119" s="40"/>
      <c r="X119" s="40"/>
      <c r="Y119" s="40"/>
      <c r="Z119" s="22"/>
      <c r="AA119" s="22"/>
      <c r="AB119" s="22"/>
    </row>
    <row r="120" ht="18.75" customHeight="1">
      <c r="A120" s="18" t="str">
        <f t="array" ref="A120">IFERROR(
  INDEX(
    'api-register-id'!A:A,
    MATCH(F120, 'api-register-id'!B:B, 0)
  ),
  "Not found Organization"
)</f>
        <v>SSFF</v>
      </c>
      <c r="B120" s="22" t="str">
        <f>IFERROR(VLOOKUP(F120, 'api-register-id'!B:F, 4, FALSE), "Not found path.")</f>
        <v>mx-api-bc-dom-customer-relationship-management</v>
      </c>
      <c r="C120" s="23" t="s">
        <v>41</v>
      </c>
      <c r="D120" s="23" t="s">
        <v>119</v>
      </c>
      <c r="E120" s="24" t="str">
        <f>IFERROR(VLOOKUP(F120, 'api-register-id'!B:F, 5, FALSE), "Not found path.")</f>
        <v>APIMX000024</v>
      </c>
      <c r="F120" s="25" t="s">
        <v>403</v>
      </c>
      <c r="G120" s="26" t="s">
        <v>987</v>
      </c>
      <c r="H120" s="22" t="s">
        <v>988</v>
      </c>
      <c r="I120" s="29" t="str">
        <f>IFERROR(VLOOKUP(F120, 'api-register-id'!B:I, 8, FALSE), "Not found path.")</f>
        <v>1.1.0</v>
      </c>
      <c r="J120" s="3" t="s">
        <v>989</v>
      </c>
      <c r="K120" s="31" t="s">
        <v>48</v>
      </c>
      <c r="L120" s="23" t="s">
        <v>49</v>
      </c>
      <c r="M120" s="3" t="s">
        <v>990</v>
      </c>
      <c r="N120" s="3" t="str">
        <f t="shared" si="1"/>
        <v>POST /relationshipManagement/customerRelationshipManagement/v1/contact/evaluate</v>
      </c>
      <c r="O120" s="32" t="s">
        <v>991</v>
      </c>
      <c r="P120" s="32" t="s">
        <v>900</v>
      </c>
      <c r="Q120" s="61" t="s">
        <v>98</v>
      </c>
      <c r="R120" s="31" t="s">
        <v>56</v>
      </c>
      <c r="S120" s="38" t="str">
        <f t="shared" si="2"/>
        <v>https://github.com/SF-Bancoppel/mx-api-bc-dom-customer-relationship-management</v>
      </c>
      <c r="T120" s="40"/>
      <c r="U120" s="22"/>
      <c r="V120" s="40"/>
      <c r="W120" s="40"/>
      <c r="X120" s="40"/>
      <c r="Y120" s="40"/>
      <c r="Z120" s="22"/>
      <c r="AA120" s="22"/>
      <c r="AB120" s="22"/>
    </row>
    <row r="121" ht="18.75" customHeight="1">
      <c r="A121" s="18" t="str">
        <f t="array" ref="A121">IFERROR(
  INDEX(
    'api-register-id'!A:A,
    MATCH(F121, 'api-register-id'!B:B, 0)
  ),
  "Not found Organization"
)</f>
        <v>SSFF</v>
      </c>
      <c r="B121" s="22" t="str">
        <f>IFERROR(VLOOKUP(F121, 'api-register-id'!B:F, 4, FALSE), "Not found path.")</f>
        <v>mx-api-bc-dom-customer-workbench</v>
      </c>
      <c r="C121" s="23" t="s">
        <v>41</v>
      </c>
      <c r="D121" s="23" t="s">
        <v>119</v>
      </c>
      <c r="E121" s="24" t="str">
        <f>IFERROR(VLOOKUP(F121, 'api-register-id'!B:F, 5, FALSE), "Not found path.")</f>
        <v>APIMX000025</v>
      </c>
      <c r="F121" s="25" t="s">
        <v>416</v>
      </c>
      <c r="G121" s="26" t="s">
        <v>995</v>
      </c>
      <c r="H121" s="22" t="s">
        <v>996</v>
      </c>
      <c r="I121" s="29" t="str">
        <f>IFERROR(VLOOKUP(F121, 'api-register-id'!B:I, 8, FALSE), "Not found path.")</f>
        <v>1.0.0</v>
      </c>
      <c r="J121" s="3" t="s">
        <v>997</v>
      </c>
      <c r="K121" s="31" t="s">
        <v>48</v>
      </c>
      <c r="L121" s="23" t="s">
        <v>49</v>
      </c>
      <c r="M121" s="3" t="s">
        <v>396</v>
      </c>
      <c r="N121" s="3" t="str">
        <f t="shared" si="1"/>
        <v>POST /crossChannel/customerWorkbench/v1/customerWorkbenchFinancialTransaction/evaluate</v>
      </c>
      <c r="O121" s="32" t="s">
        <v>998</v>
      </c>
      <c r="P121" s="32"/>
      <c r="Q121" s="61" t="s">
        <v>98</v>
      </c>
      <c r="R121" s="31" t="s">
        <v>56</v>
      </c>
      <c r="S121" s="38" t="str">
        <f t="shared" si="2"/>
        <v>https://github.com/SF-Bancoppel/mx-api-bc-dom-customer-workbench</v>
      </c>
      <c r="T121" s="40"/>
      <c r="U121" s="22"/>
      <c r="V121" s="40"/>
      <c r="W121" s="40"/>
      <c r="X121" s="40"/>
      <c r="Y121" s="40"/>
      <c r="Z121" s="22"/>
      <c r="AA121" s="22"/>
      <c r="AB121" s="22"/>
    </row>
    <row r="122" ht="18.75" customHeight="1">
      <c r="A122" s="18" t="str">
        <f t="array" ref="A122">IFERROR(
  INDEX(
    'api-register-id'!A:A,
    MATCH(F122, 'api-register-id'!B:B, 0)
  ),
  "Not found Organization"
)</f>
        <v>SSFF</v>
      </c>
      <c r="B122" s="22" t="str">
        <f>IFERROR(VLOOKUP(F122, 'api-register-id'!B:F, 4, FALSE), "Not found path.")</f>
        <v>mx-api-bc-dom-direct-debit</v>
      </c>
      <c r="C122" s="23" t="s">
        <v>41</v>
      </c>
      <c r="D122" s="23" t="s">
        <v>119</v>
      </c>
      <c r="E122" s="24" t="str">
        <f>IFERROR(VLOOKUP(F122, 'api-register-id'!B:F, 5, FALSE), "Not found path.")</f>
        <v>APIMX000026</v>
      </c>
      <c r="F122" s="25" t="s">
        <v>438</v>
      </c>
      <c r="G122" s="26" t="s">
        <v>999</v>
      </c>
      <c r="H122" s="22" t="s">
        <v>1000</v>
      </c>
      <c r="I122" s="29" t="str">
        <f>IFERROR(VLOOKUP(F122, 'api-register-id'!B:I, 8, FALSE), "Not found path.")</f>
        <v>1.0.0</v>
      </c>
      <c r="J122" s="3" t="s">
        <v>1002</v>
      </c>
      <c r="K122" s="31" t="s">
        <v>48</v>
      </c>
      <c r="L122" s="23" t="s">
        <v>49</v>
      </c>
      <c r="M122" s="3" t="s">
        <v>1003</v>
      </c>
      <c r="N122" s="3" t="str">
        <f t="shared" si="1"/>
        <v>POST /tradeBanking/directDebit/v1/paymentInitiation/initiate</v>
      </c>
      <c r="O122" s="32" t="s">
        <v>1004</v>
      </c>
      <c r="P122" s="32"/>
      <c r="Q122" s="61" t="s">
        <v>98</v>
      </c>
      <c r="R122" s="31" t="s">
        <v>56</v>
      </c>
      <c r="S122" s="38" t="str">
        <f t="shared" si="2"/>
        <v>https://github.com/SF-Bancoppel/mx-api-bc-dom-direct-debit</v>
      </c>
      <c r="T122" s="40"/>
      <c r="U122" s="22"/>
      <c r="V122" s="40"/>
      <c r="W122" s="40"/>
      <c r="X122" s="40"/>
      <c r="Y122" s="40"/>
      <c r="Z122" s="22"/>
      <c r="AA122" s="22"/>
      <c r="AB122" s="22"/>
    </row>
    <row r="123" ht="18.75" customHeight="1">
      <c r="A123" s="18" t="str">
        <f t="array" ref="A123">IFERROR(
  INDEX(
    'api-register-id'!A:A,
    MATCH(F123, 'api-register-id'!B:B, 0)
  ),
  "Not found Organization"
)</f>
        <v>SSFF</v>
      </c>
      <c r="B123" s="22" t="str">
        <f>IFERROR(VLOOKUP(F123, 'api-register-id'!B:F, 4, FALSE), "Not found path.")</f>
        <v>mx-api-bc-dom-document-directory</v>
      </c>
      <c r="C123" s="23" t="s">
        <v>41</v>
      </c>
      <c r="D123" s="23" t="s">
        <v>119</v>
      </c>
      <c r="E123" s="24" t="str">
        <f>IFERROR(VLOOKUP(F123, 'api-register-id'!B:F, 5, FALSE), "Not found path.")</f>
        <v>APIMX000027</v>
      </c>
      <c r="F123" s="25" t="s">
        <v>451</v>
      </c>
      <c r="G123" s="26" t="s">
        <v>1007</v>
      </c>
      <c r="H123" s="22" t="s">
        <v>1008</v>
      </c>
      <c r="I123" s="29" t="str">
        <f>IFERROR(VLOOKUP(F123, 'api-register-id'!B:I, 8, FALSE), "Not found path.")</f>
        <v>1.0.0</v>
      </c>
      <c r="J123" s="3" t="s">
        <v>1009</v>
      </c>
      <c r="K123" s="31" t="s">
        <v>48</v>
      </c>
      <c r="L123" s="23" t="s">
        <v>49</v>
      </c>
      <c r="M123" s="3" t="s">
        <v>1010</v>
      </c>
      <c r="N123" s="3" t="str">
        <f t="shared" si="1"/>
        <v>POST /documentManagementAndArchive/documentDirectory/v1/documentDirectoryEntry/register</v>
      </c>
      <c r="O123" s="32" t="s">
        <v>1011</v>
      </c>
      <c r="P123" s="32"/>
      <c r="Q123" s="61" t="s">
        <v>98</v>
      </c>
      <c r="R123" s="31" t="s">
        <v>56</v>
      </c>
      <c r="S123" s="38" t="str">
        <f t="shared" si="2"/>
        <v>https://github.com/SF-Bancoppel/mx-api-bc-dom-document-directory</v>
      </c>
      <c r="T123" s="40"/>
      <c r="U123" s="22"/>
      <c r="V123" s="40"/>
      <c r="W123" s="40"/>
      <c r="X123" s="40"/>
      <c r="Y123" s="40"/>
      <c r="Z123" s="22"/>
      <c r="AA123" s="22"/>
      <c r="AB123" s="22"/>
    </row>
    <row r="124" ht="18.75" customHeight="1">
      <c r="A124" s="18" t="str">
        <f t="array" ref="A124">IFERROR(
  INDEX(
    'api-register-id'!A:A,
    MATCH(F124, 'api-register-id'!B:B, 0)
  ),
  "Not found Organization"
)</f>
        <v>SSFF</v>
      </c>
      <c r="B124" s="22" t="str">
        <f>IFERROR(VLOOKUP(F124, 'api-register-id'!B:F, 4, FALSE), "Not found path.")</f>
        <v>mx-api-bc-dom-document-directory</v>
      </c>
      <c r="C124" s="23" t="s">
        <v>41</v>
      </c>
      <c r="D124" s="23" t="s">
        <v>119</v>
      </c>
      <c r="E124" s="24" t="str">
        <f>IFERROR(VLOOKUP(F124, 'api-register-id'!B:F, 5, FALSE), "Not found path.")</f>
        <v>APIMX000027</v>
      </c>
      <c r="F124" s="25" t="s">
        <v>451</v>
      </c>
      <c r="G124" s="26" t="s">
        <v>1015</v>
      </c>
      <c r="H124" s="22" t="s">
        <v>1016</v>
      </c>
      <c r="I124" s="29" t="str">
        <f>IFERROR(VLOOKUP(F124, 'api-register-id'!B:I, 8, FALSE), "Not found path.")</f>
        <v>1.0.0</v>
      </c>
      <c r="J124" s="3" t="s">
        <v>1009</v>
      </c>
      <c r="K124" s="31" t="s">
        <v>48</v>
      </c>
      <c r="L124" s="23" t="s">
        <v>49</v>
      </c>
      <c r="M124" s="3" t="s">
        <v>1017</v>
      </c>
      <c r="N124" s="3" t="str">
        <f t="shared" si="1"/>
        <v>POST /documentManagementAndArchive/documentDirectory/v1/documentDirectoryEntry/evaluate</v>
      </c>
      <c r="O124" s="32" t="s">
        <v>1018</v>
      </c>
      <c r="P124" s="32"/>
      <c r="Q124" s="61" t="s">
        <v>98</v>
      </c>
      <c r="R124" s="31" t="s">
        <v>56</v>
      </c>
      <c r="S124" s="38" t="str">
        <f t="shared" si="2"/>
        <v>https://github.com/SF-Bancoppel/mx-api-bc-dom-document-directory</v>
      </c>
      <c r="T124" s="40"/>
      <c r="U124" s="22"/>
      <c r="V124" s="40"/>
      <c r="W124" s="40"/>
      <c r="X124" s="40"/>
      <c r="Y124" s="40"/>
      <c r="Z124" s="22"/>
      <c r="AA124" s="22"/>
      <c r="AB124" s="22"/>
    </row>
    <row r="125" ht="18.75" customHeight="1">
      <c r="A125" s="18" t="str">
        <f t="array" ref="A125">IFERROR(
  INDEX(
    'api-register-id'!A:A,
    MATCH(F125, 'api-register-id'!B:B, 0)
  ),
  "Not found Organization"
)</f>
        <v>SSFF</v>
      </c>
      <c r="B125" s="22" t="str">
        <f>IFERROR(VLOOKUP(F125, 'api-register-id'!B:F, 4, FALSE), "Not found path.")</f>
        <v>mx-api-bc-dom-document-directory</v>
      </c>
      <c r="C125" s="23" t="s">
        <v>41</v>
      </c>
      <c r="D125" s="23" t="s">
        <v>119</v>
      </c>
      <c r="E125" s="24" t="str">
        <f>IFERROR(VLOOKUP(F125, 'api-register-id'!B:F, 5, FALSE), "Not found path.")</f>
        <v>APIMX000027</v>
      </c>
      <c r="F125" s="25" t="s">
        <v>451</v>
      </c>
      <c r="G125" s="26" t="s">
        <v>1019</v>
      </c>
      <c r="H125" s="22" t="s">
        <v>1020</v>
      </c>
      <c r="I125" s="29" t="str">
        <f>IFERROR(VLOOKUP(F125, 'api-register-id'!B:I, 8, FALSE), "Not found path.")</f>
        <v>1.0.0</v>
      </c>
      <c r="J125" s="3" t="s">
        <v>1009</v>
      </c>
      <c r="K125" s="31" t="s">
        <v>48</v>
      </c>
      <c r="L125" s="23" t="s">
        <v>49</v>
      </c>
      <c r="M125" s="3" t="s">
        <v>1021</v>
      </c>
      <c r="N125" s="3" t="str">
        <f t="shared" si="1"/>
        <v>POST /documentManagementAndArchive/documentDirectory/v1/documentDirectoryEntry/initiate</v>
      </c>
      <c r="O125" s="32" t="s">
        <v>1022</v>
      </c>
      <c r="P125" s="32"/>
      <c r="Q125" s="61" t="s">
        <v>98</v>
      </c>
      <c r="R125" s="31" t="s">
        <v>56</v>
      </c>
      <c r="S125" s="38" t="str">
        <f t="shared" si="2"/>
        <v>https://github.com/SF-Bancoppel/mx-api-bc-dom-document-directory</v>
      </c>
      <c r="T125" s="40"/>
      <c r="U125" s="22"/>
      <c r="V125" s="40"/>
      <c r="W125" s="40"/>
      <c r="X125" s="40"/>
      <c r="Y125" s="40"/>
      <c r="Z125" s="22"/>
      <c r="AA125" s="22"/>
      <c r="AB125" s="22"/>
    </row>
    <row r="126" ht="18.75" customHeight="1">
      <c r="A126" s="18" t="str">
        <f t="array" ref="A126">IFERROR(
  INDEX(
    'api-register-id'!A:A,
    MATCH(F126, 'api-register-id'!B:B, 0)
  ),
  "Not found Organization"
)</f>
        <v>SSFF</v>
      </c>
      <c r="B126" s="22" t="str">
        <f>IFERROR(VLOOKUP(F126, 'api-register-id'!B:F, 4, FALSE), "Not found path.")</f>
        <v>mx-api-bc-dom-document-services</v>
      </c>
      <c r="C126" s="23" t="s">
        <v>41</v>
      </c>
      <c r="D126" s="23" t="s">
        <v>119</v>
      </c>
      <c r="E126" s="24" t="str">
        <f>IFERROR(VLOOKUP(F126, 'api-register-id'!B:F, 5, FALSE), "Not found path.")</f>
        <v>APIMX000028</v>
      </c>
      <c r="F126" s="25" t="s">
        <v>462</v>
      </c>
      <c r="G126" s="26" t="s">
        <v>1026</v>
      </c>
      <c r="H126" s="22" t="s">
        <v>1027</v>
      </c>
      <c r="I126" s="29" t="str">
        <f>IFERROR(VLOOKUP(F126, 'api-register-id'!B:I, 8, FALSE), "Not found path.")</f>
        <v>1.7.0</v>
      </c>
      <c r="J126" s="3" t="s">
        <v>1028</v>
      </c>
      <c r="K126" s="31" t="s">
        <v>48</v>
      </c>
      <c r="L126" s="23" t="s">
        <v>49</v>
      </c>
      <c r="M126" s="3" t="s">
        <v>1029</v>
      </c>
      <c r="N126" s="3" t="str">
        <f t="shared" si="1"/>
        <v>POST /documentManagementAndArchive/documentServices/v1/documentServiceProcedure/register</v>
      </c>
      <c r="O126" s="32" t="s">
        <v>1030</v>
      </c>
      <c r="P126" s="32"/>
      <c r="Q126" s="61" t="s">
        <v>1031</v>
      </c>
      <c r="R126" s="31" t="s">
        <v>56</v>
      </c>
      <c r="S126" s="38" t="str">
        <f t="shared" si="2"/>
        <v>https://github.com/SF-Bancoppel/mx-api-bc-dom-document-services</v>
      </c>
      <c r="T126" s="40"/>
      <c r="U126" s="22"/>
      <c r="V126" s="40"/>
      <c r="W126" s="40"/>
      <c r="X126" s="40"/>
      <c r="Y126" s="40"/>
      <c r="Z126" s="22"/>
      <c r="AA126" s="22"/>
      <c r="AB126" s="22"/>
    </row>
    <row r="127" ht="18.75" customHeight="1">
      <c r="A127" s="18" t="str">
        <f t="array" ref="A127">IFERROR(
  INDEX(
    'api-register-id'!A:A,
    MATCH(F127, 'api-register-id'!B:B, 0)
  ),
  "Not found Organization"
)</f>
        <v>SSFF</v>
      </c>
      <c r="B127" s="22" t="str">
        <f>IFERROR(VLOOKUP(F127, 'api-register-id'!B:F, 4, FALSE), "Not found path.")</f>
        <v>mx-api-bc-dom-financial-accounting</v>
      </c>
      <c r="C127" s="23" t="s">
        <v>41</v>
      </c>
      <c r="D127" s="23" t="s">
        <v>119</v>
      </c>
      <c r="E127" s="24" t="str">
        <f>IFERROR(VLOOKUP(F127, 'api-register-id'!B:F, 5, FALSE), "Not found path.")</f>
        <v>APIMX000029</v>
      </c>
      <c r="F127" s="25" t="s">
        <v>478</v>
      </c>
      <c r="G127" s="26" t="s">
        <v>1032</v>
      </c>
      <c r="H127" s="22" t="s">
        <v>1033</v>
      </c>
      <c r="I127" s="29" t="str">
        <f>IFERROR(VLOOKUP(F127, 'api-register-id'!B:I, 8, FALSE), "Not found path.")</f>
        <v>1.0.0</v>
      </c>
      <c r="J127" s="3" t="s">
        <v>1035</v>
      </c>
      <c r="K127" s="31" t="s">
        <v>48</v>
      </c>
      <c r="L127" s="23" t="s">
        <v>108</v>
      </c>
      <c r="M127" s="3" t="s">
        <v>1036</v>
      </c>
      <c r="N127" s="3" t="str">
        <f t="shared" si="1"/>
        <v>GET /regulationsAndCompliance/financialAccounting/v1/financialBookingLog/retrieve</v>
      </c>
      <c r="O127" s="32" t="s">
        <v>1037</v>
      </c>
      <c r="P127" s="32"/>
      <c r="Q127" s="61" t="s">
        <v>98</v>
      </c>
      <c r="R127" s="31" t="s">
        <v>56</v>
      </c>
      <c r="S127" s="38" t="str">
        <f t="shared" si="2"/>
        <v>https://github.com/SF-Bancoppel/mx-api-bc-dom-financial-accounting</v>
      </c>
      <c r="T127" s="40"/>
      <c r="U127" s="22"/>
      <c r="V127" s="40"/>
      <c r="W127" s="40"/>
      <c r="X127" s="40"/>
      <c r="Y127" s="40"/>
      <c r="Z127" s="22"/>
      <c r="AA127" s="22"/>
      <c r="AB127" s="22"/>
    </row>
    <row r="128" ht="18.75" customHeight="1">
      <c r="A128" s="18" t="str">
        <f t="array" ref="A128">IFERROR(
  INDEX(
    'api-register-id'!A:A,
    MATCH(F128, 'api-register-id'!B:B, 0)
  ),
  "Not found Organization"
)</f>
        <v>SSFF</v>
      </c>
      <c r="B128" s="22" t="str">
        <f>IFERROR(VLOOKUP(F128, 'api-register-id'!B:F, 4, FALSE), "Not found path.")</f>
        <v>mx-api-bc-dom-financial-accounting</v>
      </c>
      <c r="C128" s="23" t="s">
        <v>41</v>
      </c>
      <c r="D128" s="23" t="s">
        <v>119</v>
      </c>
      <c r="E128" s="24" t="str">
        <f>IFERROR(VLOOKUP(F128, 'api-register-id'!B:F, 5, FALSE), "Not found path.")</f>
        <v>APIMX000029</v>
      </c>
      <c r="F128" s="25" t="s">
        <v>478</v>
      </c>
      <c r="G128" s="26" t="s">
        <v>1040</v>
      </c>
      <c r="H128" s="22" t="s">
        <v>1041</v>
      </c>
      <c r="I128" s="29" t="str">
        <f>IFERROR(VLOOKUP(F128, 'api-register-id'!B:I, 8, FALSE), "Not found path.")</f>
        <v>1.0.0</v>
      </c>
      <c r="J128" s="3" t="s">
        <v>1035</v>
      </c>
      <c r="K128" s="31" t="s">
        <v>48</v>
      </c>
      <c r="L128" s="23" t="s">
        <v>428</v>
      </c>
      <c r="M128" s="3" t="s">
        <v>1042</v>
      </c>
      <c r="N128" s="3" t="str">
        <f t="shared" si="1"/>
        <v>PATCH /regulationsAndCompliance/financialAccounting/v1/financialBookingLog/capture</v>
      </c>
      <c r="O128" s="32" t="s">
        <v>1043</v>
      </c>
      <c r="P128" s="32"/>
      <c r="Q128" s="61" t="s">
        <v>98</v>
      </c>
      <c r="R128" s="31" t="s">
        <v>56</v>
      </c>
      <c r="S128" s="38" t="str">
        <f t="shared" si="2"/>
        <v>https://github.com/SF-Bancoppel/mx-api-bc-dom-financial-accounting</v>
      </c>
      <c r="T128" s="40"/>
      <c r="U128" s="22"/>
      <c r="V128" s="40"/>
      <c r="W128" s="40"/>
      <c r="X128" s="40"/>
      <c r="Y128" s="40"/>
      <c r="Z128" s="22"/>
      <c r="AA128" s="22"/>
      <c r="AB128" s="22"/>
    </row>
    <row r="129" ht="18.75" customHeight="1">
      <c r="A129" s="18" t="str">
        <f t="array" ref="A129">IFERROR(
  INDEX(
    'api-register-id'!A:A,
    MATCH(F129, 'api-register-id'!B:B, 0)
  ),
  "Not found Organization"
)</f>
        <v>SSFF</v>
      </c>
      <c r="B129" s="22" t="str">
        <f>IFERROR(VLOOKUP(F129, 'api-register-id'!B:F, 4, FALSE), "Not found path.")</f>
        <v>mx-api-bc-dom-financial-accounting</v>
      </c>
      <c r="C129" s="23" t="s">
        <v>41</v>
      </c>
      <c r="D129" s="23" t="s">
        <v>119</v>
      </c>
      <c r="E129" s="24" t="str">
        <f>IFERROR(VLOOKUP(F129, 'api-register-id'!B:F, 5, FALSE), "Not found path.")</f>
        <v>APIMX000029</v>
      </c>
      <c r="F129" s="25" t="s">
        <v>478</v>
      </c>
      <c r="G129" s="26" t="s">
        <v>1045</v>
      </c>
      <c r="H129" s="22" t="s">
        <v>1047</v>
      </c>
      <c r="I129" s="29" t="str">
        <f>IFERROR(VLOOKUP(F129, 'api-register-id'!B:I, 8, FALSE), "Not found path.")</f>
        <v>1.0.0</v>
      </c>
      <c r="J129" s="3" t="s">
        <v>1035</v>
      </c>
      <c r="K129" s="31" t="s">
        <v>48</v>
      </c>
      <c r="L129" s="23" t="s">
        <v>428</v>
      </c>
      <c r="M129" s="3" t="s">
        <v>1049</v>
      </c>
      <c r="N129" s="3" t="str">
        <f t="shared" si="1"/>
        <v>PATCH /regulationsAndCompliance/financialAccounting/v1/financialBookingLog/update</v>
      </c>
      <c r="O129" s="32" t="s">
        <v>1050</v>
      </c>
      <c r="P129" s="32"/>
      <c r="Q129" s="61" t="s">
        <v>98</v>
      </c>
      <c r="R129" s="31" t="s">
        <v>56</v>
      </c>
      <c r="S129" s="38" t="str">
        <f t="shared" si="2"/>
        <v>https://github.com/SF-Bancoppel/mx-api-bc-dom-financial-accounting</v>
      </c>
      <c r="T129" s="40"/>
      <c r="U129" s="22"/>
      <c r="V129" s="40"/>
      <c r="W129" s="40"/>
      <c r="X129" s="40"/>
      <c r="Y129" s="40"/>
      <c r="Z129" s="22"/>
      <c r="AA129" s="22"/>
      <c r="AB129" s="22"/>
    </row>
    <row r="130" ht="18.75" customHeight="1">
      <c r="A130" s="18" t="str">
        <f t="array" ref="A130">IFERROR(
  INDEX(
    'api-register-id'!A:A,
    MATCH(F130, 'api-register-id'!B:B, 0)
  ),
  "Not found Organization"
)</f>
        <v>SSFF</v>
      </c>
      <c r="B130" s="22" t="str">
        <f>IFERROR(VLOOKUP(F130, 'api-register-id'!B:F, 4, FALSE), "Not found path.")</f>
        <v>mx-api-bc-dom-financial-accounting</v>
      </c>
      <c r="C130" s="23" t="s">
        <v>41</v>
      </c>
      <c r="D130" s="23" t="s">
        <v>119</v>
      </c>
      <c r="E130" s="24" t="str">
        <f>IFERROR(VLOOKUP(F130, 'api-register-id'!B:F, 5, FALSE), "Not found path.")</f>
        <v>APIMX000029</v>
      </c>
      <c r="F130" s="25" t="s">
        <v>478</v>
      </c>
      <c r="G130" s="26" t="s">
        <v>1051</v>
      </c>
      <c r="H130" s="22" t="s">
        <v>1052</v>
      </c>
      <c r="I130" s="29" t="str">
        <f>IFERROR(VLOOKUP(F130, 'api-register-id'!B:I, 8, FALSE), "Not found path.")</f>
        <v>1.0.0</v>
      </c>
      <c r="J130" s="3" t="s">
        <v>1035</v>
      </c>
      <c r="K130" s="31" t="s">
        <v>48</v>
      </c>
      <c r="L130" s="23" t="s">
        <v>49</v>
      </c>
      <c r="M130" s="3" t="s">
        <v>1053</v>
      </c>
      <c r="N130" s="3" t="str">
        <f t="shared" si="1"/>
        <v>POST /regulationsAndCompliance/financialAccounting/v1/financialBookingLog/register</v>
      </c>
      <c r="O130" s="32" t="s">
        <v>1054</v>
      </c>
      <c r="P130" s="32"/>
      <c r="Q130" s="61" t="s">
        <v>98</v>
      </c>
      <c r="R130" s="31" t="s">
        <v>56</v>
      </c>
      <c r="S130" s="38" t="str">
        <f t="shared" si="2"/>
        <v>https://github.com/SF-Bancoppel/mx-api-bc-dom-financial-accounting</v>
      </c>
      <c r="T130" s="40"/>
      <c r="U130" s="22"/>
      <c r="V130" s="40"/>
      <c r="W130" s="40"/>
      <c r="X130" s="40"/>
      <c r="Y130" s="40"/>
      <c r="Z130" s="22"/>
      <c r="AA130" s="22"/>
      <c r="AB130" s="22"/>
    </row>
    <row r="131" ht="18.75" customHeight="1">
      <c r="A131" s="18" t="str">
        <f t="array" ref="A131">IFERROR(
  INDEX(
    'api-register-id'!A:A,
    MATCH(F131, 'api-register-id'!B:B, 0)
  ),
  "Not found Organization"
)</f>
        <v>SSFF</v>
      </c>
      <c r="B131" s="22" t="str">
        <f>IFERROR(VLOOKUP(F131, 'api-register-id'!B:F, 4, FALSE), "Not found path.")</f>
        <v>mx-api-bc-dom-fraud-resolution</v>
      </c>
      <c r="C131" s="23" t="s">
        <v>41</v>
      </c>
      <c r="D131" s="23" t="s">
        <v>119</v>
      </c>
      <c r="E131" s="24" t="str">
        <f>IFERROR(VLOOKUP(F131, 'api-register-id'!B:F, 5, FALSE), "Not found path.")</f>
        <v>APIMX000030</v>
      </c>
      <c r="F131" s="25" t="s">
        <v>494</v>
      </c>
      <c r="G131" s="26" t="s">
        <v>1058</v>
      </c>
      <c r="H131" s="22" t="s">
        <v>1059</v>
      </c>
      <c r="I131" s="29" t="str">
        <f>IFERROR(VLOOKUP(F131, 'api-register-id'!B:I, 8, FALSE), "Not found path.")</f>
        <v>1.0.0</v>
      </c>
      <c r="J131" s="3" t="s">
        <v>1060</v>
      </c>
      <c r="K131" s="31" t="s">
        <v>48</v>
      </c>
      <c r="L131" s="23" t="s">
        <v>428</v>
      </c>
      <c r="M131" s="3" t="s">
        <v>1061</v>
      </c>
      <c r="N131" s="3" t="str">
        <f t="shared" si="1"/>
        <v>PATCH /regulationsAndCompliance/fraudResolution/v1/fraudResolutionProcedure/update</v>
      </c>
      <c r="O131" s="32" t="s">
        <v>1062</v>
      </c>
      <c r="P131" s="32"/>
      <c r="Q131" s="61" t="s">
        <v>98</v>
      </c>
      <c r="R131" s="31" t="s">
        <v>56</v>
      </c>
      <c r="S131" s="38" t="str">
        <f t="shared" si="2"/>
        <v>https://github.com/SF-Bancoppel/mx-api-bc-dom-fraud-resolution</v>
      </c>
      <c r="T131" s="40"/>
      <c r="U131" s="22"/>
      <c r="V131" s="40"/>
      <c r="W131" s="40"/>
      <c r="X131" s="40"/>
      <c r="Y131" s="40"/>
      <c r="Z131" s="22"/>
      <c r="AA131" s="22"/>
      <c r="AB131" s="22"/>
    </row>
    <row r="132" ht="18.75" customHeight="1">
      <c r="A132" s="18" t="str">
        <f t="array" ref="A132">IFERROR(
  INDEX(
    'api-register-id'!A:A,
    MATCH(F132, 'api-register-id'!B:B, 0)
  ),
  "Not found Organization"
)</f>
        <v>SSFF</v>
      </c>
      <c r="B132" s="22" t="str">
        <f>IFERROR(VLOOKUP(F132, 'api-register-id'!B:F, 4, FALSE), "Not found path.")</f>
        <v>mx-api-bc-dom-interactive-help</v>
      </c>
      <c r="C132" s="23" t="s">
        <v>41</v>
      </c>
      <c r="D132" s="23" t="s">
        <v>119</v>
      </c>
      <c r="E132" s="24" t="str">
        <f>IFERROR(VLOOKUP(F132, 'api-register-id'!B:F, 5, FALSE), "Not found path.")</f>
        <v>APIMX000031</v>
      </c>
      <c r="F132" s="25" t="s">
        <v>509</v>
      </c>
      <c r="G132" s="26" t="s">
        <v>1063</v>
      </c>
      <c r="H132" s="22" t="s">
        <v>1064</v>
      </c>
      <c r="I132" s="29" t="str">
        <f>IFERROR(VLOOKUP(F132, 'api-register-id'!B:I, 8, FALSE), "Not found path.")</f>
        <v>1.0.0</v>
      </c>
      <c r="J132" s="3" t="s">
        <v>1066</v>
      </c>
      <c r="K132" s="31" t="s">
        <v>48</v>
      </c>
      <c r="L132" s="23" t="s">
        <v>428</v>
      </c>
      <c r="M132" s="3" t="s">
        <v>1067</v>
      </c>
      <c r="N132" s="3" t="str">
        <f t="shared" si="1"/>
        <v>PATCH /crossChannel/interactiveHelp/v1/customerProductRelation/update</v>
      </c>
      <c r="O132" s="32" t="s">
        <v>1068</v>
      </c>
      <c r="P132" s="32"/>
      <c r="Q132" s="61" t="s">
        <v>98</v>
      </c>
      <c r="R132" s="31" t="s">
        <v>56</v>
      </c>
      <c r="S132" s="38" t="str">
        <f t="shared" si="2"/>
        <v>https://github.com/SF-Bancoppel/mx-api-bc-dom-interactive-help</v>
      </c>
      <c r="T132" s="40"/>
      <c r="U132" s="22"/>
      <c r="V132" s="40"/>
      <c r="W132" s="40"/>
      <c r="X132" s="40"/>
      <c r="Y132" s="40"/>
      <c r="Z132" s="22"/>
      <c r="AA132" s="22"/>
      <c r="AB132" s="22"/>
    </row>
    <row r="133" ht="18.75" customHeight="1">
      <c r="A133" s="18" t="str">
        <f t="array" ref="A133">IFERROR(
  INDEX(
    'api-register-id'!A:A,
    MATCH(F133, 'api-register-id'!B:B, 0)
  ),
  "Not found Organization"
)</f>
        <v>SSFF</v>
      </c>
      <c r="B133" s="22" t="str">
        <f>IFERROR(VLOOKUP(F133, 'api-register-id'!B:F, 4, FALSE), "Not found path.")</f>
        <v>mx-api-bc-dom-interactive-help</v>
      </c>
      <c r="C133" s="23" t="s">
        <v>41</v>
      </c>
      <c r="D133" s="23" t="s">
        <v>119</v>
      </c>
      <c r="E133" s="24" t="str">
        <f>IFERROR(VLOOKUP(F133, 'api-register-id'!B:F, 5, FALSE), "Not found path.")</f>
        <v>APIMX000031</v>
      </c>
      <c r="F133" s="25" t="s">
        <v>509</v>
      </c>
      <c r="G133" s="26" t="s">
        <v>1071</v>
      </c>
      <c r="H133" s="22" t="s">
        <v>1072</v>
      </c>
      <c r="I133" s="29" t="str">
        <f>IFERROR(VLOOKUP(F133, 'api-register-id'!B:I, 8, FALSE), "Not found path.")</f>
        <v>1.0.0</v>
      </c>
      <c r="J133" s="3" t="s">
        <v>1066</v>
      </c>
      <c r="K133" s="31" t="s">
        <v>48</v>
      </c>
      <c r="L133" s="23" t="s">
        <v>49</v>
      </c>
      <c r="M133" s="3" t="s">
        <v>1073</v>
      </c>
      <c r="N133" s="3" t="str">
        <f t="shared" si="1"/>
        <v>POST /crossChannel/interactiveHelp/v1/customerProductRelation/register</v>
      </c>
      <c r="O133" s="32" t="s">
        <v>1074</v>
      </c>
      <c r="P133" s="32"/>
      <c r="Q133" s="61" t="s">
        <v>98</v>
      </c>
      <c r="R133" s="31" t="s">
        <v>56</v>
      </c>
      <c r="S133" s="38" t="str">
        <f t="shared" si="2"/>
        <v>https://github.com/SF-Bancoppel/mx-api-bc-dom-interactive-help</v>
      </c>
      <c r="T133" s="40"/>
      <c r="U133" s="22"/>
      <c r="V133" s="40"/>
      <c r="W133" s="40"/>
      <c r="X133" s="40"/>
      <c r="Y133" s="40"/>
      <c r="Z133" s="22"/>
      <c r="AA133" s="22"/>
      <c r="AB133" s="22"/>
    </row>
    <row r="134" ht="18.75" customHeight="1">
      <c r="A134" s="18" t="str">
        <f t="array" ref="A134">IFERROR(
  INDEX(
    'api-register-id'!A:A,
    MATCH(F134, 'api-register-id'!B:B, 0)
  ),
  "Not found Organization"
)</f>
        <v>SSFF</v>
      </c>
      <c r="B134" s="22" t="str">
        <f>IFERROR(VLOOKUP(F134, 'api-register-id'!B:F, 4, FALSE), "Not found path.")</f>
        <v>mx-api-bc-dom-internal-bank-account</v>
      </c>
      <c r="C134" s="23" t="s">
        <v>41</v>
      </c>
      <c r="D134" s="23" t="s">
        <v>119</v>
      </c>
      <c r="E134" s="24" t="str">
        <f>IFERROR(VLOOKUP(F134, 'api-register-id'!B:F, 5, FALSE), "Not found path.")</f>
        <v>APIMX000032</v>
      </c>
      <c r="F134" s="25" t="s">
        <v>522</v>
      </c>
      <c r="G134" s="26" t="s">
        <v>1076</v>
      </c>
      <c r="H134" s="22" t="s">
        <v>1077</v>
      </c>
      <c r="I134" s="29" t="str">
        <f>IFERROR(VLOOKUP(F134, 'api-register-id'!B:I, 8, FALSE), "Not found path.")</f>
        <v>1.0.0</v>
      </c>
      <c r="J134" s="3" t="s">
        <v>1080</v>
      </c>
      <c r="K134" s="31" t="s">
        <v>48</v>
      </c>
      <c r="L134" s="23" t="s">
        <v>49</v>
      </c>
      <c r="M134" s="3" t="s">
        <v>1081</v>
      </c>
      <c r="N134" s="3" t="str">
        <f t="shared" si="1"/>
        <v>POST /operationalService/internalBankAccount/v1/internalBankAccountReference/retrieve</v>
      </c>
      <c r="O134" s="32" t="s">
        <v>1082</v>
      </c>
      <c r="P134" s="32" t="s">
        <v>1083</v>
      </c>
      <c r="Q134" s="61" t="s">
        <v>98</v>
      </c>
      <c r="R134" s="31" t="s">
        <v>56</v>
      </c>
      <c r="S134" s="38" t="str">
        <f t="shared" si="2"/>
        <v>https://github.com/SF-Bancoppel/mx-api-bc-dom-internal-bank-account</v>
      </c>
      <c r="T134" s="40"/>
      <c r="U134" s="22"/>
      <c r="V134" s="40"/>
      <c r="W134" s="40"/>
      <c r="X134" s="40"/>
      <c r="Y134" s="40"/>
      <c r="Z134" s="22"/>
      <c r="AA134" s="22"/>
      <c r="AB134" s="22"/>
    </row>
    <row r="135" ht="18.75" customHeight="1">
      <c r="A135" s="18" t="str">
        <f t="array" ref="A135">IFERROR(
  INDEX(
    'api-register-id'!A:A,
    MATCH(F135, 'api-register-id'!B:B, 0)
  ),
  "Not found Organization"
)</f>
        <v>SSFF</v>
      </c>
      <c r="B135" s="22" t="str">
        <f>IFERROR(VLOOKUP(F135, 'api-register-id'!B:F, 4, FALSE), "Not found path.")</f>
        <v>mx-api-bc-dom-internal-bank-account</v>
      </c>
      <c r="C135" s="23" t="s">
        <v>41</v>
      </c>
      <c r="D135" s="23" t="s">
        <v>119</v>
      </c>
      <c r="E135" s="24" t="str">
        <f>IFERROR(VLOOKUP(F135, 'api-register-id'!B:F, 5, FALSE), "Not found path.")</f>
        <v>APIMX000032</v>
      </c>
      <c r="F135" s="25" t="s">
        <v>522</v>
      </c>
      <c r="G135" s="26" t="s">
        <v>1084</v>
      </c>
      <c r="H135" s="22" t="s">
        <v>1085</v>
      </c>
      <c r="I135" s="29" t="str">
        <f>IFERROR(VLOOKUP(F135, 'api-register-id'!B:I, 8, FALSE), "Not found path.")</f>
        <v>1.0.0</v>
      </c>
      <c r="J135" s="3" t="s">
        <v>1080</v>
      </c>
      <c r="K135" s="31" t="s">
        <v>48</v>
      </c>
      <c r="L135" s="23" t="s">
        <v>108</v>
      </c>
      <c r="M135" s="3" t="s">
        <v>1086</v>
      </c>
      <c r="N135" s="3" t="str">
        <f t="shared" si="1"/>
        <v>GET /operationalService/internalBankAccount/v1/internalBank/retrieve</v>
      </c>
      <c r="O135" s="32" t="s">
        <v>1087</v>
      </c>
      <c r="P135" s="32" t="s">
        <v>1083</v>
      </c>
      <c r="Q135" s="61" t="s">
        <v>98</v>
      </c>
      <c r="R135" s="31" t="s">
        <v>56</v>
      </c>
      <c r="S135" s="38" t="str">
        <f t="shared" si="2"/>
        <v>https://github.com/SF-Bancoppel/mx-api-bc-dom-internal-bank-account</v>
      </c>
      <c r="T135" s="40"/>
      <c r="U135" s="22"/>
      <c r="V135" s="40"/>
      <c r="W135" s="40"/>
      <c r="X135" s="40"/>
      <c r="Y135" s="40"/>
      <c r="Z135" s="22"/>
      <c r="AA135" s="22"/>
      <c r="AB135" s="22"/>
    </row>
    <row r="136" ht="18.75" customHeight="1">
      <c r="A136" s="18" t="str">
        <f t="array" ref="A136">IFERROR(
  INDEX(
    'api-register-id'!A:A,
    MATCH(F136, 'api-register-id'!B:B, 0)
  ),
  "Not found Organization"
)</f>
        <v>SSFF</v>
      </c>
      <c r="B136" s="22" t="str">
        <f>IFERROR(VLOOKUP(F136, 'api-register-id'!B:F, 4, FALSE), "Not found path.")</f>
        <v>mx-api-bc-dom-investment-account</v>
      </c>
      <c r="C136" s="23" t="s">
        <v>41</v>
      </c>
      <c r="D136" s="23" t="s">
        <v>119</v>
      </c>
      <c r="E136" s="24" t="str">
        <f>IFERROR(VLOOKUP(F136, 'api-register-id'!B:F, 5, FALSE), "Not found path.")</f>
        <v>APIMX000033</v>
      </c>
      <c r="F136" s="25" t="s">
        <v>536</v>
      </c>
      <c r="G136" s="26" t="s">
        <v>1089</v>
      </c>
      <c r="H136" s="22" t="s">
        <v>1090</v>
      </c>
      <c r="I136" s="29" t="str">
        <f>IFERROR(VLOOKUP(F136, 'api-register-id'!B:I, 8, FALSE), "Not found path.")</f>
        <v>1.0.0</v>
      </c>
      <c r="J136" s="3" t="s">
        <v>1093</v>
      </c>
      <c r="K136" s="31" t="s">
        <v>48</v>
      </c>
      <c r="L136" s="23" t="s">
        <v>49</v>
      </c>
      <c r="M136" s="3" t="s">
        <v>1094</v>
      </c>
      <c r="N136" s="3" t="str">
        <f t="shared" si="1"/>
        <v>POST /investmentManagement/investmentAccount/v1/investmentAccountFacility/retrieve</v>
      </c>
      <c r="O136" s="32" t="s">
        <v>1095</v>
      </c>
      <c r="P136" s="32"/>
      <c r="Q136" s="61" t="s">
        <v>1096</v>
      </c>
      <c r="R136" s="31" t="s">
        <v>56</v>
      </c>
      <c r="S136" s="38" t="str">
        <f t="shared" si="2"/>
        <v>https://github.com/SF-Bancoppel/mx-api-bc-dom-investment-account</v>
      </c>
      <c r="T136" s="40"/>
      <c r="U136" s="22"/>
      <c r="V136" s="40"/>
      <c r="W136" s="40"/>
      <c r="X136" s="40"/>
      <c r="Y136" s="40"/>
      <c r="Z136" s="22"/>
      <c r="AA136" s="22"/>
      <c r="AB136" s="22"/>
    </row>
    <row r="137" ht="18.75" customHeight="1">
      <c r="A137" s="18" t="str">
        <f t="array" ref="A137">IFERROR(
  INDEX(
    'api-register-id'!A:A,
    MATCH(F137, 'api-register-id'!B:B, 0)
  ),
  "Not found Organization"
)</f>
        <v>SSFF</v>
      </c>
      <c r="B137" s="22" t="str">
        <f>IFERROR(VLOOKUP(F137, 'api-register-id'!B:F, 4, FALSE), "Not found path.")</f>
        <v>mx-api-bc-dom-issued-device-administration</v>
      </c>
      <c r="C137" s="23" t="s">
        <v>41</v>
      </c>
      <c r="D137" s="23" t="s">
        <v>119</v>
      </c>
      <c r="E137" s="24" t="str">
        <f>IFERROR(VLOOKUP(F137, 'api-register-id'!B:F, 5, FALSE), "Not found path.")</f>
        <v>APIMX000034</v>
      </c>
      <c r="F137" s="25" t="s">
        <v>551</v>
      </c>
      <c r="G137" s="26" t="s">
        <v>1099</v>
      </c>
      <c r="H137" s="22" t="s">
        <v>1100</v>
      </c>
      <c r="I137" s="29" t="str">
        <f>IFERROR(VLOOKUP(F137, 'api-register-id'!B:I, 8, FALSE), "Not found path.")</f>
        <v>1.2.1</v>
      </c>
      <c r="J137" s="3" t="s">
        <v>1102</v>
      </c>
      <c r="K137" s="31" t="s">
        <v>48</v>
      </c>
      <c r="L137" s="23" t="s">
        <v>49</v>
      </c>
      <c r="M137" s="3" t="s">
        <v>1103</v>
      </c>
      <c r="N137" s="3" t="str">
        <f t="shared" si="1"/>
        <v>POST /operationalServices/issuedDeviceAdministration/v1/deviceAssignment/initiate</v>
      </c>
      <c r="O137" s="32" t="s">
        <v>1104</v>
      </c>
      <c r="P137" s="32"/>
      <c r="Q137" s="61" t="s">
        <v>1105</v>
      </c>
      <c r="R137" s="31" t="s">
        <v>56</v>
      </c>
      <c r="S137" s="38" t="str">
        <f t="shared" si="2"/>
        <v>https://github.com/SF-Bancoppel/mx-api-bc-dom-issued-device-administration</v>
      </c>
      <c r="T137" s="40"/>
      <c r="U137" s="22"/>
      <c r="V137" s="40"/>
      <c r="W137" s="40"/>
      <c r="X137" s="40"/>
      <c r="Y137" s="40"/>
      <c r="Z137" s="22"/>
      <c r="AA137" s="22"/>
      <c r="AB137" s="22"/>
    </row>
    <row r="138" ht="18.75" customHeight="1">
      <c r="A138" s="18" t="str">
        <f t="array" ref="A138">IFERROR(
  INDEX(
    'api-register-id'!A:A,
    MATCH(F138, 'api-register-id'!B:B, 0)
  ),
  "Not found Organization"
)</f>
        <v>SSFF</v>
      </c>
      <c r="B138" s="22" t="str">
        <f>IFERROR(VLOOKUP(F138, 'api-register-id'!B:F, 4, FALSE), "Not found path.")</f>
        <v>mx-api-bc-dom-issued-device-administration</v>
      </c>
      <c r="C138" s="23" t="s">
        <v>41</v>
      </c>
      <c r="D138" s="23" t="s">
        <v>119</v>
      </c>
      <c r="E138" s="24" t="str">
        <f>IFERROR(VLOOKUP(F138, 'api-register-id'!B:F, 5, FALSE), "Not found path.")</f>
        <v>APIMX000034</v>
      </c>
      <c r="F138" s="25" t="s">
        <v>551</v>
      </c>
      <c r="G138" s="26" t="s">
        <v>1106</v>
      </c>
      <c r="H138" s="22" t="s">
        <v>1107</v>
      </c>
      <c r="I138" s="29" t="str">
        <f>IFERROR(VLOOKUP(F138, 'api-register-id'!B:I, 8, FALSE), "Not found path.")</f>
        <v>1.2.1</v>
      </c>
      <c r="J138" s="3" t="s">
        <v>1102</v>
      </c>
      <c r="K138" s="31" t="s">
        <v>48</v>
      </c>
      <c r="L138" s="23" t="s">
        <v>108</v>
      </c>
      <c r="M138" s="3" t="s">
        <v>1108</v>
      </c>
      <c r="N138" s="3" t="str">
        <f t="shared" si="1"/>
        <v>GET /operationalServices/issuedDeviceAdministration/v1/deviceAssignment/retrieve</v>
      </c>
      <c r="O138" s="32" t="s">
        <v>1109</v>
      </c>
      <c r="P138" s="32"/>
      <c r="Q138" s="61" t="s">
        <v>1110</v>
      </c>
      <c r="R138" s="31" t="s">
        <v>56</v>
      </c>
      <c r="S138" s="38" t="str">
        <f t="shared" si="2"/>
        <v>https://github.com/SF-Bancoppel/mx-api-bc-dom-issued-device-administration</v>
      </c>
      <c r="T138" s="40"/>
      <c r="U138" s="22"/>
      <c r="V138" s="40"/>
      <c r="W138" s="40"/>
      <c r="X138" s="40"/>
      <c r="Y138" s="40"/>
      <c r="Z138" s="22"/>
      <c r="AA138" s="22"/>
      <c r="AB138" s="22"/>
    </row>
    <row r="139" ht="18.75" customHeight="1">
      <c r="A139" s="18" t="str">
        <f t="array" ref="A139">IFERROR(
  INDEX(
    'api-register-id'!A:A,
    MATCH(F139, 'api-register-id'!B:B, 0)
  ),
  "Not found Organization"
)</f>
        <v>SSFF</v>
      </c>
      <c r="B139" s="22" t="str">
        <f>IFERROR(VLOOKUP(F139, 'api-register-id'!B:F, 4, FALSE), "Not found path.")</f>
        <v>mx-api-bc-dom-issued-device-administration</v>
      </c>
      <c r="C139" s="23" t="s">
        <v>41</v>
      </c>
      <c r="D139" s="23" t="s">
        <v>119</v>
      </c>
      <c r="E139" s="24" t="str">
        <f>IFERROR(VLOOKUP(F139, 'api-register-id'!B:F, 5, FALSE), "Not found path.")</f>
        <v>APIMX000034</v>
      </c>
      <c r="F139" s="25" t="s">
        <v>551</v>
      </c>
      <c r="G139" s="26" t="s">
        <v>1114</v>
      </c>
      <c r="H139" s="22" t="s">
        <v>1115</v>
      </c>
      <c r="I139" s="29" t="str">
        <f>IFERROR(VLOOKUP(F139, 'api-register-id'!B:I, 8, FALSE), "Not found path.")</f>
        <v>1.2.1</v>
      </c>
      <c r="J139" s="3" t="s">
        <v>1102</v>
      </c>
      <c r="K139" s="31" t="s">
        <v>48</v>
      </c>
      <c r="L139" s="23" t="s">
        <v>49</v>
      </c>
      <c r="M139" s="3" t="s">
        <v>1116</v>
      </c>
      <c r="N139" s="3" t="str">
        <f t="shared" si="1"/>
        <v>POST /operationalServices/issuedDeviceAdministration/v1/tokenAssignment/initiate</v>
      </c>
      <c r="O139" s="32" t="s">
        <v>1117</v>
      </c>
      <c r="P139" s="32"/>
      <c r="Q139" s="61" t="s">
        <v>1118</v>
      </c>
      <c r="R139" s="31" t="s">
        <v>56</v>
      </c>
      <c r="S139" s="38" t="str">
        <f t="shared" si="2"/>
        <v>https://github.com/SF-Bancoppel/mx-api-bc-dom-issued-device-administration</v>
      </c>
      <c r="T139" s="40"/>
      <c r="U139" s="22"/>
      <c r="V139" s="40"/>
      <c r="W139" s="40"/>
      <c r="X139" s="40"/>
      <c r="Y139" s="40"/>
      <c r="Z139" s="22"/>
      <c r="AA139" s="22"/>
      <c r="AB139" s="22"/>
    </row>
    <row r="140" ht="18.75" customHeight="1">
      <c r="A140" s="18" t="str">
        <f t="array" ref="A140">IFERROR(
  INDEX(
    'api-register-id'!A:A,
    MATCH(F140, 'api-register-id'!B:B, 0)
  ),
  "Not found Organization"
)</f>
        <v>SSFF</v>
      </c>
      <c r="B140" s="22" t="str">
        <f>IFERROR(VLOOKUP(F140, 'api-register-id'!B:F, 4, FALSE), "Not found path.")</f>
        <v>mx-api-bc-dom-issued-device-administration</v>
      </c>
      <c r="C140" s="23" t="s">
        <v>41</v>
      </c>
      <c r="D140" s="23" t="s">
        <v>119</v>
      </c>
      <c r="E140" s="24" t="str">
        <f>IFERROR(VLOOKUP(F140, 'api-register-id'!B:F, 5, FALSE), "Not found path.")</f>
        <v>APIMX000034</v>
      </c>
      <c r="F140" s="25" t="s">
        <v>551</v>
      </c>
      <c r="G140" s="26" t="s">
        <v>1119</v>
      </c>
      <c r="H140" s="22" t="s">
        <v>1120</v>
      </c>
      <c r="I140" s="29" t="str">
        <f>IFERROR(VLOOKUP(F140, 'api-register-id'!B:I, 8, FALSE), "Not found path.")</f>
        <v>1.2.1</v>
      </c>
      <c r="J140" s="3" t="s">
        <v>1102</v>
      </c>
      <c r="K140" s="31" t="s">
        <v>48</v>
      </c>
      <c r="L140" s="23" t="s">
        <v>49</v>
      </c>
      <c r="M140" s="3" t="s">
        <v>1122</v>
      </c>
      <c r="N140" s="3" t="str">
        <f t="shared" si="1"/>
        <v>POST /operationalServices/issuedDeviceAdministration/v1/deviceAssignment/register</v>
      </c>
      <c r="O140" s="32" t="s">
        <v>1123</v>
      </c>
      <c r="P140" s="32"/>
      <c r="Q140" s="61" t="s">
        <v>1124</v>
      </c>
      <c r="R140" s="31" t="s">
        <v>56</v>
      </c>
      <c r="S140" s="38" t="str">
        <f t="shared" si="2"/>
        <v>https://github.com/SF-Bancoppel/mx-api-bc-dom-issued-device-administration</v>
      </c>
      <c r="T140" s="40"/>
      <c r="U140" s="22"/>
      <c r="V140" s="40"/>
      <c r="W140" s="40"/>
      <c r="X140" s="40"/>
      <c r="Y140" s="40"/>
      <c r="Z140" s="22"/>
      <c r="AA140" s="22"/>
      <c r="AB140" s="22"/>
    </row>
    <row r="141" ht="18.75" customHeight="1">
      <c r="A141" s="18" t="str">
        <f t="array" ref="A141">IFERROR(
  INDEX(
    'api-register-id'!A:A,
    MATCH(F141, 'api-register-id'!B:B, 0)
  ),
  "Not found Organization"
)</f>
        <v>SSFF</v>
      </c>
      <c r="B141" s="22" t="str">
        <f>IFERROR(VLOOKUP(F141, 'api-register-id'!B:F, 4, FALSE), "Not found path.")</f>
        <v>mx-api-bc-dom-issued-device-administration</v>
      </c>
      <c r="C141" s="23" t="s">
        <v>41</v>
      </c>
      <c r="D141" s="23" t="s">
        <v>119</v>
      </c>
      <c r="E141" s="24" t="str">
        <f>IFERROR(VLOOKUP(F141, 'api-register-id'!B:F, 5, FALSE), "Not found path.")</f>
        <v>APIMX000034</v>
      </c>
      <c r="F141" s="25" t="s">
        <v>551</v>
      </c>
      <c r="G141" s="26" t="s">
        <v>1127</v>
      </c>
      <c r="H141" s="22" t="s">
        <v>1128</v>
      </c>
      <c r="I141" s="29" t="str">
        <f>IFERROR(VLOOKUP(F141, 'api-register-id'!B:I, 8, FALSE), "Not found path.")</f>
        <v>1.2.1</v>
      </c>
      <c r="J141" s="3" t="s">
        <v>1102</v>
      </c>
      <c r="K141" s="31" t="s">
        <v>48</v>
      </c>
      <c r="L141" s="23" t="s">
        <v>49</v>
      </c>
      <c r="M141" s="3" t="s">
        <v>1129</v>
      </c>
      <c r="N141" s="3" t="str">
        <f t="shared" si="1"/>
        <v>POST /operationalServices/issuedDeviceAdministration/v1/tokenAssignment/evaluate</v>
      </c>
      <c r="O141" s="32" t="s">
        <v>1130</v>
      </c>
      <c r="P141" s="32"/>
      <c r="Q141" s="61" t="s">
        <v>1131</v>
      </c>
      <c r="R141" s="31" t="s">
        <v>56</v>
      </c>
      <c r="S141" s="38" t="str">
        <f t="shared" si="2"/>
        <v>https://github.com/SF-Bancoppel/mx-api-bc-dom-issued-device-administration</v>
      </c>
      <c r="T141" s="40"/>
      <c r="U141" s="22"/>
      <c r="V141" s="40"/>
      <c r="W141" s="40"/>
      <c r="X141" s="40"/>
      <c r="Y141" s="40"/>
      <c r="Z141" s="22"/>
      <c r="AA141" s="22"/>
      <c r="AB141" s="22"/>
    </row>
    <row r="142" ht="18.75" customHeight="1">
      <c r="A142" s="18" t="str">
        <f t="array" ref="A142">IFERROR(
  INDEX(
    'api-register-id'!A:A,
    MATCH(F142, 'api-register-id'!B:B, 0)
  ),
  "Not found Organization"
)</f>
        <v>SSFF</v>
      </c>
      <c r="B142" s="22" t="str">
        <f>IFERROR(VLOOKUP(F142, 'api-register-id'!B:F, 4, FALSE), "Not found path.")</f>
        <v>mx-api-bc-dom-issued-device-administration</v>
      </c>
      <c r="C142" s="23" t="s">
        <v>41</v>
      </c>
      <c r="D142" s="23" t="s">
        <v>119</v>
      </c>
      <c r="E142" s="24" t="str">
        <f>IFERROR(VLOOKUP(F142, 'api-register-id'!B:F, 5, FALSE), "Not found path.")</f>
        <v>APIMX000034</v>
      </c>
      <c r="F142" s="25" t="s">
        <v>551</v>
      </c>
      <c r="G142" s="26" t="s">
        <v>1132</v>
      </c>
      <c r="H142" s="22" t="s">
        <v>1133</v>
      </c>
      <c r="I142" s="29" t="str">
        <f>IFERROR(VLOOKUP(F142, 'api-register-id'!B:I, 8, FALSE), "Not found path.")</f>
        <v>1.2.1</v>
      </c>
      <c r="J142" s="3" t="s">
        <v>1102</v>
      </c>
      <c r="K142" s="31" t="s">
        <v>48</v>
      </c>
      <c r="L142" s="23" t="s">
        <v>49</v>
      </c>
      <c r="M142" s="3" t="s">
        <v>1135</v>
      </c>
      <c r="N142" s="3" t="str">
        <f t="shared" si="1"/>
        <v>POST /operationalServices/issuedDeviceAdministration/v1/tokenAssignment/retrieve</v>
      </c>
      <c r="O142" s="32" t="s">
        <v>1136</v>
      </c>
      <c r="P142" s="32" t="s">
        <v>652</v>
      </c>
      <c r="Q142" s="61" t="s">
        <v>98</v>
      </c>
      <c r="R142" s="31" t="s">
        <v>56</v>
      </c>
      <c r="S142" s="38" t="str">
        <f t="shared" si="2"/>
        <v>https://github.com/SF-Bancoppel/mx-api-bc-dom-issued-device-administration</v>
      </c>
      <c r="T142" s="40"/>
      <c r="U142" s="22"/>
      <c r="V142" s="40"/>
      <c r="W142" s="40"/>
      <c r="X142" s="40"/>
      <c r="Y142" s="40"/>
      <c r="Z142" s="22"/>
      <c r="AA142" s="22"/>
      <c r="AB142" s="22"/>
    </row>
    <row r="143" ht="18.75" customHeight="1">
      <c r="A143" s="18" t="str">
        <f t="array" ref="A143">IFERROR(
  INDEX(
    'api-register-id'!A:A,
    MATCH(F143, 'api-register-id'!B:B, 0)
  ),
  "Not found Organization"
)</f>
        <v>SSFF</v>
      </c>
      <c r="B143" s="22" t="str">
        <f>IFERROR(VLOOKUP(F143, 'api-register-id'!B:F, 4, FALSE), "Not found path.")</f>
        <v>mx-api-bc-dom-issued-device-administration</v>
      </c>
      <c r="C143" s="23" t="s">
        <v>41</v>
      </c>
      <c r="D143" s="23" t="s">
        <v>119</v>
      </c>
      <c r="E143" s="24" t="str">
        <f>IFERROR(VLOOKUP(F143, 'api-register-id'!B:F, 5, FALSE), "Not found path.")</f>
        <v>APIMX000034</v>
      </c>
      <c r="F143" s="25" t="s">
        <v>551</v>
      </c>
      <c r="G143" s="26" t="s">
        <v>1139</v>
      </c>
      <c r="H143" s="22" t="s">
        <v>1140</v>
      </c>
      <c r="I143" s="29" t="str">
        <f>IFERROR(VLOOKUP(F143, 'api-register-id'!B:I, 8, FALSE), "Not found path.")</f>
        <v>1.2.1</v>
      </c>
      <c r="J143" s="3" t="s">
        <v>1102</v>
      </c>
      <c r="K143" s="31" t="s">
        <v>48</v>
      </c>
      <c r="L143" s="23" t="s">
        <v>108</v>
      </c>
      <c r="M143" s="3" t="s">
        <v>1141</v>
      </c>
      <c r="N143" s="3" t="str">
        <f t="shared" si="1"/>
        <v>GET /operationalServices/issuedDeviceAdministration/v1/biometricAssignment/{companyReference}/{customerReference}/retrieve</v>
      </c>
      <c r="O143" s="32" t="s">
        <v>1142</v>
      </c>
      <c r="P143" s="32"/>
      <c r="Q143" s="61" t="s">
        <v>98</v>
      </c>
      <c r="R143" s="31" t="s">
        <v>56</v>
      </c>
      <c r="S143" s="38" t="str">
        <f t="shared" si="2"/>
        <v>https://github.com/SF-Bancoppel/mx-api-bc-dom-issued-device-administration</v>
      </c>
      <c r="T143" s="40"/>
      <c r="U143" s="22"/>
      <c r="V143" s="22"/>
      <c r="W143" s="40"/>
      <c r="X143" s="40"/>
      <c r="Y143" s="40"/>
      <c r="Z143" s="22"/>
      <c r="AA143" s="22"/>
      <c r="AB143" s="22"/>
    </row>
    <row r="144" ht="18.75" customHeight="1">
      <c r="A144" s="18" t="str">
        <f t="array" ref="A144">IFERROR(
  INDEX(
    'api-register-id'!A:A,
    MATCH(F144, 'api-register-id'!B:B, 0)
  ),
  "Not found Organization"
)</f>
        <v>SSFF</v>
      </c>
      <c r="B144" s="22" t="str">
        <f>IFERROR(VLOOKUP(F144, 'api-register-id'!B:F, 4, FALSE), "Not found path.")</f>
        <v>mx-api-bc-dom-issued-device-administration</v>
      </c>
      <c r="C144" s="23" t="s">
        <v>41</v>
      </c>
      <c r="D144" s="23" t="s">
        <v>119</v>
      </c>
      <c r="E144" s="24" t="str">
        <f>IFERROR(VLOOKUP(F144, 'api-register-id'!B:F, 5, FALSE), "Not found path.")</f>
        <v>APIMX000034</v>
      </c>
      <c r="F144" s="25" t="s">
        <v>551</v>
      </c>
      <c r="G144" s="26" t="s">
        <v>1145</v>
      </c>
      <c r="H144" s="22" t="s">
        <v>1147</v>
      </c>
      <c r="I144" s="29" t="str">
        <f>IFERROR(VLOOKUP(F144, 'api-register-id'!B:I, 8, FALSE), "Not found path.")</f>
        <v>1.2.1</v>
      </c>
      <c r="J144" s="3" t="s">
        <v>1102</v>
      </c>
      <c r="K144" s="31" t="s">
        <v>48</v>
      </c>
      <c r="L144" s="23" t="s">
        <v>49</v>
      </c>
      <c r="M144" s="3" t="s">
        <v>1148</v>
      </c>
      <c r="N144" s="3" t="str">
        <f t="shared" si="1"/>
        <v>POST /operationalServices/issuedDeviceAdministration/v1/biometricAssignment/initiate</v>
      </c>
      <c r="O144" s="32" t="s">
        <v>1149</v>
      </c>
      <c r="P144" s="32"/>
      <c r="Q144" s="61" t="s">
        <v>1150</v>
      </c>
      <c r="R144" s="31" t="s">
        <v>56</v>
      </c>
      <c r="S144" s="38" t="str">
        <f t="shared" si="2"/>
        <v>https://github.com/SF-Bancoppel/mx-api-bc-dom-issued-device-administration</v>
      </c>
      <c r="T144" s="40"/>
      <c r="U144" s="22"/>
      <c r="V144" s="40"/>
      <c r="W144" s="40"/>
      <c r="X144" s="40"/>
      <c r="Y144" s="40"/>
      <c r="Z144" s="22"/>
      <c r="AA144" s="22"/>
      <c r="AB144" s="22"/>
    </row>
    <row r="145" ht="18.75" customHeight="1">
      <c r="A145" s="18" t="str">
        <f t="array" ref="A145">IFERROR(
  INDEX(
    'api-register-id'!A:A,
    MATCH(F145, 'api-register-id'!B:B, 0)
  ),
  "Not found Organization"
)</f>
        <v>SSFF</v>
      </c>
      <c r="B145" s="22" t="str">
        <f>IFERROR(VLOOKUP(F145, 'api-register-id'!B:F, 4, FALSE), "Not found path.")</f>
        <v>mx-api-bc-dom-issued-device-administration</v>
      </c>
      <c r="C145" s="23" t="s">
        <v>41</v>
      </c>
      <c r="D145" s="23" t="s">
        <v>119</v>
      </c>
      <c r="E145" s="24" t="str">
        <f>IFERROR(VLOOKUP(F145, 'api-register-id'!B:F, 5, FALSE), "Not found path.")</f>
        <v>APIMX000034</v>
      </c>
      <c r="F145" s="25" t="s">
        <v>551</v>
      </c>
      <c r="G145" s="26" t="s">
        <v>1151</v>
      </c>
      <c r="H145" s="22" t="s">
        <v>1152</v>
      </c>
      <c r="I145" s="29" t="str">
        <f>IFERROR(VLOOKUP(F145, 'api-register-id'!B:I, 8, FALSE), "Not found path.")</f>
        <v>1.2.1</v>
      </c>
      <c r="J145" s="3" t="s">
        <v>1102</v>
      </c>
      <c r="K145" s="31" t="s">
        <v>48</v>
      </c>
      <c r="L145" s="23" t="s">
        <v>61</v>
      </c>
      <c r="M145" s="3" t="s">
        <v>1153</v>
      </c>
      <c r="N145" s="3" t="str">
        <f t="shared" si="1"/>
        <v>PUT /operationalServices/issuedDeviceAdministration/v1/biometricAssignment/update</v>
      </c>
      <c r="O145" s="32" t="s">
        <v>1154</v>
      </c>
      <c r="P145" s="32"/>
      <c r="Q145" s="61" t="s">
        <v>98</v>
      </c>
      <c r="R145" s="31" t="s">
        <v>56</v>
      </c>
      <c r="S145" s="38" t="str">
        <f t="shared" si="2"/>
        <v>https://github.com/SF-Bancoppel/mx-api-bc-dom-issued-device-administration</v>
      </c>
      <c r="T145" s="40"/>
      <c r="U145" s="22"/>
      <c r="V145" s="40"/>
      <c r="W145" s="40"/>
      <c r="X145" s="40"/>
      <c r="Y145" s="40"/>
      <c r="Z145" s="22"/>
      <c r="AA145" s="22"/>
      <c r="AB145" s="22"/>
    </row>
    <row r="146" ht="18.75" customHeight="1">
      <c r="A146" s="18" t="str">
        <f t="array" ref="A146">IFERROR(
  INDEX(
    'api-register-id'!A:A,
    MATCH(F146, 'api-register-id'!B:B, 0)
  ),
  "Not found Organization"
)</f>
        <v>SSFF</v>
      </c>
      <c r="B146" s="22" t="str">
        <f>IFERROR(VLOOKUP(F146, 'api-register-id'!B:F, 4, FALSE), "Not found path.")</f>
        <v>mx-api-bc-dom-issued-device-administration</v>
      </c>
      <c r="C146" s="23" t="s">
        <v>41</v>
      </c>
      <c r="D146" s="23" t="s">
        <v>119</v>
      </c>
      <c r="E146" s="24" t="str">
        <f>IFERROR(VLOOKUP(F146, 'api-register-id'!B:F, 5, FALSE), "Not found path.")</f>
        <v>APIMX000034</v>
      </c>
      <c r="F146" s="25" t="s">
        <v>551</v>
      </c>
      <c r="G146" s="26" t="s">
        <v>1158</v>
      </c>
      <c r="H146" s="22" t="s">
        <v>1159</v>
      </c>
      <c r="I146" s="29" t="str">
        <f>IFERROR(VLOOKUP(F146, 'api-register-id'!B:I, 8, FALSE), "Not found path.")</f>
        <v>1.2.1</v>
      </c>
      <c r="J146" s="3" t="s">
        <v>1102</v>
      </c>
      <c r="K146" s="31" t="s">
        <v>48</v>
      </c>
      <c r="L146" s="23" t="s">
        <v>49</v>
      </c>
      <c r="M146" s="3" t="s">
        <v>1160</v>
      </c>
      <c r="N146" s="3" t="str">
        <f t="shared" si="1"/>
        <v>POST /operationalServices/issuedDeviceAdministration/v1/passwordAssignment/initiate</v>
      </c>
      <c r="O146" s="32" t="s">
        <v>1161</v>
      </c>
      <c r="P146" s="32"/>
      <c r="Q146" s="61" t="s">
        <v>98</v>
      </c>
      <c r="R146" s="31" t="s">
        <v>56</v>
      </c>
      <c r="S146" s="38" t="str">
        <f t="shared" si="2"/>
        <v>https://github.com/SF-Bancoppel/mx-api-bc-dom-issued-device-administration</v>
      </c>
      <c r="T146" s="40"/>
      <c r="U146" s="22"/>
      <c r="V146" s="40"/>
      <c r="W146" s="40"/>
      <c r="X146" s="40"/>
      <c r="Y146" s="40"/>
      <c r="Z146" s="22"/>
      <c r="AA146" s="22"/>
      <c r="AB146" s="22"/>
    </row>
    <row r="147" ht="18.75" customHeight="1">
      <c r="A147" s="18" t="str">
        <f t="array" ref="A147">IFERROR(
  INDEX(
    'api-register-id'!A:A,
    MATCH(F147, 'api-register-id'!B:B, 0)
  ),
  "Not found Organization"
)</f>
        <v>SSFF</v>
      </c>
      <c r="B147" s="22" t="str">
        <f>IFERROR(VLOOKUP(F147, 'api-register-id'!B:F, 4, FALSE), "Not found path.")</f>
        <v>mx-api-bc-dom-issued-device-administration</v>
      </c>
      <c r="C147" s="23" t="s">
        <v>41</v>
      </c>
      <c r="D147" s="23" t="s">
        <v>119</v>
      </c>
      <c r="E147" s="24" t="str">
        <f>IFERROR(VLOOKUP(F147, 'api-register-id'!B:F, 5, FALSE), "Not found path.")</f>
        <v>APIMX000034</v>
      </c>
      <c r="F147" s="25" t="s">
        <v>551</v>
      </c>
      <c r="G147" s="26" t="s">
        <v>1163</v>
      </c>
      <c r="H147" s="22" t="s">
        <v>1164</v>
      </c>
      <c r="I147" s="29" t="str">
        <f>IFERROR(VLOOKUP(F147, 'api-register-id'!B:I, 8, FALSE), "Not found path.")</f>
        <v>1.2.1</v>
      </c>
      <c r="J147" s="3" t="s">
        <v>1102</v>
      </c>
      <c r="K147" s="31" t="s">
        <v>48</v>
      </c>
      <c r="L147" s="23" t="s">
        <v>428</v>
      </c>
      <c r="M147" s="3" t="s">
        <v>1165</v>
      </c>
      <c r="N147" s="3" t="str">
        <f t="shared" si="1"/>
        <v>PATCH /operationalServices/issuedDeviceAdministration/v1/deviceAssignment/update</v>
      </c>
      <c r="O147" s="32" t="s">
        <v>1166</v>
      </c>
      <c r="P147" s="32" t="s">
        <v>652</v>
      </c>
      <c r="Q147" s="61" t="s">
        <v>98</v>
      </c>
      <c r="R147" s="31" t="s">
        <v>56</v>
      </c>
      <c r="S147" s="38" t="str">
        <f t="shared" si="2"/>
        <v>https://github.com/SF-Bancoppel/mx-api-bc-dom-issued-device-administration</v>
      </c>
      <c r="T147" s="40"/>
      <c r="U147" s="22"/>
      <c r="V147" s="22"/>
      <c r="W147" s="40"/>
      <c r="X147" s="40"/>
      <c r="Y147" s="40"/>
      <c r="Z147" s="22"/>
      <c r="AA147" s="22"/>
      <c r="AB147" s="22"/>
    </row>
    <row r="148" ht="18.75" customHeight="1">
      <c r="A148" s="18" t="str">
        <f t="array" ref="A148">IFERROR(
  INDEX(
    'api-register-id'!A:A,
    MATCH(F148, 'api-register-id'!B:B, 0)
  ),
  "Not found Organization"
)</f>
        <v>SSFF</v>
      </c>
      <c r="B148" s="22" t="str">
        <f>IFERROR(VLOOKUP(F148, 'api-register-id'!B:F, 4, FALSE), "Not found path.")</f>
        <v>mx-api-bc-dom-issued-device-administration</v>
      </c>
      <c r="C148" s="23" t="s">
        <v>41</v>
      </c>
      <c r="D148" s="23" t="s">
        <v>119</v>
      </c>
      <c r="E148" s="24" t="str">
        <f>IFERROR(VLOOKUP(F148, 'api-register-id'!B:F, 5, FALSE), "Not found path.")</f>
        <v>APIMX000034</v>
      </c>
      <c r="F148" s="25" t="s">
        <v>551</v>
      </c>
      <c r="G148" s="26" t="s">
        <v>1170</v>
      </c>
      <c r="H148" s="22" t="s">
        <v>1171</v>
      </c>
      <c r="I148" s="29" t="str">
        <f>IFERROR(VLOOKUP(F148, 'api-register-id'!B:I, 8, FALSE), "Not found path.")</f>
        <v>1.2.1</v>
      </c>
      <c r="J148" s="3" t="s">
        <v>1102</v>
      </c>
      <c r="K148" s="31" t="s">
        <v>48</v>
      </c>
      <c r="L148" s="23" t="s">
        <v>49</v>
      </c>
      <c r="M148" s="3" t="s">
        <v>1172</v>
      </c>
      <c r="N148" s="3" t="str">
        <f t="shared" si="1"/>
        <v>POST /operationalServices/issuedDeviceAdministration/v1/passwordAssignmentLog/register</v>
      </c>
      <c r="O148" s="32" t="s">
        <v>1173</v>
      </c>
      <c r="P148" s="32"/>
      <c r="Q148" s="61" t="s">
        <v>98</v>
      </c>
      <c r="R148" s="31" t="s">
        <v>56</v>
      </c>
      <c r="S148" s="38" t="str">
        <f t="shared" si="2"/>
        <v>https://github.com/SF-Bancoppel/mx-api-bc-dom-issued-device-administration</v>
      </c>
      <c r="T148" s="40"/>
      <c r="U148" s="22"/>
      <c r="V148" s="40"/>
      <c r="W148" s="40"/>
      <c r="X148" s="40"/>
      <c r="Y148" s="40"/>
      <c r="Z148" s="22"/>
      <c r="AA148" s="22"/>
      <c r="AB148" s="22"/>
    </row>
    <row r="149" ht="18.75" customHeight="1">
      <c r="A149" s="18" t="str">
        <f t="array" ref="A149">IFERROR(
  INDEX(
    'api-register-id'!A:A,
    MATCH(F149, 'api-register-id'!B:B, 0)
  ),
  "Not found Organization"
)</f>
        <v>SSFF</v>
      </c>
      <c r="B149" s="22" t="str">
        <f>IFERROR(VLOOKUP(F149, 'api-register-id'!B:F, 4, FALSE), "Not found path.")</f>
        <v>mx-api-bc-dom-issued-device-administration</v>
      </c>
      <c r="C149" s="23" t="s">
        <v>41</v>
      </c>
      <c r="D149" s="23" t="s">
        <v>119</v>
      </c>
      <c r="E149" s="24" t="str">
        <f>IFERROR(VLOOKUP(F149, 'api-register-id'!B:F, 5, FALSE), "Not found path.")</f>
        <v>APIMX000034</v>
      </c>
      <c r="F149" s="25" t="s">
        <v>551</v>
      </c>
      <c r="G149" s="26" t="s">
        <v>1174</v>
      </c>
      <c r="H149" s="22" t="s">
        <v>1175</v>
      </c>
      <c r="I149" s="29" t="str">
        <f>IFERROR(VLOOKUP(F149, 'api-register-id'!B:I, 8, FALSE), "Not found path.")</f>
        <v>1.2.1</v>
      </c>
      <c r="J149" s="3" t="s">
        <v>1102</v>
      </c>
      <c r="K149" s="31" t="s">
        <v>48</v>
      </c>
      <c r="L149" s="23" t="s">
        <v>61</v>
      </c>
      <c r="M149" s="3" t="s">
        <v>1176</v>
      </c>
      <c r="N149" s="3" t="str">
        <f t="shared" si="1"/>
        <v>PUT /operationalServices/issuedDeviceAdministration/v1/tokenAssignment/capture</v>
      </c>
      <c r="O149" s="32" t="s">
        <v>1177</v>
      </c>
      <c r="P149" s="32"/>
      <c r="Q149" s="61" t="s">
        <v>1178</v>
      </c>
      <c r="R149" s="31" t="s">
        <v>56</v>
      </c>
      <c r="S149" s="38" t="str">
        <f t="shared" si="2"/>
        <v>https://github.com/SF-Bancoppel/mx-api-bc-dom-issued-device-administration</v>
      </c>
      <c r="T149" s="40"/>
      <c r="U149" s="22"/>
      <c r="V149" s="40"/>
      <c r="W149" s="40"/>
      <c r="X149" s="40"/>
      <c r="Y149" s="40"/>
      <c r="Z149" s="22"/>
      <c r="AA149" s="22"/>
      <c r="AB149" s="22"/>
    </row>
    <row r="150" ht="18.75" customHeight="1">
      <c r="A150" s="18" t="str">
        <f t="array" ref="A150">IFERROR(
  INDEX(
    'api-register-id'!A:A,
    MATCH(F150, 'api-register-id'!B:B, 0)
  ),
  "Not found Organization"
)</f>
        <v>SSFF</v>
      </c>
      <c r="B150" s="22" t="str">
        <f>IFERROR(VLOOKUP(F150, 'api-register-id'!B:F, 4, FALSE), "Not found path.")</f>
        <v>mx-api-bc-dom-issued-device-administration</v>
      </c>
      <c r="C150" s="23" t="s">
        <v>41</v>
      </c>
      <c r="D150" s="23" t="s">
        <v>119</v>
      </c>
      <c r="E150" s="24" t="str">
        <f>IFERROR(VLOOKUP(F150, 'api-register-id'!B:F, 5, FALSE), "Not found path.")</f>
        <v>APIMX000034</v>
      </c>
      <c r="F150" s="25" t="s">
        <v>551</v>
      </c>
      <c r="G150" s="26" t="s">
        <v>1182</v>
      </c>
      <c r="H150" s="22" t="s">
        <v>1183</v>
      </c>
      <c r="I150" s="29" t="str">
        <f>IFERROR(VLOOKUP(F150, 'api-register-id'!B:I, 8, FALSE), "Not found path.")</f>
        <v>1.2.1</v>
      </c>
      <c r="J150" s="3" t="s">
        <v>1102</v>
      </c>
      <c r="K150" s="31" t="s">
        <v>48</v>
      </c>
      <c r="L150" s="23" t="s">
        <v>49</v>
      </c>
      <c r="M150" s="3" t="s">
        <v>1184</v>
      </c>
      <c r="N150" s="3" t="str">
        <f t="shared" si="1"/>
        <v>POST /operationalServices/issuedDeviceAdministration/v1/passwordAssignment/create</v>
      </c>
      <c r="O150" s="32" t="s">
        <v>1185</v>
      </c>
      <c r="P150" s="32"/>
      <c r="Q150" s="61" t="s">
        <v>98</v>
      </c>
      <c r="R150" s="31" t="s">
        <v>56</v>
      </c>
      <c r="S150" s="38" t="str">
        <f t="shared" si="2"/>
        <v>https://github.com/SF-Bancoppel/mx-api-bc-dom-issued-device-administration</v>
      </c>
      <c r="T150" s="40"/>
      <c r="U150" s="22"/>
      <c r="V150" s="40"/>
      <c r="W150" s="40"/>
      <c r="X150" s="40"/>
      <c r="Y150" s="40"/>
      <c r="Z150" s="22"/>
      <c r="AA150" s="22"/>
      <c r="AB150" s="22"/>
    </row>
    <row r="151" ht="18.75" customHeight="1">
      <c r="A151" s="18" t="str">
        <f t="array" ref="A151">IFERROR(
  INDEX(
    'api-register-id'!A:A,
    MATCH(F151, 'api-register-id'!B:B, 0)
  ),
  "Not found Organization"
)</f>
        <v>SSFF</v>
      </c>
      <c r="B151" s="22" t="str">
        <f>IFERROR(VLOOKUP(F151, 'api-register-id'!B:F, 4, FALSE), "Not found path.")</f>
        <v>mx-api-bc-dom-legal-entity-directory</v>
      </c>
      <c r="C151" s="23" t="s">
        <v>41</v>
      </c>
      <c r="D151" s="23" t="s">
        <v>119</v>
      </c>
      <c r="E151" s="24" t="str">
        <f>IFERROR(VLOOKUP(F151, 'api-register-id'!B:F, 5, FALSE), "Not found path.")</f>
        <v>APIMX000036</v>
      </c>
      <c r="F151" s="25" t="s">
        <v>583</v>
      </c>
      <c r="G151" s="26" t="s">
        <v>1190</v>
      </c>
      <c r="H151" s="22" t="s">
        <v>1191</v>
      </c>
      <c r="I151" s="29" t="str">
        <f>IFERROR(VLOOKUP(F151, 'api-register-id'!B:I, 8, FALSE), "Not found path.")</f>
        <v>1.0.0</v>
      </c>
      <c r="J151" s="3" t="s">
        <v>1192</v>
      </c>
      <c r="K151" s="31" t="s">
        <v>48</v>
      </c>
      <c r="L151" s="23" t="s">
        <v>49</v>
      </c>
      <c r="M151" s="3" t="s">
        <v>1193</v>
      </c>
      <c r="N151" s="3" t="str">
        <f t="shared" si="1"/>
        <v>POST /party/legalEntityDirectory/v1/legalEntityDirectoryEntry/register</v>
      </c>
      <c r="O151" s="32" t="s">
        <v>1194</v>
      </c>
      <c r="P151" s="32"/>
      <c r="Q151" s="61" t="s">
        <v>98</v>
      </c>
      <c r="R151" s="31" t="s">
        <v>56</v>
      </c>
      <c r="S151" s="38" t="str">
        <f t="shared" si="2"/>
        <v>https://github.com/SF-Bancoppel/mx-api-bc-dom-legal-entity-directory</v>
      </c>
      <c r="T151" s="40"/>
      <c r="U151" s="22"/>
      <c r="V151" s="40"/>
      <c r="W151" s="40"/>
      <c r="X151" s="40"/>
      <c r="Y151" s="40"/>
      <c r="Z151" s="22"/>
      <c r="AA151" s="22"/>
      <c r="AB151" s="22"/>
    </row>
    <row r="152" ht="18.75" customHeight="1">
      <c r="A152" s="18" t="str">
        <f t="array" ref="A152">IFERROR(
  INDEX(
    'api-register-id'!A:A,
    MATCH(F152, 'api-register-id'!B:B, 0)
  ),
  "Not found Organization"
)</f>
        <v>SSFF</v>
      </c>
      <c r="B152" s="22" t="str">
        <f>IFERROR(VLOOKUP(F152, 'api-register-id'!B:F, 4, FALSE), "Not found path.")</f>
        <v>mx-api-bc-dom-legal-entity-directory</v>
      </c>
      <c r="C152" s="23" t="s">
        <v>41</v>
      </c>
      <c r="D152" s="23" t="s">
        <v>119</v>
      </c>
      <c r="E152" s="24" t="str">
        <f>IFERROR(VLOOKUP(F152, 'api-register-id'!B:F, 5, FALSE), "Not found path.")</f>
        <v>APIMX000036</v>
      </c>
      <c r="F152" s="25" t="s">
        <v>583</v>
      </c>
      <c r="G152" s="26" t="s">
        <v>1195</v>
      </c>
      <c r="H152" s="22" t="s">
        <v>1196</v>
      </c>
      <c r="I152" s="29" t="str">
        <f>IFERROR(VLOOKUP(F152, 'api-register-id'!B:I, 8, FALSE), "Not found path.")</f>
        <v>1.0.0</v>
      </c>
      <c r="J152" s="3" t="s">
        <v>1192</v>
      </c>
      <c r="K152" s="31" t="s">
        <v>48</v>
      </c>
      <c r="L152" s="23" t="s">
        <v>428</v>
      </c>
      <c r="M152" s="3" t="s">
        <v>1197</v>
      </c>
      <c r="N152" s="3" t="str">
        <f t="shared" si="1"/>
        <v>PATCH /party/legalEntityDirectory/v1/legalEntityDirectoryEntry/update</v>
      </c>
      <c r="O152" s="32" t="s">
        <v>1199</v>
      </c>
      <c r="P152" s="32"/>
      <c r="Q152" s="61" t="s">
        <v>98</v>
      </c>
      <c r="R152" s="31" t="s">
        <v>56</v>
      </c>
      <c r="S152" s="38" t="str">
        <f t="shared" si="2"/>
        <v>https://github.com/SF-Bancoppel/mx-api-bc-dom-legal-entity-directory</v>
      </c>
      <c r="T152" s="40"/>
      <c r="U152" s="22"/>
      <c r="V152" s="40"/>
      <c r="W152" s="40"/>
      <c r="X152" s="40"/>
      <c r="Y152" s="40"/>
      <c r="Z152" s="22"/>
      <c r="AA152" s="22"/>
      <c r="AB152" s="22"/>
    </row>
    <row r="153" ht="18.75" customHeight="1">
      <c r="A153" s="18" t="str">
        <f t="array" ref="A153">IFERROR(
  INDEX(
    'api-register-id'!A:A,
    MATCH(F153, 'api-register-id'!B:B, 0)
  ),
  "Not found Organization"
)</f>
        <v>SSFF</v>
      </c>
      <c r="B153" s="22" t="str">
        <f>IFERROR(VLOOKUP(F153, 'api-register-id'!B:F, 4, FALSE), "Not found path.")</f>
        <v>mx-api-bc-dom-loan</v>
      </c>
      <c r="C153" s="23" t="s">
        <v>41</v>
      </c>
      <c r="D153" s="23" t="s">
        <v>119</v>
      </c>
      <c r="E153" s="24" t="str">
        <f>IFERROR(VLOOKUP(F153, 'api-register-id'!B:F, 5, FALSE), "Not found path.")</f>
        <v>APIMX000037</v>
      </c>
      <c r="F153" s="25" t="s">
        <v>592</v>
      </c>
      <c r="G153" s="26" t="s">
        <v>1202</v>
      </c>
      <c r="H153" s="22" t="s">
        <v>1203</v>
      </c>
      <c r="I153" s="29" t="str">
        <f>IFERROR(VLOOKUP(F153, 'api-register-id'!B:I, 8, FALSE), "Not found path.")</f>
        <v>1.2.0</v>
      </c>
      <c r="J153" s="3" t="s">
        <v>1205</v>
      </c>
      <c r="K153" s="31" t="s">
        <v>48</v>
      </c>
      <c r="L153" s="23" t="s">
        <v>49</v>
      </c>
      <c r="M153" s="3" t="s">
        <v>1206</v>
      </c>
      <c r="N153" s="3" t="str">
        <f t="shared" si="1"/>
        <v>POST /loansAndDeposits/loan/v1/loanAgreement/evaluate</v>
      </c>
      <c r="O153" s="32" t="s">
        <v>1207</v>
      </c>
      <c r="P153" s="32"/>
      <c r="Q153" s="61" t="s">
        <v>98</v>
      </c>
      <c r="R153" s="31" t="s">
        <v>56</v>
      </c>
      <c r="S153" s="38" t="str">
        <f t="shared" si="2"/>
        <v>https://github.com/SF-Bancoppel/mx-api-bc-dom-loan</v>
      </c>
      <c r="T153" s="40"/>
      <c r="U153" s="22"/>
      <c r="V153" s="40"/>
      <c r="W153" s="40"/>
      <c r="X153" s="40"/>
      <c r="Y153" s="40"/>
      <c r="Z153" s="22"/>
      <c r="AA153" s="22"/>
      <c r="AB153" s="22"/>
    </row>
    <row r="154" ht="18.75" customHeight="1">
      <c r="A154" s="18" t="str">
        <f t="array" ref="A154">IFERROR(
  INDEX(
    'api-register-id'!A:A,
    MATCH(F154, 'api-register-id'!B:B, 0)
  ),
  "Not found Organization"
)</f>
        <v>SSFF</v>
      </c>
      <c r="B154" s="22" t="str">
        <f>IFERROR(VLOOKUP(F154, 'api-register-id'!B:F, 4, FALSE), "Not found path.")</f>
        <v>mx-api-bc-dom-loan</v>
      </c>
      <c r="C154" s="23" t="s">
        <v>41</v>
      </c>
      <c r="D154" s="23" t="s">
        <v>119</v>
      </c>
      <c r="E154" s="24" t="str">
        <f>IFERROR(VLOOKUP(F154, 'api-register-id'!B:F, 5, FALSE), "Not found path.")</f>
        <v>APIMX000037</v>
      </c>
      <c r="F154" s="25" t="s">
        <v>592</v>
      </c>
      <c r="G154" s="26" t="s">
        <v>1210</v>
      </c>
      <c r="H154" s="22" t="s">
        <v>1211</v>
      </c>
      <c r="I154" s="29" t="str">
        <f>IFERROR(VLOOKUP(F154, 'api-register-id'!B:I, 8, FALSE), "Not found path.")</f>
        <v>1.2.0</v>
      </c>
      <c r="J154" s="3" t="s">
        <v>1205</v>
      </c>
      <c r="K154" s="31" t="s">
        <v>48</v>
      </c>
      <c r="L154" s="23" t="s">
        <v>428</v>
      </c>
      <c r="M154" s="3" t="s">
        <v>1212</v>
      </c>
      <c r="N154" s="3" t="str">
        <f t="shared" si="1"/>
        <v>PATCH /loansAndDeposits/loan/v1/loanFacilityReport/execute</v>
      </c>
      <c r="O154" s="32" t="s">
        <v>1213</v>
      </c>
      <c r="P154" s="32"/>
      <c r="Q154" s="61" t="s">
        <v>98</v>
      </c>
      <c r="R154" s="31" t="s">
        <v>56</v>
      </c>
      <c r="S154" s="38" t="str">
        <f t="shared" si="2"/>
        <v>https://github.com/SF-Bancoppel/mx-api-bc-dom-loan</v>
      </c>
      <c r="T154" s="40"/>
      <c r="U154" s="22"/>
      <c r="V154" s="40"/>
      <c r="W154" s="40"/>
      <c r="X154" s="40"/>
      <c r="Y154" s="40"/>
      <c r="Z154" s="22"/>
      <c r="AA154" s="22"/>
      <c r="AB154" s="22"/>
    </row>
    <row r="155" ht="18.75" customHeight="1">
      <c r="A155" s="18" t="str">
        <f t="array" ref="A155">IFERROR(
  INDEX(
    'api-register-id'!A:A,
    MATCH(F155, 'api-register-id'!B:B, 0)
  ),
  "Not found Organization"
)</f>
        <v>SSFF</v>
      </c>
      <c r="B155" s="22" t="str">
        <f>IFERROR(VLOOKUP(F155, 'api-register-id'!B:F, 4, FALSE), "Not found path.")</f>
        <v>mx-api-bc-dom-loan</v>
      </c>
      <c r="C155" s="23" t="s">
        <v>41</v>
      </c>
      <c r="D155" s="23" t="s">
        <v>119</v>
      </c>
      <c r="E155" s="24" t="str">
        <f>IFERROR(VLOOKUP(F155, 'api-register-id'!B:F, 5, FALSE), "Not found path.")</f>
        <v>APIMX000037</v>
      </c>
      <c r="F155" s="25" t="s">
        <v>592</v>
      </c>
      <c r="G155" s="26" t="s">
        <v>1219</v>
      </c>
      <c r="H155" s="22" t="s">
        <v>1220</v>
      </c>
      <c r="I155" s="29" t="str">
        <f>IFERROR(VLOOKUP(F155, 'api-register-id'!B:I, 8, FALSE), "Not found path.")</f>
        <v>1.2.0</v>
      </c>
      <c r="J155" s="3" t="s">
        <v>1205</v>
      </c>
      <c r="K155" s="31" t="s">
        <v>48</v>
      </c>
      <c r="L155" s="23" t="s">
        <v>49</v>
      </c>
      <c r="M155" s="3" t="s">
        <v>95</v>
      </c>
      <c r="N155" s="3" t="str">
        <f t="shared" si="1"/>
        <v>POST /loansAndDeposits/loan/v1/loanFacility/initiate</v>
      </c>
      <c r="O155" s="32" t="s">
        <v>1221</v>
      </c>
      <c r="P155" s="32"/>
      <c r="Q155" s="61" t="s">
        <v>98</v>
      </c>
      <c r="R155" s="31" t="s">
        <v>56</v>
      </c>
      <c r="S155" s="38" t="str">
        <f t="shared" si="2"/>
        <v>https://github.com/SF-Bancoppel/mx-api-bc-dom-loan</v>
      </c>
      <c r="T155" s="40"/>
      <c r="U155" s="22"/>
      <c r="V155" s="40"/>
      <c r="W155" s="40"/>
      <c r="X155" s="40"/>
      <c r="Y155" s="40"/>
      <c r="Z155" s="22"/>
      <c r="AA155" s="22"/>
      <c r="AB155" s="22"/>
    </row>
    <row r="156" ht="18.75" customHeight="1">
      <c r="A156" s="18" t="str">
        <f t="array" ref="A156">IFERROR(
  INDEX(
    'api-register-id'!A:A,
    MATCH(F156, 'api-register-id'!B:B, 0)
  ),
  "Not found Organization"
)</f>
        <v>SSFF</v>
      </c>
      <c r="B156" s="22" t="str">
        <f>IFERROR(VLOOKUP(F156, 'api-register-id'!B:F, 4, FALSE), "Not found path.")</f>
        <v>mx-api-bc-dom-loan</v>
      </c>
      <c r="C156" s="23" t="s">
        <v>41</v>
      </c>
      <c r="D156" s="23" t="s">
        <v>119</v>
      </c>
      <c r="E156" s="24" t="str">
        <f>IFERROR(VLOOKUP(F156, 'api-register-id'!B:F, 5, FALSE), "Not found path.")</f>
        <v>APIMX000037</v>
      </c>
      <c r="F156" s="25" t="s">
        <v>592</v>
      </c>
      <c r="G156" s="26" t="s">
        <v>1224</v>
      </c>
      <c r="H156" s="22" t="s">
        <v>1225</v>
      </c>
      <c r="I156" s="29" t="str">
        <f>IFERROR(VLOOKUP(F156, 'api-register-id'!B:I, 8, FALSE), "Not found path.")</f>
        <v>1.2.0</v>
      </c>
      <c r="J156" s="3" t="s">
        <v>1205</v>
      </c>
      <c r="K156" s="31" t="s">
        <v>48</v>
      </c>
      <c r="L156" s="23" t="s">
        <v>49</v>
      </c>
      <c r="M156" s="3" t="s">
        <v>1228</v>
      </c>
      <c r="N156" s="3" t="str">
        <f t="shared" si="1"/>
        <v>POST /loansAndDeposits/loan/v1/loanFacility/retrieve</v>
      </c>
      <c r="O156" s="32" t="s">
        <v>1229</v>
      </c>
      <c r="P156" s="32"/>
      <c r="Q156" s="61" t="s">
        <v>98</v>
      </c>
      <c r="R156" s="31" t="s">
        <v>56</v>
      </c>
      <c r="S156" s="38" t="str">
        <f t="shared" si="2"/>
        <v>https://github.com/SF-Bancoppel/mx-api-bc-dom-loan</v>
      </c>
      <c r="T156" s="40"/>
      <c r="U156" s="22"/>
      <c r="V156" s="40"/>
      <c r="W156" s="40"/>
      <c r="X156" s="40"/>
      <c r="Y156" s="40"/>
      <c r="Z156" s="22"/>
      <c r="AA156" s="22"/>
      <c r="AB156" s="22"/>
    </row>
    <row r="157" ht="18.75" customHeight="1">
      <c r="A157" s="18" t="str">
        <f t="array" ref="A157">IFERROR(
  INDEX(
    'api-register-id'!A:A,
    MATCH(F157, 'api-register-id'!B:B, 0)
  ),
  "Not found Organization"
)</f>
        <v>SSFF</v>
      </c>
      <c r="B157" s="22" t="str">
        <f>IFERROR(VLOOKUP(F157, 'api-register-id'!B:F, 4, FALSE), "Not found path.")</f>
        <v>mx-api-bc-dom-loan</v>
      </c>
      <c r="C157" s="23" t="s">
        <v>41</v>
      </c>
      <c r="D157" s="23" t="s">
        <v>119</v>
      </c>
      <c r="E157" s="24" t="str">
        <f>IFERROR(VLOOKUP(F157, 'api-register-id'!B:F, 5, FALSE), "Not found path.")</f>
        <v>APIMX000037</v>
      </c>
      <c r="F157" s="25" t="s">
        <v>592</v>
      </c>
      <c r="G157" s="26" t="s">
        <v>1230</v>
      </c>
      <c r="H157" s="22" t="s">
        <v>1231</v>
      </c>
      <c r="I157" s="29" t="str">
        <f>IFERROR(VLOOKUP(F157, 'api-register-id'!B:I, 8, FALSE), "Not found path.")</f>
        <v>1.2.0</v>
      </c>
      <c r="J157" s="3" t="s">
        <v>1205</v>
      </c>
      <c r="K157" s="31" t="s">
        <v>48</v>
      </c>
      <c r="L157" s="23" t="s">
        <v>428</v>
      </c>
      <c r="M157" s="3" t="s">
        <v>1232</v>
      </c>
      <c r="N157" s="3" t="str">
        <f t="shared" si="1"/>
        <v>PATCH /loansAndDeposits/loan/v1/loanProjection/request</v>
      </c>
      <c r="O157" s="32" t="s">
        <v>1233</v>
      </c>
      <c r="P157" s="32"/>
      <c r="Q157" s="61" t="s">
        <v>98</v>
      </c>
      <c r="R157" s="31" t="s">
        <v>56</v>
      </c>
      <c r="S157" s="38" t="str">
        <f t="shared" si="2"/>
        <v>https://github.com/SF-Bancoppel/mx-api-bc-dom-loan</v>
      </c>
      <c r="T157" s="40"/>
      <c r="U157" s="22"/>
      <c r="V157" s="22"/>
      <c r="W157" s="40"/>
      <c r="X157" s="40"/>
      <c r="Y157" s="40"/>
      <c r="Z157" s="22"/>
      <c r="AA157" s="22"/>
      <c r="AB157" s="22"/>
    </row>
    <row r="158" ht="18.75" customHeight="1">
      <c r="A158" s="18" t="str">
        <f t="array" ref="A158">IFERROR(
  INDEX(
    'api-register-id'!A:A,
    MATCH(F158, 'api-register-id'!B:B, 0)
  ),
  "Not found Organization"
)</f>
        <v>SSFF</v>
      </c>
      <c r="B158" s="22" t="str">
        <f>IFERROR(VLOOKUP(F158, 'api-register-id'!B:F, 4, FALSE), "Not found path.")</f>
        <v>mx-api-bc-dom-loan</v>
      </c>
      <c r="C158" s="23" t="s">
        <v>41</v>
      </c>
      <c r="D158" s="23" t="s">
        <v>119</v>
      </c>
      <c r="E158" s="24" t="str">
        <f>IFERROR(VLOOKUP(F158, 'api-register-id'!B:F, 5, FALSE), "Not found path.")</f>
        <v>APIMX000037</v>
      </c>
      <c r="F158" s="25" t="s">
        <v>592</v>
      </c>
      <c r="G158" s="26" t="s">
        <v>1237</v>
      </c>
      <c r="H158" s="22" t="s">
        <v>1238</v>
      </c>
      <c r="I158" s="29" t="str">
        <f>IFERROR(VLOOKUP(F158, 'api-register-id'!B:I, 8, FALSE), "Not found path.")</f>
        <v>1.2.0</v>
      </c>
      <c r="J158" s="3" t="s">
        <v>1205</v>
      </c>
      <c r="K158" s="31" t="s">
        <v>48</v>
      </c>
      <c r="L158" s="23" t="s">
        <v>108</v>
      </c>
      <c r="M158" s="3" t="s">
        <v>146</v>
      </c>
      <c r="N158" s="3" t="str">
        <f t="shared" si="1"/>
        <v>GET /loansAndDeposits/loan/v1/loanAgreement/retrieve</v>
      </c>
      <c r="O158" s="32" t="s">
        <v>1239</v>
      </c>
      <c r="P158" s="32"/>
      <c r="Q158" s="61" t="s">
        <v>98</v>
      </c>
      <c r="R158" s="31" t="s">
        <v>56</v>
      </c>
      <c r="S158" s="38" t="str">
        <f t="shared" si="2"/>
        <v>https://github.com/SF-Bancoppel/mx-api-bc-dom-loan</v>
      </c>
      <c r="T158" s="40"/>
      <c r="U158" s="22"/>
      <c r="V158" s="40"/>
      <c r="W158" s="40"/>
      <c r="X158" s="40"/>
      <c r="Y158" s="40"/>
      <c r="Z158" s="22"/>
      <c r="AA158" s="22"/>
      <c r="AB158" s="22"/>
    </row>
    <row r="159" ht="18.75" customHeight="1">
      <c r="A159" s="18" t="str">
        <f t="array" ref="A159">IFERROR(
  INDEX(
    'api-register-id'!A:A,
    MATCH(F159, 'api-register-id'!B:B, 0)
  ),
  "Not found Organization"
)</f>
        <v>SSFF</v>
      </c>
      <c r="B159" s="22" t="str">
        <f>IFERROR(VLOOKUP(F159, 'api-register-id'!B:F, 4, FALSE), "Not found path.")</f>
        <v>mx-api-bc-dom-loan</v>
      </c>
      <c r="C159" s="23" t="s">
        <v>41</v>
      </c>
      <c r="D159" s="23" t="s">
        <v>119</v>
      </c>
      <c r="E159" s="24" t="str">
        <f>IFERROR(VLOOKUP(F159, 'api-register-id'!B:F, 5, FALSE), "Not found path.")</f>
        <v>APIMX000037</v>
      </c>
      <c r="F159" s="25" t="s">
        <v>592</v>
      </c>
      <c r="G159" s="26" t="s">
        <v>1240</v>
      </c>
      <c r="H159" s="22" t="s">
        <v>1241</v>
      </c>
      <c r="I159" s="29" t="str">
        <f>IFERROR(VLOOKUP(F159, 'api-register-id'!B:I, 8, FALSE), "Not found path.")</f>
        <v>1.2.0</v>
      </c>
      <c r="J159" s="3" t="s">
        <v>1205</v>
      </c>
      <c r="K159" s="31" t="s">
        <v>48</v>
      </c>
      <c r="L159" s="23" t="s">
        <v>49</v>
      </c>
      <c r="M159" s="3" t="s">
        <v>1242</v>
      </c>
      <c r="N159" s="3" t="str">
        <f t="shared" si="1"/>
        <v>POST /loansAndDeposits/loan/v1/loanBalance/retrieve</v>
      </c>
      <c r="O159" s="32" t="s">
        <v>1244</v>
      </c>
      <c r="P159" s="32"/>
      <c r="Q159" s="61" t="s">
        <v>98</v>
      </c>
      <c r="R159" s="31" t="s">
        <v>56</v>
      </c>
      <c r="S159" s="38" t="str">
        <f t="shared" si="2"/>
        <v>https://github.com/SF-Bancoppel/mx-api-bc-dom-loan</v>
      </c>
      <c r="T159" s="40"/>
      <c r="U159" s="22"/>
      <c r="V159" s="40"/>
      <c r="W159" s="40"/>
      <c r="X159" s="40"/>
      <c r="Y159" s="40"/>
      <c r="Z159" s="22"/>
      <c r="AA159" s="22"/>
      <c r="AB159" s="22"/>
    </row>
    <row r="160" ht="18.75" customHeight="1">
      <c r="A160" s="18" t="str">
        <f t="array" ref="A160">IFERROR(
  INDEX(
    'api-register-id'!A:A,
    MATCH(F160, 'api-register-id'!B:B, 0)
  ),
  "Not found Organization"
)</f>
        <v>SSFF</v>
      </c>
      <c r="B160" s="22" t="str">
        <f>IFERROR(VLOOKUP(F160, 'api-register-id'!B:F, 4, FALSE), "Not found path.")</f>
        <v>mx-api-bc-dom-loan</v>
      </c>
      <c r="C160" s="23" t="s">
        <v>41</v>
      </c>
      <c r="D160" s="23" t="s">
        <v>119</v>
      </c>
      <c r="E160" s="24" t="str">
        <f>IFERROR(VLOOKUP(F160, 'api-register-id'!B:F, 5, FALSE), "Not found path.")</f>
        <v>APIMX000037</v>
      </c>
      <c r="F160" s="25" t="s">
        <v>592</v>
      </c>
      <c r="G160" s="26" t="s">
        <v>1247</v>
      </c>
      <c r="H160" s="22" t="s">
        <v>1248</v>
      </c>
      <c r="I160" s="29" t="str">
        <f>IFERROR(VLOOKUP(F160, 'api-register-id'!B:I, 8, FALSE), "Not found path.")</f>
        <v>1.2.0</v>
      </c>
      <c r="J160" s="3" t="s">
        <v>1205</v>
      </c>
      <c r="K160" s="31" t="s">
        <v>48</v>
      </c>
      <c r="L160" s="23" t="s">
        <v>108</v>
      </c>
      <c r="M160" s="3" t="s">
        <v>1250</v>
      </c>
      <c r="N160" s="3" t="str">
        <f t="shared" si="1"/>
        <v>GET /loansAndDeposits/loan/v1/loanDataDocument/retrieve</v>
      </c>
      <c r="O160" s="32" t="s">
        <v>1251</v>
      </c>
      <c r="P160" s="32"/>
      <c r="Q160" s="61" t="s">
        <v>98</v>
      </c>
      <c r="R160" s="31" t="s">
        <v>56</v>
      </c>
      <c r="S160" s="38" t="str">
        <f t="shared" si="2"/>
        <v>https://github.com/SF-Bancoppel/mx-api-bc-dom-loan</v>
      </c>
      <c r="T160" s="40"/>
      <c r="U160" s="22"/>
      <c r="V160" s="40"/>
      <c r="W160" s="40"/>
      <c r="X160" s="40"/>
      <c r="Y160" s="40"/>
      <c r="Z160" s="22"/>
      <c r="AA160" s="22"/>
      <c r="AB160" s="22"/>
    </row>
    <row r="161" ht="18.75" customHeight="1">
      <c r="A161" s="18" t="str">
        <f t="array" ref="A161">IFERROR(
  INDEX(
    'api-register-id'!A:A,
    MATCH(F161, 'api-register-id'!B:B, 0)
  ),
  "Not found Organization"
)</f>
        <v>SSFF</v>
      </c>
      <c r="B161" s="22" t="str">
        <f>IFERROR(VLOOKUP(F161, 'api-register-id'!B:F, 4, FALSE), "Not found path.")</f>
        <v>mx-api-bc-dom-loan</v>
      </c>
      <c r="C161" s="23" t="s">
        <v>41</v>
      </c>
      <c r="D161" s="23" t="s">
        <v>119</v>
      </c>
      <c r="E161" s="24" t="str">
        <f>IFERROR(VLOOKUP(F161, 'api-register-id'!B:F, 5, FALSE), "Not found path.")</f>
        <v>APIMX000037</v>
      </c>
      <c r="F161" s="25" t="s">
        <v>592</v>
      </c>
      <c r="G161" s="26" t="s">
        <v>1252</v>
      </c>
      <c r="H161" s="22" t="s">
        <v>1253</v>
      </c>
      <c r="I161" s="29" t="str">
        <f>IFERROR(VLOOKUP(F161, 'api-register-id'!B:I, 8, FALSE), "Not found path.")</f>
        <v>1.2.0</v>
      </c>
      <c r="J161" s="3" t="s">
        <v>1205</v>
      </c>
      <c r="K161" s="31" t="s">
        <v>48</v>
      </c>
      <c r="L161" s="23" t="s">
        <v>49</v>
      </c>
      <c r="M161" s="3" t="s">
        <v>1254</v>
      </c>
      <c r="N161" s="3" t="str">
        <f t="shared" si="1"/>
        <v>POST /loansAndDeposits/loan/v1/maintenance/retrieve</v>
      </c>
      <c r="O161" s="32" t="s">
        <v>780</v>
      </c>
      <c r="P161" s="32"/>
      <c r="Q161" s="61" t="s">
        <v>1255</v>
      </c>
      <c r="R161" s="31" t="s">
        <v>56</v>
      </c>
      <c r="S161" s="38" t="str">
        <f t="shared" si="2"/>
        <v>https://github.com/SF-Bancoppel/mx-api-bc-dom-loan</v>
      </c>
      <c r="T161" s="40"/>
      <c r="U161" s="22"/>
      <c r="V161" s="22"/>
      <c r="W161" s="40"/>
      <c r="X161" s="40"/>
      <c r="Y161" s="40"/>
      <c r="Z161" s="22"/>
      <c r="AA161" s="22"/>
      <c r="AB161" s="22"/>
    </row>
    <row r="162" ht="18.75" customHeight="1">
      <c r="A162" s="18" t="str">
        <f t="array" ref="A162">IFERROR(
  INDEX(
    'api-register-id'!A:A,
    MATCH(F162, 'api-register-id'!B:B, 0)
  ),
  "Not found Organization"
)</f>
        <v>SSFF</v>
      </c>
      <c r="B162" s="22" t="str">
        <f>IFERROR(VLOOKUP(F162, 'api-register-id'!B:F, 4, FALSE), "Not found path.")</f>
        <v>mx-api-bc-dom-location-data-management</v>
      </c>
      <c r="C162" s="23" t="s">
        <v>41</v>
      </c>
      <c r="D162" s="23" t="s">
        <v>119</v>
      </c>
      <c r="E162" s="24" t="str">
        <f>IFERROR(VLOOKUP(F162, 'api-register-id'!B:F, 5, FALSE), "Not found path.")</f>
        <v>APIMX000038</v>
      </c>
      <c r="F162" s="25" t="s">
        <v>603</v>
      </c>
      <c r="G162" s="26" t="s">
        <v>1257</v>
      </c>
      <c r="H162" s="22" t="s">
        <v>1258</v>
      </c>
      <c r="I162" s="29" t="str">
        <f>IFERROR(VLOOKUP(F162, 'api-register-id'!B:I, 8, FALSE), "Not found path.")</f>
        <v>1.2.1</v>
      </c>
      <c r="J162" s="3" t="s">
        <v>1261</v>
      </c>
      <c r="K162" s="31" t="s">
        <v>48</v>
      </c>
      <c r="L162" s="23" t="s">
        <v>49</v>
      </c>
      <c r="M162" s="3" t="s">
        <v>1262</v>
      </c>
      <c r="N162" s="3" t="str">
        <f t="shared" si="1"/>
        <v>POST /marketData/locationDataManagement/v1/street/evaluate</v>
      </c>
      <c r="O162" s="32" t="s">
        <v>1263</v>
      </c>
      <c r="P162" s="32" t="s">
        <v>652</v>
      </c>
      <c r="Q162" s="61" t="s">
        <v>1264</v>
      </c>
      <c r="R162" s="31" t="s">
        <v>56</v>
      </c>
      <c r="S162" s="38" t="str">
        <f t="shared" si="2"/>
        <v>https://github.com/SF-Bancoppel/mx-api-bc-dom-location-data-management</v>
      </c>
      <c r="T162" s="40"/>
      <c r="U162" s="22"/>
      <c r="V162" s="40"/>
      <c r="W162" s="40"/>
      <c r="X162" s="40"/>
      <c r="Y162" s="40"/>
      <c r="Z162" s="22"/>
      <c r="AA162" s="22"/>
      <c r="AB162" s="22"/>
    </row>
    <row r="163" ht="18.75" customHeight="1">
      <c r="A163" s="18" t="str">
        <f t="array" ref="A163">IFERROR(
  INDEX(
    'api-register-id'!A:A,
    MATCH(F163, 'api-register-id'!B:B, 0)
  ),
  "Not found Organization"
)</f>
        <v>SSFF</v>
      </c>
      <c r="B163" s="22" t="str">
        <f>IFERROR(VLOOKUP(F163, 'api-register-id'!B:F, 4, FALSE), "Not found path.")</f>
        <v>mx-api-bc-dom-location-data-management</v>
      </c>
      <c r="C163" s="23" t="s">
        <v>41</v>
      </c>
      <c r="D163" s="23" t="s">
        <v>119</v>
      </c>
      <c r="E163" s="24" t="str">
        <f>IFERROR(VLOOKUP(F163, 'api-register-id'!B:F, 5, FALSE), "Not found path.")</f>
        <v>APIMX000038</v>
      </c>
      <c r="F163" s="25" t="s">
        <v>603</v>
      </c>
      <c r="G163" s="26" t="s">
        <v>1265</v>
      </c>
      <c r="H163" s="22" t="s">
        <v>1266</v>
      </c>
      <c r="I163" s="29" t="str">
        <f>IFERROR(VLOOKUP(F163, 'api-register-id'!B:I, 8, FALSE), "Not found path.")</f>
        <v>1.2.1</v>
      </c>
      <c r="J163" s="3" t="s">
        <v>1261</v>
      </c>
      <c r="K163" s="31" t="s">
        <v>48</v>
      </c>
      <c r="L163" s="23" t="s">
        <v>49</v>
      </c>
      <c r="M163" s="3" t="s">
        <v>1267</v>
      </c>
      <c r="N163" s="3" t="str">
        <f t="shared" si="1"/>
        <v>POST /marketData/locationDataManagement/v1/sepomex/retrieve</v>
      </c>
      <c r="O163" s="32" t="s">
        <v>1268</v>
      </c>
      <c r="P163" s="32"/>
      <c r="Q163" s="61" t="s">
        <v>1269</v>
      </c>
      <c r="R163" s="31" t="s">
        <v>56</v>
      </c>
      <c r="S163" s="38" t="str">
        <f t="shared" si="2"/>
        <v>https://github.com/SF-Bancoppel/mx-api-bc-dom-location-data-management</v>
      </c>
      <c r="T163" s="40"/>
      <c r="U163" s="22"/>
      <c r="V163" s="40"/>
      <c r="W163" s="40"/>
      <c r="X163" s="40"/>
      <c r="Y163" s="40"/>
      <c r="Z163" s="22"/>
      <c r="AA163" s="22"/>
      <c r="AB163" s="22"/>
    </row>
    <row r="164" ht="18.75" customHeight="1">
      <c r="A164" s="18" t="str">
        <f t="array" ref="A164">IFERROR(
  INDEX(
    'api-register-id'!A:A,
    MATCH(F164, 'api-register-id'!B:B, 0)
  ),
  "Not found Organization"
)</f>
        <v>SSFF</v>
      </c>
      <c r="B164" s="22" t="str">
        <f>IFERROR(VLOOKUP(F164, 'api-register-id'!B:F, 4, FALSE), "Not found path.")</f>
        <v>mx-api-bc-dom-location-data-management</v>
      </c>
      <c r="C164" s="23" t="s">
        <v>41</v>
      </c>
      <c r="D164" s="23" t="s">
        <v>119</v>
      </c>
      <c r="E164" s="24" t="str">
        <f>IFERROR(VLOOKUP(F164, 'api-register-id'!B:F, 5, FALSE), "Not found path.")</f>
        <v>APIMX000038</v>
      </c>
      <c r="F164" s="25" t="s">
        <v>603</v>
      </c>
      <c r="G164" s="26" t="s">
        <v>1273</v>
      </c>
      <c r="H164" s="22" t="s">
        <v>1274</v>
      </c>
      <c r="I164" s="29" t="str">
        <f>IFERROR(VLOOKUP(F164, 'api-register-id'!B:I, 8, FALSE), "Not found path.")</f>
        <v>1.2.1</v>
      </c>
      <c r="J164" s="3" t="s">
        <v>1261</v>
      </c>
      <c r="K164" s="31" t="s">
        <v>48</v>
      </c>
      <c r="L164" s="23" t="s">
        <v>108</v>
      </c>
      <c r="M164" s="3" t="s">
        <v>1275</v>
      </c>
      <c r="N164" s="3" t="str">
        <f t="shared" si="1"/>
        <v>GET /marketData/locationDataManagement/v1/neighborhood/retrieve</v>
      </c>
      <c r="O164" s="32" t="s">
        <v>1276</v>
      </c>
      <c r="P164" s="32"/>
      <c r="Q164" s="61" t="s">
        <v>98</v>
      </c>
      <c r="R164" s="31" t="s">
        <v>56</v>
      </c>
      <c r="S164" s="38" t="str">
        <f t="shared" si="2"/>
        <v>https://github.com/SF-Bancoppel/mx-api-bc-dom-location-data-management</v>
      </c>
      <c r="T164" s="40"/>
      <c r="U164" s="22"/>
      <c r="V164" s="40"/>
      <c r="W164" s="40"/>
      <c r="X164" s="40"/>
      <c r="Y164" s="40"/>
      <c r="Z164" s="22"/>
      <c r="AA164" s="22"/>
      <c r="AB164" s="22"/>
    </row>
    <row r="165" ht="18.75" customHeight="1">
      <c r="A165" s="18" t="str">
        <f t="array" ref="A165">IFERROR(
  INDEX(
    'api-register-id'!A:A,
    MATCH(F165, 'api-register-id'!B:B, 0)
  ),
  "Not found Organization"
)</f>
        <v>SSFF</v>
      </c>
      <c r="B165" s="22" t="str">
        <f>IFERROR(VLOOKUP(F165, 'api-register-id'!B:F, 4, FALSE), "Not found path.")</f>
        <v>mx-api-bc-dom-location-data-management</v>
      </c>
      <c r="C165" s="23" t="s">
        <v>41</v>
      </c>
      <c r="D165" s="23" t="s">
        <v>119</v>
      </c>
      <c r="E165" s="24" t="str">
        <f>IFERROR(VLOOKUP(F165, 'api-register-id'!B:F, 5, FALSE), "Not found path.")</f>
        <v>APIMX000038</v>
      </c>
      <c r="F165" s="25" t="s">
        <v>603</v>
      </c>
      <c r="G165" s="26" t="s">
        <v>1278</v>
      </c>
      <c r="H165" s="22" t="s">
        <v>1280</v>
      </c>
      <c r="I165" s="29" t="str">
        <f>IFERROR(VLOOKUP(F165, 'api-register-id'!B:I, 8, FALSE), "Not found path.")</f>
        <v>1.2.1</v>
      </c>
      <c r="J165" s="3" t="s">
        <v>1261</v>
      </c>
      <c r="K165" s="31" t="s">
        <v>48</v>
      </c>
      <c r="L165" s="23" t="s">
        <v>49</v>
      </c>
      <c r="M165" s="3" t="s">
        <v>1282</v>
      </c>
      <c r="N165" s="3" t="str">
        <f t="shared" si="1"/>
        <v>POST /marketData/locationDataManagement/v1/location/register</v>
      </c>
      <c r="O165" s="32" t="s">
        <v>1283</v>
      </c>
      <c r="P165" s="32"/>
      <c r="Q165" s="61" t="s">
        <v>1284</v>
      </c>
      <c r="R165" s="31" t="s">
        <v>56</v>
      </c>
      <c r="S165" s="38" t="str">
        <f t="shared" si="2"/>
        <v>https://github.com/SF-Bancoppel/mx-api-bc-dom-location-data-management</v>
      </c>
      <c r="T165" s="40"/>
      <c r="U165" s="22"/>
      <c r="V165" s="40"/>
      <c r="W165" s="40"/>
      <c r="X165" s="40"/>
      <c r="Y165" s="40"/>
      <c r="Z165" s="22"/>
      <c r="AA165" s="22"/>
      <c r="AB165" s="22"/>
    </row>
    <row r="166" ht="18.75" customHeight="1">
      <c r="A166" s="18" t="str">
        <f t="array" ref="A166">IFERROR(
  INDEX(
    'api-register-id'!A:A,
    MATCH(F166, 'api-register-id'!B:B, 0)
  ),
  "Not found Organization"
)</f>
        <v>SSFF</v>
      </c>
      <c r="B166" s="22" t="str">
        <f>IFERROR(VLOOKUP(F166, 'api-register-id'!B:F, 4, FALSE), "Not found path.")</f>
        <v>mx-api-bc-dom-location-data-management</v>
      </c>
      <c r="C166" s="23" t="s">
        <v>41</v>
      </c>
      <c r="D166" s="23" t="s">
        <v>119</v>
      </c>
      <c r="E166" s="24" t="str">
        <f>IFERROR(VLOOKUP(F166, 'api-register-id'!B:F, 5, FALSE), "Not found path.")</f>
        <v>APIMX000038</v>
      </c>
      <c r="F166" s="25" t="s">
        <v>603</v>
      </c>
      <c r="G166" s="26" t="s">
        <v>1285</v>
      </c>
      <c r="H166" s="22" t="s">
        <v>1286</v>
      </c>
      <c r="I166" s="29" t="str">
        <f>IFERROR(VLOOKUP(F166, 'api-register-id'!B:I, 8, FALSE), "Not found path.")</f>
        <v>1.2.1</v>
      </c>
      <c r="J166" s="3" t="s">
        <v>1261</v>
      </c>
      <c r="K166" s="31" t="s">
        <v>48</v>
      </c>
      <c r="L166" s="23" t="s">
        <v>428</v>
      </c>
      <c r="M166" s="3" t="s">
        <v>1287</v>
      </c>
      <c r="N166" s="3" t="str">
        <f t="shared" si="1"/>
        <v>PATCH /marketData/locationDataManagement/v1/sepomex/update</v>
      </c>
      <c r="O166" s="32" t="s">
        <v>1288</v>
      </c>
      <c r="P166" s="32"/>
      <c r="Q166" s="61" t="s">
        <v>1289</v>
      </c>
      <c r="R166" s="31" t="s">
        <v>56</v>
      </c>
      <c r="S166" s="38" t="str">
        <f t="shared" si="2"/>
        <v>https://github.com/SF-Bancoppel/mx-api-bc-dom-location-data-management</v>
      </c>
      <c r="T166" s="40"/>
      <c r="U166" s="22"/>
      <c r="V166" s="40"/>
      <c r="W166" s="40"/>
      <c r="X166" s="40"/>
      <c r="Y166" s="40"/>
      <c r="Z166" s="22"/>
      <c r="AA166" s="22"/>
      <c r="AB166" s="22"/>
    </row>
    <row r="167" ht="18.75" customHeight="1">
      <c r="A167" s="18" t="str">
        <f t="array" ref="A167">IFERROR(
  INDEX(
    'api-register-id'!A:A,
    MATCH(F167, 'api-register-id'!B:B, 0)
  ),
  "Not found Organization"
)</f>
        <v>SSFF</v>
      </c>
      <c r="B167" s="22" t="str">
        <f>IFERROR(VLOOKUP(F167, 'api-register-id'!B:F, 4, FALSE), "Not found path.")</f>
        <v>mx-api-bc-dom-party-authentication</v>
      </c>
      <c r="C167" s="23" t="s">
        <v>41</v>
      </c>
      <c r="D167" s="23" t="s">
        <v>119</v>
      </c>
      <c r="E167" s="24" t="str">
        <f>IFERROR(VLOOKUP(F167, 'api-register-id'!B:F, 5, FALSE), "Not found path.")</f>
        <v>APIMX000039</v>
      </c>
      <c r="F167" s="25" t="s">
        <v>615</v>
      </c>
      <c r="G167" s="26" t="s">
        <v>1293</v>
      </c>
      <c r="H167" s="22" t="s">
        <v>1294</v>
      </c>
      <c r="I167" s="29" t="str">
        <f>IFERROR(VLOOKUP(F167, 'api-register-id'!B:I, 8, FALSE), "Not found path.")</f>
        <v>1.1.0</v>
      </c>
      <c r="J167" s="3" t="s">
        <v>1295</v>
      </c>
      <c r="K167" s="31" t="s">
        <v>48</v>
      </c>
      <c r="L167" s="23" t="s">
        <v>49</v>
      </c>
      <c r="M167" s="3" t="s">
        <v>1296</v>
      </c>
      <c r="N167" s="3" t="str">
        <f t="shared" si="1"/>
        <v>POST /crossChannel/partyAuthentication/v1/profileFacility/register</v>
      </c>
      <c r="O167" s="32" t="s">
        <v>1297</v>
      </c>
      <c r="P167" s="32"/>
      <c r="Q167" s="61" t="s">
        <v>98</v>
      </c>
      <c r="R167" s="31" t="s">
        <v>56</v>
      </c>
      <c r="S167" s="38" t="str">
        <f t="shared" si="2"/>
        <v>https://github.com/SF-Bancoppel/mx-api-bc-dom-party-authentication</v>
      </c>
      <c r="T167" s="40"/>
      <c r="U167" s="22"/>
      <c r="V167" s="40"/>
      <c r="W167" s="40"/>
      <c r="X167" s="40"/>
      <c r="Y167" s="40"/>
      <c r="Z167" s="22"/>
      <c r="AA167" s="22"/>
      <c r="AB167" s="22"/>
    </row>
    <row r="168" ht="18.75" customHeight="1">
      <c r="A168" s="18" t="str">
        <f t="array" ref="A168">IFERROR(
  INDEX(
    'api-register-id'!A:A,
    MATCH(F168, 'api-register-id'!B:B, 0)
  ),
  "Not found Organization"
)</f>
        <v>SSFF</v>
      </c>
      <c r="B168" s="22" t="str">
        <f>IFERROR(VLOOKUP(F168, 'api-register-id'!B:F, 4, FALSE), "Not found path.")</f>
        <v>mx-api-bc-dom-party-authentication</v>
      </c>
      <c r="C168" s="23" t="s">
        <v>41</v>
      </c>
      <c r="D168" s="23" t="s">
        <v>119</v>
      </c>
      <c r="E168" s="24" t="str">
        <f>IFERROR(VLOOKUP(F168, 'api-register-id'!B:F, 5, FALSE), "Not found path.")</f>
        <v>APIMX000039</v>
      </c>
      <c r="F168" s="25" t="s">
        <v>615</v>
      </c>
      <c r="G168" s="26" t="s">
        <v>1298</v>
      </c>
      <c r="H168" s="22" t="s">
        <v>1300</v>
      </c>
      <c r="I168" s="29" t="str">
        <f>IFERROR(VLOOKUP(F168, 'api-register-id'!B:I, 8, FALSE), "Not found path.")</f>
        <v>1.1.0</v>
      </c>
      <c r="J168" s="3" t="s">
        <v>1295</v>
      </c>
      <c r="K168" s="31" t="s">
        <v>48</v>
      </c>
      <c r="L168" s="23" t="s">
        <v>49</v>
      </c>
      <c r="M168" s="3" t="s">
        <v>1302</v>
      </c>
      <c r="N168" s="3" t="str">
        <f t="shared" si="1"/>
        <v>POST /crossChannel/partyAuthentication/v1/partyAuthenticationAssessment/evaluate</v>
      </c>
      <c r="O168" s="32" t="s">
        <v>1304</v>
      </c>
      <c r="P168" s="32"/>
      <c r="Q168" s="61" t="s">
        <v>1305</v>
      </c>
      <c r="R168" s="31" t="s">
        <v>56</v>
      </c>
      <c r="S168" s="38" t="str">
        <f t="shared" si="2"/>
        <v>https://github.com/SF-Bancoppel/mx-api-bc-dom-party-authentication</v>
      </c>
      <c r="T168" s="40"/>
      <c r="U168" s="22"/>
      <c r="V168" s="40"/>
      <c r="W168" s="40"/>
      <c r="X168" s="40"/>
      <c r="Y168" s="40"/>
      <c r="Z168" s="22"/>
      <c r="AA168" s="22"/>
      <c r="AB168" s="22"/>
    </row>
    <row r="169" ht="18.75" customHeight="1">
      <c r="A169" s="18" t="str">
        <f t="array" ref="A169">IFERROR(
  INDEX(
    'api-register-id'!A:A,
    MATCH(F169, 'api-register-id'!B:B, 0)
  ),
  "Not found Organization"
)</f>
        <v>SSFF</v>
      </c>
      <c r="B169" s="22" t="str">
        <f>IFERROR(VLOOKUP(F169, 'api-register-id'!B:F, 4, FALSE), "Not found path.")</f>
        <v>mx-api-bc-dom-party-authentication</v>
      </c>
      <c r="C169" s="23" t="s">
        <v>41</v>
      </c>
      <c r="D169" s="23" t="s">
        <v>119</v>
      </c>
      <c r="E169" s="24" t="str">
        <f>IFERROR(VLOOKUP(F169, 'api-register-id'!B:F, 5, FALSE), "Not found path.")</f>
        <v>APIMX000039</v>
      </c>
      <c r="F169" s="25" t="s">
        <v>615</v>
      </c>
      <c r="G169" s="26" t="s">
        <v>1306</v>
      </c>
      <c r="H169" s="22" t="s">
        <v>1307</v>
      </c>
      <c r="I169" s="29" t="str">
        <f>IFERROR(VLOOKUP(F169, 'api-register-id'!B:I, 8, FALSE), "Not found path.")</f>
        <v>1.1.0</v>
      </c>
      <c r="J169" s="3" t="s">
        <v>1295</v>
      </c>
      <c r="K169" s="31" t="s">
        <v>48</v>
      </c>
      <c r="L169" s="23" t="s">
        <v>49</v>
      </c>
      <c r="M169" s="3" t="s">
        <v>1308</v>
      </c>
      <c r="N169" s="3" t="str">
        <f t="shared" si="1"/>
        <v>POST /crossChannel/partyAuthentication/v1/password/evaluate</v>
      </c>
      <c r="O169" s="32" t="s">
        <v>1309</v>
      </c>
      <c r="P169" s="32"/>
      <c r="Q169" s="61" t="s">
        <v>98</v>
      </c>
      <c r="R169" s="31" t="s">
        <v>56</v>
      </c>
      <c r="S169" s="38" t="str">
        <f t="shared" si="2"/>
        <v>https://github.com/SF-Bancoppel/mx-api-bc-dom-party-authentication</v>
      </c>
      <c r="T169" s="40"/>
      <c r="U169" s="22"/>
      <c r="V169" s="40"/>
      <c r="W169" s="40"/>
      <c r="X169" s="40"/>
      <c r="Y169" s="40"/>
      <c r="Z169" s="22"/>
      <c r="AA169" s="22"/>
      <c r="AB169" s="22"/>
    </row>
    <row r="170" ht="18.75" customHeight="1">
      <c r="A170" s="18" t="str">
        <f t="array" ref="A170">IFERROR(
  INDEX(
    'api-register-id'!A:A,
    MATCH(F170, 'api-register-id'!B:B, 0)
  ),
  "Not found Organization"
)</f>
        <v>SSFF</v>
      </c>
      <c r="B170" s="22" t="str">
        <f>IFERROR(VLOOKUP(F170, 'api-register-id'!B:F, 4, FALSE), "Not found path.")</f>
        <v>mx-api-bc-dom-party-lifecycle-management</v>
      </c>
      <c r="C170" s="23" t="s">
        <v>41</v>
      </c>
      <c r="D170" s="23" t="s">
        <v>119</v>
      </c>
      <c r="E170" s="24" t="str">
        <f>IFERROR(VLOOKUP(F170, 'api-register-id'!B:F, 5, FALSE), "Not found path.")</f>
        <v>APIMX000040</v>
      </c>
      <c r="F170" s="25" t="s">
        <v>624</v>
      </c>
      <c r="G170" s="26" t="s">
        <v>1313</v>
      </c>
      <c r="H170" s="22" t="s">
        <v>1314</v>
      </c>
      <c r="I170" s="29" t="str">
        <f>IFERROR(VLOOKUP(F170, 'api-register-id'!B:I, 8, FALSE), "Not found path.")</f>
        <v>2.2.2</v>
      </c>
      <c r="J170" s="3" t="s">
        <v>1315</v>
      </c>
      <c r="K170" s="31" t="s">
        <v>48</v>
      </c>
      <c r="L170" s="23" t="s">
        <v>428</v>
      </c>
      <c r="M170" s="3" t="s">
        <v>1316</v>
      </c>
      <c r="N170" s="3" t="str">
        <f t="shared" si="1"/>
        <v>PATCH /sales/partyLifecycleManagement/v1/documentation/capture</v>
      </c>
      <c r="O170" s="32" t="s">
        <v>1317</v>
      </c>
      <c r="P170" s="32"/>
      <c r="Q170" s="61" t="s">
        <v>1318</v>
      </c>
      <c r="R170" s="31" t="s">
        <v>56</v>
      </c>
      <c r="S170" s="38" t="str">
        <f t="shared" si="2"/>
        <v>https://github.com/SF-Bancoppel/mx-api-bc-dom-party-lifecycle-management</v>
      </c>
      <c r="T170" s="40"/>
      <c r="U170" s="22"/>
      <c r="V170" s="40"/>
      <c r="W170" s="40"/>
      <c r="X170" s="40"/>
      <c r="Y170" s="40"/>
      <c r="Z170" s="22"/>
      <c r="AA170" s="22"/>
      <c r="AB170" s="22"/>
    </row>
    <row r="171" ht="18.75" customHeight="1">
      <c r="A171" s="18" t="str">
        <f t="array" ref="A171">IFERROR(
  INDEX(
    'api-register-id'!A:A,
    MATCH(F171, 'api-register-id'!B:B, 0)
  ),
  "Not found Organization"
)</f>
        <v>SSFF</v>
      </c>
      <c r="B171" s="22" t="str">
        <f>IFERROR(VLOOKUP(F171, 'api-register-id'!B:F, 4, FALSE), "Not found path.")</f>
        <v>mx-api-bc-dom-party-lifecycle-management</v>
      </c>
      <c r="C171" s="23" t="s">
        <v>41</v>
      </c>
      <c r="D171" s="23" t="s">
        <v>119</v>
      </c>
      <c r="E171" s="24" t="str">
        <f>IFERROR(VLOOKUP(F171, 'api-register-id'!B:F, 5, FALSE), "Not found path.")</f>
        <v>APIMX000040</v>
      </c>
      <c r="F171" s="25" t="s">
        <v>624</v>
      </c>
      <c r="G171" s="26" t="s">
        <v>1319</v>
      </c>
      <c r="H171" s="22" t="s">
        <v>1320</v>
      </c>
      <c r="I171" s="29" t="str">
        <f>IFERROR(VLOOKUP(F171, 'api-register-id'!B:I, 8, FALSE), "Not found path.")</f>
        <v>2.2.2</v>
      </c>
      <c r="J171" s="3" t="s">
        <v>1315</v>
      </c>
      <c r="K171" s="31" t="s">
        <v>48</v>
      </c>
      <c r="L171" s="23" t="s">
        <v>49</v>
      </c>
      <c r="M171" s="3" t="s">
        <v>1322</v>
      </c>
      <c r="N171" s="3" t="str">
        <f t="shared" si="1"/>
        <v>POST /sales/partyLifecycleManagement/v1/documentation/evaluate</v>
      </c>
      <c r="O171" s="32" t="s">
        <v>1323</v>
      </c>
      <c r="P171" s="32"/>
      <c r="Q171" s="61" t="s">
        <v>1324</v>
      </c>
      <c r="R171" s="31" t="s">
        <v>56</v>
      </c>
      <c r="S171" s="38" t="str">
        <f t="shared" si="2"/>
        <v>https://github.com/SF-Bancoppel/mx-api-bc-dom-party-lifecycle-management</v>
      </c>
      <c r="T171" s="40"/>
      <c r="U171" s="22"/>
      <c r="V171" s="22"/>
      <c r="W171" s="40"/>
      <c r="X171" s="40"/>
      <c r="Y171" s="40"/>
      <c r="Z171" s="22"/>
      <c r="AA171" s="22"/>
      <c r="AB171" s="22"/>
    </row>
    <row r="172" ht="18.75" customHeight="1">
      <c r="A172" s="18" t="str">
        <f t="array" ref="A172">IFERROR(
  INDEX(
    'api-register-id'!A:A,
    MATCH(F172, 'api-register-id'!B:B, 0)
  ),
  "Not found Organization"
)</f>
        <v>SSFF</v>
      </c>
      <c r="B172" s="22" t="str">
        <f>IFERROR(VLOOKUP(F172, 'api-register-id'!B:F, 4, FALSE), "Not found path.")</f>
        <v>mx-api-bc-dom-party-lifecycle-management</v>
      </c>
      <c r="C172" s="23" t="s">
        <v>41</v>
      </c>
      <c r="D172" s="23" t="s">
        <v>119</v>
      </c>
      <c r="E172" s="24" t="str">
        <f>IFERROR(VLOOKUP(F172, 'api-register-id'!B:F, 5, FALSE), "Not found path.")</f>
        <v>APIMX000040</v>
      </c>
      <c r="F172" s="25" t="s">
        <v>624</v>
      </c>
      <c r="G172" s="26" t="s">
        <v>1327</v>
      </c>
      <c r="H172" s="22" t="s">
        <v>1328</v>
      </c>
      <c r="I172" s="29" t="str">
        <f>IFERROR(VLOOKUP(F172, 'api-register-id'!B:I, 8, FALSE), "Not found path.")</f>
        <v>2.2.2</v>
      </c>
      <c r="J172" s="3" t="s">
        <v>1315</v>
      </c>
      <c r="K172" s="31" t="s">
        <v>48</v>
      </c>
      <c r="L172" s="23" t="s">
        <v>428</v>
      </c>
      <c r="M172" s="3" t="s">
        <v>1329</v>
      </c>
      <c r="N172" s="3" t="str">
        <f t="shared" si="1"/>
        <v>PATCH /sales/partyLifecycleManagement/v1/documentation/update</v>
      </c>
      <c r="O172" s="32" t="s">
        <v>1330</v>
      </c>
      <c r="P172" s="32"/>
      <c r="Q172" s="61" t="s">
        <v>1331</v>
      </c>
      <c r="R172" s="31" t="s">
        <v>56</v>
      </c>
      <c r="S172" s="38" t="str">
        <f t="shared" si="2"/>
        <v>https://github.com/SF-Bancoppel/mx-api-bc-dom-party-lifecycle-management</v>
      </c>
      <c r="T172" s="40"/>
      <c r="U172" s="22"/>
      <c r="V172" s="22"/>
      <c r="W172" s="22"/>
      <c r="X172" s="22"/>
      <c r="Y172" s="40"/>
      <c r="Z172" s="22"/>
      <c r="AA172" s="22"/>
      <c r="AB172" s="22"/>
    </row>
    <row r="173" ht="18.75" customHeight="1">
      <c r="A173" s="18" t="str">
        <f t="array" ref="A173">IFERROR(
  INDEX(
    'api-register-id'!A:A,
    MATCH(F173, 'api-register-id'!B:B, 0)
  ),
  "Not found Organization"
)</f>
        <v>SSFF</v>
      </c>
      <c r="B173" s="22" t="str">
        <f>IFERROR(VLOOKUP(F173, 'api-register-id'!B:F, 4, FALSE), "Not found path.")</f>
        <v>mx-api-bc-dom-party-lifecycle-management</v>
      </c>
      <c r="C173" s="23" t="s">
        <v>41</v>
      </c>
      <c r="D173" s="23" t="s">
        <v>119</v>
      </c>
      <c r="E173" s="24" t="str">
        <f>IFERROR(VLOOKUP(F173, 'api-register-id'!B:F, 5, FALSE), "Not found path.")</f>
        <v>APIMX000040</v>
      </c>
      <c r="F173" s="25" t="s">
        <v>624</v>
      </c>
      <c r="G173" s="26" t="s">
        <v>1333</v>
      </c>
      <c r="H173" s="22" t="s">
        <v>1335</v>
      </c>
      <c r="I173" s="29" t="str">
        <f>IFERROR(VLOOKUP(F173, 'api-register-id'!B:I, 8, FALSE), "Not found path.")</f>
        <v>2.2.2</v>
      </c>
      <c r="J173" s="3" t="s">
        <v>1315</v>
      </c>
      <c r="K173" s="31" t="s">
        <v>48</v>
      </c>
      <c r="L173" s="23" t="s">
        <v>61</v>
      </c>
      <c r="M173" s="3" t="s">
        <v>1337</v>
      </c>
      <c r="N173" s="3" t="str">
        <f t="shared" si="1"/>
        <v>PUT /sales/partyLifecycleManagement/v1/documentation/request</v>
      </c>
      <c r="O173" s="32" t="s">
        <v>1338</v>
      </c>
      <c r="P173" s="32"/>
      <c r="Q173" s="61" t="s">
        <v>1339</v>
      </c>
      <c r="R173" s="31" t="s">
        <v>56</v>
      </c>
      <c r="S173" s="38" t="str">
        <f t="shared" si="2"/>
        <v>https://github.com/SF-Bancoppel/mx-api-bc-dom-party-lifecycle-management</v>
      </c>
      <c r="T173" s="40"/>
      <c r="U173" s="22"/>
      <c r="V173" s="40"/>
      <c r="W173" s="40"/>
      <c r="X173" s="40"/>
      <c r="Y173" s="40"/>
      <c r="Z173" s="22"/>
      <c r="AA173" s="22"/>
      <c r="AB173" s="22"/>
    </row>
    <row r="174" ht="18.75" customHeight="1">
      <c r="A174" s="18" t="str">
        <f t="array" ref="A174">IFERROR(
  INDEX(
    'api-register-id'!A:A,
    MATCH(F174, 'api-register-id'!B:B, 0)
  ),
  "Not found Organization"
)</f>
        <v>SSFF</v>
      </c>
      <c r="B174" s="22" t="str">
        <f>IFERROR(VLOOKUP(F174, 'api-register-id'!B:F, 4, FALSE), "Not found path.")</f>
        <v>mx-api-bc-dom-party-lifecycle-management</v>
      </c>
      <c r="C174" s="23" t="s">
        <v>41</v>
      </c>
      <c r="D174" s="23" t="s">
        <v>119</v>
      </c>
      <c r="E174" s="24" t="str">
        <f>IFERROR(VLOOKUP(F174, 'api-register-id'!B:F, 5, FALSE), "Not found path.")</f>
        <v>APIMX000040</v>
      </c>
      <c r="F174" s="25" t="s">
        <v>624</v>
      </c>
      <c r="G174" s="26" t="s">
        <v>1340</v>
      </c>
      <c r="H174" s="22" t="s">
        <v>1341</v>
      </c>
      <c r="I174" s="29" t="str">
        <f>IFERROR(VLOOKUP(F174, 'api-register-id'!B:I, 8, FALSE), "Not found path.")</f>
        <v>2.2.2</v>
      </c>
      <c r="J174" s="3" t="s">
        <v>1315</v>
      </c>
      <c r="K174" s="31" t="s">
        <v>48</v>
      </c>
      <c r="L174" s="23" t="s">
        <v>61</v>
      </c>
      <c r="M174" s="3" t="s">
        <v>1342</v>
      </c>
      <c r="N174" s="3" t="str">
        <f t="shared" si="1"/>
        <v>PUT /sales/partyLifecycleManagement/v1/documentation/execute</v>
      </c>
      <c r="O174" s="32" t="s">
        <v>1343</v>
      </c>
      <c r="P174" s="32"/>
      <c r="Q174" s="61" t="s">
        <v>1344</v>
      </c>
      <c r="R174" s="31" t="s">
        <v>56</v>
      </c>
      <c r="S174" s="38" t="str">
        <f t="shared" si="2"/>
        <v>https://github.com/SF-Bancoppel/mx-api-bc-dom-party-lifecycle-management</v>
      </c>
      <c r="T174" s="40"/>
      <c r="U174" s="22"/>
      <c r="V174" s="40"/>
      <c r="W174" s="40"/>
      <c r="X174" s="40"/>
      <c r="Y174" s="40"/>
      <c r="Z174" s="22"/>
      <c r="AA174" s="22"/>
      <c r="AB174" s="22"/>
    </row>
    <row r="175" ht="18.75" customHeight="1">
      <c r="A175" s="18" t="str">
        <f t="array" ref="A175">IFERROR(
  INDEX(
    'api-register-id'!A:A,
    MATCH(F175, 'api-register-id'!B:B, 0)
  ),
  "Not found Organization"
)</f>
        <v>SSFF</v>
      </c>
      <c r="B175" s="22" t="str">
        <f>IFERROR(VLOOKUP(F175, 'api-register-id'!B:F, 4, FALSE), "Not found path.")</f>
        <v>mx-api-bc-dom-party-lifecycle-management</v>
      </c>
      <c r="C175" s="23" t="s">
        <v>41</v>
      </c>
      <c r="D175" s="23" t="s">
        <v>119</v>
      </c>
      <c r="E175" s="24" t="str">
        <f>IFERROR(VLOOKUP(F175, 'api-register-id'!B:F, 5, FALSE), "Not found path.")</f>
        <v>APIMX000040</v>
      </c>
      <c r="F175" s="25" t="s">
        <v>624</v>
      </c>
      <c r="G175" s="26" t="s">
        <v>1346</v>
      </c>
      <c r="H175" s="22" t="s">
        <v>1347</v>
      </c>
      <c r="I175" s="29" t="str">
        <f>IFERROR(VLOOKUP(F175, 'api-register-id'!B:I, 8, FALSE), "Not found path.")</f>
        <v>2.2.2</v>
      </c>
      <c r="J175" s="3" t="s">
        <v>1315</v>
      </c>
      <c r="K175" s="31" t="s">
        <v>48</v>
      </c>
      <c r="L175" s="23" t="s">
        <v>49</v>
      </c>
      <c r="M175" s="3" t="s">
        <v>1348</v>
      </c>
      <c r="N175" s="3" t="str">
        <f t="shared" si="1"/>
        <v>POST /sales/partyLifecycleManagement/v1/documentation/retrieve</v>
      </c>
      <c r="O175" s="32" t="s">
        <v>1349</v>
      </c>
      <c r="P175" s="32"/>
      <c r="Q175" s="61" t="s">
        <v>1350</v>
      </c>
      <c r="R175" s="31" t="s">
        <v>56</v>
      </c>
      <c r="S175" s="38" t="str">
        <f t="shared" si="2"/>
        <v>https://github.com/SF-Bancoppel/mx-api-bc-dom-party-lifecycle-management</v>
      </c>
      <c r="T175" s="40"/>
      <c r="U175" s="22"/>
      <c r="V175" s="40"/>
      <c r="W175" s="40"/>
      <c r="X175" s="40"/>
      <c r="Y175" s="40"/>
      <c r="Z175" s="22"/>
      <c r="AA175" s="22"/>
      <c r="AB175" s="22"/>
    </row>
    <row r="176" ht="18.75" customHeight="1">
      <c r="A176" s="18" t="str">
        <f t="array" ref="A176">IFERROR(
  INDEX(
    'api-register-id'!A:A,
    MATCH(F176, 'api-register-id'!B:B, 0)
  ),
  "Not found Organization"
)</f>
        <v>SSFF</v>
      </c>
      <c r="B176" s="22" t="str">
        <f>IFERROR(VLOOKUP(F176, 'api-register-id'!B:F, 4, FALSE), "Not found path.")</f>
        <v>mx-api-bc-dom-party-lifecycle-management</v>
      </c>
      <c r="C176" s="23" t="s">
        <v>41</v>
      </c>
      <c r="D176" s="23" t="s">
        <v>119</v>
      </c>
      <c r="E176" s="24" t="str">
        <f>IFERROR(VLOOKUP(F176, 'api-register-id'!B:F, 5, FALSE), "Not found path.")</f>
        <v>APIMX000040</v>
      </c>
      <c r="F176" s="25" t="s">
        <v>624</v>
      </c>
      <c r="G176" s="26" t="s">
        <v>1353</v>
      </c>
      <c r="H176" s="22" t="s">
        <v>1354</v>
      </c>
      <c r="I176" s="29" t="str">
        <f>IFERROR(VLOOKUP(F176, 'api-register-id'!B:I, 8, FALSE), "Not found path.")</f>
        <v>2.2.2</v>
      </c>
      <c r="J176" s="3" t="s">
        <v>1315</v>
      </c>
      <c r="K176" s="31" t="s">
        <v>48</v>
      </c>
      <c r="L176" s="23" t="s">
        <v>49</v>
      </c>
      <c r="M176" s="3" t="s">
        <v>1355</v>
      </c>
      <c r="N176" s="3" t="str">
        <f t="shared" si="1"/>
        <v>POST /sales/partyLifecycleManagement/v1/documentation/register</v>
      </c>
      <c r="O176" s="32" t="s">
        <v>1356</v>
      </c>
      <c r="P176" s="32"/>
      <c r="Q176" s="61" t="s">
        <v>1357</v>
      </c>
      <c r="R176" s="31" t="s">
        <v>56</v>
      </c>
      <c r="S176" s="38" t="str">
        <f t="shared" si="2"/>
        <v>https://github.com/SF-Bancoppel/mx-api-bc-dom-party-lifecycle-management</v>
      </c>
      <c r="T176" s="40"/>
      <c r="U176" s="22"/>
      <c r="V176" s="40"/>
      <c r="W176" s="40"/>
      <c r="X176" s="40"/>
      <c r="Y176" s="40"/>
      <c r="Z176" s="22"/>
      <c r="AA176" s="22"/>
      <c r="AB176" s="22"/>
    </row>
    <row r="177" ht="18.75" customHeight="1">
      <c r="A177" s="18" t="str">
        <f t="array" ref="A177">IFERROR(
  INDEX(
    'api-register-id'!A:A,
    MATCH(F177, 'api-register-id'!B:B, 0)
  ),
  "Not found Organization"
)</f>
        <v>SSFF</v>
      </c>
      <c r="B177" s="22" t="str">
        <f>IFERROR(VLOOKUP(F177, 'api-register-id'!B:F, 4, FALSE), "Not found path.")</f>
        <v>mx-api-bc-dom-party-lifecycle-management</v>
      </c>
      <c r="C177" s="23" t="s">
        <v>41</v>
      </c>
      <c r="D177" s="23" t="s">
        <v>119</v>
      </c>
      <c r="E177" s="24" t="str">
        <f>IFERROR(VLOOKUP(F177, 'api-register-id'!B:F, 5, FALSE), "Not found path.")</f>
        <v>APIMX000040</v>
      </c>
      <c r="F177" s="25" t="s">
        <v>624</v>
      </c>
      <c r="G177" s="26" t="s">
        <v>1361</v>
      </c>
      <c r="H177" s="22" t="s">
        <v>1362</v>
      </c>
      <c r="I177" s="29" t="str">
        <f>IFERROR(VLOOKUP(F177, 'api-register-id'!B:I, 8, FALSE), "Not found path.")</f>
        <v>2.2.2</v>
      </c>
      <c r="J177" s="3" t="s">
        <v>1315</v>
      </c>
      <c r="K177" s="31" t="s">
        <v>48</v>
      </c>
      <c r="L177" s="23" t="s">
        <v>49</v>
      </c>
      <c r="M177" s="3" t="s">
        <v>1363</v>
      </c>
      <c r="N177" s="3" t="str">
        <f t="shared" si="1"/>
        <v>POST /sales/partyLifecycleManagement/v1/rfc/evaluate</v>
      </c>
      <c r="O177" s="32" t="s">
        <v>1364</v>
      </c>
      <c r="P177" s="32"/>
      <c r="Q177" s="61" t="s">
        <v>1365</v>
      </c>
      <c r="R177" s="31" t="s">
        <v>56</v>
      </c>
      <c r="S177" s="38" t="str">
        <f t="shared" si="2"/>
        <v>https://github.com/SF-Bancoppel/mx-api-bc-dom-party-lifecycle-management</v>
      </c>
      <c r="T177" s="40"/>
      <c r="U177" s="22"/>
      <c r="V177" s="40"/>
      <c r="W177" s="40"/>
      <c r="X177" s="40"/>
      <c r="Y177" s="40"/>
      <c r="Z177" s="22"/>
      <c r="AA177" s="22"/>
      <c r="AB177" s="22"/>
    </row>
    <row r="178" ht="18.75" customHeight="1">
      <c r="A178" s="18" t="str">
        <f t="array" ref="A178">IFERROR(
  INDEX(
    'api-register-id'!A:A,
    MATCH(F178, 'api-register-id'!B:B, 0)
  ),
  "Not found Organization"
)</f>
        <v>SSFF</v>
      </c>
      <c r="B178" s="22" t="str">
        <f>IFERROR(VLOOKUP(F178, 'api-register-id'!B:F, 4, FALSE), "Not found path.")</f>
        <v>mx-api-bc-dom-party-lifecycle-management</v>
      </c>
      <c r="C178" s="23" t="s">
        <v>41</v>
      </c>
      <c r="D178" s="23" t="s">
        <v>119</v>
      </c>
      <c r="E178" s="24" t="str">
        <f>IFERROR(VLOOKUP(F178, 'api-register-id'!B:F, 5, FALSE), "Not found path.")</f>
        <v>APIMX000040</v>
      </c>
      <c r="F178" s="25" t="s">
        <v>624</v>
      </c>
      <c r="G178" s="26" t="s">
        <v>1367</v>
      </c>
      <c r="H178" s="22" t="s">
        <v>1368</v>
      </c>
      <c r="I178" s="29" t="str">
        <f>IFERROR(VLOOKUP(F178, 'api-register-id'!B:I, 8, FALSE), "Not found path.")</f>
        <v>2.2.2</v>
      </c>
      <c r="J178" s="3" t="s">
        <v>1315</v>
      </c>
      <c r="K178" s="31" t="s">
        <v>48</v>
      </c>
      <c r="L178" s="23" t="s">
        <v>49</v>
      </c>
      <c r="M178" s="3" t="s">
        <v>1371</v>
      </c>
      <c r="N178" s="3" t="str">
        <f t="shared" si="1"/>
        <v>POST /sales/partyLifecycleManagement/v1/ine/evaluate</v>
      </c>
      <c r="O178" s="32" t="s">
        <v>1372</v>
      </c>
      <c r="P178" s="32"/>
      <c r="Q178" s="61" t="s">
        <v>1373</v>
      </c>
      <c r="R178" s="31" t="s">
        <v>56</v>
      </c>
      <c r="S178" s="38" t="str">
        <f t="shared" si="2"/>
        <v>https://github.com/SF-Bancoppel/mx-api-bc-dom-party-lifecycle-management</v>
      </c>
      <c r="T178" s="40"/>
      <c r="U178" s="22"/>
      <c r="V178" s="40"/>
      <c r="W178" s="40"/>
      <c r="X178" s="40"/>
      <c r="Y178" s="40"/>
      <c r="Z178" s="22"/>
      <c r="AA178" s="22"/>
      <c r="AB178" s="22"/>
    </row>
    <row r="179" ht="18.75" customHeight="1">
      <c r="A179" s="18" t="str">
        <f t="array" ref="A179">IFERROR(
  INDEX(
    'api-register-id'!A:A,
    MATCH(F179, 'api-register-id'!B:B, 0)
  ),
  "Not found Organization"
)</f>
        <v>SSFF</v>
      </c>
      <c r="B179" s="22" t="str">
        <f>IFERROR(VLOOKUP(F179, 'api-register-id'!B:F, 4, FALSE), "Not found path.")</f>
        <v>mx-api-bc-dom-party-lifecycle-management</v>
      </c>
      <c r="C179" s="23" t="s">
        <v>41</v>
      </c>
      <c r="D179" s="23" t="s">
        <v>119</v>
      </c>
      <c r="E179" s="24" t="str">
        <f>IFERROR(VLOOKUP(F179, 'api-register-id'!B:F, 5, FALSE), "Not found path.")</f>
        <v>APIMX000040</v>
      </c>
      <c r="F179" s="25" t="s">
        <v>624</v>
      </c>
      <c r="G179" s="26" t="s">
        <v>1375</v>
      </c>
      <c r="H179" s="22" t="s">
        <v>1376</v>
      </c>
      <c r="I179" s="29" t="str">
        <f>IFERROR(VLOOKUP(F179, 'api-register-id'!B:I, 8, FALSE), "Not found path.")</f>
        <v>2.2.2</v>
      </c>
      <c r="J179" s="3" t="s">
        <v>1315</v>
      </c>
      <c r="K179" s="31" t="s">
        <v>48</v>
      </c>
      <c r="L179" s="23" t="s">
        <v>108</v>
      </c>
      <c r="M179" s="3" t="s">
        <v>1379</v>
      </c>
      <c r="N179" s="3" t="str">
        <f t="shared" si="1"/>
        <v>GET /sales/partyLifecycleManagement/v1/ine/retrieve</v>
      </c>
      <c r="O179" s="32" t="s">
        <v>1380</v>
      </c>
      <c r="P179" s="32"/>
      <c r="Q179" s="61" t="s">
        <v>1381</v>
      </c>
      <c r="R179" s="31" t="s">
        <v>56</v>
      </c>
      <c r="S179" s="38" t="str">
        <f t="shared" si="2"/>
        <v>https://github.com/SF-Bancoppel/mx-api-bc-dom-party-lifecycle-management</v>
      </c>
      <c r="T179" s="40"/>
      <c r="U179" s="22"/>
      <c r="V179" s="22"/>
      <c r="W179" s="22"/>
      <c r="X179" s="40"/>
      <c r="Y179" s="40"/>
      <c r="Z179" s="22"/>
      <c r="AA179" s="22"/>
      <c r="AB179" s="22"/>
    </row>
    <row r="180" ht="18.75" customHeight="1">
      <c r="A180" s="18" t="str">
        <f t="array" ref="A180">IFERROR(
  INDEX(
    'api-register-id'!A:A,
    MATCH(F180, 'api-register-id'!B:B, 0)
  ),
  "Not found Organization"
)</f>
        <v>SSFF</v>
      </c>
      <c r="B180" s="22" t="str">
        <f>IFERROR(VLOOKUP(F180, 'api-register-id'!B:F, 4, FALSE), "Not found path.")</f>
        <v>mx-api-bc-dom-party-lifecycle-management</v>
      </c>
      <c r="C180" s="23" t="s">
        <v>41</v>
      </c>
      <c r="D180" s="23" t="s">
        <v>119</v>
      </c>
      <c r="E180" s="24" t="str">
        <f>IFERROR(VLOOKUP(F180, 'api-register-id'!B:F, 5, FALSE), "Not found path.")</f>
        <v>APIMX000040</v>
      </c>
      <c r="F180" s="25" t="s">
        <v>624</v>
      </c>
      <c r="G180" s="26" t="s">
        <v>1383</v>
      </c>
      <c r="H180" s="22" t="s">
        <v>1384</v>
      </c>
      <c r="I180" s="29" t="str">
        <f>IFERROR(VLOOKUP(F180, 'api-register-id'!B:I, 8, FALSE), "Not found path.")</f>
        <v>2.2.2</v>
      </c>
      <c r="J180" s="3" t="s">
        <v>1315</v>
      </c>
      <c r="K180" s="31" t="s">
        <v>48</v>
      </c>
      <c r="L180" s="23" t="s">
        <v>49</v>
      </c>
      <c r="M180" s="3" t="s">
        <v>1385</v>
      </c>
      <c r="N180" s="3" t="str">
        <f t="shared" si="1"/>
        <v>POST /sales/partyLifecycleManagement/v1/renapo/retrieve</v>
      </c>
      <c r="O180" s="32" t="s">
        <v>1387</v>
      </c>
      <c r="P180" s="32"/>
      <c r="Q180" s="61" t="s">
        <v>1388</v>
      </c>
      <c r="R180" s="31" t="s">
        <v>56</v>
      </c>
      <c r="S180" s="38" t="str">
        <f t="shared" si="2"/>
        <v>https://github.com/SF-Bancoppel/mx-api-bc-dom-party-lifecycle-management</v>
      </c>
      <c r="T180" s="40"/>
      <c r="U180" s="22"/>
      <c r="V180" s="40"/>
      <c r="W180" s="40"/>
      <c r="X180" s="40"/>
      <c r="Y180" s="40"/>
      <c r="Z180" s="22"/>
      <c r="AA180" s="22"/>
      <c r="AB180" s="22"/>
    </row>
    <row r="181" ht="18.75" customHeight="1">
      <c r="A181" s="18" t="str">
        <f t="array" ref="A181">IFERROR(
  INDEX(
    'api-register-id'!A:A,
    MATCH(F181, 'api-register-id'!B:B, 0)
  ),
  "Not found Organization"
)</f>
        <v>SSFF</v>
      </c>
      <c r="B181" s="22" t="str">
        <f>IFERROR(VLOOKUP(F181, 'api-register-id'!B:F, 4, FALSE), "Not found path.")</f>
        <v>mx-api-bc-dom-party-lifecycle-management</v>
      </c>
      <c r="C181" s="23" t="s">
        <v>41</v>
      </c>
      <c r="D181" s="23" t="s">
        <v>119</v>
      </c>
      <c r="E181" s="24" t="str">
        <f>IFERROR(VLOOKUP(F181, 'api-register-id'!B:F, 5, FALSE), "Not found path.")</f>
        <v>APIMX000040</v>
      </c>
      <c r="F181" s="25" t="s">
        <v>624</v>
      </c>
      <c r="G181" s="26" t="s">
        <v>1391</v>
      </c>
      <c r="H181" s="22" t="s">
        <v>1392</v>
      </c>
      <c r="I181" s="29" t="str">
        <f>IFERROR(VLOOKUP(F181, 'api-register-id'!B:I, 8, FALSE), "Not found path.")</f>
        <v>2.2.2</v>
      </c>
      <c r="J181" s="3" t="s">
        <v>1315</v>
      </c>
      <c r="K181" s="31" t="s">
        <v>48</v>
      </c>
      <c r="L181" s="23" t="s">
        <v>61</v>
      </c>
      <c r="M181" s="3" t="s">
        <v>1393</v>
      </c>
      <c r="N181" s="3" t="str">
        <f t="shared" si="1"/>
        <v>PUT /sales/partyLifecycleManagement/v1/ine/capture</v>
      </c>
      <c r="O181" s="32" t="s">
        <v>1394</v>
      </c>
      <c r="P181" s="32"/>
      <c r="Q181" s="61" t="s">
        <v>1395</v>
      </c>
      <c r="R181" s="31" t="s">
        <v>56</v>
      </c>
      <c r="S181" s="38" t="str">
        <f t="shared" si="2"/>
        <v>https://github.com/SF-Bancoppel/mx-api-bc-dom-party-lifecycle-management</v>
      </c>
      <c r="T181" s="40"/>
      <c r="U181" s="22"/>
      <c r="V181" s="40"/>
      <c r="W181" s="40"/>
      <c r="X181" s="40"/>
      <c r="Y181" s="40"/>
      <c r="Z181" s="22"/>
      <c r="AA181" s="22"/>
      <c r="AB181" s="22"/>
    </row>
    <row r="182" ht="18.75" customHeight="1">
      <c r="A182" s="18" t="str">
        <f t="array" ref="A182">IFERROR(
  INDEX(
    'api-register-id'!A:A,
    MATCH(F182, 'api-register-id'!B:B, 0)
  ),
  "Not found Organization"
)</f>
        <v>SSFF</v>
      </c>
      <c r="B182" s="22" t="str">
        <f>IFERROR(VLOOKUP(F182, 'api-register-id'!B:F, 4, FALSE), "Not found path.")</f>
        <v>mx-api-bc-dom-party-lifecycle-management</v>
      </c>
      <c r="C182" s="23" t="s">
        <v>41</v>
      </c>
      <c r="D182" s="23" t="s">
        <v>119</v>
      </c>
      <c r="E182" s="24" t="str">
        <f>IFERROR(VLOOKUP(F182, 'api-register-id'!B:F, 5, FALSE), "Not found path.")</f>
        <v>APIMX000040</v>
      </c>
      <c r="F182" s="25" t="s">
        <v>624</v>
      </c>
      <c r="G182" s="26" t="s">
        <v>1399</v>
      </c>
      <c r="H182" s="22" t="s">
        <v>1400</v>
      </c>
      <c r="I182" s="29" t="str">
        <f>IFERROR(VLOOKUP(F182, 'api-register-id'!B:I, 8, FALSE), "Not found path.")</f>
        <v>2.2.2</v>
      </c>
      <c r="J182" s="3" t="s">
        <v>1315</v>
      </c>
      <c r="K182" s="31" t="s">
        <v>48</v>
      </c>
      <c r="L182" s="23" t="s">
        <v>61</v>
      </c>
      <c r="M182" s="3" t="s">
        <v>1401</v>
      </c>
      <c r="N182" s="3" t="str">
        <f t="shared" si="1"/>
        <v>PUT /sales/partyLifecycleManagement/v1/renapo/capture</v>
      </c>
      <c r="O182" s="32" t="s">
        <v>1402</v>
      </c>
      <c r="P182" s="32"/>
      <c r="Q182" s="44" t="s">
        <v>1403</v>
      </c>
      <c r="R182" s="31" t="s">
        <v>56</v>
      </c>
      <c r="S182" s="38" t="str">
        <f t="shared" si="2"/>
        <v>https://github.com/SF-Bancoppel/mx-api-bc-dom-party-lifecycle-management</v>
      </c>
      <c r="T182" s="40"/>
      <c r="U182" s="22"/>
      <c r="V182" s="40"/>
      <c r="W182" s="40"/>
      <c r="X182" s="40"/>
      <c r="Y182" s="40"/>
      <c r="Z182" s="22"/>
      <c r="AA182" s="22"/>
      <c r="AB182" s="22"/>
    </row>
    <row r="183" ht="18.75" customHeight="1">
      <c r="A183" s="18" t="str">
        <f t="array" ref="A183">IFERROR(
  INDEX(
    'api-register-id'!A:A,
    MATCH(F183, 'api-register-id'!B:B, 0)
  ),
  "Not found Organization"
)</f>
        <v>SSFF</v>
      </c>
      <c r="B183" s="22" t="str">
        <f>IFERROR(VLOOKUP(F183, 'api-register-id'!B:F, 4, FALSE), "Not found path.")</f>
        <v>mx-api-bc-dom-party-lifecycle-management</v>
      </c>
      <c r="C183" s="23" t="s">
        <v>41</v>
      </c>
      <c r="D183" s="23" t="s">
        <v>119</v>
      </c>
      <c r="E183" s="24" t="str">
        <f>IFERROR(VLOOKUP(F183, 'api-register-id'!B:F, 5, FALSE), "Not found path.")</f>
        <v>APIMX000040</v>
      </c>
      <c r="F183" s="25" t="s">
        <v>624</v>
      </c>
      <c r="G183" s="26" t="s">
        <v>1405</v>
      </c>
      <c r="H183" s="22" t="s">
        <v>1406</v>
      </c>
      <c r="I183" s="29" t="str">
        <f>IFERROR(VLOOKUP(F183, 'api-register-id'!B:I, 8, FALSE), "Not found path.")</f>
        <v>2.2.2</v>
      </c>
      <c r="J183" s="3" t="s">
        <v>1315</v>
      </c>
      <c r="K183" s="31" t="s">
        <v>48</v>
      </c>
      <c r="L183" s="23" t="s">
        <v>49</v>
      </c>
      <c r="M183" s="3" t="s">
        <v>1408</v>
      </c>
      <c r="N183" s="3" t="str">
        <f t="shared" si="1"/>
        <v>POST /sales/partyLifecycleManagement/v1/qualification/retrieve</v>
      </c>
      <c r="O183" s="32" t="s">
        <v>1410</v>
      </c>
      <c r="P183" s="32"/>
      <c r="Q183" s="61" t="s">
        <v>1411</v>
      </c>
      <c r="R183" s="31" t="s">
        <v>56</v>
      </c>
      <c r="S183" s="38" t="str">
        <f t="shared" si="2"/>
        <v>https://github.com/SF-Bancoppel/mx-api-bc-dom-party-lifecycle-management</v>
      </c>
      <c r="T183" s="40"/>
      <c r="U183" s="22"/>
      <c r="V183" s="40"/>
      <c r="W183" s="40"/>
      <c r="X183" s="40"/>
      <c r="Y183" s="40"/>
      <c r="Z183" s="22"/>
      <c r="AA183" s="22"/>
      <c r="AB183" s="22"/>
    </row>
    <row r="184" ht="18.75" customHeight="1">
      <c r="A184" s="18" t="str">
        <f t="array" ref="A184">IFERROR(
  INDEX(
    'api-register-id'!A:A,
    MATCH(F184, 'api-register-id'!B:B, 0)
  ),
  "Not found Organization"
)</f>
        <v>SSFF</v>
      </c>
      <c r="B184" s="22" t="str">
        <f>IFERROR(VLOOKUP(F184, 'api-register-id'!B:F, 4, FALSE), "Not found path.")</f>
        <v>mx-api-bc-dom-party-lifecycle-management</v>
      </c>
      <c r="C184" s="23" t="s">
        <v>41</v>
      </c>
      <c r="D184" s="23" t="s">
        <v>119</v>
      </c>
      <c r="E184" s="24" t="str">
        <f>IFERROR(VLOOKUP(F184, 'api-register-id'!B:F, 5, FALSE), "Not found path.")</f>
        <v>APIMX000040</v>
      </c>
      <c r="F184" s="25" t="s">
        <v>624</v>
      </c>
      <c r="G184" s="26" t="s">
        <v>1412</v>
      </c>
      <c r="H184" s="22" t="s">
        <v>1413</v>
      </c>
      <c r="I184" s="29" t="str">
        <f>IFERROR(VLOOKUP(F184, 'api-register-id'!B:I, 8, FALSE), "Not found path.")</f>
        <v>2.2.2</v>
      </c>
      <c r="J184" s="3" t="s">
        <v>1315</v>
      </c>
      <c r="K184" s="31" t="s">
        <v>48</v>
      </c>
      <c r="L184" s="23" t="s">
        <v>428</v>
      </c>
      <c r="M184" s="3" t="s">
        <v>1414</v>
      </c>
      <c r="N184" s="3" t="str">
        <f t="shared" si="1"/>
        <v>PATCH /sales/partyLifecycleManagement/v1/partyRelationshipProcedure/{sessionDialogueIdentification}/capture</v>
      </c>
      <c r="O184" s="32" t="s">
        <v>1415</v>
      </c>
      <c r="P184" s="32"/>
      <c r="Q184" s="61" t="s">
        <v>98</v>
      </c>
      <c r="R184" s="31" t="s">
        <v>56</v>
      </c>
      <c r="S184" s="38" t="str">
        <f t="shared" si="2"/>
        <v>https://github.com/SF-Bancoppel/mx-api-bc-dom-party-lifecycle-management</v>
      </c>
      <c r="T184" s="40"/>
      <c r="U184" s="22"/>
      <c r="V184" s="40"/>
      <c r="W184" s="40"/>
      <c r="X184" s="40"/>
      <c r="Y184" s="40"/>
      <c r="Z184" s="22"/>
      <c r="AA184" s="22"/>
      <c r="AB184" s="22"/>
    </row>
    <row r="185" ht="18.75" customHeight="1">
      <c r="A185" s="18" t="str">
        <f t="array" ref="A185">IFERROR(
  INDEX(
    'api-register-id'!A:A,
    MATCH(F185, 'api-register-id'!B:B, 0)
  ),
  "Not found Organization"
)</f>
        <v>SSFF</v>
      </c>
      <c r="B185" s="22" t="str">
        <f>IFERROR(VLOOKUP(F185, 'api-register-id'!B:F, 4, FALSE), "Not found path.")</f>
        <v>mx-api-bc-dom-party-lifecycle-management</v>
      </c>
      <c r="C185" s="23" t="s">
        <v>41</v>
      </c>
      <c r="D185" s="23" t="s">
        <v>119</v>
      </c>
      <c r="E185" s="24" t="str">
        <f>IFERROR(VLOOKUP(F185, 'api-register-id'!B:F, 5, FALSE), "Not found path.")</f>
        <v>APIMX000040</v>
      </c>
      <c r="F185" s="25" t="s">
        <v>624</v>
      </c>
      <c r="G185" s="26" t="s">
        <v>1419</v>
      </c>
      <c r="H185" s="22" t="s">
        <v>1420</v>
      </c>
      <c r="I185" s="29" t="str">
        <f>IFERROR(VLOOKUP(F185, 'api-register-id'!B:I, 8, FALSE), "Not found path.")</f>
        <v>2.2.2</v>
      </c>
      <c r="J185" s="3" t="s">
        <v>1315</v>
      </c>
      <c r="K185" s="31" t="s">
        <v>48</v>
      </c>
      <c r="L185" s="23" t="s">
        <v>49</v>
      </c>
      <c r="M185" s="3" t="s">
        <v>1422</v>
      </c>
      <c r="N185" s="3" t="str">
        <f t="shared" si="1"/>
        <v>POST /sales/partyLifecycleManagement/v1/partyRelationshipProcedure/initiate</v>
      </c>
      <c r="O185" s="32" t="s">
        <v>1424</v>
      </c>
      <c r="P185" s="32"/>
      <c r="Q185" s="61" t="s">
        <v>1425</v>
      </c>
      <c r="R185" s="31" t="s">
        <v>56</v>
      </c>
      <c r="S185" s="38" t="str">
        <f t="shared" si="2"/>
        <v>https://github.com/SF-Bancoppel/mx-api-bc-dom-party-lifecycle-management</v>
      </c>
      <c r="T185" s="40"/>
      <c r="U185" s="22"/>
      <c r="V185" s="40"/>
      <c r="W185" s="40"/>
      <c r="X185" s="40"/>
      <c r="Y185" s="40"/>
      <c r="Z185" s="22"/>
      <c r="AA185" s="22"/>
      <c r="AB185" s="22"/>
    </row>
    <row r="186" ht="18.75" customHeight="1">
      <c r="A186" s="18" t="str">
        <f t="array" ref="A186">IFERROR(
  INDEX(
    'api-register-id'!A:A,
    MATCH(F186, 'api-register-id'!B:B, 0)
  ),
  "Not found Organization"
)</f>
        <v>SSFF</v>
      </c>
      <c r="B186" s="22" t="str">
        <f>IFERROR(VLOOKUP(F186, 'api-register-id'!B:F, 4, FALSE), "Not found path.")</f>
        <v>mx-api-bc-dom-party-lifecycle-management</v>
      </c>
      <c r="C186" s="23" t="s">
        <v>41</v>
      </c>
      <c r="D186" s="23" t="s">
        <v>119</v>
      </c>
      <c r="E186" s="24" t="str">
        <f>IFERROR(VLOOKUP(F186, 'api-register-id'!B:F, 5, FALSE), "Not found path.")</f>
        <v>APIMX000040</v>
      </c>
      <c r="F186" s="25" t="s">
        <v>624</v>
      </c>
      <c r="G186" s="26" t="s">
        <v>1427</v>
      </c>
      <c r="H186" s="22" t="s">
        <v>1428</v>
      </c>
      <c r="I186" s="29" t="str">
        <f>IFERROR(VLOOKUP(F186, 'api-register-id'!B:I, 8, FALSE), "Not found path.")</f>
        <v>2.2.2</v>
      </c>
      <c r="J186" s="3" t="s">
        <v>1315</v>
      </c>
      <c r="K186" s="31" t="s">
        <v>48</v>
      </c>
      <c r="L186" s="23" t="s">
        <v>108</v>
      </c>
      <c r="M186" s="3" t="s">
        <v>1430</v>
      </c>
      <c r="N186" s="3" t="str">
        <f t="shared" si="1"/>
        <v>GET /sales/partyLifecycleManagement/v1/question/retrieve</v>
      </c>
      <c r="O186" s="32" t="s">
        <v>1432</v>
      </c>
      <c r="P186" s="32"/>
      <c r="Q186" s="61" t="s">
        <v>98</v>
      </c>
      <c r="R186" s="31" t="s">
        <v>56</v>
      </c>
      <c r="S186" s="38" t="str">
        <f t="shared" si="2"/>
        <v>https://github.com/SF-Bancoppel/mx-api-bc-dom-party-lifecycle-management</v>
      </c>
      <c r="T186" s="40"/>
      <c r="U186" s="22"/>
      <c r="V186" s="40"/>
      <c r="W186" s="40"/>
      <c r="X186" s="40"/>
      <c r="Y186" s="40"/>
      <c r="Z186" s="22"/>
      <c r="AA186" s="22"/>
      <c r="AB186" s="22"/>
    </row>
    <row r="187" ht="18.75" customHeight="1">
      <c r="A187" s="18" t="str">
        <f t="array" ref="A187">IFERROR(
  INDEX(
    'api-register-id'!A:A,
    MATCH(F187, 'api-register-id'!B:B, 0)
  ),
  "Not found Organization"
)</f>
        <v>SSFF</v>
      </c>
      <c r="B187" s="22" t="str">
        <f>IFERROR(VLOOKUP(F187, 'api-register-id'!B:F, 4, FALSE), "Not found path.")</f>
        <v>mx-api-bc-dom-party-lifecycle-management</v>
      </c>
      <c r="C187" s="23" t="s">
        <v>41</v>
      </c>
      <c r="D187" s="23" t="s">
        <v>119</v>
      </c>
      <c r="E187" s="24" t="str">
        <f>IFERROR(VLOOKUP(F187, 'api-register-id'!B:F, 5, FALSE), "Not found path.")</f>
        <v>APIMX000040</v>
      </c>
      <c r="F187" s="25" t="s">
        <v>624</v>
      </c>
      <c r="G187" s="26" t="s">
        <v>1433</v>
      </c>
      <c r="H187" s="22" t="s">
        <v>1434</v>
      </c>
      <c r="I187" s="29" t="str">
        <f>IFERROR(VLOOKUP(F187, 'api-register-id'!B:I, 8, FALSE), "Not found path.")</f>
        <v>2.2.2</v>
      </c>
      <c r="J187" s="3" t="s">
        <v>1315</v>
      </c>
      <c r="K187" s="31" t="s">
        <v>48</v>
      </c>
      <c r="L187" s="23" t="s">
        <v>49</v>
      </c>
      <c r="M187" s="3" t="s">
        <v>1435</v>
      </c>
      <c r="N187" s="3" t="str">
        <f t="shared" si="1"/>
        <v>POST /sales/partyLifecycleManagement/v1/partyRelationshipProcedure/retrieve</v>
      </c>
      <c r="O187" s="32" t="s">
        <v>1436</v>
      </c>
      <c r="P187" s="32"/>
      <c r="Q187" s="61" t="s">
        <v>98</v>
      </c>
      <c r="R187" s="31" t="s">
        <v>56</v>
      </c>
      <c r="S187" s="38" t="str">
        <f t="shared" si="2"/>
        <v>https://github.com/SF-Bancoppel/mx-api-bc-dom-party-lifecycle-management</v>
      </c>
      <c r="T187" s="40"/>
      <c r="U187" s="22"/>
      <c r="V187" s="40"/>
      <c r="W187" s="40"/>
      <c r="X187" s="40"/>
      <c r="Y187" s="40"/>
      <c r="Z187" s="22"/>
      <c r="AA187" s="22"/>
      <c r="AB187" s="22"/>
    </row>
    <row r="188" ht="18.75" customHeight="1">
      <c r="A188" s="18" t="str">
        <f t="array" ref="A188">IFERROR(
  INDEX(
    'api-register-id'!A:A,
    MATCH(F188, 'api-register-id'!B:B, 0)
  ),
  "Not found Organization"
)</f>
        <v>SSFF</v>
      </c>
      <c r="B188" s="22" t="str">
        <f>IFERROR(VLOOKUP(F188, 'api-register-id'!B:F, 4, FALSE), "Not found path.")</f>
        <v>mx-api-bc-dom-party-lifecycle-management</v>
      </c>
      <c r="C188" s="23" t="s">
        <v>41</v>
      </c>
      <c r="D188" s="23" t="s">
        <v>119</v>
      </c>
      <c r="E188" s="24" t="str">
        <f>IFERROR(VLOOKUP(F188, 'api-register-id'!B:F, 5, FALSE), "Not found path.")</f>
        <v>APIMX000040</v>
      </c>
      <c r="F188" s="25" t="s">
        <v>624</v>
      </c>
      <c r="G188" s="26" t="s">
        <v>1440</v>
      </c>
      <c r="H188" s="22" t="s">
        <v>1441</v>
      </c>
      <c r="I188" s="29" t="str">
        <f>IFERROR(VLOOKUP(F188, 'api-register-id'!B:I, 8, FALSE), "Not found path.")</f>
        <v>2.2.2</v>
      </c>
      <c r="J188" s="3" t="s">
        <v>1315</v>
      </c>
      <c r="K188" s="31" t="s">
        <v>48</v>
      </c>
      <c r="L188" s="23" t="s">
        <v>428</v>
      </c>
      <c r="M188" s="3" t="s">
        <v>1442</v>
      </c>
      <c r="N188" s="3" t="str">
        <f t="shared" si="1"/>
        <v>PATCH /sales/partyLifecycleManagement/v1/partyRelationshipProcedure/update</v>
      </c>
      <c r="O188" s="32" t="s">
        <v>1443</v>
      </c>
      <c r="P188" s="32"/>
      <c r="Q188" s="61" t="s">
        <v>1444</v>
      </c>
      <c r="R188" s="31" t="s">
        <v>56</v>
      </c>
      <c r="S188" s="38" t="str">
        <f t="shared" si="2"/>
        <v>https://github.com/SF-Bancoppel/mx-api-bc-dom-party-lifecycle-management</v>
      </c>
      <c r="T188" s="40"/>
      <c r="U188" s="22"/>
      <c r="V188" s="40"/>
      <c r="W188" s="40"/>
      <c r="X188" s="40"/>
      <c r="Y188" s="40"/>
      <c r="Z188" s="22"/>
      <c r="AA188" s="22"/>
      <c r="AB188" s="22"/>
    </row>
    <row r="189" ht="18.75" customHeight="1">
      <c r="A189" s="18" t="str">
        <f t="array" ref="A189">IFERROR(
  INDEX(
    'api-register-id'!A:A,
    MATCH(F189, 'api-register-id'!B:B, 0)
  ),
  "Not found Organization"
)</f>
        <v>SSFF</v>
      </c>
      <c r="B189" s="22" t="str">
        <f>IFERROR(VLOOKUP(F189, 'api-register-id'!B:F, 4, FALSE), "Not found path.")</f>
        <v>mx-api-bc-dom-party-lifecycle-management</v>
      </c>
      <c r="C189" s="23" t="s">
        <v>41</v>
      </c>
      <c r="D189" s="23" t="s">
        <v>119</v>
      </c>
      <c r="E189" s="24" t="str">
        <f>IFERROR(VLOOKUP(F189, 'api-register-id'!B:F, 5, FALSE), "Not found path.")</f>
        <v>APIMX000040</v>
      </c>
      <c r="F189" s="25" t="s">
        <v>624</v>
      </c>
      <c r="G189" s="26" t="s">
        <v>1445</v>
      </c>
      <c r="H189" s="22" t="s">
        <v>1446</v>
      </c>
      <c r="I189" s="29" t="str">
        <f>IFERROR(VLOOKUP(F189, 'api-register-id'!B:I, 8, FALSE), "Not found path.")</f>
        <v>2.2.2</v>
      </c>
      <c r="J189" s="3" t="s">
        <v>1315</v>
      </c>
      <c r="K189" s="31" t="s">
        <v>48</v>
      </c>
      <c r="L189" s="23" t="s">
        <v>49</v>
      </c>
      <c r="M189" s="3" t="s">
        <v>1447</v>
      </c>
      <c r="N189" s="3" t="str">
        <f t="shared" si="1"/>
        <v>POST /sales/partyLifecycleManagement/v1/contactPoint/initiate</v>
      </c>
      <c r="O189" s="32" t="s">
        <v>1448</v>
      </c>
      <c r="P189" s="32"/>
      <c r="Q189" s="61" t="s">
        <v>1449</v>
      </c>
      <c r="R189" s="31" t="s">
        <v>56</v>
      </c>
      <c r="S189" s="38" t="str">
        <f t="shared" si="2"/>
        <v>https://github.com/SF-Bancoppel/mx-api-bc-dom-party-lifecycle-management</v>
      </c>
      <c r="T189" s="40"/>
      <c r="U189" s="22"/>
      <c r="V189" s="40"/>
      <c r="W189" s="40"/>
      <c r="X189" s="40"/>
      <c r="Y189" s="40"/>
      <c r="Z189" s="22"/>
      <c r="AA189" s="22"/>
      <c r="AB189" s="22"/>
    </row>
    <row r="190" ht="18.75" customHeight="1">
      <c r="A190" s="18" t="str">
        <f t="array" ref="A190">IFERROR(
  INDEX(
    'api-register-id'!A:A,
    MATCH(F190, 'api-register-id'!B:B, 0)
  ),
  "Not found Organization"
)</f>
        <v>SSFF</v>
      </c>
      <c r="B190" s="22" t="str">
        <f>IFERROR(VLOOKUP(F190, 'api-register-id'!B:F, 4, FALSE), "Not found path.")</f>
        <v>mx-api-bc-dom-party-lifecycle-management</v>
      </c>
      <c r="C190" s="23" t="s">
        <v>41</v>
      </c>
      <c r="D190" s="23" t="s">
        <v>119</v>
      </c>
      <c r="E190" s="24" t="str">
        <f>IFERROR(VLOOKUP(F190, 'api-register-id'!B:F, 5, FALSE), "Not found path.")</f>
        <v>APIMX000040</v>
      </c>
      <c r="F190" s="25" t="s">
        <v>624</v>
      </c>
      <c r="G190" s="26" t="s">
        <v>1453</v>
      </c>
      <c r="H190" s="22" t="s">
        <v>1454</v>
      </c>
      <c r="I190" s="29" t="str">
        <f>IFERROR(VLOOKUP(F190, 'api-register-id'!B:I, 8, FALSE), "Not found path.")</f>
        <v>2.2.2</v>
      </c>
      <c r="J190" s="3" t="s">
        <v>1315</v>
      </c>
      <c r="K190" s="31" t="s">
        <v>48</v>
      </c>
      <c r="L190" s="23" t="s">
        <v>61</v>
      </c>
      <c r="M190" s="3" t="s">
        <v>1455</v>
      </c>
      <c r="N190" s="3" t="str">
        <f t="shared" si="1"/>
        <v>PUT /sales/partyLifecycleManagement/v1/contactPoint/capture</v>
      </c>
      <c r="O190" s="32" t="s">
        <v>1456</v>
      </c>
      <c r="P190" s="32"/>
      <c r="Q190" s="61" t="s">
        <v>1457</v>
      </c>
      <c r="R190" s="31" t="s">
        <v>56</v>
      </c>
      <c r="S190" s="38" t="str">
        <f t="shared" si="2"/>
        <v>https://github.com/SF-Bancoppel/mx-api-bc-dom-party-lifecycle-management</v>
      </c>
      <c r="T190" s="40"/>
      <c r="U190" s="22"/>
      <c r="V190" s="40"/>
      <c r="W190" s="40"/>
      <c r="X190" s="40"/>
      <c r="Y190" s="40"/>
      <c r="Z190" s="22"/>
      <c r="AA190" s="22"/>
      <c r="AB190" s="22"/>
    </row>
    <row r="191" ht="18.75" customHeight="1">
      <c r="A191" s="18" t="str">
        <f t="array" ref="A191">IFERROR(
  INDEX(
    'api-register-id'!A:A,
    MATCH(F191, 'api-register-id'!B:B, 0)
  ),
  "Not found Organization"
)</f>
        <v>SSFF</v>
      </c>
      <c r="B191" s="22" t="str">
        <f>IFERROR(VLOOKUP(F191, 'api-register-id'!B:F, 4, FALSE), "Not found path.")</f>
        <v>mx-api-bc-dom-party-lifecycle-management</v>
      </c>
      <c r="C191" s="23" t="s">
        <v>41</v>
      </c>
      <c r="D191" s="23" t="s">
        <v>119</v>
      </c>
      <c r="E191" s="24" t="str">
        <f>IFERROR(VLOOKUP(F191, 'api-register-id'!B:F, 5, FALSE), "Not found path.")</f>
        <v>APIMX000040</v>
      </c>
      <c r="F191" s="25" t="s">
        <v>624</v>
      </c>
      <c r="G191" s="26" t="s">
        <v>1458</v>
      </c>
      <c r="H191" s="22" t="s">
        <v>1460</v>
      </c>
      <c r="I191" s="29" t="str">
        <f>IFERROR(VLOOKUP(F191, 'api-register-id'!B:I, 8, FALSE), "Not found path.")</f>
        <v>2.2.2</v>
      </c>
      <c r="J191" s="3" t="s">
        <v>1315</v>
      </c>
      <c r="K191" s="31" t="s">
        <v>48</v>
      </c>
      <c r="L191" s="23" t="s">
        <v>428</v>
      </c>
      <c r="M191" s="3" t="s">
        <v>1461</v>
      </c>
      <c r="N191" s="3" t="str">
        <f t="shared" si="1"/>
        <v>PATCH /sales/partyLifecycleManagement/v1/location/{sessionDialogueIdentification}/update</v>
      </c>
      <c r="O191" s="32" t="s">
        <v>1463</v>
      </c>
      <c r="P191" s="32"/>
      <c r="Q191" s="61" t="s">
        <v>1465</v>
      </c>
      <c r="R191" s="31" t="s">
        <v>56</v>
      </c>
      <c r="S191" s="38" t="str">
        <f t="shared" si="2"/>
        <v>https://github.com/SF-Bancoppel/mx-api-bc-dom-party-lifecycle-management</v>
      </c>
      <c r="T191" s="40"/>
      <c r="U191" s="40"/>
      <c r="V191" s="40"/>
      <c r="W191" s="40"/>
      <c r="X191" s="40"/>
      <c r="Y191" s="40"/>
      <c r="Z191" s="40"/>
      <c r="AA191" s="40"/>
      <c r="AB191" s="40"/>
    </row>
    <row r="192" ht="18.75" customHeight="1">
      <c r="A192" s="18" t="str">
        <f t="array" ref="A192">IFERROR(
  INDEX(
    'api-register-id'!A:A,
    MATCH(F192, 'api-register-id'!B:B, 0)
  ),
  "Not found Organization"
)</f>
        <v>SSFF</v>
      </c>
      <c r="B192" s="22" t="str">
        <f>IFERROR(VLOOKUP(F192, 'api-register-id'!B:F, 4, FALSE), "Not found path.")</f>
        <v>mx-api-bc-dom-party-lifecycle-management</v>
      </c>
      <c r="C192" s="23" t="s">
        <v>41</v>
      </c>
      <c r="D192" s="23" t="s">
        <v>119</v>
      </c>
      <c r="E192" s="24" t="str">
        <f>IFERROR(VLOOKUP(F192, 'api-register-id'!B:F, 5, FALSE), "Not found path.")</f>
        <v>APIMX000040</v>
      </c>
      <c r="F192" s="25" t="s">
        <v>624</v>
      </c>
      <c r="G192" s="26" t="s">
        <v>1466</v>
      </c>
      <c r="H192" s="22" t="s">
        <v>1467</v>
      </c>
      <c r="I192" s="29" t="str">
        <f>IFERROR(VLOOKUP(F192, 'api-register-id'!B:I, 8, FALSE), "Not found path.")</f>
        <v>2.2.2</v>
      </c>
      <c r="J192" s="3" t="s">
        <v>1315</v>
      </c>
      <c r="K192" s="31" t="s">
        <v>48</v>
      </c>
      <c r="L192" s="23" t="s">
        <v>428</v>
      </c>
      <c r="M192" s="3" t="s">
        <v>1468</v>
      </c>
      <c r="N192" s="3" t="str">
        <f t="shared" si="1"/>
        <v>PATCH /sales/partyLifecycleManagement/v1/resourceProvider/update</v>
      </c>
      <c r="O192" s="32" t="s">
        <v>1469</v>
      </c>
      <c r="P192" s="32"/>
      <c r="Q192" s="61" t="s">
        <v>1470</v>
      </c>
      <c r="R192" s="31" t="s">
        <v>56</v>
      </c>
      <c r="S192" s="38" t="str">
        <f t="shared" si="2"/>
        <v>https://github.com/SF-Bancoppel/mx-api-bc-dom-party-lifecycle-management</v>
      </c>
      <c r="T192" s="40"/>
      <c r="U192" s="22"/>
      <c r="V192" s="40"/>
      <c r="W192" s="40"/>
      <c r="X192" s="40"/>
      <c r="Y192" s="40"/>
      <c r="Z192" s="22"/>
      <c r="AA192" s="22"/>
      <c r="AB192" s="22"/>
    </row>
    <row r="193" ht="18.75" customHeight="1">
      <c r="A193" s="18" t="str">
        <f t="array" ref="A193">IFERROR(
  INDEX(
    'api-register-id'!A:A,
    MATCH(F193, 'api-register-id'!B:B, 0)
  ),
  "Not found Organization"
)</f>
        <v>SSFF</v>
      </c>
      <c r="B193" s="22" t="str">
        <f>IFERROR(VLOOKUP(F193, 'api-register-id'!B:F, 4, FALSE), "Not found path.")</f>
        <v>mx-api-bc-dom-party-lifecycle-management</v>
      </c>
      <c r="C193" s="23" t="s">
        <v>41</v>
      </c>
      <c r="D193" s="23" t="s">
        <v>119</v>
      </c>
      <c r="E193" s="24" t="str">
        <f>IFERROR(VLOOKUP(F193, 'api-register-id'!B:F, 5, FALSE), "Not found path.")</f>
        <v>APIMX000040</v>
      </c>
      <c r="F193" s="25" t="s">
        <v>624</v>
      </c>
      <c r="G193" s="26" t="s">
        <v>1472</v>
      </c>
      <c r="H193" s="22" t="s">
        <v>1473</v>
      </c>
      <c r="I193" s="29" t="str">
        <f>IFERROR(VLOOKUP(F193, 'api-register-id'!B:I, 8, FALSE), "Not found path.")</f>
        <v>2.2.2</v>
      </c>
      <c r="J193" s="3" t="s">
        <v>1315</v>
      </c>
      <c r="K193" s="31" t="s">
        <v>48</v>
      </c>
      <c r="L193" s="23" t="s">
        <v>49</v>
      </c>
      <c r="M193" s="3" t="s">
        <v>1474</v>
      </c>
      <c r="N193" s="3" t="str">
        <f t="shared" si="1"/>
        <v>POST /sales/partyLifecycleManagement/v1/resourceProvider/initiate</v>
      </c>
      <c r="O193" s="32" t="s">
        <v>1476</v>
      </c>
      <c r="P193" s="32"/>
      <c r="Q193" s="61" t="s">
        <v>1477</v>
      </c>
      <c r="R193" s="31" t="s">
        <v>56</v>
      </c>
      <c r="S193" s="38" t="str">
        <f t="shared" si="2"/>
        <v>https://github.com/SF-Bancoppel/mx-api-bc-dom-party-lifecycle-management</v>
      </c>
      <c r="T193" s="40"/>
      <c r="U193" s="40"/>
      <c r="V193" s="40"/>
      <c r="W193" s="40"/>
      <c r="X193" s="40"/>
      <c r="Y193" s="40"/>
      <c r="Z193" s="40"/>
      <c r="AA193" s="40"/>
      <c r="AB193" s="40"/>
    </row>
    <row r="194" ht="18.75" customHeight="1">
      <c r="A194" s="18" t="str">
        <f t="array" ref="A194">IFERROR(
  INDEX(
    'api-register-id'!A:A,
    MATCH(F194, 'api-register-id'!B:B, 0)
  ),
  "Not found Organization"
)</f>
        <v>SSFF</v>
      </c>
      <c r="B194" s="22" t="str">
        <f>IFERROR(VLOOKUP(F194, 'api-register-id'!B:F, 4, FALSE), "Not found path.")</f>
        <v>mx-api-bc-dom-party-lifecycle-management</v>
      </c>
      <c r="C194" s="23" t="s">
        <v>41</v>
      </c>
      <c r="D194" s="23" t="s">
        <v>119</v>
      </c>
      <c r="E194" s="24" t="str">
        <f>IFERROR(VLOOKUP(F194, 'api-register-id'!B:F, 5, FALSE), "Not found path.")</f>
        <v>APIMX000040</v>
      </c>
      <c r="F194" s="25" t="s">
        <v>624</v>
      </c>
      <c r="G194" s="26" t="s">
        <v>1480</v>
      </c>
      <c r="H194" s="22" t="s">
        <v>1280</v>
      </c>
      <c r="I194" s="29" t="str">
        <f>IFERROR(VLOOKUP(F194, 'api-register-id'!B:I, 8, FALSE), "Not found path.")</f>
        <v>2.2.2</v>
      </c>
      <c r="J194" s="3" t="s">
        <v>1315</v>
      </c>
      <c r="K194" s="31" t="s">
        <v>48</v>
      </c>
      <c r="L194" s="23" t="s">
        <v>49</v>
      </c>
      <c r="M194" s="3" t="s">
        <v>1282</v>
      </c>
      <c r="N194" s="3" t="str">
        <f t="shared" si="1"/>
        <v>POST /sales/partyLifecycleManagement/v1/location/register</v>
      </c>
      <c r="O194" s="32" t="s">
        <v>1481</v>
      </c>
      <c r="P194" s="32"/>
      <c r="Q194" s="61" t="s">
        <v>1482</v>
      </c>
      <c r="R194" s="31" t="s">
        <v>56</v>
      </c>
      <c r="S194" s="38" t="str">
        <f t="shared" si="2"/>
        <v>https://github.com/SF-Bancoppel/mx-api-bc-dom-party-lifecycle-management</v>
      </c>
      <c r="T194" s="40"/>
      <c r="U194" s="40"/>
      <c r="V194" s="40"/>
      <c r="W194" s="40"/>
      <c r="X194" s="40"/>
      <c r="Y194" s="40"/>
      <c r="Z194" s="40"/>
      <c r="AA194" s="40"/>
      <c r="AB194" s="40"/>
    </row>
    <row r="195" ht="18.75" customHeight="1">
      <c r="A195" s="18" t="str">
        <f t="array" ref="A195">IFERROR(
  INDEX(
    'api-register-id'!A:A,
    MATCH(F195, 'api-register-id'!B:B, 0)
  ),
  "Not found Organization"
)</f>
        <v>SSFF</v>
      </c>
      <c r="B195" s="22" t="str">
        <f>IFERROR(VLOOKUP(F195, 'api-register-id'!B:F, 4, FALSE), "Not found path.")</f>
        <v>mx-api-bc-dom-party-lifecycle-management</v>
      </c>
      <c r="C195" s="23" t="s">
        <v>41</v>
      </c>
      <c r="D195" s="23" t="s">
        <v>119</v>
      </c>
      <c r="E195" s="24" t="str">
        <f>IFERROR(VLOOKUP(F195, 'api-register-id'!B:F, 5, FALSE), "Not found path.")</f>
        <v>APIMX000040</v>
      </c>
      <c r="F195" s="25" t="s">
        <v>624</v>
      </c>
      <c r="G195" s="26" t="s">
        <v>1484</v>
      </c>
      <c r="H195" s="22" t="s">
        <v>1485</v>
      </c>
      <c r="I195" s="29" t="str">
        <f>IFERROR(VLOOKUP(F195, 'api-register-id'!B:I, 8, FALSE), "Not found path.")</f>
        <v>2.2.2</v>
      </c>
      <c r="J195" s="3" t="s">
        <v>1315</v>
      </c>
      <c r="K195" s="31" t="s">
        <v>48</v>
      </c>
      <c r="L195" s="23" t="s">
        <v>49</v>
      </c>
      <c r="M195" s="3" t="s">
        <v>1488</v>
      </c>
      <c r="N195" s="3" t="str">
        <f t="shared" si="1"/>
        <v>POST /sales/partyLifecycleManagement/v1/location/retrieve</v>
      </c>
      <c r="O195" s="32" t="s">
        <v>1349</v>
      </c>
      <c r="P195" s="32"/>
      <c r="Q195" s="61" t="s">
        <v>1489</v>
      </c>
      <c r="R195" s="31" t="s">
        <v>56</v>
      </c>
      <c r="S195" s="38" t="str">
        <f t="shared" si="2"/>
        <v>https://github.com/SF-Bancoppel/mx-api-bc-dom-party-lifecycle-management</v>
      </c>
      <c r="T195" s="40"/>
      <c r="U195" s="40"/>
      <c r="V195" s="40"/>
      <c r="W195" s="40"/>
      <c r="X195" s="40"/>
      <c r="Y195" s="40"/>
      <c r="Z195" s="40"/>
      <c r="AA195" s="40"/>
      <c r="AB195" s="40"/>
    </row>
    <row r="196" ht="18.75" customHeight="1">
      <c r="A196" s="18" t="str">
        <f t="array" ref="A196">IFERROR(
  INDEX(
    'api-register-id'!A:A,
    MATCH(F196, 'api-register-id'!B:B, 0)
  ),
  "Not found Organization"
)</f>
        <v>SSFF</v>
      </c>
      <c r="B196" s="22" t="str">
        <f>IFERROR(VLOOKUP(F196, 'api-register-id'!B:F, 4, FALSE), "Not found path.")</f>
        <v>mx-api-bc-dom-party-lifecycle-management</v>
      </c>
      <c r="C196" s="23" t="s">
        <v>41</v>
      </c>
      <c r="D196" s="23" t="s">
        <v>119</v>
      </c>
      <c r="E196" s="24" t="str">
        <f>IFERROR(VLOOKUP(F196, 'api-register-id'!B:F, 5, FALSE), "Not found path.")</f>
        <v>APIMX000040</v>
      </c>
      <c r="F196" s="25" t="s">
        <v>624</v>
      </c>
      <c r="G196" s="26" t="s">
        <v>1490</v>
      </c>
      <c r="H196" s="22" t="s">
        <v>1491</v>
      </c>
      <c r="I196" s="29" t="str">
        <f>IFERROR(VLOOKUP(F196, 'api-register-id'!B:I, 8, FALSE), "Not found path.")</f>
        <v>2.2.2</v>
      </c>
      <c r="J196" s="3" t="s">
        <v>1315</v>
      </c>
      <c r="K196" s="31" t="s">
        <v>48</v>
      </c>
      <c r="L196" s="23" t="s">
        <v>49</v>
      </c>
      <c r="M196" s="3" t="s">
        <v>1492</v>
      </c>
      <c r="N196" s="3" t="str">
        <f t="shared" si="1"/>
        <v>POST /sales/partyLifecycleManagement/v1/partyReference/retrieve</v>
      </c>
      <c r="O196" s="32" t="s">
        <v>1493</v>
      </c>
      <c r="P196" s="32"/>
      <c r="Q196" s="61" t="s">
        <v>1494</v>
      </c>
      <c r="R196" s="31" t="s">
        <v>56</v>
      </c>
      <c r="S196" s="38" t="str">
        <f t="shared" si="2"/>
        <v>https://github.com/SF-Bancoppel/mx-api-bc-dom-party-lifecycle-management</v>
      </c>
      <c r="T196" s="40"/>
      <c r="U196" s="22"/>
      <c r="V196" s="40"/>
      <c r="W196" s="40"/>
      <c r="X196" s="40"/>
      <c r="Y196" s="40"/>
      <c r="Z196" s="22"/>
      <c r="AA196" s="22"/>
      <c r="AB196" s="22"/>
    </row>
    <row r="197" ht="18.75" customHeight="1">
      <c r="A197" s="18" t="str">
        <f t="array" ref="A197">IFERROR(
  INDEX(
    'api-register-id'!A:A,
    MATCH(F197, 'api-register-id'!B:B, 0)
  ),
  "Not found Organization"
)</f>
        <v>SSFF</v>
      </c>
      <c r="B197" s="22" t="str">
        <f>IFERROR(VLOOKUP(F197, 'api-register-id'!B:F, 4, FALSE), "Not found path.")</f>
        <v>mx-api-bc-dom-party-lifecycle-management</v>
      </c>
      <c r="C197" s="23" t="s">
        <v>41</v>
      </c>
      <c r="D197" s="23" t="s">
        <v>119</v>
      </c>
      <c r="E197" s="24" t="str">
        <f>IFERROR(VLOOKUP(F197, 'api-register-id'!B:F, 5, FALSE), "Not found path.")</f>
        <v>APIMX000040</v>
      </c>
      <c r="F197" s="25" t="s">
        <v>624</v>
      </c>
      <c r="G197" s="26" t="s">
        <v>1496</v>
      </c>
      <c r="H197" s="22" t="s">
        <v>1497</v>
      </c>
      <c r="I197" s="29" t="str">
        <f>IFERROR(VLOOKUP(F197, 'api-register-id'!B:I, 8, FALSE), "Not found path.")</f>
        <v>2.2.2</v>
      </c>
      <c r="J197" s="3" t="s">
        <v>1315</v>
      </c>
      <c r="K197" s="31" t="s">
        <v>48</v>
      </c>
      <c r="L197" s="23" t="s">
        <v>108</v>
      </c>
      <c r="M197" s="3" t="s">
        <v>1500</v>
      </c>
      <c r="N197" s="3" t="str">
        <f t="shared" si="1"/>
        <v>GET /sales/partyLifecycleManagement/v1/validation/{sessionDialogueIdentification}/retrieve</v>
      </c>
      <c r="O197" s="32" t="s">
        <v>1501</v>
      </c>
      <c r="P197" s="32"/>
      <c r="Q197" s="61" t="s">
        <v>98</v>
      </c>
      <c r="R197" s="31" t="s">
        <v>56</v>
      </c>
      <c r="S197" s="38" t="str">
        <f t="shared" si="2"/>
        <v>https://github.com/SF-Bancoppel/mx-api-bc-dom-party-lifecycle-management</v>
      </c>
      <c r="T197" s="40"/>
      <c r="U197" s="22"/>
      <c r="V197" s="40"/>
      <c r="W197" s="40"/>
      <c r="X197" s="40"/>
      <c r="Y197" s="40"/>
      <c r="Z197" s="22"/>
      <c r="AA197" s="22"/>
      <c r="AB197" s="22"/>
    </row>
    <row r="198" ht="18.75" customHeight="1">
      <c r="A198" s="18" t="str">
        <f t="array" ref="A198">IFERROR(
  INDEX(
    'api-register-id'!A:A,
    MATCH(F198, 'api-register-id'!B:B, 0)
  ),
  "Not found Organization"
)</f>
        <v>SSFF</v>
      </c>
      <c r="B198" s="22" t="str">
        <f>IFERROR(VLOOKUP(F198, 'api-register-id'!B:F, 4, FALSE), "Not found path.")</f>
        <v>mx-api-bc-dom-party-reference-data-directory</v>
      </c>
      <c r="C198" s="23" t="s">
        <v>41</v>
      </c>
      <c r="D198" s="23" t="s">
        <v>119</v>
      </c>
      <c r="E198" s="24" t="str">
        <f>IFERROR(VLOOKUP(F198, 'api-register-id'!B:F, 5, FALSE), "Not found path.")</f>
        <v>APIMX000041</v>
      </c>
      <c r="F198" s="25" t="s">
        <v>637</v>
      </c>
      <c r="G198" s="26" t="s">
        <v>1502</v>
      </c>
      <c r="H198" s="22" t="s">
        <v>1503</v>
      </c>
      <c r="I198" s="29" t="str">
        <f>IFERROR(VLOOKUP(F198, 'api-register-id'!B:I, 8, FALSE), "Not found path.")</f>
        <v>1.7.2</v>
      </c>
      <c r="J198" s="3" t="s">
        <v>1504</v>
      </c>
      <c r="K198" s="31" t="s">
        <v>48</v>
      </c>
      <c r="L198" s="23" t="s">
        <v>49</v>
      </c>
      <c r="M198" s="3" t="s">
        <v>1505</v>
      </c>
      <c r="N198" s="3" t="str">
        <f t="shared" si="1"/>
        <v>POST /customerManagement/partyReferenceDataDirectory/v1/contactPoint/evaluate</v>
      </c>
      <c r="O198" s="32" t="s">
        <v>1506</v>
      </c>
      <c r="P198" s="32"/>
      <c r="Q198" s="61" t="s">
        <v>1507</v>
      </c>
      <c r="R198" s="31" t="s">
        <v>56</v>
      </c>
      <c r="S198" s="38" t="str">
        <f t="shared" si="2"/>
        <v>https://github.com/SF-Bancoppel/mx-api-bc-dom-party-reference-data-directory</v>
      </c>
      <c r="T198" s="40"/>
      <c r="U198" s="22"/>
      <c r="V198" s="40"/>
      <c r="W198" s="40"/>
      <c r="X198" s="40"/>
      <c r="Y198" s="40"/>
      <c r="Z198" s="22"/>
      <c r="AA198" s="22"/>
      <c r="AB198" s="22"/>
    </row>
    <row r="199" ht="18.75" customHeight="1">
      <c r="A199" s="18" t="str">
        <f t="array" ref="A199">IFERROR(
  INDEX(
    'api-register-id'!A:A,
    MATCH(F199, 'api-register-id'!B:B, 0)
  ),
  "Not found Organization"
)</f>
        <v>SSFF</v>
      </c>
      <c r="B199" s="22" t="str">
        <f>IFERROR(VLOOKUP(F199, 'api-register-id'!B:F, 4, FALSE), "Not found path.")</f>
        <v>mx-api-bc-dom-party-reference-data-directory</v>
      </c>
      <c r="C199" s="23" t="s">
        <v>41</v>
      </c>
      <c r="D199" s="23" t="s">
        <v>119</v>
      </c>
      <c r="E199" s="24" t="str">
        <f>IFERROR(VLOOKUP(F199, 'api-register-id'!B:F, 5, FALSE), "Not found path.")</f>
        <v>APIMX000041</v>
      </c>
      <c r="F199" s="25" t="s">
        <v>637</v>
      </c>
      <c r="G199" s="26" t="s">
        <v>1509</v>
      </c>
      <c r="H199" s="22" t="s">
        <v>1511</v>
      </c>
      <c r="I199" s="29" t="str">
        <f>IFERROR(VLOOKUP(F199, 'api-register-id'!B:I, 8, FALSE), "Not found path.")</f>
        <v>1.7.2</v>
      </c>
      <c r="J199" s="3" t="s">
        <v>1504</v>
      </c>
      <c r="K199" s="31" t="s">
        <v>48</v>
      </c>
      <c r="L199" s="23" t="s">
        <v>49</v>
      </c>
      <c r="M199" s="3" t="s">
        <v>1513</v>
      </c>
      <c r="N199" s="3" t="str">
        <f t="shared" si="1"/>
        <v>POST /customerManagement/partyReferenceDataDirectory/v1/partyReferenceDataDirectoryEntry/retrieve</v>
      </c>
      <c r="O199" s="32" t="s">
        <v>1514</v>
      </c>
      <c r="P199" s="32"/>
      <c r="Q199" s="61" t="s">
        <v>1515</v>
      </c>
      <c r="R199" s="31" t="s">
        <v>56</v>
      </c>
      <c r="S199" s="38" t="str">
        <f t="shared" si="2"/>
        <v>https://github.com/SF-Bancoppel/mx-api-bc-dom-party-reference-data-directory</v>
      </c>
      <c r="T199" s="40"/>
      <c r="U199" s="22"/>
      <c r="V199" s="40"/>
      <c r="W199" s="40"/>
      <c r="X199" s="40"/>
      <c r="Y199" s="40"/>
      <c r="Z199" s="22"/>
      <c r="AA199" s="22"/>
      <c r="AB199" s="22"/>
    </row>
    <row r="200" ht="18.75" customHeight="1">
      <c r="A200" s="18" t="str">
        <f t="array" ref="A200">IFERROR(
  INDEX(
    'api-register-id'!A:A,
    MATCH(F200, 'api-register-id'!B:B, 0)
  ),
  "Not found Organization"
)</f>
        <v>SSFF</v>
      </c>
      <c r="B200" s="22" t="str">
        <f>IFERROR(VLOOKUP(F200, 'api-register-id'!B:F, 4, FALSE), "Not found path.")</f>
        <v>mx-api-bc-dom-party-reference-data-directory</v>
      </c>
      <c r="C200" s="23" t="s">
        <v>41</v>
      </c>
      <c r="D200" s="23" t="s">
        <v>119</v>
      </c>
      <c r="E200" s="24" t="str">
        <f>IFERROR(VLOOKUP(F200, 'api-register-id'!B:F, 5, FALSE), "Not found path.")</f>
        <v>APIMX000041</v>
      </c>
      <c r="F200" s="25" t="s">
        <v>637</v>
      </c>
      <c r="G200" s="26" t="s">
        <v>1516</v>
      </c>
      <c r="H200" s="22" t="s">
        <v>1517</v>
      </c>
      <c r="I200" s="29" t="str">
        <f>IFERROR(VLOOKUP(F200, 'api-register-id'!B:I, 8, FALSE), "Not found path.")</f>
        <v>1.7.2</v>
      </c>
      <c r="J200" s="3" t="s">
        <v>1504</v>
      </c>
      <c r="K200" s="31" t="s">
        <v>48</v>
      </c>
      <c r="L200" s="23" t="s">
        <v>49</v>
      </c>
      <c r="M200" s="3" t="s">
        <v>1518</v>
      </c>
      <c r="N200" s="3" t="str">
        <f t="shared" si="1"/>
        <v>POST /customerManagement/partyReferenceDataDirectory/v1/partyReferenceDataDirectoryEntry/evaluate</v>
      </c>
      <c r="O200" s="32" t="s">
        <v>1519</v>
      </c>
      <c r="P200" s="32"/>
      <c r="Q200" s="61" t="s">
        <v>98</v>
      </c>
      <c r="R200" s="31" t="s">
        <v>56</v>
      </c>
      <c r="S200" s="38" t="str">
        <f t="shared" si="2"/>
        <v>https://github.com/SF-Bancoppel/mx-api-bc-dom-party-reference-data-directory</v>
      </c>
      <c r="T200" s="40"/>
      <c r="U200" s="22"/>
      <c r="V200" s="40"/>
      <c r="W200" s="40"/>
      <c r="X200" s="40"/>
      <c r="Y200" s="40"/>
      <c r="Z200" s="22"/>
      <c r="AA200" s="22"/>
      <c r="AB200" s="22"/>
    </row>
    <row r="201" ht="18.75" customHeight="1">
      <c r="A201" s="18" t="str">
        <f t="array" ref="A201">IFERROR(
  INDEX(
    'api-register-id'!A:A,
    MATCH(F201, 'api-register-id'!B:B, 0)
  ),
  "Not found Organization"
)</f>
        <v>SSFF</v>
      </c>
      <c r="B201" s="22" t="str">
        <f>IFERROR(VLOOKUP(F201, 'api-register-id'!B:F, 4, FALSE), "Not found path.")</f>
        <v>mx-api-bc-dom-party-reference-data-directory</v>
      </c>
      <c r="C201" s="23" t="s">
        <v>41</v>
      </c>
      <c r="D201" s="23" t="s">
        <v>119</v>
      </c>
      <c r="E201" s="24" t="str">
        <f>IFERROR(VLOOKUP(F201, 'api-register-id'!B:F, 5, FALSE), "Not found path.")</f>
        <v>APIMX000041</v>
      </c>
      <c r="F201" s="25" t="s">
        <v>637</v>
      </c>
      <c r="G201" s="26" t="s">
        <v>1523</v>
      </c>
      <c r="H201" s="22" t="s">
        <v>1524</v>
      </c>
      <c r="I201" s="29" t="str">
        <f>IFERROR(VLOOKUP(F201, 'api-register-id'!B:I, 8, FALSE), "Not found path.")</f>
        <v>1.7.2</v>
      </c>
      <c r="J201" s="3" t="s">
        <v>1504</v>
      </c>
      <c r="K201" s="31" t="s">
        <v>48</v>
      </c>
      <c r="L201" s="23" t="s">
        <v>49</v>
      </c>
      <c r="M201" s="3" t="s">
        <v>1525</v>
      </c>
      <c r="N201" s="3" t="str">
        <f t="shared" si="1"/>
        <v>POST /customerManagement/partyReferenceDataDirectory/v1/pendingOperations/evaluate</v>
      </c>
      <c r="O201" s="32" t="s">
        <v>1526</v>
      </c>
      <c r="P201" s="32"/>
      <c r="Q201" s="61" t="s">
        <v>98</v>
      </c>
      <c r="R201" s="31" t="s">
        <v>56</v>
      </c>
      <c r="S201" s="38" t="str">
        <f t="shared" si="2"/>
        <v>https://github.com/SF-Bancoppel/mx-api-bc-dom-party-reference-data-directory</v>
      </c>
      <c r="T201" s="40"/>
      <c r="U201" s="22"/>
      <c r="V201" s="40"/>
      <c r="W201" s="40"/>
      <c r="X201" s="40"/>
      <c r="Y201" s="40"/>
      <c r="Z201" s="22"/>
      <c r="AA201" s="22"/>
      <c r="AB201" s="22"/>
    </row>
    <row r="202" ht="18.75" customHeight="1">
      <c r="A202" s="18" t="str">
        <f t="array" ref="A202">IFERROR(
  INDEX(
    'api-register-id'!A:A,
    MATCH(F202, 'api-register-id'!B:B, 0)
  ),
  "Not found Organization"
)</f>
        <v>SSFF</v>
      </c>
      <c r="B202" s="22" t="str">
        <f>IFERROR(VLOOKUP(F202, 'api-register-id'!B:F, 4, FALSE), "Not found path.")</f>
        <v>mx-api-bc-dom-party-reference-data-directory</v>
      </c>
      <c r="C202" s="23" t="s">
        <v>41</v>
      </c>
      <c r="D202" s="23" t="s">
        <v>119</v>
      </c>
      <c r="E202" s="24" t="str">
        <f>IFERROR(VLOOKUP(F202, 'api-register-id'!B:F, 5, FALSE), "Not found path.")</f>
        <v>APIMX000041</v>
      </c>
      <c r="F202" s="25" t="s">
        <v>637</v>
      </c>
      <c r="G202" s="26" t="s">
        <v>1527</v>
      </c>
      <c r="H202" s="22" t="s">
        <v>1528</v>
      </c>
      <c r="I202" s="29" t="str">
        <f>IFERROR(VLOOKUP(F202, 'api-register-id'!B:I, 8, FALSE), "Not found path.")</f>
        <v>1.7.2</v>
      </c>
      <c r="J202" s="3" t="s">
        <v>1504</v>
      </c>
      <c r="K202" s="31" t="s">
        <v>48</v>
      </c>
      <c r="L202" s="23" t="s">
        <v>61</v>
      </c>
      <c r="M202" s="3" t="s">
        <v>1529</v>
      </c>
      <c r="N202" s="3" t="str">
        <f t="shared" si="1"/>
        <v>PUT /customerManagement/partyReferenceDataDirectory/v1/notificationFacility/execute</v>
      </c>
      <c r="O202" s="32" t="s">
        <v>1530</v>
      </c>
      <c r="P202" s="32"/>
      <c r="Q202" s="61" t="s">
        <v>98</v>
      </c>
      <c r="R202" s="31" t="s">
        <v>56</v>
      </c>
      <c r="S202" s="38" t="str">
        <f t="shared" si="2"/>
        <v>https://github.com/SF-Bancoppel/mx-api-bc-dom-party-reference-data-directory</v>
      </c>
      <c r="T202" s="40"/>
      <c r="U202" s="22"/>
      <c r="V202" s="40"/>
      <c r="W202" s="40"/>
      <c r="X202" s="40"/>
      <c r="Y202" s="40"/>
      <c r="Z202" s="22"/>
      <c r="AA202" s="22"/>
      <c r="AB202" s="22"/>
    </row>
    <row r="203" ht="18.75" customHeight="1">
      <c r="A203" s="18" t="str">
        <f t="array" ref="A203">IFERROR(
  INDEX(
    'api-register-id'!A:A,
    MATCH(F203, 'api-register-id'!B:B, 0)
  ),
  "Not found Organization"
)</f>
        <v>SSFF</v>
      </c>
      <c r="B203" s="22" t="str">
        <f>IFERROR(VLOOKUP(F203, 'api-register-id'!B:F, 4, FALSE), "Not found path.")</f>
        <v>mx-api-bc-dom-party-reference-data-directory</v>
      </c>
      <c r="C203" s="23" t="s">
        <v>41</v>
      </c>
      <c r="D203" s="23" t="s">
        <v>119</v>
      </c>
      <c r="E203" s="24" t="str">
        <f>IFERROR(VLOOKUP(F203, 'api-register-id'!B:F, 5, FALSE), "Not found path.")</f>
        <v>APIMX000041</v>
      </c>
      <c r="F203" s="25" t="s">
        <v>637</v>
      </c>
      <c r="G203" s="26" t="s">
        <v>1534</v>
      </c>
      <c r="H203" s="22" t="s">
        <v>1535</v>
      </c>
      <c r="I203" s="29" t="str">
        <f>IFERROR(VLOOKUP(F203, 'api-register-id'!B:I, 8, FALSE), "Not found path.")</f>
        <v>1.7.2</v>
      </c>
      <c r="J203" s="3" t="s">
        <v>1504</v>
      </c>
      <c r="K203" s="31" t="s">
        <v>48</v>
      </c>
      <c r="L203" s="23" t="s">
        <v>49</v>
      </c>
      <c r="M203" s="3" t="s">
        <v>1536</v>
      </c>
      <c r="N203" s="3" t="str">
        <f t="shared" si="1"/>
        <v>POST /customerManagement/partyReferenceDataDirectory/v1/contactPoint/register</v>
      </c>
      <c r="O203" s="32" t="s">
        <v>1538</v>
      </c>
      <c r="P203" s="32"/>
      <c r="Q203" s="61" t="s">
        <v>98</v>
      </c>
      <c r="R203" s="31" t="s">
        <v>56</v>
      </c>
      <c r="S203" s="38" t="str">
        <f t="shared" si="2"/>
        <v>https://github.com/SF-Bancoppel/mx-api-bc-dom-party-reference-data-directory</v>
      </c>
      <c r="T203" s="40"/>
      <c r="U203" s="22"/>
      <c r="V203" s="40"/>
      <c r="W203" s="40"/>
      <c r="X203" s="40"/>
      <c r="Y203" s="40"/>
      <c r="Z203" s="22"/>
      <c r="AA203" s="22"/>
      <c r="AB203" s="22"/>
    </row>
    <row r="204" ht="18.75" customHeight="1">
      <c r="A204" s="18" t="str">
        <f t="array" ref="A204">IFERROR(
  INDEX(
    'api-register-id'!A:A,
    MATCH(F204, 'api-register-id'!B:B, 0)
  ),
  "Not found Organization"
)</f>
        <v>SSFF</v>
      </c>
      <c r="B204" s="22" t="str">
        <f>IFERROR(VLOOKUP(F204, 'api-register-id'!B:F, 4, FALSE), "Not found path.")</f>
        <v>mx-api-bc-dom-party-reference-data-directory</v>
      </c>
      <c r="C204" s="23" t="s">
        <v>41</v>
      </c>
      <c r="D204" s="23" t="s">
        <v>119</v>
      </c>
      <c r="E204" s="24" t="str">
        <f>IFERROR(VLOOKUP(F204, 'api-register-id'!B:F, 5, FALSE), "Not found path.")</f>
        <v>APIMX000041</v>
      </c>
      <c r="F204" s="25" t="s">
        <v>637</v>
      </c>
      <c r="G204" s="26" t="s">
        <v>1542</v>
      </c>
      <c r="H204" s="22" t="s">
        <v>1543</v>
      </c>
      <c r="I204" s="29" t="str">
        <f>IFERROR(VLOOKUP(F204, 'api-register-id'!B:I, 8, FALSE), "Not found path.")</f>
        <v>1.7.2</v>
      </c>
      <c r="J204" s="3" t="s">
        <v>1504</v>
      </c>
      <c r="K204" s="31" t="s">
        <v>48</v>
      </c>
      <c r="L204" s="23" t="s">
        <v>49</v>
      </c>
      <c r="M204" s="3" t="s">
        <v>1544</v>
      </c>
      <c r="N204" s="3" t="str">
        <f t="shared" si="1"/>
        <v>POST /customerManagement/partyReferenceDataDirectory/v1/partyReferenceDataDirectoryEntry/register</v>
      </c>
      <c r="O204" s="32" t="s">
        <v>1545</v>
      </c>
      <c r="P204" s="32"/>
      <c r="Q204" s="61" t="s">
        <v>98</v>
      </c>
      <c r="R204" s="31" t="s">
        <v>56</v>
      </c>
      <c r="S204" s="38" t="str">
        <f t="shared" si="2"/>
        <v>https://github.com/SF-Bancoppel/mx-api-bc-dom-party-reference-data-directory</v>
      </c>
      <c r="T204" s="40"/>
      <c r="U204" s="22"/>
      <c r="V204" s="22"/>
      <c r="W204" s="40"/>
      <c r="X204" s="40"/>
      <c r="Y204" s="40"/>
      <c r="Z204" s="22"/>
      <c r="AA204" s="22"/>
      <c r="AB204" s="22"/>
    </row>
    <row r="205" ht="18.75" customHeight="1">
      <c r="A205" s="18" t="str">
        <f t="array" ref="A205">IFERROR(
  INDEX(
    'api-register-id'!A:A,
    MATCH(F205, 'api-register-id'!B:B, 0)
  ),
  "Not found Organization"
)</f>
        <v>SSFF</v>
      </c>
      <c r="B205" s="22" t="str">
        <f>IFERROR(VLOOKUP(F205, 'api-register-id'!B:F, 4, FALSE), "Not found path.")</f>
        <v>mx-api-bc-dom-party-reference-data-directory</v>
      </c>
      <c r="C205" s="23" t="s">
        <v>41</v>
      </c>
      <c r="D205" s="23" t="s">
        <v>119</v>
      </c>
      <c r="E205" s="24" t="str">
        <f>IFERROR(VLOOKUP(F205, 'api-register-id'!B:F, 5, FALSE), "Not found path.")</f>
        <v>APIMX000041</v>
      </c>
      <c r="F205" s="25" t="s">
        <v>637</v>
      </c>
      <c r="G205" s="26" t="s">
        <v>1546</v>
      </c>
      <c r="H205" s="22" t="s">
        <v>1547</v>
      </c>
      <c r="I205" s="29" t="str">
        <f>IFERROR(VLOOKUP(F205, 'api-register-id'!B:I, 8, FALSE), "Not found path.")</f>
        <v>1.7.2</v>
      </c>
      <c r="J205" s="3" t="s">
        <v>1504</v>
      </c>
      <c r="K205" s="31" t="s">
        <v>48</v>
      </c>
      <c r="L205" s="23" t="s">
        <v>428</v>
      </c>
      <c r="M205" s="3" t="s">
        <v>1549</v>
      </c>
      <c r="N205" s="3" t="str">
        <f t="shared" si="1"/>
        <v>PATCH /customerManagement/partyReferenceDataDirectory/v1/contactPoint/control</v>
      </c>
      <c r="O205" s="32" t="s">
        <v>1550</v>
      </c>
      <c r="P205" s="32"/>
      <c r="Q205" s="61" t="s">
        <v>98</v>
      </c>
      <c r="R205" s="31" t="s">
        <v>56</v>
      </c>
      <c r="S205" s="38" t="str">
        <f t="shared" si="2"/>
        <v>https://github.com/SF-Bancoppel/mx-api-bc-dom-party-reference-data-directory</v>
      </c>
      <c r="T205" s="40"/>
      <c r="U205" s="22"/>
      <c r="V205" s="40"/>
      <c r="W205" s="40"/>
      <c r="X205" s="40"/>
      <c r="Y205" s="40"/>
      <c r="Z205" s="22"/>
      <c r="AA205" s="22"/>
      <c r="AB205" s="22"/>
    </row>
    <row r="206" ht="18.75" customHeight="1">
      <c r="A206" s="18" t="str">
        <f t="array" ref="A206">IFERROR(
  INDEX(
    'api-register-id'!A:A,
    MATCH(F206, 'api-register-id'!B:B, 0)
  ),
  "Not found Organization"
)</f>
        <v>SSFF</v>
      </c>
      <c r="B206" s="22" t="str">
        <f>IFERROR(VLOOKUP(F206, 'api-register-id'!B:F, 4, FALSE), "Not found path.")</f>
        <v>mx-api-bc-dom-party-reference-data-directory</v>
      </c>
      <c r="C206" s="23" t="s">
        <v>41</v>
      </c>
      <c r="D206" s="23" t="s">
        <v>119</v>
      </c>
      <c r="E206" s="24" t="str">
        <f>IFERROR(VLOOKUP(F206, 'api-register-id'!B:F, 5, FALSE), "Not found path.")</f>
        <v>APIMX000041</v>
      </c>
      <c r="F206" s="25" t="s">
        <v>637</v>
      </c>
      <c r="G206" s="26" t="s">
        <v>1553</v>
      </c>
      <c r="H206" s="22" t="s">
        <v>1554</v>
      </c>
      <c r="I206" s="29" t="str">
        <f>IFERROR(VLOOKUP(F206, 'api-register-id'!B:I, 8, FALSE), "Not found path.")</f>
        <v>1.7.2</v>
      </c>
      <c r="J206" s="3" t="s">
        <v>1504</v>
      </c>
      <c r="K206" s="31" t="s">
        <v>48</v>
      </c>
      <c r="L206" s="23" t="s">
        <v>49</v>
      </c>
      <c r="M206" s="3" t="s">
        <v>1555</v>
      </c>
      <c r="N206" s="3" t="str">
        <f t="shared" si="1"/>
        <v>POST /customerManagement/partyReferenceDataDirectory/v1/contactPoint/retrieve</v>
      </c>
      <c r="O206" s="32" t="s">
        <v>1556</v>
      </c>
      <c r="P206" s="32"/>
      <c r="Q206" s="61" t="s">
        <v>1557</v>
      </c>
      <c r="R206" s="31" t="s">
        <v>56</v>
      </c>
      <c r="S206" s="38" t="str">
        <f t="shared" si="2"/>
        <v>https://github.com/SF-Bancoppel/mx-api-bc-dom-party-reference-data-directory</v>
      </c>
      <c r="T206" s="40"/>
      <c r="U206" s="22"/>
      <c r="V206" s="40"/>
      <c r="W206" s="40"/>
      <c r="X206" s="40"/>
      <c r="Y206" s="40"/>
      <c r="Z206" s="22"/>
      <c r="AA206" s="22"/>
      <c r="AB206" s="22"/>
    </row>
    <row r="207" ht="18.75" customHeight="1">
      <c r="A207" s="18" t="str">
        <f t="array" ref="A207">IFERROR(
  INDEX(
    'api-register-id'!A:A,
    MATCH(F207, 'api-register-id'!B:B, 0)
  ),
  "Not found Organization"
)</f>
        <v>SSFF</v>
      </c>
      <c r="B207" s="22" t="str">
        <f>IFERROR(VLOOKUP(F207, 'api-register-id'!B:F, 4, FALSE), "Not found path.")</f>
        <v>mx-api-bc-dom-party-reference-data-directory</v>
      </c>
      <c r="C207" s="23" t="s">
        <v>41</v>
      </c>
      <c r="D207" s="23" t="s">
        <v>119</v>
      </c>
      <c r="E207" s="24" t="str">
        <f>IFERROR(VLOOKUP(F207, 'api-register-id'!B:F, 5, FALSE), "Not found path.")</f>
        <v>APIMX000041</v>
      </c>
      <c r="F207" s="25" t="s">
        <v>637</v>
      </c>
      <c r="G207" s="26" t="s">
        <v>1561</v>
      </c>
      <c r="H207" s="22" t="s">
        <v>1562</v>
      </c>
      <c r="I207" s="29" t="str">
        <f>IFERROR(VLOOKUP(F207, 'api-register-id'!B:I, 8, FALSE), "Not found path.")</f>
        <v>1.7.2</v>
      </c>
      <c r="J207" s="3" t="s">
        <v>1504</v>
      </c>
      <c r="K207" s="31" t="s">
        <v>48</v>
      </c>
      <c r="L207" s="23" t="s">
        <v>49</v>
      </c>
      <c r="M207" s="3" t="s">
        <v>1563</v>
      </c>
      <c r="N207" s="3" t="str">
        <f t="shared" si="1"/>
        <v>POST /customerManagement/partyReferenceDataDirectory/v1/reference/register</v>
      </c>
      <c r="O207" s="32" t="s">
        <v>1564</v>
      </c>
      <c r="P207" s="32"/>
      <c r="Q207" s="61" t="s">
        <v>1565</v>
      </c>
      <c r="R207" s="31" t="s">
        <v>56</v>
      </c>
      <c r="S207" s="38" t="str">
        <f t="shared" si="2"/>
        <v>https://github.com/SF-Bancoppel/mx-api-bc-dom-party-reference-data-directory</v>
      </c>
      <c r="T207" s="40"/>
      <c r="U207" s="22"/>
      <c r="V207" s="40"/>
      <c r="W207" s="40"/>
      <c r="X207" s="40"/>
      <c r="Y207" s="40"/>
      <c r="Z207" s="22"/>
      <c r="AA207" s="22"/>
      <c r="AB207" s="22"/>
    </row>
    <row r="208" ht="18.75" customHeight="1">
      <c r="A208" s="18" t="str">
        <f t="array" ref="A208">IFERROR(
  INDEX(
    'api-register-id'!A:A,
    MATCH(F208, 'api-register-id'!B:B, 0)
  ),
  "Not found Organization"
)</f>
        <v>SSFF</v>
      </c>
      <c r="B208" s="22" t="str">
        <f>IFERROR(VLOOKUP(F208, 'api-register-id'!B:F, 4, FALSE), "Not found path.")</f>
        <v>mx-api-bc-dom-party-reference-data-directory</v>
      </c>
      <c r="C208" s="23" t="s">
        <v>41</v>
      </c>
      <c r="D208" s="23" t="s">
        <v>119</v>
      </c>
      <c r="E208" s="24" t="str">
        <f>IFERROR(VLOOKUP(F208, 'api-register-id'!B:F, 5, FALSE), "Not found path.")</f>
        <v>APIMX000041</v>
      </c>
      <c r="F208" s="25" t="s">
        <v>637</v>
      </c>
      <c r="G208" s="26" t="s">
        <v>1566</v>
      </c>
      <c r="H208" s="22" t="s">
        <v>1454</v>
      </c>
      <c r="I208" s="29" t="str">
        <f>IFERROR(VLOOKUP(F208, 'api-register-id'!B:I, 8, FALSE), "Not found path.")</f>
        <v>1.7.2</v>
      </c>
      <c r="J208" s="3" t="s">
        <v>1504</v>
      </c>
      <c r="K208" s="31" t="s">
        <v>48</v>
      </c>
      <c r="L208" s="23" t="s">
        <v>61</v>
      </c>
      <c r="M208" s="3" t="s">
        <v>1455</v>
      </c>
      <c r="N208" s="3" t="str">
        <f t="shared" si="1"/>
        <v>PUT /customerManagement/partyReferenceDataDirectory/v1/contactPoint/capture</v>
      </c>
      <c r="O208" s="32" t="s">
        <v>1567</v>
      </c>
      <c r="P208" s="32"/>
      <c r="Q208" s="61" t="s">
        <v>1568</v>
      </c>
      <c r="R208" s="31" t="s">
        <v>56</v>
      </c>
      <c r="S208" s="38" t="str">
        <f t="shared" si="2"/>
        <v>https://github.com/SF-Bancoppel/mx-api-bc-dom-party-reference-data-directory</v>
      </c>
      <c r="T208" s="40"/>
      <c r="U208" s="22"/>
      <c r="V208" s="40"/>
      <c r="W208" s="40"/>
      <c r="X208" s="40"/>
      <c r="Y208" s="40"/>
      <c r="Z208" s="22"/>
      <c r="AA208" s="22"/>
      <c r="AB208" s="22"/>
    </row>
    <row r="209" ht="18.75" customHeight="1">
      <c r="A209" s="18" t="str">
        <f t="array" ref="A209">IFERROR(
  INDEX(
    'api-register-id'!A:A,
    MATCH(F209, 'api-register-id'!B:B, 0)
  ),
  "Not found Organization"
)</f>
        <v>SSFF</v>
      </c>
      <c r="B209" s="22" t="str">
        <f>IFERROR(VLOOKUP(F209, 'api-register-id'!B:F, 4, FALSE), "Not found path.")</f>
        <v>mx-api-bc-dom-party-reference-data-directory</v>
      </c>
      <c r="C209" s="23" t="s">
        <v>41</v>
      </c>
      <c r="D209" s="23" t="s">
        <v>119</v>
      </c>
      <c r="E209" s="24" t="str">
        <f>IFERROR(VLOOKUP(F209, 'api-register-id'!B:F, 5, FALSE), "Not found path.")</f>
        <v>APIMX000041</v>
      </c>
      <c r="F209" s="25" t="s">
        <v>637</v>
      </c>
      <c r="G209" s="26" t="s">
        <v>1572</v>
      </c>
      <c r="H209" s="22" t="s">
        <v>1573</v>
      </c>
      <c r="I209" s="29" t="str">
        <f>IFERROR(VLOOKUP(F209, 'api-register-id'!B:I, 8, FALSE), "Not found path.")</f>
        <v>1.7.2</v>
      </c>
      <c r="J209" s="3" t="s">
        <v>1504</v>
      </c>
      <c r="K209" s="31" t="s">
        <v>48</v>
      </c>
      <c r="L209" s="23" t="s">
        <v>61</v>
      </c>
      <c r="M209" s="3" t="s">
        <v>407</v>
      </c>
      <c r="N209" s="3" t="str">
        <f t="shared" si="1"/>
        <v>PUT /customerManagement/partyReferenceDataDirectory/v1/contactPoint/update</v>
      </c>
      <c r="O209" s="32" t="s">
        <v>408</v>
      </c>
      <c r="P209" s="32"/>
      <c r="Q209" s="61" t="s">
        <v>98</v>
      </c>
      <c r="R209" s="31" t="s">
        <v>56</v>
      </c>
      <c r="S209" s="38" t="str">
        <f t="shared" si="2"/>
        <v>https://github.com/SF-Bancoppel/mx-api-bc-dom-party-reference-data-directory</v>
      </c>
      <c r="T209" s="40"/>
      <c r="U209" s="22"/>
      <c r="V209" s="40"/>
      <c r="W209" s="40"/>
      <c r="X209" s="40"/>
      <c r="Y209" s="40"/>
      <c r="Z209" s="22"/>
      <c r="AA209" s="22"/>
      <c r="AB209" s="22"/>
    </row>
    <row r="210" ht="18.75" customHeight="1">
      <c r="A210" s="18" t="str">
        <f t="array" ref="A210">IFERROR(
  INDEX(
    'api-register-id'!A:A,
    MATCH(F210, 'api-register-id'!B:B, 0)
  ),
  "Not found Organization"
)</f>
        <v>SSFF</v>
      </c>
      <c r="B210" s="22" t="str">
        <f>IFERROR(VLOOKUP(F210, 'api-register-id'!B:F, 4, FALSE), "Not found path.")</f>
        <v>mx-api-bc-dom-party-reference-data-directory</v>
      </c>
      <c r="C210" s="23" t="s">
        <v>41</v>
      </c>
      <c r="D210" s="23" t="s">
        <v>119</v>
      </c>
      <c r="E210" s="24" t="str">
        <f>IFERROR(VLOOKUP(F210, 'api-register-id'!B:F, 5, FALSE), "Not found path.")</f>
        <v>APIMX000041</v>
      </c>
      <c r="F210" s="25" t="s">
        <v>637</v>
      </c>
      <c r="G210" s="26" t="s">
        <v>1574</v>
      </c>
      <c r="H210" s="22" t="s">
        <v>1575</v>
      </c>
      <c r="I210" s="29" t="str">
        <f>IFERROR(VLOOKUP(F210, 'api-register-id'!B:I, 8, FALSE), "Not found path.")</f>
        <v>1.7.2</v>
      </c>
      <c r="J210" s="3" t="s">
        <v>1504</v>
      </c>
      <c r="K210" s="31" t="s">
        <v>48</v>
      </c>
      <c r="L210" s="23" t="s">
        <v>61</v>
      </c>
      <c r="M210" s="3" t="s">
        <v>415</v>
      </c>
      <c r="N210" s="3" t="str">
        <f t="shared" si="1"/>
        <v>PUT /customerManagement/partyReferenceDataDirectory/v1/personProfile/update</v>
      </c>
      <c r="O210" s="32" t="s">
        <v>417</v>
      </c>
      <c r="P210" s="32"/>
      <c r="Q210" s="61" t="s">
        <v>1577</v>
      </c>
      <c r="R210" s="31" t="s">
        <v>56</v>
      </c>
      <c r="S210" s="38" t="str">
        <f t="shared" si="2"/>
        <v>https://github.com/SF-Bancoppel/mx-api-bc-dom-party-reference-data-directory</v>
      </c>
      <c r="T210" s="40"/>
      <c r="U210" s="22"/>
      <c r="V210" s="40"/>
      <c r="W210" s="40"/>
      <c r="X210" s="40"/>
      <c r="Y210" s="40"/>
      <c r="Z210" s="22"/>
      <c r="AA210" s="22"/>
      <c r="AB210" s="22"/>
    </row>
    <row r="211" ht="18.75" customHeight="1">
      <c r="A211" s="18" t="str">
        <f t="array" ref="A211">IFERROR(
  INDEX(
    'api-register-id'!A:A,
    MATCH(F211, 'api-register-id'!B:B, 0)
  ),
  "Not found Organization"
)</f>
        <v>SSFF</v>
      </c>
      <c r="B211" s="22" t="str">
        <f>IFERROR(VLOOKUP(F211, 'api-register-id'!B:F, 4, FALSE), "Not found path.")</f>
        <v>mx-api-bc-dom-party-reference-data-directory</v>
      </c>
      <c r="C211" s="23" t="s">
        <v>41</v>
      </c>
      <c r="D211" s="23" t="s">
        <v>119</v>
      </c>
      <c r="E211" s="24" t="str">
        <f>IFERROR(VLOOKUP(F211, 'api-register-id'!B:F, 5, FALSE), "Not found path.")</f>
        <v>APIMX000041</v>
      </c>
      <c r="F211" s="25" t="s">
        <v>637</v>
      </c>
      <c r="G211" s="26" t="s">
        <v>1580</v>
      </c>
      <c r="H211" s="22" t="s">
        <v>1581</v>
      </c>
      <c r="I211" s="29" t="str">
        <f>IFERROR(VLOOKUP(F211, 'api-register-id'!B:I, 8, FALSE), "Not found path.")</f>
        <v>1.7.2</v>
      </c>
      <c r="J211" s="3" t="s">
        <v>1504</v>
      </c>
      <c r="K211" s="31" t="s">
        <v>48</v>
      </c>
      <c r="L211" s="23" t="s">
        <v>428</v>
      </c>
      <c r="M211" s="3" t="s">
        <v>1582</v>
      </c>
      <c r="N211" s="3" t="str">
        <f t="shared" si="1"/>
        <v>PATCH /customerManagement/partyReferenceDataDirectory/v1/personProfile/capture</v>
      </c>
      <c r="O211" s="32" t="s">
        <v>1583</v>
      </c>
      <c r="P211" s="32"/>
      <c r="Q211" s="61" t="s">
        <v>98</v>
      </c>
      <c r="R211" s="31" t="s">
        <v>56</v>
      </c>
      <c r="S211" s="38" t="str">
        <f t="shared" si="2"/>
        <v>https://github.com/SF-Bancoppel/mx-api-bc-dom-party-reference-data-directory</v>
      </c>
      <c r="T211" s="40"/>
      <c r="U211" s="22"/>
      <c r="V211" s="40"/>
      <c r="W211" s="40"/>
      <c r="X211" s="40"/>
      <c r="Y211" s="40"/>
      <c r="Z211" s="22"/>
      <c r="AA211" s="22"/>
      <c r="AB211" s="22"/>
    </row>
    <row r="212" ht="18.75" customHeight="1">
      <c r="A212" s="18" t="str">
        <f t="array" ref="A212">IFERROR(
  INDEX(
    'api-register-id'!A:A,
    MATCH(F212, 'api-register-id'!B:B, 0)
  ),
  "Not found Organization"
)</f>
        <v>SSFF</v>
      </c>
      <c r="B212" s="22" t="str">
        <f>IFERROR(VLOOKUP(F212, 'api-register-id'!B:F, 4, FALSE), "Not found path.")</f>
        <v>mx-api-bc-dom-party-reference-data-directory</v>
      </c>
      <c r="C212" s="23" t="s">
        <v>41</v>
      </c>
      <c r="D212" s="23" t="s">
        <v>119</v>
      </c>
      <c r="E212" s="24" t="str">
        <f>IFERROR(VLOOKUP(F212, 'api-register-id'!B:F, 5, FALSE), "Not found path.")</f>
        <v>APIMX000041</v>
      </c>
      <c r="F212" s="25" t="s">
        <v>637</v>
      </c>
      <c r="G212" s="26" t="s">
        <v>1585</v>
      </c>
      <c r="H212" s="22" t="s">
        <v>1586</v>
      </c>
      <c r="I212" s="29" t="str">
        <f>IFERROR(VLOOKUP(F212, 'api-register-id'!B:I, 8, FALSE), "Not found path.")</f>
        <v>1.7.2</v>
      </c>
      <c r="J212" s="3" t="s">
        <v>1504</v>
      </c>
      <c r="K212" s="31" t="s">
        <v>48</v>
      </c>
      <c r="L212" s="23" t="s">
        <v>49</v>
      </c>
      <c r="M212" s="3" t="s">
        <v>1589</v>
      </c>
      <c r="N212" s="3" t="str">
        <f t="shared" si="1"/>
        <v>POST /customerManagement/partyReferenceDataDirectory/v1/reference/evaluate</v>
      </c>
      <c r="O212" s="32" t="s">
        <v>1519</v>
      </c>
      <c r="P212" s="32"/>
      <c r="Q212" s="61" t="s">
        <v>1590</v>
      </c>
      <c r="R212" s="31" t="s">
        <v>56</v>
      </c>
      <c r="S212" s="38" t="str">
        <f t="shared" si="2"/>
        <v>https://github.com/SF-Bancoppel/mx-api-bc-dom-party-reference-data-directory</v>
      </c>
      <c r="T212" s="40"/>
      <c r="U212" s="22"/>
      <c r="V212" s="40"/>
      <c r="W212" s="40"/>
      <c r="X212" s="40"/>
      <c r="Y212" s="40"/>
      <c r="Z212" s="22"/>
      <c r="AA212" s="22"/>
      <c r="AB212" s="22"/>
    </row>
    <row r="213" ht="18.75" customHeight="1">
      <c r="A213" s="18" t="str">
        <f t="array" ref="A213">IFERROR(
  INDEX(
    'api-register-id'!A:A,
    MATCH(F213, 'api-register-id'!B:B, 0)
  ),
  "Not found Organization"
)</f>
        <v>SSFF</v>
      </c>
      <c r="B213" s="22" t="str">
        <f>IFERROR(VLOOKUP(F213, 'api-register-id'!B:F, 4, FALSE), "Not found path.")</f>
        <v>mx-api-cpp-dom-party-retail-reference-data-directory</v>
      </c>
      <c r="C213" s="78" t="s">
        <v>41</v>
      </c>
      <c r="D213" s="78" t="s">
        <v>119</v>
      </c>
      <c r="E213" s="24" t="str">
        <f>IFERROR(VLOOKUP(F213, 'api-register-id'!B:F, 5, FALSE), "Not found path.")</f>
        <v>APIMX000042</v>
      </c>
      <c r="F213" s="25" t="s">
        <v>649</v>
      </c>
      <c r="G213" s="26" t="s">
        <v>1591</v>
      </c>
      <c r="H213" s="3" t="s">
        <v>1592</v>
      </c>
      <c r="I213" s="29" t="str">
        <f>IFERROR(VLOOKUP(F213, 'api-register-id'!B:I, 8, FALSE), "Not found path.")</f>
        <v>1.1.0</v>
      </c>
      <c r="J213" s="3" t="s">
        <v>1593</v>
      </c>
      <c r="K213" s="31" t="s">
        <v>48</v>
      </c>
      <c r="L213" s="78" t="s">
        <v>49</v>
      </c>
      <c r="M213" s="3" t="s">
        <v>1594</v>
      </c>
      <c r="N213" s="3" t="str">
        <f t="shared" si="1"/>
        <v>POST /partyReference/partyRetailReferenceDataDirectory/v1/partyRetailReferenceDataDirectoryEntry/retrieve</v>
      </c>
      <c r="O213" s="32" t="s">
        <v>855</v>
      </c>
      <c r="P213" s="32"/>
      <c r="Q213" s="61" t="s">
        <v>1595</v>
      </c>
      <c r="R213" s="31" t="s">
        <v>56</v>
      </c>
      <c r="S213" s="38" t="str">
        <f t="shared" si="2"/>
        <v>https://github.com/SF-Bancoppel/mx-api-cpp-dom-party-retail-reference-data-directory</v>
      </c>
      <c r="T213" s="40"/>
      <c r="U213" s="22"/>
      <c r="V213" s="40"/>
      <c r="W213" s="40"/>
      <c r="X213" s="40"/>
      <c r="Y213" s="40"/>
      <c r="Z213" s="22"/>
      <c r="AA213" s="22"/>
      <c r="AB213" s="22"/>
    </row>
    <row r="214" ht="18.75" customHeight="1">
      <c r="A214" s="18" t="str">
        <f t="array" ref="A214">IFERROR(
  INDEX(
    'api-register-id'!A:A,
    MATCH(F214, 'api-register-id'!B:B, 0)
  ),
  "Not found Organization"
)</f>
        <v>SSFF</v>
      </c>
      <c r="B214" s="22" t="str">
        <f>IFERROR(VLOOKUP(F214, 'api-register-id'!B:F, 4, FALSE), "Not found path.")</f>
        <v>mx-api-cpp-dom-party-retail-reference-data-directory</v>
      </c>
      <c r="C214" s="78" t="s">
        <v>41</v>
      </c>
      <c r="D214" s="78" t="s">
        <v>119</v>
      </c>
      <c r="E214" s="24" t="str">
        <f>IFERROR(VLOOKUP(F214, 'api-register-id'!B:F, 5, FALSE), "Not found path.")</f>
        <v>APIMX000042</v>
      </c>
      <c r="F214" s="25" t="s">
        <v>649</v>
      </c>
      <c r="G214" s="26" t="s">
        <v>1600</v>
      </c>
      <c r="H214" s="3" t="s">
        <v>1601</v>
      </c>
      <c r="I214" s="29" t="str">
        <f>IFERROR(VLOOKUP(F214, 'api-register-id'!B:I, 8, FALSE), "Not found path.")</f>
        <v>1.1.0</v>
      </c>
      <c r="J214" s="3" t="s">
        <v>1593</v>
      </c>
      <c r="K214" s="31" t="s">
        <v>48</v>
      </c>
      <c r="L214" s="78" t="s">
        <v>49</v>
      </c>
      <c r="M214" s="3" t="s">
        <v>1602</v>
      </c>
      <c r="N214" s="3" t="str">
        <f t="shared" si="1"/>
        <v>POST /partyReference/partyRetailReferenceDataDirectory/v1/partyRetailReferenceDataDirectoryEntry/evaluate</v>
      </c>
      <c r="O214" s="32" t="s">
        <v>1603</v>
      </c>
      <c r="P214" s="32"/>
      <c r="Q214" s="61" t="s">
        <v>98</v>
      </c>
      <c r="R214" s="31" t="s">
        <v>56</v>
      </c>
      <c r="S214" s="38" t="str">
        <f t="shared" si="2"/>
        <v>https://github.com/SF-Bancoppel/mx-api-cpp-dom-party-retail-reference-data-directory</v>
      </c>
      <c r="T214" s="40"/>
      <c r="U214" s="22"/>
      <c r="V214" s="40"/>
      <c r="W214" s="40"/>
      <c r="X214" s="40"/>
      <c r="Y214" s="40"/>
      <c r="Z214" s="22"/>
      <c r="AA214" s="22"/>
      <c r="AB214" s="22"/>
    </row>
    <row r="215" ht="18.75" customHeight="1">
      <c r="A215" s="18" t="str">
        <f t="array" ref="A215">IFERROR(
  INDEX(
    'api-register-id'!A:A,
    MATCH(F215, 'api-register-id'!B:B, 0)
  ),
  "Not found Organization"
)</f>
        <v>SSFF</v>
      </c>
      <c r="B215" s="22" t="str">
        <f>IFERROR(VLOOKUP(F215, 'api-register-id'!B:F, 4, FALSE), "Not found path.")</f>
        <v>mx-api-cpp-dom-party-retail-reference-data-directory</v>
      </c>
      <c r="C215" s="78" t="s">
        <v>41</v>
      </c>
      <c r="D215" s="78" t="s">
        <v>119</v>
      </c>
      <c r="E215" s="24" t="str">
        <f>IFERROR(VLOOKUP(F215, 'api-register-id'!B:F, 5, FALSE), "Not found path.")</f>
        <v>APIMX000042</v>
      </c>
      <c r="F215" s="25" t="s">
        <v>649</v>
      </c>
      <c r="G215" s="26" t="s">
        <v>1605</v>
      </c>
      <c r="H215" s="3" t="s">
        <v>1607</v>
      </c>
      <c r="I215" s="29" t="str">
        <f>IFERROR(VLOOKUP(F215, 'api-register-id'!B:I, 8, FALSE), "Not found path.")</f>
        <v>1.1.0</v>
      </c>
      <c r="J215" s="3" t="s">
        <v>1593</v>
      </c>
      <c r="K215" s="31" t="s">
        <v>48</v>
      </c>
      <c r="L215" s="78" t="s">
        <v>61</v>
      </c>
      <c r="M215" s="3" t="s">
        <v>1609</v>
      </c>
      <c r="N215" s="3" t="str">
        <f t="shared" si="1"/>
        <v>PUT /partyReference/partyRetailReferenceDataDirectory/v1/creditProfile/capture</v>
      </c>
      <c r="O215" s="32" t="s">
        <v>1610</v>
      </c>
      <c r="P215" s="32"/>
      <c r="Q215" s="61" t="s">
        <v>1611</v>
      </c>
      <c r="R215" s="31" t="s">
        <v>56</v>
      </c>
      <c r="S215" s="38" t="str">
        <f t="shared" si="2"/>
        <v>https://github.com/SF-Bancoppel/mx-api-cpp-dom-party-retail-reference-data-directory</v>
      </c>
      <c r="T215" s="40"/>
      <c r="U215" s="22"/>
      <c r="V215" s="40"/>
      <c r="W215" s="40"/>
      <c r="X215" s="40"/>
      <c r="Y215" s="40"/>
      <c r="Z215" s="22"/>
      <c r="AA215" s="22"/>
      <c r="AB215" s="22"/>
    </row>
    <row r="216" ht="18.75" customHeight="1">
      <c r="A216" s="18" t="str">
        <f t="array" ref="A216">IFERROR(
  INDEX(
    'api-register-id'!A:A,
    MATCH(F216, 'api-register-id'!B:B, 0)
  ),
  "Not found Organization"
)</f>
        <v>SSFF</v>
      </c>
      <c r="B216" s="22" t="str">
        <f>IFERROR(VLOOKUP(F216, 'api-register-id'!B:F, 4, FALSE), "Not found path.")</f>
        <v>mx-api-bc-dom-payment-execution</v>
      </c>
      <c r="C216" s="23" t="s">
        <v>41</v>
      </c>
      <c r="D216" s="23" t="s">
        <v>119</v>
      </c>
      <c r="E216" s="24" t="str">
        <f>IFERROR(VLOOKUP(F216, 'api-register-id'!B:F, 5, FALSE), "Not found path.")</f>
        <v>APIMX000043</v>
      </c>
      <c r="F216" s="25" t="s">
        <v>661</v>
      </c>
      <c r="G216" s="26" t="s">
        <v>1612</v>
      </c>
      <c r="H216" s="22" t="s">
        <v>1613</v>
      </c>
      <c r="I216" s="29" t="str">
        <f>IFERROR(VLOOKUP(F216, 'api-register-id'!B:I, 8, FALSE), "Not found path.")</f>
        <v>1.1.2</v>
      </c>
      <c r="J216" s="3" t="s">
        <v>1614</v>
      </c>
      <c r="K216" s="31" t="s">
        <v>48</v>
      </c>
      <c r="L216" s="23" t="s">
        <v>49</v>
      </c>
      <c r="M216" s="3" t="s">
        <v>1615</v>
      </c>
      <c r="N216" s="3" t="str">
        <f t="shared" si="1"/>
        <v>POST /payments/paymentExecution/v1/paymentTransactionProcedure/retrieve</v>
      </c>
      <c r="O216" s="32" t="s">
        <v>1616</v>
      </c>
      <c r="P216" s="32"/>
      <c r="Q216" s="61" t="s">
        <v>98</v>
      </c>
      <c r="R216" s="31" t="s">
        <v>56</v>
      </c>
      <c r="S216" s="38" t="str">
        <f t="shared" si="2"/>
        <v>https://github.com/SF-Bancoppel/mx-api-bc-dom-payment-execution</v>
      </c>
      <c r="T216" s="40"/>
      <c r="U216" s="22"/>
      <c r="V216" s="40"/>
      <c r="W216" s="40"/>
      <c r="X216" s="40"/>
      <c r="Y216" s="40"/>
      <c r="Z216" s="22"/>
      <c r="AA216" s="22"/>
      <c r="AB216" s="22"/>
    </row>
    <row r="217" ht="18.75" customHeight="1">
      <c r="A217" s="18" t="str">
        <f t="array" ref="A217">IFERROR(
  INDEX(
    'api-register-id'!A:A,
    MATCH(F217, 'api-register-id'!B:B, 0)
  ),
  "Not found Organization"
)</f>
        <v>SSFF</v>
      </c>
      <c r="B217" s="22" t="str">
        <f>IFERROR(VLOOKUP(F217, 'api-register-id'!B:F, 4, FALSE), "Not found path.")</f>
        <v>mx-api-bc-dom-payment-execution</v>
      </c>
      <c r="C217" s="23" t="s">
        <v>41</v>
      </c>
      <c r="D217" s="23" t="s">
        <v>119</v>
      </c>
      <c r="E217" s="24" t="str">
        <f>IFERROR(VLOOKUP(F217, 'api-register-id'!B:F, 5, FALSE), "Not found path.")</f>
        <v>APIMX000043</v>
      </c>
      <c r="F217" s="25" t="s">
        <v>661</v>
      </c>
      <c r="G217" s="26" t="s">
        <v>1620</v>
      </c>
      <c r="H217" s="22" t="s">
        <v>1621</v>
      </c>
      <c r="I217" s="29" t="str">
        <f>IFERROR(VLOOKUP(F217, 'api-register-id'!B:I, 8, FALSE), "Not found path.")</f>
        <v>1.1.2</v>
      </c>
      <c r="J217" s="3" t="s">
        <v>1614</v>
      </c>
      <c r="K217" s="31" t="s">
        <v>48</v>
      </c>
      <c r="L217" s="23" t="s">
        <v>49</v>
      </c>
      <c r="M217" s="3" t="s">
        <v>1622</v>
      </c>
      <c r="N217" s="3" t="str">
        <f t="shared" si="1"/>
        <v>POST /payments/paymentExecution/v1/paymentExecutionTransaction/evaluate</v>
      </c>
      <c r="O217" s="32" t="s">
        <v>1623</v>
      </c>
      <c r="P217" s="32"/>
      <c r="Q217" s="61" t="s">
        <v>98</v>
      </c>
      <c r="R217" s="31" t="s">
        <v>56</v>
      </c>
      <c r="S217" s="38" t="str">
        <f t="shared" si="2"/>
        <v>https://github.com/SF-Bancoppel/mx-api-bc-dom-payment-execution</v>
      </c>
      <c r="T217" s="40"/>
      <c r="U217" s="22"/>
      <c r="V217" s="22"/>
      <c r="W217" s="22"/>
      <c r="X217" s="40"/>
      <c r="Y217" s="40"/>
      <c r="Z217" s="22"/>
      <c r="AA217" s="22"/>
      <c r="AB217" s="22"/>
    </row>
    <row r="218" ht="18.75" customHeight="1">
      <c r="A218" s="18" t="str">
        <f t="array" ref="A218">IFERROR(
  INDEX(
    'api-register-id'!A:A,
    MATCH(F218, 'api-register-id'!B:B, 0)
  ),
  "Not found Organization"
)</f>
        <v>SSFF</v>
      </c>
      <c r="B218" s="22" t="str">
        <f>IFERROR(VLOOKUP(F218, 'api-register-id'!B:F, 4, FALSE), "Not found path.")</f>
        <v>mx-api-bc-dom-payment-execution</v>
      </c>
      <c r="C218" s="23" t="s">
        <v>41</v>
      </c>
      <c r="D218" s="23" t="s">
        <v>119</v>
      </c>
      <c r="E218" s="24" t="str">
        <f>IFERROR(VLOOKUP(F218, 'api-register-id'!B:F, 5, FALSE), "Not found path.")</f>
        <v>APIMX000043</v>
      </c>
      <c r="F218" s="25" t="s">
        <v>661</v>
      </c>
      <c r="G218" s="26" t="s">
        <v>1624</v>
      </c>
      <c r="H218" s="22" t="s">
        <v>1625</v>
      </c>
      <c r="I218" s="29" t="str">
        <f>IFERROR(VLOOKUP(F218, 'api-register-id'!B:I, 8, FALSE), "Not found path.")</f>
        <v>1.1.2</v>
      </c>
      <c r="J218" s="3" t="s">
        <v>1614</v>
      </c>
      <c r="K218" s="31" t="s">
        <v>48</v>
      </c>
      <c r="L218" s="23" t="s">
        <v>428</v>
      </c>
      <c r="M218" s="3" t="s">
        <v>1627</v>
      </c>
      <c r="N218" s="3" t="str">
        <f t="shared" si="1"/>
        <v>PATCH /payments/paymentExecution/v1/paymentTransactionProcedure/update</v>
      </c>
      <c r="O218" s="32" t="s">
        <v>1628</v>
      </c>
      <c r="P218" s="32"/>
      <c r="Q218" s="61" t="s">
        <v>98</v>
      </c>
      <c r="R218" s="31" t="s">
        <v>56</v>
      </c>
      <c r="S218" s="38" t="str">
        <f t="shared" si="2"/>
        <v>https://github.com/SF-Bancoppel/mx-api-bc-dom-payment-execution</v>
      </c>
      <c r="T218" s="40"/>
      <c r="U218" s="22"/>
      <c r="V218" s="40"/>
      <c r="W218" s="40"/>
      <c r="X218" s="40"/>
      <c r="Y218" s="40"/>
      <c r="Z218" s="22"/>
      <c r="AA218" s="22"/>
      <c r="AB218" s="22"/>
    </row>
    <row r="219" ht="18.75" customHeight="1">
      <c r="A219" s="18" t="str">
        <f t="array" ref="A219">IFERROR(
  INDEX(
    'api-register-id'!A:A,
    MATCH(F219, 'api-register-id'!B:B, 0)
  ),
  "Not found Organization"
)</f>
        <v>SSFF</v>
      </c>
      <c r="B219" s="22" t="str">
        <f>IFERROR(VLOOKUP(F219, 'api-register-id'!B:F, 4, FALSE), "Not found path.")</f>
        <v>mx-api-bc-dom-payment-execution</v>
      </c>
      <c r="C219" s="23" t="s">
        <v>41</v>
      </c>
      <c r="D219" s="23" t="s">
        <v>119</v>
      </c>
      <c r="E219" s="24" t="str">
        <f>IFERROR(VLOOKUP(F219, 'api-register-id'!B:F, 5, FALSE), "Not found path.")</f>
        <v>APIMX000043</v>
      </c>
      <c r="F219" s="25" t="s">
        <v>661</v>
      </c>
      <c r="G219" s="26" t="s">
        <v>1631</v>
      </c>
      <c r="H219" s="22" t="s">
        <v>1632</v>
      </c>
      <c r="I219" s="29" t="str">
        <f>IFERROR(VLOOKUP(F219, 'api-register-id'!B:I, 8, FALSE), "Not found path.")</f>
        <v>1.1.2</v>
      </c>
      <c r="J219" s="3" t="s">
        <v>1614</v>
      </c>
      <c r="K219" s="31" t="s">
        <v>48</v>
      </c>
      <c r="L219" s="23" t="s">
        <v>49</v>
      </c>
      <c r="M219" s="3" t="s">
        <v>1633</v>
      </c>
      <c r="N219" s="3" t="str">
        <f t="shared" si="1"/>
        <v>POST /payments/paymentExecution/v1/paymentExecution/initiate</v>
      </c>
      <c r="O219" s="32" t="s">
        <v>1634</v>
      </c>
      <c r="P219" s="32"/>
      <c r="Q219" s="61" t="s">
        <v>1635</v>
      </c>
      <c r="R219" s="31" t="s">
        <v>56</v>
      </c>
      <c r="S219" s="38" t="str">
        <f t="shared" si="2"/>
        <v>https://github.com/SF-Bancoppel/mx-api-bc-dom-payment-execution</v>
      </c>
      <c r="T219" s="40"/>
      <c r="U219" s="22"/>
      <c r="V219" s="40"/>
      <c r="W219" s="40"/>
      <c r="X219" s="40"/>
      <c r="Y219" s="40"/>
      <c r="Z219" s="22"/>
      <c r="AA219" s="22"/>
      <c r="AB219" s="22"/>
    </row>
    <row r="220" ht="18.75" customHeight="1">
      <c r="A220" s="18" t="str">
        <f t="array" ref="A220">IFERROR(
  INDEX(
    'api-register-id'!A:A,
    MATCH(F220, 'api-register-id'!B:B, 0)
  ),
  "Not found Organization"
)</f>
        <v>SSFF</v>
      </c>
      <c r="B220" s="22" t="str">
        <f>IFERROR(VLOOKUP(F220, 'api-register-id'!B:F, 4, FALSE), "Not found path.")</f>
        <v>mx-api-bc-dom-payment-execution</v>
      </c>
      <c r="C220" s="23" t="s">
        <v>41</v>
      </c>
      <c r="D220" s="23" t="s">
        <v>119</v>
      </c>
      <c r="E220" s="24" t="str">
        <f>IFERROR(VLOOKUP(F220, 'api-register-id'!B:F, 5, FALSE), "Not found path.")</f>
        <v>APIMX000043</v>
      </c>
      <c r="F220" s="25" t="s">
        <v>661</v>
      </c>
      <c r="G220" s="26" t="s">
        <v>1636</v>
      </c>
      <c r="H220" s="22" t="s">
        <v>1637</v>
      </c>
      <c r="I220" s="29" t="str">
        <f>IFERROR(VLOOKUP(F220, 'api-register-id'!B:I, 8, FALSE), "Not found path.")</f>
        <v>1.1.2</v>
      </c>
      <c r="J220" s="3" t="s">
        <v>1614</v>
      </c>
      <c r="K220" s="31" t="s">
        <v>48</v>
      </c>
      <c r="L220" s="23" t="s">
        <v>49</v>
      </c>
      <c r="M220" s="3" t="s">
        <v>1639</v>
      </c>
      <c r="N220" s="3" t="str">
        <f t="shared" si="1"/>
        <v>POST /payments/paymentExecution/v1/paymentExecutionProcedure/initiate</v>
      </c>
      <c r="O220" s="32" t="s">
        <v>1640</v>
      </c>
      <c r="P220" s="32"/>
      <c r="Q220" s="61" t="s">
        <v>1642</v>
      </c>
      <c r="R220" s="31" t="s">
        <v>56</v>
      </c>
      <c r="S220" s="38" t="str">
        <f t="shared" si="2"/>
        <v>https://github.com/SF-Bancoppel/mx-api-bc-dom-payment-execution</v>
      </c>
      <c r="T220" s="40"/>
      <c r="U220" s="22"/>
      <c r="V220" s="40"/>
      <c r="W220" s="40"/>
      <c r="X220" s="40"/>
      <c r="Y220" s="40"/>
      <c r="Z220" s="22"/>
      <c r="AA220" s="22"/>
      <c r="AB220" s="22"/>
    </row>
    <row r="221" ht="18.75" customHeight="1">
      <c r="A221" s="18" t="str">
        <f t="array" ref="A221">IFERROR(
  INDEX(
    'api-register-id'!A:A,
    MATCH(F221, 'api-register-id'!B:B, 0)
  ),
  "Not found Organization"
)</f>
        <v>SSFF</v>
      </c>
      <c r="B221" s="22" t="str">
        <f>IFERROR(VLOOKUP(F221, 'api-register-id'!B:F, 4, FALSE), "Not found path.")</f>
        <v>mx-api-bc-dom-payment-order</v>
      </c>
      <c r="C221" s="23" t="s">
        <v>41</v>
      </c>
      <c r="D221" s="23" t="s">
        <v>119</v>
      </c>
      <c r="E221" s="24" t="str">
        <f>IFERROR(VLOOKUP(F221, 'api-register-id'!B:F, 5, FALSE), "Not found path.")</f>
        <v>APIMX000044</v>
      </c>
      <c r="F221" s="25" t="s">
        <v>672</v>
      </c>
      <c r="G221" s="26" t="s">
        <v>1644</v>
      </c>
      <c r="H221" s="22" t="s">
        <v>1645</v>
      </c>
      <c r="I221" s="29" t="str">
        <f>IFERROR(VLOOKUP(F221, 'api-register-id'!B:I, 8, FALSE), "Not found path.")</f>
        <v>1.1.0</v>
      </c>
      <c r="J221" s="3" t="s">
        <v>1646</v>
      </c>
      <c r="K221" s="31" t="s">
        <v>48</v>
      </c>
      <c r="L221" s="23" t="s">
        <v>61</v>
      </c>
      <c r="M221" s="3" t="s">
        <v>1647</v>
      </c>
      <c r="N221" s="3" t="str">
        <f t="shared" si="1"/>
        <v>PUT /payments/paymentOrder/v1/orderConfirmation/update</v>
      </c>
      <c r="O221" s="32" t="s">
        <v>1648</v>
      </c>
      <c r="P221" s="32"/>
      <c r="Q221" s="61" t="s">
        <v>98</v>
      </c>
      <c r="R221" s="31" t="s">
        <v>56</v>
      </c>
      <c r="S221" s="38" t="str">
        <f t="shared" si="2"/>
        <v>https://github.com/SF-Bancoppel/mx-api-bc-dom-payment-order</v>
      </c>
      <c r="T221" s="40"/>
      <c r="U221" s="22"/>
      <c r="V221" s="40"/>
      <c r="W221" s="40"/>
      <c r="X221" s="40"/>
      <c r="Y221" s="40"/>
      <c r="Z221" s="22"/>
      <c r="AA221" s="22"/>
      <c r="AB221" s="22"/>
    </row>
    <row r="222" ht="18.75" customHeight="1">
      <c r="A222" s="18" t="str">
        <f t="array" ref="A222">IFERROR(
  INDEX(
    'api-register-id'!A:A,
    MATCH(F222, 'api-register-id'!B:B, 0)
  ),
  "Not found Organization"
)</f>
        <v>SSFF</v>
      </c>
      <c r="B222" s="22" t="str">
        <f>IFERROR(VLOOKUP(F222, 'api-register-id'!B:F, 4, FALSE), "Not found path.")</f>
        <v>mx-api-bc-dom-payment-order</v>
      </c>
      <c r="C222" s="23" t="s">
        <v>41</v>
      </c>
      <c r="D222" s="23" t="s">
        <v>119</v>
      </c>
      <c r="E222" s="24" t="str">
        <f>IFERROR(VLOOKUP(F222, 'api-register-id'!B:F, 5, FALSE), "Not found path.")</f>
        <v>APIMX000044</v>
      </c>
      <c r="F222" s="25" t="s">
        <v>672</v>
      </c>
      <c r="G222" s="26" t="s">
        <v>1652</v>
      </c>
      <c r="H222" s="22" t="s">
        <v>1653</v>
      </c>
      <c r="I222" s="29" t="str">
        <f>IFERROR(VLOOKUP(F222, 'api-register-id'!B:I, 8, FALSE), "Not found path.")</f>
        <v>1.1.0</v>
      </c>
      <c r="J222" s="3" t="s">
        <v>1646</v>
      </c>
      <c r="K222" s="31" t="s">
        <v>48</v>
      </c>
      <c r="L222" s="23" t="s">
        <v>49</v>
      </c>
      <c r="M222" s="3" t="s">
        <v>1654</v>
      </c>
      <c r="N222" s="3" t="str">
        <f t="shared" si="1"/>
        <v>POST /payments/paymentOrder/v1/paymentOrderProcedure/retrieve</v>
      </c>
      <c r="O222" s="32" t="s">
        <v>1655</v>
      </c>
      <c r="P222" s="32"/>
      <c r="Q222" s="61" t="s">
        <v>98</v>
      </c>
      <c r="R222" s="31" t="s">
        <v>56</v>
      </c>
      <c r="S222" s="38" t="str">
        <f t="shared" si="2"/>
        <v>https://github.com/SF-Bancoppel/mx-api-bc-dom-payment-order</v>
      </c>
      <c r="T222" s="40"/>
      <c r="U222" s="22"/>
      <c r="V222" s="40"/>
      <c r="W222" s="40"/>
      <c r="X222" s="40"/>
      <c r="Y222" s="40"/>
      <c r="Z222" s="22"/>
      <c r="AA222" s="22"/>
      <c r="AB222" s="22"/>
    </row>
    <row r="223" ht="18.75" customHeight="1">
      <c r="A223" s="18" t="str">
        <f t="array" ref="A223">IFERROR(
  INDEX(
    'api-register-id'!A:A,
    MATCH(F223, 'api-register-id'!B:B, 0)
  ),
  "Not found Organization"
)</f>
        <v>SSFF</v>
      </c>
      <c r="B223" s="22" t="str">
        <f>IFERROR(VLOOKUP(F223, 'api-register-id'!B:F, 4, FALSE), "Not found path.")</f>
        <v>mx-api-bc-dom-payment-order</v>
      </c>
      <c r="C223" s="23" t="s">
        <v>41</v>
      </c>
      <c r="D223" s="23" t="s">
        <v>119</v>
      </c>
      <c r="E223" s="24" t="str">
        <f>IFERROR(VLOOKUP(F223, 'api-register-id'!B:F, 5, FALSE), "Not found path.")</f>
        <v>APIMX000044</v>
      </c>
      <c r="F223" s="25" t="s">
        <v>672</v>
      </c>
      <c r="G223" s="26" t="s">
        <v>1656</v>
      </c>
      <c r="H223" s="22" t="s">
        <v>1657</v>
      </c>
      <c r="I223" s="29" t="str">
        <f>IFERROR(VLOOKUP(F223, 'api-register-id'!B:I, 8, FALSE), "Not found path.")</f>
        <v>1.1.0</v>
      </c>
      <c r="J223" s="3" t="s">
        <v>1646</v>
      </c>
      <c r="K223" s="31" t="s">
        <v>48</v>
      </c>
      <c r="L223" s="23" t="s">
        <v>61</v>
      </c>
      <c r="M223" s="3" t="s">
        <v>1659</v>
      </c>
      <c r="N223" s="3" t="str">
        <f t="shared" si="1"/>
        <v>PUT /payments/paymentOrder/v1/paymentOrderProcedure/update</v>
      </c>
      <c r="O223" s="32" t="s">
        <v>1660</v>
      </c>
      <c r="P223" s="32"/>
      <c r="Q223" s="61" t="s">
        <v>98</v>
      </c>
      <c r="R223" s="31" t="s">
        <v>56</v>
      </c>
      <c r="S223" s="38" t="str">
        <f t="shared" si="2"/>
        <v>https://github.com/SF-Bancoppel/mx-api-bc-dom-payment-order</v>
      </c>
      <c r="T223" s="40"/>
      <c r="U223" s="22"/>
      <c r="V223" s="40"/>
      <c r="W223" s="40"/>
      <c r="X223" s="40"/>
      <c r="Y223" s="40"/>
      <c r="Z223" s="22"/>
      <c r="AA223" s="22"/>
      <c r="AB223" s="22"/>
    </row>
    <row r="224" ht="18.75" customHeight="1">
      <c r="A224" s="18" t="str">
        <f t="array" ref="A224">IFERROR(
  INDEX(
    'api-register-id'!A:A,
    MATCH(F224, 'api-register-id'!B:B, 0)
  ),
  "Not found Organization"
)</f>
        <v>SSFF</v>
      </c>
      <c r="B224" s="22" t="str">
        <f>IFERROR(VLOOKUP(F224, 'api-register-id'!B:F, 4, FALSE), "Not found path.")</f>
        <v>mx-api-bc-dom-payment-order</v>
      </c>
      <c r="C224" s="23" t="s">
        <v>41</v>
      </c>
      <c r="D224" s="23" t="s">
        <v>119</v>
      </c>
      <c r="E224" s="24" t="str">
        <f>IFERROR(VLOOKUP(F224, 'api-register-id'!B:F, 5, FALSE), "Not found path.")</f>
        <v>APIMX000044</v>
      </c>
      <c r="F224" s="25" t="s">
        <v>672</v>
      </c>
      <c r="G224" s="26" t="s">
        <v>1663</v>
      </c>
      <c r="H224" s="22" t="s">
        <v>1664</v>
      </c>
      <c r="I224" s="29" t="str">
        <f>IFERROR(VLOOKUP(F224, 'api-register-id'!B:I, 8, FALSE), "Not found path.")</f>
        <v>1.1.0</v>
      </c>
      <c r="J224" s="3" t="s">
        <v>1646</v>
      </c>
      <c r="K224" s="31" t="s">
        <v>48</v>
      </c>
      <c r="L224" s="23" t="s">
        <v>61</v>
      </c>
      <c r="M224" s="3" t="s">
        <v>1665</v>
      </c>
      <c r="N224" s="3" t="str">
        <f t="shared" si="1"/>
        <v>PUT /payments/paymentOrder/v1/transactionAssigment/control</v>
      </c>
      <c r="O224" s="32" t="s">
        <v>1666</v>
      </c>
      <c r="P224" s="32"/>
      <c r="Q224" s="61" t="s">
        <v>98</v>
      </c>
      <c r="R224" s="31" t="s">
        <v>56</v>
      </c>
      <c r="S224" s="38" t="str">
        <f t="shared" si="2"/>
        <v>https://github.com/SF-Bancoppel/mx-api-bc-dom-payment-order</v>
      </c>
      <c r="T224" s="40"/>
      <c r="U224" s="22"/>
      <c r="V224" s="40"/>
      <c r="W224" s="40"/>
      <c r="X224" s="40"/>
      <c r="Y224" s="40"/>
      <c r="Z224" s="22"/>
      <c r="AA224" s="22"/>
      <c r="AB224" s="22"/>
    </row>
    <row r="225" ht="18.75" customHeight="1">
      <c r="A225" s="18" t="str">
        <f t="array" ref="A225">IFERROR(
  INDEX(
    'api-register-id'!A:A,
    MATCH(F225, 'api-register-id'!B:B, 0)
  ),
  "Not found Organization"
)</f>
        <v>SSFF</v>
      </c>
      <c r="B225" s="22" t="str">
        <f>IFERROR(VLOOKUP(F225, 'api-register-id'!B:F, 4, FALSE), "Not found path.")</f>
        <v>mx-api-bc-dom-payment-order</v>
      </c>
      <c r="C225" s="23" t="s">
        <v>41</v>
      </c>
      <c r="D225" s="23" t="s">
        <v>119</v>
      </c>
      <c r="E225" s="24" t="str">
        <f>IFERROR(VLOOKUP(F225, 'api-register-id'!B:F, 5, FALSE), "Not found path.")</f>
        <v>APIMX000044</v>
      </c>
      <c r="F225" s="25" t="s">
        <v>672</v>
      </c>
      <c r="G225" s="26" t="s">
        <v>1668</v>
      </c>
      <c r="H225" s="22" t="s">
        <v>1669</v>
      </c>
      <c r="I225" s="29" t="str">
        <f>IFERROR(VLOOKUP(F225, 'api-register-id'!B:I, 8, FALSE), "Not found path.")</f>
        <v>1.1.0</v>
      </c>
      <c r="J225" s="3" t="s">
        <v>1646</v>
      </c>
      <c r="K225" s="31" t="s">
        <v>48</v>
      </c>
      <c r="L225" s="23" t="s">
        <v>61</v>
      </c>
      <c r="M225" s="3" t="s">
        <v>1672</v>
      </c>
      <c r="N225" s="3" t="str">
        <f t="shared" si="1"/>
        <v>PUT /payments/paymentOrder/v1/orderConfirmation/execute</v>
      </c>
      <c r="O225" s="32" t="s">
        <v>1674</v>
      </c>
      <c r="P225" s="32"/>
      <c r="Q225" s="61" t="s">
        <v>98</v>
      </c>
      <c r="R225" s="31" t="s">
        <v>56</v>
      </c>
      <c r="S225" s="38" t="str">
        <f t="shared" si="2"/>
        <v>https://github.com/SF-Bancoppel/mx-api-bc-dom-payment-order</v>
      </c>
      <c r="T225" s="40"/>
      <c r="U225" s="22"/>
      <c r="V225" s="40"/>
      <c r="W225" s="40"/>
      <c r="X225" s="40"/>
      <c r="Y225" s="40"/>
      <c r="Z225" s="22"/>
      <c r="AA225" s="22"/>
      <c r="AB225" s="22"/>
    </row>
    <row r="226" ht="18.75" customHeight="1">
      <c r="A226" s="18" t="str">
        <f t="array" ref="A226">IFERROR(
  INDEX(
    'api-register-id'!A:A,
    MATCH(F226, 'api-register-id'!B:B, 0)
  ),
  "Not found Organization"
)</f>
        <v>SSFF</v>
      </c>
      <c r="B226" s="22" t="str">
        <f>IFERROR(VLOOKUP(F226, 'api-register-id'!B:F, 4, FALSE), "Not found path.")</f>
        <v>mx-api-bc-dom-payment-order</v>
      </c>
      <c r="C226" s="23" t="s">
        <v>41</v>
      </c>
      <c r="D226" s="23" t="s">
        <v>119</v>
      </c>
      <c r="E226" s="24" t="str">
        <f>IFERROR(VLOOKUP(F226, 'api-register-id'!B:F, 5, FALSE), "Not found path.")</f>
        <v>APIMX000044</v>
      </c>
      <c r="F226" s="25" t="s">
        <v>672</v>
      </c>
      <c r="G226" s="26" t="s">
        <v>1675</v>
      </c>
      <c r="H226" s="22" t="s">
        <v>1676</v>
      </c>
      <c r="I226" s="29" t="str">
        <f>IFERROR(VLOOKUP(F226, 'api-register-id'!B:I, 8, FALSE), "Not found path.")</f>
        <v>1.1.0</v>
      </c>
      <c r="J226" s="3" t="s">
        <v>1646</v>
      </c>
      <c r="K226" s="31" t="s">
        <v>48</v>
      </c>
      <c r="L226" s="23" t="s">
        <v>49</v>
      </c>
      <c r="M226" s="3" t="s">
        <v>82</v>
      </c>
      <c r="N226" s="3" t="str">
        <f t="shared" si="1"/>
        <v>POST /payments/paymentOrder/v1/paymentOrderProcedure/initiate</v>
      </c>
      <c r="O226" s="32" t="s">
        <v>83</v>
      </c>
      <c r="P226" s="32"/>
      <c r="Q226" s="61" t="s">
        <v>98</v>
      </c>
      <c r="R226" s="31" t="s">
        <v>56</v>
      </c>
      <c r="S226" s="38" t="str">
        <f t="shared" si="2"/>
        <v>https://github.com/SF-Bancoppel/mx-api-bc-dom-payment-order</v>
      </c>
      <c r="T226" s="40"/>
      <c r="U226" s="22"/>
      <c r="V226" s="22"/>
      <c r="W226" s="40"/>
      <c r="X226" s="40"/>
      <c r="Y226" s="40"/>
      <c r="Z226" s="22"/>
      <c r="AA226" s="22"/>
      <c r="AB226" s="22"/>
    </row>
    <row r="227" ht="18.75" customHeight="1">
      <c r="A227" s="18" t="str">
        <f t="array" ref="A227">IFERROR(
  INDEX(
    'api-register-id'!A:A,
    MATCH(F227, 'api-register-id'!B:B, 0)
  ),
  "Not found Organization"
)</f>
        <v>SSFF</v>
      </c>
      <c r="B227" s="22" t="str">
        <f>IFERROR(VLOOKUP(F227, 'api-register-id'!B:F, 4, FALSE), "Not found path.")</f>
        <v>mx-api-bc-dom-payment-order</v>
      </c>
      <c r="C227" s="23" t="s">
        <v>41</v>
      </c>
      <c r="D227" s="23" t="s">
        <v>119</v>
      </c>
      <c r="E227" s="24" t="str">
        <f>IFERROR(VLOOKUP(F227, 'api-register-id'!B:F, 5, FALSE), "Not found path.")</f>
        <v>APIMX000044</v>
      </c>
      <c r="F227" s="25" t="s">
        <v>672</v>
      </c>
      <c r="G227" s="26" t="s">
        <v>1680</v>
      </c>
      <c r="H227" s="22" t="s">
        <v>1681</v>
      </c>
      <c r="I227" s="29" t="str">
        <f>IFERROR(VLOOKUP(F227, 'api-register-id'!B:I, 8, FALSE), "Not found path.")</f>
        <v>1.1.0</v>
      </c>
      <c r="J227" s="3" t="s">
        <v>1646</v>
      </c>
      <c r="K227" s="31" t="s">
        <v>48</v>
      </c>
      <c r="L227" s="23" t="s">
        <v>49</v>
      </c>
      <c r="M227" s="3" t="s">
        <v>1682</v>
      </c>
      <c r="N227" s="3" t="str">
        <f t="shared" si="1"/>
        <v>POST /payments/paymentOrder/v1/paymentOrderFees/initiate</v>
      </c>
      <c r="O227" s="32" t="s">
        <v>1683</v>
      </c>
      <c r="P227" s="32"/>
      <c r="Q227" s="61" t="s">
        <v>98</v>
      </c>
      <c r="R227" s="31" t="s">
        <v>56</v>
      </c>
      <c r="S227" s="38" t="str">
        <f t="shared" si="2"/>
        <v>https://github.com/SF-Bancoppel/mx-api-bc-dom-payment-order</v>
      </c>
      <c r="T227" s="40"/>
      <c r="U227" s="22"/>
      <c r="V227" s="40"/>
      <c r="W227" s="40"/>
      <c r="X227" s="40"/>
      <c r="Y227" s="40"/>
      <c r="Z227" s="22"/>
      <c r="AA227" s="22"/>
      <c r="AB227" s="22"/>
    </row>
    <row r="228" ht="18.75" customHeight="1">
      <c r="A228" s="18" t="str">
        <f t="array" ref="A228">IFERROR(
  INDEX(
    'api-register-id'!A:A,
    MATCH(F228, 'api-register-id'!B:B, 0)
  ),
  "Not found Organization"
)</f>
        <v>SSFF</v>
      </c>
      <c r="B228" s="22" t="str">
        <f>IFERROR(VLOOKUP(F228, 'api-register-id'!B:F, 4, FALSE), "Not found path.")</f>
        <v>mx-api-bc-dom-payment-order</v>
      </c>
      <c r="C228" s="23" t="s">
        <v>41</v>
      </c>
      <c r="D228" s="23" t="s">
        <v>119</v>
      </c>
      <c r="E228" s="24" t="str">
        <f>IFERROR(VLOOKUP(F228, 'api-register-id'!B:F, 5, FALSE), "Not found path.")</f>
        <v>APIMX000044</v>
      </c>
      <c r="F228" s="25" t="s">
        <v>672</v>
      </c>
      <c r="G228" s="26" t="s">
        <v>1684</v>
      </c>
      <c r="H228" s="22" t="s">
        <v>1685</v>
      </c>
      <c r="I228" s="29" t="str">
        <f>IFERROR(VLOOKUP(F228, 'api-register-id'!B:I, 8, FALSE), "Not found path.")</f>
        <v>1.1.0</v>
      </c>
      <c r="J228" s="3" t="s">
        <v>1646</v>
      </c>
      <c r="K228" s="31" t="s">
        <v>48</v>
      </c>
      <c r="L228" s="23" t="s">
        <v>49</v>
      </c>
      <c r="M228" s="3" t="s">
        <v>1686</v>
      </c>
      <c r="N228" s="3" t="str">
        <f t="shared" si="1"/>
        <v>POST /payments/paymentOrder/v1/executionInitiation/register</v>
      </c>
      <c r="O228" s="32" t="s">
        <v>1687</v>
      </c>
      <c r="P228" s="32"/>
      <c r="Q228" s="61" t="s">
        <v>98</v>
      </c>
      <c r="R228" s="31" t="s">
        <v>56</v>
      </c>
      <c r="S228" s="38" t="str">
        <f t="shared" si="2"/>
        <v>https://github.com/SF-Bancoppel/mx-api-bc-dom-payment-order</v>
      </c>
      <c r="T228" s="40"/>
      <c r="U228" s="22"/>
      <c r="V228" s="22"/>
      <c r="W228" s="40"/>
      <c r="X228" s="40"/>
      <c r="Y228" s="40"/>
      <c r="Z228" s="22"/>
      <c r="AA228" s="22"/>
      <c r="AB228" s="22"/>
    </row>
    <row r="229" ht="18.75" customHeight="1">
      <c r="A229" s="18" t="str">
        <f t="array" ref="A229">IFERROR(
  INDEX(
    'api-register-id'!A:A,
    MATCH(F229, 'api-register-id'!B:B, 0)
  ),
  "Not found Organization"
)</f>
        <v>SSFF</v>
      </c>
      <c r="B229" s="22" t="str">
        <f>IFERROR(VLOOKUP(F229, 'api-register-id'!B:F, 4, FALSE), "Not found path.")</f>
        <v>mx-api-bc-dom-payment-order</v>
      </c>
      <c r="C229" s="23" t="s">
        <v>41</v>
      </c>
      <c r="D229" s="23" t="s">
        <v>119</v>
      </c>
      <c r="E229" s="24" t="str">
        <f>IFERROR(VLOOKUP(F229, 'api-register-id'!B:F, 5, FALSE), "Not found path.")</f>
        <v>APIMX000044</v>
      </c>
      <c r="F229" s="25" t="s">
        <v>672</v>
      </c>
      <c r="G229" s="26" t="s">
        <v>1691</v>
      </c>
      <c r="H229" s="22" t="s">
        <v>1692</v>
      </c>
      <c r="I229" s="29" t="str">
        <f>IFERROR(VLOOKUP(F229, 'api-register-id'!B:I, 8, FALSE), "Not found path.")</f>
        <v>1.1.0</v>
      </c>
      <c r="J229" s="3" t="s">
        <v>1646</v>
      </c>
      <c r="K229" s="31" t="s">
        <v>48</v>
      </c>
      <c r="L229" s="23" t="s">
        <v>49</v>
      </c>
      <c r="M229" s="3" t="s">
        <v>1693</v>
      </c>
      <c r="N229" s="3" t="str">
        <f t="shared" si="1"/>
        <v>POST /payments/paymentOrder/v1/withdrawals/initiate</v>
      </c>
      <c r="O229" s="32" t="s">
        <v>1694</v>
      </c>
      <c r="P229" s="32"/>
      <c r="Q229" s="61" t="s">
        <v>1695</v>
      </c>
      <c r="R229" s="31" t="s">
        <v>56</v>
      </c>
      <c r="S229" s="38" t="str">
        <f t="shared" si="2"/>
        <v>https://github.com/SF-Bancoppel/mx-api-bc-dom-payment-order</v>
      </c>
      <c r="T229" s="40"/>
      <c r="U229" s="22"/>
      <c r="V229" s="40"/>
      <c r="W229" s="40"/>
      <c r="X229" s="40"/>
      <c r="Y229" s="40"/>
      <c r="Z229" s="22"/>
      <c r="AA229" s="22"/>
      <c r="AB229" s="22"/>
    </row>
    <row r="230" ht="18.75" customHeight="1">
      <c r="A230" s="18" t="str">
        <f t="array" ref="A230">IFERROR(
  INDEX(
    'api-register-id'!A:A,
    MATCH(F230, 'api-register-id'!B:B, 0)
  ),
  "Not found Organization"
)</f>
        <v>SSFF</v>
      </c>
      <c r="B230" s="22" t="str">
        <f>IFERROR(VLOOKUP(F230, 'api-register-id'!B:F, 4, FALSE), "Not found path.")</f>
        <v>mx-api-bc-dom-payment-order</v>
      </c>
      <c r="C230" s="23" t="s">
        <v>41</v>
      </c>
      <c r="D230" s="23" t="s">
        <v>119</v>
      </c>
      <c r="E230" s="24" t="str">
        <f>IFERROR(VLOOKUP(F230, 'api-register-id'!B:F, 5, FALSE), "Not found path.")</f>
        <v>APIMX000044</v>
      </c>
      <c r="F230" s="25" t="s">
        <v>672</v>
      </c>
      <c r="G230" s="26" t="s">
        <v>1696</v>
      </c>
      <c r="H230" s="22" t="s">
        <v>1697</v>
      </c>
      <c r="I230" s="29" t="str">
        <f>IFERROR(VLOOKUP(F230, 'api-register-id'!B:I, 8, FALSE), "Not found path.")</f>
        <v>1.1.0</v>
      </c>
      <c r="J230" s="3" t="s">
        <v>1646</v>
      </c>
      <c r="K230" s="31" t="s">
        <v>48</v>
      </c>
      <c r="L230" s="23" t="s">
        <v>428</v>
      </c>
      <c r="M230" s="3" t="s">
        <v>1699</v>
      </c>
      <c r="N230" s="3" t="str">
        <f t="shared" si="1"/>
        <v>PATCH /payments/paymentOrder/v1/paymentOrderFees/execute</v>
      </c>
      <c r="O230" s="32" t="s">
        <v>1702</v>
      </c>
      <c r="P230" s="32"/>
      <c r="Q230" s="61" t="s">
        <v>98</v>
      </c>
      <c r="R230" s="31" t="s">
        <v>56</v>
      </c>
      <c r="S230" s="38" t="str">
        <f t="shared" si="2"/>
        <v>https://github.com/SF-Bancoppel/mx-api-bc-dom-payment-order</v>
      </c>
      <c r="T230" s="40"/>
      <c r="U230" s="22"/>
      <c r="V230" s="22"/>
      <c r="W230" s="40"/>
      <c r="X230" s="40"/>
      <c r="Y230" s="40"/>
      <c r="Z230" s="22"/>
      <c r="AA230" s="22"/>
      <c r="AB230" s="22"/>
    </row>
    <row r="231" ht="18.75" customHeight="1">
      <c r="A231" s="18" t="str">
        <f t="array" ref="A231">IFERROR(
  INDEX(
    'api-register-id'!A:A,
    MATCH(F231, 'api-register-id'!B:B, 0)
  ),
  "Not found Organization"
)</f>
        <v>SSFF</v>
      </c>
      <c r="B231" s="22" t="str">
        <f>IFERROR(VLOOKUP(F231, 'api-register-id'!B:F, 4, FALSE), "Not found path.")</f>
        <v>mx-api-bc-dom-payment-rail-operations</v>
      </c>
      <c r="C231" s="23" t="s">
        <v>41</v>
      </c>
      <c r="D231" s="23" t="s">
        <v>119</v>
      </c>
      <c r="E231" s="24" t="str">
        <f>IFERROR(VLOOKUP(F231, 'api-register-id'!B:F, 5, FALSE), "Not found path.")</f>
        <v>APIMX000045</v>
      </c>
      <c r="F231" s="25" t="s">
        <v>682</v>
      </c>
      <c r="G231" s="26" t="s">
        <v>1703</v>
      </c>
      <c r="H231" s="22" t="s">
        <v>1704</v>
      </c>
      <c r="I231" s="29" t="str">
        <f>IFERROR(VLOOKUP(F231, 'api-register-id'!B:I, 8, FALSE), "Not found path.")</f>
        <v>1.0.0</v>
      </c>
      <c r="J231" s="3" t="s">
        <v>1705</v>
      </c>
      <c r="K231" s="31" t="s">
        <v>48</v>
      </c>
      <c r="L231" s="23" t="s">
        <v>49</v>
      </c>
      <c r="M231" s="3" t="s">
        <v>1706</v>
      </c>
      <c r="N231" s="3" t="str">
        <f t="shared" si="1"/>
        <v>POST /clearingAndSettlement/paymentRailOperations/v1/thirdPartyPayments/retrieve</v>
      </c>
      <c r="O231" s="32" t="s">
        <v>1707</v>
      </c>
      <c r="P231" s="32" t="s">
        <v>1708</v>
      </c>
      <c r="Q231" s="61" t="s">
        <v>98</v>
      </c>
      <c r="R231" s="31" t="s">
        <v>56</v>
      </c>
      <c r="S231" s="38" t="str">
        <f t="shared" si="2"/>
        <v>https://github.com/SF-Bancoppel/mx-api-bc-dom-payment-rail-operations</v>
      </c>
      <c r="T231" s="40"/>
      <c r="U231" s="22"/>
      <c r="V231" s="40"/>
      <c r="W231" s="40"/>
      <c r="X231" s="40"/>
      <c r="Y231" s="40"/>
      <c r="Z231" s="22"/>
      <c r="AA231" s="22"/>
      <c r="AB231" s="22"/>
    </row>
    <row r="232" ht="18.75" customHeight="1">
      <c r="A232" s="18" t="str">
        <f t="array" ref="A232">IFERROR(
  INDEX(
    'api-register-id'!A:A,
    MATCH(F232, 'api-register-id'!B:B, 0)
  ),
  "Not found Organization"
)</f>
        <v>SSFF</v>
      </c>
      <c r="B232" s="22" t="str">
        <f>IFERROR(VLOOKUP(F232, 'api-register-id'!B:F, 4, FALSE), "Not found path.")</f>
        <v>mx-api-bc-dom-platform-operations</v>
      </c>
      <c r="C232" s="23" t="s">
        <v>41</v>
      </c>
      <c r="D232" s="23" t="s">
        <v>119</v>
      </c>
      <c r="E232" s="24" t="str">
        <f>IFERROR(VLOOKUP(F232, 'api-register-id'!B:F, 5, FALSE), "Not found path.")</f>
        <v>APIMX000046</v>
      </c>
      <c r="F232" s="25" t="s">
        <v>692</v>
      </c>
      <c r="G232" s="26" t="s">
        <v>1712</v>
      </c>
      <c r="H232" s="22" t="s">
        <v>1713</v>
      </c>
      <c r="I232" s="29" t="str">
        <f>IFERROR(VLOOKUP(F232, 'api-register-id'!B:I, 8, FALSE), "Not found path.")</f>
        <v>1.0.0</v>
      </c>
      <c r="J232" s="3" t="s">
        <v>1714</v>
      </c>
      <c r="K232" s="31" t="s">
        <v>48</v>
      </c>
      <c r="L232" s="23" t="s">
        <v>49</v>
      </c>
      <c r="M232" s="3" t="s">
        <v>1715</v>
      </c>
      <c r="N232" s="3" t="str">
        <f t="shared" si="1"/>
        <v>POST /iTManagement/platformOperations/v1/platformOperationFacility/initiate</v>
      </c>
      <c r="O232" s="32" t="s">
        <v>1716</v>
      </c>
      <c r="P232" s="32"/>
      <c r="Q232" s="61" t="s">
        <v>98</v>
      </c>
      <c r="R232" s="31" t="s">
        <v>56</v>
      </c>
      <c r="S232" s="38" t="str">
        <f t="shared" si="2"/>
        <v>https://github.com/SF-Bancoppel/mx-api-bc-dom-platform-operations</v>
      </c>
      <c r="T232" s="40"/>
      <c r="U232" s="22"/>
      <c r="V232" s="40"/>
      <c r="W232" s="40"/>
      <c r="X232" s="40"/>
      <c r="Y232" s="40"/>
      <c r="Z232" s="22"/>
      <c r="AA232" s="22"/>
      <c r="AB232" s="22"/>
    </row>
    <row r="233" ht="18.75" customHeight="1">
      <c r="A233" s="18" t="str">
        <f t="array" ref="A233">IFERROR(
  INDEX(
    'api-register-id'!A:A,
    MATCH(F233, 'api-register-id'!B:B, 0)
  ),
  "Not found Organization"
)</f>
        <v>SSFF</v>
      </c>
      <c r="B233" s="22" t="str">
        <f>IFERROR(VLOOKUP(F233, 'api-register-id'!B:F, 4, FALSE), "Not found path.")</f>
        <v>mx-api-bc-dom-position-keeping</v>
      </c>
      <c r="C233" s="23" t="s">
        <v>41</v>
      </c>
      <c r="D233" s="23" t="s">
        <v>119</v>
      </c>
      <c r="E233" s="24" t="str">
        <f>IFERROR(VLOOKUP(F233, 'api-register-id'!B:F, 5, FALSE), "Not found path.")</f>
        <v>APIMX000047</v>
      </c>
      <c r="F233" s="25" t="s">
        <v>702</v>
      </c>
      <c r="G233" s="26" t="s">
        <v>1717</v>
      </c>
      <c r="H233" s="22" t="s">
        <v>1718</v>
      </c>
      <c r="I233" s="29" t="str">
        <f>IFERROR(VLOOKUP(F233, 'api-register-id'!B:I, 8, FALSE), "Not found path.")</f>
        <v>1.1.0</v>
      </c>
      <c r="J233" s="3" t="s">
        <v>1719</v>
      </c>
      <c r="K233" s="31" t="s">
        <v>48</v>
      </c>
      <c r="L233" s="23" t="s">
        <v>428</v>
      </c>
      <c r="M233" s="3" t="s">
        <v>1720</v>
      </c>
      <c r="N233" s="3" t="str">
        <f t="shared" si="1"/>
        <v>PATCH /accountManagement/positionKeeping/v1/statementFacility/update</v>
      </c>
      <c r="O233" s="32" t="s">
        <v>1721</v>
      </c>
      <c r="P233" s="32"/>
      <c r="Q233" s="61" t="s">
        <v>98</v>
      </c>
      <c r="R233" s="31" t="s">
        <v>56</v>
      </c>
      <c r="S233" s="38" t="str">
        <f t="shared" si="2"/>
        <v>https://github.com/SF-Bancoppel/mx-api-bc-dom-position-keeping</v>
      </c>
      <c r="T233" s="40"/>
      <c r="U233" s="22"/>
      <c r="V233" s="22"/>
      <c r="W233" s="22"/>
      <c r="X233" s="40"/>
      <c r="Y233" s="40"/>
      <c r="Z233" s="22"/>
      <c r="AA233" s="22"/>
      <c r="AB233" s="22"/>
    </row>
    <row r="234" ht="18.75" customHeight="1">
      <c r="A234" s="18" t="str">
        <f t="array" ref="A234">IFERROR(
  INDEX(
    'api-register-id'!A:A,
    MATCH(F234, 'api-register-id'!B:B, 0)
  ),
  "Not found Organization"
)</f>
        <v>SSFF</v>
      </c>
      <c r="B234" s="22" t="str">
        <f>IFERROR(VLOOKUP(F234, 'api-register-id'!B:F, 4, FALSE), "Not found path.")</f>
        <v>mx-api-bc-dom-position-keeping</v>
      </c>
      <c r="C234" s="23" t="s">
        <v>41</v>
      </c>
      <c r="D234" s="23" t="s">
        <v>119</v>
      </c>
      <c r="E234" s="24" t="str">
        <f>IFERROR(VLOOKUP(F234, 'api-register-id'!B:F, 5, FALSE), "Not found path.")</f>
        <v>APIMX000047</v>
      </c>
      <c r="F234" s="25" t="s">
        <v>702</v>
      </c>
      <c r="G234" s="26" t="s">
        <v>1725</v>
      </c>
      <c r="H234" s="22" t="s">
        <v>1726</v>
      </c>
      <c r="I234" s="29" t="str">
        <f>IFERROR(VLOOKUP(F234, 'api-register-id'!B:I, 8, FALSE), "Not found path.")</f>
        <v>1.1.0</v>
      </c>
      <c r="J234" s="3" t="s">
        <v>1719</v>
      </c>
      <c r="K234" s="31" t="s">
        <v>48</v>
      </c>
      <c r="L234" s="23" t="s">
        <v>49</v>
      </c>
      <c r="M234" s="3" t="s">
        <v>1727</v>
      </c>
      <c r="N234" s="3" t="str">
        <f t="shared" si="1"/>
        <v>POST /accountManagement/positionKeeping/v1/productFacility/evaluate</v>
      </c>
      <c r="O234" s="32" t="s">
        <v>1728</v>
      </c>
      <c r="P234" s="32"/>
      <c r="Q234" s="61" t="s">
        <v>98</v>
      </c>
      <c r="R234" s="31" t="s">
        <v>56</v>
      </c>
      <c r="S234" s="38" t="str">
        <f t="shared" si="2"/>
        <v>https://github.com/SF-Bancoppel/mx-api-bc-dom-position-keeping</v>
      </c>
      <c r="T234" s="22"/>
      <c r="U234" s="22"/>
      <c r="V234" s="22"/>
      <c r="W234" s="22"/>
      <c r="X234" s="22"/>
      <c r="Y234" s="22"/>
      <c r="Z234" s="22"/>
      <c r="AA234" s="22"/>
      <c r="AB234" s="22"/>
    </row>
    <row r="235" ht="18.75" customHeight="1">
      <c r="A235" s="18" t="str">
        <f t="array" ref="A235">IFERROR(
  INDEX(
    'api-register-id'!A:A,
    MATCH(F235, 'api-register-id'!B:B, 0)
  ),
  "Not found Organization"
)</f>
        <v>SSFF</v>
      </c>
      <c r="B235" s="22" t="str">
        <f>IFERROR(VLOOKUP(F235, 'api-register-id'!B:F, 4, FALSE), "Not found path.")</f>
        <v>mx-api-bc-dom-product-directory</v>
      </c>
      <c r="C235" s="23" t="s">
        <v>41</v>
      </c>
      <c r="D235" s="23" t="s">
        <v>119</v>
      </c>
      <c r="E235" s="24" t="str">
        <f>IFERROR(VLOOKUP(F235, 'api-register-id'!B:F, 5, FALSE), "Not found path.")</f>
        <v>APIMX000048</v>
      </c>
      <c r="F235" s="25" t="s">
        <v>709</v>
      </c>
      <c r="G235" s="26" t="s">
        <v>1729</v>
      </c>
      <c r="H235" s="22" t="s">
        <v>1730</v>
      </c>
      <c r="I235" s="29" t="str">
        <f>IFERROR(VLOOKUP(F235, 'api-register-id'!B:I, 8, FALSE), "Not found path.")</f>
        <v>1.0.0</v>
      </c>
      <c r="J235" s="3" t="s">
        <v>1731</v>
      </c>
      <c r="K235" s="31" t="s">
        <v>48</v>
      </c>
      <c r="L235" s="23" t="s">
        <v>49</v>
      </c>
      <c r="M235" s="3" t="s">
        <v>1732</v>
      </c>
      <c r="N235" s="3" t="str">
        <f t="shared" si="1"/>
        <v>POST /productManagement/productDirectory/v1/productDirectoryEntry/retrieve</v>
      </c>
      <c r="O235" s="32" t="s">
        <v>1733</v>
      </c>
      <c r="P235" s="32"/>
      <c r="Q235" s="61" t="s">
        <v>98</v>
      </c>
      <c r="R235" s="31" t="s">
        <v>56</v>
      </c>
      <c r="S235" s="38" t="str">
        <f t="shared" si="2"/>
        <v>https://github.com/SF-Bancoppel/mx-api-bc-dom-product-directory</v>
      </c>
      <c r="T235" s="40"/>
      <c r="U235" s="22"/>
      <c r="V235" s="40"/>
      <c r="W235" s="40"/>
      <c r="X235" s="40"/>
      <c r="Y235" s="40"/>
      <c r="Z235" s="22"/>
      <c r="AA235" s="22"/>
      <c r="AB235" s="22"/>
    </row>
    <row r="236" ht="18.75" customHeight="1">
      <c r="A236" s="18" t="str">
        <f t="array" ref="A236">IFERROR(
  INDEX(
    'api-register-id'!A:A,
    MATCH(F236, 'api-register-id'!B:B, 0)
  ),
  "Not found Organization"
)</f>
        <v>SSFF</v>
      </c>
      <c r="B236" s="22" t="str">
        <f>IFERROR(VLOOKUP(F236, 'api-register-id'!B:F, 4, FALSE), "Not found path.")</f>
        <v>mx-api-bc-dom-product-directory</v>
      </c>
      <c r="C236" s="23" t="s">
        <v>41</v>
      </c>
      <c r="D236" s="23" t="s">
        <v>119</v>
      </c>
      <c r="E236" s="24" t="str">
        <f>IFERROR(VLOOKUP(F236, 'api-register-id'!B:F, 5, FALSE), "Not found path.")</f>
        <v>APIMX000048</v>
      </c>
      <c r="F236" s="25" t="s">
        <v>709</v>
      </c>
      <c r="G236" s="26" t="s">
        <v>1737</v>
      </c>
      <c r="H236" s="22" t="s">
        <v>1738</v>
      </c>
      <c r="I236" s="29" t="str">
        <f>IFERROR(VLOOKUP(F236, 'api-register-id'!B:I, 8, FALSE), "Not found path.")</f>
        <v>1.0.0</v>
      </c>
      <c r="J236" s="3" t="s">
        <v>1731</v>
      </c>
      <c r="K236" s="31" t="s">
        <v>48</v>
      </c>
      <c r="L236" s="23" t="s">
        <v>49</v>
      </c>
      <c r="M236" s="3" t="s">
        <v>1739</v>
      </c>
      <c r="N236" s="3" t="str">
        <f t="shared" si="1"/>
        <v>POST /productManagement/productDirectory/v1/interestProductFeature/retrieve</v>
      </c>
      <c r="O236" s="32" t="s">
        <v>1740</v>
      </c>
      <c r="P236" s="32"/>
      <c r="Q236" s="61" t="s">
        <v>98</v>
      </c>
      <c r="R236" s="31" t="s">
        <v>56</v>
      </c>
      <c r="S236" s="38" t="str">
        <f t="shared" si="2"/>
        <v>https://github.com/SF-Bancoppel/mx-api-bc-dom-product-directory</v>
      </c>
      <c r="T236" s="40"/>
      <c r="U236" s="40"/>
      <c r="V236" s="40"/>
      <c r="W236" s="40"/>
      <c r="X236" s="40"/>
      <c r="Y236" s="40"/>
      <c r="Z236" s="40"/>
      <c r="AA236" s="40"/>
      <c r="AB236" s="40"/>
    </row>
    <row r="237" ht="18.75" customHeight="1">
      <c r="A237" s="18" t="str">
        <f t="array" ref="A237">IFERROR(
  INDEX(
    'api-register-id'!A:A,
    MATCH(F237, 'api-register-id'!B:B, 0)
  ),
  "Not found Organization"
)</f>
        <v>SSFF</v>
      </c>
      <c r="B237" s="22" t="str">
        <f>IFERROR(VLOOKUP(F237, 'api-register-id'!B:F, 4, FALSE), "Not found path.")</f>
        <v>mx-api-bc-dom-product-directory</v>
      </c>
      <c r="C237" s="23" t="s">
        <v>41</v>
      </c>
      <c r="D237" s="23" t="s">
        <v>119</v>
      </c>
      <c r="E237" s="24" t="str">
        <f>IFERROR(VLOOKUP(F237, 'api-register-id'!B:F, 5, FALSE), "Not found path.")</f>
        <v>APIMX000048</v>
      </c>
      <c r="F237" s="25" t="s">
        <v>709</v>
      </c>
      <c r="G237" s="26" t="s">
        <v>1741</v>
      </c>
      <c r="H237" s="22" t="s">
        <v>1742</v>
      </c>
      <c r="I237" s="29" t="str">
        <f>IFERROR(VLOOKUP(F237, 'api-register-id'!B:I, 8, FALSE), "Not found path.")</f>
        <v>1.0.0</v>
      </c>
      <c r="J237" s="3" t="s">
        <v>1731</v>
      </c>
      <c r="K237" s="31" t="s">
        <v>48</v>
      </c>
      <c r="L237" s="23" t="s">
        <v>49</v>
      </c>
      <c r="M237" s="3" t="s">
        <v>346</v>
      </c>
      <c r="N237" s="3" t="str">
        <f t="shared" si="1"/>
        <v>POST /productManagement/productDirectory/v1/lifeInsurance/retrieve</v>
      </c>
      <c r="O237" s="32"/>
      <c r="P237" s="32" t="s">
        <v>1743</v>
      </c>
      <c r="Q237" s="61" t="s">
        <v>98</v>
      </c>
      <c r="R237" s="31" t="s">
        <v>56</v>
      </c>
      <c r="S237" s="38" t="str">
        <f t="shared" si="2"/>
        <v>https://github.com/SF-Bancoppel/mx-api-bc-dom-product-directory</v>
      </c>
      <c r="T237" s="40"/>
      <c r="U237" s="40"/>
      <c r="V237" s="40"/>
      <c r="W237" s="40"/>
      <c r="X237" s="40"/>
      <c r="Y237" s="40"/>
      <c r="Z237" s="40"/>
      <c r="AA237" s="40"/>
      <c r="AB237" s="40"/>
    </row>
    <row r="238" ht="18.75" customHeight="1">
      <c r="A238" s="18" t="str">
        <f t="array" ref="A238">IFERROR(
  INDEX(
    'api-register-id'!A:A,
    MATCH(F238, 'api-register-id'!B:B, 0)
  ),
  "Not found Organization"
)</f>
        <v>SSFF</v>
      </c>
      <c r="B238" s="22" t="str">
        <f>IFERROR(VLOOKUP(F238, 'api-register-id'!B:F, 4, FALSE), "Not found path.")</f>
        <v>mx-api-bc-dom-product-matching</v>
      </c>
      <c r="C238" s="23" t="s">
        <v>41</v>
      </c>
      <c r="D238" s="23" t="s">
        <v>119</v>
      </c>
      <c r="E238" s="24" t="str">
        <f>IFERROR(VLOOKUP(F238, 'api-register-id'!B:F, 5, FALSE), "Not found path.")</f>
        <v>APIMX000049</v>
      </c>
      <c r="F238" s="25" t="s">
        <v>719</v>
      </c>
      <c r="G238" s="26" t="s">
        <v>1748</v>
      </c>
      <c r="H238" s="22" t="s">
        <v>1749</v>
      </c>
      <c r="I238" s="29" t="str">
        <f>IFERROR(VLOOKUP(F238, 'api-register-id'!B:I, 8, FALSE), "Not found path.")</f>
        <v>1.0.0</v>
      </c>
      <c r="J238" s="3" t="s">
        <v>1750</v>
      </c>
      <c r="K238" s="31" t="s">
        <v>48</v>
      </c>
      <c r="L238" s="23" t="s">
        <v>49</v>
      </c>
      <c r="M238" s="3" t="s">
        <v>1751</v>
      </c>
      <c r="N238" s="3" t="str">
        <f t="shared" si="1"/>
        <v>POST /sales/productMatching/v1/productEligibility/retrieve</v>
      </c>
      <c r="O238" s="32" t="s">
        <v>1752</v>
      </c>
      <c r="P238" s="32"/>
      <c r="Q238" s="61" t="s">
        <v>98</v>
      </c>
      <c r="R238" s="31" t="s">
        <v>56</v>
      </c>
      <c r="S238" s="38" t="str">
        <f t="shared" si="2"/>
        <v>https://github.com/SF-Bancoppel/mx-api-bc-dom-product-matching</v>
      </c>
      <c r="T238" s="40"/>
      <c r="U238" s="40"/>
      <c r="V238" s="40"/>
      <c r="W238" s="40"/>
      <c r="X238" s="40"/>
      <c r="Y238" s="40"/>
      <c r="Z238" s="40"/>
      <c r="AA238" s="40"/>
      <c r="AB238" s="40"/>
    </row>
    <row r="239" ht="18.75" customHeight="1">
      <c r="A239" s="18" t="str">
        <f t="array" ref="A239">IFERROR(
  INDEX(
    'api-register-id'!A:A,
    MATCH(F239, 'api-register-id'!B:B, 0)
  ),
  "Not found Organization"
)</f>
        <v>SSFF</v>
      </c>
      <c r="B239" s="22" t="str">
        <f>IFERROR(VLOOKUP(F239, 'api-register-id'!B:F, 4, FALSE), "Not found path.")</f>
        <v>mx-api-bc-dom-product-matching</v>
      </c>
      <c r="C239" s="23" t="s">
        <v>41</v>
      </c>
      <c r="D239" s="23" t="s">
        <v>119</v>
      </c>
      <c r="E239" s="24" t="str">
        <f>IFERROR(VLOOKUP(F239, 'api-register-id'!B:F, 5, FALSE), "Not found path.")</f>
        <v>APIMX000049</v>
      </c>
      <c r="F239" s="25" t="s">
        <v>719</v>
      </c>
      <c r="G239" s="26" t="s">
        <v>1753</v>
      </c>
      <c r="H239" s="22" t="s">
        <v>1754</v>
      </c>
      <c r="I239" s="29" t="str">
        <f>IFERROR(VLOOKUP(F239, 'api-register-id'!B:I, 8, FALSE), "Not found path.")</f>
        <v>1.0.0</v>
      </c>
      <c r="J239" s="3" t="s">
        <v>1750</v>
      </c>
      <c r="K239" s="31" t="s">
        <v>48</v>
      </c>
      <c r="L239" s="23" t="s">
        <v>61</v>
      </c>
      <c r="M239" s="3" t="s">
        <v>1756</v>
      </c>
      <c r="N239" s="3" t="str">
        <f t="shared" si="1"/>
        <v>PUT /sales/productMatching/v1/productEligibility/update</v>
      </c>
      <c r="O239" s="32" t="s">
        <v>1757</v>
      </c>
      <c r="P239" s="32"/>
      <c r="Q239" s="61" t="s">
        <v>98</v>
      </c>
      <c r="R239" s="31" t="s">
        <v>56</v>
      </c>
      <c r="S239" s="38" t="str">
        <f t="shared" si="2"/>
        <v>https://github.com/SF-Bancoppel/mx-api-bc-dom-product-matching</v>
      </c>
      <c r="T239" s="40"/>
      <c r="U239" s="40"/>
      <c r="V239" s="40"/>
      <c r="W239" s="40"/>
      <c r="X239" s="40"/>
      <c r="Y239" s="40"/>
      <c r="Z239" s="40"/>
      <c r="AA239" s="40"/>
      <c r="AB239" s="40"/>
    </row>
    <row r="240" ht="18.75" customHeight="1">
      <c r="A240" s="18" t="str">
        <f t="array" ref="A240">IFERROR(
  INDEX(
    'api-register-id'!A:A,
    MATCH(F240, 'api-register-id'!B:B, 0)
  ),
  "Not found Organization"
)</f>
        <v>SSFF</v>
      </c>
      <c r="B240" s="22" t="str">
        <f>IFERROR(VLOOKUP(F240, 'api-register-id'!B:F, 4, FALSE), "Not found path.")</f>
        <v>mx-api-bc-dom-product-matching</v>
      </c>
      <c r="C240" s="23" t="s">
        <v>41</v>
      </c>
      <c r="D240" s="23" t="s">
        <v>119</v>
      </c>
      <c r="E240" s="24" t="str">
        <f>IFERROR(VLOOKUP(F240, 'api-register-id'!B:F, 5, FALSE), "Not found path.")</f>
        <v>APIMX000049</v>
      </c>
      <c r="F240" s="25" t="s">
        <v>719</v>
      </c>
      <c r="G240" s="26" t="s">
        <v>1760</v>
      </c>
      <c r="H240" s="22" t="s">
        <v>1761</v>
      </c>
      <c r="I240" s="29" t="str">
        <f>IFERROR(VLOOKUP(F240, 'api-register-id'!B:I, 8, FALSE), "Not found path.")</f>
        <v>1.0.0</v>
      </c>
      <c r="J240" s="3" t="s">
        <v>1750</v>
      </c>
      <c r="K240" s="31" t="s">
        <v>48</v>
      </c>
      <c r="L240" s="23" t="s">
        <v>49</v>
      </c>
      <c r="M240" s="3" t="s">
        <v>1762</v>
      </c>
      <c r="N240" s="3" t="str">
        <f t="shared" si="1"/>
        <v>POST /sales/productMatching/v1/productTypeSelection/initiate</v>
      </c>
      <c r="O240" s="32" t="s">
        <v>1763</v>
      </c>
      <c r="P240" s="32"/>
      <c r="Q240" s="61" t="s">
        <v>98</v>
      </c>
      <c r="R240" s="31" t="s">
        <v>56</v>
      </c>
      <c r="S240" s="38" t="str">
        <f t="shared" si="2"/>
        <v>https://github.com/SF-Bancoppel/mx-api-bc-dom-product-matching</v>
      </c>
      <c r="T240" s="40"/>
      <c r="U240" s="40"/>
      <c r="V240" s="40"/>
      <c r="W240" s="40"/>
      <c r="X240" s="40"/>
      <c r="Y240" s="40"/>
      <c r="Z240" s="40"/>
      <c r="AA240" s="40"/>
      <c r="AB240" s="40"/>
    </row>
    <row r="241" ht="18.75" customHeight="1">
      <c r="A241" s="18" t="str">
        <f t="array" ref="A241">IFERROR(
  INDEX(
    'api-register-id'!A:A,
    MATCH(F241, 'api-register-id'!B:B, 0)
  ),
  "Not found Organization"
)</f>
        <v>SSFF</v>
      </c>
      <c r="B241" s="22" t="str">
        <f>IFERROR(VLOOKUP(F241, 'api-register-id'!B:F, 4, FALSE), "Not found path.")</f>
        <v>mx-api-bc-dom-product-matching</v>
      </c>
      <c r="C241" s="23" t="s">
        <v>41</v>
      </c>
      <c r="D241" s="23" t="s">
        <v>119</v>
      </c>
      <c r="E241" s="24" t="str">
        <f>IFERROR(VLOOKUP(F241, 'api-register-id'!B:F, 5, FALSE), "Not found path.")</f>
        <v>APIMX000049</v>
      </c>
      <c r="F241" s="25" t="s">
        <v>719</v>
      </c>
      <c r="G241" s="26" t="s">
        <v>1767</v>
      </c>
      <c r="H241" s="22" t="s">
        <v>1768</v>
      </c>
      <c r="I241" s="29" t="str">
        <f>IFERROR(VLOOKUP(F241, 'api-register-id'!B:I, 8, FALSE), "Not found path.")</f>
        <v>1.0.0</v>
      </c>
      <c r="J241" s="3" t="s">
        <v>1750</v>
      </c>
      <c r="K241" s="31" t="s">
        <v>48</v>
      </c>
      <c r="L241" s="23" t="s">
        <v>428</v>
      </c>
      <c r="M241" s="3" t="s">
        <v>1770</v>
      </c>
      <c r="N241" s="3" t="str">
        <f t="shared" si="1"/>
        <v>PATCH /sales/productMatching/v1/productTypeSelection/update</v>
      </c>
      <c r="O241" s="32" t="s">
        <v>1771</v>
      </c>
      <c r="P241" s="32"/>
      <c r="Q241" s="61" t="s">
        <v>98</v>
      </c>
      <c r="R241" s="31" t="s">
        <v>56</v>
      </c>
      <c r="S241" s="38" t="str">
        <f t="shared" si="2"/>
        <v>https://github.com/SF-Bancoppel/mx-api-bc-dom-product-matching</v>
      </c>
      <c r="T241" s="40"/>
      <c r="U241" s="40"/>
      <c r="V241" s="40"/>
      <c r="W241" s="40"/>
      <c r="X241" s="40"/>
      <c r="Y241" s="40"/>
      <c r="Z241" s="40"/>
      <c r="AA241" s="40"/>
      <c r="AB241" s="40"/>
    </row>
    <row r="242" ht="18.75" customHeight="1">
      <c r="A242" s="18" t="str">
        <f t="array" ref="A242">IFERROR(
  INDEX(
    'api-register-id'!A:A,
    MATCH(F242, 'api-register-id'!B:B, 0)
  ),
  "Not found Organization"
)</f>
        <v>SSFF</v>
      </c>
      <c r="B242" s="22" t="str">
        <f>IFERROR(VLOOKUP(F242, 'api-register-id'!B:F, 4, FALSE), "Not found path.")</f>
        <v>mx-api-bc-dom-product-matching</v>
      </c>
      <c r="C242" s="23" t="s">
        <v>41</v>
      </c>
      <c r="D242" s="23" t="s">
        <v>119</v>
      </c>
      <c r="E242" s="24" t="str">
        <f>IFERROR(VLOOKUP(F242, 'api-register-id'!B:F, 5, FALSE), "Not found path.")</f>
        <v>APIMX000049</v>
      </c>
      <c r="F242" s="25" t="s">
        <v>719</v>
      </c>
      <c r="G242" s="26" t="s">
        <v>1772</v>
      </c>
      <c r="H242" s="22" t="s">
        <v>1774</v>
      </c>
      <c r="I242" s="29" t="str">
        <f>IFERROR(VLOOKUP(F242, 'api-register-id'!B:I, 8, FALSE), "Not found path.")</f>
        <v>1.0.0</v>
      </c>
      <c r="J242" s="3" t="s">
        <v>1750</v>
      </c>
      <c r="K242" s="31" t="s">
        <v>48</v>
      </c>
      <c r="L242" s="23" t="s">
        <v>61</v>
      </c>
      <c r="M242" s="3" t="s">
        <v>1775</v>
      </c>
      <c r="N242" s="3" t="str">
        <f t="shared" si="1"/>
        <v>PUT /sales/productMatching/v1/productTypeSelection/control</v>
      </c>
      <c r="O242" s="32" t="s">
        <v>1777</v>
      </c>
      <c r="P242" s="32"/>
      <c r="Q242" s="61" t="s">
        <v>98</v>
      </c>
      <c r="R242" s="31" t="s">
        <v>56</v>
      </c>
      <c r="S242" s="38" t="str">
        <f t="shared" si="2"/>
        <v>https://github.com/SF-Bancoppel/mx-api-bc-dom-product-matching</v>
      </c>
      <c r="T242" s="40"/>
      <c r="U242" s="40"/>
      <c r="V242" s="40"/>
      <c r="W242" s="40"/>
      <c r="X242" s="40"/>
      <c r="Y242" s="40"/>
      <c r="Z242" s="40"/>
      <c r="AA242" s="40"/>
      <c r="AB242" s="40"/>
    </row>
    <row r="243" ht="18.75" customHeight="1">
      <c r="A243" s="18" t="str">
        <f t="array" ref="A243">IFERROR(
  INDEX(
    'api-register-id'!A:A,
    MATCH(F243, 'api-register-id'!B:B, 0)
  ),
  "Not found Organization"
)</f>
        <v>SSFF</v>
      </c>
      <c r="B243" s="22" t="str">
        <f>IFERROR(VLOOKUP(F243, 'api-register-id'!B:F, 4, FALSE), "Not found path.")</f>
        <v>mx-api-bc-dom-product-matching</v>
      </c>
      <c r="C243" s="23" t="s">
        <v>41</v>
      </c>
      <c r="D243" s="23" t="s">
        <v>119</v>
      </c>
      <c r="E243" s="24" t="str">
        <f>IFERROR(VLOOKUP(F243, 'api-register-id'!B:F, 5, FALSE), "Not found path.")</f>
        <v>APIMX000049</v>
      </c>
      <c r="F243" s="25" t="s">
        <v>719</v>
      </c>
      <c r="G243" s="26" t="s">
        <v>1779</v>
      </c>
      <c r="H243" s="22" t="s">
        <v>1780</v>
      </c>
      <c r="I243" s="29" t="str">
        <f>IFERROR(VLOOKUP(F243, 'api-register-id'!B:I, 8, FALSE), "Not found path.")</f>
        <v>1.0.0</v>
      </c>
      <c r="J243" s="3" t="s">
        <v>1750</v>
      </c>
      <c r="K243" s="31" t="s">
        <v>48</v>
      </c>
      <c r="L243" s="23" t="s">
        <v>49</v>
      </c>
      <c r="M243" s="3" t="s">
        <v>1781</v>
      </c>
      <c r="N243" s="3" t="str">
        <f t="shared" si="1"/>
        <v>POST /sales/productMatching/v1/productTypeSelection/retrieve</v>
      </c>
      <c r="O243" s="32" t="s">
        <v>1782</v>
      </c>
      <c r="P243" s="32"/>
      <c r="Q243" s="61" t="s">
        <v>98</v>
      </c>
      <c r="R243" s="31" t="s">
        <v>56</v>
      </c>
      <c r="S243" s="38" t="str">
        <f t="shared" si="2"/>
        <v>https://github.com/SF-Bancoppel/mx-api-bc-dom-product-matching</v>
      </c>
      <c r="T243" s="40"/>
      <c r="U243" s="40"/>
      <c r="V243" s="40"/>
      <c r="W243" s="40"/>
      <c r="X243" s="40"/>
      <c r="Y243" s="40"/>
      <c r="Z243" s="40"/>
      <c r="AA243" s="40"/>
      <c r="AB243" s="40"/>
    </row>
    <row r="244" ht="18.75" customHeight="1">
      <c r="A244" s="18" t="str">
        <f t="array" ref="A244">IFERROR(
  INDEX(
    'api-register-id'!A:A,
    MATCH(F244, 'api-register-id'!B:B, 0)
  ),
  "Not found Organization"
)</f>
        <v>SSFF</v>
      </c>
      <c r="B244" s="22" t="str">
        <f>IFERROR(VLOOKUP(F244, 'api-register-id'!B:F, 4, FALSE), "Not found path.")</f>
        <v>mx-api-bc-dom-product-matching</v>
      </c>
      <c r="C244" s="23" t="s">
        <v>41</v>
      </c>
      <c r="D244" s="23" t="s">
        <v>119</v>
      </c>
      <c r="E244" s="24" t="str">
        <f>IFERROR(VLOOKUP(F244, 'api-register-id'!B:F, 5, FALSE), "Not found path.")</f>
        <v>APIMX000049</v>
      </c>
      <c r="F244" s="25" t="s">
        <v>719</v>
      </c>
      <c r="G244" s="26" t="s">
        <v>1783</v>
      </c>
      <c r="H244" s="22" t="s">
        <v>1785</v>
      </c>
      <c r="I244" s="29" t="str">
        <f>IFERROR(VLOOKUP(F244, 'api-register-id'!B:I, 8, FALSE), "Not found path.")</f>
        <v>1.0.0</v>
      </c>
      <c r="J244" s="3" t="s">
        <v>1750</v>
      </c>
      <c r="K244" s="31" t="s">
        <v>48</v>
      </c>
      <c r="L244" s="23" t="s">
        <v>49</v>
      </c>
      <c r="M244" s="3" t="s">
        <v>1786</v>
      </c>
      <c r="N244" s="3" t="str">
        <f t="shared" si="1"/>
        <v>POST /sales/productMatching/v1/productTypeSelectionDetail/initiate</v>
      </c>
      <c r="O244" s="32" t="s">
        <v>1788</v>
      </c>
      <c r="P244" s="32"/>
      <c r="Q244" s="61" t="s">
        <v>98</v>
      </c>
      <c r="R244" s="31" t="s">
        <v>56</v>
      </c>
      <c r="S244" s="38" t="str">
        <f t="shared" si="2"/>
        <v>https://github.com/SF-Bancoppel/mx-api-bc-dom-product-matching</v>
      </c>
      <c r="T244" s="40"/>
      <c r="U244" s="40"/>
      <c r="V244" s="40"/>
      <c r="W244" s="40"/>
      <c r="X244" s="40"/>
      <c r="Y244" s="40"/>
      <c r="Z244" s="40"/>
      <c r="AA244" s="40"/>
      <c r="AB244" s="40"/>
    </row>
    <row r="245" ht="18.75" customHeight="1">
      <c r="A245" s="18" t="str">
        <f t="array" ref="A245">IFERROR(
  INDEX(
    'api-register-id'!A:A,
    MATCH(F245, 'api-register-id'!B:B, 0)
  ),
  "Not found Organization"
)</f>
        <v>SSFF</v>
      </c>
      <c r="B245" s="22" t="str">
        <f>IFERROR(VLOOKUP(F245, 'api-register-id'!B:F, 4, FALSE), "Not found path.")</f>
        <v>mx-api-bc-dom-product-matching</v>
      </c>
      <c r="C245" s="23" t="s">
        <v>41</v>
      </c>
      <c r="D245" s="23" t="s">
        <v>119</v>
      </c>
      <c r="E245" s="24" t="str">
        <f>IFERROR(VLOOKUP(F245, 'api-register-id'!B:F, 5, FALSE), "Not found path.")</f>
        <v>APIMX000049</v>
      </c>
      <c r="F245" s="25" t="s">
        <v>719</v>
      </c>
      <c r="G245" s="26" t="s">
        <v>1790</v>
      </c>
      <c r="H245" s="22" t="s">
        <v>1791</v>
      </c>
      <c r="I245" s="29" t="str">
        <f>IFERROR(VLOOKUP(F245, 'api-register-id'!B:I, 8, FALSE), "Not found path.")</f>
        <v>1.0.0</v>
      </c>
      <c r="J245" s="3" t="s">
        <v>1750</v>
      </c>
      <c r="K245" s="31" t="s">
        <v>48</v>
      </c>
      <c r="L245" s="23" t="s">
        <v>428</v>
      </c>
      <c r="M245" s="3" t="s">
        <v>1792</v>
      </c>
      <c r="N245" s="3" t="str">
        <f t="shared" si="1"/>
        <v>PATCH /sales/productMatching/v1/productTypeSelectionDetail/update</v>
      </c>
      <c r="O245" s="32" t="s">
        <v>1793</v>
      </c>
      <c r="P245" s="32"/>
      <c r="Q245" s="61" t="s">
        <v>98</v>
      </c>
      <c r="R245" s="31" t="s">
        <v>56</v>
      </c>
      <c r="S245" s="38" t="str">
        <f t="shared" si="2"/>
        <v>https://github.com/SF-Bancoppel/mx-api-bc-dom-product-matching</v>
      </c>
      <c r="T245" s="40"/>
      <c r="U245" s="40"/>
      <c r="V245" s="40"/>
      <c r="W245" s="40"/>
      <c r="X245" s="40"/>
      <c r="Y245" s="40"/>
      <c r="Z245" s="40"/>
      <c r="AA245" s="40"/>
      <c r="AB245" s="40"/>
    </row>
    <row r="246" ht="18.75" customHeight="1">
      <c r="A246" s="18" t="str">
        <f t="array" ref="A246">IFERROR(
  INDEX(
    'api-register-id'!A:A,
    MATCH(F246, 'api-register-id'!B:B, 0)
  ),
  "Not found Organization"
)</f>
        <v>SSFF</v>
      </c>
      <c r="B246" s="22" t="str">
        <f>IFERROR(VLOOKUP(F246, 'api-register-id'!B:F, 4, FALSE), "Not found path.")</f>
        <v>mx-api-bc-dom-product-matching</v>
      </c>
      <c r="C246" s="23" t="s">
        <v>41</v>
      </c>
      <c r="D246" s="23" t="s">
        <v>119</v>
      </c>
      <c r="E246" s="24" t="str">
        <f>IFERROR(VLOOKUP(F246, 'api-register-id'!B:F, 5, FALSE), "Not found path.")</f>
        <v>APIMX000049</v>
      </c>
      <c r="F246" s="25" t="s">
        <v>719</v>
      </c>
      <c r="G246" s="26" t="s">
        <v>1795</v>
      </c>
      <c r="H246" s="22" t="s">
        <v>1796</v>
      </c>
      <c r="I246" s="29" t="str">
        <f>IFERROR(VLOOKUP(F246, 'api-register-id'!B:I, 8, FALSE), "Not found path.")</f>
        <v>1.0.0</v>
      </c>
      <c r="J246" s="3" t="s">
        <v>1750</v>
      </c>
      <c r="K246" s="31" t="s">
        <v>48</v>
      </c>
      <c r="L246" s="23" t="s">
        <v>49</v>
      </c>
      <c r="M246" s="3" t="s">
        <v>1799</v>
      </c>
      <c r="N246" s="3" t="str">
        <f t="shared" si="1"/>
        <v>POST /sales/productMatching/v1/productTypeSelectionDetail/retrieve</v>
      </c>
      <c r="O246" s="32" t="s">
        <v>1800</v>
      </c>
      <c r="P246" s="32"/>
      <c r="Q246" s="61" t="s">
        <v>98</v>
      </c>
      <c r="R246" s="31" t="s">
        <v>56</v>
      </c>
      <c r="S246" s="38" t="str">
        <f t="shared" si="2"/>
        <v>https://github.com/SF-Bancoppel/mx-api-bc-dom-product-matching</v>
      </c>
      <c r="T246" s="40"/>
      <c r="U246" s="40"/>
      <c r="V246" s="40"/>
      <c r="W246" s="40"/>
      <c r="X246" s="40"/>
      <c r="Y246" s="40"/>
      <c r="Z246" s="40"/>
      <c r="AA246" s="40"/>
      <c r="AB246" s="40"/>
    </row>
    <row r="247" ht="18.75" customHeight="1">
      <c r="A247" s="18" t="str">
        <f t="array" ref="A247">IFERROR(
  INDEX(
    'api-register-id'!A:A,
    MATCH(F247, 'api-register-id'!B:B, 0)
  ),
  "Not found Organization"
)</f>
        <v>SSFF</v>
      </c>
      <c r="B247" s="22" t="str">
        <f>IFERROR(VLOOKUP(F247, 'api-register-id'!B:F, 4, FALSE), "Not found path.")</f>
        <v>mx-api-bc-dom-product-matching</v>
      </c>
      <c r="C247" s="23" t="s">
        <v>41</v>
      </c>
      <c r="D247" s="23" t="s">
        <v>119</v>
      </c>
      <c r="E247" s="24" t="str">
        <f>IFERROR(VLOOKUP(F247, 'api-register-id'!B:F, 5, FALSE), "Not found path.")</f>
        <v>APIMX000049</v>
      </c>
      <c r="F247" s="25" t="s">
        <v>719</v>
      </c>
      <c r="G247" s="26" t="s">
        <v>1801</v>
      </c>
      <c r="H247" s="22" t="s">
        <v>1802</v>
      </c>
      <c r="I247" s="29" t="str">
        <f>IFERROR(VLOOKUP(F247, 'api-register-id'!B:I, 8, FALSE), "Not found path.")</f>
        <v>1.0.0</v>
      </c>
      <c r="J247" s="3" t="s">
        <v>1750</v>
      </c>
      <c r="K247" s="31" t="s">
        <v>48</v>
      </c>
      <c r="L247" s="23" t="s">
        <v>108</v>
      </c>
      <c r="M247" s="3" t="s">
        <v>1803</v>
      </c>
      <c r="N247" s="3" t="str">
        <f t="shared" si="1"/>
        <v>GET /sales/productMatching/v1/dataParameter/retrieve</v>
      </c>
      <c r="O247" s="32" t="s">
        <v>1804</v>
      </c>
      <c r="P247" s="32"/>
      <c r="Q247" s="61" t="s">
        <v>98</v>
      </c>
      <c r="R247" s="31" t="s">
        <v>56</v>
      </c>
      <c r="S247" s="38" t="str">
        <f t="shared" si="2"/>
        <v>https://github.com/SF-Bancoppel/mx-api-bc-dom-product-matching</v>
      </c>
      <c r="T247" s="40"/>
      <c r="U247" s="40"/>
      <c r="V247" s="40"/>
      <c r="W247" s="40"/>
      <c r="X247" s="40"/>
      <c r="Y247" s="40"/>
      <c r="Z247" s="40"/>
      <c r="AA247" s="40"/>
      <c r="AB247" s="40"/>
    </row>
    <row r="248" ht="18.75" customHeight="1">
      <c r="A248" s="18" t="str">
        <f t="array" ref="A248">IFERROR(
  INDEX(
    'api-register-id'!A:A,
    MATCH(F248, 'api-register-id'!B:B, 0)
  ),
  "Not found Organization"
)</f>
        <v>SSFF</v>
      </c>
      <c r="B248" s="22" t="str">
        <f>IFERROR(VLOOKUP(F248, 'api-register-id'!B:F, 4, FALSE), "Not found path.")</f>
        <v>mx-api-bc-dom-product-matching</v>
      </c>
      <c r="C248" s="23" t="s">
        <v>41</v>
      </c>
      <c r="D248" s="23" t="s">
        <v>119</v>
      </c>
      <c r="E248" s="24" t="str">
        <f>IFERROR(VLOOKUP(F248, 'api-register-id'!B:F, 5, FALSE), "Not found path.")</f>
        <v>APIMX000049</v>
      </c>
      <c r="F248" s="25" t="s">
        <v>719</v>
      </c>
      <c r="G248" s="26" t="s">
        <v>1807</v>
      </c>
      <c r="H248" s="22" t="s">
        <v>1808</v>
      </c>
      <c r="I248" s="29" t="str">
        <f>IFERROR(VLOOKUP(F248, 'api-register-id'!B:I, 8, FALSE), "Not found path.")</f>
        <v>1.0.0</v>
      </c>
      <c r="J248" s="3" t="s">
        <v>1750</v>
      </c>
      <c r="K248" s="31" t="s">
        <v>48</v>
      </c>
      <c r="L248" s="23" t="s">
        <v>61</v>
      </c>
      <c r="M248" s="3" t="s">
        <v>1810</v>
      </c>
      <c r="N248" s="3" t="str">
        <f t="shared" si="1"/>
        <v>PUT /sales/productMatching/v1/productTypeSelectionDetail/control</v>
      </c>
      <c r="O248" s="32" t="s">
        <v>1811</v>
      </c>
      <c r="P248" s="32"/>
      <c r="Q248" s="61" t="s">
        <v>98</v>
      </c>
      <c r="R248" s="31" t="s">
        <v>56</v>
      </c>
      <c r="S248" s="38" t="str">
        <f t="shared" si="2"/>
        <v>https://github.com/SF-Bancoppel/mx-api-bc-dom-product-matching</v>
      </c>
      <c r="T248" s="40"/>
      <c r="U248" s="40"/>
      <c r="V248" s="40"/>
      <c r="W248" s="40"/>
      <c r="X248" s="40"/>
      <c r="Y248" s="40"/>
      <c r="Z248" s="40"/>
      <c r="AA248" s="40"/>
      <c r="AB248" s="40"/>
    </row>
    <row r="249" ht="18.75" customHeight="1">
      <c r="A249" s="18" t="str">
        <f t="array" ref="A249">IFERROR(
  INDEX(
    'api-register-id'!A:A,
    MATCH(F249, 'api-register-id'!B:B, 0)
  ),
  "Not found Organization"
)</f>
        <v>SSFF</v>
      </c>
      <c r="B249" s="22" t="str">
        <f>IFERROR(VLOOKUP(F249, 'api-register-id'!B:F, 4, FALSE), "Not found path.")</f>
        <v>mx-api-bc-dom-regulatory-compliance</v>
      </c>
      <c r="C249" s="23" t="s">
        <v>41</v>
      </c>
      <c r="D249" s="23" t="s">
        <v>119</v>
      </c>
      <c r="E249" s="24" t="str">
        <f>IFERROR(VLOOKUP(F249, 'api-register-id'!B:F, 5, FALSE), "Not found path.")</f>
        <v>APIMX000050</v>
      </c>
      <c r="F249" s="25" t="s">
        <v>727</v>
      </c>
      <c r="G249" s="26" t="s">
        <v>1812</v>
      </c>
      <c r="H249" s="22" t="s">
        <v>1813</v>
      </c>
      <c r="I249" s="29" t="str">
        <f>IFERROR(VLOOKUP(F249, 'api-register-id'!B:I, 8, FALSE), "Not found path.")</f>
        <v>1.0.0</v>
      </c>
      <c r="J249" s="3" t="s">
        <v>1814</v>
      </c>
      <c r="K249" s="31" t="s">
        <v>48</v>
      </c>
      <c r="L249" s="23" t="s">
        <v>49</v>
      </c>
      <c r="M249" s="3" t="s">
        <v>1815</v>
      </c>
      <c r="N249" s="3" t="str">
        <f t="shared" si="1"/>
        <v>POST /regulationsAndCompliance/regulatoryCompliance/v1/regulatoryComplianceAssessment/evaluate</v>
      </c>
      <c r="O249" s="32" t="s">
        <v>1817</v>
      </c>
      <c r="P249" s="32"/>
      <c r="Q249" s="61" t="s">
        <v>98</v>
      </c>
      <c r="R249" s="31" t="s">
        <v>56</v>
      </c>
      <c r="S249" s="38" t="str">
        <f t="shared" si="2"/>
        <v>https://github.com/SF-Bancoppel/mx-api-bc-dom-regulatory-compliance</v>
      </c>
      <c r="T249" s="40"/>
      <c r="U249" s="40"/>
      <c r="V249" s="40"/>
      <c r="W249" s="40"/>
      <c r="X249" s="40"/>
      <c r="Y249" s="40"/>
      <c r="Z249" s="40"/>
      <c r="AA249" s="40"/>
      <c r="AB249" s="40"/>
    </row>
    <row r="250" ht="18.75" customHeight="1">
      <c r="A250" s="18" t="str">
        <f t="array" ref="A250">IFERROR(
  INDEX(
    'api-register-id'!A:A,
    MATCH(F250, 'api-register-id'!B:B, 0)
  ),
  "Not found Organization"
)</f>
        <v>SSFF</v>
      </c>
      <c r="B250" s="22" t="str">
        <f>IFERROR(VLOOKUP(F250, 'api-register-id'!B:F, 4, FALSE), "Not found path.")</f>
        <v>mx-api-bc-dom-remittances</v>
      </c>
      <c r="C250" s="23" t="s">
        <v>41</v>
      </c>
      <c r="D250" s="23" t="s">
        <v>119</v>
      </c>
      <c r="E250" s="24" t="str">
        <f>IFERROR(VLOOKUP(F250, 'api-register-id'!B:F, 5, FALSE), "Not found path.")</f>
        <v>APIMX000051</v>
      </c>
      <c r="F250" s="25" t="s">
        <v>736</v>
      </c>
      <c r="G250" s="26" t="s">
        <v>1821</v>
      </c>
      <c r="H250" s="22" t="s">
        <v>1822</v>
      </c>
      <c r="I250" s="29" t="str">
        <f>IFERROR(VLOOKUP(F250, 'api-register-id'!B:I, 8, FALSE), "Not found path.")</f>
        <v>1.0.0</v>
      </c>
      <c r="J250" s="3" t="s">
        <v>1823</v>
      </c>
      <c r="K250" s="31" t="s">
        <v>48</v>
      </c>
      <c r="L250" s="23" t="s">
        <v>49</v>
      </c>
      <c r="M250" s="3" t="s">
        <v>1824</v>
      </c>
      <c r="N250" s="3" t="str">
        <f t="shared" si="1"/>
        <v>POST /clearingAndSettlement/remittances/v1/remittancesFacility/retrieve</v>
      </c>
      <c r="O250" s="32" t="s">
        <v>1825</v>
      </c>
      <c r="P250" s="32" t="s">
        <v>1826</v>
      </c>
      <c r="Q250" s="61" t="s">
        <v>98</v>
      </c>
      <c r="R250" s="31" t="s">
        <v>56</v>
      </c>
      <c r="S250" s="38" t="str">
        <f t="shared" si="2"/>
        <v>https://github.com/SF-Bancoppel/mx-api-bc-dom-remittances</v>
      </c>
      <c r="T250" s="40"/>
      <c r="U250" s="40"/>
      <c r="V250" s="40"/>
      <c r="W250" s="40"/>
      <c r="X250" s="40"/>
      <c r="Y250" s="40"/>
      <c r="Z250" s="40"/>
      <c r="AA250" s="40"/>
      <c r="AB250" s="40"/>
    </row>
    <row r="251" ht="18.75" customHeight="1">
      <c r="A251" s="18" t="str">
        <f t="array" ref="A251">IFERROR(
  INDEX(
    'api-register-id'!A:A,
    MATCH(F251, 'api-register-id'!B:B, 0)
  ),
  "Not found Organization"
)</f>
        <v>SSFF</v>
      </c>
      <c r="B251" s="22" t="str">
        <f>IFERROR(VLOOKUP(F251, 'api-register-id'!B:F, 4, FALSE), "Not found path.")</f>
        <v>mx-api-bc-dom-sales-product-agreement</v>
      </c>
      <c r="C251" s="23" t="s">
        <v>41</v>
      </c>
      <c r="D251" s="23" t="s">
        <v>119</v>
      </c>
      <c r="E251" s="24" t="str">
        <f>IFERROR(VLOOKUP(F251, 'api-register-id'!B:F, 5, FALSE), "Not found path.")</f>
        <v>APIMX000052</v>
      </c>
      <c r="F251" s="25" t="s">
        <v>743</v>
      </c>
      <c r="G251" s="26" t="s">
        <v>1829</v>
      </c>
      <c r="H251" s="22" t="s">
        <v>1830</v>
      </c>
      <c r="I251" s="29" t="str">
        <f>IFERROR(VLOOKUP(F251, 'api-register-id'!B:I, 8, FALSE), "Not found path.")</f>
        <v>1.0.0</v>
      </c>
      <c r="J251" s="3" t="s">
        <v>1831</v>
      </c>
      <c r="K251" s="31" t="s">
        <v>48</v>
      </c>
      <c r="L251" s="23" t="s">
        <v>49</v>
      </c>
      <c r="M251" s="3" t="s">
        <v>1832</v>
      </c>
      <c r="N251" s="3" t="str">
        <f t="shared" si="1"/>
        <v>POST /customerManagement/salesProductAgreement/v1/salesProductAgreement/register</v>
      </c>
      <c r="O251" s="32" t="s">
        <v>1834</v>
      </c>
      <c r="P251" s="32"/>
      <c r="Q251" s="61" t="s">
        <v>98</v>
      </c>
      <c r="R251" s="31" t="s">
        <v>56</v>
      </c>
      <c r="S251" s="38" t="str">
        <f t="shared" si="2"/>
        <v>https://github.com/SF-Bancoppel/mx-api-bc-dom-sales-product-agreement</v>
      </c>
      <c r="T251" s="40"/>
      <c r="U251" s="40"/>
      <c r="V251" s="40"/>
      <c r="W251" s="40"/>
      <c r="X251" s="40"/>
      <c r="Y251" s="40"/>
      <c r="Z251" s="40"/>
      <c r="AA251" s="40"/>
      <c r="AB251" s="40"/>
    </row>
    <row r="252" ht="18.75" customHeight="1">
      <c r="A252" s="18" t="str">
        <f t="array" ref="A252">IFERROR(
  INDEX(
    'api-register-id'!A:A,
    MATCH(F252, 'api-register-id'!B:B, 0)
  ),
  "Not found Organization"
)</f>
        <v>SSFF</v>
      </c>
      <c r="B252" s="22" t="str">
        <f>IFERROR(VLOOKUP(F252, 'api-register-id'!B:F, 4, FALSE), "Not found path.")</f>
        <v>mx-api-bc-dom-sales-product-agreement</v>
      </c>
      <c r="C252" s="23" t="s">
        <v>41</v>
      </c>
      <c r="D252" s="23" t="s">
        <v>119</v>
      </c>
      <c r="E252" s="24" t="str">
        <f>IFERROR(VLOOKUP(F252, 'api-register-id'!B:F, 5, FALSE), "Not found path.")</f>
        <v>APIMX000052</v>
      </c>
      <c r="F252" s="25" t="s">
        <v>743</v>
      </c>
      <c r="G252" s="26" t="s">
        <v>1835</v>
      </c>
      <c r="H252" s="22" t="s">
        <v>1836</v>
      </c>
      <c r="I252" s="29" t="str">
        <f>IFERROR(VLOOKUP(F252, 'api-register-id'!B:I, 8, FALSE), "Not found path.")</f>
        <v>1.0.0</v>
      </c>
      <c r="J252" s="3" t="s">
        <v>1831</v>
      </c>
      <c r="K252" s="31" t="s">
        <v>48</v>
      </c>
      <c r="L252" s="23" t="s">
        <v>49</v>
      </c>
      <c r="M252" s="3" t="s">
        <v>1837</v>
      </c>
      <c r="N252" s="3" t="str">
        <f t="shared" si="1"/>
        <v>POST /customerManagement/salesProductAgreement/v1/feesFacility/initiate</v>
      </c>
      <c r="O252" s="32" t="s">
        <v>1838</v>
      </c>
      <c r="P252" s="32"/>
      <c r="Q252" s="61" t="s">
        <v>98</v>
      </c>
      <c r="R252" s="31" t="s">
        <v>56</v>
      </c>
      <c r="S252" s="38" t="str">
        <f t="shared" si="2"/>
        <v>https://github.com/SF-Bancoppel/mx-api-bc-dom-sales-product-agreement</v>
      </c>
      <c r="T252" s="40"/>
      <c r="U252" s="40"/>
      <c r="V252" s="40"/>
      <c r="W252" s="40"/>
      <c r="X252" s="40"/>
      <c r="Y252" s="40"/>
      <c r="Z252" s="40"/>
      <c r="AA252" s="40"/>
      <c r="AB252" s="40"/>
    </row>
    <row r="253" ht="18.75" customHeight="1">
      <c r="A253" s="18" t="str">
        <f t="array" ref="A253">IFERROR(
  INDEX(
    'api-register-id'!A:A,
    MATCH(F253, 'api-register-id'!B:B, 0)
  ),
  "Not found Organization"
)</f>
        <v>SSFF</v>
      </c>
      <c r="B253" s="22" t="str">
        <f>IFERROR(VLOOKUP(F253, 'api-register-id'!B:F, 4, FALSE), "Not found path.")</f>
        <v>mx-api-bc-dom-sales-product-agreement</v>
      </c>
      <c r="C253" s="23" t="s">
        <v>41</v>
      </c>
      <c r="D253" s="23" t="s">
        <v>119</v>
      </c>
      <c r="E253" s="24" t="str">
        <f>IFERROR(VLOOKUP(F253, 'api-register-id'!B:F, 5, FALSE), "Not found path.")</f>
        <v>APIMX000052</v>
      </c>
      <c r="F253" s="25" t="s">
        <v>743</v>
      </c>
      <c r="G253" s="26" t="s">
        <v>1840</v>
      </c>
      <c r="H253" s="22" t="s">
        <v>1841</v>
      </c>
      <c r="I253" s="29" t="str">
        <f>IFERROR(VLOOKUP(F253, 'api-register-id'!B:I, 8, FALSE), "Not found path.")</f>
        <v>1.0.0</v>
      </c>
      <c r="J253" s="3" t="s">
        <v>1831</v>
      </c>
      <c r="K253" s="31" t="s">
        <v>48</v>
      </c>
      <c r="L253" s="23" t="s">
        <v>428</v>
      </c>
      <c r="M253" s="3" t="s">
        <v>1843</v>
      </c>
      <c r="N253" s="3" t="str">
        <f t="shared" si="1"/>
        <v>PATCH /customerManagement/salesProductAgreement/v1/feesFacility/execute</v>
      </c>
      <c r="O253" s="32" t="s">
        <v>1845</v>
      </c>
      <c r="P253" s="32"/>
      <c r="Q253" s="61" t="s">
        <v>98</v>
      </c>
      <c r="R253" s="31" t="s">
        <v>56</v>
      </c>
      <c r="S253" s="38" t="str">
        <f t="shared" si="2"/>
        <v>https://github.com/SF-Bancoppel/mx-api-bc-dom-sales-product-agreement</v>
      </c>
      <c r="T253" s="40"/>
      <c r="U253" s="40"/>
      <c r="V253" s="40"/>
      <c r="W253" s="40"/>
      <c r="X253" s="40"/>
      <c r="Y253" s="40"/>
      <c r="Z253" s="40"/>
      <c r="AA253" s="40"/>
      <c r="AB253" s="40"/>
    </row>
    <row r="254" ht="18.75" customHeight="1">
      <c r="A254" s="18" t="str">
        <f t="array" ref="A254">IFERROR(
  INDEX(
    'api-register-id'!A:A,
    MATCH(F254, 'api-register-id'!B:B, 0)
  ),
  "Not found Organization"
)</f>
        <v>SSFF</v>
      </c>
      <c r="B254" s="22" t="str">
        <f>IFERROR(VLOOKUP(F254, 'api-register-id'!B:F, 4, FALSE), "Not found path.")</f>
        <v>mx-api-bc-dom-savings-account</v>
      </c>
      <c r="C254" s="23" t="s">
        <v>41</v>
      </c>
      <c r="D254" s="23" t="s">
        <v>119</v>
      </c>
      <c r="E254" s="24" t="str">
        <f>IFERROR(VLOOKUP(F254, 'api-register-id'!B:F, 5, FALSE), "Not found path.")</f>
        <v>APIMX000053</v>
      </c>
      <c r="F254" s="25" t="s">
        <v>755</v>
      </c>
      <c r="G254" s="26" t="s">
        <v>1846</v>
      </c>
      <c r="H254" s="22" t="s">
        <v>1847</v>
      </c>
      <c r="I254" s="29" t="str">
        <f>IFERROR(VLOOKUP(F254, 'api-register-id'!B:I, 8, FALSE), "Not found path.")</f>
        <v>1.0.0</v>
      </c>
      <c r="J254" s="3" t="s">
        <v>1848</v>
      </c>
      <c r="K254" s="31" t="s">
        <v>48</v>
      </c>
      <c r="L254" s="23" t="s">
        <v>49</v>
      </c>
      <c r="M254" s="3" t="s">
        <v>1849</v>
      </c>
      <c r="N254" s="3" t="str">
        <f t="shared" si="1"/>
        <v>POST /loansAndDeposits/savingsAccount/v1/savingsAccountBalance/retrieve</v>
      </c>
      <c r="O254" s="32" t="s">
        <v>1850</v>
      </c>
      <c r="P254" s="32"/>
      <c r="Q254" s="61" t="s">
        <v>98</v>
      </c>
      <c r="R254" s="31" t="s">
        <v>56</v>
      </c>
      <c r="S254" s="38" t="str">
        <f t="shared" si="2"/>
        <v>https://github.com/SF-Bancoppel/mx-api-bc-dom-savings-account</v>
      </c>
      <c r="T254" s="40"/>
      <c r="U254" s="40"/>
      <c r="V254" s="40"/>
      <c r="W254" s="40"/>
      <c r="X254" s="40"/>
      <c r="Y254" s="40"/>
      <c r="Z254" s="40"/>
      <c r="AA254" s="40"/>
      <c r="AB254" s="40"/>
    </row>
    <row r="255" ht="18.75" customHeight="1">
      <c r="A255" s="18" t="str">
        <f t="array" ref="A255">IFERROR(
  INDEX(
    'api-register-id'!A:A,
    MATCH(F255, 'api-register-id'!B:B, 0)
  ),
  "Not found Organization"
)</f>
        <v>SSFF</v>
      </c>
      <c r="B255" s="22" t="str">
        <f>IFERROR(VLOOKUP(F255, 'api-register-id'!B:F, 4, FALSE), "Not found path.")</f>
        <v>mx-api-bc-dom-servicing-order</v>
      </c>
      <c r="C255" s="23" t="s">
        <v>41</v>
      </c>
      <c r="D255" s="23" t="s">
        <v>119</v>
      </c>
      <c r="E255" s="24" t="str">
        <f>IFERROR(VLOOKUP(F255, 'api-register-id'!B:F, 5, FALSE), "Not found path.")</f>
        <v>APIMX000054</v>
      </c>
      <c r="F255" s="25" t="s">
        <v>764</v>
      </c>
      <c r="G255" s="26" t="s">
        <v>1853</v>
      </c>
      <c r="H255" s="22" t="s">
        <v>1854</v>
      </c>
      <c r="I255" s="29" t="str">
        <f>IFERROR(VLOOKUP(F255, 'api-register-id'!B:I, 8, FALSE), "Not found path.")</f>
        <v>1.0.0</v>
      </c>
      <c r="J255" s="3" t="s">
        <v>1856</v>
      </c>
      <c r="K255" s="31" t="s">
        <v>48</v>
      </c>
      <c r="L255" s="23" t="s">
        <v>49</v>
      </c>
      <c r="M255" s="3" t="s">
        <v>1857</v>
      </c>
      <c r="N255" s="3" t="str">
        <f t="shared" si="1"/>
        <v>POST /servicing/servicingOrder/v1/transactionReversalInstanceRecord/initiate</v>
      </c>
      <c r="O255" s="32" t="s">
        <v>1858</v>
      </c>
      <c r="P255" s="32"/>
      <c r="Q255" s="61" t="s">
        <v>1859</v>
      </c>
      <c r="R255" s="31" t="s">
        <v>56</v>
      </c>
      <c r="S255" s="38" t="str">
        <f t="shared" si="2"/>
        <v>https://github.com/SF-Bancoppel/mx-api-bc-dom-servicing-order</v>
      </c>
      <c r="T255" s="40"/>
      <c r="U255" s="40"/>
      <c r="V255" s="40"/>
      <c r="W255" s="40"/>
      <c r="X255" s="40"/>
      <c r="Y255" s="40"/>
      <c r="Z255" s="40"/>
      <c r="AA255" s="40"/>
      <c r="AB255" s="40"/>
    </row>
    <row r="256" ht="18.75" customHeight="1">
      <c r="A256" s="18" t="str">
        <f t="array" ref="A256">IFERROR(
  INDEX(
    'api-register-id'!A:A,
    MATCH(F256, 'api-register-id'!B:B, 0)
  ),
  "Not found Organization"
)</f>
        <v>SSFF</v>
      </c>
      <c r="B256" s="22" t="str">
        <f>IFERROR(VLOOKUP(F256, 'api-register-id'!B:F, 4, FALSE), "Not found path.")</f>
        <v>mx-api-bc-dom-session-dialogue</v>
      </c>
      <c r="C256" s="23" t="s">
        <v>41</v>
      </c>
      <c r="D256" s="23" t="s">
        <v>119</v>
      </c>
      <c r="E256" s="24" t="str">
        <f>IFERROR(VLOOKUP(F256, 'api-register-id'!B:F, 5, FALSE), "Not found path.")</f>
        <v>APIMX000055</v>
      </c>
      <c r="F256" s="25" t="s">
        <v>773</v>
      </c>
      <c r="G256" s="26" t="s">
        <v>1860</v>
      </c>
      <c r="H256" s="22" t="s">
        <v>1861</v>
      </c>
      <c r="I256" s="29" t="str">
        <f>IFERROR(VLOOKUP(F256, 'api-register-id'!B:I, 8, FALSE), "Not found path.")</f>
        <v>1.1.0</v>
      </c>
      <c r="J256" s="3" t="s">
        <v>1862</v>
      </c>
      <c r="K256" s="31" t="s">
        <v>48</v>
      </c>
      <c r="L256" s="23" t="s">
        <v>49</v>
      </c>
      <c r="M256" s="3" t="s">
        <v>1863</v>
      </c>
      <c r="N256" s="3" t="str">
        <f t="shared" si="1"/>
        <v>POST /crossChannel/sessionDialogue/v1/customerContactSessionProcedure/initiate</v>
      </c>
      <c r="O256" s="32" t="s">
        <v>1864</v>
      </c>
      <c r="P256" s="32"/>
      <c r="Q256" s="61" t="s">
        <v>1866</v>
      </c>
      <c r="R256" s="31" t="s">
        <v>56</v>
      </c>
      <c r="S256" s="38" t="str">
        <f t="shared" si="2"/>
        <v>https://github.com/SF-Bancoppel/mx-api-bc-dom-session-dialogue</v>
      </c>
      <c r="T256" s="40"/>
      <c r="U256" s="40"/>
      <c r="V256" s="40"/>
      <c r="W256" s="40"/>
      <c r="X256" s="40"/>
      <c r="Y256" s="40"/>
      <c r="Z256" s="40"/>
      <c r="AA256" s="40"/>
      <c r="AB256" s="40"/>
    </row>
    <row r="257" ht="18.75" customHeight="1">
      <c r="A257" s="18" t="str">
        <f t="array" ref="A257">IFERROR(
  INDEX(
    'api-register-id'!A:A,
    MATCH(F257, 'api-register-id'!B:B, 0)
  ),
  "Not found Organization"
)</f>
        <v>SSFF</v>
      </c>
      <c r="B257" s="22" t="str">
        <f>IFERROR(VLOOKUP(F257, 'api-register-id'!B:F, 4, FALSE), "Not found path.")</f>
        <v>mx-api-bc-dom-session-dialogue</v>
      </c>
      <c r="C257" s="23" t="s">
        <v>41</v>
      </c>
      <c r="D257" s="23" t="s">
        <v>119</v>
      </c>
      <c r="E257" s="24" t="str">
        <f>IFERROR(VLOOKUP(F257, 'api-register-id'!B:F, 5, FALSE), "Not found path.")</f>
        <v>APIMX000055</v>
      </c>
      <c r="F257" s="25" t="s">
        <v>773</v>
      </c>
      <c r="G257" s="26" t="s">
        <v>1869</v>
      </c>
      <c r="H257" s="22" t="s">
        <v>1870</v>
      </c>
      <c r="I257" s="29" t="str">
        <f>IFERROR(VLOOKUP(F257, 'api-register-id'!B:I, 8, FALSE), "Not found path.")</f>
        <v>1.1.0</v>
      </c>
      <c r="J257" s="3" t="s">
        <v>1862</v>
      </c>
      <c r="K257" s="31" t="s">
        <v>48</v>
      </c>
      <c r="L257" s="23" t="s">
        <v>108</v>
      </c>
      <c r="M257" s="3" t="s">
        <v>1871</v>
      </c>
      <c r="N257" s="3" t="str">
        <f t="shared" si="1"/>
        <v>GET /crossChannel/sessionDialogue/v1/customerContactSessionProcedure/retrieve</v>
      </c>
      <c r="O257" s="32" t="s">
        <v>1872</v>
      </c>
      <c r="P257" s="32"/>
      <c r="Q257" s="61" t="s">
        <v>1873</v>
      </c>
      <c r="R257" s="31" t="s">
        <v>56</v>
      </c>
      <c r="S257" s="38" t="str">
        <f t="shared" si="2"/>
        <v>https://github.com/SF-Bancoppel/mx-api-bc-dom-session-dialogue</v>
      </c>
      <c r="T257" s="40"/>
      <c r="U257" s="40"/>
      <c r="V257" s="40"/>
      <c r="W257" s="40"/>
      <c r="X257" s="40"/>
      <c r="Y257" s="40"/>
      <c r="Z257" s="40"/>
      <c r="AA257" s="40"/>
      <c r="AB257" s="40"/>
    </row>
    <row r="258" ht="18.75" customHeight="1">
      <c r="A258" s="18" t="str">
        <f t="array" ref="A258">IFERROR(
  INDEX(
    'api-register-id'!A:A,
    MATCH(F258, 'api-register-id'!B:B, 0)
  ),
  "Not found Organization"
)</f>
        <v>SSFF</v>
      </c>
      <c r="B258" s="22" t="str">
        <f>IFERROR(VLOOKUP(F258, 'api-register-id'!B:F, 4, FALSE), "Not found path.")</f>
        <v>mx-api-bc-dom-session-dialogue</v>
      </c>
      <c r="C258" s="23" t="s">
        <v>41</v>
      </c>
      <c r="D258" s="23" t="s">
        <v>119</v>
      </c>
      <c r="E258" s="24" t="str">
        <f>IFERROR(VLOOKUP(F258, 'api-register-id'!B:F, 5, FALSE), "Not found path.")</f>
        <v>APIMX000055</v>
      </c>
      <c r="F258" s="25" t="s">
        <v>773</v>
      </c>
      <c r="G258" s="26" t="s">
        <v>1875</v>
      </c>
      <c r="H258" s="22" t="s">
        <v>1877</v>
      </c>
      <c r="I258" s="29" t="str">
        <f>IFERROR(VLOOKUP(F258, 'api-register-id'!B:I, 8, FALSE), "Not found path.")</f>
        <v>1.1.0</v>
      </c>
      <c r="J258" s="3" t="s">
        <v>1862</v>
      </c>
      <c r="K258" s="31" t="s">
        <v>48</v>
      </c>
      <c r="L258" s="23" t="s">
        <v>49</v>
      </c>
      <c r="M258" s="3" t="s">
        <v>1878</v>
      </c>
      <c r="N258" s="3" t="str">
        <f t="shared" si="1"/>
        <v>POST /crossChannel/sessionDialogue/v1/customerContactSessionProcedure/capture</v>
      </c>
      <c r="O258" s="32" t="s">
        <v>1879</v>
      </c>
      <c r="P258" s="32" t="s">
        <v>1880</v>
      </c>
      <c r="Q258" s="61" t="s">
        <v>1881</v>
      </c>
      <c r="R258" s="31" t="s">
        <v>56</v>
      </c>
      <c r="S258" s="38" t="str">
        <f t="shared" si="2"/>
        <v>https://github.com/SF-Bancoppel/mx-api-bc-dom-session-dialogue</v>
      </c>
      <c r="T258" s="40"/>
      <c r="U258" s="40"/>
      <c r="V258" s="40"/>
      <c r="W258" s="40"/>
      <c r="X258" s="40"/>
      <c r="Y258" s="40"/>
      <c r="Z258" s="40"/>
      <c r="AA258" s="40"/>
      <c r="AB258" s="40"/>
    </row>
    <row r="259" ht="18.75" customHeight="1">
      <c r="A259" s="18" t="str">
        <f t="array" ref="A259">IFERROR(
  INDEX(
    'api-register-id'!A:A,
    MATCH(F259, 'api-register-id'!B:B, 0)
  ),
  "Not found Organization"
)</f>
        <v>SSFF</v>
      </c>
      <c r="B259" s="22" t="str">
        <f>IFERROR(VLOOKUP(F259, 'api-register-id'!B:F, 4, FALSE), "Not found path.")</f>
        <v>mx-api-bc-dom-session-dialogue</v>
      </c>
      <c r="C259" s="23" t="s">
        <v>41</v>
      </c>
      <c r="D259" s="23" t="s">
        <v>119</v>
      </c>
      <c r="E259" s="24" t="str">
        <f>IFERROR(VLOOKUP(F259, 'api-register-id'!B:F, 5, FALSE), "Not found path.")</f>
        <v>APIMX000055</v>
      </c>
      <c r="F259" s="25" t="s">
        <v>773</v>
      </c>
      <c r="G259" s="26" t="s">
        <v>1882</v>
      </c>
      <c r="H259" s="22" t="s">
        <v>1883</v>
      </c>
      <c r="I259" s="29" t="str">
        <f>IFERROR(VLOOKUP(F259, 'api-register-id'!B:I, 8, FALSE), "Not found path.")</f>
        <v>1.1.0</v>
      </c>
      <c r="J259" s="3" t="s">
        <v>1862</v>
      </c>
      <c r="K259" s="31" t="s">
        <v>48</v>
      </c>
      <c r="L259" s="23" t="s">
        <v>108</v>
      </c>
      <c r="M259" s="3" t="s">
        <v>1884</v>
      </c>
      <c r="N259" s="3" t="str">
        <f t="shared" si="1"/>
        <v>GET /crossChannel/sessionDialogue/v1/history/retrieve</v>
      </c>
      <c r="O259" s="32" t="s">
        <v>1886</v>
      </c>
      <c r="P259" s="32"/>
      <c r="Q259" s="61" t="s">
        <v>1887</v>
      </c>
      <c r="R259" s="31" t="s">
        <v>56</v>
      </c>
      <c r="S259" s="38" t="str">
        <f t="shared" si="2"/>
        <v>https://github.com/SF-Bancoppel/mx-api-bc-dom-session-dialogue</v>
      </c>
      <c r="T259" s="40"/>
      <c r="U259" s="40"/>
      <c r="V259" s="40"/>
      <c r="W259" s="40"/>
      <c r="X259" s="40"/>
      <c r="Y259" s="40"/>
      <c r="Z259" s="40"/>
      <c r="AA259" s="40"/>
      <c r="AB259" s="40"/>
    </row>
    <row r="260" ht="18.75" customHeight="1">
      <c r="A260" s="18" t="str">
        <f t="array" ref="A260">IFERROR(
  INDEX(
    'api-register-id'!A:A,
    MATCH(F260, 'api-register-id'!B:B, 0)
  ),
  "Not found Organization"
)</f>
        <v>SSFF</v>
      </c>
      <c r="B260" s="22" t="str">
        <f>IFERROR(VLOOKUP(F260, 'api-register-id'!B:F, 4, FALSE), "Not found path.")</f>
        <v>mx-api-bc-dom-session-dialogue</v>
      </c>
      <c r="C260" s="23" t="s">
        <v>41</v>
      </c>
      <c r="D260" s="23" t="s">
        <v>119</v>
      </c>
      <c r="E260" s="24" t="str">
        <f>IFERROR(VLOOKUP(F260, 'api-register-id'!B:F, 5, FALSE), "Not found path.")</f>
        <v>APIMX000055</v>
      </c>
      <c r="F260" s="25" t="s">
        <v>773</v>
      </c>
      <c r="G260" s="26" t="s">
        <v>1890</v>
      </c>
      <c r="H260" s="22" t="s">
        <v>1891</v>
      </c>
      <c r="I260" s="29" t="str">
        <f>IFERROR(VLOOKUP(F260, 'api-register-id'!B:I, 8, FALSE), "Not found path.")</f>
        <v>1.1.0</v>
      </c>
      <c r="J260" s="3" t="s">
        <v>1862</v>
      </c>
      <c r="K260" s="31" t="s">
        <v>48</v>
      </c>
      <c r="L260" s="23" t="s">
        <v>49</v>
      </c>
      <c r="M260" s="3" t="s">
        <v>1892</v>
      </c>
      <c r="N260" s="3" t="str">
        <f t="shared" si="1"/>
        <v>POST /crossChannel/sessionDialogue/v1/authenticationAddress/initiate</v>
      </c>
      <c r="O260" s="32" t="s">
        <v>1893</v>
      </c>
      <c r="P260" s="32"/>
      <c r="Q260" s="61" t="s">
        <v>1894</v>
      </c>
      <c r="R260" s="31" t="s">
        <v>56</v>
      </c>
      <c r="S260" s="38" t="str">
        <f t="shared" si="2"/>
        <v>https://github.com/SF-Bancoppel/mx-api-bc-dom-session-dialogue</v>
      </c>
      <c r="T260" s="40"/>
      <c r="U260" s="40"/>
      <c r="V260" s="40"/>
      <c r="W260" s="40"/>
      <c r="X260" s="40"/>
      <c r="Y260" s="40"/>
      <c r="Z260" s="40"/>
      <c r="AA260" s="40"/>
      <c r="AB260" s="40"/>
    </row>
    <row r="261" ht="18.75" customHeight="1">
      <c r="A261" s="18" t="str">
        <f t="array" ref="A261">IFERROR(
  INDEX(
    'api-register-id'!A:A,
    MATCH(F261, 'api-register-id'!B:B, 0)
  ),
  "Not found Organization"
)</f>
        <v>SSFF</v>
      </c>
      <c r="B261" s="22" t="str">
        <f>IFERROR(VLOOKUP(F261, 'api-register-id'!B:F, 4, FALSE), "Not found path.")</f>
        <v>mx-api-bc-dom-session-dialogue</v>
      </c>
      <c r="C261" s="23" t="s">
        <v>41</v>
      </c>
      <c r="D261" s="23" t="s">
        <v>119</v>
      </c>
      <c r="E261" s="24" t="str">
        <f>IFERROR(VLOOKUP(F261, 'api-register-id'!B:F, 5, FALSE), "Not found path.")</f>
        <v>APIMX000055</v>
      </c>
      <c r="F261" s="25" t="s">
        <v>773</v>
      </c>
      <c r="G261" s="26" t="s">
        <v>1896</v>
      </c>
      <c r="H261" s="22" t="s">
        <v>1897</v>
      </c>
      <c r="I261" s="29" t="str">
        <f>IFERROR(VLOOKUP(F261, 'api-register-id'!B:I, 8, FALSE), "Not found path.")</f>
        <v>1.1.0</v>
      </c>
      <c r="J261" s="3" t="s">
        <v>1862</v>
      </c>
      <c r="K261" s="31" t="s">
        <v>48</v>
      </c>
      <c r="L261" s="23" t="s">
        <v>49</v>
      </c>
      <c r="M261" s="3" t="s">
        <v>1899</v>
      </c>
      <c r="N261" s="3" t="str">
        <f t="shared" si="1"/>
        <v>POST /crossChannel/sessionDialogue/v1/customerContactSelfieProcedure/initiate</v>
      </c>
      <c r="O261" s="32" t="s">
        <v>1900</v>
      </c>
      <c r="P261" s="32"/>
      <c r="Q261" s="61" t="s">
        <v>98</v>
      </c>
      <c r="R261" s="31" t="s">
        <v>56</v>
      </c>
      <c r="S261" s="38" t="str">
        <f t="shared" si="2"/>
        <v>https://github.com/SF-Bancoppel/mx-api-bc-dom-session-dialogue</v>
      </c>
      <c r="T261" s="40"/>
      <c r="U261" s="40"/>
      <c r="V261" s="40"/>
      <c r="W261" s="40"/>
      <c r="X261" s="40"/>
      <c r="Y261" s="40"/>
      <c r="Z261" s="40"/>
      <c r="AA261" s="40"/>
      <c r="AB261" s="40"/>
    </row>
    <row r="262" ht="18.75" customHeight="1">
      <c r="A262" s="18" t="str">
        <f t="array" ref="A262">IFERROR(
  INDEX(
    'api-register-id'!A:A,
    MATCH(F262, 'api-register-id'!B:B, 0)
  ),
  "Not found Organization"
)</f>
        <v>SSFF</v>
      </c>
      <c r="B262" s="22" t="str">
        <f>IFERROR(VLOOKUP(F262, 'api-register-id'!B:F, 4, FALSE), "Not found path.")</f>
        <v>mx-api-bc-dom-session-dialogue</v>
      </c>
      <c r="C262" s="23" t="s">
        <v>41</v>
      </c>
      <c r="D262" s="23" t="s">
        <v>119</v>
      </c>
      <c r="E262" s="24" t="str">
        <f>IFERROR(VLOOKUP(F262, 'api-register-id'!B:F, 5, FALSE), "Not found path.")</f>
        <v>APIMX000055</v>
      </c>
      <c r="F262" s="25" t="s">
        <v>773</v>
      </c>
      <c r="G262" s="26" t="s">
        <v>1902</v>
      </c>
      <c r="H262" s="22" t="s">
        <v>1903</v>
      </c>
      <c r="I262" s="29" t="str">
        <f>IFERROR(VLOOKUP(F262, 'api-register-id'!B:I, 8, FALSE), "Not found path.")</f>
        <v>1.1.0</v>
      </c>
      <c r="J262" s="3" t="s">
        <v>1862</v>
      </c>
      <c r="K262" s="31" t="s">
        <v>48</v>
      </c>
      <c r="L262" s="23" t="s">
        <v>49</v>
      </c>
      <c r="M262" s="3" t="s">
        <v>1904</v>
      </c>
      <c r="N262" s="3" t="str">
        <f t="shared" si="1"/>
        <v>POST /crossChannel/sessionDialogue/v1/customerContactVideoSelfieProcedure/initiate</v>
      </c>
      <c r="O262" s="32" t="s">
        <v>1905</v>
      </c>
      <c r="P262" s="32"/>
      <c r="Q262" s="61" t="s">
        <v>98</v>
      </c>
      <c r="R262" s="31" t="s">
        <v>56</v>
      </c>
      <c r="S262" s="38" t="str">
        <f t="shared" si="2"/>
        <v>https://github.com/SF-Bancoppel/mx-api-bc-dom-session-dialogue</v>
      </c>
      <c r="T262" s="40"/>
      <c r="U262" s="40"/>
      <c r="V262" s="40"/>
      <c r="W262" s="40"/>
      <c r="X262" s="40"/>
      <c r="Y262" s="40"/>
      <c r="Z262" s="40"/>
      <c r="AA262" s="40"/>
      <c r="AB262" s="40"/>
    </row>
    <row r="263" ht="18.75" customHeight="1">
      <c r="A263" s="18" t="str">
        <f t="array" ref="A263">IFERROR(
  INDEX(
    'api-register-id'!A:A,
    MATCH(F263, 'api-register-id'!B:B, 0)
  ),
  "Not found Organization"
)</f>
        <v>SSFF</v>
      </c>
      <c r="B263" s="22" t="str">
        <f>IFERROR(VLOOKUP(F263, 'api-register-id'!B:F, 4, FALSE), "Not found path.")</f>
        <v>mx-api-bc-dom-session-dialogue</v>
      </c>
      <c r="C263" s="23" t="s">
        <v>41</v>
      </c>
      <c r="D263" s="23" t="s">
        <v>119</v>
      </c>
      <c r="E263" s="24" t="str">
        <f>IFERROR(VLOOKUP(F263, 'api-register-id'!B:F, 5, FALSE), "Not found path.")</f>
        <v>APIMX000055</v>
      </c>
      <c r="F263" s="25" t="s">
        <v>773</v>
      </c>
      <c r="G263" s="26" t="s">
        <v>1907</v>
      </c>
      <c r="H263" s="22" t="s">
        <v>1908</v>
      </c>
      <c r="I263" s="29" t="str">
        <f>IFERROR(VLOOKUP(F263, 'api-register-id'!B:I, 8, FALSE), "Not found path.")</f>
        <v>1.1.0</v>
      </c>
      <c r="J263" s="3" t="s">
        <v>1862</v>
      </c>
      <c r="K263" s="31" t="s">
        <v>48</v>
      </c>
      <c r="L263" s="23" t="s">
        <v>108</v>
      </c>
      <c r="M263" s="3" t="s">
        <v>1909</v>
      </c>
      <c r="N263" s="3" t="str">
        <f t="shared" si="1"/>
        <v>GET /crossChannel/sessionDialogue/v1/customerContactVideoSelfieProcedure/retrieve</v>
      </c>
      <c r="O263" s="32" t="s">
        <v>1911</v>
      </c>
      <c r="P263" s="32"/>
      <c r="Q263" s="61" t="s">
        <v>98</v>
      </c>
      <c r="R263" s="31" t="s">
        <v>56</v>
      </c>
      <c r="S263" s="38" t="str">
        <f t="shared" si="2"/>
        <v>https://github.com/SF-Bancoppel/mx-api-bc-dom-session-dialogue</v>
      </c>
      <c r="T263" s="40"/>
      <c r="U263" s="40"/>
      <c r="V263" s="40"/>
      <c r="W263" s="40"/>
      <c r="X263" s="40"/>
      <c r="Y263" s="40"/>
      <c r="Z263" s="40"/>
      <c r="AA263" s="40"/>
      <c r="AB263" s="40"/>
    </row>
    <row r="264" ht="18.75" customHeight="1">
      <c r="A264" s="18" t="str">
        <f t="array" ref="A264">IFERROR(
  INDEX(
    'api-register-id'!A:A,
    MATCH(F264, 'api-register-id'!B:B, 0)
  ),
  "Not found Organization"
)</f>
        <v>SSFF</v>
      </c>
      <c r="B264" s="22" t="str">
        <f>IFERROR(VLOOKUP(F264, 'api-register-id'!B:F, 4, FALSE), "Not found path.")</f>
        <v>mx-api-bc-dom-session-dialogue</v>
      </c>
      <c r="C264" s="23" t="s">
        <v>41</v>
      </c>
      <c r="D264" s="23" t="s">
        <v>119</v>
      </c>
      <c r="E264" s="24" t="str">
        <f>IFERROR(VLOOKUP(F264, 'api-register-id'!B:F, 5, FALSE), "Not found path.")</f>
        <v>APIMX000055</v>
      </c>
      <c r="F264" s="25" t="s">
        <v>773</v>
      </c>
      <c r="G264" s="26" t="s">
        <v>1913</v>
      </c>
      <c r="H264" s="22" t="s">
        <v>1914</v>
      </c>
      <c r="I264" s="29" t="str">
        <f>IFERROR(VLOOKUP(F264, 'api-register-id'!B:I, 8, FALSE), "Not found path.")</f>
        <v>1.1.0</v>
      </c>
      <c r="J264" s="3" t="s">
        <v>1862</v>
      </c>
      <c r="K264" s="31" t="s">
        <v>48</v>
      </c>
      <c r="L264" s="23" t="s">
        <v>108</v>
      </c>
      <c r="M264" s="3" t="s">
        <v>1915</v>
      </c>
      <c r="N264" s="3" t="str">
        <f t="shared" si="1"/>
        <v>GET /crossChannel/sessionDialogue/v1/workstep/{sessionDialogueIdentification}/retrieve</v>
      </c>
      <c r="O264" s="32" t="s">
        <v>1916</v>
      </c>
      <c r="P264" s="32" t="s">
        <v>900</v>
      </c>
      <c r="Q264" s="61" t="s">
        <v>98</v>
      </c>
      <c r="R264" s="31" t="s">
        <v>56</v>
      </c>
      <c r="S264" s="38" t="str">
        <f t="shared" si="2"/>
        <v>https://github.com/SF-Bancoppel/mx-api-bc-dom-session-dialogue</v>
      </c>
      <c r="T264" s="40"/>
      <c r="U264" s="40"/>
      <c r="V264" s="40"/>
      <c r="W264" s="40"/>
      <c r="X264" s="40"/>
      <c r="Y264" s="40"/>
      <c r="Z264" s="40"/>
      <c r="AA264" s="40"/>
      <c r="AB264" s="40"/>
    </row>
    <row r="265" ht="18.75" customHeight="1">
      <c r="A265" s="18" t="str">
        <f t="array" ref="A265">IFERROR(
  INDEX(
    'api-register-id'!A:A,
    MATCH(F265, 'api-register-id'!B:B, 0)
  ),
  "Not found Organization"
)</f>
        <v>SSFF</v>
      </c>
      <c r="B265" s="22" t="str">
        <f>IFERROR(VLOOKUP(F265, 'api-register-id'!B:F, 4, FALSE), "Not found path.")</f>
        <v>mx-api-bc-dom-systems-operations</v>
      </c>
      <c r="C265" s="23" t="s">
        <v>41</v>
      </c>
      <c r="D265" s="23" t="s">
        <v>119</v>
      </c>
      <c r="E265" s="24" t="str">
        <f>IFERROR(VLOOKUP(F265, 'api-register-id'!B:F, 5, FALSE), "Not found path.")</f>
        <v>APIMX000056</v>
      </c>
      <c r="F265" s="25" t="s">
        <v>781</v>
      </c>
      <c r="G265" s="26" t="s">
        <v>1918</v>
      </c>
      <c r="H265" s="22" t="s">
        <v>1919</v>
      </c>
      <c r="I265" s="29" t="str">
        <f>IFERROR(VLOOKUP(F265, 'api-register-id'!B:I, 8, FALSE), "Not found path.")</f>
        <v>1.0.0</v>
      </c>
      <c r="J265" s="3" t="s">
        <v>1920</v>
      </c>
      <c r="K265" s="31" t="s">
        <v>48</v>
      </c>
      <c r="L265" s="23" t="s">
        <v>49</v>
      </c>
      <c r="M265" s="3" t="s">
        <v>1922</v>
      </c>
      <c r="N265" s="3" t="str">
        <f t="shared" si="1"/>
        <v>POST /iTManagement/systemsOperations/v1/processEventOnBoarding/initiate</v>
      </c>
      <c r="O265" s="32" t="s">
        <v>1923</v>
      </c>
      <c r="P265" s="32"/>
      <c r="Q265" s="61" t="s">
        <v>98</v>
      </c>
      <c r="R265" s="31" t="s">
        <v>56</v>
      </c>
      <c r="S265" s="38" t="str">
        <f t="shared" si="2"/>
        <v>https://github.com/SF-Bancoppel/mx-api-bc-dom-systems-operations</v>
      </c>
      <c r="T265" s="40"/>
      <c r="U265" s="40"/>
      <c r="V265" s="40"/>
      <c r="W265" s="40"/>
      <c r="X265" s="40"/>
      <c r="Y265" s="40"/>
      <c r="Z265" s="40"/>
      <c r="AA265" s="40"/>
      <c r="AB265" s="40"/>
    </row>
    <row r="266" ht="18.75" customHeight="1">
      <c r="A266" s="18" t="str">
        <f t="array" ref="A266">IFERROR(
  INDEX(
    'api-register-id'!A:A,
    MATCH(F266, 'api-register-id'!B:B, 0)
  ),
  "Not found Organization"
)</f>
        <v>SSFF</v>
      </c>
      <c r="B266" s="22" t="str">
        <f>IFERROR(VLOOKUP(F266, 'api-register-id'!B:F, 4, FALSE), "Not found path.")</f>
        <v>mx-api-bc-dom-systems-operations</v>
      </c>
      <c r="C266" s="23" t="s">
        <v>41</v>
      </c>
      <c r="D266" s="23" t="s">
        <v>119</v>
      </c>
      <c r="E266" s="24" t="str">
        <f>IFERROR(VLOOKUP(F266, 'api-register-id'!B:F, 5, FALSE), "Not found path.")</f>
        <v>APIMX000056</v>
      </c>
      <c r="F266" s="25" t="s">
        <v>781</v>
      </c>
      <c r="G266" s="26" t="s">
        <v>1924</v>
      </c>
      <c r="H266" s="22" t="s">
        <v>1925</v>
      </c>
      <c r="I266" s="29" t="str">
        <f>IFERROR(VLOOKUP(F266, 'api-register-id'!B:I, 8, FALSE), "Not found path.")</f>
        <v>1.0.0</v>
      </c>
      <c r="J266" s="3" t="s">
        <v>1920</v>
      </c>
      <c r="K266" s="31" t="s">
        <v>48</v>
      </c>
      <c r="L266" s="23" t="s">
        <v>428</v>
      </c>
      <c r="M266" s="3" t="s">
        <v>1926</v>
      </c>
      <c r="N266" s="3" t="str">
        <f t="shared" si="1"/>
        <v>PATCH /iTManagement/systemsOperations/v1/processEvent/execute</v>
      </c>
      <c r="O266" s="32" t="s">
        <v>1927</v>
      </c>
      <c r="P266" s="32"/>
      <c r="Q266" s="61" t="s">
        <v>98</v>
      </c>
      <c r="R266" s="31" t="s">
        <v>56</v>
      </c>
      <c r="S266" s="38" t="str">
        <f t="shared" si="2"/>
        <v>https://github.com/SF-Bancoppel/mx-api-bc-dom-systems-operations</v>
      </c>
      <c r="T266" s="40"/>
      <c r="U266" s="40"/>
      <c r="V266" s="40"/>
      <c r="W266" s="40"/>
      <c r="X266" s="40"/>
      <c r="Y266" s="40"/>
      <c r="Z266" s="40"/>
      <c r="AA266" s="40"/>
      <c r="AB266" s="40"/>
    </row>
    <row r="267" ht="18.75" customHeight="1">
      <c r="A267" s="18" t="str">
        <f t="array" ref="A267">IFERROR(
  INDEX(
    'api-register-id'!A:A,
    MATCH(F267, 'api-register-id'!B:B, 0)
  ),
  "Not found Organization"
)</f>
        <v>SSFF</v>
      </c>
      <c r="B267" s="22" t="str">
        <f>IFERROR(VLOOKUP(F267, 'api-register-id'!B:F, 4, FALSE), "Not found path.")</f>
        <v>mx-api-bc-dom-systems-operations</v>
      </c>
      <c r="C267" s="23" t="s">
        <v>41</v>
      </c>
      <c r="D267" s="23" t="s">
        <v>119</v>
      </c>
      <c r="E267" s="24" t="str">
        <f>IFERROR(VLOOKUP(F267, 'api-register-id'!B:F, 5, FALSE), "Not found path.")</f>
        <v>APIMX000056</v>
      </c>
      <c r="F267" s="25" t="s">
        <v>781</v>
      </c>
      <c r="G267" s="26" t="s">
        <v>1931</v>
      </c>
      <c r="H267" s="22" t="s">
        <v>1932</v>
      </c>
      <c r="I267" s="29" t="str">
        <f>IFERROR(VLOOKUP(F267, 'api-register-id'!B:I, 8, FALSE), "Not found path.")</f>
        <v>1.0.0</v>
      </c>
      <c r="J267" s="3" t="s">
        <v>1920</v>
      </c>
      <c r="K267" s="31" t="s">
        <v>48</v>
      </c>
      <c r="L267" s="23" t="s">
        <v>49</v>
      </c>
      <c r="M267" s="3" t="s">
        <v>1933</v>
      </c>
      <c r="N267" s="3" t="str">
        <f t="shared" si="1"/>
        <v>POST /iTManagement/systemsOperations/v1/processEvent/retrieve</v>
      </c>
      <c r="O267" s="32" t="s">
        <v>1934</v>
      </c>
      <c r="P267" s="32"/>
      <c r="Q267" s="61" t="s">
        <v>98</v>
      </c>
      <c r="R267" s="31" t="s">
        <v>56</v>
      </c>
      <c r="S267" s="38" t="str">
        <f t="shared" si="2"/>
        <v>https://github.com/SF-Bancoppel/mx-api-bc-dom-systems-operations</v>
      </c>
      <c r="T267" s="40"/>
      <c r="U267" s="40"/>
      <c r="V267" s="40"/>
      <c r="W267" s="40"/>
      <c r="X267" s="40"/>
      <c r="Y267" s="40"/>
      <c r="Z267" s="40"/>
      <c r="AA267" s="40"/>
      <c r="AB267" s="40"/>
    </row>
    <row r="268" ht="18.75" customHeight="1">
      <c r="A268" s="18" t="str">
        <f t="array" ref="A268">IFERROR(
  INDEX(
    'api-register-id'!A:A,
    MATCH(F268, 'api-register-id'!B:B, 0)
  ),
  "Not found Organization"
)</f>
        <v>SSFF</v>
      </c>
      <c r="B268" s="22" t="str">
        <f>IFERROR(VLOOKUP(F268, 'api-register-id'!B:F, 4, FALSE), "Not found path.")</f>
        <v>mx-api-bc-dom-transaction-engine</v>
      </c>
      <c r="C268" s="23" t="s">
        <v>41</v>
      </c>
      <c r="D268" s="23" t="s">
        <v>119</v>
      </c>
      <c r="E268" s="24" t="str">
        <f>IFERROR(VLOOKUP(F268, 'api-register-id'!B:F, 5, FALSE), "Not found path.")</f>
        <v>APIMX000057</v>
      </c>
      <c r="F268" s="25" t="s">
        <v>792</v>
      </c>
      <c r="G268" s="26" t="s">
        <v>1936</v>
      </c>
      <c r="H268" s="22" t="s">
        <v>1937</v>
      </c>
      <c r="I268" s="29" t="str">
        <f>IFERROR(VLOOKUP(F268, 'api-register-id'!B:I, 8, FALSE), "Not found path.")</f>
        <v>1.0.0</v>
      </c>
      <c r="J268" s="3" t="s">
        <v>1938</v>
      </c>
      <c r="K268" s="31" t="s">
        <v>48</v>
      </c>
      <c r="L268" s="23" t="s">
        <v>49</v>
      </c>
      <c r="M268" s="3" t="s">
        <v>1939</v>
      </c>
      <c r="N268" s="3" t="str">
        <f t="shared" si="1"/>
        <v>POST /accountManagement/transactionEngine/v1/transactionScheduleFacility/initiate</v>
      </c>
      <c r="O268" s="32" t="s">
        <v>1940</v>
      </c>
      <c r="P268" s="32"/>
      <c r="Q268" s="61" t="s">
        <v>98</v>
      </c>
      <c r="R268" s="31" t="s">
        <v>56</v>
      </c>
      <c r="S268" s="38" t="str">
        <f t="shared" si="2"/>
        <v>https://github.com/SF-Bancoppel/mx-api-bc-dom-transaction-engine</v>
      </c>
      <c r="T268" s="40"/>
      <c r="U268" s="40"/>
      <c r="V268" s="40"/>
      <c r="W268" s="40"/>
      <c r="X268" s="40"/>
      <c r="Y268" s="40"/>
      <c r="Z268" s="40"/>
      <c r="AA268" s="40"/>
      <c r="AB268" s="40"/>
    </row>
    <row r="269" ht="18.75" customHeight="1">
      <c r="A269" s="18" t="str">
        <f t="array" ref="A269">IFERROR(
  INDEX(
    'api-register-id'!A:A,
    MATCH(F269, 'api-register-id'!B:B, 0)
  ),
  "Not found Organization"
)</f>
        <v>SSFF</v>
      </c>
      <c r="B269" s="22" t="str">
        <f>IFERROR(VLOOKUP(F269, 'api-register-id'!B:F, 4, FALSE), "Not found path.")</f>
        <v>mx-api-bc-dom-transaction-engine</v>
      </c>
      <c r="C269" s="23" t="s">
        <v>41</v>
      </c>
      <c r="D269" s="23" t="s">
        <v>119</v>
      </c>
      <c r="E269" s="24" t="str">
        <f>IFERROR(VLOOKUP(F269, 'api-register-id'!B:F, 5, FALSE), "Not found path.")</f>
        <v>APIMX000057</v>
      </c>
      <c r="F269" s="25" t="s">
        <v>792</v>
      </c>
      <c r="G269" s="26" t="s">
        <v>1943</v>
      </c>
      <c r="H269" s="22" t="s">
        <v>1944</v>
      </c>
      <c r="I269" s="29" t="str">
        <f>IFERROR(VLOOKUP(F269, 'api-register-id'!B:I, 8, FALSE), "Not found path.")</f>
        <v>1.0.0</v>
      </c>
      <c r="J269" s="3" t="s">
        <v>1938</v>
      </c>
      <c r="K269" s="31" t="s">
        <v>48</v>
      </c>
      <c r="L269" s="23" t="s">
        <v>49</v>
      </c>
      <c r="M269" s="3" t="s">
        <v>1945</v>
      </c>
      <c r="N269" s="3" t="str">
        <f t="shared" si="1"/>
        <v>POST /accountManagement/transactionEngine/v1/transactionScheduleFacility/register</v>
      </c>
      <c r="O269" s="32" t="s">
        <v>1946</v>
      </c>
      <c r="P269" s="32"/>
      <c r="Q269" s="61" t="s">
        <v>98</v>
      </c>
      <c r="R269" s="31" t="s">
        <v>56</v>
      </c>
      <c r="S269" s="38" t="str">
        <f t="shared" si="2"/>
        <v>https://github.com/SF-Bancoppel/mx-api-bc-dom-transaction-engine</v>
      </c>
      <c r="T269" s="40"/>
      <c r="U269" s="40"/>
      <c r="V269" s="40"/>
      <c r="W269" s="40"/>
      <c r="X269" s="40"/>
      <c r="Y269" s="40"/>
      <c r="Z269" s="40"/>
      <c r="AA269" s="40"/>
      <c r="AB269" s="40"/>
    </row>
    <row r="270" ht="18.75" customHeight="1">
      <c r="A270" s="18" t="str">
        <f t="array" ref="A270">IFERROR(
  INDEX(
    'api-register-id'!A:A,
    MATCH(F270, 'api-register-id'!B:B, 0)
  ),
  "Not found Organization"
)</f>
        <v>SSFF</v>
      </c>
      <c r="B270" s="22" t="str">
        <f>IFERROR(VLOOKUP(F270, 'api-register-id'!B:F, 4, FALSE), "Not found path.")</f>
        <v>mx-api-bc-dom-utility</v>
      </c>
      <c r="C270" s="23" t="s">
        <v>41</v>
      </c>
      <c r="D270" s="23" t="s">
        <v>119</v>
      </c>
      <c r="E270" s="24" t="str">
        <f>IFERROR(VLOOKUP(F270, 'api-register-id'!B:F, 5, FALSE), "Not found path.")</f>
        <v>APIMX000058</v>
      </c>
      <c r="F270" s="25" t="s">
        <v>802</v>
      </c>
      <c r="G270" s="26" t="s">
        <v>1947</v>
      </c>
      <c r="H270" s="22" t="s">
        <v>1948</v>
      </c>
      <c r="I270" s="29" t="str">
        <f>IFERROR(VLOOKUP(F270, 'api-register-id'!B:I, 8, FALSE), "Not found path.")</f>
        <v>1.1.0</v>
      </c>
      <c r="J270" s="3" t="s">
        <v>1949</v>
      </c>
      <c r="K270" s="31" t="s">
        <v>48</v>
      </c>
      <c r="L270" s="23" t="s">
        <v>108</v>
      </c>
      <c r="M270" s="3" t="s">
        <v>1950</v>
      </c>
      <c r="N270" s="3" t="str">
        <f t="shared" si="1"/>
        <v>GET /utility/utility/v1/SMSParamProduct/{productInstanceReference}/retrieve</v>
      </c>
      <c r="O270" s="32" t="s">
        <v>1951</v>
      </c>
      <c r="P270" s="32"/>
      <c r="Q270" s="61" t="s">
        <v>98</v>
      </c>
      <c r="R270" s="31" t="s">
        <v>56</v>
      </c>
      <c r="S270" s="38" t="str">
        <f t="shared" si="2"/>
        <v>https://github.com/SF-Bancoppel/mx-api-bc-dom-utility</v>
      </c>
      <c r="T270" s="40"/>
      <c r="U270" s="40"/>
      <c r="V270" s="40"/>
      <c r="W270" s="40"/>
      <c r="X270" s="40"/>
      <c r="Y270" s="40"/>
      <c r="Z270" s="40"/>
      <c r="AA270" s="40"/>
      <c r="AB270" s="40"/>
    </row>
    <row r="271" ht="18.75" customHeight="1">
      <c r="A271" s="18" t="str">
        <f t="array" ref="A271">IFERROR(
  INDEX(
    'api-register-id'!A:A,
    MATCH(F271, 'api-register-id'!B:B, 0)
  ),
  "Not found Organization"
)</f>
        <v>SSFF</v>
      </c>
      <c r="B271" s="22" t="str">
        <f>IFERROR(VLOOKUP(F271, 'api-register-id'!B:F, 4, FALSE), "Not found path.")</f>
        <v>mx-api-bc-dom-utility</v>
      </c>
      <c r="C271" s="23" t="s">
        <v>41</v>
      </c>
      <c r="D271" s="23" t="s">
        <v>119</v>
      </c>
      <c r="E271" s="24" t="str">
        <f>IFERROR(VLOOKUP(F271, 'api-register-id'!B:F, 5, FALSE), "Not found path.")</f>
        <v>APIMX000058</v>
      </c>
      <c r="F271" s="25" t="s">
        <v>802</v>
      </c>
      <c r="G271" s="26" t="s">
        <v>1955</v>
      </c>
      <c r="H271" s="22" t="s">
        <v>1956</v>
      </c>
      <c r="I271" s="29" t="str">
        <f>IFERROR(VLOOKUP(F271, 'api-register-id'!B:I, 8, FALSE), "Not found path.")</f>
        <v>1.1.0</v>
      </c>
      <c r="J271" s="3" t="s">
        <v>1949</v>
      </c>
      <c r="K271" s="31" t="s">
        <v>48</v>
      </c>
      <c r="L271" s="23" t="s">
        <v>49</v>
      </c>
      <c r="M271" s="3" t="s">
        <v>1957</v>
      </c>
      <c r="N271" s="3" t="str">
        <f t="shared" si="1"/>
        <v>POST /utility/utility/v1/SMSParamProduct/evaluate</v>
      </c>
      <c r="O271" s="32" t="s">
        <v>1958</v>
      </c>
      <c r="P271" s="32"/>
      <c r="Q271" s="61" t="s">
        <v>98</v>
      </c>
      <c r="R271" s="31" t="s">
        <v>56</v>
      </c>
      <c r="S271" s="38" t="str">
        <f t="shared" si="2"/>
        <v>https://github.com/SF-Bancoppel/mx-api-bc-dom-utility</v>
      </c>
      <c r="T271" s="40"/>
      <c r="U271" s="40"/>
      <c r="V271" s="40"/>
      <c r="W271" s="40"/>
      <c r="X271" s="40"/>
      <c r="Y271" s="40"/>
      <c r="Z271" s="40"/>
      <c r="AA271" s="40"/>
      <c r="AB271" s="40"/>
    </row>
    <row r="272" ht="18.75" customHeight="1">
      <c r="A272" s="18" t="str">
        <f t="array" ref="A272">IFERROR(
  INDEX(
    'api-register-id'!A:A,
    MATCH(F272, 'api-register-id'!B:B, 0)
  ),
  "Not found Organization"
)</f>
        <v>SSFF</v>
      </c>
      <c r="B272" s="22" t="str">
        <f>IFERROR(VLOOKUP(F272, 'api-register-id'!B:F, 4, FALSE), "Not found path.")</f>
        <v>mx-api-bc-dom-utility</v>
      </c>
      <c r="C272" s="23" t="s">
        <v>41</v>
      </c>
      <c r="D272" s="23" t="s">
        <v>119</v>
      </c>
      <c r="E272" s="24" t="str">
        <f>IFERROR(VLOOKUP(F272, 'api-register-id'!B:F, 5, FALSE), "Not found path.")</f>
        <v>APIMX000058</v>
      </c>
      <c r="F272" s="25" t="s">
        <v>802</v>
      </c>
      <c r="G272" s="26" t="s">
        <v>1959</v>
      </c>
      <c r="H272" s="22" t="s">
        <v>1960</v>
      </c>
      <c r="I272" s="29" t="str">
        <f>IFERROR(VLOOKUP(F272, 'api-register-id'!B:I, 8, FALSE), "Not found path.")</f>
        <v>1.1.0</v>
      </c>
      <c r="J272" s="3" t="s">
        <v>1949</v>
      </c>
      <c r="K272" s="31" t="s">
        <v>48</v>
      </c>
      <c r="L272" s="23" t="s">
        <v>108</v>
      </c>
      <c r="M272" s="3" t="s">
        <v>1961</v>
      </c>
      <c r="N272" s="3" t="str">
        <f t="shared" si="1"/>
        <v>GET /utility/utility/v1/movementsRecord/retrieve</v>
      </c>
      <c r="O272" s="32" t="s">
        <v>1962</v>
      </c>
      <c r="P272" s="32"/>
      <c r="Q272" s="61" t="s">
        <v>98</v>
      </c>
      <c r="R272" s="31" t="s">
        <v>56</v>
      </c>
      <c r="S272" s="38" t="str">
        <f t="shared" si="2"/>
        <v>https://github.com/SF-Bancoppel/mx-api-bc-dom-utility</v>
      </c>
      <c r="T272" s="40"/>
      <c r="U272" s="40"/>
      <c r="V272" s="40"/>
      <c r="W272" s="40"/>
      <c r="X272" s="40"/>
      <c r="Y272" s="40"/>
      <c r="Z272" s="40"/>
      <c r="AA272" s="40"/>
      <c r="AB272" s="40"/>
    </row>
    <row r="273" ht="18.75" customHeight="1">
      <c r="A273" s="18" t="str">
        <f t="array" ref="A273">IFERROR(
  INDEX(
    'api-register-id'!A:A,
    MATCH(F273, 'api-register-id'!B:B, 0)
  ),
  "Not found Organization"
)</f>
        <v>SSFF</v>
      </c>
      <c r="B273" s="22" t="str">
        <f>IFERROR(VLOOKUP(F273, 'api-register-id'!B:F, 4, FALSE), "Not found path.")</f>
        <v>mx-api-bc-dom-utility</v>
      </c>
      <c r="C273" s="23" t="s">
        <v>41</v>
      </c>
      <c r="D273" s="23" t="s">
        <v>119</v>
      </c>
      <c r="E273" s="24" t="str">
        <f>IFERROR(VLOOKUP(F273, 'api-register-id'!B:F, 5, FALSE), "Not found path.")</f>
        <v>APIMX000058</v>
      </c>
      <c r="F273" s="25" t="s">
        <v>802</v>
      </c>
      <c r="G273" s="26" t="s">
        <v>1965</v>
      </c>
      <c r="H273" s="22" t="s">
        <v>1966</v>
      </c>
      <c r="I273" s="29" t="str">
        <f>IFERROR(VLOOKUP(F273, 'api-register-id'!B:I, 8, FALSE), "Not found path.")</f>
        <v>1.1.0</v>
      </c>
      <c r="J273" s="3" t="s">
        <v>1949</v>
      </c>
      <c r="K273" s="31" t="s">
        <v>48</v>
      </c>
      <c r="L273" s="23" t="s">
        <v>49</v>
      </c>
      <c r="M273" s="3" t="s">
        <v>1967</v>
      </c>
      <c r="N273" s="3" t="str">
        <f t="shared" si="1"/>
        <v>POST /utility/utility/v1/configurationParameters/retrieve</v>
      </c>
      <c r="O273" s="32" t="s">
        <v>1968</v>
      </c>
      <c r="P273" s="32"/>
      <c r="Q273" s="61" t="s">
        <v>98</v>
      </c>
      <c r="R273" s="31" t="s">
        <v>56</v>
      </c>
      <c r="S273" s="38" t="str">
        <f t="shared" si="2"/>
        <v>https://github.com/SF-Bancoppel/mx-api-bc-dom-utility</v>
      </c>
      <c r="T273" s="40"/>
      <c r="U273" s="40"/>
      <c r="V273" s="40"/>
      <c r="W273" s="40"/>
      <c r="X273" s="40"/>
      <c r="Y273" s="40"/>
      <c r="Z273" s="40"/>
      <c r="AA273" s="40"/>
      <c r="AB273" s="40"/>
    </row>
    <row r="274" ht="18.75" customHeight="1">
      <c r="A274" s="18" t="str">
        <f t="array" ref="A274">IFERROR(
  INDEX(
    'api-register-id'!A:A,
    MATCH(F274, 'api-register-id'!B:B, 0)
  ),
  "Not found Organization"
)</f>
        <v>SSFF</v>
      </c>
      <c r="B274" s="22" t="str">
        <f>IFERROR(VLOOKUP(F274, 'api-register-id'!B:F, 4, FALSE), "Not found path.")</f>
        <v>mx-api-bc-dom-utility</v>
      </c>
      <c r="C274" s="23" t="s">
        <v>41</v>
      </c>
      <c r="D274" s="23" t="s">
        <v>119</v>
      </c>
      <c r="E274" s="24" t="str">
        <f>IFERROR(VLOOKUP(F274, 'api-register-id'!B:F, 5, FALSE), "Not found path.")</f>
        <v>APIMX000058</v>
      </c>
      <c r="F274" s="25" t="s">
        <v>802</v>
      </c>
      <c r="G274" s="26" t="s">
        <v>1969</v>
      </c>
      <c r="H274" s="22" t="s">
        <v>1970</v>
      </c>
      <c r="I274" s="29" t="str">
        <f>IFERROR(VLOOKUP(F274, 'api-register-id'!B:I, 8, FALSE), "Not found path.")</f>
        <v>1.1.0</v>
      </c>
      <c r="J274" s="3" t="s">
        <v>1949</v>
      </c>
      <c r="K274" s="31" t="s">
        <v>48</v>
      </c>
      <c r="L274" s="23" t="s">
        <v>108</v>
      </c>
      <c r="M274" s="3" t="s">
        <v>1971</v>
      </c>
      <c r="N274" s="3" t="str">
        <f t="shared" si="1"/>
        <v>GET /utility/utility/v1/bRCommisionIVAParams/{companyReference}/retrieve</v>
      </c>
      <c r="O274" s="32" t="s">
        <v>1972</v>
      </c>
      <c r="P274" s="32"/>
      <c r="Q274" s="61" t="s">
        <v>98</v>
      </c>
      <c r="R274" s="31" t="s">
        <v>56</v>
      </c>
      <c r="S274" s="38" t="str">
        <f t="shared" si="2"/>
        <v>https://github.com/SF-Bancoppel/mx-api-bc-dom-utility</v>
      </c>
      <c r="T274" s="40"/>
      <c r="U274" s="40"/>
      <c r="V274" s="40"/>
      <c r="W274" s="40"/>
      <c r="X274" s="40"/>
      <c r="Y274" s="40"/>
      <c r="Z274" s="40"/>
      <c r="AA274" s="40"/>
      <c r="AB274" s="40"/>
    </row>
    <row r="275" ht="18.75" customHeight="1">
      <c r="A275" s="18" t="str">
        <f t="array" ref="A275">IFERROR(
  INDEX(
    'api-register-id'!A:A,
    MATCH(F275, 'api-register-id'!B:B, 0)
  ),
  "Not found Organization"
)</f>
        <v>SSFF</v>
      </c>
      <c r="B275" s="22" t="str">
        <f>IFERROR(VLOOKUP(F275, 'api-register-id'!B:F, 4, FALSE), "Not found path.")</f>
        <v>mx-api-bc-dom-utility</v>
      </c>
      <c r="C275" s="23" t="s">
        <v>41</v>
      </c>
      <c r="D275" s="23" t="s">
        <v>119</v>
      </c>
      <c r="E275" s="24" t="str">
        <f>IFERROR(VLOOKUP(F275, 'api-register-id'!B:F, 5, FALSE), "Not found path.")</f>
        <v>APIMX000058</v>
      </c>
      <c r="F275" s="25" t="s">
        <v>802</v>
      </c>
      <c r="G275" s="26" t="s">
        <v>1976</v>
      </c>
      <c r="H275" s="22" t="s">
        <v>1977</v>
      </c>
      <c r="I275" s="29" t="str">
        <f>IFERROR(VLOOKUP(F275, 'api-register-id'!B:I, 8, FALSE), "Not found path.")</f>
        <v>1.1.0</v>
      </c>
      <c r="J275" s="3" t="s">
        <v>1949</v>
      </c>
      <c r="K275" s="31" t="s">
        <v>48</v>
      </c>
      <c r="L275" s="23" t="s">
        <v>49</v>
      </c>
      <c r="M275" s="3" t="s">
        <v>1978</v>
      </c>
      <c r="N275" s="3" t="str">
        <f t="shared" si="1"/>
        <v>POST /utility/utility/v1/bRInterestRateIVAParams/retrieve</v>
      </c>
      <c r="O275" s="32" t="s">
        <v>1979</v>
      </c>
      <c r="P275" s="32"/>
      <c r="Q275" s="61" t="s">
        <v>98</v>
      </c>
      <c r="R275" s="31" t="s">
        <v>56</v>
      </c>
      <c r="S275" s="38" t="str">
        <f t="shared" si="2"/>
        <v>https://github.com/SF-Bancoppel/mx-api-bc-dom-utility</v>
      </c>
      <c r="T275" s="40"/>
      <c r="U275" s="40"/>
      <c r="V275" s="40"/>
      <c r="W275" s="40"/>
      <c r="X275" s="40"/>
      <c r="Y275" s="40"/>
      <c r="Z275" s="40"/>
      <c r="AA275" s="40"/>
      <c r="AB275" s="40"/>
    </row>
    <row r="276" ht="18.75" customHeight="1">
      <c r="A276" s="18" t="str">
        <f t="array" ref="A276">IFERROR(
  INDEX(
    'api-register-id'!A:A,
    MATCH(F276, 'api-register-id'!B:B, 0)
  ),
  "Not found Organization"
)</f>
        <v>SSFF</v>
      </c>
      <c r="B276" s="22" t="str">
        <f>IFERROR(VLOOKUP(F276, 'api-register-id'!B:F, 4, FALSE), "Not found path.")</f>
        <v>mx-api-bc-dom-utility</v>
      </c>
      <c r="C276" s="23" t="s">
        <v>41</v>
      </c>
      <c r="D276" s="23" t="s">
        <v>119</v>
      </c>
      <c r="E276" s="24" t="str">
        <f>IFERROR(VLOOKUP(F276, 'api-register-id'!B:F, 5, FALSE), "Not found path.")</f>
        <v>APIMX000058</v>
      </c>
      <c r="F276" s="25" t="s">
        <v>802</v>
      </c>
      <c r="G276" s="26" t="s">
        <v>1980</v>
      </c>
      <c r="H276" s="22" t="s">
        <v>1802</v>
      </c>
      <c r="I276" s="29" t="str">
        <f>IFERROR(VLOOKUP(F276, 'api-register-id'!B:I, 8, FALSE), "Not found path.")</f>
        <v>1.1.0</v>
      </c>
      <c r="J276" s="3" t="s">
        <v>1949</v>
      </c>
      <c r="K276" s="31" t="s">
        <v>48</v>
      </c>
      <c r="L276" s="23" t="s">
        <v>108</v>
      </c>
      <c r="M276" s="3" t="s">
        <v>1981</v>
      </c>
      <c r="N276" s="3" t="str">
        <f t="shared" si="1"/>
        <v>GET /utility/utility/v1/dataParameter/{companyReference}/retrieve</v>
      </c>
      <c r="O276" s="32" t="s">
        <v>1982</v>
      </c>
      <c r="P276" s="32"/>
      <c r="Q276" s="61" t="s">
        <v>98</v>
      </c>
      <c r="R276" s="31" t="s">
        <v>56</v>
      </c>
      <c r="S276" s="38" t="str">
        <f t="shared" si="2"/>
        <v>https://github.com/SF-Bancoppel/mx-api-bc-dom-utility</v>
      </c>
      <c r="T276" s="40"/>
      <c r="U276" s="40"/>
      <c r="V276" s="40"/>
      <c r="W276" s="40"/>
      <c r="X276" s="40"/>
      <c r="Y276" s="40"/>
      <c r="Z276" s="40"/>
      <c r="AA276" s="40"/>
      <c r="AB276" s="40"/>
    </row>
    <row r="277" ht="18.75" customHeight="1">
      <c r="A277" s="18" t="str">
        <f t="array" ref="A277">IFERROR(
  INDEX(
    'api-register-id'!A:A,
    MATCH(F277, 'api-register-id'!B:B, 0)
  ),
  "Not found Organization"
)</f>
        <v>SSFF</v>
      </c>
      <c r="B277" s="22" t="str">
        <f>IFERROR(VLOOKUP(F277, 'api-register-id'!B:F, 4, FALSE), "Not found path.")</f>
        <v>mx-api-bc-dom-utility</v>
      </c>
      <c r="C277" s="23" t="s">
        <v>41</v>
      </c>
      <c r="D277" s="23" t="s">
        <v>119</v>
      </c>
      <c r="E277" s="24" t="str">
        <f>IFERROR(VLOOKUP(F277, 'api-register-id'!B:F, 5, FALSE), "Not found path.")</f>
        <v>APIMX000058</v>
      </c>
      <c r="F277" s="25" t="s">
        <v>802</v>
      </c>
      <c r="G277" s="26" t="s">
        <v>1985</v>
      </c>
      <c r="H277" s="22" t="s">
        <v>1986</v>
      </c>
      <c r="I277" s="29" t="str">
        <f>IFERROR(VLOOKUP(F277, 'api-register-id'!B:I, 8, FALSE), "Not found path.")</f>
        <v>1.1.0</v>
      </c>
      <c r="J277" s="3" t="s">
        <v>1949</v>
      </c>
      <c r="K277" s="31" t="s">
        <v>48</v>
      </c>
      <c r="L277" s="23" t="s">
        <v>108</v>
      </c>
      <c r="M277" s="3" t="s">
        <v>1987</v>
      </c>
      <c r="N277" s="3" t="str">
        <f t="shared" si="1"/>
        <v>GET /utility/utility/v1/dataParameterRetail/retrieve</v>
      </c>
      <c r="O277" s="32" t="s">
        <v>1988</v>
      </c>
      <c r="P277" s="32"/>
      <c r="Q277" s="61" t="s">
        <v>1989</v>
      </c>
      <c r="R277" s="31" t="s">
        <v>56</v>
      </c>
      <c r="S277" s="38" t="str">
        <f t="shared" si="2"/>
        <v>https://github.com/SF-Bancoppel/mx-api-bc-dom-utility</v>
      </c>
      <c r="T277" s="40"/>
      <c r="U277" s="40"/>
      <c r="V277" s="40"/>
      <c r="W277" s="40"/>
      <c r="X277" s="40"/>
      <c r="Y277" s="40"/>
      <c r="Z277" s="40"/>
      <c r="AA277" s="40"/>
      <c r="AB277" s="40"/>
    </row>
    <row r="278" ht="18.75" customHeight="1">
      <c r="A278" s="18" t="str">
        <f t="array" ref="A278">IFERROR(
  INDEX(
    'api-register-id'!A:A,
    MATCH(F278, 'api-register-id'!B:B, 0)
  ),
  "Not found Organization"
)</f>
        <v>SSFF</v>
      </c>
      <c r="B278" s="22" t="str">
        <f>IFERROR(VLOOKUP(F278, 'api-register-id'!B:F, 4, FALSE), "Not found path.")</f>
        <v>mx-api-bc-pro-account-reconciliation</v>
      </c>
      <c r="C278" s="23" t="s">
        <v>41</v>
      </c>
      <c r="D278" s="23" t="s">
        <v>811</v>
      </c>
      <c r="E278" s="24" t="str">
        <f>IFERROR(VLOOKUP(F278, 'api-register-id'!B:F, 5, FALSE), "Not found path.")</f>
        <v>APIMX000059</v>
      </c>
      <c r="F278" s="25" t="s">
        <v>810</v>
      </c>
      <c r="G278" s="26" t="s">
        <v>1990</v>
      </c>
      <c r="H278" s="22" t="s">
        <v>1991</v>
      </c>
      <c r="I278" s="29" t="str">
        <f>IFERROR(VLOOKUP(F278, 'api-register-id'!B:I, 8, FALSE), "Not found path.")</f>
        <v>1.0.0</v>
      </c>
      <c r="J278" s="3" t="s">
        <v>1992</v>
      </c>
      <c r="K278" s="31" t="s">
        <v>48</v>
      </c>
      <c r="L278" s="23" t="s">
        <v>428</v>
      </c>
      <c r="M278" s="3" t="s">
        <v>485</v>
      </c>
      <c r="N278" s="3" t="str">
        <f t="shared" si="1"/>
        <v>PATCH /system/accountManagement/accountReconciliation/v1/accountReconciliationProcedure/capture</v>
      </c>
      <c r="O278" s="32" t="s">
        <v>486</v>
      </c>
      <c r="P278" s="32"/>
      <c r="Q278" s="61" t="s">
        <v>98</v>
      </c>
      <c r="R278" s="31" t="s">
        <v>56</v>
      </c>
      <c r="S278" s="38" t="str">
        <f t="shared" si="2"/>
        <v>https://github.com/SF-Bancoppel/mx-api-bc-pro-account-reconciliation</v>
      </c>
      <c r="T278" s="40"/>
      <c r="U278" s="22"/>
      <c r="V278" s="22"/>
      <c r="W278" s="40"/>
      <c r="X278" s="40"/>
      <c r="Y278" s="40"/>
      <c r="Z278" s="22"/>
      <c r="AA278" s="22"/>
      <c r="AB278" s="22"/>
    </row>
    <row r="279" ht="18.75" customHeight="1">
      <c r="A279" s="18" t="str">
        <f t="array" ref="A279">IFERROR(
  INDEX(
    'api-register-id'!A:A,
    MATCH(F279, 'api-register-id'!B:B, 0)
  ),
  "Not found Organization"
)</f>
        <v>SSFF</v>
      </c>
      <c r="B279" s="22" t="str">
        <f>IFERROR(VLOOKUP(F279, 'api-register-id'!B:F, 4, FALSE), "Not found path.")</f>
        <v>mx-api-bc-pro-branch-location-operations</v>
      </c>
      <c r="C279" s="23" t="s">
        <v>41</v>
      </c>
      <c r="D279" s="23" t="s">
        <v>811</v>
      </c>
      <c r="E279" s="24" t="str">
        <f>IFERROR(VLOOKUP(F279, 'api-register-id'!B:F, 5, FALSE), "Not found path.")</f>
        <v>APIMX000060</v>
      </c>
      <c r="F279" s="25" t="s">
        <v>822</v>
      </c>
      <c r="G279" s="26" t="s">
        <v>1998</v>
      </c>
      <c r="H279" s="22" t="s">
        <v>1999</v>
      </c>
      <c r="I279" s="29" t="str">
        <f>IFERROR(VLOOKUP(F279, 'api-register-id'!B:I, 8, FALSE), "Not found path.")</f>
        <v>1.2.0</v>
      </c>
      <c r="J279" s="3" t="s">
        <v>2000</v>
      </c>
      <c r="K279" s="31" t="s">
        <v>48</v>
      </c>
      <c r="L279" s="23" t="s">
        <v>49</v>
      </c>
      <c r="M279" s="3" t="s">
        <v>492</v>
      </c>
      <c r="N279" s="3" t="str">
        <f t="shared" si="1"/>
        <v>POST /system/channelSpecific/branchLocationOperations/v1/branchLocation/retrieve</v>
      </c>
      <c r="O279" s="32" t="s">
        <v>493</v>
      </c>
      <c r="P279" s="32"/>
      <c r="Q279" s="61" t="s">
        <v>98</v>
      </c>
      <c r="R279" s="31" t="s">
        <v>56</v>
      </c>
      <c r="S279" s="38" t="str">
        <f t="shared" si="2"/>
        <v>https://github.com/SF-Bancoppel/mx-api-bc-pro-branch-location-operations</v>
      </c>
      <c r="T279" s="40"/>
      <c r="U279" s="40"/>
      <c r="V279" s="40"/>
      <c r="W279" s="40"/>
      <c r="X279" s="40"/>
      <c r="Y279" s="40"/>
      <c r="Z279" s="40"/>
      <c r="AA279" s="40"/>
      <c r="AB279" s="40"/>
    </row>
    <row r="280" ht="18.75" customHeight="1">
      <c r="A280" s="18" t="str">
        <f t="array" ref="A280">IFERROR(
  INDEX(
    'api-register-id'!A:A,
    MATCH(F280, 'api-register-id'!B:B, 0)
  ),
  "Not found Organization"
)</f>
        <v>SSFF</v>
      </c>
      <c r="B280" s="22" t="str">
        <f>IFERROR(VLOOKUP(F280, 'api-register-id'!B:F, 4, FALSE), "Not found path.")</f>
        <v>mx-api-bc-pro-card-ecommerce-gateway</v>
      </c>
      <c r="C280" s="23" t="s">
        <v>41</v>
      </c>
      <c r="D280" s="23" t="s">
        <v>811</v>
      </c>
      <c r="E280" s="24" t="str">
        <f>IFERROR(VLOOKUP(F280, 'api-register-id'!B:F, 5, FALSE), "Not found path.")</f>
        <v>APIMX000062</v>
      </c>
      <c r="F280" s="25" t="s">
        <v>843</v>
      </c>
      <c r="G280" s="26" t="s">
        <v>2029</v>
      </c>
      <c r="H280" s="22" t="s">
        <v>2031</v>
      </c>
      <c r="I280" s="29" t="str">
        <f>IFERROR(VLOOKUP(F280, 'api-register-id'!B:I, 8, FALSE), "Not found path.")</f>
        <v>1.0.0</v>
      </c>
      <c r="J280" s="3" t="s">
        <v>2038</v>
      </c>
      <c r="K280" s="31" t="s">
        <v>48</v>
      </c>
      <c r="L280" s="23" t="s">
        <v>49</v>
      </c>
      <c r="M280" s="3" t="s">
        <v>502</v>
      </c>
      <c r="N280" s="3" t="str">
        <f t="shared" si="1"/>
        <v>POST /system/payments/cardeCommerceGateway/v1/tokenAssignment/create</v>
      </c>
      <c r="O280" s="32" t="s">
        <v>503</v>
      </c>
      <c r="P280" s="32"/>
      <c r="Q280" s="61" t="s">
        <v>2046</v>
      </c>
      <c r="R280" s="31" t="s">
        <v>56</v>
      </c>
      <c r="S280" s="38" t="str">
        <f t="shared" si="2"/>
        <v>https://github.com/SF-Bancoppel/mx-api-bc-pro-card-ecommerce-gateway</v>
      </c>
      <c r="T280" s="40"/>
      <c r="U280" s="40"/>
      <c r="V280" s="40"/>
      <c r="W280" s="40"/>
      <c r="X280" s="40"/>
      <c r="Y280" s="40"/>
      <c r="Z280" s="40"/>
      <c r="AA280" s="40"/>
      <c r="AB280" s="40"/>
    </row>
    <row r="281" ht="18.75" customHeight="1">
      <c r="A281" s="18" t="str">
        <f t="array" ref="A281">IFERROR(
  INDEX(
    'api-register-id'!A:A,
    MATCH(F281, 'api-register-id'!B:B, 0)
  ),
  "Not found Organization"
)</f>
        <v>SSFF</v>
      </c>
      <c r="B281" s="22" t="str">
        <f>IFERROR(VLOOKUP(F281, 'api-register-id'!B:F, 4, FALSE), "Not found path.")</f>
        <v>mx-api-bc-pro-cash-management-and-account-services</v>
      </c>
      <c r="C281" s="23" t="s">
        <v>41</v>
      </c>
      <c r="D281" s="23" t="s">
        <v>811</v>
      </c>
      <c r="E281" s="24" t="str">
        <f>IFERROR(VLOOKUP(F281, 'api-register-id'!B:F, 5, FALSE), "Not found path.")</f>
        <v>APIMX000063</v>
      </c>
      <c r="F281" s="25" t="s">
        <v>856</v>
      </c>
      <c r="G281" s="26" t="s">
        <v>2074</v>
      </c>
      <c r="H281" s="22" t="s">
        <v>2076</v>
      </c>
      <c r="I281" s="29" t="str">
        <f>IFERROR(VLOOKUP(F281, 'api-register-id'!B:I, 8, FALSE), "Not found path.")</f>
        <v>1.0.0</v>
      </c>
      <c r="J281" s="3" t="s">
        <v>2080</v>
      </c>
      <c r="K281" s="31" t="s">
        <v>48</v>
      </c>
      <c r="L281" s="23" t="s">
        <v>49</v>
      </c>
      <c r="M281" s="3" t="s">
        <v>2084</v>
      </c>
      <c r="N281" s="3" t="str">
        <f t="shared" si="1"/>
        <v>POST /system/tradeBanking/cashManagementAndAccountServices/v1/depositsAndWithdrawals/retrieve</v>
      </c>
      <c r="O281" s="32" t="s">
        <v>2087</v>
      </c>
      <c r="P281" s="32"/>
      <c r="Q281" s="61" t="s">
        <v>98</v>
      </c>
      <c r="R281" s="31" t="s">
        <v>56</v>
      </c>
      <c r="S281" s="38" t="str">
        <f t="shared" si="2"/>
        <v>https://github.com/SF-Bancoppel/mx-api-bc-pro-cash-management-and-account-services</v>
      </c>
      <c r="T281" s="40"/>
      <c r="U281" s="40"/>
      <c r="V281" s="40"/>
      <c r="W281" s="40"/>
      <c r="X281" s="40"/>
      <c r="Y281" s="40"/>
      <c r="Z281" s="40"/>
      <c r="AA281" s="40"/>
      <c r="AB281" s="40"/>
    </row>
    <row r="282" ht="18.75" customHeight="1">
      <c r="A282" s="18" t="str">
        <f t="array" ref="A282">IFERROR(
  INDEX(
    'api-register-id'!A:A,
    MATCH(F282, 'api-register-id'!B:B, 0)
  ),
  "Not found Organization"
)</f>
        <v>SSFF</v>
      </c>
      <c r="B282" s="22" t="str">
        <f>IFERROR(VLOOKUP(F282, 'api-register-id'!B:F, 4, FALSE), "Not found path.")</f>
        <v>mx-api-bc-pro-cheque-processing</v>
      </c>
      <c r="C282" s="23" t="s">
        <v>41</v>
      </c>
      <c r="D282" s="23" t="s">
        <v>811</v>
      </c>
      <c r="E282" s="24" t="str">
        <f>IFERROR(VLOOKUP(F282, 'api-register-id'!B:F, 5, FALSE), "Not found path.")</f>
        <v>APIMX000064</v>
      </c>
      <c r="F282" s="25" t="s">
        <v>866</v>
      </c>
      <c r="G282" s="26" t="s">
        <v>2114</v>
      </c>
      <c r="H282" s="22" t="s">
        <v>2115</v>
      </c>
      <c r="I282" s="29" t="str">
        <f>IFERROR(VLOOKUP(F282, 'api-register-id'!B:I, 8, FALSE), "Not found path.")</f>
        <v>1.0.0</v>
      </c>
      <c r="J282" s="3" t="s">
        <v>2121</v>
      </c>
      <c r="K282" s="31" t="s">
        <v>48</v>
      </c>
      <c r="L282" s="23" t="s">
        <v>49</v>
      </c>
      <c r="M282" s="3" t="s">
        <v>2124</v>
      </c>
      <c r="N282" s="3" t="str">
        <f t="shared" si="1"/>
        <v>POST /system/payments/chequeProcessing/v1/feesFacility/evaluate</v>
      </c>
      <c r="O282" s="32" t="s">
        <v>2128</v>
      </c>
      <c r="P282" s="32"/>
      <c r="Q282" s="61" t="s">
        <v>98</v>
      </c>
      <c r="R282" s="31" t="s">
        <v>56</v>
      </c>
      <c r="S282" s="38" t="str">
        <f t="shared" si="2"/>
        <v>https://github.com/SF-Bancoppel/mx-api-bc-pro-cheque-processing</v>
      </c>
      <c r="T282" s="40"/>
      <c r="U282" s="40"/>
      <c r="V282" s="40"/>
      <c r="W282" s="40"/>
      <c r="X282" s="40"/>
      <c r="Y282" s="40"/>
      <c r="Z282" s="40"/>
      <c r="AA282" s="40"/>
      <c r="AB282" s="40"/>
    </row>
    <row r="283" ht="18.75" customHeight="1">
      <c r="A283" s="18" t="str">
        <f t="array" ref="A283">IFERROR(
  INDEX(
    'api-register-id'!A:A,
    MATCH(F283, 'api-register-id'!B:B, 0)
  ),
  "Not found Organization"
)</f>
        <v>SSFF</v>
      </c>
      <c r="B283" s="22" t="str">
        <f>IFERROR(VLOOKUP(F283, 'api-register-id'!B:F, 4, FALSE), "Not found path.")</f>
        <v>mx-api-bc-pro-corporate-current-account</v>
      </c>
      <c r="C283" s="23" t="s">
        <v>41</v>
      </c>
      <c r="D283" s="23" t="s">
        <v>811</v>
      </c>
      <c r="E283" s="24" t="str">
        <f>IFERROR(VLOOKUP(F283, 'api-register-id'!B:F, 5, FALSE), "Not found path.")</f>
        <v>APIMX000065</v>
      </c>
      <c r="F283" s="25" t="s">
        <v>879</v>
      </c>
      <c r="G283" s="26" t="s">
        <v>2151</v>
      </c>
      <c r="H283" s="22" t="s">
        <v>2152</v>
      </c>
      <c r="I283" s="29" t="str">
        <f>IFERROR(VLOOKUP(F283, 'api-register-id'!B:I, 8, FALSE), "Not found path.")</f>
        <v>1.1.0</v>
      </c>
      <c r="J283" s="3" t="s">
        <v>2157</v>
      </c>
      <c r="K283" s="31" t="s">
        <v>48</v>
      </c>
      <c r="L283" s="23" t="s">
        <v>49</v>
      </c>
      <c r="M283" s="3" t="s">
        <v>512</v>
      </c>
      <c r="N283" s="3" t="str">
        <f t="shared" si="1"/>
        <v>POST /system/loansAndDeposits/corporateCurrentAccount/v1/corporateCurrentAccountFacility/initiate</v>
      </c>
      <c r="O283" s="32" t="s">
        <v>514</v>
      </c>
      <c r="P283" s="32"/>
      <c r="Q283" s="61" t="s">
        <v>98</v>
      </c>
      <c r="R283" s="31" t="s">
        <v>56</v>
      </c>
      <c r="S283" s="38" t="str">
        <f t="shared" si="2"/>
        <v>https://github.com/SF-Bancoppel/mx-api-bc-pro-corporate-current-account</v>
      </c>
      <c r="T283" s="40"/>
      <c r="U283" s="22"/>
      <c r="V283" s="22"/>
      <c r="W283" s="22"/>
      <c r="X283" s="22"/>
      <c r="Y283" s="40"/>
      <c r="Z283" s="22"/>
      <c r="AA283" s="22"/>
      <c r="AB283" s="22"/>
    </row>
    <row r="284" ht="18.75" customHeight="1">
      <c r="A284" s="18" t="str">
        <f t="array" ref="A284">IFERROR(
  INDEX(
    'api-register-id'!A:A,
    MATCH(F284, 'api-register-id'!B:B, 0)
  ),
  "Not found Organization"
)</f>
        <v>SSFF</v>
      </c>
      <c r="B284" s="22" t="str">
        <f>IFERROR(VLOOKUP(F284, 'api-register-id'!B:F, 4, FALSE), "Not found path.")</f>
        <v>mx-api-bc-pro-correspondence</v>
      </c>
      <c r="C284" s="23" t="s">
        <v>41</v>
      </c>
      <c r="D284" s="23" t="s">
        <v>811</v>
      </c>
      <c r="E284" s="24" t="str">
        <f>IFERROR(VLOOKUP(F284, 'api-register-id'!B:F, 5, FALSE), "Not found path.")</f>
        <v>APIMX000066</v>
      </c>
      <c r="F284" s="25" t="s">
        <v>892</v>
      </c>
      <c r="G284" s="26" t="s">
        <v>2186</v>
      </c>
      <c r="H284" s="22" t="s">
        <v>2188</v>
      </c>
      <c r="I284" s="29" t="str">
        <f>IFERROR(VLOOKUP(F284, 'api-register-id'!B:I, 8, FALSE), "Not found path.")</f>
        <v>1.0.0</v>
      </c>
      <c r="J284" s="3" t="s">
        <v>2195</v>
      </c>
      <c r="K284" s="31" t="s">
        <v>48</v>
      </c>
      <c r="L284" s="23" t="s">
        <v>49</v>
      </c>
      <c r="M284" s="3" t="s">
        <v>521</v>
      </c>
      <c r="N284" s="3" t="str">
        <f t="shared" si="1"/>
        <v>POST /system/documentManagementAndArchive/correspondence/v1/outbound/register</v>
      </c>
      <c r="O284" s="32" t="s">
        <v>2201</v>
      </c>
      <c r="P284" s="32"/>
      <c r="Q284" s="61" t="s">
        <v>2206</v>
      </c>
      <c r="R284" s="31" t="s">
        <v>56</v>
      </c>
      <c r="S284" s="38" t="str">
        <f t="shared" si="2"/>
        <v>https://github.com/SF-Bancoppel/mx-api-bc-pro-correspondence</v>
      </c>
      <c r="T284" s="40"/>
      <c r="U284" s="40"/>
      <c r="V284" s="40"/>
      <c r="W284" s="40"/>
      <c r="X284" s="40"/>
      <c r="Y284" s="40"/>
      <c r="Z284" s="40"/>
      <c r="AA284" s="40"/>
      <c r="AB284" s="40"/>
    </row>
    <row r="285" ht="18.75" customHeight="1">
      <c r="A285" s="18" t="str">
        <f t="array" ref="A285">IFERROR(
  INDEX(
    'api-register-id'!A:A,
    MATCH(F285, 'api-register-id'!B:B, 0)
  ),
  "Not found Organization"
)</f>
        <v>SSFF</v>
      </c>
      <c r="B285" s="22" t="str">
        <f>IFERROR(VLOOKUP(F285, 'api-register-id'!B:F, 4, FALSE), "Not found path.")</f>
        <v>mx-api-bc-pro-counterparty-risk</v>
      </c>
      <c r="C285" s="23" t="s">
        <v>41</v>
      </c>
      <c r="D285" s="23" t="s">
        <v>811</v>
      </c>
      <c r="E285" s="24" t="str">
        <f>IFERROR(VLOOKUP(F285, 'api-register-id'!B:F, 5, FALSE), "Not found path.")</f>
        <v>APIMX000067</v>
      </c>
      <c r="F285" s="25" t="s">
        <v>905</v>
      </c>
      <c r="G285" s="26" t="s">
        <v>2237</v>
      </c>
      <c r="H285" s="22" t="s">
        <v>2239</v>
      </c>
      <c r="I285" s="29" t="str">
        <f>IFERROR(VLOOKUP(F285, 'api-register-id'!B:I, 8, FALSE), "Not found path.")</f>
        <v>1.2.0</v>
      </c>
      <c r="J285" s="3" t="s">
        <v>2249</v>
      </c>
      <c r="K285" s="31" t="s">
        <v>48</v>
      </c>
      <c r="L285" s="23" t="s">
        <v>49</v>
      </c>
      <c r="M285" s="3" t="s">
        <v>457</v>
      </c>
      <c r="N285" s="3" t="str">
        <f t="shared" si="1"/>
        <v>POST /system/accountManagement/counterpartyRisk/v1/customerCreditRating/retrieve</v>
      </c>
      <c r="O285" s="32" t="s">
        <v>533</v>
      </c>
      <c r="P285" s="32"/>
      <c r="Q285" s="61" t="s">
        <v>2259</v>
      </c>
      <c r="R285" s="31" t="s">
        <v>56</v>
      </c>
      <c r="S285" s="38" t="str">
        <f t="shared" si="2"/>
        <v>https://github.com/SF-Bancoppel/mx-api-bc-pro-counterparty-risk</v>
      </c>
      <c r="T285" s="40"/>
      <c r="U285" s="40"/>
      <c r="V285" s="40"/>
      <c r="W285" s="40"/>
      <c r="X285" s="40"/>
      <c r="Y285" s="40"/>
      <c r="Z285" s="40"/>
      <c r="AA285" s="40"/>
      <c r="AB285" s="40"/>
    </row>
    <row r="286" ht="18.75" customHeight="1">
      <c r="A286" s="18" t="str">
        <f t="array" ref="A286">IFERROR(
  INDEX(
    'api-register-id'!A:A,
    MATCH(F286, 'api-register-id'!B:B, 0)
  ),
  "Not found Organization"
)</f>
        <v>SSFF</v>
      </c>
      <c r="B286" s="22" t="str">
        <f>IFERROR(VLOOKUP(F286, 'api-register-id'!B:F, 4, FALSE), "Not found path.")</f>
        <v>mx-api-bc-pro-counterparty-risk</v>
      </c>
      <c r="C286" s="23" t="s">
        <v>41</v>
      </c>
      <c r="D286" s="23" t="s">
        <v>811</v>
      </c>
      <c r="E286" s="24" t="str">
        <f>IFERROR(VLOOKUP(F286, 'api-register-id'!B:F, 5, FALSE), "Not found path.")</f>
        <v>APIMX000067</v>
      </c>
      <c r="F286" s="25" t="s">
        <v>905</v>
      </c>
      <c r="G286" s="26" t="s">
        <v>2281</v>
      </c>
      <c r="H286" s="22" t="s">
        <v>2282</v>
      </c>
      <c r="I286" s="29" t="str">
        <f>IFERROR(VLOOKUP(F286, 'api-register-id'!B:I, 8, FALSE), "Not found path.")</f>
        <v>1.2.0</v>
      </c>
      <c r="J286" s="3" t="s">
        <v>2249</v>
      </c>
      <c r="K286" s="31" t="s">
        <v>48</v>
      </c>
      <c r="L286" s="23" t="s">
        <v>49</v>
      </c>
      <c r="M286" s="3" t="s">
        <v>540</v>
      </c>
      <c r="N286" s="3" t="str">
        <f t="shared" si="1"/>
        <v>POST /system/accountManagement/counterpartyRisk/v1/customerCreditRating/evaluate</v>
      </c>
      <c r="O286" s="32" t="s">
        <v>542</v>
      </c>
      <c r="P286" s="32"/>
      <c r="Q286" s="61" t="s">
        <v>2293</v>
      </c>
      <c r="R286" s="31" t="s">
        <v>56</v>
      </c>
      <c r="S286" s="38" t="str">
        <f t="shared" si="2"/>
        <v>https://github.com/SF-Bancoppel/mx-api-bc-pro-counterparty-risk</v>
      </c>
      <c r="T286" s="40"/>
      <c r="U286" s="22"/>
      <c r="V286" s="40"/>
      <c r="W286" s="40"/>
      <c r="X286" s="40"/>
      <c r="Y286" s="40"/>
      <c r="Z286" s="22"/>
      <c r="AA286" s="22"/>
      <c r="AB286" s="22"/>
    </row>
    <row r="287" ht="18.75" customHeight="1">
      <c r="A287" s="18" t="str">
        <f t="array" ref="A287">IFERROR(
  INDEX(
    'api-register-id'!A:A,
    MATCH(F287, 'api-register-id'!B:B, 0)
  ),
  "Not found Organization"
)</f>
        <v>SSFF</v>
      </c>
      <c r="B287" s="22" t="str">
        <f>IFERROR(VLOOKUP(F287, 'api-register-id'!B:F, 4, FALSE), "Not found path.")</f>
        <v>mx-api-bc-pro-counterparty-risk</v>
      </c>
      <c r="C287" s="23" t="s">
        <v>41</v>
      </c>
      <c r="D287" s="23" t="s">
        <v>811</v>
      </c>
      <c r="E287" s="24" t="str">
        <f>IFERROR(VLOOKUP(F287, 'api-register-id'!B:F, 5, FALSE), "Not found path.")</f>
        <v>APIMX000067</v>
      </c>
      <c r="F287" s="25" t="s">
        <v>905</v>
      </c>
      <c r="G287" s="26" t="s">
        <v>2317</v>
      </c>
      <c r="H287" s="22" t="s">
        <v>2319</v>
      </c>
      <c r="I287" s="29" t="str">
        <f>IFERROR(VLOOKUP(F287, 'api-register-id'!B:I, 8, FALSE), "Not found path.")</f>
        <v>1.2.0</v>
      </c>
      <c r="J287" s="3" t="s">
        <v>2249</v>
      </c>
      <c r="K287" s="31" t="s">
        <v>48</v>
      </c>
      <c r="L287" s="23" t="s">
        <v>108</v>
      </c>
      <c r="M287" s="3" t="s">
        <v>549</v>
      </c>
      <c r="N287" s="3" t="str">
        <f t="shared" si="1"/>
        <v>GET /system/accountManagement/counterpartyRisk/v1/reasonsRejection/retrieve</v>
      </c>
      <c r="O287" s="32" t="s">
        <v>550</v>
      </c>
      <c r="P287" s="32"/>
      <c r="Q287" s="61" t="s">
        <v>98</v>
      </c>
      <c r="R287" s="31" t="s">
        <v>56</v>
      </c>
      <c r="S287" s="38" t="str">
        <f t="shared" si="2"/>
        <v>https://github.com/SF-Bancoppel/mx-api-bc-pro-counterparty-risk</v>
      </c>
      <c r="T287" s="22"/>
      <c r="U287" s="22"/>
      <c r="V287" s="22"/>
      <c r="W287" s="22"/>
      <c r="X287" s="22"/>
      <c r="Y287" s="22"/>
      <c r="Z287" s="22"/>
      <c r="AA287" s="22"/>
      <c r="AB287" s="22"/>
    </row>
    <row r="288" ht="18.75" customHeight="1">
      <c r="A288" s="18" t="str">
        <f t="array" ref="A288">IFERROR(
  INDEX(
    'api-register-id'!A:A,
    MATCH(F288, 'api-register-id'!B:B, 0)
  ),
  "Not found Organization"
)</f>
        <v>SSFF</v>
      </c>
      <c r="B288" s="22" t="str">
        <f>IFERROR(VLOOKUP(F288, 'api-register-id'!B:F, 4, FALSE), "Not found path.")</f>
        <v>mx-api-bc-pro-credit-card</v>
      </c>
      <c r="C288" s="23" t="s">
        <v>41</v>
      </c>
      <c r="D288" s="23" t="s">
        <v>811</v>
      </c>
      <c r="E288" s="24" t="str">
        <f>IFERROR(VLOOKUP(F288, 'api-register-id'!B:F, 5, FALSE), "Not found path.")</f>
        <v>APIMX000068</v>
      </c>
      <c r="F288" s="25" t="s">
        <v>913</v>
      </c>
      <c r="G288" s="26" t="s">
        <v>2364</v>
      </c>
      <c r="H288" s="22" t="s">
        <v>2366</v>
      </c>
      <c r="I288" s="29" t="str">
        <f>IFERROR(VLOOKUP(F288, 'api-register-id'!B:I, 8, FALSE), "Not found path.")</f>
        <v>1.31.0</v>
      </c>
      <c r="J288" s="3" t="s">
        <v>2376</v>
      </c>
      <c r="K288" s="31" t="s">
        <v>48</v>
      </c>
      <c r="L288" s="23" t="s">
        <v>49</v>
      </c>
      <c r="M288" s="3" t="s">
        <v>561</v>
      </c>
      <c r="N288" s="3" t="str">
        <f t="shared" si="1"/>
        <v>POST /system/cards/creditCard/v1/creditCardApplication/retrieve</v>
      </c>
      <c r="O288" s="32" t="s">
        <v>562</v>
      </c>
      <c r="P288" s="32"/>
      <c r="Q288" s="61" t="s">
        <v>2387</v>
      </c>
      <c r="R288" s="31" t="s">
        <v>56</v>
      </c>
      <c r="S288" s="38" t="str">
        <f t="shared" si="2"/>
        <v>https://github.com/SF-Bancoppel/mx-api-bc-pro-credit-card</v>
      </c>
      <c r="T288" s="40"/>
      <c r="U288" s="22"/>
      <c r="V288" s="22"/>
      <c r="W288" s="22"/>
      <c r="X288" s="22"/>
      <c r="Y288" s="40"/>
      <c r="Z288" s="22"/>
      <c r="AA288" s="22"/>
      <c r="AB288" s="22"/>
    </row>
    <row r="289" ht="18.75" customHeight="1">
      <c r="A289" s="18" t="str">
        <f t="array" ref="A289">IFERROR(
  INDEX(
    'api-register-id'!A:A,
    MATCH(F289, 'api-register-id'!B:B, 0)
  ),
  "Not found Organization"
)</f>
        <v>SSFF</v>
      </c>
      <c r="B289" s="22" t="str">
        <f>IFERROR(VLOOKUP(F289, 'api-register-id'!B:F, 4, FALSE), "Not found path.")</f>
        <v>mx-api-bc-pro-credit-card</v>
      </c>
      <c r="C289" s="23" t="s">
        <v>41</v>
      </c>
      <c r="D289" s="23" t="s">
        <v>811</v>
      </c>
      <c r="E289" s="24" t="str">
        <f>IFERROR(VLOOKUP(F289, 'api-register-id'!B:F, 5, FALSE), "Not found path.")</f>
        <v>APIMX000068</v>
      </c>
      <c r="F289" s="25" t="s">
        <v>913</v>
      </c>
      <c r="G289" s="26" t="s">
        <v>2410</v>
      </c>
      <c r="H289" s="22" t="s">
        <v>2411</v>
      </c>
      <c r="I289" s="29" t="str">
        <f>IFERROR(VLOOKUP(F289, 'api-register-id'!B:I, 8, FALSE), "Not found path.")</f>
        <v>1.31.0</v>
      </c>
      <c r="J289" s="3" t="s">
        <v>2376</v>
      </c>
      <c r="K289" s="31" t="s">
        <v>48</v>
      </c>
      <c r="L289" s="23" t="s">
        <v>49</v>
      </c>
      <c r="M289" s="3" t="s">
        <v>573</v>
      </c>
      <c r="N289" s="3" t="str">
        <f t="shared" si="1"/>
        <v>POST /system/cards/creditCard/v1/creditCardApplication/initiate</v>
      </c>
      <c r="O289" s="32" t="s">
        <v>2422</v>
      </c>
      <c r="P289" s="32"/>
      <c r="Q289" s="61" t="s">
        <v>2424</v>
      </c>
      <c r="R289" s="31" t="s">
        <v>56</v>
      </c>
      <c r="S289" s="38" t="str">
        <f t="shared" si="2"/>
        <v>https://github.com/SF-Bancoppel/mx-api-bc-pro-credit-card</v>
      </c>
      <c r="T289" s="40"/>
      <c r="U289" s="22"/>
      <c r="V289" s="40"/>
      <c r="W289" s="40"/>
      <c r="X289" s="40"/>
      <c r="Y289" s="40"/>
      <c r="Z289" s="22"/>
      <c r="AA289" s="22"/>
      <c r="AB289" s="22"/>
    </row>
    <row r="290" ht="18.75" customHeight="1">
      <c r="A290" s="18" t="str">
        <f t="array" ref="A290">IFERROR(
  INDEX(
    'api-register-id'!A:A,
    MATCH(F290, 'api-register-id'!B:B, 0)
  ),
  "Not found Organization"
)</f>
        <v>SSFF</v>
      </c>
      <c r="B290" s="22" t="str">
        <f>IFERROR(VLOOKUP(F290, 'api-register-id'!B:F, 4, FALSE), "Not found path.")</f>
        <v>mx-api-bc-pro-credit-card</v>
      </c>
      <c r="C290" s="23" t="s">
        <v>41</v>
      </c>
      <c r="D290" s="23" t="s">
        <v>811</v>
      </c>
      <c r="E290" s="24" t="str">
        <f>IFERROR(VLOOKUP(F290, 'api-register-id'!B:F, 5, FALSE), "Not found path.")</f>
        <v>APIMX000068</v>
      </c>
      <c r="F290" s="25" t="s">
        <v>913</v>
      </c>
      <c r="G290" s="26" t="s">
        <v>2462</v>
      </c>
      <c r="H290" s="22" t="s">
        <v>2465</v>
      </c>
      <c r="I290" s="29" t="str">
        <f>IFERROR(VLOOKUP(F290, 'api-register-id'!B:I, 8, FALSE), "Not found path.")</f>
        <v>1.31.0</v>
      </c>
      <c r="J290" s="3" t="s">
        <v>2376</v>
      </c>
      <c r="K290" s="31" t="s">
        <v>48</v>
      </c>
      <c r="L290" s="23" t="s">
        <v>49</v>
      </c>
      <c r="M290" s="3" t="s">
        <v>580</v>
      </c>
      <c r="N290" s="3" t="str">
        <f t="shared" si="1"/>
        <v>POST /system/cards/creditCard/v1/creditCardApplication/exchange</v>
      </c>
      <c r="O290" s="32" t="s">
        <v>581</v>
      </c>
      <c r="P290" s="32" t="s">
        <v>582</v>
      </c>
      <c r="Q290" s="61" t="s">
        <v>98</v>
      </c>
      <c r="R290" s="31" t="s">
        <v>56</v>
      </c>
      <c r="S290" s="38" t="str">
        <f t="shared" si="2"/>
        <v>https://github.com/SF-Bancoppel/mx-api-bc-pro-credit-card</v>
      </c>
      <c r="T290" s="40"/>
      <c r="U290" s="22"/>
      <c r="V290" s="40"/>
      <c r="W290" s="40"/>
      <c r="X290" s="40"/>
      <c r="Y290" s="40"/>
      <c r="Z290" s="22"/>
      <c r="AA290" s="22"/>
      <c r="AB290" s="22"/>
    </row>
    <row r="291" ht="18.75" customHeight="1">
      <c r="A291" s="18" t="str">
        <f t="array" ref="A291">IFERROR(
  INDEX(
    'api-register-id'!A:A,
    MATCH(F291, 'api-register-id'!B:B, 0)
  ),
  "Not found Organization"
)</f>
        <v>SSFF</v>
      </c>
      <c r="B291" s="22" t="str">
        <f>IFERROR(VLOOKUP(F291, 'api-register-id'!B:F, 4, FALSE), "Not found path.")</f>
        <v>mx-api-bc-pro-credit-card</v>
      </c>
      <c r="C291" s="23" t="s">
        <v>41</v>
      </c>
      <c r="D291" s="23" t="s">
        <v>811</v>
      </c>
      <c r="E291" s="24" t="str">
        <f>IFERROR(VLOOKUP(F291, 'api-register-id'!B:F, 5, FALSE), "Not found path.")</f>
        <v>APIMX000068</v>
      </c>
      <c r="F291" s="25" t="s">
        <v>913</v>
      </c>
      <c r="G291" s="26" t="s">
        <v>2509</v>
      </c>
      <c r="H291" s="22" t="s">
        <v>2511</v>
      </c>
      <c r="I291" s="29" t="str">
        <f>IFERROR(VLOOKUP(F291, 'api-register-id'!B:I, 8, FALSE), "Not found path.")</f>
        <v>1.31.0</v>
      </c>
      <c r="J291" s="3" t="s">
        <v>2376</v>
      </c>
      <c r="K291" s="31" t="s">
        <v>48</v>
      </c>
      <c r="L291" s="23" t="s">
        <v>428</v>
      </c>
      <c r="M291" s="3" t="s">
        <v>589</v>
      </c>
      <c r="N291" s="3" t="str">
        <f t="shared" si="1"/>
        <v>PATCH /system/cards/creditCard/v1/creditCardApplication/update</v>
      </c>
      <c r="O291" s="32" t="s">
        <v>2517</v>
      </c>
      <c r="P291" s="32"/>
      <c r="Q291" s="61" t="s">
        <v>2519</v>
      </c>
      <c r="R291" s="31" t="s">
        <v>56</v>
      </c>
      <c r="S291" s="38" t="str">
        <f t="shared" si="2"/>
        <v>https://github.com/SF-Bancoppel/mx-api-bc-pro-credit-card</v>
      </c>
      <c r="T291" s="40"/>
      <c r="U291" s="22"/>
      <c r="V291" s="40"/>
      <c r="W291" s="40"/>
      <c r="X291" s="40"/>
      <c r="Y291" s="40"/>
      <c r="Z291" s="22"/>
      <c r="AA291" s="22"/>
      <c r="AB291" s="22"/>
    </row>
    <row r="292" ht="18.75" customHeight="1">
      <c r="A292" s="18" t="str">
        <f t="array" ref="A292">IFERROR(
  INDEX(
    'api-register-id'!A:A,
    MATCH(F292, 'api-register-id'!B:B, 0)
  ),
  "Not found Organization"
)</f>
        <v>SSFF</v>
      </c>
      <c r="B292" s="22" t="str">
        <f>IFERROR(VLOOKUP(F292, 'api-register-id'!B:F, 4, FALSE), "Not found path.")</f>
        <v>mx-api-bc-pro-credit-card</v>
      </c>
      <c r="C292" s="23" t="s">
        <v>41</v>
      </c>
      <c r="D292" s="23" t="s">
        <v>811</v>
      </c>
      <c r="E292" s="24" t="str">
        <f>IFERROR(VLOOKUP(F292, 'api-register-id'!B:F, 5, FALSE), "Not found path.")</f>
        <v>APIMX000068</v>
      </c>
      <c r="F292" s="25" t="s">
        <v>913</v>
      </c>
      <c r="G292" s="26" t="s">
        <v>2539</v>
      </c>
      <c r="H292" s="22" t="s">
        <v>2541</v>
      </c>
      <c r="I292" s="29" t="str">
        <f>IFERROR(VLOOKUP(F292, 'api-register-id'!B:I, 8, FALSE), "Not found path.")</f>
        <v>1.31.0</v>
      </c>
      <c r="J292" s="3" t="s">
        <v>2376</v>
      </c>
      <c r="K292" s="31" t="s">
        <v>48</v>
      </c>
      <c r="L292" s="23" t="s">
        <v>49</v>
      </c>
      <c r="M292" s="3" t="s">
        <v>597</v>
      </c>
      <c r="N292" s="3" t="str">
        <f t="shared" si="1"/>
        <v>POST /system/cards/creditCard/v1/creditCardFacility/register</v>
      </c>
      <c r="O292" s="32" t="s">
        <v>599</v>
      </c>
      <c r="P292" s="32"/>
      <c r="Q292" s="61" t="s">
        <v>2553</v>
      </c>
      <c r="R292" s="31" t="s">
        <v>56</v>
      </c>
      <c r="S292" s="38" t="str">
        <f t="shared" si="2"/>
        <v>https://github.com/SF-Bancoppel/mx-api-bc-pro-credit-card</v>
      </c>
      <c r="T292" s="40"/>
      <c r="U292" s="22"/>
      <c r="V292" s="40"/>
      <c r="W292" s="40"/>
      <c r="X292" s="40"/>
      <c r="Y292" s="40"/>
      <c r="Z292" s="22"/>
      <c r="AA292" s="22"/>
      <c r="AB292" s="22"/>
    </row>
    <row r="293" ht="18.75" customHeight="1">
      <c r="A293" s="18" t="str">
        <f t="array" ref="A293">IFERROR(
  INDEX(
    'api-register-id'!A:A,
    MATCH(F293, 'api-register-id'!B:B, 0)
  ),
  "Not found Organization"
)</f>
        <v>SSFF</v>
      </c>
      <c r="B293" s="22" t="str">
        <f>IFERROR(VLOOKUP(F293, 'api-register-id'!B:F, 4, FALSE), "Not found path.")</f>
        <v>mx-api-bc-pro-credit-card</v>
      </c>
      <c r="C293" s="23" t="s">
        <v>41</v>
      </c>
      <c r="D293" s="23" t="s">
        <v>811</v>
      </c>
      <c r="E293" s="24" t="str">
        <f>IFERROR(VLOOKUP(F293, 'api-register-id'!B:F, 5, FALSE), "Not found path.")</f>
        <v>APIMX000068</v>
      </c>
      <c r="F293" s="25" t="s">
        <v>913</v>
      </c>
      <c r="G293" s="26" t="s">
        <v>2575</v>
      </c>
      <c r="H293" s="22" t="s">
        <v>2576</v>
      </c>
      <c r="I293" s="29" t="str">
        <f>IFERROR(VLOOKUP(F293, 'api-register-id'!B:I, 8, FALSE), "Not found path.")</f>
        <v>1.31.0</v>
      </c>
      <c r="J293" s="3" t="s">
        <v>2376</v>
      </c>
      <c r="K293" s="31" t="s">
        <v>48</v>
      </c>
      <c r="L293" s="23" t="s">
        <v>49</v>
      </c>
      <c r="M293" s="3" t="s">
        <v>604</v>
      </c>
      <c r="N293" s="3" t="str">
        <f t="shared" si="1"/>
        <v>POST /system/cards/creditCard/v1/creditCardFacility/retrieve</v>
      </c>
      <c r="O293" s="32" t="s">
        <v>2586</v>
      </c>
      <c r="P293" s="32"/>
      <c r="Q293" s="61" t="s">
        <v>2587</v>
      </c>
      <c r="R293" s="31" t="s">
        <v>56</v>
      </c>
      <c r="S293" s="38" t="str">
        <f t="shared" si="2"/>
        <v>https://github.com/SF-Bancoppel/mx-api-bc-pro-credit-card</v>
      </c>
      <c r="T293" s="40"/>
      <c r="U293" s="22"/>
      <c r="V293" s="40"/>
      <c r="W293" s="40"/>
      <c r="X293" s="40"/>
      <c r="Y293" s="40"/>
      <c r="Z293" s="22"/>
      <c r="AA293" s="22"/>
      <c r="AB293" s="22"/>
    </row>
    <row r="294" ht="18.75" customHeight="1">
      <c r="A294" s="18" t="str">
        <f t="array" ref="A294">IFERROR(
  INDEX(
    'api-register-id'!A:A,
    MATCH(F294, 'api-register-id'!B:B, 0)
  ),
  "Not found Organization"
)</f>
        <v>SSFF</v>
      </c>
      <c r="B294" s="22" t="str">
        <f>IFERROR(VLOOKUP(F294, 'api-register-id'!B:F, 4, FALSE), "Not found path.")</f>
        <v>mx-api-bc-pro-credit-card</v>
      </c>
      <c r="C294" s="23" t="s">
        <v>41</v>
      </c>
      <c r="D294" s="23" t="s">
        <v>811</v>
      </c>
      <c r="E294" s="24" t="str">
        <f>IFERROR(VLOOKUP(F294, 'api-register-id'!B:F, 5, FALSE), "Not found path.")</f>
        <v>APIMX000068</v>
      </c>
      <c r="F294" s="25" t="s">
        <v>913</v>
      </c>
      <c r="G294" s="26" t="s">
        <v>2605</v>
      </c>
      <c r="H294" s="22" t="s">
        <v>2606</v>
      </c>
      <c r="I294" s="29" t="str">
        <f>IFERROR(VLOOKUP(F294, 'api-register-id'!B:I, 8, FALSE), "Not found path.")</f>
        <v>1.31.0</v>
      </c>
      <c r="J294" s="3" t="s">
        <v>2376</v>
      </c>
      <c r="K294" s="31" t="s">
        <v>48</v>
      </c>
      <c r="L294" s="23" t="s">
        <v>49</v>
      </c>
      <c r="M294" s="3" t="s">
        <v>612</v>
      </c>
      <c r="N294" s="3" t="str">
        <f t="shared" si="1"/>
        <v>POST /system/cards/creditCard/v1/creditCardBalance/update</v>
      </c>
      <c r="O294" s="32" t="s">
        <v>613</v>
      </c>
      <c r="P294" s="32" t="s">
        <v>614</v>
      </c>
      <c r="Q294" s="61" t="s">
        <v>98</v>
      </c>
      <c r="R294" s="31" t="s">
        <v>56</v>
      </c>
      <c r="S294" s="38" t="str">
        <f t="shared" si="2"/>
        <v>https://github.com/SF-Bancoppel/mx-api-bc-pro-credit-card</v>
      </c>
      <c r="T294" s="40"/>
      <c r="U294" s="22"/>
      <c r="V294" s="40"/>
      <c r="W294" s="40"/>
      <c r="X294" s="40"/>
      <c r="Y294" s="40"/>
      <c r="Z294" s="22"/>
      <c r="AA294" s="22"/>
      <c r="AB294" s="22"/>
    </row>
    <row r="295" ht="18.75" customHeight="1">
      <c r="A295" s="18" t="str">
        <f t="array" ref="A295">IFERROR(
  INDEX(
    'api-register-id'!A:A,
    MATCH(F295, 'api-register-id'!B:B, 0)
  ),
  "Not found Organization"
)</f>
        <v>SSFF</v>
      </c>
      <c r="B295" s="22" t="str">
        <f>IFERROR(VLOOKUP(F295, 'api-register-id'!B:F, 4, FALSE), "Not found path.")</f>
        <v>mx-api-bc-pro-credit-card</v>
      </c>
      <c r="C295" s="23" t="s">
        <v>41</v>
      </c>
      <c r="D295" s="23" t="s">
        <v>811</v>
      </c>
      <c r="E295" s="24" t="str">
        <f>IFERROR(VLOOKUP(F295, 'api-register-id'!B:F, 5, FALSE), "Not found path.")</f>
        <v>APIMX000068</v>
      </c>
      <c r="F295" s="25" t="s">
        <v>913</v>
      </c>
      <c r="G295" s="26" t="s">
        <v>2608</v>
      </c>
      <c r="H295" s="22" t="s">
        <v>2609</v>
      </c>
      <c r="I295" s="29" t="str">
        <f>IFERROR(VLOOKUP(F295, 'api-register-id'!B:I, 8, FALSE), "Not found path.")</f>
        <v>1.31.0</v>
      </c>
      <c r="J295" s="3" t="s">
        <v>2376</v>
      </c>
      <c r="K295" s="31" t="s">
        <v>48</v>
      </c>
      <c r="L295" s="23" t="s">
        <v>49</v>
      </c>
      <c r="M295" s="3" t="s">
        <v>621</v>
      </c>
      <c r="N295" s="3" t="str">
        <f t="shared" si="1"/>
        <v>POST /system/cards/creditCard/v1/creditCardBalance/retrieve</v>
      </c>
      <c r="O295" s="32" t="s">
        <v>2612</v>
      </c>
      <c r="P295" s="32"/>
      <c r="Q295" s="61" t="s">
        <v>2613</v>
      </c>
      <c r="R295" s="31" t="s">
        <v>56</v>
      </c>
      <c r="S295" s="38" t="str">
        <f t="shared" si="2"/>
        <v>https://github.com/SF-Bancoppel/mx-api-bc-pro-credit-card</v>
      </c>
      <c r="T295" s="40"/>
      <c r="U295" s="22"/>
      <c r="V295" s="40"/>
      <c r="W295" s="40"/>
      <c r="X295" s="40"/>
      <c r="Y295" s="40"/>
      <c r="Z295" s="22"/>
      <c r="AA295" s="22"/>
      <c r="AB295" s="22"/>
    </row>
    <row r="296" ht="18.75" customHeight="1">
      <c r="A296" s="18" t="str">
        <f t="array" ref="A296">IFERROR(
  INDEX(
    'api-register-id'!A:A,
    MATCH(F296, 'api-register-id'!B:B, 0)
  ),
  "Not found Organization"
)</f>
        <v>SSFF</v>
      </c>
      <c r="B296" s="22" t="str">
        <f>IFERROR(VLOOKUP(F296, 'api-register-id'!B:F, 4, FALSE), "Not found path.")</f>
        <v>mx-api-bc-pro-credit-card</v>
      </c>
      <c r="C296" s="23" t="s">
        <v>41</v>
      </c>
      <c r="D296" s="23" t="s">
        <v>811</v>
      </c>
      <c r="E296" s="24" t="str">
        <f>IFERROR(VLOOKUP(F296, 'api-register-id'!B:F, 5, FALSE), "Not found path.")</f>
        <v>APIMX000068</v>
      </c>
      <c r="F296" s="25" t="s">
        <v>913</v>
      </c>
      <c r="G296" s="26" t="s">
        <v>2614</v>
      </c>
      <c r="H296" s="22" t="s">
        <v>2615</v>
      </c>
      <c r="I296" s="29" t="str">
        <f>IFERROR(VLOOKUP(F296, 'api-register-id'!B:I, 8, FALSE), "Not found path.")</f>
        <v>1.31.0</v>
      </c>
      <c r="J296" s="3" t="s">
        <v>2376</v>
      </c>
      <c r="K296" s="31" t="s">
        <v>48</v>
      </c>
      <c r="L296" s="23" t="s">
        <v>108</v>
      </c>
      <c r="M296" s="3" t="s">
        <v>630</v>
      </c>
      <c r="N296" s="3" t="str">
        <f t="shared" si="1"/>
        <v>GET /system/cards/creditCard/v1/interest/{companyReference}/{applicationReferenceId}/retrieve</v>
      </c>
      <c r="O296" s="32" t="s">
        <v>631</v>
      </c>
      <c r="P296" s="32"/>
      <c r="Q296" s="61" t="s">
        <v>98</v>
      </c>
      <c r="R296" s="31" t="s">
        <v>56</v>
      </c>
      <c r="S296" s="38" t="str">
        <f t="shared" si="2"/>
        <v>https://github.com/SF-Bancoppel/mx-api-bc-pro-credit-card</v>
      </c>
      <c r="T296" s="40"/>
      <c r="U296" s="22"/>
      <c r="V296" s="40"/>
      <c r="W296" s="40"/>
      <c r="X296" s="40"/>
      <c r="Y296" s="40"/>
      <c r="Z296" s="22"/>
      <c r="AA296" s="22"/>
      <c r="AB296" s="22"/>
    </row>
    <row r="297" ht="18.75" customHeight="1">
      <c r="A297" s="18" t="str">
        <f t="array" ref="A297">IFERROR(
  INDEX(
    'api-register-id'!A:A,
    MATCH(F297, 'api-register-id'!B:B, 0)
  ),
  "Not found Organization"
)</f>
        <v>SSFF</v>
      </c>
      <c r="B297" s="22" t="str">
        <f>IFERROR(VLOOKUP(F297, 'api-register-id'!B:F, 4, FALSE), "Not found path.")</f>
        <v>mx-api-bc-pro-credit-card</v>
      </c>
      <c r="C297" s="23" t="s">
        <v>41</v>
      </c>
      <c r="D297" s="23" t="s">
        <v>811</v>
      </c>
      <c r="E297" s="24" t="str">
        <f>IFERROR(VLOOKUP(F297, 'api-register-id'!B:F, 5, FALSE), "Not found path.")</f>
        <v>APIMX000068</v>
      </c>
      <c r="F297" s="25" t="s">
        <v>913</v>
      </c>
      <c r="G297" s="26" t="s">
        <v>2620</v>
      </c>
      <c r="H297" s="22" t="s">
        <v>2621</v>
      </c>
      <c r="I297" s="29" t="str">
        <f>IFERROR(VLOOKUP(F297, 'api-register-id'!B:I, 8, FALSE), "Not found path.")</f>
        <v>1.31.0</v>
      </c>
      <c r="J297" s="3" t="s">
        <v>2376</v>
      </c>
      <c r="K297" s="31" t="s">
        <v>48</v>
      </c>
      <c r="L297" s="23" t="s">
        <v>49</v>
      </c>
      <c r="M297" s="3" t="s">
        <v>635</v>
      </c>
      <c r="N297" s="3" t="str">
        <f t="shared" si="1"/>
        <v>POST /system/cards/creditCard/v1/interest/update</v>
      </c>
      <c r="O297" s="32" t="s">
        <v>636</v>
      </c>
      <c r="P297" s="32" t="s">
        <v>614</v>
      </c>
      <c r="Q297" s="61" t="s">
        <v>98</v>
      </c>
      <c r="R297" s="31" t="s">
        <v>56</v>
      </c>
      <c r="S297" s="38" t="str">
        <f t="shared" si="2"/>
        <v>https://github.com/SF-Bancoppel/mx-api-bc-pro-credit-card</v>
      </c>
      <c r="T297" s="40"/>
      <c r="U297" s="22"/>
      <c r="V297" s="40"/>
      <c r="W297" s="40"/>
      <c r="X297" s="40"/>
      <c r="Y297" s="40"/>
      <c r="Z297" s="22"/>
      <c r="AA297" s="22"/>
      <c r="AB297" s="22"/>
    </row>
    <row r="298" ht="18.75" customHeight="1">
      <c r="A298" s="18" t="str">
        <f t="array" ref="A298">IFERROR(
  INDEX(
    'api-register-id'!A:A,
    MATCH(F298, 'api-register-id'!B:B, 0)
  ),
  "Not found Organization"
)</f>
        <v>SSFF</v>
      </c>
      <c r="B298" s="22" t="str">
        <f>IFERROR(VLOOKUP(F298, 'api-register-id'!B:F, 4, FALSE), "Not found path.")</f>
        <v>mx-api-bc-pro-credit-card</v>
      </c>
      <c r="C298" s="23" t="s">
        <v>41</v>
      </c>
      <c r="D298" s="23" t="s">
        <v>811</v>
      </c>
      <c r="E298" s="24" t="str">
        <f>IFERROR(VLOOKUP(F298, 'api-register-id'!B:F, 5, FALSE), "Not found path.")</f>
        <v>APIMX000068</v>
      </c>
      <c r="F298" s="25" t="s">
        <v>913</v>
      </c>
      <c r="G298" s="26" t="s">
        <v>2624</v>
      </c>
      <c r="H298" s="22" t="s">
        <v>2625</v>
      </c>
      <c r="I298" s="29" t="str">
        <f>IFERROR(VLOOKUP(F298, 'api-register-id'!B:I, 8, FALSE), "Not found path.")</f>
        <v>1.31.0</v>
      </c>
      <c r="J298" s="3" t="s">
        <v>2376</v>
      </c>
      <c r="K298" s="31" t="s">
        <v>48</v>
      </c>
      <c r="L298" s="23" t="s">
        <v>49</v>
      </c>
      <c r="M298" s="3" t="s">
        <v>644</v>
      </c>
      <c r="N298" s="3" t="str">
        <f t="shared" si="1"/>
        <v>POST /system/cards/creditCard/v1/cardPaymentAgreement/retrieve</v>
      </c>
      <c r="O298" s="32" t="s">
        <v>645</v>
      </c>
      <c r="P298" s="32"/>
      <c r="Q298" s="61" t="s">
        <v>2628</v>
      </c>
      <c r="R298" s="31" t="s">
        <v>56</v>
      </c>
      <c r="S298" s="38" t="str">
        <f t="shared" si="2"/>
        <v>https://github.com/SF-Bancoppel/mx-api-bc-pro-credit-card</v>
      </c>
      <c r="T298" s="40"/>
      <c r="U298" s="22"/>
      <c r="V298" s="40"/>
      <c r="W298" s="40"/>
      <c r="X298" s="40"/>
      <c r="Y298" s="40"/>
      <c r="Z298" s="22"/>
      <c r="AA298" s="22"/>
      <c r="AB298" s="22"/>
    </row>
    <row r="299" ht="18.75" customHeight="1">
      <c r="A299" s="18" t="str">
        <f t="array" ref="A299">IFERROR(
  INDEX(
    'api-register-id'!A:A,
    MATCH(F299, 'api-register-id'!B:B, 0)
  ),
  "Not found Organization"
)</f>
        <v>SSFF</v>
      </c>
      <c r="B299" s="22" t="str">
        <f>IFERROR(VLOOKUP(F299, 'api-register-id'!B:F, 4, FALSE), "Not found path.")</f>
        <v>mx-api-bc-pro-credit-card</v>
      </c>
      <c r="C299" s="23" t="s">
        <v>41</v>
      </c>
      <c r="D299" s="23" t="s">
        <v>811</v>
      </c>
      <c r="E299" s="24" t="str">
        <f>IFERROR(VLOOKUP(F299, 'api-register-id'!B:F, 5, FALSE), "Not found path.")</f>
        <v>APIMX000068</v>
      </c>
      <c r="F299" s="25" t="s">
        <v>913</v>
      </c>
      <c r="G299" s="26" t="s">
        <v>2629</v>
      </c>
      <c r="H299" s="22" t="s">
        <v>2631</v>
      </c>
      <c r="I299" s="29" t="str">
        <f>IFERROR(VLOOKUP(F299, 'api-register-id'!B:I, 8, FALSE), "Not found path.")</f>
        <v>1.31.0</v>
      </c>
      <c r="J299" s="3" t="s">
        <v>2376</v>
      </c>
      <c r="K299" s="31" t="s">
        <v>48</v>
      </c>
      <c r="L299" s="23" t="s">
        <v>49</v>
      </c>
      <c r="M299" s="3" t="s">
        <v>650</v>
      </c>
      <c r="N299" s="3" t="str">
        <f t="shared" si="1"/>
        <v>POST /system/cards/creditCard/v1/paymentCard/retrieve</v>
      </c>
      <c r="O299" s="32" t="s">
        <v>651</v>
      </c>
      <c r="P299" s="32" t="s">
        <v>652</v>
      </c>
      <c r="Q299" s="61" t="s">
        <v>98</v>
      </c>
      <c r="R299" s="31" t="s">
        <v>56</v>
      </c>
      <c r="S299" s="38" t="str">
        <f t="shared" si="2"/>
        <v>https://github.com/SF-Bancoppel/mx-api-bc-pro-credit-card</v>
      </c>
      <c r="T299" s="40"/>
      <c r="U299" s="22"/>
      <c r="V299" s="40"/>
      <c r="W299" s="40"/>
      <c r="X299" s="40"/>
      <c r="Y299" s="40"/>
      <c r="Z299" s="22"/>
      <c r="AA299" s="22"/>
      <c r="AB299" s="22"/>
    </row>
    <row r="300" ht="18.75" customHeight="1">
      <c r="A300" s="18" t="str">
        <f t="array" ref="A300">IFERROR(
  INDEX(
    'api-register-id'!A:A,
    MATCH(F300, 'api-register-id'!B:B, 0)
  ),
  "Not found Organization"
)</f>
        <v>SSFF</v>
      </c>
      <c r="B300" s="22" t="str">
        <f>IFERROR(VLOOKUP(F300, 'api-register-id'!B:F, 4, FALSE), "Not found path.")</f>
        <v>mx-api-bc-pro-credit-card</v>
      </c>
      <c r="C300" s="23" t="s">
        <v>41</v>
      </c>
      <c r="D300" s="23" t="s">
        <v>811</v>
      </c>
      <c r="E300" s="24" t="str">
        <f>IFERROR(VLOOKUP(F300, 'api-register-id'!B:F, 5, FALSE), "Not found path.")</f>
        <v>APIMX000068</v>
      </c>
      <c r="F300" s="25" t="s">
        <v>913</v>
      </c>
      <c r="G300" s="26" t="s">
        <v>2634</v>
      </c>
      <c r="H300" s="22" t="s">
        <v>2635</v>
      </c>
      <c r="I300" s="29" t="str">
        <f>IFERROR(VLOOKUP(F300, 'api-register-id'!B:I, 8, FALSE), "Not found path.")</f>
        <v>1.31.0</v>
      </c>
      <c r="J300" s="3" t="s">
        <v>2376</v>
      </c>
      <c r="K300" s="31" t="s">
        <v>48</v>
      </c>
      <c r="L300" s="23" t="s">
        <v>49</v>
      </c>
      <c r="M300" s="3" t="s">
        <v>680</v>
      </c>
      <c r="N300" s="3" t="str">
        <f t="shared" si="1"/>
        <v>POST /system/cards/creditCard/v1/creditCardApplication/evaluate</v>
      </c>
      <c r="O300" s="32" t="s">
        <v>2637</v>
      </c>
      <c r="P300" s="32"/>
      <c r="Q300" s="61" t="s">
        <v>98</v>
      </c>
      <c r="R300" s="31" t="s">
        <v>56</v>
      </c>
      <c r="S300" s="38" t="str">
        <f t="shared" si="2"/>
        <v>https://github.com/SF-Bancoppel/mx-api-bc-pro-credit-card</v>
      </c>
      <c r="T300" s="40"/>
      <c r="U300" s="22"/>
      <c r="V300" s="40"/>
      <c r="W300" s="40"/>
      <c r="X300" s="40"/>
      <c r="Y300" s="40"/>
      <c r="Z300" s="22"/>
      <c r="AA300" s="22"/>
      <c r="AB300" s="22"/>
    </row>
    <row r="301" ht="18.75" customHeight="1">
      <c r="A301" s="18" t="str">
        <f t="array" ref="A301">IFERROR(
  INDEX(
    'api-register-id'!A:A,
    MATCH(F301, 'api-register-id'!B:B, 0)
  ),
  "Not found Organization"
)</f>
        <v>SSFF</v>
      </c>
      <c r="B301" s="22" t="str">
        <f>IFERROR(VLOOKUP(F301, 'api-register-id'!B:F, 4, FALSE), "Not found path.")</f>
        <v>mx-api-bc-pro-credit-card</v>
      </c>
      <c r="C301" s="23" t="s">
        <v>41</v>
      </c>
      <c r="D301" s="23" t="s">
        <v>811</v>
      </c>
      <c r="E301" s="24" t="str">
        <f>IFERROR(VLOOKUP(F301, 'api-register-id'!B:F, 5, FALSE), "Not found path.")</f>
        <v>APIMX000068</v>
      </c>
      <c r="F301" s="25" t="s">
        <v>913</v>
      </c>
      <c r="G301" s="26" t="s">
        <v>2641</v>
      </c>
      <c r="H301" s="22" t="s">
        <v>2642</v>
      </c>
      <c r="I301" s="29" t="str">
        <f>IFERROR(VLOOKUP(F301, 'api-register-id'!B:I, 8, FALSE), "Not found path.")</f>
        <v>1.31.0</v>
      </c>
      <c r="J301" s="3" t="s">
        <v>2376</v>
      </c>
      <c r="K301" s="31" t="s">
        <v>48</v>
      </c>
      <c r="L301" s="23" t="s">
        <v>61</v>
      </c>
      <c r="M301" s="3" t="s">
        <v>670</v>
      </c>
      <c r="N301" s="3" t="str">
        <f t="shared" si="1"/>
        <v>PUT /system/cards/creditCard/v1/paymentCard/control</v>
      </c>
      <c r="O301" s="32" t="s">
        <v>2643</v>
      </c>
      <c r="P301" s="32"/>
      <c r="Q301" s="61" t="s">
        <v>98</v>
      </c>
      <c r="R301" s="31" t="s">
        <v>56</v>
      </c>
      <c r="S301" s="38" t="str">
        <f t="shared" si="2"/>
        <v>https://github.com/SF-Bancoppel/mx-api-bc-pro-credit-card</v>
      </c>
      <c r="T301" s="40"/>
      <c r="U301" s="22"/>
      <c r="V301" s="40"/>
      <c r="W301" s="40"/>
      <c r="X301" s="40"/>
      <c r="Y301" s="40"/>
      <c r="Z301" s="22"/>
      <c r="AA301" s="22"/>
      <c r="AB301" s="22"/>
    </row>
    <row r="302" ht="18.75" customHeight="1">
      <c r="A302" s="18" t="str">
        <f t="array" ref="A302">IFERROR(
  INDEX(
    'api-register-id'!A:A,
    MATCH(F302, 'api-register-id'!B:B, 0)
  ),
  "Not found Organization"
)</f>
        <v>SSFF</v>
      </c>
      <c r="B302" s="22" t="str">
        <f>IFERROR(VLOOKUP(F302, 'api-register-id'!B:F, 4, FALSE), "Not found path.")</f>
        <v>mx-api-bc-pro-credit-card</v>
      </c>
      <c r="C302" s="23" t="s">
        <v>41</v>
      </c>
      <c r="D302" s="23" t="s">
        <v>811</v>
      </c>
      <c r="E302" s="24" t="str">
        <f>IFERROR(VLOOKUP(F302, 'api-register-id'!B:F, 5, FALSE), "Not found path.")</f>
        <v>APIMX000068</v>
      </c>
      <c r="F302" s="25" t="s">
        <v>913</v>
      </c>
      <c r="G302" s="26" t="s">
        <v>2647</v>
      </c>
      <c r="H302" s="22" t="s">
        <v>2648</v>
      </c>
      <c r="I302" s="29" t="str">
        <f>IFERROR(VLOOKUP(F302, 'api-register-id'!B:I, 8, FALSE), "Not found path.")</f>
        <v>1.31.0</v>
      </c>
      <c r="J302" s="3" t="s">
        <v>2376</v>
      </c>
      <c r="K302" s="31" t="s">
        <v>48</v>
      </c>
      <c r="L302" s="23" t="s">
        <v>49</v>
      </c>
      <c r="M302" s="3" t="s">
        <v>677</v>
      </c>
      <c r="N302" s="3" t="str">
        <f t="shared" si="1"/>
        <v>POST /system/cards/creditCard/v1/paymentCard/register</v>
      </c>
      <c r="O302" s="32" t="s">
        <v>651</v>
      </c>
      <c r="P302" s="32"/>
      <c r="Q302" s="61" t="s">
        <v>98</v>
      </c>
      <c r="R302" s="31" t="s">
        <v>56</v>
      </c>
      <c r="S302" s="38" t="str">
        <f t="shared" si="2"/>
        <v>https://github.com/SF-Bancoppel/mx-api-bc-pro-credit-card</v>
      </c>
      <c r="T302" s="40"/>
      <c r="U302" s="22"/>
      <c r="V302" s="40"/>
      <c r="W302" s="40"/>
      <c r="X302" s="40"/>
      <c r="Y302" s="40"/>
      <c r="Z302" s="22"/>
      <c r="AA302" s="22"/>
      <c r="AB302" s="22"/>
    </row>
    <row r="303" ht="18.75" customHeight="1">
      <c r="A303" s="18" t="str">
        <f t="array" ref="A303">IFERROR(
  INDEX(
    'api-register-id'!A:A,
    MATCH(F303, 'api-register-id'!B:B, 0)
  ),
  "Not found Organization"
)</f>
        <v>SSFF</v>
      </c>
      <c r="B303" s="22" t="str">
        <f>IFERROR(VLOOKUP(F303, 'api-register-id'!B:F, 4, FALSE), "Not found path.")</f>
        <v>mx-api-bc-pro-credit-card</v>
      </c>
      <c r="C303" s="23" t="s">
        <v>41</v>
      </c>
      <c r="D303" s="23" t="s">
        <v>811</v>
      </c>
      <c r="E303" s="24" t="str">
        <f>IFERROR(VLOOKUP(F303, 'api-register-id'!B:F, 5, FALSE), "Not found path.")</f>
        <v>APIMX000068</v>
      </c>
      <c r="F303" s="25" t="s">
        <v>913</v>
      </c>
      <c r="G303" s="26" t="s">
        <v>2651</v>
      </c>
      <c r="H303" s="22" t="s">
        <v>2653</v>
      </c>
      <c r="I303" s="29" t="str">
        <f>IFERROR(VLOOKUP(F303, 'api-register-id'!B:I, 8, FALSE), "Not found path.")</f>
        <v>1.31.0</v>
      </c>
      <c r="J303" s="3" t="s">
        <v>2376</v>
      </c>
      <c r="K303" s="31" t="s">
        <v>48</v>
      </c>
      <c r="L303" s="23" t="s">
        <v>49</v>
      </c>
      <c r="M303" s="3" t="s">
        <v>660</v>
      </c>
      <c r="N303" s="3" t="str">
        <f t="shared" si="1"/>
        <v>POST /system/cards/creditCard/v1/creditCardActivationLog/register</v>
      </c>
      <c r="O303" s="32" t="s">
        <v>651</v>
      </c>
      <c r="P303" s="32"/>
      <c r="Q303" s="61" t="s">
        <v>98</v>
      </c>
      <c r="R303" s="31" t="s">
        <v>56</v>
      </c>
      <c r="S303" s="38" t="str">
        <f t="shared" si="2"/>
        <v>https://github.com/SF-Bancoppel/mx-api-bc-pro-credit-card</v>
      </c>
      <c r="T303" s="40"/>
      <c r="U303" s="22"/>
      <c r="V303" s="40"/>
      <c r="W303" s="40"/>
      <c r="X303" s="40"/>
      <c r="Y303" s="40"/>
      <c r="Z303" s="22"/>
      <c r="AA303" s="22"/>
      <c r="AB303" s="22"/>
    </row>
    <row r="304" ht="18.75" customHeight="1">
      <c r="A304" s="18" t="str">
        <f t="array" ref="A304">IFERROR(
  INDEX(
    'api-register-id'!A:A,
    MATCH(F304, 'api-register-id'!B:B, 0)
  ),
  "Not found Organization"
)</f>
        <v>SSFF</v>
      </c>
      <c r="B304" s="22" t="str">
        <f>IFERROR(VLOOKUP(F304, 'api-register-id'!B:F, 4, FALSE), "Not found path.")</f>
        <v>mx-api-bc-pro-credit-card</v>
      </c>
      <c r="C304" s="23" t="s">
        <v>41</v>
      </c>
      <c r="D304" s="23" t="s">
        <v>811</v>
      </c>
      <c r="E304" s="24" t="str">
        <f>IFERROR(VLOOKUP(F304, 'api-register-id'!B:F, 5, FALSE), "Not found path.")</f>
        <v>APIMX000068</v>
      </c>
      <c r="F304" s="25" t="s">
        <v>913</v>
      </c>
      <c r="G304" s="26" t="s">
        <v>2655</v>
      </c>
      <c r="H304" s="22" t="s">
        <v>2656</v>
      </c>
      <c r="I304" s="29" t="str">
        <f>IFERROR(VLOOKUP(F304, 'api-register-id'!B:I, 8, FALSE), "Not found path.")</f>
        <v>1.31.0</v>
      </c>
      <c r="J304" s="3" t="s">
        <v>2376</v>
      </c>
      <c r="K304" s="31" t="s">
        <v>48</v>
      </c>
      <c r="L304" s="23" t="s">
        <v>428</v>
      </c>
      <c r="M304" s="3" t="s">
        <v>665</v>
      </c>
      <c r="N304" s="3" t="str">
        <f t="shared" si="1"/>
        <v>PATCH /system/cards/creditCard/v1/creditCardActivationLog/update</v>
      </c>
      <c r="O304" s="32" t="s">
        <v>651</v>
      </c>
      <c r="P304" s="32"/>
      <c r="Q304" s="61" t="s">
        <v>98</v>
      </c>
      <c r="R304" s="31" t="s">
        <v>56</v>
      </c>
      <c r="S304" s="38" t="str">
        <f t="shared" si="2"/>
        <v>https://github.com/SF-Bancoppel/mx-api-bc-pro-credit-card</v>
      </c>
      <c r="T304" s="40"/>
      <c r="U304" s="22"/>
      <c r="V304" s="40"/>
      <c r="W304" s="40"/>
      <c r="X304" s="40"/>
      <c r="Y304" s="40"/>
      <c r="Z304" s="22"/>
      <c r="AA304" s="22"/>
      <c r="AB304" s="22"/>
    </row>
    <row r="305" ht="18.75" customHeight="1">
      <c r="A305" s="18" t="str">
        <f t="array" ref="A305">IFERROR(
  INDEX(
    'api-register-id'!A:A,
    MATCH(F305, 'api-register-id'!B:B, 0)
  ),
  "Not found Organization"
)</f>
        <v>SSFF</v>
      </c>
      <c r="B305" s="22" t="str">
        <f>IFERROR(VLOOKUP(F305, 'api-register-id'!B:F, 4, FALSE), "Not found path.")</f>
        <v>mx-api-bc-pro-credit-card</v>
      </c>
      <c r="C305" s="23" t="s">
        <v>41</v>
      </c>
      <c r="D305" s="23" t="s">
        <v>811</v>
      </c>
      <c r="E305" s="24" t="str">
        <f>IFERROR(VLOOKUP(F305, 'api-register-id'!B:F, 5, FALSE), "Not found path.")</f>
        <v>APIMX000068</v>
      </c>
      <c r="F305" s="25" t="s">
        <v>913</v>
      </c>
      <c r="G305" s="26" t="s">
        <v>2661</v>
      </c>
      <c r="H305" s="22" t="s">
        <v>2662</v>
      </c>
      <c r="I305" s="29" t="str">
        <f>IFERROR(VLOOKUP(F305, 'api-register-id'!B:I, 8, FALSE), "Not found path.")</f>
        <v>1.31.0</v>
      </c>
      <c r="J305" s="3" t="s">
        <v>2376</v>
      </c>
      <c r="K305" s="31" t="s">
        <v>48</v>
      </c>
      <c r="L305" s="23" t="s">
        <v>49</v>
      </c>
      <c r="M305" s="3" t="s">
        <v>687</v>
      </c>
      <c r="N305" s="3" t="str">
        <f t="shared" si="1"/>
        <v>POST /system/cards/creditCard/v1/creditCardFacility/evaluate</v>
      </c>
      <c r="O305" s="32" t="s">
        <v>688</v>
      </c>
      <c r="P305" s="32"/>
      <c r="Q305" s="61" t="s">
        <v>2663</v>
      </c>
      <c r="R305" s="31" t="s">
        <v>56</v>
      </c>
      <c r="S305" s="38" t="str">
        <f t="shared" si="2"/>
        <v>https://github.com/SF-Bancoppel/mx-api-bc-pro-credit-card</v>
      </c>
      <c r="T305" s="40"/>
      <c r="U305" s="22"/>
      <c r="V305" s="40"/>
      <c r="W305" s="40"/>
      <c r="X305" s="40"/>
      <c r="Y305" s="40"/>
      <c r="Z305" s="22"/>
      <c r="AA305" s="22"/>
      <c r="AB305" s="22"/>
    </row>
    <row r="306" ht="18.75" customHeight="1">
      <c r="A306" s="18" t="str">
        <f t="array" ref="A306">IFERROR(
  INDEX(
    'api-register-id'!A:A,
    MATCH(F306, 'api-register-id'!B:B, 0)
  ),
  "Not found Organization"
)</f>
        <v>SSFF</v>
      </c>
      <c r="B306" s="22" t="str">
        <f>IFERROR(VLOOKUP(F306, 'api-register-id'!B:F, 4, FALSE), "Not found path.")</f>
        <v>mx-api-bc-pro-credit-card</v>
      </c>
      <c r="C306" s="23" t="s">
        <v>41</v>
      </c>
      <c r="D306" s="23" t="s">
        <v>811</v>
      </c>
      <c r="E306" s="24" t="str">
        <f>IFERROR(VLOOKUP(F306, 'api-register-id'!B:F, 5, FALSE), "Not found path.")</f>
        <v>APIMX000068</v>
      </c>
      <c r="F306" s="25" t="s">
        <v>913</v>
      </c>
      <c r="G306" s="26" t="s">
        <v>2665</v>
      </c>
      <c r="H306" s="22" t="s">
        <v>2667</v>
      </c>
      <c r="I306" s="29" t="str">
        <f>IFERROR(VLOOKUP(F306, 'api-register-id'!B:I, 8, FALSE), "Not found path.")</f>
        <v>1.31.0</v>
      </c>
      <c r="J306" s="3" t="s">
        <v>2376</v>
      </c>
      <c r="K306" s="31" t="s">
        <v>48</v>
      </c>
      <c r="L306" s="23" t="s">
        <v>49</v>
      </c>
      <c r="M306" s="3" t="s">
        <v>693</v>
      </c>
      <c r="N306" s="3" t="str">
        <f t="shared" si="1"/>
        <v>POST /system/cards/creditCard/v1/cardTransaction/retrieve</v>
      </c>
      <c r="O306" s="32" t="s">
        <v>695</v>
      </c>
      <c r="P306" s="32"/>
      <c r="Q306" s="61" t="s">
        <v>2669</v>
      </c>
      <c r="R306" s="31" t="s">
        <v>56</v>
      </c>
      <c r="S306" s="38" t="str">
        <f t="shared" si="2"/>
        <v>https://github.com/SF-Bancoppel/mx-api-bc-pro-credit-card</v>
      </c>
      <c r="T306" s="40"/>
      <c r="U306" s="22"/>
      <c r="V306" s="40"/>
      <c r="W306" s="40"/>
      <c r="X306" s="40"/>
      <c r="Y306" s="40"/>
      <c r="Z306" s="22"/>
      <c r="AA306" s="22"/>
      <c r="AB306" s="22"/>
    </row>
    <row r="307" ht="18.75" customHeight="1">
      <c r="A307" s="18" t="str">
        <f t="array" ref="A307">IFERROR(
  INDEX(
    'api-register-id'!A:A,
    MATCH(F307, 'api-register-id'!B:B, 0)
  ),
  "Not found Organization"
)</f>
        <v>SSFF</v>
      </c>
      <c r="B307" s="22" t="str">
        <f>IFERROR(VLOOKUP(F307, 'api-register-id'!B:F, 4, FALSE), "Not found path.")</f>
        <v>mx-api-bc-pro-credit-card</v>
      </c>
      <c r="C307" s="23" t="s">
        <v>41</v>
      </c>
      <c r="D307" s="23" t="s">
        <v>811</v>
      </c>
      <c r="E307" s="24" t="str">
        <f>IFERROR(VLOOKUP(F307, 'api-register-id'!B:F, 5, FALSE), "Not found path.")</f>
        <v>APIMX000068</v>
      </c>
      <c r="F307" s="25" t="s">
        <v>913</v>
      </c>
      <c r="G307" s="26" t="s">
        <v>2670</v>
      </c>
      <c r="H307" s="22" t="s">
        <v>2671</v>
      </c>
      <c r="I307" s="29" t="str">
        <f>IFERROR(VLOOKUP(F307, 'api-register-id'!B:I, 8, FALSE), "Not found path.")</f>
        <v>1.31.0</v>
      </c>
      <c r="J307" s="3" t="s">
        <v>2376</v>
      </c>
      <c r="K307" s="31" t="s">
        <v>48</v>
      </c>
      <c r="L307" s="23" t="s">
        <v>49</v>
      </c>
      <c r="M307" s="3" t="s">
        <v>209</v>
      </c>
      <c r="N307" s="3" t="str">
        <f t="shared" si="1"/>
        <v>POST /system/cards/creditCard/v1/creditCardHolder/retrieve</v>
      </c>
      <c r="O307" s="32" t="s">
        <v>700</v>
      </c>
      <c r="P307" s="32" t="s">
        <v>652</v>
      </c>
      <c r="Q307" s="61" t="s">
        <v>2672</v>
      </c>
      <c r="R307" s="31" t="s">
        <v>56</v>
      </c>
      <c r="S307" s="38" t="str">
        <f t="shared" si="2"/>
        <v>https://github.com/SF-Bancoppel/mx-api-bc-pro-credit-card</v>
      </c>
      <c r="T307" s="40"/>
      <c r="U307" s="22"/>
      <c r="V307" s="40"/>
      <c r="W307" s="40"/>
      <c r="X307" s="40"/>
      <c r="Y307" s="40"/>
      <c r="Z307" s="22"/>
      <c r="AA307" s="22"/>
      <c r="AB307" s="22"/>
    </row>
    <row r="308" ht="18.75" customHeight="1">
      <c r="A308" s="18" t="str">
        <f t="array" ref="A308">IFERROR(
  INDEX(
    'api-register-id'!A:A,
    MATCH(F308, 'api-register-id'!B:B, 0)
  ),
  "Not found Organization"
)</f>
        <v>SSFF</v>
      </c>
      <c r="B308" s="22" t="str">
        <f>IFERROR(VLOOKUP(F308, 'api-register-id'!B:F, 4, FALSE), "Not found path.")</f>
        <v>mx-api-bc-pro-credit-card</v>
      </c>
      <c r="C308" s="23" t="s">
        <v>41</v>
      </c>
      <c r="D308" s="23" t="s">
        <v>811</v>
      </c>
      <c r="E308" s="24" t="str">
        <f>IFERROR(VLOOKUP(F308, 'api-register-id'!B:F, 5, FALSE), "Not found path.")</f>
        <v>APIMX000068</v>
      </c>
      <c r="F308" s="25" t="s">
        <v>913</v>
      </c>
      <c r="G308" s="26" t="s">
        <v>2676</v>
      </c>
      <c r="H308" s="22" t="s">
        <v>2677</v>
      </c>
      <c r="I308" s="29" t="str">
        <f>IFERROR(VLOOKUP(F308, 'api-register-id'!B:I, 8, FALSE), "Not found path.")</f>
        <v>1.31.0</v>
      </c>
      <c r="J308" s="3" t="s">
        <v>2376</v>
      </c>
      <c r="K308" s="31" t="s">
        <v>48</v>
      </c>
      <c r="L308" s="23" t="s">
        <v>61</v>
      </c>
      <c r="M308" s="3" t="s">
        <v>707</v>
      </c>
      <c r="N308" s="3" t="str">
        <f t="shared" si="1"/>
        <v>PUT /system/cards/creditCard/v1/creditCardFacility/control</v>
      </c>
      <c r="O308" s="32" t="s">
        <v>708</v>
      </c>
      <c r="P308" s="32"/>
      <c r="Q308" s="61" t="s">
        <v>98</v>
      </c>
      <c r="R308" s="31" t="s">
        <v>56</v>
      </c>
      <c r="S308" s="38" t="str">
        <f t="shared" si="2"/>
        <v>https://github.com/SF-Bancoppel/mx-api-bc-pro-credit-card</v>
      </c>
      <c r="T308" s="40"/>
      <c r="U308" s="22"/>
      <c r="V308" s="40"/>
      <c r="W308" s="40"/>
      <c r="X308" s="40"/>
      <c r="Y308" s="40"/>
      <c r="Z308" s="22"/>
      <c r="AA308" s="22"/>
      <c r="AB308" s="22"/>
    </row>
    <row r="309" ht="18.75" customHeight="1">
      <c r="A309" s="18" t="str">
        <f t="array" ref="A309">IFERROR(
  INDEX(
    'api-register-id'!A:A,
    MATCH(F309, 'api-register-id'!B:B, 0)
  ),
  "Not found Organization"
)</f>
        <v>SSFF</v>
      </c>
      <c r="B309" s="22" t="str">
        <f>IFERROR(VLOOKUP(F309, 'api-register-id'!B:F, 4, FALSE), "Not found path.")</f>
        <v>mx-api-bc-pro-credit-card</v>
      </c>
      <c r="C309" s="23" t="s">
        <v>41</v>
      </c>
      <c r="D309" s="23" t="s">
        <v>811</v>
      </c>
      <c r="E309" s="24" t="str">
        <f>IFERROR(VLOOKUP(F309, 'api-register-id'!B:F, 5, FALSE), "Not found path.")</f>
        <v>APIMX000068</v>
      </c>
      <c r="F309" s="25" t="s">
        <v>913</v>
      </c>
      <c r="G309" s="26" t="s">
        <v>2679</v>
      </c>
      <c r="H309" s="22" t="s">
        <v>2680</v>
      </c>
      <c r="I309" s="29" t="str">
        <f>IFERROR(VLOOKUP(F309, 'api-register-id'!B:I, 8, FALSE), "Not found path.")</f>
        <v>1.31.0</v>
      </c>
      <c r="J309" s="3" t="s">
        <v>2376</v>
      </c>
      <c r="K309" s="31" t="s">
        <v>48</v>
      </c>
      <c r="L309" s="23" t="s">
        <v>49</v>
      </c>
      <c r="M309" s="3" t="s">
        <v>714</v>
      </c>
      <c r="N309" s="3" t="str">
        <f t="shared" si="1"/>
        <v>POST /system/cards/creditCard/v1/creditCardPosition/retrieve</v>
      </c>
      <c r="O309" s="32" t="s">
        <v>715</v>
      </c>
      <c r="P309" s="32"/>
      <c r="Q309" s="61" t="s">
        <v>2683</v>
      </c>
      <c r="R309" s="31" t="s">
        <v>56</v>
      </c>
      <c r="S309" s="38" t="str">
        <f t="shared" si="2"/>
        <v>https://github.com/SF-Bancoppel/mx-api-bc-pro-credit-card</v>
      </c>
      <c r="T309" s="40"/>
      <c r="U309" s="22"/>
      <c r="V309" s="40"/>
      <c r="W309" s="40"/>
      <c r="X309" s="40"/>
      <c r="Y309" s="40"/>
      <c r="Z309" s="22"/>
      <c r="AA309" s="22"/>
      <c r="AB309" s="22"/>
    </row>
    <row r="310" ht="18.75" customHeight="1">
      <c r="A310" s="18" t="str">
        <f t="array" ref="A310">IFERROR(
  INDEX(
    'api-register-id'!A:A,
    MATCH(F310, 'api-register-id'!B:B, 0)
  ),
  "Not found Organization"
)</f>
        <v>SSFF</v>
      </c>
      <c r="B310" s="22" t="str">
        <f>IFERROR(VLOOKUP(F310, 'api-register-id'!B:F, 4, FALSE), "Not found path.")</f>
        <v>mx-api-bc-pro-credit-card</v>
      </c>
      <c r="C310" s="23" t="s">
        <v>41</v>
      </c>
      <c r="D310" s="23" t="s">
        <v>811</v>
      </c>
      <c r="E310" s="24" t="str">
        <f>IFERROR(VLOOKUP(F310, 'api-register-id'!B:F, 5, FALSE), "Not found path.")</f>
        <v>APIMX000068</v>
      </c>
      <c r="F310" s="25" t="s">
        <v>913</v>
      </c>
      <c r="G310" s="26" t="s">
        <v>2684</v>
      </c>
      <c r="H310" s="22" t="s">
        <v>2685</v>
      </c>
      <c r="I310" s="29" t="str">
        <f>IFERROR(VLOOKUP(F310, 'api-register-id'!B:I, 8, FALSE), "Not found path.")</f>
        <v>1.31.0</v>
      </c>
      <c r="J310" s="3" t="s">
        <v>2376</v>
      </c>
      <c r="K310" s="31" t="s">
        <v>48</v>
      </c>
      <c r="L310" s="23" t="s">
        <v>49</v>
      </c>
      <c r="M310" s="3" t="s">
        <v>722</v>
      </c>
      <c r="N310" s="3" t="str">
        <f t="shared" si="1"/>
        <v>POST /system/cards/creditCard/v1/paymentCard/evaluate</v>
      </c>
      <c r="O310" s="32" t="s">
        <v>723</v>
      </c>
      <c r="P310" s="32"/>
      <c r="Q310" s="61" t="s">
        <v>98</v>
      </c>
      <c r="R310" s="31" t="s">
        <v>56</v>
      </c>
      <c r="S310" s="38" t="str">
        <f t="shared" si="2"/>
        <v>https://github.com/SF-Bancoppel/mx-api-bc-pro-credit-card</v>
      </c>
      <c r="T310" s="40"/>
      <c r="U310" s="22"/>
      <c r="V310" s="40"/>
      <c r="W310" s="40"/>
      <c r="X310" s="40"/>
      <c r="Y310" s="40"/>
      <c r="Z310" s="22"/>
      <c r="AA310" s="22"/>
      <c r="AB310" s="22"/>
    </row>
    <row r="311" ht="18.75" customHeight="1">
      <c r="A311" s="18" t="str">
        <f t="array" ref="A311">IFERROR(
  INDEX(
    'api-register-id'!A:A,
    MATCH(F311, 'api-register-id'!B:B, 0)
  ),
  "Not found Organization"
)</f>
        <v>SSFF</v>
      </c>
      <c r="B311" s="22" t="str">
        <f>IFERROR(VLOOKUP(F311, 'api-register-id'!B:F, 4, FALSE), "Not found path.")</f>
        <v>mx-api-bc-pro-credit-card</v>
      </c>
      <c r="C311" s="23" t="s">
        <v>41</v>
      </c>
      <c r="D311" s="23" t="s">
        <v>811</v>
      </c>
      <c r="E311" s="24" t="str">
        <f>IFERROR(VLOOKUP(F311, 'api-register-id'!B:F, 5, FALSE), "Not found path.")</f>
        <v>APIMX000068</v>
      </c>
      <c r="F311" s="25" t="s">
        <v>913</v>
      </c>
      <c r="G311" s="26" t="s">
        <v>2689</v>
      </c>
      <c r="H311" s="22" t="s">
        <v>2690</v>
      </c>
      <c r="I311" s="29" t="str">
        <f>IFERROR(VLOOKUP(F311, 'api-register-id'!B:I, 8, FALSE), "Not found path.")</f>
        <v>1.31.0</v>
      </c>
      <c r="J311" s="3" t="s">
        <v>2376</v>
      </c>
      <c r="K311" s="31" t="s">
        <v>48</v>
      </c>
      <c r="L311" s="23" t="s">
        <v>49</v>
      </c>
      <c r="M311" s="3" t="s">
        <v>741</v>
      </c>
      <c r="N311" s="3" t="str">
        <f t="shared" si="1"/>
        <v>POST /system/cards/creditCard/v1/specialCreditCardConditions/retrieve</v>
      </c>
      <c r="O311" s="32" t="s">
        <v>742</v>
      </c>
      <c r="P311" s="32"/>
      <c r="Q311" s="61" t="s">
        <v>98</v>
      </c>
      <c r="R311" s="31" t="s">
        <v>56</v>
      </c>
      <c r="S311" s="38" t="str">
        <f t="shared" si="2"/>
        <v>https://github.com/SF-Bancoppel/mx-api-bc-pro-credit-card</v>
      </c>
      <c r="T311" s="40"/>
      <c r="U311" s="22"/>
      <c r="V311" s="40"/>
      <c r="W311" s="40"/>
      <c r="X311" s="40"/>
      <c r="Y311" s="40"/>
      <c r="Z311" s="22"/>
      <c r="AA311" s="22"/>
      <c r="AB311" s="22"/>
    </row>
    <row r="312" ht="18.75" customHeight="1">
      <c r="A312" s="18" t="str">
        <f t="array" ref="A312">IFERROR(
  INDEX(
    'api-register-id'!A:A,
    MATCH(F312, 'api-register-id'!B:B, 0)
  ),
  "Not found Organization"
)</f>
        <v>SSFF</v>
      </c>
      <c r="B312" s="22" t="str">
        <f>IFERROR(VLOOKUP(F312, 'api-register-id'!B:F, 4, FALSE), "Not found path.")</f>
        <v>mx-api-bc-pro-credit-card</v>
      </c>
      <c r="C312" s="23" t="s">
        <v>41</v>
      </c>
      <c r="D312" s="23" t="s">
        <v>811</v>
      </c>
      <c r="E312" s="24" t="str">
        <f>IFERROR(VLOOKUP(F312, 'api-register-id'!B:F, 5, FALSE), "Not found path.")</f>
        <v>APIMX000068</v>
      </c>
      <c r="F312" s="25" t="s">
        <v>913</v>
      </c>
      <c r="G312" s="26" t="s">
        <v>2694</v>
      </c>
      <c r="H312" s="22" t="s">
        <v>2695</v>
      </c>
      <c r="I312" s="29" t="str">
        <f>IFERROR(VLOOKUP(F312, 'api-register-id'!B:I, 8, FALSE), "Not found path.")</f>
        <v>1.31.0</v>
      </c>
      <c r="J312" s="3" t="s">
        <v>2376</v>
      </c>
      <c r="K312" s="31" t="s">
        <v>48</v>
      </c>
      <c r="L312" s="23" t="s">
        <v>49</v>
      </c>
      <c r="M312" s="3" t="s">
        <v>748</v>
      </c>
      <c r="N312" s="3" t="str">
        <f t="shared" si="1"/>
        <v>POST /system/cards/creditCard/v1/paymentCardType/retrieve</v>
      </c>
      <c r="O312" s="32" t="s">
        <v>749</v>
      </c>
      <c r="P312" s="32"/>
      <c r="Q312" s="61" t="s">
        <v>98</v>
      </c>
      <c r="R312" s="31" t="s">
        <v>56</v>
      </c>
      <c r="S312" s="38" t="str">
        <f t="shared" si="2"/>
        <v>https://github.com/SF-Bancoppel/mx-api-bc-pro-credit-card</v>
      </c>
      <c r="T312" s="40"/>
      <c r="U312" s="22"/>
      <c r="V312" s="40"/>
      <c r="W312" s="40"/>
      <c r="X312" s="40"/>
      <c r="Y312" s="40"/>
      <c r="Z312" s="22"/>
      <c r="AA312" s="22"/>
      <c r="AB312" s="22"/>
    </row>
    <row r="313" ht="18.75" customHeight="1">
      <c r="A313" s="18" t="str">
        <f t="array" ref="A313">IFERROR(
  INDEX(
    'api-register-id'!A:A,
    MATCH(F313, 'api-register-id'!B:B, 0)
  ),
  "Not found Organization"
)</f>
        <v>SSFF</v>
      </c>
      <c r="B313" s="22" t="str">
        <f>IFERROR(VLOOKUP(F313, 'api-register-id'!B:F, 4, FALSE), "Not found path.")</f>
        <v>mx-api-bc-pro-credit-card</v>
      </c>
      <c r="C313" s="23" t="s">
        <v>41</v>
      </c>
      <c r="D313" s="23" t="s">
        <v>811</v>
      </c>
      <c r="E313" s="24" t="str">
        <f>IFERROR(VLOOKUP(F313, 'api-register-id'!B:F, 5, FALSE), "Not found path.")</f>
        <v>APIMX000068</v>
      </c>
      <c r="F313" s="25" t="s">
        <v>913</v>
      </c>
      <c r="G313" s="26" t="s">
        <v>2696</v>
      </c>
      <c r="H313" s="22" t="s">
        <v>2697</v>
      </c>
      <c r="I313" s="29" t="str">
        <f>IFERROR(VLOOKUP(F313, 'api-register-id'!B:I, 8, FALSE), "Not found path.")</f>
        <v>1.31.0</v>
      </c>
      <c r="J313" s="3" t="s">
        <v>2376</v>
      </c>
      <c r="K313" s="31" t="s">
        <v>48</v>
      </c>
      <c r="L313" s="23" t="s">
        <v>428</v>
      </c>
      <c r="M313" s="3" t="s">
        <v>726</v>
      </c>
      <c r="N313" s="3" t="str">
        <f t="shared" si="1"/>
        <v>PATCH /system/cards/creditCard/v1/paymentCard/update</v>
      </c>
      <c r="O313" s="32" t="s">
        <v>728</v>
      </c>
      <c r="P313" s="32" t="s">
        <v>652</v>
      </c>
      <c r="Q313" s="61" t="s">
        <v>2699</v>
      </c>
      <c r="R313" s="31" t="s">
        <v>56</v>
      </c>
      <c r="S313" s="38" t="str">
        <f t="shared" si="2"/>
        <v>https://github.com/SF-Bancoppel/mx-api-bc-pro-credit-card</v>
      </c>
      <c r="T313" s="40"/>
      <c r="U313" s="22"/>
      <c r="V313" s="22"/>
      <c r="W313" s="40"/>
      <c r="X313" s="40"/>
      <c r="Y313" s="40"/>
      <c r="Z313" s="22"/>
      <c r="AA313" s="22"/>
      <c r="AB313" s="22"/>
    </row>
    <row r="314" ht="18.75" customHeight="1">
      <c r="A314" s="18" t="str">
        <f t="array" ref="A314">IFERROR(
  INDEX(
    'api-register-id'!A:A,
    MATCH(F314, 'api-register-id'!B:B, 0)
  ),
  "Not found Organization"
)</f>
        <v>SSFF</v>
      </c>
      <c r="B314" s="22" t="str">
        <f>IFERROR(VLOOKUP(F314, 'api-register-id'!B:F, 4, FALSE), "Not found path.")</f>
        <v>mx-api-bc-pro-credit-card</v>
      </c>
      <c r="C314" s="23" t="s">
        <v>41</v>
      </c>
      <c r="D314" s="23" t="s">
        <v>811</v>
      </c>
      <c r="E314" s="24" t="str">
        <f>IFERROR(VLOOKUP(F314, 'api-register-id'!B:F, 5, FALSE), "Not found path.")</f>
        <v>APIMX000068</v>
      </c>
      <c r="F314" s="25" t="s">
        <v>913</v>
      </c>
      <c r="G314" s="26" t="s">
        <v>2713</v>
      </c>
      <c r="H314" s="22" t="s">
        <v>2715</v>
      </c>
      <c r="I314" s="29" t="str">
        <f>IFERROR(VLOOKUP(F314, 'api-register-id'!B:I, 8, FALSE), "Not found path.")</f>
        <v>1.31.0</v>
      </c>
      <c r="J314" s="3" t="s">
        <v>2376</v>
      </c>
      <c r="K314" s="31" t="s">
        <v>48</v>
      </c>
      <c r="L314" s="23" t="s">
        <v>49</v>
      </c>
      <c r="M314" s="3" t="s">
        <v>734</v>
      </c>
      <c r="N314" s="3" t="str">
        <f t="shared" si="1"/>
        <v>POST /system/cards/creditCard/v1/positionLimit/retrieve</v>
      </c>
      <c r="O314" s="32" t="s">
        <v>735</v>
      </c>
      <c r="P314" s="32"/>
      <c r="Q314" s="61" t="s">
        <v>98</v>
      </c>
      <c r="R314" s="31" t="s">
        <v>56</v>
      </c>
      <c r="S314" s="38" t="str">
        <f t="shared" si="2"/>
        <v>https://github.com/SF-Bancoppel/mx-api-bc-pro-credit-card</v>
      </c>
      <c r="T314" s="40"/>
      <c r="U314" s="22"/>
      <c r="V314" s="40"/>
      <c r="W314" s="40"/>
      <c r="X314" s="40"/>
      <c r="Y314" s="40"/>
      <c r="Z314" s="22"/>
      <c r="AA314" s="22"/>
      <c r="AB314" s="22"/>
    </row>
    <row r="315" ht="18.75" customHeight="1">
      <c r="A315" s="18" t="str">
        <f t="array" ref="A315">IFERROR(
  INDEX(
    'api-register-id'!A:A,
    MATCH(F315, 'api-register-id'!B:B, 0)
  ),
  "Not found Organization"
)</f>
        <v>SSFF</v>
      </c>
      <c r="B315" s="22" t="str">
        <f>IFERROR(VLOOKUP(F315, 'api-register-id'!B:F, 4, FALSE), "Not found path.")</f>
        <v>mx-api-bc-pro-credit-card</v>
      </c>
      <c r="C315" s="23" t="s">
        <v>41</v>
      </c>
      <c r="D315" s="23" t="s">
        <v>811</v>
      </c>
      <c r="E315" s="24" t="str">
        <f>IFERROR(VLOOKUP(F315, 'api-register-id'!B:F, 5, FALSE), "Not found path.")</f>
        <v>APIMX000068</v>
      </c>
      <c r="F315" s="25" t="s">
        <v>913</v>
      </c>
      <c r="G315" s="26" t="s">
        <v>2760</v>
      </c>
      <c r="H315" s="22" t="s">
        <v>2761</v>
      </c>
      <c r="I315" s="29" t="str">
        <f>IFERROR(VLOOKUP(F315, 'api-register-id'!B:I, 8, FALSE), "Not found path.")</f>
        <v>1.31.0</v>
      </c>
      <c r="J315" s="3" t="s">
        <v>2376</v>
      </c>
      <c r="K315" s="31" t="s">
        <v>48</v>
      </c>
      <c r="L315" s="23" t="s">
        <v>428</v>
      </c>
      <c r="M315" s="3" t="s">
        <v>786</v>
      </c>
      <c r="N315" s="3" t="str">
        <f t="shared" si="1"/>
        <v>PATCH /system/cards/creditCard/v1/creditCardFacility/update</v>
      </c>
      <c r="O315" s="32" t="s">
        <v>787</v>
      </c>
      <c r="P315" s="32"/>
      <c r="Q315" s="61" t="s">
        <v>98</v>
      </c>
      <c r="R315" s="31" t="s">
        <v>56</v>
      </c>
      <c r="S315" s="38" t="str">
        <f t="shared" si="2"/>
        <v>https://github.com/SF-Bancoppel/mx-api-bc-pro-credit-card</v>
      </c>
      <c r="T315" s="40"/>
      <c r="U315" s="22"/>
      <c r="V315" s="40"/>
      <c r="W315" s="40"/>
      <c r="X315" s="40"/>
      <c r="Y315" s="40"/>
      <c r="Z315" s="22"/>
      <c r="AA315" s="22"/>
      <c r="AB315" s="22"/>
    </row>
    <row r="316" ht="18.75" customHeight="1">
      <c r="A316" s="18" t="str">
        <f t="array" ref="A316">IFERROR(
  INDEX(
    'api-register-id'!A:A,
    MATCH(F316, 'api-register-id'!B:B, 0)
  ),
  "Not found Organization"
)</f>
        <v>SSFF</v>
      </c>
      <c r="B316" s="22" t="str">
        <f>IFERROR(VLOOKUP(F316, 'api-register-id'!B:F, 4, FALSE), "Not found path.")</f>
        <v>mx-api-bc-pro-credit-card</v>
      </c>
      <c r="C316" s="23" t="s">
        <v>41</v>
      </c>
      <c r="D316" s="23" t="s">
        <v>811</v>
      </c>
      <c r="E316" s="24" t="str">
        <f>IFERROR(VLOOKUP(F316, 'api-register-id'!B:F, 5, FALSE), "Not found path.")</f>
        <v>APIMX000068</v>
      </c>
      <c r="F316" s="25" t="s">
        <v>913</v>
      </c>
      <c r="G316" s="26" t="s">
        <v>2788</v>
      </c>
      <c r="H316" s="22" t="s">
        <v>2790</v>
      </c>
      <c r="I316" s="29" t="str">
        <f>IFERROR(VLOOKUP(F316, 'api-register-id'!B:I, 8, FALSE), "Not found path.")</f>
        <v>1.31.0</v>
      </c>
      <c r="J316" s="3" t="s">
        <v>2376</v>
      </c>
      <c r="K316" s="31" t="s">
        <v>48</v>
      </c>
      <c r="L316" s="23" t="s">
        <v>49</v>
      </c>
      <c r="M316" s="3" t="s">
        <v>752</v>
      </c>
      <c r="N316" s="3" t="str">
        <f t="shared" si="1"/>
        <v>POST /system/cards/creditCard/v1/refund/retrieve</v>
      </c>
      <c r="O316" s="32" t="s">
        <v>753</v>
      </c>
      <c r="P316" s="32"/>
      <c r="Q316" s="61" t="s">
        <v>98</v>
      </c>
      <c r="R316" s="31" t="s">
        <v>56</v>
      </c>
      <c r="S316" s="38" t="str">
        <f t="shared" si="2"/>
        <v>https://github.com/SF-Bancoppel/mx-api-bc-pro-credit-card</v>
      </c>
      <c r="T316" s="40"/>
      <c r="U316" s="22"/>
      <c r="V316" s="40"/>
      <c r="W316" s="40"/>
      <c r="X316" s="40"/>
      <c r="Y316" s="40"/>
      <c r="Z316" s="22"/>
      <c r="AA316" s="22"/>
      <c r="AB316" s="22"/>
    </row>
    <row r="317" ht="18.75" customHeight="1">
      <c r="A317" s="18" t="str">
        <f t="array" ref="A317">IFERROR(
  INDEX(
    'api-register-id'!A:A,
    MATCH(F317, 'api-register-id'!B:B, 0)
  ),
  "Not found Organization"
)</f>
        <v>SSFF</v>
      </c>
      <c r="B317" s="22" t="str">
        <f>IFERROR(VLOOKUP(F317, 'api-register-id'!B:F, 4, FALSE), "Not found path.")</f>
        <v>mx-api-bc-pro-credit-card</v>
      </c>
      <c r="C317" s="23" t="s">
        <v>41</v>
      </c>
      <c r="D317" s="23" t="s">
        <v>811</v>
      </c>
      <c r="E317" s="24" t="str">
        <f>IFERROR(VLOOKUP(F317, 'api-register-id'!B:F, 5, FALSE), "Not found path.")</f>
        <v>APIMX000068</v>
      </c>
      <c r="F317" s="25" t="s">
        <v>913</v>
      </c>
      <c r="G317" s="26" t="s">
        <v>2817</v>
      </c>
      <c r="H317" s="22" t="s">
        <v>2818</v>
      </c>
      <c r="I317" s="29" t="str">
        <f>IFERROR(VLOOKUP(F317, 'api-register-id'!B:I, 8, FALSE), "Not found path.")</f>
        <v>1.31.0</v>
      </c>
      <c r="J317" s="3" t="s">
        <v>2376</v>
      </c>
      <c r="K317" s="31" t="s">
        <v>48</v>
      </c>
      <c r="L317" s="23" t="s">
        <v>61</v>
      </c>
      <c r="M317" s="3" t="s">
        <v>760</v>
      </c>
      <c r="N317" s="3" t="str">
        <f t="shared" si="1"/>
        <v>PUT /system/cards/creditCard/v1/traceAssignment/control</v>
      </c>
      <c r="O317" s="32" t="s">
        <v>761</v>
      </c>
      <c r="P317" s="32"/>
      <c r="Q317" s="61" t="s">
        <v>98</v>
      </c>
      <c r="R317" s="31" t="s">
        <v>56</v>
      </c>
      <c r="S317" s="38" t="str">
        <f t="shared" si="2"/>
        <v>https://github.com/SF-Bancoppel/mx-api-bc-pro-credit-card</v>
      </c>
      <c r="T317" s="40"/>
      <c r="U317" s="22"/>
      <c r="V317" s="40"/>
      <c r="W317" s="40"/>
      <c r="X317" s="40"/>
      <c r="Y317" s="40"/>
      <c r="Z317" s="22"/>
      <c r="AA317" s="22"/>
      <c r="AB317" s="22"/>
    </row>
    <row r="318" ht="18.75" customHeight="1">
      <c r="A318" s="18" t="str">
        <f t="array" ref="A318">IFERROR(
  INDEX(
    'api-register-id'!A:A,
    MATCH(F318, 'api-register-id'!B:B, 0)
  ),
  "Not found Organization"
)</f>
        <v>SSFF</v>
      </c>
      <c r="B318" s="22" t="str">
        <f>IFERROR(VLOOKUP(F318, 'api-register-id'!B:F, 4, FALSE), "Not found path.")</f>
        <v>mx-api-bc-pro-credit-card</v>
      </c>
      <c r="C318" s="23" t="s">
        <v>41</v>
      </c>
      <c r="D318" s="23" t="s">
        <v>811</v>
      </c>
      <c r="E318" s="24" t="str">
        <f>IFERROR(VLOOKUP(F318, 'api-register-id'!B:F, 5, FALSE), "Not found path.")</f>
        <v>APIMX000068</v>
      </c>
      <c r="F318" s="25" t="s">
        <v>913</v>
      </c>
      <c r="G318" s="26" t="s">
        <v>2849</v>
      </c>
      <c r="H318" s="22" t="s">
        <v>2850</v>
      </c>
      <c r="I318" s="29" t="str">
        <f>IFERROR(VLOOKUP(F318, 'api-register-id'!B:I, 8, FALSE), "Not found path.")</f>
        <v>1.31.0</v>
      </c>
      <c r="J318" s="3" t="s">
        <v>2376</v>
      </c>
      <c r="K318" s="31" t="s">
        <v>48</v>
      </c>
      <c r="L318" s="23" t="s">
        <v>49</v>
      </c>
      <c r="M318" s="3" t="s">
        <v>765</v>
      </c>
      <c r="N318" s="3" t="str">
        <f t="shared" si="1"/>
        <v>POST /system/cards/creditCard/v1/paymentCard/initiate</v>
      </c>
      <c r="O318" s="32" t="s">
        <v>767</v>
      </c>
      <c r="P318" s="32"/>
      <c r="Q318" s="61" t="s">
        <v>98</v>
      </c>
      <c r="R318" s="31" t="s">
        <v>56</v>
      </c>
      <c r="S318" s="38" t="str">
        <f t="shared" si="2"/>
        <v>https://github.com/SF-Bancoppel/mx-api-bc-pro-credit-card</v>
      </c>
      <c r="T318" s="40"/>
      <c r="U318" s="22"/>
      <c r="V318" s="40"/>
      <c r="W318" s="40"/>
      <c r="X318" s="40"/>
      <c r="Y318" s="40"/>
      <c r="Z318" s="22"/>
      <c r="AA318" s="22"/>
      <c r="AB318" s="22"/>
    </row>
    <row r="319" ht="18.75" customHeight="1">
      <c r="A319" s="18" t="str">
        <f t="array" ref="A319">IFERROR(
  INDEX(
    'api-register-id'!A:A,
    MATCH(F319, 'api-register-id'!B:B, 0)
  ),
  "Not found Organization"
)</f>
        <v>SSFF</v>
      </c>
      <c r="B319" s="22" t="str">
        <f>IFERROR(VLOOKUP(F319, 'api-register-id'!B:F, 4, FALSE), "Not found path.")</f>
        <v>mx-api-bc-pro-credit-card</v>
      </c>
      <c r="C319" s="23" t="s">
        <v>41</v>
      </c>
      <c r="D319" s="23" t="s">
        <v>811</v>
      </c>
      <c r="E319" s="24" t="str">
        <f>IFERROR(VLOOKUP(F319, 'api-register-id'!B:F, 5, FALSE), "Not found path.")</f>
        <v>APIMX000068</v>
      </c>
      <c r="F319" s="25" t="s">
        <v>913</v>
      </c>
      <c r="G319" s="26" t="s">
        <v>2879</v>
      </c>
      <c r="H319" s="22" t="s">
        <v>2880</v>
      </c>
      <c r="I319" s="29" t="str">
        <f>IFERROR(VLOOKUP(F319, 'api-register-id'!B:I, 8, FALSE), "Not found path.")</f>
        <v>1.31.0</v>
      </c>
      <c r="J319" s="3" t="s">
        <v>2376</v>
      </c>
      <c r="K319" s="31" t="s">
        <v>48</v>
      </c>
      <c r="L319" s="23" t="s">
        <v>49</v>
      </c>
      <c r="M319" s="3" t="s">
        <v>771</v>
      </c>
      <c r="N319" s="3" t="str">
        <f t="shared" si="1"/>
        <v>POST /system/cards/creditCard/v1/fees/retrieve</v>
      </c>
      <c r="O319" s="32" t="s">
        <v>772</v>
      </c>
      <c r="P319" s="32"/>
      <c r="Q319" s="61" t="s">
        <v>98</v>
      </c>
      <c r="R319" s="31" t="s">
        <v>56</v>
      </c>
      <c r="S319" s="38" t="str">
        <f t="shared" si="2"/>
        <v>https://github.com/SF-Bancoppel/mx-api-bc-pro-credit-card</v>
      </c>
      <c r="T319" s="40"/>
      <c r="U319" s="22"/>
      <c r="V319" s="40"/>
      <c r="W319" s="40"/>
      <c r="X319" s="40"/>
      <c r="Y319" s="40"/>
      <c r="Z319" s="22"/>
      <c r="AA319" s="22"/>
      <c r="AB319" s="22"/>
    </row>
    <row r="320" ht="18.75" customHeight="1">
      <c r="A320" s="18" t="str">
        <f t="array" ref="A320">IFERROR(
  INDEX(
    'api-register-id'!A:A,
    MATCH(F320, 'api-register-id'!B:B, 0)
  ),
  "Not found Organization"
)</f>
        <v>SSFF</v>
      </c>
      <c r="B320" s="22" t="str">
        <f>IFERROR(VLOOKUP(F320, 'api-register-id'!B:F, 4, FALSE), "Not found path.")</f>
        <v>mx-api-bc-pro-credit-card</v>
      </c>
      <c r="C320" s="23" t="s">
        <v>41</v>
      </c>
      <c r="D320" s="23" t="s">
        <v>811</v>
      </c>
      <c r="E320" s="24" t="str">
        <f>IFERROR(VLOOKUP(F320, 'api-register-id'!B:F, 5, FALSE), "Not found path.")</f>
        <v>APIMX000068</v>
      </c>
      <c r="F320" s="25" t="s">
        <v>913</v>
      </c>
      <c r="G320" s="26" t="s">
        <v>2903</v>
      </c>
      <c r="H320" s="22" t="s">
        <v>2904</v>
      </c>
      <c r="I320" s="29" t="str">
        <f>IFERROR(VLOOKUP(F320, 'api-register-id'!B:I, 8, FALSE), "Not found path.")</f>
        <v>1.31.0</v>
      </c>
      <c r="J320" s="3" t="s">
        <v>2376</v>
      </c>
      <c r="K320" s="31" t="s">
        <v>48</v>
      </c>
      <c r="L320" s="23" t="s">
        <v>49</v>
      </c>
      <c r="M320" s="3" t="s">
        <v>779</v>
      </c>
      <c r="N320" s="3" t="str">
        <f t="shared" si="1"/>
        <v>POST /system/cards/creditCard/v1/cashAdvanceOffer/retrieve</v>
      </c>
      <c r="O320" s="32" t="s">
        <v>780</v>
      </c>
      <c r="P320" s="32"/>
      <c r="Q320" s="61" t="s">
        <v>98</v>
      </c>
      <c r="R320" s="31" t="s">
        <v>56</v>
      </c>
      <c r="S320" s="38" t="str">
        <f t="shared" si="2"/>
        <v>https://github.com/SF-Bancoppel/mx-api-bc-pro-credit-card</v>
      </c>
      <c r="T320" s="40"/>
      <c r="U320" s="22"/>
      <c r="V320" s="40"/>
      <c r="W320" s="40"/>
      <c r="X320" s="40"/>
      <c r="Y320" s="40"/>
      <c r="Z320" s="22"/>
      <c r="AA320" s="22"/>
      <c r="AB320" s="22"/>
    </row>
    <row r="321" ht="18.75" customHeight="1">
      <c r="A321" s="18" t="str">
        <f t="array" ref="A321">IFERROR(
  INDEX(
    'api-register-id'!A:A,
    MATCH(F321, 'api-register-id'!B:B, 0)
  ),
  "Not found Organization"
)</f>
        <v>SSFF</v>
      </c>
      <c r="B321" s="22" t="str">
        <f>IFERROR(VLOOKUP(F321, 'api-register-id'!B:F, 4, FALSE), "Not found path.")</f>
        <v>mx-api-bc-pro-credit-card</v>
      </c>
      <c r="C321" s="23" t="s">
        <v>41</v>
      </c>
      <c r="D321" s="23" t="s">
        <v>811</v>
      </c>
      <c r="E321" s="24" t="str">
        <f>IFERROR(VLOOKUP(F321, 'api-register-id'!B:F, 5, FALSE), "Not found path.")</f>
        <v>APIMX000068</v>
      </c>
      <c r="F321" s="25" t="s">
        <v>913</v>
      </c>
      <c r="G321" s="26" t="s">
        <v>2932</v>
      </c>
      <c r="H321" s="22" t="s">
        <v>2934</v>
      </c>
      <c r="I321" s="29" t="str">
        <f>IFERROR(VLOOKUP(F321, 'api-register-id'!B:I, 8, FALSE), "Not found path.")</f>
        <v>1.31.0</v>
      </c>
      <c r="J321" s="3" t="s">
        <v>2376</v>
      </c>
      <c r="K321" s="31" t="s">
        <v>48</v>
      </c>
      <c r="L321" s="23" t="s">
        <v>428</v>
      </c>
      <c r="M321" s="3" t="s">
        <v>790</v>
      </c>
      <c r="N321" s="3" t="str">
        <f t="shared" si="1"/>
        <v>PATCH /system/cards/creditCard/v1/cashAdvanceOffer/control</v>
      </c>
      <c r="O321" s="32" t="s">
        <v>791</v>
      </c>
      <c r="P321" s="32"/>
      <c r="Q321" s="61" t="s">
        <v>98</v>
      </c>
      <c r="R321" s="31" t="s">
        <v>56</v>
      </c>
      <c r="S321" s="38" t="str">
        <f t="shared" si="2"/>
        <v>https://github.com/SF-Bancoppel/mx-api-bc-pro-credit-card</v>
      </c>
      <c r="T321" s="40"/>
      <c r="U321" s="22"/>
      <c r="V321" s="40"/>
      <c r="W321" s="40"/>
      <c r="X321" s="40"/>
      <c r="Y321" s="40"/>
      <c r="Z321" s="22"/>
      <c r="AA321" s="22"/>
      <c r="AB321" s="22"/>
    </row>
    <row r="322" ht="18.75" customHeight="1">
      <c r="A322" s="18" t="str">
        <f t="array" ref="A322">IFERROR(
  INDEX(
    'api-register-id'!A:A,
    MATCH(F322, 'api-register-id'!B:B, 0)
  ),
  "Not found Organization"
)</f>
        <v>SSFF</v>
      </c>
      <c r="B322" s="22" t="str">
        <f>IFERROR(VLOOKUP(F322, 'api-register-id'!B:F, 4, FALSE), "Not found path.")</f>
        <v>mx-api-bc-pro-credit-card</v>
      </c>
      <c r="C322" s="23" t="s">
        <v>41</v>
      </c>
      <c r="D322" s="23" t="s">
        <v>811</v>
      </c>
      <c r="E322" s="24" t="str">
        <f>IFERROR(VLOOKUP(F322, 'api-register-id'!B:F, 5, FALSE), "Not found path.")</f>
        <v>APIMX000068</v>
      </c>
      <c r="F322" s="25" t="s">
        <v>913</v>
      </c>
      <c r="G322" s="26" t="s">
        <v>2956</v>
      </c>
      <c r="H322" s="22" t="s">
        <v>2957</v>
      </c>
      <c r="I322" s="29" t="str">
        <f>IFERROR(VLOOKUP(F322, 'api-register-id'!B:I, 8, FALSE), "Not found path.")</f>
        <v>1.31.0</v>
      </c>
      <c r="J322" s="3" t="s">
        <v>2376</v>
      </c>
      <c r="K322" s="31" t="s">
        <v>48</v>
      </c>
      <c r="L322" s="23" t="s">
        <v>428</v>
      </c>
      <c r="M322" s="3" t="s">
        <v>797</v>
      </c>
      <c r="N322" s="3" t="str">
        <f t="shared" si="1"/>
        <v>PATCH /system/cards/creditCard/v1/cashAdvanceBalance/update</v>
      </c>
      <c r="O322" s="32" t="s">
        <v>798</v>
      </c>
      <c r="P322" s="32"/>
      <c r="Q322" s="61" t="s">
        <v>98</v>
      </c>
      <c r="R322" s="31" t="s">
        <v>56</v>
      </c>
      <c r="S322" s="38" t="str">
        <f t="shared" si="2"/>
        <v>https://github.com/SF-Bancoppel/mx-api-bc-pro-credit-card</v>
      </c>
      <c r="T322" s="40"/>
      <c r="U322" s="22"/>
      <c r="V322" s="40"/>
      <c r="W322" s="40"/>
      <c r="X322" s="40"/>
      <c r="Y322" s="40"/>
      <c r="Z322" s="22"/>
      <c r="AA322" s="22"/>
      <c r="AB322" s="22"/>
    </row>
    <row r="323" ht="18.75" customHeight="1">
      <c r="A323" s="18" t="str">
        <f t="array" ref="A323">IFERROR(
  INDEX(
    'api-register-id'!A:A,
    MATCH(F323, 'api-register-id'!B:B, 0)
  ),
  "Not found Organization"
)</f>
        <v>SSFF</v>
      </c>
      <c r="B323" s="22" t="str">
        <f>IFERROR(VLOOKUP(F323, 'api-register-id'!B:F, 4, FALSE), "Not found path.")</f>
        <v>mx-api-bc-pro-credit-card-position-keeping</v>
      </c>
      <c r="C323" s="23" t="s">
        <v>41</v>
      </c>
      <c r="D323" s="23" t="s">
        <v>811</v>
      </c>
      <c r="E323" s="24" t="str">
        <f>IFERROR(VLOOKUP(F323, 'api-register-id'!B:F, 5, FALSE), "Not found path.")</f>
        <v>APIMX000069</v>
      </c>
      <c r="F323" s="25" t="s">
        <v>922</v>
      </c>
      <c r="G323" s="26" t="s">
        <v>2985</v>
      </c>
      <c r="H323" s="22" t="s">
        <v>2986</v>
      </c>
      <c r="I323" s="29" t="str">
        <f>IFERROR(VLOOKUP(F323, 'api-register-id'!B:I, 8, FALSE), "Not found path.")</f>
        <v>1.5.1</v>
      </c>
      <c r="J323" s="3" t="s">
        <v>2727</v>
      </c>
      <c r="K323" s="31" t="s">
        <v>48</v>
      </c>
      <c r="L323" s="23" t="s">
        <v>49</v>
      </c>
      <c r="M323" s="3" t="s">
        <v>803</v>
      </c>
      <c r="N323" s="3" t="str">
        <f t="shared" si="1"/>
        <v>POST /system/cards/creditCardPositionKeeping/v1/cardTransactionEvent/register</v>
      </c>
      <c r="O323" s="32" t="s">
        <v>804</v>
      </c>
      <c r="P323" s="32"/>
      <c r="Q323" s="61" t="s">
        <v>98</v>
      </c>
      <c r="R323" s="31" t="s">
        <v>56</v>
      </c>
      <c r="S323" s="38" t="str">
        <f t="shared" si="2"/>
        <v>https://github.com/SF-Bancoppel/mx-api-bc-pro-credit-card-position-keeping</v>
      </c>
      <c r="T323" s="40"/>
      <c r="U323" s="22"/>
      <c r="V323" s="40"/>
      <c r="W323" s="40"/>
      <c r="X323" s="40"/>
      <c r="Y323" s="40"/>
      <c r="Z323" s="22"/>
      <c r="AA323" s="22"/>
      <c r="AB323" s="22"/>
    </row>
    <row r="324" ht="18.75" customHeight="1">
      <c r="A324" s="18" t="str">
        <f t="array" ref="A324">IFERROR(
  INDEX(
    'api-register-id'!A:A,
    MATCH(F324, 'api-register-id'!B:B, 0)
  ),
  "Not found Organization"
)</f>
        <v>SSFF</v>
      </c>
      <c r="B324" s="22" t="str">
        <f>IFERROR(VLOOKUP(F324, 'api-register-id'!B:F, 4, FALSE), "Not found path.")</f>
        <v>mx-api-bc-pro-credit-card-position-keeping</v>
      </c>
      <c r="C324" s="23" t="s">
        <v>41</v>
      </c>
      <c r="D324" s="23" t="s">
        <v>811</v>
      </c>
      <c r="E324" s="24" t="str">
        <f>IFERROR(VLOOKUP(F324, 'api-register-id'!B:F, 5, FALSE), "Not found path.")</f>
        <v>APIMX000069</v>
      </c>
      <c r="F324" s="25" t="s">
        <v>922</v>
      </c>
      <c r="G324" s="26" t="s">
        <v>3012</v>
      </c>
      <c r="H324" s="22" t="s">
        <v>2680</v>
      </c>
      <c r="I324" s="29" t="str">
        <f>IFERROR(VLOOKUP(F324, 'api-register-id'!B:I, 8, FALSE), "Not found path.")</f>
        <v>1.5.1</v>
      </c>
      <c r="J324" s="3" t="s">
        <v>2727</v>
      </c>
      <c r="K324" s="31" t="s">
        <v>48</v>
      </c>
      <c r="L324" s="23" t="s">
        <v>49</v>
      </c>
      <c r="M324" s="3" t="s">
        <v>714</v>
      </c>
      <c r="N324" s="3" t="str">
        <f t="shared" si="1"/>
        <v>POST /system/cards/creditCardPositionKeeping/v1/creditCardPosition/retrieve</v>
      </c>
      <c r="O324" s="32" t="s">
        <v>808</v>
      </c>
      <c r="P324" s="32"/>
      <c r="Q324" s="61" t="s">
        <v>3020</v>
      </c>
      <c r="R324" s="31" t="s">
        <v>56</v>
      </c>
      <c r="S324" s="38" t="str">
        <f t="shared" si="2"/>
        <v>https://github.com/SF-Bancoppel/mx-api-bc-pro-credit-card-position-keeping</v>
      </c>
      <c r="T324" s="40"/>
      <c r="U324" s="22"/>
      <c r="V324" s="40"/>
      <c r="W324" s="40"/>
      <c r="X324" s="40"/>
      <c r="Y324" s="40"/>
      <c r="Z324" s="22"/>
      <c r="AA324" s="22"/>
      <c r="AB324" s="22"/>
    </row>
    <row r="325" ht="18.75" customHeight="1">
      <c r="A325" s="18" t="str">
        <f t="array" ref="A325">IFERROR(
  INDEX(
    'api-register-id'!A:A,
    MATCH(F325, 'api-register-id'!B:B, 0)
  ),
  "Not found Organization"
)</f>
        <v>SSFF</v>
      </c>
      <c r="B325" s="22" t="str">
        <f>IFERROR(VLOOKUP(F325, 'api-register-id'!B:F, 4, FALSE), "Not found path.")</f>
        <v>mx-api-bc-pro-credit-card-position-keeping</v>
      </c>
      <c r="C325" s="23" t="s">
        <v>41</v>
      </c>
      <c r="D325" s="23" t="s">
        <v>811</v>
      </c>
      <c r="E325" s="24" t="str">
        <f>IFERROR(VLOOKUP(F325, 'api-register-id'!B:F, 5, FALSE), "Not found path.")</f>
        <v>APIMX000069</v>
      </c>
      <c r="F325" s="25" t="s">
        <v>922</v>
      </c>
      <c r="G325" s="26" t="s">
        <v>3040</v>
      </c>
      <c r="H325" s="22" t="s">
        <v>3041</v>
      </c>
      <c r="I325" s="29" t="str">
        <f>IFERROR(VLOOKUP(F325, 'api-register-id'!B:I, 8, FALSE), "Not found path.")</f>
        <v>1.5.1</v>
      </c>
      <c r="J325" s="3" t="s">
        <v>2727</v>
      </c>
      <c r="K325" s="31" t="s">
        <v>48</v>
      </c>
      <c r="L325" s="23" t="s">
        <v>49</v>
      </c>
      <c r="M325" s="3" t="s">
        <v>817</v>
      </c>
      <c r="N325" s="3" t="str">
        <f t="shared" si="1"/>
        <v>POST /system/cards/creditCardPositionKeeping/v1/creditCardAssessment/retrieve</v>
      </c>
      <c r="O325" s="32" t="s">
        <v>818</v>
      </c>
      <c r="P325" s="32" t="s">
        <v>652</v>
      </c>
      <c r="Q325" s="61" t="s">
        <v>98</v>
      </c>
      <c r="R325" s="31" t="s">
        <v>56</v>
      </c>
      <c r="S325" s="38" t="str">
        <f t="shared" si="2"/>
        <v>https://github.com/SF-Bancoppel/mx-api-bc-pro-credit-card-position-keeping</v>
      </c>
      <c r="T325" s="40"/>
      <c r="U325" s="22"/>
      <c r="V325" s="40"/>
      <c r="W325" s="40"/>
      <c r="X325" s="40"/>
      <c r="Y325" s="40"/>
      <c r="Z325" s="22"/>
      <c r="AA325" s="22"/>
      <c r="AB325" s="22"/>
    </row>
    <row r="326" ht="18.75" customHeight="1">
      <c r="A326" s="18" t="str">
        <f t="array" ref="A326">IFERROR(
  INDEX(
    'api-register-id'!A:A,
    MATCH(F326, 'api-register-id'!B:B, 0)
  ),
  "Not found Organization"
)</f>
        <v>SSFF</v>
      </c>
      <c r="B326" s="22" t="str">
        <f>IFERROR(VLOOKUP(F326, 'api-register-id'!B:F, 4, FALSE), "Not found path.")</f>
        <v>mx-api-bc-pro-credit-card-position-keeping</v>
      </c>
      <c r="C326" s="23" t="s">
        <v>41</v>
      </c>
      <c r="D326" s="23" t="s">
        <v>811</v>
      </c>
      <c r="E326" s="24" t="str">
        <f>IFERROR(VLOOKUP(F326, 'api-register-id'!B:F, 5, FALSE), "Not found path.")</f>
        <v>APIMX000069</v>
      </c>
      <c r="F326" s="25" t="s">
        <v>922</v>
      </c>
      <c r="G326" s="26" t="s">
        <v>3066</v>
      </c>
      <c r="H326" s="22" t="s">
        <v>2726</v>
      </c>
      <c r="I326" s="29" t="str">
        <f>IFERROR(VLOOKUP(F326, 'api-register-id'!B:I, 8, FALSE), "Not found path.")</f>
        <v>1.5.1</v>
      </c>
      <c r="J326" s="3" t="s">
        <v>2727</v>
      </c>
      <c r="K326" s="31" t="s">
        <v>48</v>
      </c>
      <c r="L326" s="23" t="s">
        <v>49</v>
      </c>
      <c r="M326" s="3" t="s">
        <v>821</v>
      </c>
      <c r="N326" s="3" t="str">
        <f t="shared" si="1"/>
        <v>POST /system/cards/creditCardPositionKeeping/v1/creditCardStatement/retrieve</v>
      </c>
      <c r="O326" s="32" t="s">
        <v>823</v>
      </c>
      <c r="P326" s="32" t="s">
        <v>652</v>
      </c>
      <c r="Q326" s="61" t="s">
        <v>3073</v>
      </c>
      <c r="R326" s="31" t="s">
        <v>56</v>
      </c>
      <c r="S326" s="38" t="str">
        <f t="shared" si="2"/>
        <v>https://github.com/SF-Bancoppel/mx-api-bc-pro-credit-card-position-keeping</v>
      </c>
      <c r="T326" s="40"/>
      <c r="U326" s="22"/>
      <c r="V326" s="40"/>
      <c r="W326" s="40"/>
      <c r="X326" s="40"/>
      <c r="Y326" s="40"/>
      <c r="Z326" s="22"/>
      <c r="AA326" s="22"/>
      <c r="AB326" s="22"/>
    </row>
    <row r="327" ht="18.75" customHeight="1">
      <c r="A327" s="18" t="str">
        <f t="array" ref="A327">IFERROR(
  INDEX(
    'api-register-id'!A:A,
    MATCH(F327, 'api-register-id'!B:B, 0)
  ),
  "Not found Organization"
)</f>
        <v>SSFF</v>
      </c>
      <c r="B327" s="22" t="str">
        <f>IFERROR(VLOOKUP(F327, 'api-register-id'!B:F, 4, FALSE), "Not found path.")</f>
        <v>mx-api-bc-pro-credit-card-position-keeping</v>
      </c>
      <c r="C327" s="23" t="s">
        <v>41</v>
      </c>
      <c r="D327" s="23" t="s">
        <v>811</v>
      </c>
      <c r="E327" s="24" t="str">
        <f>IFERROR(VLOOKUP(F327, 'api-register-id'!B:F, 5, FALSE), "Not found path.")</f>
        <v>APIMX000069</v>
      </c>
      <c r="F327" s="25" t="s">
        <v>922</v>
      </c>
      <c r="G327" s="26" t="s">
        <v>3087</v>
      </c>
      <c r="H327" s="22" t="s">
        <v>2671</v>
      </c>
      <c r="I327" s="29" t="str">
        <f>IFERROR(VLOOKUP(F327, 'api-register-id'!B:I, 8, FALSE), "Not found path.")</f>
        <v>1.5.1</v>
      </c>
      <c r="J327" s="3" t="s">
        <v>2727</v>
      </c>
      <c r="K327" s="31" t="s">
        <v>48</v>
      </c>
      <c r="L327" s="23" t="s">
        <v>49</v>
      </c>
      <c r="M327" s="3" t="s">
        <v>209</v>
      </c>
      <c r="N327" s="3" t="str">
        <f t="shared" si="1"/>
        <v>POST /system/cards/creditCardPositionKeeping/v1/creditCardHolder/retrieve</v>
      </c>
      <c r="O327" s="32" t="s">
        <v>715</v>
      </c>
      <c r="P327" s="32" t="s">
        <v>652</v>
      </c>
      <c r="Q327" s="61" t="s">
        <v>3107</v>
      </c>
      <c r="R327" s="31" t="s">
        <v>56</v>
      </c>
      <c r="S327" s="38" t="str">
        <f t="shared" si="2"/>
        <v>https://github.com/SF-Bancoppel/mx-api-bc-pro-credit-card-position-keeping</v>
      </c>
      <c r="T327" s="40"/>
      <c r="U327" s="22"/>
      <c r="V327" s="40"/>
      <c r="W327" s="40"/>
      <c r="X327" s="40"/>
      <c r="Y327" s="40"/>
      <c r="Z327" s="22"/>
      <c r="AA327" s="22"/>
      <c r="AB327" s="22"/>
    </row>
    <row r="328" ht="18.75" customHeight="1">
      <c r="A328" s="18" t="str">
        <f t="array" ref="A328">IFERROR(
  INDEX(
    'api-register-id'!A:A,
    MATCH(F328, 'api-register-id'!B:B, 0)
  ),
  "Not found Organization"
)</f>
        <v>SSFF</v>
      </c>
      <c r="B328" s="22" t="str">
        <f>IFERROR(VLOOKUP(F328, 'api-register-id'!B:F, 4, FALSE), "Not found path.")</f>
        <v>mx-api-bc-pro-credit-facility</v>
      </c>
      <c r="C328" s="23" t="s">
        <v>41</v>
      </c>
      <c r="D328" s="23" t="s">
        <v>811</v>
      </c>
      <c r="E328" s="24" t="str">
        <f>IFERROR(VLOOKUP(F328, 'api-register-id'!B:F, 5, FALSE), "Not found path.")</f>
        <v>APIMX000070</v>
      </c>
      <c r="F328" s="25" t="s">
        <v>934</v>
      </c>
      <c r="G328" s="26" t="s">
        <v>3132</v>
      </c>
      <c r="H328" s="22" t="s">
        <v>2739</v>
      </c>
      <c r="I328" s="29" t="str">
        <f>IFERROR(VLOOKUP(F328, 'api-register-id'!B:I, 8, FALSE), "Not found path.")</f>
        <v>1.2.1</v>
      </c>
      <c r="J328" s="3" t="s">
        <v>2740</v>
      </c>
      <c r="K328" s="31" t="s">
        <v>48</v>
      </c>
      <c r="L328" s="23" t="s">
        <v>428</v>
      </c>
      <c r="M328" s="3" t="s">
        <v>833</v>
      </c>
      <c r="N328" s="3" t="str">
        <f t="shared" si="1"/>
        <v>PATCH /system/corporateBanking/creditFacility/v1/creditLineFacility/update</v>
      </c>
      <c r="O328" s="32" t="s">
        <v>834</v>
      </c>
      <c r="P328" s="32" t="s">
        <v>2743</v>
      </c>
      <c r="Q328" s="61" t="s">
        <v>98</v>
      </c>
      <c r="R328" s="31" t="s">
        <v>56</v>
      </c>
      <c r="S328" s="38" t="str">
        <f t="shared" si="2"/>
        <v>https://github.com/SF-Bancoppel/mx-api-bc-pro-credit-facility</v>
      </c>
      <c r="T328" s="40"/>
      <c r="U328" s="22"/>
      <c r="V328" s="40"/>
      <c r="W328" s="40"/>
      <c r="X328" s="40"/>
      <c r="Y328" s="40"/>
      <c r="Z328" s="22"/>
      <c r="AA328" s="22"/>
      <c r="AB328" s="22"/>
    </row>
    <row r="329" ht="18.75" customHeight="1">
      <c r="A329" s="18" t="str">
        <f t="array" ref="A329">IFERROR(
  INDEX(
    'api-register-id'!A:A,
    MATCH(F329, 'api-register-id'!B:B, 0)
  ),
  "Not found Organization"
)</f>
        <v>SSFF</v>
      </c>
      <c r="B329" s="22" t="str">
        <f>IFERROR(VLOOKUP(F329, 'api-register-id'!B:F, 4, FALSE), "Not found path.")</f>
        <v>mx-api-bc-pro-currency-exchange</v>
      </c>
      <c r="C329" s="23" t="s">
        <v>41</v>
      </c>
      <c r="D329" s="23" t="s">
        <v>811</v>
      </c>
      <c r="E329" s="24" t="str">
        <f>IFERROR(VLOOKUP(F329, 'api-register-id'!B:F, 5, FALSE), "Not found path.")</f>
        <v>APIMX000071</v>
      </c>
      <c r="F329" s="25" t="s">
        <v>946</v>
      </c>
      <c r="G329" s="26" t="s">
        <v>3157</v>
      </c>
      <c r="H329" s="22" t="s">
        <v>2748</v>
      </c>
      <c r="I329" s="29" t="str">
        <f>IFERROR(VLOOKUP(F329, 'api-register-id'!B:I, 8, FALSE), "Not found path.")</f>
        <v>1.0.0</v>
      </c>
      <c r="J329" s="3" t="s">
        <v>2749</v>
      </c>
      <c r="K329" s="31" t="s">
        <v>48</v>
      </c>
      <c r="L329" s="23" t="s">
        <v>49</v>
      </c>
      <c r="M329" s="3" t="s">
        <v>841</v>
      </c>
      <c r="N329" s="3" t="str">
        <f t="shared" si="1"/>
        <v>POST /system/consumerServices/currencyExchange/v1/currencyExchangeTransaction/retrieve</v>
      </c>
      <c r="O329" s="32" t="s">
        <v>842</v>
      </c>
      <c r="P329" s="32"/>
      <c r="Q329" s="61" t="s">
        <v>98</v>
      </c>
      <c r="R329" s="31" t="s">
        <v>56</v>
      </c>
      <c r="S329" s="38" t="str">
        <f t="shared" si="2"/>
        <v>https://github.com/SF-Bancoppel/mx-api-bc-pro-currency-exchange</v>
      </c>
      <c r="T329" s="40"/>
      <c r="U329" s="22"/>
      <c r="V329" s="40"/>
      <c r="W329" s="40"/>
      <c r="X329" s="40"/>
      <c r="Y329" s="40"/>
      <c r="Z329" s="22"/>
      <c r="AA329" s="22"/>
      <c r="AB329" s="22"/>
    </row>
    <row r="330" ht="18.75" customHeight="1">
      <c r="A330" s="18" t="str">
        <f t="array" ref="A330">IFERROR(
  INDEX(
    'api-register-id'!A:A,
    MATCH(F330, 'api-register-id'!B:B, 0)
  ),
  "Not found Organization"
)</f>
        <v>SSFF</v>
      </c>
      <c r="B330" s="22" t="str">
        <f>IFERROR(VLOOKUP(F330, 'api-register-id'!B:F, 4, FALSE), "Not found path.")</f>
        <v>mx-api-bc-pro-current-account</v>
      </c>
      <c r="C330" s="23" t="s">
        <v>41</v>
      </c>
      <c r="D330" s="23" t="s">
        <v>811</v>
      </c>
      <c r="E330" s="24" t="str">
        <f>IFERROR(VLOOKUP(F330, 'api-register-id'!B:F, 5, FALSE), "Not found path.")</f>
        <v>APIMX000072</v>
      </c>
      <c r="F330" s="25" t="s">
        <v>956</v>
      </c>
      <c r="G330" s="26" t="s">
        <v>3186</v>
      </c>
      <c r="H330" s="22" t="s">
        <v>2754</v>
      </c>
      <c r="I330" s="29" t="str">
        <f>IFERROR(VLOOKUP(F330, 'api-register-id'!B:I, 8, FALSE), "Not found path.")</f>
        <v>1.0.0</v>
      </c>
      <c r="J330" s="3" t="s">
        <v>2755</v>
      </c>
      <c r="K330" s="31" t="s">
        <v>48</v>
      </c>
      <c r="L330" s="23" t="s">
        <v>49</v>
      </c>
      <c r="M330" s="3" t="s">
        <v>847</v>
      </c>
      <c r="N330" s="3" t="str">
        <f t="shared" si="1"/>
        <v>POST /system/loansAndDeposits/currentAccount/v1/currentAccountFacility/retrieve</v>
      </c>
      <c r="O330" s="32" t="s">
        <v>848</v>
      </c>
      <c r="P330" s="32"/>
      <c r="Q330" s="61" t="s">
        <v>98</v>
      </c>
      <c r="R330" s="31" t="s">
        <v>56</v>
      </c>
      <c r="S330" s="38" t="str">
        <f t="shared" si="2"/>
        <v>https://github.com/SF-Bancoppel/mx-api-bc-pro-current-account</v>
      </c>
      <c r="T330" s="40"/>
      <c r="U330" s="22"/>
      <c r="V330" s="40"/>
      <c r="W330" s="40"/>
      <c r="X330" s="40"/>
      <c r="Y330" s="40"/>
      <c r="Z330" s="22"/>
      <c r="AA330" s="22"/>
      <c r="AB330" s="22"/>
    </row>
    <row r="331" ht="18.75" customHeight="1">
      <c r="A331" s="18" t="str">
        <f t="array" ref="A331">IFERROR(
  INDEX(
    'api-register-id'!A:A,
    MATCH(F331, 'api-register-id'!B:B, 0)
  ),
  "Not found Organization"
)</f>
        <v>SSFF</v>
      </c>
      <c r="B331" s="22" t="str">
        <f>IFERROR(VLOOKUP(F331, 'api-register-id'!B:F, 4, FALSE), "Not found path.")</f>
        <v>mx-api-bc-pro-customer-access-entitlement</v>
      </c>
      <c r="C331" s="23" t="s">
        <v>41</v>
      </c>
      <c r="D331" s="23" t="s">
        <v>811</v>
      </c>
      <c r="E331" s="24" t="str">
        <f>IFERROR(VLOOKUP(F331, 'api-register-id'!B:F, 5, FALSE), "Not found path.")</f>
        <v>APIMX000073</v>
      </c>
      <c r="F331" s="25" t="s">
        <v>968</v>
      </c>
      <c r="G331" s="26" t="s">
        <v>3215</v>
      </c>
      <c r="H331" s="22" t="s">
        <v>2762</v>
      </c>
      <c r="I331" s="29" t="str">
        <f>IFERROR(VLOOKUP(F331, 'api-register-id'!B:I, 8, FALSE), "Not found path.")</f>
        <v>1.2.0</v>
      </c>
      <c r="J331" s="3" t="s">
        <v>2763</v>
      </c>
      <c r="K331" s="31" t="s">
        <v>48</v>
      </c>
      <c r="L331" s="23" t="s">
        <v>49</v>
      </c>
      <c r="M331" s="3" t="s">
        <v>854</v>
      </c>
      <c r="N331" s="3" t="str">
        <f t="shared" si="1"/>
        <v>POST /system/customerManagement/customerAccessEntitlement/v1/restrictions/retrieve</v>
      </c>
      <c r="O331" s="32" t="s">
        <v>855</v>
      </c>
      <c r="P331" s="32"/>
      <c r="Q331" s="61" t="s">
        <v>98</v>
      </c>
      <c r="R331" s="31" t="s">
        <v>56</v>
      </c>
      <c r="S331" s="38" t="str">
        <f t="shared" si="2"/>
        <v>https://github.com/SF-Bancoppel/mx-api-bc-pro-customer-access-entitlement</v>
      </c>
      <c r="T331" s="40"/>
      <c r="U331" s="22"/>
      <c r="V331" s="40"/>
      <c r="W331" s="40"/>
      <c r="X331" s="40"/>
      <c r="Y331" s="40"/>
      <c r="Z331" s="22"/>
      <c r="AA331" s="22"/>
      <c r="AB331" s="22"/>
    </row>
    <row r="332" ht="18.75" customHeight="1">
      <c r="A332" s="18" t="str">
        <f t="array" ref="A332">IFERROR(
  INDEX(
    'api-register-id'!A:A,
    MATCH(F332, 'api-register-id'!B:B, 0)
  ),
  "Not found Organization"
)</f>
        <v>SSFF</v>
      </c>
      <c r="B332" s="22" t="str">
        <f>IFERROR(VLOOKUP(F332, 'api-register-id'!B:F, 4, FALSE), "Not found path.")</f>
        <v>mx-api-bc-pro-customer-agreement</v>
      </c>
      <c r="C332" s="23" t="s">
        <v>41</v>
      </c>
      <c r="D332" s="23" t="s">
        <v>811</v>
      </c>
      <c r="E332" s="24" t="str">
        <f>IFERROR(VLOOKUP(F332, 'api-register-id'!B:F, 5, FALSE), "Not found path.")</f>
        <v>APIMX000074</v>
      </c>
      <c r="F332" s="25" t="s">
        <v>977</v>
      </c>
      <c r="G332" s="26" t="s">
        <v>3244</v>
      </c>
      <c r="H332" s="22" t="s">
        <v>2768</v>
      </c>
      <c r="I332" s="29" t="str">
        <f>IFERROR(VLOOKUP(F332, 'api-register-id'!B:I, 8, FALSE), "Not found path.")</f>
        <v>1.3.0</v>
      </c>
      <c r="J332" s="3" t="s">
        <v>2769</v>
      </c>
      <c r="K332" s="31" t="s">
        <v>48</v>
      </c>
      <c r="L332" s="23" t="s">
        <v>49</v>
      </c>
      <c r="M332" s="3" t="s">
        <v>862</v>
      </c>
      <c r="N332" s="3" t="str">
        <f t="shared" si="1"/>
        <v>POST /system/customerManagement/customerAgreement/v1/legalTerms/evaluate</v>
      </c>
      <c r="O332" s="32" t="s">
        <v>3254</v>
      </c>
      <c r="P332" s="32"/>
      <c r="Q332" s="61" t="s">
        <v>98</v>
      </c>
      <c r="R332" s="31" t="s">
        <v>56</v>
      </c>
      <c r="S332" s="38" t="str">
        <f t="shared" si="2"/>
        <v>https://github.com/SF-Bancoppel/mx-api-bc-pro-customer-agreement</v>
      </c>
      <c r="T332" s="40"/>
      <c r="U332" s="22"/>
      <c r="V332" s="40"/>
      <c r="W332" s="40"/>
      <c r="X332" s="40"/>
      <c r="Y332" s="40"/>
      <c r="Z332" s="22"/>
      <c r="AA332" s="22"/>
      <c r="AB332" s="22"/>
    </row>
    <row r="333" ht="18.75" customHeight="1">
      <c r="A333" s="18" t="str">
        <f t="array" ref="A333">IFERROR(
  INDEX(
    'api-register-id'!A:A,
    MATCH(F333, 'api-register-id'!B:B, 0)
  ),
  "Not found Organization"
)</f>
        <v>SSFF</v>
      </c>
      <c r="B333" s="22" t="str">
        <f>IFERROR(VLOOKUP(F333, 'api-register-id'!B:F, 4, FALSE), "Not found path.")</f>
        <v>mx-api-bc-pro-customer-agreement</v>
      </c>
      <c r="C333" s="23" t="s">
        <v>41</v>
      </c>
      <c r="D333" s="23" t="s">
        <v>811</v>
      </c>
      <c r="E333" s="24" t="str">
        <f>IFERROR(VLOOKUP(F333, 'api-register-id'!B:F, 5, FALSE), "Not found path.")</f>
        <v>APIMX000074</v>
      </c>
      <c r="F333" s="25" t="s">
        <v>977</v>
      </c>
      <c r="G333" s="26" t="s">
        <v>3278</v>
      </c>
      <c r="H333" s="22" t="s">
        <v>2774</v>
      </c>
      <c r="I333" s="29" t="str">
        <f>IFERROR(VLOOKUP(F333, 'api-register-id'!B:I, 8, FALSE), "Not found path.")</f>
        <v>1.3.0</v>
      </c>
      <c r="J333" s="3" t="s">
        <v>2769</v>
      </c>
      <c r="K333" s="31" t="s">
        <v>48</v>
      </c>
      <c r="L333" s="23" t="s">
        <v>49</v>
      </c>
      <c r="M333" s="3" t="s">
        <v>869</v>
      </c>
      <c r="N333" s="3" t="str">
        <f t="shared" si="1"/>
        <v>POST /system/customerManagement/customerAgreement/v1/customerAgreement/evaluate</v>
      </c>
      <c r="O333" s="32" t="s">
        <v>3286</v>
      </c>
      <c r="P333" s="32"/>
      <c r="Q333" s="61" t="s">
        <v>3288</v>
      </c>
      <c r="R333" s="31" t="s">
        <v>56</v>
      </c>
      <c r="S333" s="38" t="str">
        <f t="shared" si="2"/>
        <v>https://github.com/SF-Bancoppel/mx-api-bc-pro-customer-agreement</v>
      </c>
      <c r="T333" s="40"/>
      <c r="U333" s="22"/>
      <c r="V333" s="40"/>
      <c r="W333" s="40"/>
      <c r="X333" s="40"/>
      <c r="Y333" s="40"/>
      <c r="Z333" s="22"/>
      <c r="AA333" s="22"/>
      <c r="AB333" s="22"/>
    </row>
    <row r="334" ht="18.75" customHeight="1">
      <c r="A334" s="18" t="str">
        <f t="array" ref="A334">IFERROR(
  INDEX(
    'api-register-id'!A:A,
    MATCH(F334, 'api-register-id'!B:B, 0)
  ),
  "Not found Organization"
)</f>
        <v>SSFF</v>
      </c>
      <c r="B334" s="22" t="str">
        <f>IFERROR(VLOOKUP(F334, 'api-register-id'!B:F, 4, FALSE), "Not found path.")</f>
        <v>mx-api-bc-pro-customer-agreement</v>
      </c>
      <c r="C334" s="23" t="s">
        <v>41</v>
      </c>
      <c r="D334" s="23" t="s">
        <v>811</v>
      </c>
      <c r="E334" s="24" t="str">
        <f>IFERROR(VLOOKUP(F334, 'api-register-id'!B:F, 5, FALSE), "Not found path.")</f>
        <v>APIMX000074</v>
      </c>
      <c r="F334" s="25" t="s">
        <v>977</v>
      </c>
      <c r="G334" s="26" t="s">
        <v>3318</v>
      </c>
      <c r="H334" s="22" t="s">
        <v>2778</v>
      </c>
      <c r="I334" s="29" t="str">
        <f>IFERROR(VLOOKUP(F334, 'api-register-id'!B:I, 8, FALSE), "Not found path.")</f>
        <v>1.3.0</v>
      </c>
      <c r="J334" s="3" t="s">
        <v>2769</v>
      </c>
      <c r="K334" s="31" t="s">
        <v>48</v>
      </c>
      <c r="L334" s="23" t="s">
        <v>49</v>
      </c>
      <c r="M334" s="3" t="s">
        <v>876</v>
      </c>
      <c r="N334" s="3" t="str">
        <f t="shared" si="1"/>
        <v>POST /system/customerManagement/customerAgreement/v1/regulatoryTerms/evaluate</v>
      </c>
      <c r="O334" s="32" t="s">
        <v>3327</v>
      </c>
      <c r="P334" s="32"/>
      <c r="Q334" s="61" t="s">
        <v>98</v>
      </c>
      <c r="R334" s="31" t="s">
        <v>56</v>
      </c>
      <c r="S334" s="38" t="str">
        <f t="shared" si="2"/>
        <v>https://github.com/SF-Bancoppel/mx-api-bc-pro-customer-agreement</v>
      </c>
      <c r="T334" s="40"/>
      <c r="U334" s="22"/>
      <c r="V334" s="40"/>
      <c r="W334" s="40"/>
      <c r="X334" s="40"/>
      <c r="Y334" s="40"/>
      <c r="Z334" s="22"/>
      <c r="AA334" s="22"/>
      <c r="AB334" s="22"/>
    </row>
    <row r="335" ht="18.75" customHeight="1">
      <c r="A335" s="18" t="str">
        <f t="array" ref="A335">IFERROR(
  INDEX(
    'api-register-id'!A:A,
    MATCH(F335, 'api-register-id'!B:B, 0)
  ),
  "Not found Organization"
)</f>
        <v>SSFF</v>
      </c>
      <c r="B335" s="22" t="str">
        <f>IFERROR(VLOOKUP(F335, 'api-register-id'!B:F, 4, FALSE), "Not found path.")</f>
        <v>mx-api-bc-pro-customer-agreement</v>
      </c>
      <c r="C335" s="23" t="s">
        <v>41</v>
      </c>
      <c r="D335" s="23" t="s">
        <v>811</v>
      </c>
      <c r="E335" s="24" t="str">
        <f>IFERROR(VLOOKUP(F335, 'api-register-id'!B:F, 5, FALSE), "Not found path.")</f>
        <v>APIMX000074</v>
      </c>
      <c r="F335" s="25" t="s">
        <v>977</v>
      </c>
      <c r="G335" s="26" t="s">
        <v>3348</v>
      </c>
      <c r="H335" s="22" t="s">
        <v>2783</v>
      </c>
      <c r="I335" s="29" t="str">
        <f>IFERROR(VLOOKUP(F335, 'api-register-id'!B:I, 8, FALSE), "Not found path.")</f>
        <v>1.3.0</v>
      </c>
      <c r="J335" s="3" t="s">
        <v>2769</v>
      </c>
      <c r="K335" s="31" t="s">
        <v>48</v>
      </c>
      <c r="L335" s="23" t="s">
        <v>108</v>
      </c>
      <c r="M335" s="3" t="s">
        <v>889</v>
      </c>
      <c r="N335" s="3" t="str">
        <f t="shared" si="1"/>
        <v>GET /system/customerManagement/customerAgreement/v1/endorsement/{sessionDialogueIdentification}/retrieve</v>
      </c>
      <c r="O335" s="32" t="s">
        <v>3356</v>
      </c>
      <c r="P335" s="32"/>
      <c r="Q335" s="61" t="s">
        <v>3358</v>
      </c>
      <c r="R335" s="31" t="s">
        <v>56</v>
      </c>
      <c r="S335" s="38" t="str">
        <f t="shared" si="2"/>
        <v>https://github.com/SF-Bancoppel/mx-api-bc-pro-customer-agreement</v>
      </c>
      <c r="T335" s="40"/>
      <c r="U335" s="22"/>
      <c r="V335" s="40"/>
      <c r="W335" s="40"/>
      <c r="X335" s="40"/>
      <c r="Y335" s="40"/>
      <c r="Z335" s="22"/>
      <c r="AA335" s="22"/>
      <c r="AB335" s="22"/>
    </row>
    <row r="336" ht="18.75" customHeight="1">
      <c r="A336" s="18" t="str">
        <f t="array" ref="A336">IFERROR(
  INDEX(
    'api-register-id'!A:A,
    MATCH(F336, 'api-register-id'!B:B, 0)
  ),
  "Not found Organization"
)</f>
        <v>SSFF</v>
      </c>
      <c r="B336" s="22" t="str">
        <f>IFERROR(VLOOKUP(F336, 'api-register-id'!B:F, 4, FALSE), "Not found path.")</f>
        <v>mx-api-bc-pro-customer-agreement</v>
      </c>
      <c r="C336" s="23" t="s">
        <v>41</v>
      </c>
      <c r="D336" s="23" t="s">
        <v>811</v>
      </c>
      <c r="E336" s="24" t="str">
        <f>IFERROR(VLOOKUP(F336, 'api-register-id'!B:F, 5, FALSE), "Not found path.")</f>
        <v>APIMX000074</v>
      </c>
      <c r="F336" s="25" t="s">
        <v>977</v>
      </c>
      <c r="G336" s="26" t="s">
        <v>3380</v>
      </c>
      <c r="H336" s="22" t="s">
        <v>2791</v>
      </c>
      <c r="I336" s="29" t="str">
        <f>IFERROR(VLOOKUP(F336, 'api-register-id'!B:I, 8, FALSE), "Not found path.")</f>
        <v>1.3.0</v>
      </c>
      <c r="J336" s="3" t="s">
        <v>2769</v>
      </c>
      <c r="K336" s="31" t="s">
        <v>48</v>
      </c>
      <c r="L336" s="23" t="s">
        <v>49</v>
      </c>
      <c r="M336" s="3" t="s">
        <v>884</v>
      </c>
      <c r="N336" s="3" t="str">
        <f t="shared" si="1"/>
        <v>POST /system/customerManagement/customerAgreement/v1/endorsement/register</v>
      </c>
      <c r="O336" s="32" t="s">
        <v>3389</v>
      </c>
      <c r="P336" s="32" t="s">
        <v>2793</v>
      </c>
      <c r="Q336" s="61" t="s">
        <v>3391</v>
      </c>
      <c r="R336" s="31" t="s">
        <v>56</v>
      </c>
      <c r="S336" s="38" t="str">
        <f t="shared" si="2"/>
        <v>https://github.com/SF-Bancoppel/mx-api-bc-pro-customer-agreement</v>
      </c>
      <c r="T336" s="40"/>
      <c r="U336" s="22"/>
      <c r="V336" s="40"/>
      <c r="W336" s="40"/>
      <c r="X336" s="40"/>
      <c r="Y336" s="40"/>
      <c r="Z336" s="22"/>
      <c r="AA336" s="22"/>
      <c r="AB336" s="22"/>
    </row>
    <row r="337" ht="18.75" customHeight="1">
      <c r="A337" s="18" t="str">
        <f t="array" ref="A337">IFERROR(
  INDEX(
    'api-register-id'!A:A,
    MATCH(F337, 'api-register-id'!B:B, 0)
  ),
  "Not found Organization"
)</f>
        <v>SSFF</v>
      </c>
      <c r="B337" s="22" t="str">
        <f>IFERROR(VLOOKUP(F337, 'api-register-id'!B:F, 4, FALSE), "Not found path.")</f>
        <v>mx-api-bc-pro-customer-credit-rating</v>
      </c>
      <c r="C337" s="23" t="s">
        <v>41</v>
      </c>
      <c r="D337" s="23" t="s">
        <v>811</v>
      </c>
      <c r="E337" s="24" t="str">
        <f>IFERROR(VLOOKUP(F337, 'api-register-id'!B:F, 5, FALSE), "Not found path.")</f>
        <v>APIMX000075</v>
      </c>
      <c r="F337" s="25" t="s">
        <v>986</v>
      </c>
      <c r="G337" s="26" t="s">
        <v>3405</v>
      </c>
      <c r="H337" s="22" t="s">
        <v>2797</v>
      </c>
      <c r="I337" s="29" t="str">
        <f>IFERROR(VLOOKUP(F337, 'api-register-id'!B:I, 8, FALSE), "Not found path.")</f>
        <v>1.3.1</v>
      </c>
      <c r="J337" s="3" t="s">
        <v>2798</v>
      </c>
      <c r="K337" s="31" t="s">
        <v>48</v>
      </c>
      <c r="L337" s="23" t="s">
        <v>49</v>
      </c>
      <c r="M337" s="3" t="s">
        <v>898</v>
      </c>
      <c r="N337" s="3" t="str">
        <f t="shared" si="1"/>
        <v>POST /system/relationshipManagement/customerCreditRating/v1/customerCreditRatingState/evaluate</v>
      </c>
      <c r="O337" s="32" t="s">
        <v>899</v>
      </c>
      <c r="P337" s="32" t="s">
        <v>900</v>
      </c>
      <c r="Q337" s="61" t="s">
        <v>98</v>
      </c>
      <c r="R337" s="31" t="s">
        <v>56</v>
      </c>
      <c r="S337" s="38" t="str">
        <f t="shared" si="2"/>
        <v>https://github.com/SF-Bancoppel/mx-api-bc-pro-customer-credit-rating</v>
      </c>
      <c r="T337" s="40"/>
      <c r="U337" s="22"/>
      <c r="V337" s="40"/>
      <c r="W337" s="40"/>
      <c r="X337" s="40"/>
      <c r="Y337" s="40"/>
      <c r="Z337" s="22"/>
      <c r="AA337" s="22"/>
      <c r="AB337" s="22"/>
    </row>
    <row r="338" ht="18.75" customHeight="1">
      <c r="A338" s="18" t="str">
        <f t="array" ref="A338">IFERROR(
  INDEX(
    'api-register-id'!A:A,
    MATCH(F338, 'api-register-id'!B:B, 0)
  ),
  "Not found Organization"
)</f>
        <v>SSFF</v>
      </c>
      <c r="B338" s="22" t="str">
        <f>IFERROR(VLOOKUP(F338, 'api-register-id'!B:F, 4, FALSE), "Not found path.")</f>
        <v>mx-api-bc-pro-customer-credit-rating</v>
      </c>
      <c r="C338" s="23" t="s">
        <v>41</v>
      </c>
      <c r="D338" s="23" t="s">
        <v>811</v>
      </c>
      <c r="E338" s="24" t="str">
        <f>IFERROR(VLOOKUP(F338, 'api-register-id'!B:F, 5, FALSE), "Not found path.")</f>
        <v>APIMX000075</v>
      </c>
      <c r="F338" s="25" t="s">
        <v>986</v>
      </c>
      <c r="G338" s="26" t="s">
        <v>3426</v>
      </c>
      <c r="H338" s="22" t="s">
        <v>2804</v>
      </c>
      <c r="I338" s="29" t="str">
        <f>IFERROR(VLOOKUP(F338, 'api-register-id'!B:I, 8, FALSE), "Not found path.")</f>
        <v>1.3.1</v>
      </c>
      <c r="J338" s="3" t="s">
        <v>2798</v>
      </c>
      <c r="K338" s="31" t="s">
        <v>48</v>
      </c>
      <c r="L338" s="23" t="s">
        <v>49</v>
      </c>
      <c r="M338" s="3" t="s">
        <v>903</v>
      </c>
      <c r="N338" s="3" t="str">
        <f t="shared" si="1"/>
        <v>POST /system/relationshipManagement/customerCreditRating/v1/internalReporting/evaluate</v>
      </c>
      <c r="O338" s="32" t="s">
        <v>904</v>
      </c>
      <c r="P338" s="32" t="s">
        <v>900</v>
      </c>
      <c r="Q338" s="61" t="s">
        <v>98</v>
      </c>
      <c r="R338" s="31" t="s">
        <v>56</v>
      </c>
      <c r="S338" s="38" t="str">
        <f t="shared" si="2"/>
        <v>https://github.com/SF-Bancoppel/mx-api-bc-pro-customer-credit-rating</v>
      </c>
      <c r="T338" s="40"/>
      <c r="U338" s="22"/>
      <c r="V338" s="40"/>
      <c r="W338" s="40"/>
      <c r="X338" s="40"/>
      <c r="Y338" s="40"/>
      <c r="Z338" s="22"/>
      <c r="AA338" s="22"/>
      <c r="AB338" s="22"/>
    </row>
    <row r="339" ht="18.75" customHeight="1">
      <c r="A339" s="18" t="str">
        <f t="array" ref="A339">IFERROR(
  INDEX(
    'api-register-id'!A:A,
    MATCH(F339, 'api-register-id'!B:B, 0)
  ),
  "Not found Organization"
)</f>
        <v>SSFF</v>
      </c>
      <c r="B339" s="22" t="str">
        <f>IFERROR(VLOOKUP(F339, 'api-register-id'!B:F, 4, FALSE), "Not found path.")</f>
        <v>mx-api-bc-pro-customer-offer</v>
      </c>
      <c r="C339" s="23" t="s">
        <v>41</v>
      </c>
      <c r="D339" s="23" t="s">
        <v>811</v>
      </c>
      <c r="E339" s="24" t="str">
        <f>IFERROR(VLOOKUP(F339, 'api-register-id'!B:F, 5, FALSE), "Not found path.")</f>
        <v>APIMX000076</v>
      </c>
      <c r="F339" s="25" t="s">
        <v>1001</v>
      </c>
      <c r="G339" s="26" t="s">
        <v>3451</v>
      </c>
      <c r="H339" s="22" t="s">
        <v>2809</v>
      </c>
      <c r="I339" s="29" t="str">
        <f>IFERROR(VLOOKUP(F339, 'api-register-id'!B:I, 8, FALSE), "Not found path.")</f>
        <v>1.0.0</v>
      </c>
      <c r="J339" s="3" t="s">
        <v>2810</v>
      </c>
      <c r="K339" s="31" t="s">
        <v>48</v>
      </c>
      <c r="L339" s="23" t="s">
        <v>49</v>
      </c>
      <c r="M339" s="3" t="s">
        <v>911</v>
      </c>
      <c r="N339" s="3" t="str">
        <f t="shared" si="1"/>
        <v>POST /system/sales/customerOffer/v1/facilityApplication/evaluate</v>
      </c>
      <c r="O339" s="32" t="s">
        <v>912</v>
      </c>
      <c r="P339" s="32"/>
      <c r="Q339" s="61" t="s">
        <v>98</v>
      </c>
      <c r="R339" s="31" t="s">
        <v>56</v>
      </c>
      <c r="S339" s="38" t="str">
        <f t="shared" si="2"/>
        <v>https://github.com/SF-Bancoppel/mx-api-bc-pro-customer-offer</v>
      </c>
      <c r="T339" s="40"/>
      <c r="U339" s="22"/>
      <c r="V339" s="40"/>
      <c r="W339" s="40"/>
      <c r="X339" s="40"/>
      <c r="Y339" s="40"/>
      <c r="Z339" s="22"/>
      <c r="AA339" s="22"/>
      <c r="AB339" s="22"/>
    </row>
    <row r="340" ht="18.75" customHeight="1">
      <c r="A340" s="18" t="str">
        <f t="array" ref="A340">IFERROR(
  INDEX(
    'api-register-id'!A:A,
    MATCH(F340, 'api-register-id'!B:B, 0)
  ),
  "Not found Organization"
)</f>
        <v>SSFF</v>
      </c>
      <c r="B340" s="22" t="str">
        <f>IFERROR(VLOOKUP(F340, 'api-register-id'!B:F, 4, FALSE), "Not found path.")</f>
        <v>mx-api-bc-pro-customer-offer</v>
      </c>
      <c r="C340" s="23" t="s">
        <v>41</v>
      </c>
      <c r="D340" s="23" t="s">
        <v>811</v>
      </c>
      <c r="E340" s="24" t="str">
        <f>IFERROR(VLOOKUP(F340, 'api-register-id'!B:F, 5, FALSE), "Not found path.")</f>
        <v>APIMX000076</v>
      </c>
      <c r="F340" s="25" t="s">
        <v>1001</v>
      </c>
      <c r="G340" s="26" t="s">
        <v>3472</v>
      </c>
      <c r="H340" s="22" t="s">
        <v>2816</v>
      </c>
      <c r="I340" s="29" t="str">
        <f>IFERROR(VLOOKUP(F340, 'api-register-id'!B:I, 8, FALSE), "Not found path.")</f>
        <v>1.0.0</v>
      </c>
      <c r="J340" s="3" t="s">
        <v>2810</v>
      </c>
      <c r="K340" s="31" t="s">
        <v>48</v>
      </c>
      <c r="L340" s="23" t="s">
        <v>428</v>
      </c>
      <c r="M340" s="3" t="s">
        <v>918</v>
      </c>
      <c r="N340" s="3" t="str">
        <f t="shared" si="1"/>
        <v>PATCH /system/sales/customerOffer/v1/customerOfferProcedure/update</v>
      </c>
      <c r="O340" s="32" t="s">
        <v>919</v>
      </c>
      <c r="P340" s="32"/>
      <c r="Q340" s="61" t="s">
        <v>98</v>
      </c>
      <c r="R340" s="31" t="s">
        <v>56</v>
      </c>
      <c r="S340" s="38" t="str">
        <f t="shared" si="2"/>
        <v>https://github.com/SF-Bancoppel/mx-api-bc-pro-customer-offer</v>
      </c>
      <c r="T340" s="40"/>
      <c r="U340" s="22"/>
      <c r="V340" s="40"/>
      <c r="W340" s="40"/>
      <c r="X340" s="40"/>
      <c r="Y340" s="40"/>
      <c r="Z340" s="22"/>
      <c r="AA340" s="22"/>
      <c r="AB340" s="22"/>
    </row>
    <row r="341" ht="18.75" customHeight="1">
      <c r="A341" s="18" t="str">
        <f t="array" ref="A341">IFERROR(
  INDEX(
    'api-register-id'!A:A,
    MATCH(F341, 'api-register-id'!B:B, 0)
  ),
  "Not found Organization"
)</f>
        <v>SSFF</v>
      </c>
      <c r="B341" s="22" t="str">
        <f>IFERROR(VLOOKUP(F341, 'api-register-id'!B:F, 4, FALSE), "Not found path.")</f>
        <v>mx-api-bc-pro-customer-offer</v>
      </c>
      <c r="C341" s="23" t="s">
        <v>41</v>
      </c>
      <c r="D341" s="23" t="s">
        <v>811</v>
      </c>
      <c r="E341" s="24" t="str">
        <f>IFERROR(VLOOKUP(F341, 'api-register-id'!B:F, 5, FALSE), "Not found path.")</f>
        <v>APIMX000076</v>
      </c>
      <c r="F341" s="25" t="s">
        <v>1001</v>
      </c>
      <c r="G341" s="26" t="s">
        <v>3491</v>
      </c>
      <c r="H341" s="22" t="s">
        <v>2824</v>
      </c>
      <c r="I341" s="29" t="str">
        <f>IFERROR(VLOOKUP(F341, 'api-register-id'!B:I, 8, FALSE), "Not found path.")</f>
        <v>1.0.0</v>
      </c>
      <c r="J341" s="3" t="s">
        <v>2810</v>
      </c>
      <c r="K341" s="31" t="s">
        <v>48</v>
      </c>
      <c r="L341" s="23" t="s">
        <v>49</v>
      </c>
      <c r="M341" s="3" t="s">
        <v>923</v>
      </c>
      <c r="N341" s="3" t="str">
        <f t="shared" si="1"/>
        <v>POST /system/sales/customerOffer/v1/customerOfferProcedure/evaluate</v>
      </c>
      <c r="O341" s="32" t="s">
        <v>924</v>
      </c>
      <c r="P341" s="32"/>
      <c r="Q341" s="61" t="s">
        <v>98</v>
      </c>
      <c r="R341" s="31" t="s">
        <v>56</v>
      </c>
      <c r="S341" s="38" t="str">
        <f t="shared" si="2"/>
        <v>https://github.com/SF-Bancoppel/mx-api-bc-pro-customer-offer</v>
      </c>
      <c r="T341" s="40"/>
      <c r="U341" s="22"/>
      <c r="V341" s="40"/>
      <c r="W341" s="40"/>
      <c r="X341" s="40"/>
      <c r="Y341" s="40"/>
      <c r="Z341" s="22"/>
      <c r="AA341" s="22"/>
      <c r="AB341" s="22"/>
    </row>
    <row r="342" ht="18.75" customHeight="1">
      <c r="A342" s="18" t="str">
        <f t="array" ref="A342">IFERROR(
  INDEX(
    'api-register-id'!A:A,
    MATCH(F342, 'api-register-id'!B:B, 0)
  ),
  "Not found Organization"
)</f>
        <v>SSFF</v>
      </c>
      <c r="B342" s="22" t="str">
        <f>IFERROR(VLOOKUP(F342, 'api-register-id'!B:F, 4, FALSE), "Not found path.")</f>
        <v>mx-api-bc-pro-customer-offer</v>
      </c>
      <c r="C342" s="23" t="s">
        <v>41</v>
      </c>
      <c r="D342" s="23" t="s">
        <v>811</v>
      </c>
      <c r="E342" s="24" t="str">
        <f>IFERROR(VLOOKUP(F342, 'api-register-id'!B:F, 5, FALSE), "Not found path.")</f>
        <v>APIMX000076</v>
      </c>
      <c r="F342" s="25" t="s">
        <v>1001</v>
      </c>
      <c r="G342" s="26" t="s">
        <v>3509</v>
      </c>
      <c r="H342" s="22" t="s">
        <v>2830</v>
      </c>
      <c r="I342" s="29" t="str">
        <f>IFERROR(VLOOKUP(F342, 'api-register-id'!B:I, 8, FALSE), "Not found path.")</f>
        <v>1.0.0</v>
      </c>
      <c r="J342" s="3" t="s">
        <v>2810</v>
      </c>
      <c r="K342" s="31" t="s">
        <v>48</v>
      </c>
      <c r="L342" s="23" t="s">
        <v>49</v>
      </c>
      <c r="M342" s="3" t="s">
        <v>929</v>
      </c>
      <c r="N342" s="3" t="str">
        <f t="shared" si="1"/>
        <v>POST /system/sales/customerOffer/v1/customerOfferProcedure/retrieve</v>
      </c>
      <c r="O342" s="32" t="s">
        <v>447</v>
      </c>
      <c r="P342" s="32"/>
      <c r="Q342" s="61" t="s">
        <v>98</v>
      </c>
      <c r="R342" s="31" t="s">
        <v>56</v>
      </c>
      <c r="S342" s="38" t="str">
        <f t="shared" si="2"/>
        <v>https://github.com/SF-Bancoppel/mx-api-bc-pro-customer-offer</v>
      </c>
      <c r="T342" s="40"/>
      <c r="U342" s="22"/>
      <c r="V342" s="40"/>
      <c r="W342" s="40"/>
      <c r="X342" s="40"/>
      <c r="Y342" s="40"/>
      <c r="Z342" s="22"/>
      <c r="AA342" s="22"/>
      <c r="AB342" s="22"/>
    </row>
    <row r="343" ht="18.75" customHeight="1">
      <c r="A343" s="18" t="str">
        <f t="array" ref="A343">IFERROR(
  INDEX(
    'api-register-id'!A:A,
    MATCH(F343, 'api-register-id'!B:B, 0)
  ),
  "Not found Organization"
)</f>
        <v>SSFF</v>
      </c>
      <c r="B343" s="22" t="str">
        <f>IFERROR(VLOOKUP(F343, 'api-register-id'!B:F, 4, FALSE), "Not found path.")</f>
        <v>mx-api-bc-pro-customer-position</v>
      </c>
      <c r="C343" s="23" t="s">
        <v>41</v>
      </c>
      <c r="D343" s="23" t="s">
        <v>811</v>
      </c>
      <c r="E343" s="24" t="str">
        <f>IFERROR(VLOOKUP(F343, 'api-register-id'!B:F, 5, FALSE), "Not found path.")</f>
        <v>APIMX000077</v>
      </c>
      <c r="F343" s="25" t="s">
        <v>1012</v>
      </c>
      <c r="G343" s="26" t="s">
        <v>3536</v>
      </c>
      <c r="H343" s="22" t="s">
        <v>2835</v>
      </c>
      <c r="I343" s="29" t="str">
        <f>IFERROR(VLOOKUP(F343, 'api-register-id'!B:I, 8, FALSE), "Not found path.")</f>
        <v>1.3.0</v>
      </c>
      <c r="J343" s="3" t="s">
        <v>2836</v>
      </c>
      <c r="K343" s="31" t="s">
        <v>48</v>
      </c>
      <c r="L343" s="23" t="s">
        <v>428</v>
      </c>
      <c r="M343" s="3" t="s">
        <v>933</v>
      </c>
      <c r="N343" s="3" t="str">
        <f t="shared" si="1"/>
        <v>PATCH /system/accountManagement/customerPosition/v1/customerPositionCredit/update</v>
      </c>
      <c r="O343" s="32" t="s">
        <v>935</v>
      </c>
      <c r="P343" s="32"/>
      <c r="Q343" s="61" t="s">
        <v>98</v>
      </c>
      <c r="R343" s="31" t="s">
        <v>56</v>
      </c>
      <c r="S343" s="38" t="str">
        <f t="shared" si="2"/>
        <v>https://github.com/SF-Bancoppel/mx-api-bc-pro-customer-position</v>
      </c>
      <c r="T343" s="40"/>
      <c r="U343" s="22"/>
      <c r="V343" s="40"/>
      <c r="W343" s="40"/>
      <c r="X343" s="40"/>
      <c r="Y343" s="40"/>
      <c r="Z343" s="22"/>
      <c r="AA343" s="22"/>
      <c r="AB343" s="22"/>
    </row>
    <row r="344" ht="18.75" customHeight="1">
      <c r="A344" s="18" t="str">
        <f t="array" ref="A344">IFERROR(
  INDEX(
    'api-register-id'!A:A,
    MATCH(F344, 'api-register-id'!B:B, 0)
  ),
  "Not found Organization"
)</f>
        <v>SSFF</v>
      </c>
      <c r="B344" s="22" t="str">
        <f>IFERROR(VLOOKUP(F344, 'api-register-id'!B:F, 4, FALSE), "Not found path.")</f>
        <v>mx-api-bc-pro-customer-position</v>
      </c>
      <c r="C344" s="23" t="s">
        <v>41</v>
      </c>
      <c r="D344" s="23" t="s">
        <v>811</v>
      </c>
      <c r="E344" s="24" t="str">
        <f>IFERROR(VLOOKUP(F344, 'api-register-id'!B:F, 5, FALSE), "Not found path.")</f>
        <v>APIMX000077</v>
      </c>
      <c r="F344" s="25" t="s">
        <v>1012</v>
      </c>
      <c r="G344" s="26" t="s">
        <v>3563</v>
      </c>
      <c r="H344" s="22" t="s">
        <v>2841</v>
      </c>
      <c r="I344" s="29" t="str">
        <f>IFERROR(VLOOKUP(F344, 'api-register-id'!B:I, 8, FALSE), "Not found path.")</f>
        <v>1.3.0</v>
      </c>
      <c r="J344" s="3" t="s">
        <v>2836</v>
      </c>
      <c r="K344" s="31" t="s">
        <v>48</v>
      </c>
      <c r="L344" s="23" t="s">
        <v>108</v>
      </c>
      <c r="M344" s="3" t="s">
        <v>2842</v>
      </c>
      <c r="N344" s="3" t="str">
        <f t="shared" si="1"/>
        <v>GET /system/accountManagement/customerPosition/v1/operationalDateFacility/retrieve</v>
      </c>
      <c r="O344" s="32" t="s">
        <v>2844</v>
      </c>
      <c r="P344" s="32"/>
      <c r="Q344" s="61" t="s">
        <v>98</v>
      </c>
      <c r="R344" s="31" t="s">
        <v>56</v>
      </c>
      <c r="S344" s="38" t="str">
        <f t="shared" si="2"/>
        <v>https://github.com/SF-Bancoppel/mx-api-bc-pro-customer-position</v>
      </c>
      <c r="T344" s="40"/>
      <c r="U344" s="22"/>
      <c r="V344" s="40"/>
      <c r="W344" s="40"/>
      <c r="X344" s="40"/>
      <c r="Y344" s="40"/>
      <c r="Z344" s="22"/>
      <c r="AA344" s="22"/>
      <c r="AB344" s="22"/>
    </row>
    <row r="345" ht="18.75" customHeight="1">
      <c r="A345" s="18" t="str">
        <f t="array" ref="A345">IFERROR(
  INDEX(
    'api-register-id'!A:A,
    MATCH(F345, 'api-register-id'!B:B, 0)
  ),
  "Not found Organization"
)</f>
        <v>SSFF</v>
      </c>
      <c r="B345" s="22" t="str">
        <f>IFERROR(VLOOKUP(F345, 'api-register-id'!B:F, 4, FALSE), "Not found path.")</f>
        <v>mx-api-bc-pro-customer-position</v>
      </c>
      <c r="C345" s="23" t="s">
        <v>41</v>
      </c>
      <c r="D345" s="23" t="s">
        <v>811</v>
      </c>
      <c r="E345" s="24" t="str">
        <f>IFERROR(VLOOKUP(F345, 'api-register-id'!B:F, 5, FALSE), "Not found path.")</f>
        <v>APIMX000077</v>
      </c>
      <c r="F345" s="25" t="s">
        <v>1012</v>
      </c>
      <c r="G345" s="26" t="s">
        <v>3569</v>
      </c>
      <c r="H345" s="22" t="s">
        <v>2848</v>
      </c>
      <c r="I345" s="29" t="str">
        <f>IFERROR(VLOOKUP(F345, 'api-register-id'!B:I, 8, FALSE), "Not found path.")</f>
        <v>1.3.0</v>
      </c>
      <c r="J345" s="3" t="s">
        <v>2836</v>
      </c>
      <c r="K345" s="31" t="s">
        <v>48</v>
      </c>
      <c r="L345" s="23" t="s">
        <v>49</v>
      </c>
      <c r="M345" s="3" t="s">
        <v>2851</v>
      </c>
      <c r="N345" s="3" t="str">
        <f t="shared" si="1"/>
        <v>POST /system/accountManagement/customerPosition/v1/maturityDateFacility/evaluate</v>
      </c>
      <c r="O345" s="32" t="s">
        <v>2853</v>
      </c>
      <c r="P345" s="32"/>
      <c r="Q345" s="61" t="s">
        <v>98</v>
      </c>
      <c r="R345" s="31" t="s">
        <v>56</v>
      </c>
      <c r="S345" s="38" t="str">
        <f t="shared" si="2"/>
        <v>https://github.com/SF-Bancoppel/mx-api-bc-pro-customer-position</v>
      </c>
      <c r="T345" s="40"/>
      <c r="U345" s="22"/>
      <c r="V345" s="40"/>
      <c r="W345" s="40"/>
      <c r="X345" s="40"/>
      <c r="Y345" s="40"/>
      <c r="Z345" s="22"/>
      <c r="AA345" s="22"/>
      <c r="AB345" s="22"/>
    </row>
    <row r="346" ht="18.75" customHeight="1">
      <c r="A346" s="18" t="str">
        <f t="array" ref="A346">IFERROR(
  INDEX(
    'api-register-id'!A:A,
    MATCH(F346, 'api-register-id'!B:B, 0)
  ),
  "Not found Organization"
)</f>
        <v>SSFF</v>
      </c>
      <c r="B346" s="22" t="str">
        <f>IFERROR(VLOOKUP(F346, 'api-register-id'!B:F, 4, FALSE), "Not found path.")</f>
        <v>mx-api-bc-pro-customer-product-and-service-eligibility</v>
      </c>
      <c r="C346" s="23" t="s">
        <v>41</v>
      </c>
      <c r="D346" s="23" t="s">
        <v>811</v>
      </c>
      <c r="E346" s="24" t="str">
        <f>IFERROR(VLOOKUP(F346, 'api-register-id'!B:F, 5, FALSE), "Not found path.")</f>
        <v>APIMX000078</v>
      </c>
      <c r="F346" s="25" t="s">
        <v>1023</v>
      </c>
      <c r="G346" s="26" t="s">
        <v>3573</v>
      </c>
      <c r="H346" s="22" t="s">
        <v>2857</v>
      </c>
      <c r="I346" s="29" t="str">
        <f>IFERROR(VLOOKUP(F346, 'api-register-id'!B:I, 8, FALSE), "Not found path.")</f>
        <v>1.1.0</v>
      </c>
      <c r="J346" s="3" t="s">
        <v>3574</v>
      </c>
      <c r="K346" s="31" t="s">
        <v>48</v>
      </c>
      <c r="L346" s="23" t="s">
        <v>49</v>
      </c>
      <c r="M346" s="3" t="s">
        <v>941</v>
      </c>
      <c r="N346" s="3" t="str">
        <f t="shared" si="1"/>
        <v>POST /system/customerManagement/customerProductAndServiceEligibility/v1/customerEligibilityReport/retrieve</v>
      </c>
      <c r="O346" s="32" t="s">
        <v>942</v>
      </c>
      <c r="P346" s="32" t="s">
        <v>652</v>
      </c>
      <c r="Q346" s="61" t="s">
        <v>98</v>
      </c>
      <c r="R346" s="31" t="s">
        <v>56</v>
      </c>
      <c r="S346" s="38" t="str">
        <f t="shared" si="2"/>
        <v>https://github.com/SF-Bancoppel/mx-api-bc-pro-customer-product-and-service-eligibility</v>
      </c>
      <c r="T346" s="40"/>
      <c r="U346" s="22"/>
      <c r="V346" s="22"/>
      <c r="W346" s="40"/>
      <c r="X346" s="40"/>
      <c r="Y346" s="40"/>
      <c r="Z346" s="22"/>
      <c r="AA346" s="22"/>
      <c r="AB346" s="22"/>
    </row>
    <row r="347" ht="18.75" customHeight="1">
      <c r="A347" s="18" t="str">
        <f t="array" ref="A347">IFERROR(
  INDEX(
    'api-register-id'!A:A,
    MATCH(F347, 'api-register-id'!B:B, 0)
  ),
  "Not found Organization"
)</f>
        <v>SSFF</v>
      </c>
      <c r="B347" s="22" t="str">
        <f>IFERROR(VLOOKUP(F347, 'api-register-id'!B:F, 4, FALSE), "Not found path.")</f>
        <v>mx-api-bc-pro-customer-products-and-services</v>
      </c>
      <c r="C347" s="23" t="s">
        <v>41</v>
      </c>
      <c r="D347" s="23" t="s">
        <v>811</v>
      </c>
      <c r="E347" s="24" t="str">
        <f>IFERROR(VLOOKUP(F347, 'api-register-id'!B:F, 5, FALSE), "Not found path.")</f>
        <v>APIMX000079</v>
      </c>
      <c r="F347" s="25" t="s">
        <v>2867</v>
      </c>
      <c r="G347" s="26" t="s">
        <v>3575</v>
      </c>
      <c r="H347" s="22" t="s">
        <v>2868</v>
      </c>
      <c r="I347" s="29" t="str">
        <f>IFERROR(VLOOKUP(F347, 'api-register-id'!B:I, 8, FALSE), "Not found path.")</f>
        <v>1.2.0</v>
      </c>
      <c r="J347" s="3" t="s">
        <v>2869</v>
      </c>
      <c r="K347" s="31" t="s">
        <v>48</v>
      </c>
      <c r="L347" s="23" t="s">
        <v>108</v>
      </c>
      <c r="M347" s="3" t="s">
        <v>948</v>
      </c>
      <c r="N347" s="3" t="str">
        <f t="shared" si="1"/>
        <v>GET /system/customerManagement/customerProductsAndServices/v1/depositAccountFacility/{companyReference}/{customerId}/retrieve</v>
      </c>
      <c r="O347" s="32" t="s">
        <v>949</v>
      </c>
      <c r="P347" s="32"/>
      <c r="Q347" s="61" t="s">
        <v>98</v>
      </c>
      <c r="R347" s="31" t="s">
        <v>56</v>
      </c>
      <c r="S347" s="38" t="str">
        <f t="shared" si="2"/>
        <v>https://github.com/SF-Bancoppel/mx-api-bc-pro-customer-products-and-services</v>
      </c>
      <c r="T347" s="40"/>
      <c r="U347" s="22"/>
      <c r="V347" s="40"/>
      <c r="W347" s="40"/>
      <c r="X347" s="40"/>
      <c r="Y347" s="40"/>
      <c r="Z347" s="22"/>
      <c r="AA347" s="22"/>
      <c r="AB347" s="22"/>
    </row>
    <row r="348" ht="18.75" customHeight="1">
      <c r="A348" s="18" t="str">
        <f t="array" ref="A348">IFERROR(
  INDEX(
    'api-register-id'!A:A,
    MATCH(F348, 'api-register-id'!B:B, 0)
  ),
  "Not found Organization"
)</f>
        <v>SSFF</v>
      </c>
      <c r="B348" s="22" t="str">
        <f>IFERROR(VLOOKUP(F348, 'api-register-id'!B:F, 4, FALSE), "Not found path.")</f>
        <v>mx-api-bc-pro-customer-products-and-services</v>
      </c>
      <c r="C348" s="23" t="s">
        <v>41</v>
      </c>
      <c r="D348" s="23" t="s">
        <v>811</v>
      </c>
      <c r="E348" s="24" t="str">
        <f>IFERROR(VLOOKUP(F348, 'api-register-id'!B:F, 5, FALSE), "Not found path.")</f>
        <v>APIMX000079</v>
      </c>
      <c r="F348" s="25" t="s">
        <v>2867</v>
      </c>
      <c r="G348" s="26" t="s">
        <v>3578</v>
      </c>
      <c r="H348" s="22" t="s">
        <v>2874</v>
      </c>
      <c r="I348" s="29" t="str">
        <f>IFERROR(VLOOKUP(F348, 'api-register-id'!B:I, 8, FALSE), "Not found path.")</f>
        <v>1.2.0</v>
      </c>
      <c r="J348" s="3" t="s">
        <v>2869</v>
      </c>
      <c r="K348" s="31" t="s">
        <v>48</v>
      </c>
      <c r="L348" s="23" t="s">
        <v>49</v>
      </c>
      <c r="M348" s="3" t="s">
        <v>954</v>
      </c>
      <c r="N348" s="3" t="str">
        <f t="shared" si="1"/>
        <v>POST /system/customerManagement/customerProductsAndServices/v1/paymentBalanceFacility/retrieve</v>
      </c>
      <c r="O348" s="32" t="s">
        <v>2876</v>
      </c>
      <c r="P348" s="32"/>
      <c r="Q348" s="61" t="s">
        <v>98</v>
      </c>
      <c r="R348" s="31" t="s">
        <v>56</v>
      </c>
      <c r="S348" s="38" t="str">
        <f t="shared" si="2"/>
        <v>https://github.com/SF-Bancoppel/mx-api-bc-pro-customer-products-and-services</v>
      </c>
      <c r="T348" s="40"/>
      <c r="U348" s="22"/>
      <c r="V348" s="40"/>
      <c r="W348" s="40"/>
      <c r="X348" s="40"/>
      <c r="Y348" s="40"/>
      <c r="Z348" s="22"/>
      <c r="AA348" s="22"/>
      <c r="AB348" s="22"/>
    </row>
    <row r="349" ht="18.75" customHeight="1">
      <c r="A349" s="18" t="str">
        <f t="array" ref="A349">IFERROR(
  INDEX(
    'api-register-id'!A:A,
    MATCH(F349, 'api-register-id'!B:B, 0)
  ),
  "Not found Organization"
)</f>
        <v>SSFF</v>
      </c>
      <c r="B349" s="22" t="str">
        <f>IFERROR(VLOOKUP(F349, 'api-register-id'!B:F, 4, FALSE), "Not found path.")</f>
        <v>mx-api-bc-pro-customer-products-and-services</v>
      </c>
      <c r="C349" s="23" t="s">
        <v>41</v>
      </c>
      <c r="D349" s="23" t="s">
        <v>811</v>
      </c>
      <c r="E349" s="24" t="str">
        <f>IFERROR(VLOOKUP(F349, 'api-register-id'!B:F, 5, FALSE), "Not found path.")</f>
        <v>APIMX000079</v>
      </c>
      <c r="F349" s="25" t="s">
        <v>2867</v>
      </c>
      <c r="G349" s="26" t="s">
        <v>3580</v>
      </c>
      <c r="H349" s="22" t="s">
        <v>2878</v>
      </c>
      <c r="I349" s="29" t="str">
        <f>IFERROR(VLOOKUP(F349, 'api-register-id'!B:I, 8, FALSE), "Not found path.")</f>
        <v>1.2.0</v>
      </c>
      <c r="J349" s="3" t="s">
        <v>2869</v>
      </c>
      <c r="K349" s="31" t="s">
        <v>48</v>
      </c>
      <c r="L349" s="23" t="s">
        <v>49</v>
      </c>
      <c r="M349" s="3" t="s">
        <v>961</v>
      </c>
      <c r="N349" s="3" t="str">
        <f t="shared" si="1"/>
        <v>POST /system/customerManagement/customerProductsAndServices/v1/positiveBalanceFacility/retrieve</v>
      </c>
      <c r="O349" s="32" t="s">
        <v>962</v>
      </c>
      <c r="P349" s="32"/>
      <c r="Q349" s="61" t="s">
        <v>98</v>
      </c>
      <c r="R349" s="31" t="s">
        <v>56</v>
      </c>
      <c r="S349" s="38" t="str">
        <f t="shared" si="2"/>
        <v>https://github.com/SF-Bancoppel/mx-api-bc-pro-customer-products-and-services</v>
      </c>
      <c r="T349" s="40"/>
      <c r="U349" s="22"/>
      <c r="V349" s="40"/>
      <c r="W349" s="40"/>
      <c r="X349" s="40"/>
      <c r="Y349" s="40"/>
      <c r="Z349" s="22"/>
      <c r="AA349" s="22"/>
      <c r="AB349" s="22"/>
    </row>
    <row r="350" ht="18.75" customHeight="1">
      <c r="A350" s="18" t="str">
        <f t="array" ref="A350">IFERROR(
  INDEX(
    'api-register-id'!A:A,
    MATCH(F350, 'api-register-id'!B:B, 0)
  ),
  "Not found Organization"
)</f>
        <v>SSFF</v>
      </c>
      <c r="B350" s="22" t="str">
        <f>IFERROR(VLOOKUP(F350, 'api-register-id'!B:F, 4, FALSE), "Not found path.")</f>
        <v>mx-api-bc-pro-customer-products-and-services</v>
      </c>
      <c r="C350" s="23" t="s">
        <v>41</v>
      </c>
      <c r="D350" s="23" t="s">
        <v>811</v>
      </c>
      <c r="E350" s="24" t="str">
        <f>IFERROR(VLOOKUP(F350, 'api-register-id'!B:F, 5, FALSE), "Not found path.")</f>
        <v>APIMX000079</v>
      </c>
      <c r="F350" s="25" t="s">
        <v>2867</v>
      </c>
      <c r="G350" s="26" t="s">
        <v>3582</v>
      </c>
      <c r="H350" s="22" t="s">
        <v>2885</v>
      </c>
      <c r="I350" s="29" t="str">
        <f>IFERROR(VLOOKUP(F350, 'api-register-id'!B:I, 8, FALSE), "Not found path.")</f>
        <v>1.2.0</v>
      </c>
      <c r="J350" s="3" t="s">
        <v>2869</v>
      </c>
      <c r="K350" s="31" t="s">
        <v>48</v>
      </c>
      <c r="L350" s="23" t="s">
        <v>49</v>
      </c>
      <c r="M350" s="3" t="s">
        <v>965</v>
      </c>
      <c r="N350" s="3" t="str">
        <f t="shared" si="1"/>
        <v>POST /system/customerManagement/customerProductsAndServices/v1/customerProductInformation/retrieve</v>
      </c>
      <c r="O350" s="32" t="s">
        <v>966</v>
      </c>
      <c r="P350" s="32"/>
      <c r="Q350" s="61" t="s">
        <v>3585</v>
      </c>
      <c r="R350" s="31" t="s">
        <v>56</v>
      </c>
      <c r="S350" s="38" t="str">
        <f t="shared" si="2"/>
        <v>https://github.com/SF-Bancoppel/mx-api-bc-pro-customer-products-and-services</v>
      </c>
      <c r="T350" s="40"/>
      <c r="U350" s="22"/>
      <c r="V350" s="40"/>
      <c r="W350" s="40"/>
      <c r="X350" s="40"/>
      <c r="Y350" s="40"/>
      <c r="Z350" s="22"/>
      <c r="AA350" s="22"/>
      <c r="AB350" s="22"/>
    </row>
    <row r="351" ht="18.75" customHeight="1">
      <c r="A351" s="18" t="str">
        <f t="array" ref="A351">IFERROR(
  INDEX(
    'api-register-id'!A:A,
    MATCH(F351, 'api-register-id'!B:B, 0)
  ),
  "Not found Organization"
)</f>
        <v>SSFF</v>
      </c>
      <c r="B351" s="22" t="str">
        <f>IFERROR(VLOOKUP(F351, 'api-register-id'!B:F, 4, FALSE), "Not found path.")</f>
        <v>mx-api-bc-pro-customer-products-and-services</v>
      </c>
      <c r="C351" s="23" t="s">
        <v>41</v>
      </c>
      <c r="D351" s="23" t="s">
        <v>811</v>
      </c>
      <c r="E351" s="24" t="str">
        <f>IFERROR(VLOOKUP(F351, 'api-register-id'!B:F, 5, FALSE), "Not found path.")</f>
        <v>APIMX000079</v>
      </c>
      <c r="F351" s="25" t="s">
        <v>2867</v>
      </c>
      <c r="G351" s="26" t="s">
        <v>3586</v>
      </c>
      <c r="H351" s="22" t="s">
        <v>2891</v>
      </c>
      <c r="I351" s="29" t="str">
        <f>IFERROR(VLOOKUP(F351, 'api-register-id'!B:I, 8, FALSE), "Not found path.")</f>
        <v>1.2.0</v>
      </c>
      <c r="J351" s="3" t="s">
        <v>2869</v>
      </c>
      <c r="K351" s="31" t="s">
        <v>48</v>
      </c>
      <c r="L351" s="23" t="s">
        <v>49</v>
      </c>
      <c r="M351" s="3" t="s">
        <v>973</v>
      </c>
      <c r="N351" s="3" t="str">
        <f t="shared" si="1"/>
        <v>POST /system/customerManagement/customerProductsAndServices/v1/customerProductInformation/evaluate</v>
      </c>
      <c r="O351" s="32" t="s">
        <v>974</v>
      </c>
      <c r="P351" s="32"/>
      <c r="Q351" s="61" t="s">
        <v>98</v>
      </c>
      <c r="R351" s="31" t="s">
        <v>56</v>
      </c>
      <c r="S351" s="38" t="str">
        <f t="shared" si="2"/>
        <v>https://github.com/SF-Bancoppel/mx-api-bc-pro-customer-products-and-services</v>
      </c>
      <c r="T351" s="40"/>
      <c r="U351" s="22"/>
      <c r="V351" s="40"/>
      <c r="W351" s="40"/>
      <c r="X351" s="40"/>
      <c r="Y351" s="40"/>
      <c r="Z351" s="22"/>
      <c r="AA351" s="22"/>
      <c r="AB351" s="22"/>
    </row>
    <row r="352" ht="18.75" customHeight="1">
      <c r="A352" s="18" t="str">
        <f t="array" ref="A352">IFERROR(
  INDEX(
    'api-register-id'!A:A,
    MATCH(F352, 'api-register-id'!B:B, 0)
  ),
  "Not found Organization"
)</f>
        <v>SSFF</v>
      </c>
      <c r="B352" s="22" t="str">
        <f>IFERROR(VLOOKUP(F352, 'api-register-id'!B:F, 4, FALSE), "Not found path.")</f>
        <v>mx-api-bc-pro-customer-products-and-services</v>
      </c>
      <c r="C352" s="23" t="s">
        <v>41</v>
      </c>
      <c r="D352" s="23" t="s">
        <v>811</v>
      </c>
      <c r="E352" s="24" t="str">
        <f>IFERROR(VLOOKUP(F352, 'api-register-id'!B:F, 5, FALSE), "Not found path.")</f>
        <v>APIMX000079</v>
      </c>
      <c r="F352" s="25" t="s">
        <v>2867</v>
      </c>
      <c r="G352" s="26" t="s">
        <v>3589</v>
      </c>
      <c r="H352" s="22" t="s">
        <v>2898</v>
      </c>
      <c r="I352" s="29" t="str">
        <f>IFERROR(VLOOKUP(F352, 'api-register-id'!B:I, 8, FALSE), "Not found path.")</f>
        <v>1.2.0</v>
      </c>
      <c r="J352" s="3" t="s">
        <v>2869</v>
      </c>
      <c r="K352" s="31" t="s">
        <v>48</v>
      </c>
      <c r="L352" s="23" t="s">
        <v>49</v>
      </c>
      <c r="M352" s="3" t="s">
        <v>978</v>
      </c>
      <c r="N352" s="3" t="str">
        <f t="shared" si="1"/>
        <v>POST /system/customerManagement/customerProductsAndServices/v1/accountStatement/retrieve</v>
      </c>
      <c r="O352" s="32" t="s">
        <v>979</v>
      </c>
      <c r="P352" s="32"/>
      <c r="Q352" s="61" t="s">
        <v>98</v>
      </c>
      <c r="R352" s="31" t="s">
        <v>56</v>
      </c>
      <c r="S352" s="38" t="str">
        <f t="shared" si="2"/>
        <v>https://github.com/SF-Bancoppel/mx-api-bc-pro-customer-products-and-services</v>
      </c>
      <c r="T352" s="40"/>
      <c r="U352" s="22"/>
      <c r="V352" s="40"/>
      <c r="W352" s="40"/>
      <c r="X352" s="40"/>
      <c r="Y352" s="40"/>
      <c r="Z352" s="22"/>
      <c r="AA352" s="22"/>
      <c r="AB352" s="22"/>
    </row>
    <row r="353" ht="18.75" customHeight="1">
      <c r="A353" s="18" t="str">
        <f t="array" ref="A353">IFERROR(
  INDEX(
    'api-register-id'!A:A,
    MATCH(F353, 'api-register-id'!B:B, 0)
  ),
  "Not found Organization"
)</f>
        <v>SSFF</v>
      </c>
      <c r="B353" s="22" t="str">
        <f>IFERROR(VLOOKUP(F353, 'api-register-id'!B:F, 4, FALSE), "Not found path.")</f>
        <v>mx-api-bc-pro-customer-products-and-services</v>
      </c>
      <c r="C353" s="23" t="s">
        <v>41</v>
      </c>
      <c r="D353" s="23" t="s">
        <v>811</v>
      </c>
      <c r="E353" s="24" t="str">
        <f>IFERROR(VLOOKUP(F353, 'api-register-id'!B:F, 5, FALSE), "Not found path.")</f>
        <v>APIMX000079</v>
      </c>
      <c r="F353" s="25" t="s">
        <v>2867</v>
      </c>
      <c r="G353" s="26" t="s">
        <v>3594</v>
      </c>
      <c r="H353" s="22" t="s">
        <v>2905</v>
      </c>
      <c r="I353" s="29" t="str">
        <f>IFERROR(VLOOKUP(F353, 'api-register-id'!B:I, 8, FALSE), "Not found path.")</f>
        <v>1.2.0</v>
      </c>
      <c r="J353" s="3" t="s">
        <v>2869</v>
      </c>
      <c r="K353" s="31" t="s">
        <v>48</v>
      </c>
      <c r="L353" s="23" t="s">
        <v>49</v>
      </c>
      <c r="M353" s="3" t="s">
        <v>984</v>
      </c>
      <c r="N353" s="3" t="str">
        <f t="shared" si="1"/>
        <v>POST /system/customerManagement/customerProductsAndServices/v1/product/retrieve</v>
      </c>
      <c r="O353" s="32" t="s">
        <v>985</v>
      </c>
      <c r="P353" s="32"/>
      <c r="Q353" s="61" t="s">
        <v>98</v>
      </c>
      <c r="R353" s="31" t="s">
        <v>56</v>
      </c>
      <c r="S353" s="38" t="str">
        <f t="shared" si="2"/>
        <v>https://github.com/SF-Bancoppel/mx-api-bc-pro-customer-products-and-services</v>
      </c>
      <c r="T353" s="40"/>
      <c r="U353" s="22"/>
      <c r="V353" s="22"/>
      <c r="W353" s="40"/>
      <c r="X353" s="40"/>
      <c r="Y353" s="40"/>
      <c r="Z353" s="22"/>
      <c r="AA353" s="22"/>
      <c r="AB353" s="22"/>
    </row>
    <row r="354" ht="18.75" customHeight="1">
      <c r="A354" s="18" t="str">
        <f t="array" ref="A354">IFERROR(
  INDEX(
    'api-register-id'!A:A,
    MATCH(F354, 'api-register-id'!B:B, 0)
  ),
  "Not found Organization"
)</f>
        <v>SSFF</v>
      </c>
      <c r="B354" s="22" t="str">
        <f>IFERROR(VLOOKUP(F354, 'api-register-id'!B:F, 4, FALSE), "Not found path.")</f>
        <v>mx-api-bc-pro-customer-relationship-management</v>
      </c>
      <c r="C354" s="23" t="s">
        <v>41</v>
      </c>
      <c r="D354" s="23" t="s">
        <v>811</v>
      </c>
      <c r="E354" s="24" t="str">
        <f>IFERROR(VLOOKUP(F354, 'api-register-id'!B:F, 5, FALSE), "Not found path.")</f>
        <v>APIMX000080</v>
      </c>
      <c r="F354" s="25" t="s">
        <v>1044</v>
      </c>
      <c r="G354" s="26" t="s">
        <v>3596</v>
      </c>
      <c r="H354" s="22" t="s">
        <v>2910</v>
      </c>
      <c r="I354" s="29" t="str">
        <f>IFERROR(VLOOKUP(F354, 'api-register-id'!B:I, 8, FALSE), "Not found path.")</f>
        <v>1.0.0</v>
      </c>
      <c r="J354" s="3" t="s">
        <v>2911</v>
      </c>
      <c r="K354" s="31" t="s">
        <v>48</v>
      </c>
      <c r="L354" s="23" t="s">
        <v>49</v>
      </c>
      <c r="M354" s="3" t="s">
        <v>990</v>
      </c>
      <c r="N354" s="3" t="str">
        <f t="shared" si="1"/>
        <v>POST /system/relationshipManagement/customerRelationshipManagement/v1/contact/evaluate</v>
      </c>
      <c r="O354" s="32" t="s">
        <v>991</v>
      </c>
      <c r="P354" s="32" t="s">
        <v>900</v>
      </c>
      <c r="Q354" s="61" t="s">
        <v>98</v>
      </c>
      <c r="R354" s="31" t="s">
        <v>56</v>
      </c>
      <c r="S354" s="38" t="str">
        <f t="shared" si="2"/>
        <v>https://github.com/SF-Bancoppel/mx-api-bc-pro-customer-relationship-management</v>
      </c>
      <c r="T354" s="40"/>
      <c r="U354" s="22"/>
      <c r="V354" s="40"/>
      <c r="W354" s="40"/>
      <c r="X354" s="40"/>
      <c r="Y354" s="40"/>
      <c r="Z354" s="22"/>
      <c r="AA354" s="22"/>
      <c r="AB354" s="22"/>
    </row>
    <row r="355" ht="18.75" customHeight="1">
      <c r="A355" s="18" t="str">
        <f t="array" ref="A355">IFERROR(
  INDEX(
    'api-register-id'!A:A,
    MATCH(F355, 'api-register-id'!B:B, 0)
  ),
  "Not found Organization"
)</f>
        <v>SSFF</v>
      </c>
      <c r="B355" s="22" t="str">
        <f>IFERROR(VLOOKUP(F355, 'api-register-id'!B:F, 4, FALSE), "Not found path.")</f>
        <v>mx-api-bc-pro-customer-workbench</v>
      </c>
      <c r="C355" s="23" t="s">
        <v>41</v>
      </c>
      <c r="D355" s="23" t="s">
        <v>811</v>
      </c>
      <c r="E355" s="24" t="str">
        <f>IFERROR(VLOOKUP(F355, 'api-register-id'!B:F, 5, FALSE), "Not found path.")</f>
        <v>APIMX000081</v>
      </c>
      <c r="F355" s="25" t="s">
        <v>1055</v>
      </c>
      <c r="G355" s="26" t="s">
        <v>3605</v>
      </c>
      <c r="H355" s="22" t="s">
        <v>2917</v>
      </c>
      <c r="I355" s="29" t="str">
        <f>IFERROR(VLOOKUP(F355, 'api-register-id'!B:I, 8, FALSE), "Not found path.")</f>
        <v>1.0.0</v>
      </c>
      <c r="J355" s="3" t="s">
        <v>2918</v>
      </c>
      <c r="K355" s="31" t="s">
        <v>48</v>
      </c>
      <c r="L355" s="23" t="s">
        <v>49</v>
      </c>
      <c r="M355" s="3" t="s">
        <v>396</v>
      </c>
      <c r="N355" s="3" t="str">
        <f t="shared" si="1"/>
        <v>POST /system/crossChannel/customerWorkbench/v1/customerWorkbenchFinancialTransaction/evaluate</v>
      </c>
      <c r="O355" s="32" t="s">
        <v>998</v>
      </c>
      <c r="P355" s="32"/>
      <c r="Q355" s="61" t="s">
        <v>98</v>
      </c>
      <c r="R355" s="31" t="s">
        <v>56</v>
      </c>
      <c r="S355" s="38" t="str">
        <f t="shared" si="2"/>
        <v>https://github.com/SF-Bancoppel/mx-api-bc-pro-customer-workbench</v>
      </c>
      <c r="T355" s="40"/>
      <c r="U355" s="22"/>
      <c r="V355" s="40"/>
      <c r="W355" s="40"/>
      <c r="X355" s="40"/>
      <c r="Y355" s="40"/>
      <c r="Z355" s="22"/>
      <c r="AA355" s="22"/>
      <c r="AB355" s="22"/>
    </row>
    <row r="356" ht="18.75" customHeight="1">
      <c r="A356" s="18" t="str">
        <f t="array" ref="A356">IFERROR(
  INDEX(
    'api-register-id'!A:A,
    MATCH(F356, 'api-register-id'!B:B, 0)
  ),
  "Not found Organization"
)</f>
        <v>SSFF</v>
      </c>
      <c r="B356" s="22" t="str">
        <f>IFERROR(VLOOKUP(F356, 'api-register-id'!B:F, 4, FALSE), "Not found path.")</f>
        <v>mx-api-bc-pro-direct-debit</v>
      </c>
      <c r="C356" s="23" t="s">
        <v>41</v>
      </c>
      <c r="D356" s="23" t="s">
        <v>811</v>
      </c>
      <c r="E356" s="24" t="str">
        <f>IFERROR(VLOOKUP(F356, 'api-register-id'!B:F, 5, FALSE), "Not found path.")</f>
        <v>APIMX000082</v>
      </c>
      <c r="F356" s="25" t="s">
        <v>1065</v>
      </c>
      <c r="G356" s="26" t="s">
        <v>3614</v>
      </c>
      <c r="H356" s="22" t="s">
        <v>2923</v>
      </c>
      <c r="I356" s="29" t="str">
        <f>IFERROR(VLOOKUP(F356, 'api-register-id'!B:I, 8, FALSE), "Not found path.")</f>
        <v>1.0.0</v>
      </c>
      <c r="J356" s="3" t="s">
        <v>2924</v>
      </c>
      <c r="K356" s="31" t="s">
        <v>48</v>
      </c>
      <c r="L356" s="23" t="s">
        <v>49</v>
      </c>
      <c r="M356" s="3" t="s">
        <v>1003</v>
      </c>
      <c r="N356" s="3" t="str">
        <f t="shared" si="1"/>
        <v>POST /system/tradeBanking/directDebit/v1/paymentInitiation/initiate</v>
      </c>
      <c r="O356" s="32" t="s">
        <v>1004</v>
      </c>
      <c r="P356" s="32"/>
      <c r="Q356" s="61" t="s">
        <v>98</v>
      </c>
      <c r="R356" s="31" t="s">
        <v>56</v>
      </c>
      <c r="S356" s="38" t="str">
        <f t="shared" si="2"/>
        <v>https://github.com/SF-Bancoppel/mx-api-bc-pro-direct-debit</v>
      </c>
      <c r="T356" s="40"/>
      <c r="U356" s="22"/>
      <c r="V356" s="40"/>
      <c r="W356" s="40"/>
      <c r="X356" s="40"/>
      <c r="Y356" s="40"/>
      <c r="Z356" s="22"/>
      <c r="AA356" s="22"/>
      <c r="AB356" s="22"/>
    </row>
    <row r="357" ht="18.75" customHeight="1">
      <c r="A357" s="18" t="str">
        <f t="array" ref="A357">IFERROR(
  INDEX(
    'api-register-id'!A:A,
    MATCH(F357, 'api-register-id'!B:B, 0)
  ),
  "Not found Organization"
)</f>
        <v>SSFF</v>
      </c>
      <c r="B357" s="22" t="str">
        <f>IFERROR(VLOOKUP(F357, 'api-register-id'!B:F, 4, FALSE), "Not found path.")</f>
        <v>mx-api-bc-pro-document-directory</v>
      </c>
      <c r="C357" s="23" t="s">
        <v>41</v>
      </c>
      <c r="D357" s="23" t="s">
        <v>811</v>
      </c>
      <c r="E357" s="24" t="str">
        <f>IFERROR(VLOOKUP(F357, 'api-register-id'!B:F, 5, FALSE), "Not found path.")</f>
        <v>APIMX000083</v>
      </c>
      <c r="F357" s="25" t="s">
        <v>1075</v>
      </c>
      <c r="G357" s="26" t="s">
        <v>3620</v>
      </c>
      <c r="H357" s="22" t="s">
        <v>2930</v>
      </c>
      <c r="I357" s="29" t="str">
        <f>IFERROR(VLOOKUP(F357, 'api-register-id'!B:I, 8, FALSE), "Not found path.")</f>
        <v>1.0.0</v>
      </c>
      <c r="J357" s="3" t="s">
        <v>2931</v>
      </c>
      <c r="K357" s="31" t="s">
        <v>48</v>
      </c>
      <c r="L357" s="23" t="s">
        <v>49</v>
      </c>
      <c r="M357" s="3" t="s">
        <v>1010</v>
      </c>
      <c r="N357" s="3" t="str">
        <f t="shared" si="1"/>
        <v>POST /system/documentManagementAndArchive/documentDirectory/v1/documentDirectoryEntry/register</v>
      </c>
      <c r="O357" s="32" t="s">
        <v>1011</v>
      </c>
      <c r="P357" s="32"/>
      <c r="Q357" s="61" t="s">
        <v>98</v>
      </c>
      <c r="R357" s="31" t="s">
        <v>56</v>
      </c>
      <c r="S357" s="38" t="str">
        <f t="shared" si="2"/>
        <v>https://github.com/SF-Bancoppel/mx-api-bc-pro-document-directory</v>
      </c>
      <c r="T357" s="40"/>
      <c r="U357" s="22"/>
      <c r="V357" s="40"/>
      <c r="W357" s="40"/>
      <c r="X357" s="40"/>
      <c r="Y357" s="40"/>
      <c r="Z357" s="22"/>
      <c r="AA357" s="22"/>
      <c r="AB357" s="22"/>
    </row>
    <row r="358" ht="18.75" customHeight="1">
      <c r="A358" s="18" t="str">
        <f t="array" ref="A358">IFERROR(
  INDEX(
    'api-register-id'!A:A,
    MATCH(F358, 'api-register-id'!B:B, 0)
  ),
  "Not found Organization"
)</f>
        <v>SSFF</v>
      </c>
      <c r="B358" s="22" t="str">
        <f>IFERROR(VLOOKUP(F358, 'api-register-id'!B:F, 4, FALSE), "Not found path.")</f>
        <v>mx-api-bc-pro-document-directory</v>
      </c>
      <c r="C358" s="23" t="s">
        <v>41</v>
      </c>
      <c r="D358" s="23" t="s">
        <v>811</v>
      </c>
      <c r="E358" s="24" t="str">
        <f>IFERROR(VLOOKUP(F358, 'api-register-id'!B:F, 5, FALSE), "Not found path.")</f>
        <v>APIMX000083</v>
      </c>
      <c r="F358" s="25" t="s">
        <v>1075</v>
      </c>
      <c r="G358" s="26" t="s">
        <v>3627</v>
      </c>
      <c r="H358" s="22" t="s">
        <v>2940</v>
      </c>
      <c r="I358" s="29" t="str">
        <f>IFERROR(VLOOKUP(F358, 'api-register-id'!B:I, 8, FALSE), "Not found path.")</f>
        <v>1.0.0</v>
      </c>
      <c r="J358" s="3" t="s">
        <v>2931</v>
      </c>
      <c r="K358" s="31" t="s">
        <v>48</v>
      </c>
      <c r="L358" s="23" t="s">
        <v>49</v>
      </c>
      <c r="M358" s="3" t="s">
        <v>1017</v>
      </c>
      <c r="N358" s="3" t="str">
        <f t="shared" si="1"/>
        <v>POST /system/documentManagementAndArchive/documentDirectory/v1/documentDirectoryEntry/evaluate</v>
      </c>
      <c r="O358" s="32" t="s">
        <v>1018</v>
      </c>
      <c r="P358" s="32"/>
      <c r="Q358" s="61" t="s">
        <v>98</v>
      </c>
      <c r="R358" s="31" t="s">
        <v>56</v>
      </c>
      <c r="S358" s="38" t="str">
        <f t="shared" si="2"/>
        <v>https://github.com/SF-Bancoppel/mx-api-bc-pro-document-directory</v>
      </c>
      <c r="T358" s="40"/>
      <c r="U358" s="22"/>
      <c r="V358" s="40"/>
      <c r="W358" s="40"/>
      <c r="X358" s="40"/>
      <c r="Y358" s="40"/>
      <c r="Z358" s="22"/>
      <c r="AA358" s="22"/>
      <c r="AB358" s="22"/>
    </row>
    <row r="359" ht="18.75" customHeight="1">
      <c r="A359" s="18" t="str">
        <f t="array" ref="A359">IFERROR(
  INDEX(
    'api-register-id'!A:A,
    MATCH(F359, 'api-register-id'!B:B, 0)
  ),
  "Not found Organization"
)</f>
        <v>SSFF</v>
      </c>
      <c r="B359" s="22" t="str">
        <f>IFERROR(VLOOKUP(F359, 'api-register-id'!B:F, 4, FALSE), "Not found path.")</f>
        <v>mx-api-bc-pro-document-directory</v>
      </c>
      <c r="C359" s="23" t="s">
        <v>41</v>
      </c>
      <c r="D359" s="23" t="s">
        <v>811</v>
      </c>
      <c r="E359" s="24" t="str">
        <f>IFERROR(VLOOKUP(F359, 'api-register-id'!B:F, 5, FALSE), "Not found path.")</f>
        <v>APIMX000083</v>
      </c>
      <c r="F359" s="25" t="s">
        <v>1075</v>
      </c>
      <c r="G359" s="26" t="s">
        <v>3633</v>
      </c>
      <c r="H359" s="22" t="s">
        <v>2945</v>
      </c>
      <c r="I359" s="29" t="str">
        <f>IFERROR(VLOOKUP(F359, 'api-register-id'!B:I, 8, FALSE), "Not found path.")</f>
        <v>1.0.0</v>
      </c>
      <c r="J359" s="3" t="s">
        <v>2931</v>
      </c>
      <c r="K359" s="31" t="s">
        <v>48</v>
      </c>
      <c r="L359" s="23" t="s">
        <v>49</v>
      </c>
      <c r="M359" s="3" t="s">
        <v>1021</v>
      </c>
      <c r="N359" s="3" t="str">
        <f t="shared" si="1"/>
        <v>POST /system/documentManagementAndArchive/documentDirectory/v1/documentDirectoryEntry/initiate</v>
      </c>
      <c r="O359" s="32" t="s">
        <v>1022</v>
      </c>
      <c r="P359" s="32"/>
      <c r="Q359" s="61" t="s">
        <v>98</v>
      </c>
      <c r="R359" s="31" t="s">
        <v>56</v>
      </c>
      <c r="S359" s="38" t="str">
        <f t="shared" si="2"/>
        <v>https://github.com/SF-Bancoppel/mx-api-bc-pro-document-directory</v>
      </c>
      <c r="T359" s="40"/>
      <c r="U359" s="22"/>
      <c r="V359" s="22"/>
      <c r="W359" s="40"/>
      <c r="X359" s="40"/>
      <c r="Y359" s="40"/>
      <c r="Z359" s="22"/>
      <c r="AA359" s="22"/>
      <c r="AB359" s="22"/>
    </row>
    <row r="360" ht="18.75" customHeight="1">
      <c r="A360" s="18" t="str">
        <f t="array" ref="A360">IFERROR(
  INDEX(
    'api-register-id'!A:A,
    MATCH(F360, 'api-register-id'!B:B, 0)
  ),
  "Not found Organization"
)</f>
        <v>SSFF</v>
      </c>
      <c r="B360" s="22" t="str">
        <f>IFERROR(VLOOKUP(F360, 'api-register-id'!B:F, 4, FALSE), "Not found path.")</f>
        <v>mx-api-bc-pro-document-services</v>
      </c>
      <c r="C360" s="23" t="s">
        <v>41</v>
      </c>
      <c r="D360" s="23" t="s">
        <v>811</v>
      </c>
      <c r="E360" s="24" t="str">
        <f>IFERROR(VLOOKUP(F360, 'api-register-id'!B:F, 5, FALSE), "Not found path.")</f>
        <v>APIMX000084</v>
      </c>
      <c r="F360" s="25" t="s">
        <v>1088</v>
      </c>
      <c r="G360" s="26" t="s">
        <v>3641</v>
      </c>
      <c r="H360" s="22" t="s">
        <v>2949</v>
      </c>
      <c r="I360" s="29" t="str">
        <f>IFERROR(VLOOKUP(F360, 'api-register-id'!B:I, 8, FALSE), "Not found path.")</f>
        <v>1.7.0</v>
      </c>
      <c r="J360" s="3" t="s">
        <v>2950</v>
      </c>
      <c r="K360" s="31" t="s">
        <v>48</v>
      </c>
      <c r="L360" s="23" t="s">
        <v>49</v>
      </c>
      <c r="M360" s="3" t="s">
        <v>1029</v>
      </c>
      <c r="N360" s="3" t="str">
        <f t="shared" si="1"/>
        <v>POST /system/documentManagementAndArchive/documentServices/v1/documentServiceProcedure/register</v>
      </c>
      <c r="O360" s="32" t="s">
        <v>3643</v>
      </c>
      <c r="P360" s="32"/>
      <c r="Q360" s="61" t="s">
        <v>3644</v>
      </c>
      <c r="R360" s="31" t="s">
        <v>56</v>
      </c>
      <c r="S360" s="38" t="str">
        <f t="shared" si="2"/>
        <v>https://github.com/SF-Bancoppel/mx-api-bc-pro-document-services</v>
      </c>
      <c r="T360" s="40"/>
      <c r="U360" s="22"/>
      <c r="V360" s="40"/>
      <c r="W360" s="40"/>
      <c r="X360" s="40"/>
      <c r="Y360" s="40"/>
      <c r="Z360" s="22"/>
      <c r="AA360" s="22"/>
      <c r="AB360" s="22"/>
    </row>
    <row r="361" ht="18.75" customHeight="1">
      <c r="A361" s="18" t="str">
        <f t="array" ref="A361">IFERROR(
  INDEX(
    'api-register-id'!A:A,
    MATCH(F361, 'api-register-id'!B:B, 0)
  ),
  "Not found Organization"
)</f>
        <v>SSFF</v>
      </c>
      <c r="B361" s="22" t="str">
        <f>IFERROR(VLOOKUP(F361, 'api-register-id'!B:F, 4, FALSE), "Not found path.")</f>
        <v>mx-api-bc-pro-financial-accounting</v>
      </c>
      <c r="C361" s="23" t="s">
        <v>41</v>
      </c>
      <c r="D361" s="23" t="s">
        <v>811</v>
      </c>
      <c r="E361" s="24" t="str">
        <f>IFERROR(VLOOKUP(F361, 'api-register-id'!B:F, 5, FALSE), "Not found path.")</f>
        <v>APIMX000085</v>
      </c>
      <c r="F361" s="25" t="s">
        <v>1097</v>
      </c>
      <c r="G361" s="26" t="s">
        <v>3649</v>
      </c>
      <c r="H361" s="22" t="s">
        <v>2958</v>
      </c>
      <c r="I361" s="29" t="str">
        <f>IFERROR(VLOOKUP(F361, 'api-register-id'!B:I, 8, FALSE), "Not found path.")</f>
        <v>1.0.0</v>
      </c>
      <c r="J361" s="3" t="s">
        <v>2959</v>
      </c>
      <c r="K361" s="31" t="s">
        <v>48</v>
      </c>
      <c r="L361" s="23" t="s">
        <v>108</v>
      </c>
      <c r="M361" s="3" t="s">
        <v>1036</v>
      </c>
      <c r="N361" s="3" t="str">
        <f t="shared" si="1"/>
        <v>GET /system/regulationsAndCompliance/financialAccounting/v1/financialBookingLog/retrieve</v>
      </c>
      <c r="O361" s="32" t="s">
        <v>1037</v>
      </c>
      <c r="P361" s="32"/>
      <c r="Q361" s="61" t="s">
        <v>98</v>
      </c>
      <c r="R361" s="31" t="s">
        <v>56</v>
      </c>
      <c r="S361" s="38" t="str">
        <f t="shared" si="2"/>
        <v>https://github.com/SF-Bancoppel/mx-api-bc-pro-financial-accounting</v>
      </c>
      <c r="T361" s="40"/>
      <c r="U361" s="22"/>
      <c r="V361" s="40"/>
      <c r="W361" s="40"/>
      <c r="X361" s="40"/>
      <c r="Y361" s="40"/>
      <c r="Z361" s="22"/>
      <c r="AA361" s="22"/>
      <c r="AB361" s="22"/>
    </row>
    <row r="362" ht="18.75" customHeight="1">
      <c r="A362" s="18" t="str">
        <f t="array" ref="A362">IFERROR(
  INDEX(
    'api-register-id'!A:A,
    MATCH(F362, 'api-register-id'!B:B, 0)
  ),
  "Not found Organization"
)</f>
        <v>SSFF</v>
      </c>
      <c r="B362" s="22" t="str">
        <f>IFERROR(VLOOKUP(F362, 'api-register-id'!B:F, 4, FALSE), "Not found path.")</f>
        <v>mx-api-bc-pro-financial-accounting</v>
      </c>
      <c r="C362" s="23" t="s">
        <v>41</v>
      </c>
      <c r="D362" s="23" t="s">
        <v>811</v>
      </c>
      <c r="E362" s="24" t="str">
        <f>IFERROR(VLOOKUP(F362, 'api-register-id'!B:F, 5, FALSE), "Not found path.")</f>
        <v>APIMX000085</v>
      </c>
      <c r="F362" s="25" t="s">
        <v>1097</v>
      </c>
      <c r="G362" s="26" t="s">
        <v>3658</v>
      </c>
      <c r="H362" s="22" t="s">
        <v>2963</v>
      </c>
      <c r="I362" s="29" t="str">
        <f>IFERROR(VLOOKUP(F362, 'api-register-id'!B:I, 8, FALSE), "Not found path.")</f>
        <v>1.0.0</v>
      </c>
      <c r="J362" s="3" t="s">
        <v>2959</v>
      </c>
      <c r="K362" s="31" t="s">
        <v>48</v>
      </c>
      <c r="L362" s="23" t="s">
        <v>428</v>
      </c>
      <c r="M362" s="3" t="s">
        <v>1042</v>
      </c>
      <c r="N362" s="3" t="str">
        <f t="shared" si="1"/>
        <v>PATCH /system/regulationsAndCompliance/financialAccounting/v1/financialBookingLog/capture</v>
      </c>
      <c r="O362" s="32" t="s">
        <v>1043</v>
      </c>
      <c r="P362" s="32"/>
      <c r="Q362" s="61" t="s">
        <v>98</v>
      </c>
      <c r="R362" s="31" t="s">
        <v>56</v>
      </c>
      <c r="S362" s="38" t="str">
        <f t="shared" si="2"/>
        <v>https://github.com/SF-Bancoppel/mx-api-bc-pro-financial-accounting</v>
      </c>
      <c r="T362" s="40"/>
      <c r="U362" s="40"/>
      <c r="V362" s="40"/>
      <c r="W362" s="40"/>
      <c r="X362" s="40"/>
      <c r="Y362" s="40"/>
      <c r="Z362" s="40"/>
      <c r="AA362" s="40"/>
      <c r="AB362" s="40"/>
    </row>
    <row r="363" ht="18.75" customHeight="1">
      <c r="A363" s="18" t="str">
        <f t="array" ref="A363">IFERROR(
  INDEX(
    'api-register-id'!A:A,
    MATCH(F363, 'api-register-id'!B:B, 0)
  ),
  "Not found Organization"
)</f>
        <v>SSFF</v>
      </c>
      <c r="B363" s="22" t="str">
        <f>IFERROR(VLOOKUP(F363, 'api-register-id'!B:F, 4, FALSE), "Not found path.")</f>
        <v>mx-api-bc-pro-financial-accounting</v>
      </c>
      <c r="C363" s="23" t="s">
        <v>41</v>
      </c>
      <c r="D363" s="23" t="s">
        <v>811</v>
      </c>
      <c r="E363" s="24" t="str">
        <f>IFERROR(VLOOKUP(F363, 'api-register-id'!B:F, 5, FALSE), "Not found path.")</f>
        <v>APIMX000085</v>
      </c>
      <c r="F363" s="25" t="s">
        <v>1097</v>
      </c>
      <c r="G363" s="26" t="s">
        <v>3665</v>
      </c>
      <c r="H363" s="22" t="s">
        <v>2968</v>
      </c>
      <c r="I363" s="29" t="str">
        <f>IFERROR(VLOOKUP(F363, 'api-register-id'!B:I, 8, FALSE), "Not found path.")</f>
        <v>1.0.0</v>
      </c>
      <c r="J363" s="3" t="s">
        <v>2959</v>
      </c>
      <c r="K363" s="31" t="s">
        <v>48</v>
      </c>
      <c r="L363" s="23" t="s">
        <v>428</v>
      </c>
      <c r="M363" s="3" t="s">
        <v>1049</v>
      </c>
      <c r="N363" s="3" t="str">
        <f t="shared" si="1"/>
        <v>PATCH /system/regulationsAndCompliance/financialAccounting/v1/financialBookingLog/update</v>
      </c>
      <c r="O363" s="32" t="s">
        <v>1050</v>
      </c>
      <c r="P363" s="32"/>
      <c r="Q363" s="61" t="s">
        <v>98</v>
      </c>
      <c r="R363" s="31" t="s">
        <v>56</v>
      </c>
      <c r="S363" s="38" t="str">
        <f t="shared" si="2"/>
        <v>https://github.com/SF-Bancoppel/mx-api-bc-pro-financial-accounting</v>
      </c>
      <c r="T363" s="40"/>
      <c r="U363" s="40"/>
      <c r="V363" s="40"/>
      <c r="W363" s="40"/>
      <c r="X363" s="40"/>
      <c r="Y363" s="40"/>
      <c r="Z363" s="40"/>
      <c r="AA363" s="40"/>
      <c r="AB363" s="40"/>
    </row>
    <row r="364" ht="18.75" customHeight="1">
      <c r="A364" s="18" t="str">
        <f t="array" ref="A364">IFERROR(
  INDEX(
    'api-register-id'!A:A,
    MATCH(F364, 'api-register-id'!B:B, 0)
  ),
  "Not found Organization"
)</f>
        <v>SSFF</v>
      </c>
      <c r="B364" s="22" t="str">
        <f>IFERROR(VLOOKUP(F364, 'api-register-id'!B:F, 4, FALSE), "Not found path.")</f>
        <v>mx-api-bc-pro-financial-accounting</v>
      </c>
      <c r="C364" s="23" t="s">
        <v>41</v>
      </c>
      <c r="D364" s="23" t="s">
        <v>811</v>
      </c>
      <c r="E364" s="24" t="str">
        <f>IFERROR(VLOOKUP(F364, 'api-register-id'!B:F, 5, FALSE), "Not found path.")</f>
        <v>APIMX000085</v>
      </c>
      <c r="F364" s="25" t="s">
        <v>1097</v>
      </c>
      <c r="G364" s="26" t="s">
        <v>3674</v>
      </c>
      <c r="H364" s="22" t="s">
        <v>2974</v>
      </c>
      <c r="I364" s="29" t="str">
        <f>IFERROR(VLOOKUP(F364, 'api-register-id'!B:I, 8, FALSE), "Not found path.")</f>
        <v>1.0.0</v>
      </c>
      <c r="J364" s="3" t="s">
        <v>2959</v>
      </c>
      <c r="K364" s="31" t="s">
        <v>48</v>
      </c>
      <c r="L364" s="23" t="s">
        <v>49</v>
      </c>
      <c r="M364" s="3" t="s">
        <v>1053</v>
      </c>
      <c r="N364" s="3" t="str">
        <f t="shared" si="1"/>
        <v>POST /system/regulationsAndCompliance/financialAccounting/v1/financialBookingLog/register</v>
      </c>
      <c r="O364" s="32" t="s">
        <v>1050</v>
      </c>
      <c r="P364" s="32"/>
      <c r="Q364" s="61" t="s">
        <v>98</v>
      </c>
      <c r="R364" s="31" t="s">
        <v>56</v>
      </c>
      <c r="S364" s="38" t="str">
        <f t="shared" si="2"/>
        <v>https://github.com/SF-Bancoppel/mx-api-bc-pro-financial-accounting</v>
      </c>
      <c r="T364" s="40"/>
      <c r="U364" s="22"/>
      <c r="V364" s="40"/>
      <c r="W364" s="40"/>
      <c r="X364" s="40"/>
      <c r="Y364" s="40"/>
      <c r="Z364" s="22"/>
      <c r="AA364" s="22"/>
      <c r="AB364" s="22"/>
    </row>
    <row r="365" ht="18.75" customHeight="1">
      <c r="A365" s="18" t="str">
        <f t="array" ref="A365">IFERROR(
  INDEX(
    'api-register-id'!A:A,
    MATCH(F365, 'api-register-id'!B:B, 0)
  ),
  "Not found Organization"
)</f>
        <v>SSFF</v>
      </c>
      <c r="B365" s="22" t="str">
        <f>IFERROR(VLOOKUP(F365, 'api-register-id'!B:F, 4, FALSE), "Not found path.")</f>
        <v>mx-api-bc-pro-fraud-resolution</v>
      </c>
      <c r="C365" s="23" t="s">
        <v>41</v>
      </c>
      <c r="D365" s="23" t="s">
        <v>811</v>
      </c>
      <c r="E365" s="24" t="str">
        <f>IFERROR(VLOOKUP(F365, 'api-register-id'!B:F, 5, FALSE), "Not found path.")</f>
        <v>APIMX000086</v>
      </c>
      <c r="F365" s="25" t="s">
        <v>1111</v>
      </c>
      <c r="G365" s="26" t="s">
        <v>3680</v>
      </c>
      <c r="H365" s="22" t="s">
        <v>2981</v>
      </c>
      <c r="I365" s="29" t="str">
        <f>IFERROR(VLOOKUP(F365, 'api-register-id'!B:I, 8, FALSE), "Not found path.")</f>
        <v>1.0.0</v>
      </c>
      <c r="J365" s="3" t="s">
        <v>2982</v>
      </c>
      <c r="K365" s="31" t="s">
        <v>48</v>
      </c>
      <c r="L365" s="23" t="s">
        <v>428</v>
      </c>
      <c r="M365" s="3" t="s">
        <v>1061</v>
      </c>
      <c r="N365" s="3" t="str">
        <f t="shared" si="1"/>
        <v>PATCH /system/regulationsAndCompliance/fraudResolution/v1/fraudResolutionProcedure/update</v>
      </c>
      <c r="O365" s="32" t="s">
        <v>2984</v>
      </c>
      <c r="P365" s="32"/>
      <c r="Q365" s="61" t="s">
        <v>98</v>
      </c>
      <c r="R365" s="31" t="s">
        <v>56</v>
      </c>
      <c r="S365" s="38" t="str">
        <f t="shared" si="2"/>
        <v>https://github.com/SF-Bancoppel/mx-api-bc-pro-fraud-resolution</v>
      </c>
      <c r="T365" s="40"/>
      <c r="U365" s="22"/>
      <c r="V365" s="40"/>
      <c r="W365" s="40"/>
      <c r="X365" s="40"/>
      <c r="Y365" s="40"/>
      <c r="Z365" s="22"/>
      <c r="AA365" s="22"/>
      <c r="AB365" s="22"/>
    </row>
    <row r="366" ht="18.75" customHeight="1">
      <c r="A366" s="18" t="str">
        <f t="array" ref="A366">IFERROR(
  INDEX(
    'api-register-id'!A:A,
    MATCH(F366, 'api-register-id'!B:B, 0)
  ),
  "Not found Organization"
)</f>
        <v>SSFF</v>
      </c>
      <c r="B366" s="22" t="str">
        <f>IFERROR(VLOOKUP(F366, 'api-register-id'!B:F, 4, FALSE), "Not found path.")</f>
        <v>mx-api-bc-pro-interactive-help</v>
      </c>
      <c r="C366" s="23" t="s">
        <v>41</v>
      </c>
      <c r="D366" s="23" t="s">
        <v>811</v>
      </c>
      <c r="E366" s="24" t="str">
        <f>IFERROR(VLOOKUP(F366, 'api-register-id'!B:F, 5, FALSE), "Not found path.")</f>
        <v>APIMX000087</v>
      </c>
      <c r="F366" s="25" t="s">
        <v>1121</v>
      </c>
      <c r="G366" s="26" t="s">
        <v>3689</v>
      </c>
      <c r="H366" s="22" t="s">
        <v>2990</v>
      </c>
      <c r="I366" s="29" t="str">
        <f>IFERROR(VLOOKUP(F366, 'api-register-id'!B:I, 8, FALSE), "Not found path.")</f>
        <v>1.0.0</v>
      </c>
      <c r="J366" s="3" t="s">
        <v>2991</v>
      </c>
      <c r="K366" s="31" t="s">
        <v>48</v>
      </c>
      <c r="L366" s="23" t="s">
        <v>428</v>
      </c>
      <c r="M366" s="3" t="s">
        <v>1067</v>
      </c>
      <c r="N366" s="3" t="str">
        <f t="shared" si="1"/>
        <v>PATCH /system/crossChannel/interactiveHelp/v1/customerProductRelation/update</v>
      </c>
      <c r="O366" s="32" t="s">
        <v>1068</v>
      </c>
      <c r="P366" s="32"/>
      <c r="Q366" s="61" t="s">
        <v>98</v>
      </c>
      <c r="R366" s="31" t="s">
        <v>56</v>
      </c>
      <c r="S366" s="38" t="str">
        <f t="shared" si="2"/>
        <v>https://github.com/SF-Bancoppel/mx-api-bc-pro-interactive-help</v>
      </c>
      <c r="T366" s="40"/>
      <c r="U366" s="22"/>
      <c r="V366" s="40"/>
      <c r="W366" s="40"/>
      <c r="X366" s="40"/>
      <c r="Y366" s="40"/>
      <c r="Z366" s="22"/>
      <c r="AA366" s="22"/>
      <c r="AB366" s="22"/>
    </row>
    <row r="367" ht="18.75" customHeight="1">
      <c r="A367" s="18" t="str">
        <f t="array" ref="A367">IFERROR(
  INDEX(
    'api-register-id'!A:A,
    MATCH(F367, 'api-register-id'!B:B, 0)
  ),
  "Not found Organization"
)</f>
        <v>SSFF</v>
      </c>
      <c r="B367" s="22" t="str">
        <f>IFERROR(VLOOKUP(F367, 'api-register-id'!B:F, 4, FALSE), "Not found path.")</f>
        <v>mx-api-bc-pro-interactive-help</v>
      </c>
      <c r="C367" s="23" t="s">
        <v>41</v>
      </c>
      <c r="D367" s="23" t="s">
        <v>811</v>
      </c>
      <c r="E367" s="24" t="str">
        <f>IFERROR(VLOOKUP(F367, 'api-register-id'!B:F, 5, FALSE), "Not found path.")</f>
        <v>APIMX000087</v>
      </c>
      <c r="F367" s="25" t="s">
        <v>1121</v>
      </c>
      <c r="G367" s="26" t="s">
        <v>3695</v>
      </c>
      <c r="H367" s="22" t="s">
        <v>2996</v>
      </c>
      <c r="I367" s="29" t="str">
        <f>IFERROR(VLOOKUP(F367, 'api-register-id'!B:I, 8, FALSE), "Not found path.")</f>
        <v>1.0.0</v>
      </c>
      <c r="J367" s="3" t="s">
        <v>2991</v>
      </c>
      <c r="K367" s="31" t="s">
        <v>48</v>
      </c>
      <c r="L367" s="23" t="s">
        <v>49</v>
      </c>
      <c r="M367" s="3" t="s">
        <v>1073</v>
      </c>
      <c r="N367" s="3" t="str">
        <f t="shared" si="1"/>
        <v>POST /system/crossChannel/interactiveHelp/v1/customerProductRelation/register</v>
      </c>
      <c r="O367" s="32" t="s">
        <v>1074</v>
      </c>
      <c r="P367" s="32"/>
      <c r="Q367" s="61" t="s">
        <v>98</v>
      </c>
      <c r="R367" s="31" t="s">
        <v>56</v>
      </c>
      <c r="S367" s="38" t="str">
        <f t="shared" si="2"/>
        <v>https://github.com/SF-Bancoppel/mx-api-bc-pro-interactive-help</v>
      </c>
      <c r="T367" s="40"/>
      <c r="U367" s="22"/>
      <c r="V367" s="40"/>
      <c r="W367" s="40"/>
      <c r="X367" s="40"/>
      <c r="Y367" s="40"/>
      <c r="Z367" s="22"/>
      <c r="AA367" s="22"/>
      <c r="AB367" s="22"/>
    </row>
    <row r="368" ht="18.75" customHeight="1">
      <c r="A368" s="18" t="str">
        <f t="array" ref="A368">IFERROR(
  INDEX(
    'api-register-id'!A:A,
    MATCH(F368, 'api-register-id'!B:B, 0)
  ),
  "Not found Organization"
)</f>
        <v>SSFF</v>
      </c>
      <c r="B368" s="22" t="str">
        <f>IFERROR(VLOOKUP(F368, 'api-register-id'!B:F, 4, FALSE), "Not found path.")</f>
        <v>mx-api-bc-pro-internal-bank-account</v>
      </c>
      <c r="C368" s="23" t="s">
        <v>41</v>
      </c>
      <c r="D368" s="23" t="s">
        <v>811</v>
      </c>
      <c r="E368" s="24" t="str">
        <f>IFERROR(VLOOKUP(F368, 'api-register-id'!B:F, 5, FALSE), "Not found path.")</f>
        <v>APIMX000088</v>
      </c>
      <c r="F368" s="25" t="s">
        <v>1134</v>
      </c>
      <c r="G368" s="26" t="s">
        <v>3704</v>
      </c>
      <c r="H368" s="22" t="s">
        <v>3000</v>
      </c>
      <c r="I368" s="29" t="str">
        <f>IFERROR(VLOOKUP(F368, 'api-register-id'!B:I, 8, FALSE), "Not found path.")</f>
        <v>1.0.0</v>
      </c>
      <c r="J368" s="3" t="s">
        <v>3001</v>
      </c>
      <c r="K368" s="31" t="s">
        <v>48</v>
      </c>
      <c r="L368" s="23" t="s">
        <v>49</v>
      </c>
      <c r="M368" s="3" t="s">
        <v>1081</v>
      </c>
      <c r="N368" s="3" t="str">
        <f t="shared" si="1"/>
        <v>POST /system/operationalService/internalBankAccount/v1/internalBankAccountReference/retrieve</v>
      </c>
      <c r="O368" s="32" t="s">
        <v>1082</v>
      </c>
      <c r="P368" s="32" t="s">
        <v>3003</v>
      </c>
      <c r="Q368" s="61" t="s">
        <v>98</v>
      </c>
      <c r="R368" s="31" t="s">
        <v>56</v>
      </c>
      <c r="S368" s="38" t="str">
        <f t="shared" si="2"/>
        <v>https://github.com/SF-Bancoppel/mx-api-bc-pro-internal-bank-account</v>
      </c>
      <c r="T368" s="40"/>
      <c r="U368" s="40"/>
      <c r="V368" s="40"/>
      <c r="W368" s="40"/>
      <c r="X368" s="40"/>
      <c r="Y368" s="40"/>
      <c r="Z368" s="40"/>
      <c r="AA368" s="40"/>
      <c r="AB368" s="40"/>
    </row>
    <row r="369" ht="18.75" customHeight="1">
      <c r="A369" s="18" t="str">
        <f t="array" ref="A369">IFERROR(
  INDEX(
    'api-register-id'!A:A,
    MATCH(F369, 'api-register-id'!B:B, 0)
  ),
  "Not found Organization"
)</f>
        <v>SSFF</v>
      </c>
      <c r="B369" s="22" t="str">
        <f>IFERROR(VLOOKUP(F369, 'api-register-id'!B:F, 4, FALSE), "Not found path.")</f>
        <v>mx-api-bc-pro-internal-bank-account</v>
      </c>
      <c r="C369" s="23" t="s">
        <v>41</v>
      </c>
      <c r="D369" s="23" t="s">
        <v>811</v>
      </c>
      <c r="E369" s="24" t="str">
        <f>IFERROR(VLOOKUP(F369, 'api-register-id'!B:F, 5, FALSE), "Not found path.")</f>
        <v>APIMX000088</v>
      </c>
      <c r="F369" s="25" t="s">
        <v>1134</v>
      </c>
      <c r="G369" s="26" t="s">
        <v>3713</v>
      </c>
      <c r="H369" s="22" t="s">
        <v>3007</v>
      </c>
      <c r="I369" s="29" t="str">
        <f>IFERROR(VLOOKUP(F369, 'api-register-id'!B:I, 8, FALSE), "Not found path.")</f>
        <v>1.0.0</v>
      </c>
      <c r="J369" s="3" t="s">
        <v>3001</v>
      </c>
      <c r="K369" s="31" t="s">
        <v>48</v>
      </c>
      <c r="L369" s="23" t="s">
        <v>108</v>
      </c>
      <c r="M369" s="3" t="s">
        <v>1086</v>
      </c>
      <c r="N369" s="3" t="str">
        <f t="shared" si="1"/>
        <v>GET /system/operationalService/internalBankAccount/v1/internalBank/retrieve</v>
      </c>
      <c r="O369" s="32" t="s">
        <v>1087</v>
      </c>
      <c r="P369" s="32" t="s">
        <v>3003</v>
      </c>
      <c r="Q369" s="61" t="s">
        <v>98</v>
      </c>
      <c r="R369" s="31" t="s">
        <v>56</v>
      </c>
      <c r="S369" s="38" t="str">
        <f t="shared" si="2"/>
        <v>https://github.com/SF-Bancoppel/mx-api-bc-pro-internal-bank-account</v>
      </c>
      <c r="T369" s="40"/>
      <c r="U369" s="22"/>
      <c r="V369" s="40"/>
      <c r="W369" s="40"/>
      <c r="X369" s="40"/>
      <c r="Y369" s="40"/>
      <c r="Z369" s="22"/>
      <c r="AA369" s="22"/>
      <c r="AB369" s="22"/>
    </row>
    <row r="370" ht="18.75" customHeight="1">
      <c r="A370" s="18" t="str">
        <f t="array" ref="A370">IFERROR(
  INDEX(
    'api-register-id'!A:A,
    MATCH(F370, 'api-register-id'!B:B, 0)
  ),
  "Not found Organization"
)</f>
        <v>SSFF</v>
      </c>
      <c r="B370" s="22" t="str">
        <f>IFERROR(VLOOKUP(F370, 'api-register-id'!B:F, 4, FALSE), "Not found path.")</f>
        <v>mx-api-bc-pro-investment-account</v>
      </c>
      <c r="C370" s="23" t="s">
        <v>41</v>
      </c>
      <c r="D370" s="23" t="s">
        <v>811</v>
      </c>
      <c r="E370" s="24" t="str">
        <f>IFERROR(VLOOKUP(F370, 'api-register-id'!B:F, 5, FALSE), "Not found path.")</f>
        <v>APIMX000089</v>
      </c>
      <c r="F370" s="25" t="s">
        <v>1143</v>
      </c>
      <c r="G370" s="26" t="s">
        <v>3717</v>
      </c>
      <c r="H370" s="22" t="s">
        <v>3013</v>
      </c>
      <c r="I370" s="29" t="str">
        <f>IFERROR(VLOOKUP(F370, 'api-register-id'!B:I, 8, FALSE), "Not found path.")</f>
        <v>1.0.0</v>
      </c>
      <c r="J370" s="3" t="s">
        <v>3014</v>
      </c>
      <c r="K370" s="31" t="s">
        <v>48</v>
      </c>
      <c r="L370" s="23" t="s">
        <v>49</v>
      </c>
      <c r="M370" s="3" t="s">
        <v>1094</v>
      </c>
      <c r="N370" s="3" t="str">
        <f t="shared" si="1"/>
        <v>POST /system/investmentManagement/investmentAccount/v1/investmentAccountFacility/retrieve</v>
      </c>
      <c r="O370" s="32" t="s">
        <v>1095</v>
      </c>
      <c r="P370" s="32"/>
      <c r="Q370" s="61" t="s">
        <v>3720</v>
      </c>
      <c r="R370" s="31" t="s">
        <v>56</v>
      </c>
      <c r="S370" s="38" t="str">
        <f t="shared" si="2"/>
        <v>https://github.com/SF-Bancoppel/mx-api-bc-pro-investment-account</v>
      </c>
      <c r="T370" s="40"/>
      <c r="U370" s="40"/>
      <c r="V370" s="40"/>
      <c r="W370" s="40"/>
      <c r="X370" s="40"/>
      <c r="Y370" s="40"/>
      <c r="Z370" s="40"/>
      <c r="AA370" s="40"/>
      <c r="AB370" s="40"/>
    </row>
    <row r="371" ht="18.75" customHeight="1">
      <c r="A371" s="18" t="str">
        <f t="array" ref="A371">IFERROR(
  INDEX(
    'api-register-id'!A:A,
    MATCH(F371, 'api-register-id'!B:B, 0)
  ),
  "Not found Organization"
)</f>
        <v>SSFF</v>
      </c>
      <c r="B371" s="22" t="str">
        <f>IFERROR(VLOOKUP(F371, 'api-register-id'!B:F, 4, FALSE), "Not found path.")</f>
        <v>mx-api-bc-pro-issued-device-administration</v>
      </c>
      <c r="C371" s="23" t="s">
        <v>41</v>
      </c>
      <c r="D371" s="23" t="s">
        <v>811</v>
      </c>
      <c r="E371" s="24" t="str">
        <f>IFERROR(VLOOKUP(F371, 'api-register-id'!B:F, 5, FALSE), "Not found path.")</f>
        <v>APIMX000090</v>
      </c>
      <c r="F371" s="25" t="s">
        <v>1155</v>
      </c>
      <c r="G371" s="26" t="s">
        <v>3726</v>
      </c>
      <c r="H371" s="22" t="s">
        <v>3021</v>
      </c>
      <c r="I371" s="29" t="str">
        <f>IFERROR(VLOOKUP(F371, 'api-register-id'!B:I, 8, FALSE), "Not found path.")</f>
        <v>1.3.0</v>
      </c>
      <c r="J371" s="3" t="s">
        <v>3022</v>
      </c>
      <c r="K371" s="31" t="s">
        <v>48</v>
      </c>
      <c r="L371" s="23" t="s">
        <v>49</v>
      </c>
      <c r="M371" s="3" t="s">
        <v>1103</v>
      </c>
      <c r="N371" s="3" t="str">
        <f t="shared" si="1"/>
        <v>POST /system/operationalServices/issuedDeviceAdministration/v1/deviceAssignment/initiate</v>
      </c>
      <c r="O371" s="32" t="s">
        <v>1104</v>
      </c>
      <c r="P371" s="32"/>
      <c r="Q371" s="61" t="s">
        <v>3728</v>
      </c>
      <c r="R371" s="31" t="s">
        <v>56</v>
      </c>
      <c r="S371" s="38" t="str">
        <f t="shared" si="2"/>
        <v>https://github.com/SF-Bancoppel/mx-api-bc-pro-issued-device-administration</v>
      </c>
      <c r="T371" s="40"/>
      <c r="U371" s="22"/>
      <c r="V371" s="40"/>
      <c r="W371" s="40"/>
      <c r="X371" s="40"/>
      <c r="Y371" s="40"/>
      <c r="Z371" s="22"/>
      <c r="AA371" s="22"/>
      <c r="AB371" s="22"/>
    </row>
    <row r="372" ht="18.75" customHeight="1">
      <c r="A372" s="18" t="str">
        <f t="array" ref="A372">IFERROR(
  INDEX(
    'api-register-id'!A:A,
    MATCH(F372, 'api-register-id'!B:B, 0)
  ),
  "Not found Organization"
)</f>
        <v>SSFF</v>
      </c>
      <c r="B372" s="22" t="str">
        <f>IFERROR(VLOOKUP(F372, 'api-register-id'!B:F, 4, FALSE), "Not found path.")</f>
        <v>mx-api-bc-pro-issued-device-administration</v>
      </c>
      <c r="C372" s="23" t="s">
        <v>41</v>
      </c>
      <c r="D372" s="23" t="s">
        <v>811</v>
      </c>
      <c r="E372" s="24" t="str">
        <f>IFERROR(VLOOKUP(F372, 'api-register-id'!B:F, 5, FALSE), "Not found path.")</f>
        <v>APIMX000090</v>
      </c>
      <c r="F372" s="25" t="s">
        <v>1155</v>
      </c>
      <c r="G372" s="26" t="s">
        <v>3732</v>
      </c>
      <c r="H372" s="22" t="s">
        <v>3030</v>
      </c>
      <c r="I372" s="29" t="str">
        <f>IFERROR(VLOOKUP(F372, 'api-register-id'!B:I, 8, FALSE), "Not found path.")</f>
        <v>1.3.0</v>
      </c>
      <c r="J372" s="3" t="s">
        <v>3022</v>
      </c>
      <c r="K372" s="31" t="s">
        <v>48</v>
      </c>
      <c r="L372" s="23" t="s">
        <v>108</v>
      </c>
      <c r="M372" s="3" t="s">
        <v>1108</v>
      </c>
      <c r="N372" s="3" t="str">
        <f t="shared" si="1"/>
        <v>GET /system/operationalServices/issuedDeviceAdministration/v1/deviceAssignment/retrieve</v>
      </c>
      <c r="O372" s="32" t="s">
        <v>1109</v>
      </c>
      <c r="P372" s="32"/>
      <c r="Q372" s="61" t="s">
        <v>3735</v>
      </c>
      <c r="R372" s="31" t="s">
        <v>56</v>
      </c>
      <c r="S372" s="38" t="str">
        <f t="shared" si="2"/>
        <v>https://github.com/SF-Bancoppel/mx-api-bc-pro-issued-device-administration</v>
      </c>
      <c r="T372" s="40"/>
      <c r="U372" s="22"/>
      <c r="V372" s="40"/>
      <c r="W372" s="40"/>
      <c r="X372" s="40"/>
      <c r="Y372" s="40"/>
      <c r="Z372" s="22"/>
      <c r="AA372" s="22"/>
      <c r="AB372" s="22"/>
    </row>
    <row r="373" ht="18.75" customHeight="1">
      <c r="A373" s="18" t="str">
        <f t="array" ref="A373">IFERROR(
  INDEX(
    'api-register-id'!A:A,
    MATCH(F373, 'api-register-id'!B:B, 0)
  ),
  "Not found Organization"
)</f>
        <v>SSFF</v>
      </c>
      <c r="B373" s="22" t="str">
        <f>IFERROR(VLOOKUP(F373, 'api-register-id'!B:F, 4, FALSE), "Not found path.")</f>
        <v>mx-api-bc-pro-issued-device-administration</v>
      </c>
      <c r="C373" s="23" t="s">
        <v>41</v>
      </c>
      <c r="D373" s="23" t="s">
        <v>811</v>
      </c>
      <c r="E373" s="24" t="str">
        <f>IFERROR(VLOOKUP(F373, 'api-register-id'!B:F, 5, FALSE), "Not found path.")</f>
        <v>APIMX000090</v>
      </c>
      <c r="F373" s="25" t="s">
        <v>1155</v>
      </c>
      <c r="G373" s="26" t="s">
        <v>3741</v>
      </c>
      <c r="H373" s="22" t="s">
        <v>3035</v>
      </c>
      <c r="I373" s="29" t="str">
        <f>IFERROR(VLOOKUP(F373, 'api-register-id'!B:I, 8, FALSE), "Not found path.")</f>
        <v>1.3.0</v>
      </c>
      <c r="J373" s="3" t="s">
        <v>3022</v>
      </c>
      <c r="K373" s="31" t="s">
        <v>48</v>
      </c>
      <c r="L373" s="23" t="s">
        <v>49</v>
      </c>
      <c r="M373" s="3" t="s">
        <v>1122</v>
      </c>
      <c r="N373" s="3" t="str">
        <f t="shared" si="1"/>
        <v>POST /system/operationalServices/issuedDeviceAdministration/v1/deviceAssignment/register</v>
      </c>
      <c r="O373" s="32" t="s">
        <v>1123</v>
      </c>
      <c r="P373" s="32"/>
      <c r="Q373" s="61" t="s">
        <v>3743</v>
      </c>
      <c r="R373" s="31" t="s">
        <v>56</v>
      </c>
      <c r="S373" s="38" t="str">
        <f t="shared" si="2"/>
        <v>https://github.com/SF-Bancoppel/mx-api-bc-pro-issued-device-administration</v>
      </c>
      <c r="T373" s="40"/>
      <c r="U373" s="22"/>
      <c r="V373" s="40"/>
      <c r="W373" s="40"/>
      <c r="X373" s="40"/>
      <c r="Y373" s="40"/>
      <c r="Z373" s="22"/>
      <c r="AA373" s="22"/>
      <c r="AB373" s="22"/>
    </row>
    <row r="374" ht="18.75" customHeight="1">
      <c r="A374" s="18" t="str">
        <f t="array" ref="A374">IFERROR(
  INDEX(
    'api-register-id'!A:A,
    MATCH(F374, 'api-register-id'!B:B, 0)
  ),
  "Not found Organization"
)</f>
        <v>SSFF</v>
      </c>
      <c r="B374" s="22" t="str">
        <f>IFERROR(VLOOKUP(F374, 'api-register-id'!B:F, 4, FALSE), "Not found path.")</f>
        <v>mx-api-bc-pro-issued-device-administration</v>
      </c>
      <c r="C374" s="23" t="s">
        <v>41</v>
      </c>
      <c r="D374" s="23" t="s">
        <v>811</v>
      </c>
      <c r="E374" s="24" t="str">
        <f>IFERROR(VLOOKUP(F374, 'api-register-id'!B:F, 5, FALSE), "Not found path.")</f>
        <v>APIMX000090</v>
      </c>
      <c r="F374" s="25" t="s">
        <v>1155</v>
      </c>
      <c r="G374" s="26" t="s">
        <v>3748</v>
      </c>
      <c r="H374" s="22" t="s">
        <v>3039</v>
      </c>
      <c r="I374" s="29" t="str">
        <f>IFERROR(VLOOKUP(F374, 'api-register-id'!B:I, 8, FALSE), "Not found path.")</f>
        <v>1.3.0</v>
      </c>
      <c r="J374" s="3" t="s">
        <v>3022</v>
      </c>
      <c r="K374" s="31" t="s">
        <v>48</v>
      </c>
      <c r="L374" s="23" t="s">
        <v>49</v>
      </c>
      <c r="M374" s="3" t="s">
        <v>1116</v>
      </c>
      <c r="N374" s="3" t="str">
        <f t="shared" si="1"/>
        <v>POST /system/operationalServices/issuedDeviceAdministration/v1/tokenAssignment/initiate</v>
      </c>
      <c r="O374" s="32" t="s">
        <v>1117</v>
      </c>
      <c r="P374" s="32"/>
      <c r="Q374" s="61" t="s">
        <v>3751</v>
      </c>
      <c r="R374" s="31" t="s">
        <v>56</v>
      </c>
      <c r="S374" s="38" t="str">
        <f t="shared" si="2"/>
        <v>https://github.com/SF-Bancoppel/mx-api-bc-pro-issued-device-administration</v>
      </c>
      <c r="T374" s="40"/>
      <c r="U374" s="22"/>
      <c r="V374" s="40"/>
      <c r="W374" s="40"/>
      <c r="X374" s="40"/>
      <c r="Y374" s="40"/>
      <c r="Z374" s="22"/>
      <c r="AA374" s="22"/>
      <c r="AB374" s="22"/>
    </row>
    <row r="375" ht="18.75" customHeight="1">
      <c r="A375" s="18" t="str">
        <f t="array" ref="A375">IFERROR(
  INDEX(
    'api-register-id'!A:A,
    MATCH(F375, 'api-register-id'!B:B, 0)
  ),
  "Not found Organization"
)</f>
        <v>SSFF</v>
      </c>
      <c r="B375" s="22" t="str">
        <f>IFERROR(VLOOKUP(F375, 'api-register-id'!B:F, 4, FALSE), "Not found path.")</f>
        <v>mx-api-bc-pro-issued-device-administration</v>
      </c>
      <c r="C375" s="23" t="s">
        <v>41</v>
      </c>
      <c r="D375" s="23" t="s">
        <v>811</v>
      </c>
      <c r="E375" s="24" t="str">
        <f>IFERROR(VLOOKUP(F375, 'api-register-id'!B:F, 5, FALSE), "Not found path.")</f>
        <v>APIMX000090</v>
      </c>
      <c r="F375" s="25" t="s">
        <v>1155</v>
      </c>
      <c r="G375" s="26" t="s">
        <v>3755</v>
      </c>
      <c r="H375" s="22" t="s">
        <v>3045</v>
      </c>
      <c r="I375" s="29" t="str">
        <f>IFERROR(VLOOKUP(F375, 'api-register-id'!B:I, 8, FALSE), "Not found path.")</f>
        <v>1.3.0</v>
      </c>
      <c r="J375" s="3" t="s">
        <v>3022</v>
      </c>
      <c r="K375" s="31" t="s">
        <v>48</v>
      </c>
      <c r="L375" s="23" t="s">
        <v>49</v>
      </c>
      <c r="M375" s="3" t="s">
        <v>1129</v>
      </c>
      <c r="N375" s="3" t="str">
        <f t="shared" si="1"/>
        <v>POST /system/operationalServices/issuedDeviceAdministration/v1/tokenAssignment/evaluate</v>
      </c>
      <c r="O375" s="32" t="s">
        <v>1130</v>
      </c>
      <c r="P375" s="32"/>
      <c r="Q375" s="61" t="s">
        <v>3757</v>
      </c>
      <c r="R375" s="31" t="s">
        <v>56</v>
      </c>
      <c r="S375" s="38" t="str">
        <f t="shared" si="2"/>
        <v>https://github.com/SF-Bancoppel/mx-api-bc-pro-issued-device-administration</v>
      </c>
      <c r="T375" s="40"/>
      <c r="U375" s="22"/>
      <c r="V375" s="22"/>
      <c r="W375" s="40"/>
      <c r="X375" s="40"/>
      <c r="Y375" s="40"/>
      <c r="Z375" s="22"/>
      <c r="AA375" s="22"/>
      <c r="AB375" s="22"/>
    </row>
    <row r="376" ht="18.75" customHeight="1">
      <c r="A376" s="18" t="str">
        <f t="array" ref="A376">IFERROR(
  INDEX(
    'api-register-id'!A:A,
    MATCH(F376, 'api-register-id'!B:B, 0)
  ),
  "Not found Organization"
)</f>
        <v>SSFF</v>
      </c>
      <c r="B376" s="22" t="str">
        <f>IFERROR(VLOOKUP(F376, 'api-register-id'!B:F, 4, FALSE), "Not found path.")</f>
        <v>mx-api-bc-pro-issued-device-administration</v>
      </c>
      <c r="C376" s="23" t="s">
        <v>41</v>
      </c>
      <c r="D376" s="23" t="s">
        <v>811</v>
      </c>
      <c r="E376" s="24" t="str">
        <f>IFERROR(VLOOKUP(F376, 'api-register-id'!B:F, 5, FALSE), "Not found path.")</f>
        <v>APIMX000090</v>
      </c>
      <c r="F376" s="25" t="s">
        <v>1155</v>
      </c>
      <c r="G376" s="26" t="s">
        <v>3765</v>
      </c>
      <c r="H376" s="22" t="s">
        <v>3048</v>
      </c>
      <c r="I376" s="29" t="str">
        <f>IFERROR(VLOOKUP(F376, 'api-register-id'!B:I, 8, FALSE), "Not found path.")</f>
        <v>1.3.0</v>
      </c>
      <c r="J376" s="3" t="s">
        <v>3022</v>
      </c>
      <c r="K376" s="31" t="s">
        <v>48</v>
      </c>
      <c r="L376" s="23" t="s">
        <v>49</v>
      </c>
      <c r="M376" s="3" t="s">
        <v>1135</v>
      </c>
      <c r="N376" s="3" t="str">
        <f t="shared" si="1"/>
        <v>POST /system/operationalServices/issuedDeviceAdministration/v1/tokenAssignment/retrieve</v>
      </c>
      <c r="O376" s="32" t="s">
        <v>1136</v>
      </c>
      <c r="P376" s="32"/>
      <c r="Q376" s="61" t="s">
        <v>98</v>
      </c>
      <c r="R376" s="31" t="s">
        <v>56</v>
      </c>
      <c r="S376" s="38" t="str">
        <f t="shared" si="2"/>
        <v>https://github.com/SF-Bancoppel/mx-api-bc-pro-issued-device-administration</v>
      </c>
      <c r="T376" s="40"/>
      <c r="U376" s="22"/>
      <c r="V376" s="40"/>
      <c r="W376" s="40"/>
      <c r="X376" s="40"/>
      <c r="Y376" s="40"/>
      <c r="Z376" s="22"/>
      <c r="AA376" s="22"/>
      <c r="AB376" s="22"/>
    </row>
    <row r="377" ht="18.75" customHeight="1">
      <c r="A377" s="18" t="str">
        <f t="array" ref="A377">IFERROR(
  INDEX(
    'api-register-id'!A:A,
    MATCH(F377, 'api-register-id'!B:B, 0)
  ),
  "Not found Organization"
)</f>
        <v>SSFF</v>
      </c>
      <c r="B377" s="22" t="str">
        <f>IFERROR(VLOOKUP(F377, 'api-register-id'!B:F, 4, FALSE), "Not found path.")</f>
        <v>mx-api-bc-pro-issued-device-administration</v>
      </c>
      <c r="C377" s="23" t="s">
        <v>41</v>
      </c>
      <c r="D377" s="23" t="s">
        <v>811</v>
      </c>
      <c r="E377" s="24" t="str">
        <f>IFERROR(VLOOKUP(F377, 'api-register-id'!B:F, 5, FALSE), "Not found path.")</f>
        <v>APIMX000090</v>
      </c>
      <c r="F377" s="25" t="s">
        <v>1155</v>
      </c>
      <c r="G377" s="26" t="s">
        <v>3772</v>
      </c>
      <c r="H377" s="22" t="s">
        <v>3054</v>
      </c>
      <c r="I377" s="29" t="str">
        <f>IFERROR(VLOOKUP(F377, 'api-register-id'!B:I, 8, FALSE), "Not found path.")</f>
        <v>1.3.0</v>
      </c>
      <c r="J377" s="3" t="s">
        <v>3022</v>
      </c>
      <c r="K377" s="31" t="s">
        <v>48</v>
      </c>
      <c r="L377" s="23" t="s">
        <v>108</v>
      </c>
      <c r="M377" s="3" t="s">
        <v>1141</v>
      </c>
      <c r="N377" s="3" t="str">
        <f t="shared" si="1"/>
        <v>GET /system/operationalServices/issuedDeviceAdministration/v1/biometricAssignment/{companyReference}/{customerReference}/retrieve</v>
      </c>
      <c r="O377" s="32" t="s">
        <v>1142</v>
      </c>
      <c r="P377" s="32"/>
      <c r="Q377" s="61" t="s">
        <v>98</v>
      </c>
      <c r="R377" s="31" t="s">
        <v>56</v>
      </c>
      <c r="S377" s="38" t="str">
        <f t="shared" si="2"/>
        <v>https://github.com/SF-Bancoppel/mx-api-bc-pro-issued-device-administration</v>
      </c>
      <c r="T377" s="40"/>
      <c r="U377" s="22"/>
      <c r="V377" s="40"/>
      <c r="W377" s="40"/>
      <c r="X377" s="40"/>
      <c r="Y377" s="40"/>
      <c r="Z377" s="22"/>
      <c r="AA377" s="22"/>
      <c r="AB377" s="22"/>
    </row>
    <row r="378" ht="18.75" customHeight="1">
      <c r="A378" s="18" t="str">
        <f t="array" ref="A378">IFERROR(
  INDEX(
    'api-register-id'!A:A,
    MATCH(F378, 'api-register-id'!B:B, 0)
  ),
  "Not found Organization"
)</f>
        <v>SSFF</v>
      </c>
      <c r="B378" s="22" t="str">
        <f>IFERROR(VLOOKUP(F378, 'api-register-id'!B:F, 4, FALSE), "Not found path.")</f>
        <v>mx-api-bc-pro-issued-device-administration</v>
      </c>
      <c r="C378" s="23" t="s">
        <v>41</v>
      </c>
      <c r="D378" s="23" t="s">
        <v>811</v>
      </c>
      <c r="E378" s="24" t="str">
        <f>IFERROR(VLOOKUP(F378, 'api-register-id'!B:F, 5, FALSE), "Not found path.")</f>
        <v>APIMX000090</v>
      </c>
      <c r="F378" s="25" t="s">
        <v>1155</v>
      </c>
      <c r="G378" s="26" t="s">
        <v>3780</v>
      </c>
      <c r="H378" s="22" t="s">
        <v>3060</v>
      </c>
      <c r="I378" s="29" t="str">
        <f>IFERROR(VLOOKUP(F378, 'api-register-id'!B:I, 8, FALSE), "Not found path.")</f>
        <v>1.3.0</v>
      </c>
      <c r="J378" s="3" t="s">
        <v>3022</v>
      </c>
      <c r="K378" s="31" t="s">
        <v>48</v>
      </c>
      <c r="L378" s="23" t="s">
        <v>49</v>
      </c>
      <c r="M378" s="3" t="s">
        <v>1148</v>
      </c>
      <c r="N378" s="3" t="str">
        <f t="shared" si="1"/>
        <v>POST /system/operationalServices/issuedDeviceAdministration/v1/biometricAssignment/initiate</v>
      </c>
      <c r="O378" s="32" t="s">
        <v>1149</v>
      </c>
      <c r="P378" s="32"/>
      <c r="Q378" s="61" t="s">
        <v>3783</v>
      </c>
      <c r="R378" s="31" t="s">
        <v>56</v>
      </c>
      <c r="S378" s="38" t="str">
        <f t="shared" si="2"/>
        <v>https://github.com/SF-Bancoppel/mx-api-bc-pro-issued-device-administration</v>
      </c>
      <c r="T378" s="40"/>
      <c r="U378" s="40"/>
      <c r="V378" s="40"/>
      <c r="W378" s="40"/>
      <c r="X378" s="40"/>
      <c r="Y378" s="40"/>
      <c r="Z378" s="40"/>
      <c r="AA378" s="40"/>
      <c r="AB378" s="40"/>
    </row>
    <row r="379" ht="18.75" customHeight="1">
      <c r="A379" s="18" t="str">
        <f t="array" ref="A379">IFERROR(
  INDEX(
    'api-register-id'!A:A,
    MATCH(F379, 'api-register-id'!B:B, 0)
  ),
  "Not found Organization"
)</f>
        <v>SSFF</v>
      </c>
      <c r="B379" s="22" t="str">
        <f>IFERROR(VLOOKUP(F379, 'api-register-id'!B:F, 4, FALSE), "Not found path.")</f>
        <v>mx-api-bc-pro-issued-device-administration</v>
      </c>
      <c r="C379" s="23" t="s">
        <v>41</v>
      </c>
      <c r="D379" s="23" t="s">
        <v>811</v>
      </c>
      <c r="E379" s="24" t="str">
        <f>IFERROR(VLOOKUP(F379, 'api-register-id'!B:F, 5, FALSE), "Not found path.")</f>
        <v>APIMX000090</v>
      </c>
      <c r="F379" s="25" t="s">
        <v>1155</v>
      </c>
      <c r="G379" s="26" t="s">
        <v>3790</v>
      </c>
      <c r="H379" s="22" t="s">
        <v>3064</v>
      </c>
      <c r="I379" s="29" t="str">
        <f>IFERROR(VLOOKUP(F379, 'api-register-id'!B:I, 8, FALSE), "Not found path.")</f>
        <v>1.3.0</v>
      </c>
      <c r="J379" s="3" t="s">
        <v>3022</v>
      </c>
      <c r="K379" s="31" t="s">
        <v>48</v>
      </c>
      <c r="L379" s="23" t="s">
        <v>61</v>
      </c>
      <c r="M379" s="3" t="s">
        <v>1153</v>
      </c>
      <c r="N379" s="3" t="str">
        <f t="shared" si="1"/>
        <v>PUT /system/operationalServices/issuedDeviceAdministration/v1/biometricAssignment/update</v>
      </c>
      <c r="O379" s="32" t="s">
        <v>1154</v>
      </c>
      <c r="P379" s="32"/>
      <c r="Q379" s="61" t="s">
        <v>98</v>
      </c>
      <c r="R379" s="31" t="s">
        <v>56</v>
      </c>
      <c r="S379" s="38" t="str">
        <f t="shared" si="2"/>
        <v>https://github.com/SF-Bancoppel/mx-api-bc-pro-issued-device-administration</v>
      </c>
      <c r="T379" s="40"/>
      <c r="U379" s="22"/>
      <c r="V379" s="40"/>
      <c r="W379" s="40"/>
      <c r="X379" s="40"/>
      <c r="Y379" s="40"/>
      <c r="Z379" s="22"/>
      <c r="AA379" s="22"/>
      <c r="AB379" s="22"/>
    </row>
    <row r="380" ht="18.75" customHeight="1">
      <c r="A380" s="18" t="str">
        <f t="array" ref="A380">IFERROR(
  INDEX(
    'api-register-id'!A:A,
    MATCH(F380, 'api-register-id'!B:B, 0)
  ),
  "Not found Organization"
)</f>
        <v>SSFF</v>
      </c>
      <c r="B380" s="22" t="str">
        <f>IFERROR(VLOOKUP(F380, 'api-register-id'!B:F, 4, FALSE), "Not found path.")</f>
        <v>mx-api-bc-pro-issued-device-administration</v>
      </c>
      <c r="C380" s="23" t="s">
        <v>41</v>
      </c>
      <c r="D380" s="23" t="s">
        <v>811</v>
      </c>
      <c r="E380" s="24" t="str">
        <f>IFERROR(VLOOKUP(F380, 'api-register-id'!B:F, 5, FALSE), "Not found path.")</f>
        <v>APIMX000090</v>
      </c>
      <c r="F380" s="25" t="s">
        <v>1155</v>
      </c>
      <c r="G380" s="26" t="s">
        <v>3798</v>
      </c>
      <c r="H380" s="22" t="s">
        <v>3069</v>
      </c>
      <c r="I380" s="29" t="str">
        <f>IFERROR(VLOOKUP(F380, 'api-register-id'!B:I, 8, FALSE), "Not found path.")</f>
        <v>1.3.0</v>
      </c>
      <c r="J380" s="3" t="s">
        <v>3022</v>
      </c>
      <c r="K380" s="31" t="s">
        <v>48</v>
      </c>
      <c r="L380" s="23" t="s">
        <v>49</v>
      </c>
      <c r="M380" s="3" t="s">
        <v>1160</v>
      </c>
      <c r="N380" s="3" t="str">
        <f t="shared" si="1"/>
        <v>POST /system/operationalServices/issuedDeviceAdministration/v1/passwordAssignment/initiate</v>
      </c>
      <c r="O380" s="32" t="s">
        <v>1161</v>
      </c>
      <c r="P380" s="32"/>
      <c r="Q380" s="61" t="s">
        <v>98</v>
      </c>
      <c r="R380" s="31" t="s">
        <v>56</v>
      </c>
      <c r="S380" s="38" t="str">
        <f t="shared" si="2"/>
        <v>https://github.com/SF-Bancoppel/mx-api-bc-pro-issued-device-administration</v>
      </c>
      <c r="T380" s="40"/>
      <c r="U380" s="22"/>
      <c r="V380" s="40"/>
      <c r="W380" s="40"/>
      <c r="X380" s="40"/>
      <c r="Y380" s="40"/>
      <c r="Z380" s="22"/>
      <c r="AA380" s="22"/>
      <c r="AB380" s="22"/>
    </row>
    <row r="381" ht="18.75" customHeight="1">
      <c r="A381" s="18" t="str">
        <f t="array" ref="A381">IFERROR(
  INDEX(
    'api-register-id'!A:A,
    MATCH(F381, 'api-register-id'!B:B, 0)
  ),
  "Not found Organization"
)</f>
        <v>SSFF</v>
      </c>
      <c r="B381" s="22" t="str">
        <f>IFERROR(VLOOKUP(F381, 'api-register-id'!B:F, 4, FALSE), "Not found path.")</f>
        <v>mx-api-bc-pro-issued-device-administration</v>
      </c>
      <c r="C381" s="23" t="s">
        <v>41</v>
      </c>
      <c r="D381" s="23" t="s">
        <v>811</v>
      </c>
      <c r="E381" s="24" t="str">
        <f>IFERROR(VLOOKUP(F381, 'api-register-id'!B:F, 5, FALSE), "Not found path.")</f>
        <v>APIMX000090</v>
      </c>
      <c r="F381" s="25" t="s">
        <v>1155</v>
      </c>
      <c r="G381" s="26" t="s">
        <v>3808</v>
      </c>
      <c r="H381" s="22" t="s">
        <v>3074</v>
      </c>
      <c r="I381" s="29" t="str">
        <f>IFERROR(VLOOKUP(F381, 'api-register-id'!B:I, 8, FALSE), "Not found path.")</f>
        <v>1.3.0</v>
      </c>
      <c r="J381" s="3" t="s">
        <v>3022</v>
      </c>
      <c r="K381" s="31" t="s">
        <v>48</v>
      </c>
      <c r="L381" s="23" t="s">
        <v>49</v>
      </c>
      <c r="M381" s="3" t="s">
        <v>1172</v>
      </c>
      <c r="N381" s="3" t="str">
        <f t="shared" si="1"/>
        <v>POST /system/operationalServices/issuedDeviceAdministration/v1/passwordAssignmentLog/register</v>
      </c>
      <c r="O381" s="32" t="s">
        <v>1173</v>
      </c>
      <c r="P381" s="32"/>
      <c r="Q381" s="61" t="s">
        <v>98</v>
      </c>
      <c r="R381" s="31" t="s">
        <v>56</v>
      </c>
      <c r="S381" s="38" t="str">
        <f t="shared" si="2"/>
        <v>https://github.com/SF-Bancoppel/mx-api-bc-pro-issued-device-administration</v>
      </c>
      <c r="T381" s="40"/>
      <c r="U381" s="22"/>
      <c r="V381" s="40"/>
      <c r="W381" s="40"/>
      <c r="X381" s="40"/>
      <c r="Y381" s="40"/>
      <c r="Z381" s="22"/>
      <c r="AA381" s="22"/>
      <c r="AB381" s="22"/>
    </row>
    <row r="382" ht="18.75" customHeight="1">
      <c r="A382" s="18" t="str">
        <f t="array" ref="A382">IFERROR(
  INDEX(
    'api-register-id'!A:A,
    MATCH(F382, 'api-register-id'!B:B, 0)
  ),
  "Not found Organization"
)</f>
        <v>SSFF</v>
      </c>
      <c r="B382" s="22" t="str">
        <f>IFERROR(VLOOKUP(F382, 'api-register-id'!B:F, 4, FALSE), "Not found path.")</f>
        <v>mx-api-bc-pro-issued-device-administration</v>
      </c>
      <c r="C382" s="23" t="s">
        <v>41</v>
      </c>
      <c r="D382" s="23" t="s">
        <v>811</v>
      </c>
      <c r="E382" s="24" t="str">
        <f>IFERROR(VLOOKUP(F382, 'api-register-id'!B:F, 5, FALSE), "Not found path.")</f>
        <v>APIMX000090</v>
      </c>
      <c r="F382" s="25" t="s">
        <v>1155</v>
      </c>
      <c r="G382" s="26" t="s">
        <v>3817</v>
      </c>
      <c r="H382" s="22" t="s">
        <v>3079</v>
      </c>
      <c r="I382" s="29" t="str">
        <f>IFERROR(VLOOKUP(F382, 'api-register-id'!B:I, 8, FALSE), "Not found path.")</f>
        <v>1.3.0</v>
      </c>
      <c r="J382" s="3" t="s">
        <v>3022</v>
      </c>
      <c r="K382" s="31" t="s">
        <v>48</v>
      </c>
      <c r="L382" s="23" t="s">
        <v>428</v>
      </c>
      <c r="M382" s="3" t="s">
        <v>1165</v>
      </c>
      <c r="N382" s="3" t="str">
        <f t="shared" si="1"/>
        <v>PATCH /system/operationalServices/issuedDeviceAdministration/v1/deviceAssignment/update</v>
      </c>
      <c r="O382" s="32" t="s">
        <v>1166</v>
      </c>
      <c r="P382" s="32" t="s">
        <v>652</v>
      </c>
      <c r="Q382" s="61" t="s">
        <v>98</v>
      </c>
      <c r="R382" s="31" t="s">
        <v>56</v>
      </c>
      <c r="S382" s="38" t="str">
        <f t="shared" si="2"/>
        <v>https://github.com/SF-Bancoppel/mx-api-bc-pro-issued-device-administration</v>
      </c>
      <c r="T382" s="40"/>
      <c r="U382" s="22"/>
      <c r="V382" s="40"/>
      <c r="W382" s="40"/>
      <c r="X382" s="40"/>
      <c r="Y382" s="40"/>
      <c r="Z382" s="22"/>
      <c r="AA382" s="22"/>
      <c r="AB382" s="22"/>
    </row>
    <row r="383" ht="18.75" customHeight="1">
      <c r="A383" s="18" t="str">
        <f t="array" ref="A383">IFERROR(
  INDEX(
    'api-register-id'!A:A,
    MATCH(F383, 'api-register-id'!B:B, 0)
  ),
  "Not found Organization"
)</f>
        <v>SSFF</v>
      </c>
      <c r="B383" s="22" t="str">
        <f>IFERROR(VLOOKUP(F383, 'api-register-id'!B:F, 4, FALSE), "Not found path.")</f>
        <v>mx-api-bc-pro-issued-device-administration</v>
      </c>
      <c r="C383" s="23" t="s">
        <v>41</v>
      </c>
      <c r="D383" s="23" t="s">
        <v>811</v>
      </c>
      <c r="E383" s="24" t="str">
        <f>IFERROR(VLOOKUP(F383, 'api-register-id'!B:F, 5, FALSE), "Not found path.")</f>
        <v>APIMX000090</v>
      </c>
      <c r="F383" s="25" t="s">
        <v>1155</v>
      </c>
      <c r="G383" s="26" t="s">
        <v>3823</v>
      </c>
      <c r="H383" s="22" t="s">
        <v>3084</v>
      </c>
      <c r="I383" s="29" t="str">
        <f>IFERROR(VLOOKUP(F383, 'api-register-id'!B:I, 8, FALSE), "Not found path.")</f>
        <v>1.3.0</v>
      </c>
      <c r="J383" s="3" t="s">
        <v>3022</v>
      </c>
      <c r="K383" s="31" t="s">
        <v>48</v>
      </c>
      <c r="L383" s="23" t="s">
        <v>61</v>
      </c>
      <c r="M383" s="3" t="s">
        <v>1176</v>
      </c>
      <c r="N383" s="3" t="str">
        <f t="shared" si="1"/>
        <v>PUT /system/operationalServices/issuedDeviceAdministration/v1/tokenAssignment/capture</v>
      </c>
      <c r="O383" s="32" t="s">
        <v>1177</v>
      </c>
      <c r="P383" s="32"/>
      <c r="Q383" s="61" t="s">
        <v>3827</v>
      </c>
      <c r="R383" s="31" t="s">
        <v>56</v>
      </c>
      <c r="S383" s="38" t="str">
        <f t="shared" si="2"/>
        <v>https://github.com/SF-Bancoppel/mx-api-bc-pro-issued-device-administration</v>
      </c>
      <c r="T383" s="40"/>
      <c r="U383" s="22"/>
      <c r="V383" s="40"/>
      <c r="W383" s="40"/>
      <c r="X383" s="40"/>
      <c r="Y383" s="40"/>
      <c r="Z383" s="22"/>
      <c r="AA383" s="22"/>
      <c r="AB383" s="22"/>
    </row>
    <row r="384" ht="18.75" customHeight="1">
      <c r="A384" s="18" t="str">
        <f t="array" ref="A384">IFERROR(
  INDEX(
    'api-register-id'!A:A,
    MATCH(F384, 'api-register-id'!B:B, 0)
  ),
  "Not found Organization"
)</f>
        <v>SSFF</v>
      </c>
      <c r="B384" s="22" t="str">
        <f>IFERROR(VLOOKUP(F384, 'api-register-id'!B:F, 4, FALSE), "Not found path.")</f>
        <v>mx-api-bc-pro-issued-device-administration</v>
      </c>
      <c r="C384" s="23" t="s">
        <v>41</v>
      </c>
      <c r="D384" s="23" t="s">
        <v>811</v>
      </c>
      <c r="E384" s="24" t="str">
        <f>IFERROR(VLOOKUP(F384, 'api-register-id'!B:F, 5, FALSE), "Not found path.")</f>
        <v>APIMX000090</v>
      </c>
      <c r="F384" s="25" t="s">
        <v>1155</v>
      </c>
      <c r="G384" s="26" t="s">
        <v>3832</v>
      </c>
      <c r="H384" s="22" t="s">
        <v>3091</v>
      </c>
      <c r="I384" s="29" t="str">
        <f>IFERROR(VLOOKUP(F384, 'api-register-id'!B:I, 8, FALSE), "Not found path.")</f>
        <v>1.3.0</v>
      </c>
      <c r="J384" s="3" t="s">
        <v>3022</v>
      </c>
      <c r="K384" s="31" t="s">
        <v>48</v>
      </c>
      <c r="L384" s="23" t="s">
        <v>49</v>
      </c>
      <c r="M384" s="3" t="s">
        <v>1184</v>
      </c>
      <c r="N384" s="3" t="str">
        <f t="shared" si="1"/>
        <v>POST /system/operationalServices/issuedDeviceAdministration/v1/passwordAssignment/create</v>
      </c>
      <c r="O384" s="32" t="s">
        <v>1185</v>
      </c>
      <c r="P384" s="32"/>
      <c r="Q384" s="61" t="s">
        <v>98</v>
      </c>
      <c r="R384" s="31" t="s">
        <v>56</v>
      </c>
      <c r="S384" s="38" t="str">
        <f t="shared" si="2"/>
        <v>https://github.com/SF-Bancoppel/mx-api-bc-pro-issued-device-administration</v>
      </c>
      <c r="T384" s="40"/>
      <c r="U384" s="22"/>
      <c r="V384" s="40"/>
      <c r="W384" s="40"/>
      <c r="X384" s="40"/>
      <c r="Y384" s="40"/>
      <c r="Z384" s="22"/>
      <c r="AA384" s="22"/>
      <c r="AB384" s="22"/>
    </row>
    <row r="385" ht="18.75" customHeight="1">
      <c r="A385" s="18" t="str">
        <f t="array" ref="A385">IFERROR(
  INDEX(
    'api-register-id'!A:A,
    MATCH(F385, 'api-register-id'!B:B, 0)
  ),
  "Not found Organization"
)</f>
        <v>SSFF</v>
      </c>
      <c r="B385" s="22" t="str">
        <f>IFERROR(VLOOKUP(F385, 'api-register-id'!B:F, 4, FALSE), "Not found path.")</f>
        <v>mx-api-bc-pro-legal-entity-directory</v>
      </c>
      <c r="C385" s="23" t="s">
        <v>41</v>
      </c>
      <c r="D385" s="23" t="s">
        <v>811</v>
      </c>
      <c r="E385" s="24" t="str">
        <f>IFERROR(VLOOKUP(F385, 'api-register-id'!B:F, 5, FALSE), "Not found path.")</f>
        <v>APIMX000092</v>
      </c>
      <c r="F385" s="25" t="s">
        <v>1179</v>
      </c>
      <c r="G385" s="26" t="s">
        <v>3842</v>
      </c>
      <c r="H385" s="22" t="s">
        <v>3096</v>
      </c>
      <c r="I385" s="29" t="str">
        <f>IFERROR(VLOOKUP(F385, 'api-register-id'!B:I, 8, FALSE), "Not found path.")</f>
        <v>1.0.0</v>
      </c>
      <c r="J385" s="3" t="s">
        <v>3097</v>
      </c>
      <c r="K385" s="31" t="s">
        <v>48</v>
      </c>
      <c r="L385" s="23" t="s">
        <v>49</v>
      </c>
      <c r="M385" s="3" t="s">
        <v>1193</v>
      </c>
      <c r="N385" s="3" t="str">
        <f t="shared" si="1"/>
        <v>POST /system/party/legalEntityDirectory/v1/legalEntityDirectoryEntry/register</v>
      </c>
      <c r="O385" s="32" t="s">
        <v>3099</v>
      </c>
      <c r="P385" s="32"/>
      <c r="Q385" s="61" t="s">
        <v>98</v>
      </c>
      <c r="R385" s="31" t="s">
        <v>56</v>
      </c>
      <c r="S385" s="38" t="str">
        <f t="shared" si="2"/>
        <v>https://github.com/SF-Bancoppel/mx-api-bc-pro-legal-entity-directory</v>
      </c>
      <c r="T385" s="40"/>
      <c r="U385" s="22"/>
      <c r="V385" s="40"/>
      <c r="W385" s="40"/>
      <c r="X385" s="40"/>
      <c r="Y385" s="40"/>
      <c r="Z385" s="22"/>
      <c r="AA385" s="22"/>
      <c r="AB385" s="22"/>
    </row>
    <row r="386" ht="18.75" customHeight="1">
      <c r="A386" s="18" t="str">
        <f t="array" ref="A386">IFERROR(
  INDEX(
    'api-register-id'!A:A,
    MATCH(F386, 'api-register-id'!B:B, 0)
  ),
  "Not found Organization"
)</f>
        <v>SSFF</v>
      </c>
      <c r="B386" s="22" t="str">
        <f>IFERROR(VLOOKUP(F386, 'api-register-id'!B:F, 4, FALSE), "Not found path.")</f>
        <v>mx-api-bc-pro-legal-entity-directory</v>
      </c>
      <c r="C386" s="23" t="s">
        <v>41</v>
      </c>
      <c r="D386" s="23" t="s">
        <v>811</v>
      </c>
      <c r="E386" s="24" t="str">
        <f>IFERROR(VLOOKUP(F386, 'api-register-id'!B:F, 5, FALSE), "Not found path.")</f>
        <v>APIMX000092</v>
      </c>
      <c r="F386" s="25" t="s">
        <v>1179</v>
      </c>
      <c r="G386" s="26" t="s">
        <v>3853</v>
      </c>
      <c r="H386" s="22" t="s">
        <v>3103</v>
      </c>
      <c r="I386" s="29" t="str">
        <f>IFERROR(VLOOKUP(F386, 'api-register-id'!B:I, 8, FALSE), "Not found path.")</f>
        <v>1.0.0</v>
      </c>
      <c r="J386" s="3" t="s">
        <v>3097</v>
      </c>
      <c r="K386" s="31" t="s">
        <v>48</v>
      </c>
      <c r="L386" s="23" t="s">
        <v>428</v>
      </c>
      <c r="M386" s="3" t="s">
        <v>1197</v>
      </c>
      <c r="N386" s="3" t="str">
        <f t="shared" si="1"/>
        <v>PATCH /system/party/legalEntityDirectory/v1/legalEntityDirectoryEntry/update</v>
      </c>
      <c r="O386" s="32" t="s">
        <v>1199</v>
      </c>
      <c r="P386" s="32"/>
      <c r="Q386" s="61" t="s">
        <v>98</v>
      </c>
      <c r="R386" s="31" t="s">
        <v>56</v>
      </c>
      <c r="S386" s="38" t="str">
        <f t="shared" si="2"/>
        <v>https://github.com/SF-Bancoppel/mx-api-bc-pro-legal-entity-directory</v>
      </c>
      <c r="T386" s="40"/>
      <c r="U386" s="22"/>
      <c r="V386" s="22"/>
      <c r="W386" s="40"/>
      <c r="X386" s="40"/>
      <c r="Y386" s="40"/>
      <c r="Z386" s="22"/>
      <c r="AA386" s="22"/>
      <c r="AB386" s="22"/>
    </row>
    <row r="387" ht="18.75" customHeight="1">
      <c r="A387" s="18" t="str">
        <f t="array" ref="A387">IFERROR(
  INDEX(
    'api-register-id'!A:A,
    MATCH(F387, 'api-register-id'!B:B, 0)
  ),
  "Not found Organization"
)</f>
        <v>SSFF</v>
      </c>
      <c r="B387" s="22" t="str">
        <f>IFERROR(VLOOKUP(F387, 'api-register-id'!B:F, 4, FALSE), "Not found path.")</f>
        <v>mx-api-bc-pro-loan</v>
      </c>
      <c r="C387" s="23" t="s">
        <v>41</v>
      </c>
      <c r="D387" s="23" t="s">
        <v>811</v>
      </c>
      <c r="E387" s="24" t="str">
        <f>IFERROR(VLOOKUP(F387, 'api-register-id'!B:F, 5, FALSE), "Not found path.")</f>
        <v>APIMX000093</v>
      </c>
      <c r="F387" s="25" t="s">
        <v>1186</v>
      </c>
      <c r="G387" s="26" t="s">
        <v>3861</v>
      </c>
      <c r="H387" s="22" t="s">
        <v>3109</v>
      </c>
      <c r="I387" s="29" t="str">
        <f>IFERROR(VLOOKUP(F387, 'api-register-id'!B:I, 8, FALSE), "Not found path.")</f>
        <v>2.2.0</v>
      </c>
      <c r="J387" s="3" t="s">
        <v>3110</v>
      </c>
      <c r="K387" s="31" t="s">
        <v>48</v>
      </c>
      <c r="L387" s="23" t="s">
        <v>49</v>
      </c>
      <c r="M387" s="3" t="s">
        <v>1206</v>
      </c>
      <c r="N387" s="3" t="str">
        <f t="shared" si="1"/>
        <v>POST /system/loansAndDeposits/loan/v1/loanAgreement/evaluate</v>
      </c>
      <c r="O387" s="32" t="s">
        <v>1207</v>
      </c>
      <c r="P387" s="32"/>
      <c r="Q387" s="61" t="s">
        <v>98</v>
      </c>
      <c r="R387" s="31" t="s">
        <v>56</v>
      </c>
      <c r="S387" s="38" t="str">
        <f t="shared" si="2"/>
        <v>https://github.com/SF-Bancoppel/mx-api-bc-pro-loan</v>
      </c>
      <c r="T387" s="40"/>
      <c r="U387" s="22"/>
      <c r="V387" s="22"/>
      <c r="W387" s="22"/>
      <c r="X387" s="40"/>
      <c r="Y387" s="40"/>
      <c r="Z387" s="22"/>
      <c r="AA387" s="22"/>
      <c r="AB387" s="22"/>
    </row>
    <row r="388" ht="18.75" customHeight="1">
      <c r="A388" s="18" t="str">
        <f t="array" ref="A388">IFERROR(
  INDEX(
    'api-register-id'!A:A,
    MATCH(F388, 'api-register-id'!B:B, 0)
  ),
  "Not found Organization"
)</f>
        <v>SSFF</v>
      </c>
      <c r="B388" s="22" t="str">
        <f>IFERROR(VLOOKUP(F388, 'api-register-id'!B:F, 4, FALSE), "Not found path.")</f>
        <v>mx-api-bc-pro-loan</v>
      </c>
      <c r="C388" s="23" t="s">
        <v>41</v>
      </c>
      <c r="D388" s="23" t="s">
        <v>811</v>
      </c>
      <c r="E388" s="24" t="str">
        <f>IFERROR(VLOOKUP(F388, 'api-register-id'!B:F, 5, FALSE), "Not found path.")</f>
        <v>APIMX000093</v>
      </c>
      <c r="F388" s="25" t="s">
        <v>1186</v>
      </c>
      <c r="G388" s="26" t="s">
        <v>3867</v>
      </c>
      <c r="H388" s="22" t="s">
        <v>3115</v>
      </c>
      <c r="I388" s="29" t="str">
        <f>IFERROR(VLOOKUP(F388, 'api-register-id'!B:I, 8, FALSE), "Not found path.")</f>
        <v>2.2.0</v>
      </c>
      <c r="J388" s="3" t="s">
        <v>3110</v>
      </c>
      <c r="K388" s="31" t="s">
        <v>48</v>
      </c>
      <c r="L388" s="23" t="s">
        <v>428</v>
      </c>
      <c r="M388" s="3" t="s">
        <v>1212</v>
      </c>
      <c r="N388" s="3" t="str">
        <f t="shared" si="1"/>
        <v>PATCH /system/loansAndDeposits/loan/v1/loanFacilityReport/execute</v>
      </c>
      <c r="O388" s="32" t="s">
        <v>1213</v>
      </c>
      <c r="P388" s="32"/>
      <c r="Q388" s="61" t="s">
        <v>98</v>
      </c>
      <c r="R388" s="31" t="s">
        <v>56</v>
      </c>
      <c r="S388" s="38" t="str">
        <f t="shared" si="2"/>
        <v>https://github.com/SF-Bancoppel/mx-api-bc-pro-loan</v>
      </c>
      <c r="T388" s="40"/>
      <c r="U388" s="22"/>
      <c r="V388" s="40"/>
      <c r="W388" s="40"/>
      <c r="X388" s="40"/>
      <c r="Y388" s="40"/>
      <c r="Z388" s="22"/>
      <c r="AA388" s="22"/>
      <c r="AB388" s="22"/>
    </row>
    <row r="389" ht="18.75" customHeight="1">
      <c r="A389" s="18" t="str">
        <f t="array" ref="A389">IFERROR(
  INDEX(
    'api-register-id'!A:A,
    MATCH(F389, 'api-register-id'!B:B, 0)
  ),
  "Not found Organization"
)</f>
        <v>SSFF</v>
      </c>
      <c r="B389" s="22" t="str">
        <f>IFERROR(VLOOKUP(F389, 'api-register-id'!B:F, 4, FALSE), "Not found path.")</f>
        <v>mx-api-bc-pro-loan</v>
      </c>
      <c r="C389" s="23" t="s">
        <v>41</v>
      </c>
      <c r="D389" s="23" t="s">
        <v>811</v>
      </c>
      <c r="E389" s="24" t="str">
        <f>IFERROR(VLOOKUP(F389, 'api-register-id'!B:F, 5, FALSE), "Not found path.")</f>
        <v>APIMX000093</v>
      </c>
      <c r="F389" s="25" t="s">
        <v>1186</v>
      </c>
      <c r="G389" s="26" t="s">
        <v>3870</v>
      </c>
      <c r="H389" s="22" t="s">
        <v>3122</v>
      </c>
      <c r="I389" s="29" t="str">
        <f>IFERROR(VLOOKUP(F389, 'api-register-id'!B:I, 8, FALSE), "Not found path.")</f>
        <v>2.2.0</v>
      </c>
      <c r="J389" s="3" t="s">
        <v>3110</v>
      </c>
      <c r="K389" s="31" t="s">
        <v>48</v>
      </c>
      <c r="L389" s="23" t="s">
        <v>49</v>
      </c>
      <c r="M389" s="3" t="s">
        <v>95</v>
      </c>
      <c r="N389" s="3" t="str">
        <f t="shared" si="1"/>
        <v>POST /system/loansAndDeposits/loan/v1/loanFacility/initiate</v>
      </c>
      <c r="O389" s="32" t="s">
        <v>1221</v>
      </c>
      <c r="P389" s="32"/>
      <c r="Q389" s="61" t="s">
        <v>98</v>
      </c>
      <c r="R389" s="31" t="s">
        <v>56</v>
      </c>
      <c r="S389" s="38" t="str">
        <f t="shared" si="2"/>
        <v>https://github.com/SF-Bancoppel/mx-api-bc-pro-loan</v>
      </c>
      <c r="T389" s="40"/>
      <c r="U389" s="22"/>
      <c r="V389" s="40"/>
      <c r="W389" s="40"/>
      <c r="X389" s="40"/>
      <c r="Y389" s="40"/>
      <c r="Z389" s="22"/>
      <c r="AA389" s="22"/>
      <c r="AB389" s="22"/>
    </row>
    <row r="390" ht="18.75" customHeight="1">
      <c r="A390" s="18" t="str">
        <f t="array" ref="A390">IFERROR(
  INDEX(
    'api-register-id'!A:A,
    MATCH(F390, 'api-register-id'!B:B, 0)
  ),
  "Not found Organization"
)</f>
        <v>SSFF</v>
      </c>
      <c r="B390" s="22" t="str">
        <f>IFERROR(VLOOKUP(F390, 'api-register-id'!B:F, 4, FALSE), "Not found path.")</f>
        <v>mx-api-bc-pro-loan</v>
      </c>
      <c r="C390" s="23" t="s">
        <v>41</v>
      </c>
      <c r="D390" s="23" t="s">
        <v>811</v>
      </c>
      <c r="E390" s="24" t="str">
        <f>IFERROR(VLOOKUP(F390, 'api-register-id'!B:F, 5, FALSE), "Not found path.")</f>
        <v>APIMX000093</v>
      </c>
      <c r="F390" s="25" t="s">
        <v>1186</v>
      </c>
      <c r="G390" s="26" t="s">
        <v>3874</v>
      </c>
      <c r="H390" s="22" t="s">
        <v>3127</v>
      </c>
      <c r="I390" s="29" t="str">
        <f>IFERROR(VLOOKUP(F390, 'api-register-id'!B:I, 8, FALSE), "Not found path.")</f>
        <v>2.2.0</v>
      </c>
      <c r="J390" s="3" t="s">
        <v>3110</v>
      </c>
      <c r="K390" s="31" t="s">
        <v>48</v>
      </c>
      <c r="L390" s="23" t="s">
        <v>49</v>
      </c>
      <c r="M390" s="3" t="s">
        <v>1228</v>
      </c>
      <c r="N390" s="3" t="str">
        <f t="shared" si="1"/>
        <v>POST /system/loansAndDeposits/loan/v1/loanFacility/retrieve</v>
      </c>
      <c r="O390" s="32" t="s">
        <v>1229</v>
      </c>
      <c r="P390" s="32"/>
      <c r="Q390" s="61" t="s">
        <v>98</v>
      </c>
      <c r="R390" s="31" t="s">
        <v>56</v>
      </c>
      <c r="S390" s="38" t="str">
        <f t="shared" si="2"/>
        <v>https://github.com/SF-Bancoppel/mx-api-bc-pro-loan</v>
      </c>
      <c r="T390" s="40"/>
      <c r="U390" s="22"/>
      <c r="V390" s="40"/>
      <c r="W390" s="40"/>
      <c r="X390" s="40"/>
      <c r="Y390" s="40"/>
      <c r="Z390" s="22"/>
      <c r="AA390" s="22"/>
      <c r="AB390" s="22"/>
    </row>
    <row r="391" ht="18.75" customHeight="1">
      <c r="A391" s="18" t="str">
        <f t="array" ref="A391">IFERROR(
  INDEX(
    'api-register-id'!A:A,
    MATCH(F391, 'api-register-id'!B:B, 0)
  ),
  "Not found Organization"
)</f>
        <v>SSFF</v>
      </c>
      <c r="B391" s="22" t="str">
        <f>IFERROR(VLOOKUP(F391, 'api-register-id'!B:F, 4, FALSE), "Not found path.")</f>
        <v>mx-api-bc-pro-loan</v>
      </c>
      <c r="C391" s="23" t="s">
        <v>41</v>
      </c>
      <c r="D391" s="23" t="s">
        <v>811</v>
      </c>
      <c r="E391" s="24" t="str">
        <f>IFERROR(VLOOKUP(F391, 'api-register-id'!B:F, 5, FALSE), "Not found path.")</f>
        <v>APIMX000093</v>
      </c>
      <c r="F391" s="25" t="s">
        <v>1186</v>
      </c>
      <c r="G391" s="26" t="s">
        <v>3879</v>
      </c>
      <c r="H391" s="22" t="s">
        <v>3133</v>
      </c>
      <c r="I391" s="29" t="str">
        <f>IFERROR(VLOOKUP(F391, 'api-register-id'!B:I, 8, FALSE), "Not found path.")</f>
        <v>2.2.0</v>
      </c>
      <c r="J391" s="3" t="s">
        <v>3110</v>
      </c>
      <c r="K391" s="31" t="s">
        <v>48</v>
      </c>
      <c r="L391" s="23" t="s">
        <v>428</v>
      </c>
      <c r="M391" s="3" t="s">
        <v>1232</v>
      </c>
      <c r="N391" s="3" t="str">
        <f t="shared" si="1"/>
        <v>PATCH /system/loansAndDeposits/loan/v1/loanProjection/request</v>
      </c>
      <c r="O391" s="32" t="s">
        <v>1233</v>
      </c>
      <c r="P391" s="32"/>
      <c r="Q391" s="61" t="s">
        <v>98</v>
      </c>
      <c r="R391" s="31" t="s">
        <v>56</v>
      </c>
      <c r="S391" s="38" t="str">
        <f t="shared" si="2"/>
        <v>https://github.com/SF-Bancoppel/mx-api-bc-pro-loan</v>
      </c>
      <c r="T391" s="40"/>
      <c r="U391" s="22"/>
      <c r="V391" s="22"/>
      <c r="W391" s="40"/>
      <c r="X391" s="40"/>
      <c r="Y391" s="40"/>
      <c r="Z391" s="22"/>
      <c r="AA391" s="22"/>
      <c r="AB391" s="22"/>
    </row>
    <row r="392" ht="18.75" customHeight="1">
      <c r="A392" s="18" t="str">
        <f t="array" ref="A392">IFERROR(
  INDEX(
    'api-register-id'!A:A,
    MATCH(F392, 'api-register-id'!B:B, 0)
  ),
  "Not found Organization"
)</f>
        <v>SSFF</v>
      </c>
      <c r="B392" s="22" t="str">
        <f>IFERROR(VLOOKUP(F392, 'api-register-id'!B:F, 4, FALSE), "Not found path.")</f>
        <v>mx-api-bc-pro-loan</v>
      </c>
      <c r="C392" s="23" t="s">
        <v>41</v>
      </c>
      <c r="D392" s="23" t="s">
        <v>811</v>
      </c>
      <c r="E392" s="24" t="str">
        <f>IFERROR(VLOOKUP(F392, 'api-register-id'!B:F, 5, FALSE), "Not found path.")</f>
        <v>APIMX000093</v>
      </c>
      <c r="F392" s="25" t="s">
        <v>1186</v>
      </c>
      <c r="G392" s="26" t="s">
        <v>3881</v>
      </c>
      <c r="H392" s="22" t="s">
        <v>3136</v>
      </c>
      <c r="I392" s="29" t="str">
        <f>IFERROR(VLOOKUP(F392, 'api-register-id'!B:I, 8, FALSE), "Not found path.")</f>
        <v>2.2.0</v>
      </c>
      <c r="J392" s="3" t="s">
        <v>3110</v>
      </c>
      <c r="K392" s="31" t="s">
        <v>48</v>
      </c>
      <c r="L392" s="23" t="s">
        <v>108</v>
      </c>
      <c r="M392" s="3" t="s">
        <v>146</v>
      </c>
      <c r="N392" s="3" t="str">
        <f t="shared" si="1"/>
        <v>GET /system/loansAndDeposits/loan/v1/loanAgreement/retrieve</v>
      </c>
      <c r="O392" s="32" t="s">
        <v>1239</v>
      </c>
      <c r="P392" s="32"/>
      <c r="Q392" s="61" t="s">
        <v>98</v>
      </c>
      <c r="R392" s="31" t="s">
        <v>56</v>
      </c>
      <c r="S392" s="38" t="str">
        <f t="shared" si="2"/>
        <v>https://github.com/SF-Bancoppel/mx-api-bc-pro-loan</v>
      </c>
      <c r="T392" s="40"/>
      <c r="U392" s="22"/>
      <c r="V392" s="40"/>
      <c r="W392" s="40"/>
      <c r="X392" s="40"/>
      <c r="Y392" s="40"/>
      <c r="Z392" s="22"/>
      <c r="AA392" s="22"/>
      <c r="AB392" s="22"/>
    </row>
    <row r="393" ht="18.75" customHeight="1">
      <c r="A393" s="18" t="str">
        <f t="array" ref="A393">IFERROR(
  INDEX(
    'api-register-id'!A:A,
    MATCH(F393, 'api-register-id'!B:B, 0)
  ),
  "Not found Organization"
)</f>
        <v>SSFF</v>
      </c>
      <c r="B393" s="22" t="str">
        <f>IFERROR(VLOOKUP(F393, 'api-register-id'!B:F, 4, FALSE), "Not found path.")</f>
        <v>mx-api-bc-pro-loan</v>
      </c>
      <c r="C393" s="23" t="s">
        <v>41</v>
      </c>
      <c r="D393" s="23" t="s">
        <v>811</v>
      </c>
      <c r="E393" s="24" t="str">
        <f>IFERROR(VLOOKUP(F393, 'api-register-id'!B:F, 5, FALSE), "Not found path.")</f>
        <v>APIMX000093</v>
      </c>
      <c r="F393" s="25" t="s">
        <v>1186</v>
      </c>
      <c r="G393" s="26" t="s">
        <v>3884</v>
      </c>
      <c r="H393" s="22" t="s">
        <v>3141</v>
      </c>
      <c r="I393" s="29" t="str">
        <f>IFERROR(VLOOKUP(F393, 'api-register-id'!B:I, 8, FALSE), "Not found path.")</f>
        <v>2.2.0</v>
      </c>
      <c r="J393" s="3" t="s">
        <v>3110</v>
      </c>
      <c r="K393" s="31" t="s">
        <v>48</v>
      </c>
      <c r="L393" s="23" t="s">
        <v>49</v>
      </c>
      <c r="M393" s="3" t="s">
        <v>1242</v>
      </c>
      <c r="N393" s="3" t="str">
        <f t="shared" si="1"/>
        <v>POST /system/loansAndDeposits/loan/v1/loanBalance/retrieve</v>
      </c>
      <c r="O393" s="32" t="s">
        <v>1244</v>
      </c>
      <c r="P393" s="32"/>
      <c r="Q393" s="61" t="s">
        <v>98</v>
      </c>
      <c r="R393" s="31" t="s">
        <v>56</v>
      </c>
      <c r="S393" s="38" t="str">
        <f t="shared" si="2"/>
        <v>https://github.com/SF-Bancoppel/mx-api-bc-pro-loan</v>
      </c>
      <c r="T393" s="40"/>
      <c r="U393" s="22"/>
      <c r="V393" s="40"/>
      <c r="W393" s="40"/>
      <c r="X393" s="40"/>
      <c r="Y393" s="40"/>
      <c r="Z393" s="22"/>
      <c r="AA393" s="22"/>
      <c r="AB393" s="22"/>
    </row>
    <row r="394" ht="18.75" customHeight="1">
      <c r="A394" s="18" t="str">
        <f t="array" ref="A394">IFERROR(
  INDEX(
    'api-register-id'!A:A,
    MATCH(F394, 'api-register-id'!B:B, 0)
  ),
  "Not found Organization"
)</f>
        <v>SSFF</v>
      </c>
      <c r="B394" s="22" t="str">
        <f>IFERROR(VLOOKUP(F394, 'api-register-id'!B:F, 4, FALSE), "Not found path.")</f>
        <v>mx-api-bc-pro-loan</v>
      </c>
      <c r="C394" s="23" t="s">
        <v>41</v>
      </c>
      <c r="D394" s="23" t="s">
        <v>811</v>
      </c>
      <c r="E394" s="24" t="str">
        <f>IFERROR(VLOOKUP(F394, 'api-register-id'!B:F, 5, FALSE), "Not found path.")</f>
        <v>APIMX000093</v>
      </c>
      <c r="F394" s="25" t="s">
        <v>1186</v>
      </c>
      <c r="G394" s="26" t="s">
        <v>3886</v>
      </c>
      <c r="H394" s="22" t="s">
        <v>3144</v>
      </c>
      <c r="I394" s="29" t="str">
        <f>IFERROR(VLOOKUP(F394, 'api-register-id'!B:I, 8, FALSE), "Not found path.")</f>
        <v>2.2.0</v>
      </c>
      <c r="J394" s="3" t="s">
        <v>3110</v>
      </c>
      <c r="K394" s="31" t="s">
        <v>48</v>
      </c>
      <c r="L394" s="23" t="s">
        <v>108</v>
      </c>
      <c r="M394" s="3" t="s">
        <v>1250</v>
      </c>
      <c r="N394" s="3" t="str">
        <f t="shared" si="1"/>
        <v>GET /system/loansAndDeposits/loan/v1/loanDataDocument/retrieve</v>
      </c>
      <c r="O394" s="32" t="s">
        <v>1251</v>
      </c>
      <c r="P394" s="32"/>
      <c r="Q394" s="61" t="s">
        <v>98</v>
      </c>
      <c r="R394" s="31" t="s">
        <v>56</v>
      </c>
      <c r="S394" s="38" t="str">
        <f t="shared" si="2"/>
        <v>https://github.com/SF-Bancoppel/mx-api-bc-pro-loan</v>
      </c>
      <c r="T394" s="40"/>
      <c r="U394" s="22"/>
      <c r="V394" s="40"/>
      <c r="W394" s="40"/>
      <c r="X394" s="40"/>
      <c r="Y394" s="40"/>
      <c r="Z394" s="22"/>
      <c r="AA394" s="22"/>
      <c r="AB394" s="22"/>
    </row>
    <row r="395" ht="18.75" customHeight="1">
      <c r="A395" s="18" t="str">
        <f t="array" ref="A395">IFERROR(
  INDEX(
    'api-register-id'!A:A,
    MATCH(F395, 'api-register-id'!B:B, 0)
  ),
  "Not found Organization"
)</f>
        <v>SSFF</v>
      </c>
      <c r="B395" s="22" t="str">
        <f>IFERROR(VLOOKUP(F395, 'api-register-id'!B:F, 4, FALSE), "Not found path.")</f>
        <v>mx-api-bc-pro-loan</v>
      </c>
      <c r="C395" s="23" t="s">
        <v>41</v>
      </c>
      <c r="D395" s="23" t="s">
        <v>811</v>
      </c>
      <c r="E395" s="24" t="str">
        <f>IFERROR(VLOOKUP(F395, 'api-register-id'!B:F, 5, FALSE), "Not found path.")</f>
        <v>APIMX000093</v>
      </c>
      <c r="F395" s="25" t="s">
        <v>1186</v>
      </c>
      <c r="G395" s="26" t="s">
        <v>3894</v>
      </c>
      <c r="H395" s="22" t="s">
        <v>3149</v>
      </c>
      <c r="I395" s="29" t="str">
        <f>IFERROR(VLOOKUP(F395, 'api-register-id'!B:I, 8, FALSE), "Not found path.")</f>
        <v>2.2.0</v>
      </c>
      <c r="J395" s="3" t="s">
        <v>3110</v>
      </c>
      <c r="K395" s="31" t="s">
        <v>48</v>
      </c>
      <c r="L395" s="23" t="s">
        <v>49</v>
      </c>
      <c r="M395" s="3" t="s">
        <v>1254</v>
      </c>
      <c r="N395" s="3" t="str">
        <f t="shared" si="1"/>
        <v>POST /system/loansAndDeposits/loan/v1/maintenance/retrieve</v>
      </c>
      <c r="O395" s="32" t="s">
        <v>780</v>
      </c>
      <c r="P395" s="32"/>
      <c r="Q395" s="61" t="s">
        <v>98</v>
      </c>
      <c r="R395" s="31" t="s">
        <v>56</v>
      </c>
      <c r="S395" s="38" t="str">
        <f t="shared" si="2"/>
        <v>https://github.com/SF-Bancoppel/mx-api-bc-pro-loan</v>
      </c>
      <c r="T395" s="40"/>
      <c r="U395" s="22"/>
      <c r="V395" s="40"/>
      <c r="W395" s="40"/>
      <c r="X395" s="40"/>
      <c r="Y395" s="40"/>
      <c r="Z395" s="22"/>
      <c r="AA395" s="22"/>
      <c r="AB395" s="22"/>
    </row>
    <row r="396" ht="18.75" customHeight="1">
      <c r="A396" s="18" t="str">
        <f t="array" ref="A396">IFERROR(
  INDEX(
    'api-register-id'!A:A,
    MATCH(F396, 'api-register-id'!B:B, 0)
  ),
  "Not found Organization"
)</f>
        <v>SSFF</v>
      </c>
      <c r="B396" s="22" t="str">
        <f>IFERROR(VLOOKUP(F396, 'api-register-id'!B:F, 4, FALSE), "Not found path.")</f>
        <v>mx-api-bc-pro-location-data-management</v>
      </c>
      <c r="C396" s="23" t="s">
        <v>41</v>
      </c>
      <c r="D396" s="23" t="s">
        <v>811</v>
      </c>
      <c r="E396" s="24" t="str">
        <f>IFERROR(VLOOKUP(F396, 'api-register-id'!B:F, 5, FALSE), "Not found path.")</f>
        <v>APIMX000094</v>
      </c>
      <c r="F396" s="25" t="s">
        <v>1198</v>
      </c>
      <c r="G396" s="26" t="s">
        <v>3897</v>
      </c>
      <c r="H396" s="22" t="s">
        <v>3153</v>
      </c>
      <c r="I396" s="29" t="str">
        <f>IFERROR(VLOOKUP(F396, 'api-register-id'!B:I, 8, FALSE), "Not found path.")</f>
        <v>1.3.1</v>
      </c>
      <c r="J396" s="3" t="s">
        <v>3154</v>
      </c>
      <c r="K396" s="31" t="s">
        <v>48</v>
      </c>
      <c r="L396" s="23" t="s">
        <v>49</v>
      </c>
      <c r="M396" s="3" t="s">
        <v>1262</v>
      </c>
      <c r="N396" s="3" t="str">
        <f t="shared" si="1"/>
        <v>POST /system/marketData/locationDataManagement/v1/street/evaluate</v>
      </c>
      <c r="O396" s="32" t="s">
        <v>3156</v>
      </c>
      <c r="P396" s="32" t="s">
        <v>652</v>
      </c>
      <c r="Q396" s="61" t="s">
        <v>3902</v>
      </c>
      <c r="R396" s="31" t="s">
        <v>56</v>
      </c>
      <c r="S396" s="38" t="str">
        <f t="shared" si="2"/>
        <v>https://github.com/SF-Bancoppel/mx-api-bc-pro-location-data-management</v>
      </c>
      <c r="T396" s="40"/>
      <c r="U396" s="22"/>
      <c r="V396" s="40"/>
      <c r="W396" s="40"/>
      <c r="X396" s="40"/>
      <c r="Y396" s="40"/>
      <c r="Z396" s="22"/>
      <c r="AA396" s="22"/>
      <c r="AB396" s="22"/>
    </row>
    <row r="397" ht="18.75" customHeight="1">
      <c r="A397" s="18" t="str">
        <f t="array" ref="A397">IFERROR(
  INDEX(
    'api-register-id'!A:A,
    MATCH(F397, 'api-register-id'!B:B, 0)
  ),
  "Not found Organization"
)</f>
        <v>SSFF</v>
      </c>
      <c r="B397" s="22" t="str">
        <f>IFERROR(VLOOKUP(F397, 'api-register-id'!B:F, 4, FALSE), "Not found path.")</f>
        <v>mx-api-bc-pro-location-data-management</v>
      </c>
      <c r="C397" s="23" t="s">
        <v>41</v>
      </c>
      <c r="D397" s="23" t="s">
        <v>811</v>
      </c>
      <c r="E397" s="24" t="str">
        <f>IFERROR(VLOOKUP(F397, 'api-register-id'!B:F, 5, FALSE), "Not found path.")</f>
        <v>APIMX000094</v>
      </c>
      <c r="F397" s="25" t="s">
        <v>1198</v>
      </c>
      <c r="G397" s="26" t="s">
        <v>3910</v>
      </c>
      <c r="H397" s="22" t="s">
        <v>3161</v>
      </c>
      <c r="I397" s="29" t="str">
        <f>IFERROR(VLOOKUP(F397, 'api-register-id'!B:I, 8, FALSE), "Not found path.")</f>
        <v>1.3.1</v>
      </c>
      <c r="J397" s="3" t="s">
        <v>3154</v>
      </c>
      <c r="K397" s="31" t="s">
        <v>48</v>
      </c>
      <c r="L397" s="23" t="s">
        <v>49</v>
      </c>
      <c r="M397" s="3" t="s">
        <v>1267</v>
      </c>
      <c r="N397" s="3" t="str">
        <f t="shared" si="1"/>
        <v>POST /system/marketData/locationDataManagement/v1/sepomex/retrieve</v>
      </c>
      <c r="O397" s="32" t="s">
        <v>3163</v>
      </c>
      <c r="P397" s="32"/>
      <c r="Q397" s="61" t="s">
        <v>3912</v>
      </c>
      <c r="R397" s="31" t="s">
        <v>56</v>
      </c>
      <c r="S397" s="38" t="str">
        <f t="shared" si="2"/>
        <v>https://github.com/SF-Bancoppel/mx-api-bc-pro-location-data-management</v>
      </c>
      <c r="T397" s="40"/>
      <c r="U397" s="22"/>
      <c r="V397" s="22"/>
      <c r="W397" s="40"/>
      <c r="X397" s="40"/>
      <c r="Y397" s="40"/>
      <c r="Z397" s="22"/>
      <c r="AA397" s="22"/>
      <c r="AB397" s="22"/>
    </row>
    <row r="398" ht="18.75" customHeight="1">
      <c r="A398" s="18" t="str">
        <f t="array" ref="A398">IFERROR(
  INDEX(
    'api-register-id'!A:A,
    MATCH(F398, 'api-register-id'!B:B, 0)
  ),
  "Not found Organization"
)</f>
        <v>SSFF</v>
      </c>
      <c r="B398" s="22" t="str">
        <f>IFERROR(VLOOKUP(F398, 'api-register-id'!B:F, 4, FALSE), "Not found path.")</f>
        <v>mx-api-bc-pro-location-data-management</v>
      </c>
      <c r="C398" s="23" t="s">
        <v>41</v>
      </c>
      <c r="D398" s="23" t="s">
        <v>811</v>
      </c>
      <c r="E398" s="24" t="str">
        <f>IFERROR(VLOOKUP(F398, 'api-register-id'!B:F, 5, FALSE), "Not found path.")</f>
        <v>APIMX000094</v>
      </c>
      <c r="F398" s="25" t="s">
        <v>1198</v>
      </c>
      <c r="G398" s="26" t="s">
        <v>3919</v>
      </c>
      <c r="H398" s="22" t="s">
        <v>3167</v>
      </c>
      <c r="I398" s="29" t="str">
        <f>IFERROR(VLOOKUP(F398, 'api-register-id'!B:I, 8, FALSE), "Not found path.")</f>
        <v>1.3.1</v>
      </c>
      <c r="J398" s="3" t="s">
        <v>3154</v>
      </c>
      <c r="K398" s="31" t="s">
        <v>48</v>
      </c>
      <c r="L398" s="23" t="s">
        <v>49</v>
      </c>
      <c r="M398" s="3" t="s">
        <v>1282</v>
      </c>
      <c r="N398" s="3" t="str">
        <f t="shared" si="1"/>
        <v>POST /system/marketData/locationDataManagement/v1/location/register</v>
      </c>
      <c r="O398" s="32" t="s">
        <v>3169</v>
      </c>
      <c r="P398" s="32"/>
      <c r="Q398" s="61" t="s">
        <v>3923</v>
      </c>
      <c r="R398" s="31" t="s">
        <v>56</v>
      </c>
      <c r="S398" s="38" t="str">
        <f t="shared" si="2"/>
        <v>https://github.com/SF-Bancoppel/mx-api-bc-pro-location-data-management</v>
      </c>
      <c r="T398" s="40"/>
      <c r="U398" s="22"/>
      <c r="V398" s="22"/>
      <c r="W398" s="40"/>
      <c r="X398" s="40"/>
      <c r="Y398" s="40"/>
      <c r="Z398" s="22"/>
      <c r="AA398" s="22"/>
      <c r="AB398" s="22"/>
    </row>
    <row r="399" ht="18.75" customHeight="1">
      <c r="A399" s="18" t="str">
        <f t="array" ref="A399">IFERROR(
  INDEX(
    'api-register-id'!A:A,
    MATCH(F399, 'api-register-id'!B:B, 0)
  ),
  "Not found Organization"
)</f>
        <v>SSFF</v>
      </c>
      <c r="B399" s="22" t="str">
        <f>IFERROR(VLOOKUP(F399, 'api-register-id'!B:F, 4, FALSE), "Not found path.")</f>
        <v>mx-api-bc-pro-location-data-management</v>
      </c>
      <c r="C399" s="23" t="s">
        <v>41</v>
      </c>
      <c r="D399" s="23" t="s">
        <v>811</v>
      </c>
      <c r="E399" s="24" t="str">
        <f>IFERROR(VLOOKUP(F399, 'api-register-id'!B:F, 5, FALSE), "Not found path.")</f>
        <v>APIMX000094</v>
      </c>
      <c r="F399" s="25" t="s">
        <v>1198</v>
      </c>
      <c r="G399" s="26" t="s">
        <v>3928</v>
      </c>
      <c r="H399" s="22" t="s">
        <v>3173</v>
      </c>
      <c r="I399" s="29" t="str">
        <f>IFERROR(VLOOKUP(F399, 'api-register-id'!B:I, 8, FALSE), "Not found path.")</f>
        <v>1.3.1</v>
      </c>
      <c r="J399" s="3" t="s">
        <v>3154</v>
      </c>
      <c r="K399" s="31" t="s">
        <v>48</v>
      </c>
      <c r="L399" s="23" t="s">
        <v>428</v>
      </c>
      <c r="M399" s="3" t="s">
        <v>1287</v>
      </c>
      <c r="N399" s="3" t="str">
        <f t="shared" si="1"/>
        <v>PATCH /system/marketData/locationDataManagement/v1/sepomex/update</v>
      </c>
      <c r="O399" s="32" t="s">
        <v>3176</v>
      </c>
      <c r="P399" s="32"/>
      <c r="Q399" s="61" t="s">
        <v>3932</v>
      </c>
      <c r="R399" s="31" t="s">
        <v>56</v>
      </c>
      <c r="S399" s="38" t="str">
        <f t="shared" si="2"/>
        <v>https://github.com/SF-Bancoppel/mx-api-bc-pro-location-data-management</v>
      </c>
      <c r="T399" s="40"/>
      <c r="U399" s="22"/>
      <c r="V399" s="40"/>
      <c r="W399" s="40"/>
      <c r="X399" s="40"/>
      <c r="Y399" s="40"/>
      <c r="Z399" s="22"/>
      <c r="AA399" s="22"/>
      <c r="AB399" s="22"/>
    </row>
    <row r="400" ht="18.75" customHeight="1">
      <c r="A400" s="18" t="str">
        <f t="array" ref="A400">IFERROR(
  INDEX(
    'api-register-id'!A:A,
    MATCH(F400, 'api-register-id'!B:B, 0)
  ),
  "Not found Organization"
)</f>
        <v>SSFF</v>
      </c>
      <c r="B400" s="22" t="str">
        <f>IFERROR(VLOOKUP(F400, 'api-register-id'!B:F, 4, FALSE), "Not found path.")</f>
        <v>mx-api-bc-pro-party-authentication</v>
      </c>
      <c r="C400" s="23" t="s">
        <v>41</v>
      </c>
      <c r="D400" s="23" t="s">
        <v>811</v>
      </c>
      <c r="E400" s="24" t="str">
        <f>IFERROR(VLOOKUP(F400, 'api-register-id'!B:F, 5, FALSE), "Not found path.")</f>
        <v>APIMX000095</v>
      </c>
      <c r="F400" s="25" t="s">
        <v>1204</v>
      </c>
      <c r="G400" s="26" t="s">
        <v>3942</v>
      </c>
      <c r="H400" s="22" t="s">
        <v>3178</v>
      </c>
      <c r="I400" s="29" t="str">
        <f>IFERROR(VLOOKUP(F400, 'api-register-id'!B:I, 8, FALSE), "Not found path.")</f>
        <v>1.1.0</v>
      </c>
      <c r="J400" s="3" t="s">
        <v>3179</v>
      </c>
      <c r="K400" s="31" t="s">
        <v>48</v>
      </c>
      <c r="L400" s="23" t="s">
        <v>49</v>
      </c>
      <c r="M400" s="3" t="s">
        <v>1296</v>
      </c>
      <c r="N400" s="3" t="str">
        <f t="shared" si="1"/>
        <v>POST /system/crossChannel/partyAuthentication/v1/profileFacility/register</v>
      </c>
      <c r="O400" s="32" t="s">
        <v>1297</v>
      </c>
      <c r="P400" s="32"/>
      <c r="Q400" s="61" t="s">
        <v>98</v>
      </c>
      <c r="R400" s="31" t="s">
        <v>56</v>
      </c>
      <c r="S400" s="38" t="str">
        <f t="shared" si="2"/>
        <v>https://github.com/SF-Bancoppel/mx-api-bc-pro-party-authentication</v>
      </c>
      <c r="T400" s="40"/>
      <c r="U400" s="22"/>
      <c r="V400" s="40"/>
      <c r="W400" s="40"/>
      <c r="X400" s="40"/>
      <c r="Y400" s="40"/>
      <c r="Z400" s="22"/>
      <c r="AA400" s="22"/>
      <c r="AB400" s="22"/>
    </row>
    <row r="401" ht="18.75" customHeight="1">
      <c r="A401" s="18" t="str">
        <f t="array" ref="A401">IFERROR(
  INDEX(
    'api-register-id'!A:A,
    MATCH(F401, 'api-register-id'!B:B, 0)
  ),
  "Not found Organization"
)</f>
        <v>SSFF</v>
      </c>
      <c r="B401" s="22" t="str">
        <f>IFERROR(VLOOKUP(F401, 'api-register-id'!B:F, 4, FALSE), "Not found path.")</f>
        <v>mx-api-bc-pro-party-authentication</v>
      </c>
      <c r="C401" s="23" t="s">
        <v>41</v>
      </c>
      <c r="D401" s="23" t="s">
        <v>811</v>
      </c>
      <c r="E401" s="24" t="str">
        <f>IFERROR(VLOOKUP(F401, 'api-register-id'!B:F, 5, FALSE), "Not found path.")</f>
        <v>APIMX000095</v>
      </c>
      <c r="F401" s="25" t="s">
        <v>1204</v>
      </c>
      <c r="G401" s="26" t="s">
        <v>3951</v>
      </c>
      <c r="H401" s="22" t="s">
        <v>3184</v>
      </c>
      <c r="I401" s="29" t="str">
        <f>IFERROR(VLOOKUP(F401, 'api-register-id'!B:I, 8, FALSE), "Not found path.")</f>
        <v>1.1.0</v>
      </c>
      <c r="J401" s="3" t="s">
        <v>3179</v>
      </c>
      <c r="K401" s="31" t="s">
        <v>48</v>
      </c>
      <c r="L401" s="23" t="s">
        <v>49</v>
      </c>
      <c r="M401" s="3" t="s">
        <v>1302</v>
      </c>
      <c r="N401" s="3" t="str">
        <f t="shared" si="1"/>
        <v>POST /system/crossChannel/partyAuthentication/v1/partyAuthenticationAssessment/evaluate</v>
      </c>
      <c r="O401" s="32" t="s">
        <v>1304</v>
      </c>
      <c r="P401" s="32"/>
      <c r="Q401" s="61" t="s">
        <v>3954</v>
      </c>
      <c r="R401" s="31" t="s">
        <v>56</v>
      </c>
      <c r="S401" s="38" t="str">
        <f t="shared" si="2"/>
        <v>https://github.com/SF-Bancoppel/mx-api-bc-pro-party-authentication</v>
      </c>
      <c r="T401" s="40"/>
      <c r="U401" s="22"/>
      <c r="V401" s="40"/>
      <c r="W401" s="40"/>
      <c r="X401" s="40"/>
      <c r="Y401" s="40"/>
      <c r="Z401" s="22"/>
      <c r="AA401" s="22"/>
      <c r="AB401" s="22"/>
    </row>
    <row r="402" ht="18.75" customHeight="1">
      <c r="A402" s="18" t="str">
        <f t="array" ref="A402">IFERROR(
  INDEX(
    'api-register-id'!A:A,
    MATCH(F402, 'api-register-id'!B:B, 0)
  ),
  "Not found Organization"
)</f>
        <v>SSFF</v>
      </c>
      <c r="B402" s="22" t="str">
        <f>IFERROR(VLOOKUP(F402, 'api-register-id'!B:F, 4, FALSE), "Not found path.")</f>
        <v>mx-api-bc-pro-party-authentication</v>
      </c>
      <c r="C402" s="23" t="s">
        <v>41</v>
      </c>
      <c r="D402" s="23" t="s">
        <v>811</v>
      </c>
      <c r="E402" s="24" t="str">
        <f>IFERROR(VLOOKUP(F402, 'api-register-id'!B:F, 5, FALSE), "Not found path.")</f>
        <v>APIMX000095</v>
      </c>
      <c r="F402" s="25" t="s">
        <v>1204</v>
      </c>
      <c r="G402" s="26" t="s">
        <v>3964</v>
      </c>
      <c r="H402" s="22" t="s">
        <v>3191</v>
      </c>
      <c r="I402" s="29" t="str">
        <f>IFERROR(VLOOKUP(F402, 'api-register-id'!B:I, 8, FALSE), "Not found path.")</f>
        <v>1.1.0</v>
      </c>
      <c r="J402" s="3" t="s">
        <v>3179</v>
      </c>
      <c r="K402" s="31" t="s">
        <v>48</v>
      </c>
      <c r="L402" s="23" t="s">
        <v>49</v>
      </c>
      <c r="M402" s="3" t="s">
        <v>1308</v>
      </c>
      <c r="N402" s="3" t="str">
        <f t="shared" si="1"/>
        <v>POST /system/crossChannel/partyAuthentication/v1/password/evaluate</v>
      </c>
      <c r="O402" s="32" t="s">
        <v>1309</v>
      </c>
      <c r="P402" s="32"/>
      <c r="Q402" s="61" t="s">
        <v>98</v>
      </c>
      <c r="R402" s="31" t="s">
        <v>56</v>
      </c>
      <c r="S402" s="38" t="str">
        <f t="shared" si="2"/>
        <v>https://github.com/SF-Bancoppel/mx-api-bc-pro-party-authentication</v>
      </c>
      <c r="T402" s="40"/>
      <c r="U402" s="22"/>
      <c r="V402" s="22"/>
      <c r="W402" s="40"/>
      <c r="X402" s="40"/>
      <c r="Y402" s="40"/>
      <c r="Z402" s="22"/>
      <c r="AA402" s="22"/>
      <c r="AB402" s="22"/>
    </row>
    <row r="403" ht="18.75" customHeight="1">
      <c r="A403" s="18" t="str">
        <f t="array" ref="A403">IFERROR(
  INDEX(
    'api-register-id'!A:A,
    MATCH(F403, 'api-register-id'!B:B, 0)
  ),
  "Not found Organization"
)</f>
        <v>SSFF</v>
      </c>
      <c r="B403" s="22" t="str">
        <f>IFERROR(VLOOKUP(F403, 'api-register-id'!B:F, 4, FALSE), "Not found path.")</f>
        <v>mx-api-bc-pro-party-lifecycle-management</v>
      </c>
      <c r="C403" s="23" t="s">
        <v>41</v>
      </c>
      <c r="D403" s="23" t="s">
        <v>811</v>
      </c>
      <c r="E403" s="24" t="str">
        <f>IFERROR(VLOOKUP(F403, 'api-register-id'!B:F, 5, FALSE), "Not found path.")</f>
        <v>APIMX000096</v>
      </c>
      <c r="F403" s="25" t="s">
        <v>1214</v>
      </c>
      <c r="G403" s="26" t="s">
        <v>3971</v>
      </c>
      <c r="H403" s="22" t="s">
        <v>3196</v>
      </c>
      <c r="I403" s="29" t="str">
        <f>IFERROR(VLOOKUP(F403, 'api-register-id'!B:I, 8, FALSE), "Not found path.")</f>
        <v>2.3.2</v>
      </c>
      <c r="J403" s="3" t="s">
        <v>3197</v>
      </c>
      <c r="K403" s="31" t="s">
        <v>48</v>
      </c>
      <c r="L403" s="23" t="s">
        <v>428</v>
      </c>
      <c r="M403" s="3" t="s">
        <v>1316</v>
      </c>
      <c r="N403" s="3" t="str">
        <f t="shared" si="1"/>
        <v>PATCH /system/sales/partyLifecycleManagement/v1/documentation/capture</v>
      </c>
      <c r="O403" s="32" t="s">
        <v>1317</v>
      </c>
      <c r="P403" s="32"/>
      <c r="Q403" s="61" t="s">
        <v>3973</v>
      </c>
      <c r="R403" s="31" t="s">
        <v>56</v>
      </c>
      <c r="S403" s="38" t="str">
        <f t="shared" si="2"/>
        <v>https://github.com/SF-Bancoppel/mx-api-bc-pro-party-lifecycle-management</v>
      </c>
      <c r="T403" s="40"/>
      <c r="U403" s="22"/>
      <c r="V403" s="40"/>
      <c r="W403" s="40"/>
      <c r="X403" s="40"/>
      <c r="Y403" s="40"/>
      <c r="Z403" s="22"/>
      <c r="AA403" s="22"/>
      <c r="AB403" s="22"/>
    </row>
    <row r="404" ht="18.75" customHeight="1">
      <c r="A404" s="18" t="str">
        <f t="array" ref="A404">IFERROR(
  INDEX(
    'api-register-id'!A:A,
    MATCH(F404, 'api-register-id'!B:B, 0)
  ),
  "Not found Organization"
)</f>
        <v>SSFF</v>
      </c>
      <c r="B404" s="22" t="str">
        <f>IFERROR(VLOOKUP(F404, 'api-register-id'!B:F, 4, FALSE), "Not found path.")</f>
        <v>mx-api-bc-pro-party-lifecycle-management</v>
      </c>
      <c r="C404" s="23" t="s">
        <v>41</v>
      </c>
      <c r="D404" s="23" t="s">
        <v>811</v>
      </c>
      <c r="E404" s="24" t="str">
        <f>IFERROR(VLOOKUP(F404, 'api-register-id'!B:F, 5, FALSE), "Not found path.")</f>
        <v>APIMX000096</v>
      </c>
      <c r="F404" s="25" t="s">
        <v>1214</v>
      </c>
      <c r="G404" s="26" t="s">
        <v>3978</v>
      </c>
      <c r="H404" s="22" t="s">
        <v>3205</v>
      </c>
      <c r="I404" s="29" t="str">
        <f>IFERROR(VLOOKUP(F404, 'api-register-id'!B:I, 8, FALSE), "Not found path.")</f>
        <v>2.3.2</v>
      </c>
      <c r="J404" s="3" t="s">
        <v>3197</v>
      </c>
      <c r="K404" s="31" t="s">
        <v>48</v>
      </c>
      <c r="L404" s="23" t="s">
        <v>49</v>
      </c>
      <c r="M404" s="3" t="s">
        <v>1322</v>
      </c>
      <c r="N404" s="3" t="str">
        <f t="shared" si="1"/>
        <v>POST /system/sales/partyLifecycleManagement/v1/documentation/evaluate</v>
      </c>
      <c r="O404" s="32" t="s">
        <v>1323</v>
      </c>
      <c r="P404" s="32"/>
      <c r="Q404" s="61" t="s">
        <v>3981</v>
      </c>
      <c r="R404" s="31" t="s">
        <v>56</v>
      </c>
      <c r="S404" s="38" t="str">
        <f t="shared" si="2"/>
        <v>https://github.com/SF-Bancoppel/mx-api-bc-pro-party-lifecycle-management</v>
      </c>
      <c r="T404" s="40"/>
      <c r="U404" s="22"/>
      <c r="V404" s="40"/>
      <c r="W404" s="40"/>
      <c r="X404" s="40"/>
      <c r="Y404" s="40"/>
      <c r="Z404" s="22"/>
      <c r="AA404" s="22"/>
      <c r="AB404" s="22"/>
    </row>
    <row r="405" ht="18.75" customHeight="1">
      <c r="A405" s="18" t="str">
        <f t="array" ref="A405">IFERROR(
  INDEX(
    'api-register-id'!A:A,
    MATCH(F405, 'api-register-id'!B:B, 0)
  ),
  "Not found Organization"
)</f>
        <v>SSFF</v>
      </c>
      <c r="B405" s="22" t="str">
        <f>IFERROR(VLOOKUP(F405, 'api-register-id'!B:F, 4, FALSE), "Not found path.")</f>
        <v>mx-api-bc-pro-party-lifecycle-management</v>
      </c>
      <c r="C405" s="23" t="s">
        <v>41</v>
      </c>
      <c r="D405" s="23" t="s">
        <v>811</v>
      </c>
      <c r="E405" s="24" t="str">
        <f>IFERROR(VLOOKUP(F405, 'api-register-id'!B:F, 5, FALSE), "Not found path.")</f>
        <v>APIMX000096</v>
      </c>
      <c r="F405" s="25" t="s">
        <v>1214</v>
      </c>
      <c r="G405" s="26" t="s">
        <v>3988</v>
      </c>
      <c r="H405" s="22" t="s">
        <v>3210</v>
      </c>
      <c r="I405" s="29" t="str">
        <f>IFERROR(VLOOKUP(F405, 'api-register-id'!B:I, 8, FALSE), "Not found path.")</f>
        <v>2.3.2</v>
      </c>
      <c r="J405" s="3" t="s">
        <v>3197</v>
      </c>
      <c r="K405" s="31" t="s">
        <v>48</v>
      </c>
      <c r="L405" s="23" t="s">
        <v>428</v>
      </c>
      <c r="M405" s="3" t="s">
        <v>1329</v>
      </c>
      <c r="N405" s="3" t="str">
        <f t="shared" si="1"/>
        <v>PATCH /system/sales/partyLifecycleManagement/v1/documentation/update</v>
      </c>
      <c r="O405" s="32" t="s">
        <v>1330</v>
      </c>
      <c r="P405" s="32"/>
      <c r="Q405" s="61" t="s">
        <v>3990</v>
      </c>
      <c r="R405" s="31" t="s">
        <v>56</v>
      </c>
      <c r="S405" s="38" t="str">
        <f t="shared" si="2"/>
        <v>https://github.com/SF-Bancoppel/mx-api-bc-pro-party-lifecycle-management</v>
      </c>
      <c r="T405" s="40"/>
      <c r="U405" s="22"/>
      <c r="V405" s="40"/>
      <c r="W405" s="40"/>
      <c r="X405" s="40"/>
      <c r="Y405" s="40"/>
      <c r="Z405" s="22"/>
      <c r="AA405" s="22"/>
      <c r="AB405" s="22"/>
    </row>
    <row r="406" ht="18.75" customHeight="1">
      <c r="A406" s="18" t="str">
        <f t="array" ref="A406">IFERROR(
  INDEX(
    'api-register-id'!A:A,
    MATCH(F406, 'api-register-id'!B:B, 0)
  ),
  "Not found Organization"
)</f>
        <v>SSFF</v>
      </c>
      <c r="B406" s="22" t="str">
        <f>IFERROR(VLOOKUP(F406, 'api-register-id'!B:F, 4, FALSE), "Not found path.")</f>
        <v>mx-api-bc-pro-party-lifecycle-management</v>
      </c>
      <c r="C406" s="23" t="s">
        <v>41</v>
      </c>
      <c r="D406" s="23" t="s">
        <v>811</v>
      </c>
      <c r="E406" s="24" t="str">
        <f>IFERROR(VLOOKUP(F406, 'api-register-id'!B:F, 5, FALSE), "Not found path.")</f>
        <v>APIMX000096</v>
      </c>
      <c r="F406" s="25" t="s">
        <v>1214</v>
      </c>
      <c r="G406" s="26" t="s">
        <v>3996</v>
      </c>
      <c r="H406" s="22" t="s">
        <v>3216</v>
      </c>
      <c r="I406" s="29" t="str">
        <f>IFERROR(VLOOKUP(F406, 'api-register-id'!B:I, 8, FALSE), "Not found path.")</f>
        <v>2.3.2</v>
      </c>
      <c r="J406" s="3" t="s">
        <v>3197</v>
      </c>
      <c r="K406" s="31" t="s">
        <v>48</v>
      </c>
      <c r="L406" s="23" t="s">
        <v>61</v>
      </c>
      <c r="M406" s="3" t="s">
        <v>1342</v>
      </c>
      <c r="N406" s="3" t="str">
        <f t="shared" si="1"/>
        <v>PUT /system/sales/partyLifecycleManagement/v1/documentation/execute</v>
      </c>
      <c r="O406" s="32" t="s">
        <v>1343</v>
      </c>
      <c r="P406" s="32"/>
      <c r="Q406" s="61" t="s">
        <v>4000</v>
      </c>
      <c r="R406" s="31" t="s">
        <v>56</v>
      </c>
      <c r="S406" s="38" t="str">
        <f t="shared" si="2"/>
        <v>https://github.com/SF-Bancoppel/mx-api-bc-pro-party-lifecycle-management</v>
      </c>
      <c r="T406" s="40"/>
      <c r="U406" s="22"/>
      <c r="V406" s="40"/>
      <c r="W406" s="40"/>
      <c r="X406" s="40"/>
      <c r="Y406" s="40"/>
      <c r="Z406" s="22"/>
      <c r="AA406" s="22"/>
      <c r="AB406" s="22"/>
    </row>
    <row r="407" ht="18.75" customHeight="1">
      <c r="A407" s="18" t="str">
        <f t="array" ref="A407">IFERROR(
  INDEX(
    'api-register-id'!A:A,
    MATCH(F407, 'api-register-id'!B:B, 0)
  ),
  "Not found Organization"
)</f>
        <v>SSFF</v>
      </c>
      <c r="B407" s="22" t="str">
        <f>IFERROR(VLOOKUP(F407, 'api-register-id'!B:F, 4, FALSE), "Not found path.")</f>
        <v>mx-api-bc-pro-party-lifecycle-management</v>
      </c>
      <c r="C407" s="23" t="s">
        <v>41</v>
      </c>
      <c r="D407" s="23" t="s">
        <v>811</v>
      </c>
      <c r="E407" s="24" t="str">
        <f>IFERROR(VLOOKUP(F407, 'api-register-id'!B:F, 5, FALSE), "Not found path.")</f>
        <v>APIMX000096</v>
      </c>
      <c r="F407" s="25" t="s">
        <v>1214</v>
      </c>
      <c r="G407" s="26" t="s">
        <v>4006</v>
      </c>
      <c r="H407" s="22" t="s">
        <v>3221</v>
      </c>
      <c r="I407" s="29" t="str">
        <f>IFERROR(VLOOKUP(F407, 'api-register-id'!B:I, 8, FALSE), "Not found path.")</f>
        <v>2.3.2</v>
      </c>
      <c r="J407" s="3" t="s">
        <v>3197</v>
      </c>
      <c r="K407" s="31" t="s">
        <v>48</v>
      </c>
      <c r="L407" s="23" t="s">
        <v>49</v>
      </c>
      <c r="M407" s="3" t="s">
        <v>1355</v>
      </c>
      <c r="N407" s="3" t="str">
        <f t="shared" si="1"/>
        <v>POST /system/sales/partyLifecycleManagement/v1/documentation/register</v>
      </c>
      <c r="O407" s="32" t="s">
        <v>1356</v>
      </c>
      <c r="P407" s="32"/>
      <c r="Q407" s="61" t="s">
        <v>4011</v>
      </c>
      <c r="R407" s="31" t="s">
        <v>56</v>
      </c>
      <c r="S407" s="38" t="str">
        <f t="shared" si="2"/>
        <v>https://github.com/SF-Bancoppel/mx-api-bc-pro-party-lifecycle-management</v>
      </c>
      <c r="T407" s="40"/>
      <c r="U407" s="22"/>
      <c r="V407" s="40"/>
      <c r="W407" s="40"/>
      <c r="X407" s="40"/>
      <c r="Y407" s="40"/>
      <c r="Z407" s="22"/>
      <c r="AA407" s="22"/>
      <c r="AB407" s="22"/>
    </row>
    <row r="408" ht="18.75" customHeight="1">
      <c r="A408" s="18" t="str">
        <f t="array" ref="A408">IFERROR(
  INDEX(
    'api-register-id'!A:A,
    MATCH(F408, 'api-register-id'!B:B, 0)
  ),
  "Not found Organization"
)</f>
        <v>SSFF</v>
      </c>
      <c r="B408" s="22" t="str">
        <f>IFERROR(VLOOKUP(F408, 'api-register-id'!B:F, 4, FALSE), "Not found path.")</f>
        <v>mx-api-bc-pro-party-lifecycle-management</v>
      </c>
      <c r="C408" s="23" t="s">
        <v>41</v>
      </c>
      <c r="D408" s="23" t="s">
        <v>811</v>
      </c>
      <c r="E408" s="24" t="str">
        <f>IFERROR(VLOOKUP(F408, 'api-register-id'!B:F, 5, FALSE), "Not found path.")</f>
        <v>APIMX000096</v>
      </c>
      <c r="F408" s="25" t="s">
        <v>1214</v>
      </c>
      <c r="G408" s="26" t="s">
        <v>4018</v>
      </c>
      <c r="H408" s="22" t="s">
        <v>3226</v>
      </c>
      <c r="I408" s="29" t="str">
        <f>IFERROR(VLOOKUP(F408, 'api-register-id'!B:I, 8, FALSE), "Not found path.")</f>
        <v>2.3.2</v>
      </c>
      <c r="J408" s="3" t="s">
        <v>3197</v>
      </c>
      <c r="K408" s="31" t="s">
        <v>48</v>
      </c>
      <c r="L408" s="23" t="s">
        <v>108</v>
      </c>
      <c r="M408" s="3" t="s">
        <v>3227</v>
      </c>
      <c r="N408" s="3" t="str">
        <f t="shared" si="1"/>
        <v>GET /system/sales/partyLifecycleManagement/v1/documentation/{sessionDialogueIdentification}/retrieve</v>
      </c>
      <c r="O408" s="32" t="s">
        <v>4021</v>
      </c>
      <c r="P408" s="32" t="s">
        <v>900</v>
      </c>
      <c r="Q408" s="61" t="s">
        <v>4011</v>
      </c>
      <c r="R408" s="31" t="s">
        <v>56</v>
      </c>
      <c r="S408" s="38" t="str">
        <f t="shared" si="2"/>
        <v>https://github.com/SF-Bancoppel/mx-api-bc-pro-party-lifecycle-management</v>
      </c>
      <c r="T408" s="40"/>
      <c r="U408" s="22"/>
      <c r="V408" s="40"/>
      <c r="W408" s="40"/>
      <c r="X408" s="40"/>
      <c r="Y408" s="40"/>
      <c r="Z408" s="22"/>
      <c r="AA408" s="22"/>
      <c r="AB408" s="22"/>
    </row>
    <row r="409" ht="18.75" customHeight="1">
      <c r="A409" s="18" t="str">
        <f t="array" ref="A409">IFERROR(
  INDEX(
    'api-register-id'!A:A,
    MATCH(F409, 'api-register-id'!B:B, 0)
  ),
  "Not found Organization"
)</f>
        <v>SSFF</v>
      </c>
      <c r="B409" s="22" t="str">
        <f>IFERROR(VLOOKUP(F409, 'api-register-id'!B:F, 4, FALSE), "Not found path.")</f>
        <v>mx-api-bc-pro-party-lifecycle-management</v>
      </c>
      <c r="C409" s="23" t="s">
        <v>41</v>
      </c>
      <c r="D409" s="23" t="s">
        <v>811</v>
      </c>
      <c r="E409" s="24" t="str">
        <f>IFERROR(VLOOKUP(F409, 'api-register-id'!B:F, 5, FALSE), "Not found path.")</f>
        <v>APIMX000096</v>
      </c>
      <c r="F409" s="25" t="s">
        <v>1214</v>
      </c>
      <c r="G409" s="26" t="s">
        <v>4028</v>
      </c>
      <c r="H409" s="22" t="s">
        <v>3233</v>
      </c>
      <c r="I409" s="29" t="str">
        <f>IFERROR(VLOOKUP(F409, 'api-register-id'!B:I, 8, FALSE), "Not found path.")</f>
        <v>2.3.2</v>
      </c>
      <c r="J409" s="3" t="s">
        <v>3197</v>
      </c>
      <c r="K409" s="31" t="s">
        <v>48</v>
      </c>
      <c r="L409" s="23" t="s">
        <v>49</v>
      </c>
      <c r="M409" s="3" t="s">
        <v>1363</v>
      </c>
      <c r="N409" s="3" t="str">
        <f t="shared" si="1"/>
        <v>POST /system/sales/partyLifecycleManagement/v1/rfc/evaluate</v>
      </c>
      <c r="O409" s="32" t="s">
        <v>1364</v>
      </c>
      <c r="P409" s="32"/>
      <c r="Q409" s="61" t="s">
        <v>4032</v>
      </c>
      <c r="R409" s="31" t="s">
        <v>56</v>
      </c>
      <c r="S409" s="38" t="str">
        <f t="shared" si="2"/>
        <v>https://github.com/SF-Bancoppel/mx-api-bc-pro-party-lifecycle-management</v>
      </c>
      <c r="T409" s="40"/>
      <c r="U409" s="22"/>
      <c r="V409" s="40"/>
      <c r="W409" s="40"/>
      <c r="X409" s="40"/>
      <c r="Y409" s="40"/>
      <c r="Z409" s="22"/>
      <c r="AA409" s="22"/>
      <c r="AB409" s="22"/>
    </row>
    <row r="410" ht="18.75" customHeight="1">
      <c r="A410" s="18" t="str">
        <f t="array" ref="A410">IFERROR(
  INDEX(
    'api-register-id'!A:A,
    MATCH(F410, 'api-register-id'!B:B, 0)
  ),
  "Not found Organization"
)</f>
        <v>SSFF</v>
      </c>
      <c r="B410" s="22" t="str">
        <f>IFERROR(VLOOKUP(F410, 'api-register-id'!B:F, 4, FALSE), "Not found path.")</f>
        <v>mx-api-bc-pro-party-lifecycle-management</v>
      </c>
      <c r="C410" s="23" t="s">
        <v>41</v>
      </c>
      <c r="D410" s="23" t="s">
        <v>811</v>
      </c>
      <c r="E410" s="24" t="str">
        <f>IFERROR(VLOOKUP(F410, 'api-register-id'!B:F, 5, FALSE), "Not found path.")</f>
        <v>APIMX000096</v>
      </c>
      <c r="F410" s="25" t="s">
        <v>1214</v>
      </c>
      <c r="G410" s="26" t="s">
        <v>4037</v>
      </c>
      <c r="H410" s="22" t="s">
        <v>3238</v>
      </c>
      <c r="I410" s="29" t="str">
        <f>IFERROR(VLOOKUP(F410, 'api-register-id'!B:I, 8, FALSE), "Not found path.")</f>
        <v>2.3.2</v>
      </c>
      <c r="J410" s="3" t="s">
        <v>3197</v>
      </c>
      <c r="K410" s="31" t="s">
        <v>48</v>
      </c>
      <c r="L410" s="23" t="s">
        <v>49</v>
      </c>
      <c r="M410" s="3" t="s">
        <v>1371</v>
      </c>
      <c r="N410" s="3" t="str">
        <f t="shared" si="1"/>
        <v>POST /system/sales/partyLifecycleManagement/v1/ine/evaluate</v>
      </c>
      <c r="O410" s="32" t="s">
        <v>1372</v>
      </c>
      <c r="P410" s="32"/>
      <c r="Q410" s="61" t="s">
        <v>4041</v>
      </c>
      <c r="R410" s="31" t="s">
        <v>56</v>
      </c>
      <c r="S410" s="38" t="str">
        <f t="shared" si="2"/>
        <v>https://github.com/SF-Bancoppel/mx-api-bc-pro-party-lifecycle-management</v>
      </c>
      <c r="T410" s="40"/>
      <c r="U410" s="22"/>
      <c r="V410" s="40"/>
      <c r="W410" s="40"/>
      <c r="X410" s="40"/>
      <c r="Y410" s="40"/>
      <c r="Z410" s="22"/>
      <c r="AA410" s="22"/>
      <c r="AB410" s="22"/>
    </row>
    <row r="411" ht="18.75" customHeight="1">
      <c r="A411" s="18" t="str">
        <f t="array" ref="A411">IFERROR(
  INDEX(
    'api-register-id'!A:A,
    MATCH(F411, 'api-register-id'!B:B, 0)
  ),
  "Not found Organization"
)</f>
        <v>SSFF</v>
      </c>
      <c r="B411" s="22" t="str">
        <f>IFERROR(VLOOKUP(F411, 'api-register-id'!B:F, 4, FALSE), "Not found path.")</f>
        <v>mx-api-bc-pro-party-lifecycle-management</v>
      </c>
      <c r="C411" s="23" t="s">
        <v>41</v>
      </c>
      <c r="D411" s="23" t="s">
        <v>811</v>
      </c>
      <c r="E411" s="24" t="str">
        <f>IFERROR(VLOOKUP(F411, 'api-register-id'!B:F, 5, FALSE), "Not found path.")</f>
        <v>APIMX000096</v>
      </c>
      <c r="F411" s="25" t="s">
        <v>1214</v>
      </c>
      <c r="G411" s="26" t="s">
        <v>4048</v>
      </c>
      <c r="H411" s="22" t="s">
        <v>3243</v>
      </c>
      <c r="I411" s="29" t="str">
        <f>IFERROR(VLOOKUP(F411, 'api-register-id'!B:I, 8, FALSE), "Not found path.")</f>
        <v>2.3.2</v>
      </c>
      <c r="J411" s="3" t="s">
        <v>3197</v>
      </c>
      <c r="K411" s="31" t="s">
        <v>48</v>
      </c>
      <c r="L411" s="23" t="s">
        <v>108</v>
      </c>
      <c r="M411" s="3" t="s">
        <v>1379</v>
      </c>
      <c r="N411" s="3" t="str">
        <f t="shared" si="1"/>
        <v>GET /system/sales/partyLifecycleManagement/v1/ine/retrieve</v>
      </c>
      <c r="O411" s="32" t="s">
        <v>1380</v>
      </c>
      <c r="P411" s="32"/>
      <c r="Q411" s="61" t="s">
        <v>4051</v>
      </c>
      <c r="R411" s="31" t="s">
        <v>56</v>
      </c>
      <c r="S411" s="38" t="str">
        <f t="shared" si="2"/>
        <v>https://github.com/SF-Bancoppel/mx-api-bc-pro-party-lifecycle-management</v>
      </c>
      <c r="T411" s="40"/>
      <c r="U411" s="22"/>
      <c r="V411" s="40"/>
      <c r="W411" s="40"/>
      <c r="X411" s="40"/>
      <c r="Y411" s="40"/>
      <c r="Z411" s="22"/>
      <c r="AA411" s="22"/>
      <c r="AB411" s="22"/>
    </row>
    <row r="412" ht="18.75" customHeight="1">
      <c r="A412" s="18" t="str">
        <f t="array" ref="A412">IFERROR(
  INDEX(
    'api-register-id'!A:A,
    MATCH(F412, 'api-register-id'!B:B, 0)
  ),
  "Not found Organization"
)</f>
        <v>SSFF</v>
      </c>
      <c r="B412" s="22" t="str">
        <f>IFERROR(VLOOKUP(F412, 'api-register-id'!B:F, 4, FALSE), "Not found path.")</f>
        <v>mx-api-bc-pro-party-lifecycle-management</v>
      </c>
      <c r="C412" s="23" t="s">
        <v>41</v>
      </c>
      <c r="D412" s="23" t="s">
        <v>811</v>
      </c>
      <c r="E412" s="24" t="str">
        <f>IFERROR(VLOOKUP(F412, 'api-register-id'!B:F, 5, FALSE), "Not found path.")</f>
        <v>APIMX000096</v>
      </c>
      <c r="F412" s="25" t="s">
        <v>1214</v>
      </c>
      <c r="G412" s="26" t="s">
        <v>4055</v>
      </c>
      <c r="H412" s="22" t="s">
        <v>3250</v>
      </c>
      <c r="I412" s="29" t="str">
        <f>IFERROR(VLOOKUP(F412, 'api-register-id'!B:I, 8, FALSE), "Not found path.")</f>
        <v>2.3.2</v>
      </c>
      <c r="J412" s="3" t="s">
        <v>3197</v>
      </c>
      <c r="K412" s="31" t="s">
        <v>48</v>
      </c>
      <c r="L412" s="23" t="s">
        <v>61</v>
      </c>
      <c r="M412" s="3" t="s">
        <v>1393</v>
      </c>
      <c r="N412" s="3" t="str">
        <f t="shared" si="1"/>
        <v>PUT /system/sales/partyLifecycleManagement/v1/ine/capture</v>
      </c>
      <c r="O412" s="32" t="s">
        <v>1394</v>
      </c>
      <c r="P412" s="32"/>
      <c r="Q412" s="61" t="s">
        <v>4062</v>
      </c>
      <c r="R412" s="31" t="s">
        <v>56</v>
      </c>
      <c r="S412" s="38" t="str">
        <f t="shared" si="2"/>
        <v>https://github.com/SF-Bancoppel/mx-api-bc-pro-party-lifecycle-management</v>
      </c>
      <c r="T412" s="40"/>
      <c r="U412" s="22"/>
      <c r="V412" s="40"/>
      <c r="W412" s="40"/>
      <c r="X412" s="40"/>
      <c r="Y412" s="40"/>
      <c r="Z412" s="22"/>
      <c r="AA412" s="22"/>
      <c r="AB412" s="22"/>
    </row>
    <row r="413" ht="18.75" customHeight="1">
      <c r="A413" s="18" t="str">
        <f t="array" ref="A413">IFERROR(
  INDEX(
    'api-register-id'!A:A,
    MATCH(F413, 'api-register-id'!B:B, 0)
  ),
  "Not found Organization"
)</f>
        <v>SSFF</v>
      </c>
      <c r="B413" s="22" t="str">
        <f>IFERROR(VLOOKUP(F413, 'api-register-id'!B:F, 4, FALSE), "Not found path.")</f>
        <v>mx-api-bc-pro-party-lifecycle-management</v>
      </c>
      <c r="C413" s="23" t="s">
        <v>41</v>
      </c>
      <c r="D413" s="23" t="s">
        <v>811</v>
      </c>
      <c r="E413" s="24" t="str">
        <f>IFERROR(VLOOKUP(F413, 'api-register-id'!B:F, 5, FALSE), "Not found path.")</f>
        <v>APIMX000096</v>
      </c>
      <c r="F413" s="25" t="s">
        <v>1214</v>
      </c>
      <c r="G413" s="26" t="s">
        <v>4066</v>
      </c>
      <c r="H413" s="22" t="s">
        <v>3257</v>
      </c>
      <c r="I413" s="29" t="str">
        <f>IFERROR(VLOOKUP(F413, 'api-register-id'!B:I, 8, FALSE), "Not found path.")</f>
        <v>2.3.2</v>
      </c>
      <c r="J413" s="3" t="s">
        <v>3197</v>
      </c>
      <c r="K413" s="31" t="s">
        <v>48</v>
      </c>
      <c r="L413" s="23" t="s">
        <v>49</v>
      </c>
      <c r="M413" s="3" t="s">
        <v>1385</v>
      </c>
      <c r="N413" s="3" t="str">
        <f t="shared" si="1"/>
        <v>POST /system/sales/partyLifecycleManagement/v1/renapo/retrieve</v>
      </c>
      <c r="O413" s="32" t="s">
        <v>1387</v>
      </c>
      <c r="P413" s="32"/>
      <c r="Q413" s="61" t="s">
        <v>4070</v>
      </c>
      <c r="R413" s="31" t="s">
        <v>56</v>
      </c>
      <c r="S413" s="38" t="str">
        <f t="shared" si="2"/>
        <v>https://github.com/SF-Bancoppel/mx-api-bc-pro-party-lifecycle-management</v>
      </c>
      <c r="T413" s="40"/>
      <c r="U413" s="22"/>
      <c r="V413" s="40"/>
      <c r="W413" s="40"/>
      <c r="X413" s="40"/>
      <c r="Y413" s="40"/>
      <c r="Z413" s="22"/>
      <c r="AA413" s="22"/>
      <c r="AB413" s="22"/>
    </row>
    <row r="414" ht="18.75" customHeight="1">
      <c r="A414" s="18" t="str">
        <f t="array" ref="A414">IFERROR(
  INDEX(
    'api-register-id'!A:A,
    MATCH(F414, 'api-register-id'!B:B, 0)
  ),
  "Not found Organization"
)</f>
        <v>SSFF</v>
      </c>
      <c r="B414" s="22" t="str">
        <f>IFERROR(VLOOKUP(F414, 'api-register-id'!B:F, 4, FALSE), "Not found path.")</f>
        <v>mx-api-bc-pro-party-lifecycle-management</v>
      </c>
      <c r="C414" s="23" t="s">
        <v>41</v>
      </c>
      <c r="D414" s="23" t="s">
        <v>811</v>
      </c>
      <c r="E414" s="24" t="str">
        <f>IFERROR(VLOOKUP(F414, 'api-register-id'!B:F, 5, FALSE), "Not found path.")</f>
        <v>APIMX000096</v>
      </c>
      <c r="F414" s="25" t="s">
        <v>1214</v>
      </c>
      <c r="G414" s="26" t="s">
        <v>4074</v>
      </c>
      <c r="H414" s="22" t="s">
        <v>3265</v>
      </c>
      <c r="I414" s="29" t="str">
        <f>IFERROR(VLOOKUP(F414, 'api-register-id'!B:I, 8, FALSE), "Not found path.")</f>
        <v>2.3.2</v>
      </c>
      <c r="J414" s="3" t="s">
        <v>3197</v>
      </c>
      <c r="K414" s="31" t="s">
        <v>48</v>
      </c>
      <c r="L414" s="23" t="s">
        <v>61</v>
      </c>
      <c r="M414" s="3" t="s">
        <v>1401</v>
      </c>
      <c r="N414" s="3" t="str">
        <f t="shared" si="1"/>
        <v>PUT /system/sales/partyLifecycleManagement/v1/renapo/capture</v>
      </c>
      <c r="O414" s="32" t="s">
        <v>1402</v>
      </c>
      <c r="P414" s="32"/>
      <c r="Q414" s="61" t="s">
        <v>4077</v>
      </c>
      <c r="R414" s="31" t="s">
        <v>56</v>
      </c>
      <c r="S414" s="38" t="str">
        <f t="shared" si="2"/>
        <v>https://github.com/SF-Bancoppel/mx-api-bc-pro-party-lifecycle-management</v>
      </c>
      <c r="T414" s="40"/>
      <c r="U414" s="22"/>
      <c r="V414" s="40"/>
      <c r="W414" s="40"/>
      <c r="X414" s="40"/>
      <c r="Y414" s="40"/>
      <c r="Z414" s="22"/>
      <c r="AA414" s="22"/>
      <c r="AB414" s="22"/>
    </row>
    <row r="415" ht="18.75" customHeight="1">
      <c r="A415" s="18" t="str">
        <f t="array" ref="A415">IFERROR(
  INDEX(
    'api-register-id'!A:A,
    MATCH(F415, 'api-register-id'!B:B, 0)
  ),
  "Not found Organization"
)</f>
        <v>SSFF</v>
      </c>
      <c r="B415" s="22" t="str">
        <f>IFERROR(VLOOKUP(F415, 'api-register-id'!B:F, 4, FALSE), "Not found path.")</f>
        <v>mx-api-bc-pro-party-lifecycle-management</v>
      </c>
      <c r="C415" s="23" t="s">
        <v>41</v>
      </c>
      <c r="D415" s="23" t="s">
        <v>811</v>
      </c>
      <c r="E415" s="24" t="str">
        <f>IFERROR(VLOOKUP(F415, 'api-register-id'!B:F, 5, FALSE), "Not found path.")</f>
        <v>APIMX000096</v>
      </c>
      <c r="F415" s="25" t="s">
        <v>1214</v>
      </c>
      <c r="G415" s="26" t="s">
        <v>4082</v>
      </c>
      <c r="H415" s="22" t="s">
        <v>3271</v>
      </c>
      <c r="I415" s="29" t="str">
        <f>IFERROR(VLOOKUP(F415, 'api-register-id'!B:I, 8, FALSE), "Not found path.")</f>
        <v>2.3.2</v>
      </c>
      <c r="J415" s="3" t="s">
        <v>3197</v>
      </c>
      <c r="K415" s="31" t="s">
        <v>48</v>
      </c>
      <c r="L415" s="23" t="s">
        <v>108</v>
      </c>
      <c r="M415" s="3" t="s">
        <v>1430</v>
      </c>
      <c r="N415" s="3" t="str">
        <f t="shared" si="1"/>
        <v>GET /system/sales/partyLifecycleManagement/v1/question/retrieve</v>
      </c>
      <c r="O415" s="32" t="s">
        <v>1432</v>
      </c>
      <c r="P415" s="32"/>
      <c r="Q415" s="61" t="s">
        <v>98</v>
      </c>
      <c r="R415" s="31" t="s">
        <v>56</v>
      </c>
      <c r="S415" s="38" t="str">
        <f t="shared" si="2"/>
        <v>https://github.com/SF-Bancoppel/mx-api-bc-pro-party-lifecycle-management</v>
      </c>
      <c r="T415" s="40"/>
      <c r="U415" s="22"/>
      <c r="V415" s="40"/>
      <c r="W415" s="40"/>
      <c r="X415" s="40"/>
      <c r="Y415" s="40"/>
      <c r="Z415" s="22"/>
      <c r="AA415" s="22"/>
      <c r="AB415" s="22"/>
    </row>
    <row r="416" ht="18.75" customHeight="1">
      <c r="A416" s="18" t="str">
        <f t="array" ref="A416">IFERROR(
  INDEX(
    'api-register-id'!A:A,
    MATCH(F416, 'api-register-id'!B:B, 0)
  ),
  "Not found Organization"
)</f>
        <v>SSFF</v>
      </c>
      <c r="B416" s="22" t="str">
        <f>IFERROR(VLOOKUP(F416, 'api-register-id'!B:F, 4, FALSE), "Not found path.")</f>
        <v>mx-api-bc-pro-party-lifecycle-management</v>
      </c>
      <c r="C416" s="23" t="s">
        <v>41</v>
      </c>
      <c r="D416" s="23" t="s">
        <v>811</v>
      </c>
      <c r="E416" s="24" t="str">
        <f>IFERROR(VLOOKUP(F416, 'api-register-id'!B:F, 5, FALSE), "Not found path.")</f>
        <v>APIMX000096</v>
      </c>
      <c r="F416" s="25" t="s">
        <v>1214</v>
      </c>
      <c r="G416" s="26" t="s">
        <v>4095</v>
      </c>
      <c r="H416" s="22" t="s">
        <v>3277</v>
      </c>
      <c r="I416" s="29" t="str">
        <f>IFERROR(VLOOKUP(F416, 'api-register-id'!B:I, 8, FALSE), "Not found path.")</f>
        <v>2.3.2</v>
      </c>
      <c r="J416" s="3" t="s">
        <v>3197</v>
      </c>
      <c r="K416" s="31" t="s">
        <v>48</v>
      </c>
      <c r="L416" s="23" t="s">
        <v>49</v>
      </c>
      <c r="M416" s="3" t="s">
        <v>1408</v>
      </c>
      <c r="N416" s="3" t="str">
        <f t="shared" si="1"/>
        <v>POST /system/sales/partyLifecycleManagement/v1/qualification/retrieve</v>
      </c>
      <c r="O416" s="32" t="s">
        <v>1410</v>
      </c>
      <c r="P416" s="32"/>
      <c r="Q416" s="61" t="s">
        <v>4099</v>
      </c>
      <c r="R416" s="31" t="s">
        <v>56</v>
      </c>
      <c r="S416" s="38" t="str">
        <f t="shared" si="2"/>
        <v>https://github.com/SF-Bancoppel/mx-api-bc-pro-party-lifecycle-management</v>
      </c>
      <c r="T416" s="40"/>
      <c r="U416" s="22"/>
      <c r="V416" s="40"/>
      <c r="W416" s="40"/>
      <c r="X416" s="40"/>
      <c r="Y416" s="40"/>
      <c r="Z416" s="22"/>
      <c r="AA416" s="22"/>
      <c r="AB416" s="22"/>
    </row>
    <row r="417" ht="18.75" customHeight="1">
      <c r="A417" s="18" t="str">
        <f t="array" ref="A417">IFERROR(
  INDEX(
    'api-register-id'!A:A,
    MATCH(F417, 'api-register-id'!B:B, 0)
  ),
  "Not found Organization"
)</f>
        <v>SSFF</v>
      </c>
      <c r="B417" s="22" t="str">
        <f>IFERROR(VLOOKUP(F417, 'api-register-id'!B:F, 4, FALSE), "Not found path.")</f>
        <v>mx-api-bc-pro-party-lifecycle-management</v>
      </c>
      <c r="C417" s="23" t="s">
        <v>41</v>
      </c>
      <c r="D417" s="23" t="s">
        <v>811</v>
      </c>
      <c r="E417" s="24" t="str">
        <f>IFERROR(VLOOKUP(F417, 'api-register-id'!B:F, 5, FALSE), "Not found path.")</f>
        <v>APIMX000096</v>
      </c>
      <c r="F417" s="25" t="s">
        <v>1214</v>
      </c>
      <c r="G417" s="26" t="s">
        <v>4103</v>
      </c>
      <c r="H417" s="22" t="s">
        <v>3284</v>
      </c>
      <c r="I417" s="29" t="str">
        <f>IFERROR(VLOOKUP(F417, 'api-register-id'!B:I, 8, FALSE), "Not found path.")</f>
        <v>2.3.2</v>
      </c>
      <c r="J417" s="3" t="s">
        <v>3197</v>
      </c>
      <c r="K417" s="31" t="s">
        <v>48</v>
      </c>
      <c r="L417" s="23" t="s">
        <v>49</v>
      </c>
      <c r="M417" s="3" t="s">
        <v>1435</v>
      </c>
      <c r="N417" s="3" t="str">
        <f t="shared" si="1"/>
        <v>POST /system/sales/partyLifecycleManagement/v1/partyRelationshipProcedure/retrieve</v>
      </c>
      <c r="O417" s="32" t="s">
        <v>1436</v>
      </c>
      <c r="P417" s="32"/>
      <c r="Q417" s="61" t="s">
        <v>98</v>
      </c>
      <c r="R417" s="31" t="s">
        <v>56</v>
      </c>
      <c r="S417" s="38" t="str">
        <f t="shared" si="2"/>
        <v>https://github.com/SF-Bancoppel/mx-api-bc-pro-party-lifecycle-management</v>
      </c>
      <c r="T417" s="40"/>
      <c r="U417" s="22"/>
      <c r="V417" s="40"/>
      <c r="W417" s="40"/>
      <c r="X417" s="40"/>
      <c r="Y417" s="40"/>
      <c r="Z417" s="22"/>
      <c r="AA417" s="22"/>
      <c r="AB417" s="22"/>
    </row>
    <row r="418" ht="18.75" customHeight="1">
      <c r="A418" s="18" t="str">
        <f t="array" ref="A418">IFERROR(
  INDEX(
    'api-register-id'!A:A,
    MATCH(F418, 'api-register-id'!B:B, 0)
  ),
  "Not found Organization"
)</f>
        <v>SSFF</v>
      </c>
      <c r="B418" s="22" t="str">
        <f>IFERROR(VLOOKUP(F418, 'api-register-id'!B:F, 4, FALSE), "Not found path.")</f>
        <v>mx-api-bc-pro-party-lifecycle-management</v>
      </c>
      <c r="C418" s="23" t="s">
        <v>41</v>
      </c>
      <c r="D418" s="23" t="s">
        <v>811</v>
      </c>
      <c r="E418" s="24" t="str">
        <f>IFERROR(VLOOKUP(F418, 'api-register-id'!B:F, 5, FALSE), "Not found path.")</f>
        <v>APIMX000096</v>
      </c>
      <c r="F418" s="25" t="s">
        <v>1214</v>
      </c>
      <c r="G418" s="26" t="s">
        <v>4116</v>
      </c>
      <c r="H418" s="22" t="s">
        <v>3291</v>
      </c>
      <c r="I418" s="29" t="str">
        <f>IFERROR(VLOOKUP(F418, 'api-register-id'!B:I, 8, FALSE), "Not found path.")</f>
        <v>2.3.2</v>
      </c>
      <c r="J418" s="3" t="s">
        <v>3197</v>
      </c>
      <c r="K418" s="31" t="s">
        <v>48</v>
      </c>
      <c r="L418" s="23" t="s">
        <v>49</v>
      </c>
      <c r="M418" s="3" t="s">
        <v>1422</v>
      </c>
      <c r="N418" s="3" t="str">
        <f t="shared" si="1"/>
        <v>POST /system/sales/partyLifecycleManagement/v1/partyRelationshipProcedure/initiate</v>
      </c>
      <c r="O418" s="32" t="s">
        <v>1424</v>
      </c>
      <c r="P418" s="32"/>
      <c r="Q418" s="61" t="s">
        <v>4119</v>
      </c>
      <c r="R418" s="31" t="s">
        <v>56</v>
      </c>
      <c r="S418" s="38" t="str">
        <f t="shared" si="2"/>
        <v>https://github.com/SF-Bancoppel/mx-api-bc-pro-party-lifecycle-management</v>
      </c>
      <c r="T418" s="40"/>
      <c r="U418" s="22"/>
      <c r="V418" s="40"/>
      <c r="W418" s="40"/>
      <c r="X418" s="40"/>
      <c r="Y418" s="40"/>
      <c r="Z418" s="22"/>
      <c r="AA418" s="22"/>
      <c r="AB418" s="22"/>
    </row>
    <row r="419" ht="18.75" customHeight="1">
      <c r="A419" s="18" t="str">
        <f t="array" ref="A419">IFERROR(
  INDEX(
    'api-register-id'!A:A,
    MATCH(F419, 'api-register-id'!B:B, 0)
  ),
  "Not found Organization"
)</f>
        <v>SSFF</v>
      </c>
      <c r="B419" s="22" t="str">
        <f>IFERROR(VLOOKUP(F419, 'api-register-id'!B:F, 4, FALSE), "Not found path.")</f>
        <v>mx-api-bc-pro-party-lifecycle-management</v>
      </c>
      <c r="C419" s="23" t="s">
        <v>41</v>
      </c>
      <c r="D419" s="23" t="s">
        <v>811</v>
      </c>
      <c r="E419" s="24" t="str">
        <f>IFERROR(VLOOKUP(F419, 'api-register-id'!B:F, 5, FALSE), "Not found path.")</f>
        <v>APIMX000096</v>
      </c>
      <c r="F419" s="25" t="s">
        <v>1214</v>
      </c>
      <c r="G419" s="26" t="s">
        <v>4126</v>
      </c>
      <c r="H419" s="22" t="s">
        <v>3297</v>
      </c>
      <c r="I419" s="29" t="str">
        <f>IFERROR(VLOOKUP(F419, 'api-register-id'!B:I, 8, FALSE), "Not found path.")</f>
        <v>2.3.2</v>
      </c>
      <c r="J419" s="3" t="s">
        <v>3197</v>
      </c>
      <c r="K419" s="31" t="s">
        <v>48</v>
      </c>
      <c r="L419" s="23" t="s">
        <v>61</v>
      </c>
      <c r="M419" s="3" t="s">
        <v>1337</v>
      </c>
      <c r="N419" s="3" t="str">
        <f t="shared" si="1"/>
        <v>PUT /system/sales/partyLifecycleManagement/v1/documentation/request</v>
      </c>
      <c r="O419" s="32" t="s">
        <v>1338</v>
      </c>
      <c r="P419" s="32"/>
      <c r="Q419" s="61" t="s">
        <v>4131</v>
      </c>
      <c r="R419" s="31" t="s">
        <v>56</v>
      </c>
      <c r="S419" s="38" t="str">
        <f t="shared" si="2"/>
        <v>https://github.com/SF-Bancoppel/mx-api-bc-pro-party-lifecycle-management</v>
      </c>
      <c r="T419" s="40"/>
      <c r="U419" s="22"/>
      <c r="V419" s="40"/>
      <c r="W419" s="40"/>
      <c r="X419" s="40"/>
      <c r="Y419" s="40"/>
      <c r="Z419" s="22"/>
      <c r="AA419" s="22"/>
      <c r="AB419" s="22"/>
    </row>
    <row r="420" ht="18.75" customHeight="1">
      <c r="A420" s="18" t="str">
        <f t="array" ref="A420">IFERROR(
  INDEX(
    'api-register-id'!A:A,
    MATCH(F420, 'api-register-id'!B:B, 0)
  ),
  "Not found Organization"
)</f>
        <v>SSFF</v>
      </c>
      <c r="B420" s="22" t="str">
        <f>IFERROR(VLOOKUP(F420, 'api-register-id'!B:F, 4, FALSE), "Not found path.")</f>
        <v>mx-api-bc-pro-party-lifecycle-management</v>
      </c>
      <c r="C420" s="23" t="s">
        <v>41</v>
      </c>
      <c r="D420" s="23" t="s">
        <v>811</v>
      </c>
      <c r="E420" s="24" t="str">
        <f>IFERROR(VLOOKUP(F420, 'api-register-id'!B:F, 5, FALSE), "Not found path.")</f>
        <v>APIMX000096</v>
      </c>
      <c r="F420" s="25" t="s">
        <v>1214</v>
      </c>
      <c r="G420" s="26" t="s">
        <v>4138</v>
      </c>
      <c r="H420" s="22" t="s">
        <v>3304</v>
      </c>
      <c r="I420" s="29" t="str">
        <f>IFERROR(VLOOKUP(F420, 'api-register-id'!B:I, 8, FALSE), "Not found path.")</f>
        <v>2.3.2</v>
      </c>
      <c r="J420" s="3" t="s">
        <v>3197</v>
      </c>
      <c r="K420" s="31" t="s">
        <v>48</v>
      </c>
      <c r="L420" s="23" t="s">
        <v>428</v>
      </c>
      <c r="M420" s="3" t="s">
        <v>1442</v>
      </c>
      <c r="N420" s="3" t="str">
        <f t="shared" si="1"/>
        <v>PATCH /system/sales/partyLifecycleManagement/v1/partyRelationshipProcedure/update</v>
      </c>
      <c r="O420" s="32" t="s">
        <v>1443</v>
      </c>
      <c r="P420" s="32"/>
      <c r="Q420" s="61" t="s">
        <v>4143</v>
      </c>
      <c r="R420" s="31" t="s">
        <v>56</v>
      </c>
      <c r="S420" s="38" t="str">
        <f t="shared" si="2"/>
        <v>https://github.com/SF-Bancoppel/mx-api-bc-pro-party-lifecycle-management</v>
      </c>
      <c r="T420" s="40"/>
      <c r="U420" s="40"/>
      <c r="V420" s="40"/>
      <c r="W420" s="40"/>
      <c r="X420" s="40"/>
      <c r="Y420" s="40"/>
      <c r="Z420" s="40"/>
      <c r="AA420" s="40"/>
      <c r="AB420" s="40"/>
    </row>
    <row r="421" ht="18.75" customHeight="1">
      <c r="A421" s="18" t="str">
        <f t="array" ref="A421">IFERROR(
  INDEX(
    'api-register-id'!A:A,
    MATCH(F421, 'api-register-id'!B:B, 0)
  ),
  "Not found Organization"
)</f>
        <v>SSFF</v>
      </c>
      <c r="B421" s="22" t="str">
        <f>IFERROR(VLOOKUP(F421, 'api-register-id'!B:F, 4, FALSE), "Not found path.")</f>
        <v>mx-api-bc-pro-party-lifecycle-management</v>
      </c>
      <c r="C421" s="23" t="s">
        <v>41</v>
      </c>
      <c r="D421" s="23" t="s">
        <v>811</v>
      </c>
      <c r="E421" s="24" t="str">
        <f>IFERROR(VLOOKUP(F421, 'api-register-id'!B:F, 5, FALSE), "Not found path.")</f>
        <v>APIMX000096</v>
      </c>
      <c r="F421" s="25" t="s">
        <v>1214</v>
      </c>
      <c r="G421" s="26" t="s">
        <v>4156</v>
      </c>
      <c r="H421" s="22" t="s">
        <v>3311</v>
      </c>
      <c r="I421" s="29" t="str">
        <f>IFERROR(VLOOKUP(F421, 'api-register-id'!B:I, 8, FALSE), "Not found path.")</f>
        <v>2.3.2</v>
      </c>
      <c r="J421" s="3" t="s">
        <v>3197</v>
      </c>
      <c r="K421" s="31" t="s">
        <v>48</v>
      </c>
      <c r="L421" s="23" t="s">
        <v>428</v>
      </c>
      <c r="M421" s="3" t="s">
        <v>1461</v>
      </c>
      <c r="N421" s="3" t="str">
        <f t="shared" si="1"/>
        <v>PATCH /system/sales/partyLifecycleManagement/v1/location/{sessionDialogueIdentification}/update</v>
      </c>
      <c r="O421" s="32" t="s">
        <v>1463</v>
      </c>
      <c r="P421" s="32"/>
      <c r="Q421" s="49" t="s">
        <v>4158</v>
      </c>
      <c r="R421" s="31" t="s">
        <v>56</v>
      </c>
      <c r="S421" s="38" t="str">
        <f t="shared" si="2"/>
        <v>https://github.com/SF-Bancoppel/mx-api-bc-pro-party-lifecycle-management</v>
      </c>
      <c r="T421" s="40"/>
      <c r="U421" s="40"/>
      <c r="V421" s="40"/>
      <c r="W421" s="40"/>
      <c r="X421" s="40"/>
      <c r="Y421" s="40"/>
      <c r="Z421" s="40"/>
      <c r="AA421" s="40"/>
      <c r="AB421" s="40"/>
    </row>
    <row r="422" ht="18.75" customHeight="1">
      <c r="A422" s="18" t="str">
        <f t="array" ref="A422">IFERROR(
  INDEX(
    'api-register-id'!A:A,
    MATCH(F422, 'api-register-id'!B:B, 0)
  ),
  "Not found Organization"
)</f>
        <v>SSFF</v>
      </c>
      <c r="B422" s="22" t="str">
        <f>IFERROR(VLOOKUP(F422, 'api-register-id'!B:F, 4, FALSE), "Not found path.")</f>
        <v>mx-api-bc-pro-party-lifecycle-management</v>
      </c>
      <c r="C422" s="23" t="s">
        <v>41</v>
      </c>
      <c r="D422" s="23" t="s">
        <v>811</v>
      </c>
      <c r="E422" s="24" t="str">
        <f>IFERROR(VLOOKUP(F422, 'api-register-id'!B:F, 5, FALSE), "Not found path.")</f>
        <v>APIMX000096</v>
      </c>
      <c r="F422" s="25" t="s">
        <v>1214</v>
      </c>
      <c r="G422" s="26" t="s">
        <v>4175</v>
      </c>
      <c r="H422" s="22" t="s">
        <v>3319</v>
      </c>
      <c r="I422" s="29" t="str">
        <f>IFERROR(VLOOKUP(F422, 'api-register-id'!B:I, 8, FALSE), "Not found path.")</f>
        <v>2.3.2</v>
      </c>
      <c r="J422" s="3" t="s">
        <v>3197</v>
      </c>
      <c r="K422" s="31" t="s">
        <v>48</v>
      </c>
      <c r="L422" s="23" t="s">
        <v>108</v>
      </c>
      <c r="M422" s="3" t="s">
        <v>1500</v>
      </c>
      <c r="N422" s="3" t="str">
        <f t="shared" si="1"/>
        <v>GET /system/sales/partyLifecycleManagement/v1/validation/{sessionDialogueIdentification}/retrieve</v>
      </c>
      <c r="O422" s="32" t="s">
        <v>1501</v>
      </c>
      <c r="P422" s="32"/>
      <c r="Q422" s="61" t="s">
        <v>98</v>
      </c>
      <c r="R422" s="31" t="s">
        <v>56</v>
      </c>
      <c r="S422" s="38" t="str">
        <f t="shared" si="2"/>
        <v>https://github.com/SF-Bancoppel/mx-api-bc-pro-party-lifecycle-management</v>
      </c>
      <c r="T422" s="40"/>
      <c r="U422" s="40"/>
      <c r="V422" s="40"/>
      <c r="W422" s="40"/>
      <c r="X422" s="40"/>
      <c r="Y422" s="40"/>
      <c r="Z422" s="40"/>
      <c r="AA422" s="40"/>
      <c r="AB422" s="40"/>
    </row>
    <row r="423" ht="18.75" customHeight="1">
      <c r="A423" s="18" t="str">
        <f t="array" ref="A423">IFERROR(
  INDEX(
    'api-register-id'!A:A,
    MATCH(F423, 'api-register-id'!B:B, 0)
  ),
  "Not found Organization"
)</f>
        <v>SSFF</v>
      </c>
      <c r="B423" s="22" t="str">
        <f>IFERROR(VLOOKUP(F423, 'api-register-id'!B:F, 4, FALSE), "Not found path.")</f>
        <v>mx-api-bc-pro-party-lifecycle-management</v>
      </c>
      <c r="C423" s="23" t="s">
        <v>41</v>
      </c>
      <c r="D423" s="23" t="s">
        <v>811</v>
      </c>
      <c r="E423" s="24" t="str">
        <f>IFERROR(VLOOKUP(F423, 'api-register-id'!B:F, 5, FALSE), "Not found path.")</f>
        <v>APIMX000096</v>
      </c>
      <c r="F423" s="25" t="s">
        <v>1214</v>
      </c>
      <c r="G423" s="26" t="s">
        <v>4187</v>
      </c>
      <c r="H423" s="22" t="s">
        <v>3324</v>
      </c>
      <c r="I423" s="29" t="str">
        <f>IFERROR(VLOOKUP(F423, 'api-register-id'!B:I, 8, FALSE), "Not found path.")</f>
        <v>2.3.2</v>
      </c>
      <c r="J423" s="3" t="s">
        <v>3197</v>
      </c>
      <c r="K423" s="31" t="s">
        <v>48</v>
      </c>
      <c r="L423" s="23" t="s">
        <v>49</v>
      </c>
      <c r="M423" s="3" t="s">
        <v>1447</v>
      </c>
      <c r="N423" s="3" t="str">
        <f t="shared" si="1"/>
        <v>POST /system/sales/partyLifecycleManagement/v1/contactPoint/initiate</v>
      </c>
      <c r="O423" s="32" t="s">
        <v>1448</v>
      </c>
      <c r="P423" s="32"/>
      <c r="Q423" s="61" t="s">
        <v>4191</v>
      </c>
      <c r="R423" s="31" t="s">
        <v>56</v>
      </c>
      <c r="S423" s="38" t="str">
        <f t="shared" si="2"/>
        <v>https://github.com/SF-Bancoppel/mx-api-bc-pro-party-lifecycle-management</v>
      </c>
      <c r="T423" s="40"/>
      <c r="U423" s="22"/>
      <c r="V423" s="40"/>
      <c r="W423" s="40"/>
      <c r="X423" s="40"/>
      <c r="Y423" s="40"/>
      <c r="Z423" s="22"/>
      <c r="AA423" s="22"/>
      <c r="AB423" s="22"/>
    </row>
    <row r="424" ht="18.75" customHeight="1">
      <c r="A424" s="18" t="str">
        <f t="array" ref="A424">IFERROR(
  INDEX(
    'api-register-id'!A:A,
    MATCH(F424, 'api-register-id'!B:B, 0)
  ),
  "Not found Organization"
)</f>
        <v>SSFF</v>
      </c>
      <c r="B424" s="22" t="str">
        <f>IFERROR(VLOOKUP(F424, 'api-register-id'!B:F, 4, FALSE), "Not found path.")</f>
        <v>mx-api-bc-pro-party-lifecycle-management</v>
      </c>
      <c r="C424" s="23" t="s">
        <v>41</v>
      </c>
      <c r="D424" s="23" t="s">
        <v>811</v>
      </c>
      <c r="E424" s="24" t="str">
        <f>IFERROR(VLOOKUP(F424, 'api-register-id'!B:F, 5, FALSE), "Not found path.")</f>
        <v>APIMX000096</v>
      </c>
      <c r="F424" s="25" t="s">
        <v>1214</v>
      </c>
      <c r="G424" s="26" t="s">
        <v>4199</v>
      </c>
      <c r="H424" s="22" t="s">
        <v>3330</v>
      </c>
      <c r="I424" s="29" t="str">
        <f>IFERROR(VLOOKUP(F424, 'api-register-id'!B:I, 8, FALSE), "Not found path.")</f>
        <v>2.3.2</v>
      </c>
      <c r="J424" s="3" t="s">
        <v>3197</v>
      </c>
      <c r="K424" s="31" t="s">
        <v>48</v>
      </c>
      <c r="L424" s="23" t="s">
        <v>61</v>
      </c>
      <c r="M424" s="3" t="s">
        <v>1455</v>
      </c>
      <c r="N424" s="3" t="str">
        <f t="shared" si="1"/>
        <v>PUT /system/sales/partyLifecycleManagement/v1/contactPoint/capture</v>
      </c>
      <c r="O424" s="32" t="s">
        <v>1456</v>
      </c>
      <c r="P424" s="32"/>
      <c r="Q424" s="61" t="s">
        <v>4203</v>
      </c>
      <c r="R424" s="31" t="s">
        <v>56</v>
      </c>
      <c r="S424" s="38" t="str">
        <f t="shared" si="2"/>
        <v>https://github.com/SF-Bancoppel/mx-api-bc-pro-party-lifecycle-management</v>
      </c>
      <c r="T424" s="40"/>
      <c r="U424" s="22"/>
      <c r="V424" s="40"/>
      <c r="W424" s="40"/>
      <c r="X424" s="40"/>
      <c r="Y424" s="40"/>
      <c r="Z424" s="22"/>
      <c r="AA424" s="22"/>
      <c r="AB424" s="22"/>
    </row>
    <row r="425" ht="18.75" customHeight="1">
      <c r="A425" s="18" t="str">
        <f t="array" ref="A425">IFERROR(
  INDEX(
    'api-register-id'!A:A,
    MATCH(F425, 'api-register-id'!B:B, 0)
  ),
  "Not found Organization"
)</f>
        <v>SSFF</v>
      </c>
      <c r="B425" s="22" t="str">
        <f>IFERROR(VLOOKUP(F425, 'api-register-id'!B:F, 4, FALSE), "Not found path.")</f>
        <v>mx-api-bc-pro-party-lifecycle-management</v>
      </c>
      <c r="C425" s="23" t="s">
        <v>41</v>
      </c>
      <c r="D425" s="23" t="s">
        <v>811</v>
      </c>
      <c r="E425" s="24" t="str">
        <f>IFERROR(VLOOKUP(F425, 'api-register-id'!B:F, 5, FALSE), "Not found path.")</f>
        <v>APIMX000096</v>
      </c>
      <c r="F425" s="25" t="s">
        <v>1214</v>
      </c>
      <c r="G425" s="26" t="s">
        <v>4209</v>
      </c>
      <c r="H425" s="22" t="s">
        <v>3335</v>
      </c>
      <c r="I425" s="29" t="str">
        <f>IFERROR(VLOOKUP(F425, 'api-register-id'!B:I, 8, FALSE), "Not found path.")</f>
        <v>2.3.2</v>
      </c>
      <c r="J425" s="3" t="s">
        <v>3197</v>
      </c>
      <c r="K425" s="31" t="s">
        <v>48</v>
      </c>
      <c r="L425" s="23" t="s">
        <v>49</v>
      </c>
      <c r="M425" s="3" t="s">
        <v>3336</v>
      </c>
      <c r="N425" s="3" t="str">
        <f t="shared" si="1"/>
        <v>POST /system/sales/partyLifecycleManagement/v1/contactPoint/create</v>
      </c>
      <c r="O425" s="32" t="s">
        <v>4211</v>
      </c>
      <c r="P425" s="32"/>
      <c r="Q425" s="61" t="s">
        <v>4212</v>
      </c>
      <c r="R425" s="31" t="s">
        <v>56</v>
      </c>
      <c r="S425" s="38" t="str">
        <f t="shared" si="2"/>
        <v>https://github.com/SF-Bancoppel/mx-api-bc-pro-party-lifecycle-management</v>
      </c>
      <c r="T425" s="40"/>
      <c r="U425" s="22"/>
      <c r="V425" s="40"/>
      <c r="W425" s="40"/>
      <c r="X425" s="40"/>
      <c r="Y425" s="40"/>
      <c r="Z425" s="22"/>
      <c r="AA425" s="22"/>
      <c r="AB425" s="22"/>
    </row>
    <row r="426" ht="18.75" customHeight="1">
      <c r="A426" s="18" t="str">
        <f t="array" ref="A426">IFERROR(
  INDEX(
    'api-register-id'!A:A,
    MATCH(F426, 'api-register-id'!B:B, 0)
  ),
  "Not found Organization"
)</f>
        <v>SSFF</v>
      </c>
      <c r="B426" s="22" t="str">
        <f>IFERROR(VLOOKUP(F426, 'api-register-id'!B:F, 4, FALSE), "Not found path.")</f>
        <v>mx-api-bc-pro-party-lifecycle-management</v>
      </c>
      <c r="C426" s="23" t="s">
        <v>41</v>
      </c>
      <c r="D426" s="23" t="s">
        <v>811</v>
      </c>
      <c r="E426" s="24" t="str">
        <f>IFERROR(VLOOKUP(F426, 'api-register-id'!B:F, 5, FALSE), "Not found path.")</f>
        <v>APIMX000096</v>
      </c>
      <c r="F426" s="25" t="s">
        <v>1214</v>
      </c>
      <c r="G426" s="26" t="s">
        <v>4220</v>
      </c>
      <c r="H426" s="22" t="s">
        <v>3342</v>
      </c>
      <c r="I426" s="29" t="str">
        <f>IFERROR(VLOOKUP(F426, 'api-register-id'!B:I, 8, FALSE), "Not found path.")</f>
        <v>2.3.2</v>
      </c>
      <c r="J426" s="3" t="s">
        <v>3197</v>
      </c>
      <c r="K426" s="31" t="s">
        <v>48</v>
      </c>
      <c r="L426" s="23" t="s">
        <v>428</v>
      </c>
      <c r="M426" s="3" t="s">
        <v>1468</v>
      </c>
      <c r="N426" s="3" t="str">
        <f t="shared" si="1"/>
        <v>PATCH /system/sales/partyLifecycleManagement/v1/resourceProvider/update</v>
      </c>
      <c r="O426" s="32" t="s">
        <v>1469</v>
      </c>
      <c r="P426" s="32"/>
      <c r="Q426" s="61" t="s">
        <v>4222</v>
      </c>
      <c r="R426" s="31" t="s">
        <v>56</v>
      </c>
      <c r="S426" s="38" t="str">
        <f t="shared" si="2"/>
        <v>https://github.com/SF-Bancoppel/mx-api-bc-pro-party-lifecycle-management</v>
      </c>
      <c r="T426" s="40"/>
      <c r="U426" s="22"/>
      <c r="V426" s="40"/>
      <c r="W426" s="40"/>
      <c r="X426" s="40"/>
      <c r="Y426" s="40"/>
      <c r="Z426" s="22"/>
      <c r="AA426" s="22"/>
      <c r="AB426" s="22"/>
    </row>
    <row r="427" ht="18.75" customHeight="1">
      <c r="A427" s="18" t="str">
        <f t="array" ref="A427">IFERROR(
  INDEX(
    'api-register-id'!A:A,
    MATCH(F427, 'api-register-id'!B:B, 0)
  ),
  "Not found Organization"
)</f>
        <v>SSFF</v>
      </c>
      <c r="B427" s="22" t="str">
        <f>IFERROR(VLOOKUP(F427, 'api-register-id'!B:F, 4, FALSE), "Not found path.")</f>
        <v>mx-api-bc-pro-party-lifecycle-management</v>
      </c>
      <c r="C427" s="23" t="s">
        <v>41</v>
      </c>
      <c r="D427" s="23" t="s">
        <v>811</v>
      </c>
      <c r="E427" s="24" t="str">
        <f>IFERROR(VLOOKUP(F427, 'api-register-id'!B:F, 5, FALSE), "Not found path.")</f>
        <v>APIMX000096</v>
      </c>
      <c r="F427" s="25" t="s">
        <v>1214</v>
      </c>
      <c r="G427" s="26" t="s">
        <v>4224</v>
      </c>
      <c r="H427" s="22" t="s">
        <v>3347</v>
      </c>
      <c r="I427" s="29" t="str">
        <f>IFERROR(VLOOKUP(F427, 'api-register-id'!B:I, 8, FALSE), "Not found path.")</f>
        <v>2.3.2</v>
      </c>
      <c r="J427" s="3" t="s">
        <v>3197</v>
      </c>
      <c r="K427" s="31" t="s">
        <v>48</v>
      </c>
      <c r="L427" s="23" t="s">
        <v>49</v>
      </c>
      <c r="M427" s="3" t="s">
        <v>1474</v>
      </c>
      <c r="N427" s="3" t="str">
        <f t="shared" si="1"/>
        <v>POST /system/sales/partyLifecycleManagement/v1/resourceProvider/initiate</v>
      </c>
      <c r="O427" s="32" t="s">
        <v>1476</v>
      </c>
      <c r="P427" s="32"/>
      <c r="Q427" s="61" t="s">
        <v>98</v>
      </c>
      <c r="R427" s="31" t="s">
        <v>56</v>
      </c>
      <c r="S427" s="38" t="str">
        <f t="shared" si="2"/>
        <v>https://github.com/SF-Bancoppel/mx-api-bc-pro-party-lifecycle-management</v>
      </c>
      <c r="T427" s="40"/>
      <c r="U427" s="22"/>
      <c r="V427" s="40"/>
      <c r="W427" s="40"/>
      <c r="X427" s="40"/>
      <c r="Y427" s="40"/>
      <c r="Z427" s="22"/>
      <c r="AA427" s="22"/>
      <c r="AB427" s="22"/>
    </row>
    <row r="428" ht="18.75" customHeight="1">
      <c r="A428" s="18" t="str">
        <f t="array" ref="A428">IFERROR(
  INDEX(
    'api-register-id'!A:A,
    MATCH(F428, 'api-register-id'!B:B, 0)
  ),
  "Not found Organization"
)</f>
        <v>SSFF</v>
      </c>
      <c r="B428" s="22" t="str">
        <f>IFERROR(VLOOKUP(F428, 'api-register-id'!B:F, 4, FALSE), "Not found path.")</f>
        <v>mx-api-bc-pro-party-lifecycle-management</v>
      </c>
      <c r="C428" s="23" t="s">
        <v>41</v>
      </c>
      <c r="D428" s="23" t="s">
        <v>811</v>
      </c>
      <c r="E428" s="24" t="str">
        <f>IFERROR(VLOOKUP(F428, 'api-register-id'!B:F, 5, FALSE), "Not found path.")</f>
        <v>APIMX000096</v>
      </c>
      <c r="F428" s="25" t="s">
        <v>1214</v>
      </c>
      <c r="G428" s="26" t="s">
        <v>4228</v>
      </c>
      <c r="H428" s="22" t="s">
        <v>3167</v>
      </c>
      <c r="I428" s="29" t="str">
        <f>IFERROR(VLOOKUP(F428, 'api-register-id'!B:I, 8, FALSE), "Not found path.")</f>
        <v>2.3.2</v>
      </c>
      <c r="J428" s="3" t="s">
        <v>3197</v>
      </c>
      <c r="K428" s="31" t="s">
        <v>48</v>
      </c>
      <c r="L428" s="23" t="s">
        <v>49</v>
      </c>
      <c r="M428" s="3" t="s">
        <v>1282</v>
      </c>
      <c r="N428" s="3" t="str">
        <f t="shared" si="1"/>
        <v>POST /system/sales/partyLifecycleManagement/v1/location/register</v>
      </c>
      <c r="O428" s="32" t="s">
        <v>1481</v>
      </c>
      <c r="P428" s="22"/>
      <c r="Q428" s="61" t="s">
        <v>4229</v>
      </c>
      <c r="R428" s="31" t="s">
        <v>56</v>
      </c>
      <c r="S428" s="38" t="str">
        <f t="shared" si="2"/>
        <v>https://github.com/SF-Bancoppel/mx-api-bc-pro-party-lifecycle-management</v>
      </c>
      <c r="T428" s="40"/>
      <c r="U428" s="22"/>
      <c r="V428" s="40"/>
      <c r="W428" s="40"/>
      <c r="X428" s="40"/>
      <c r="Y428" s="40"/>
      <c r="Z428" s="22"/>
      <c r="AA428" s="22"/>
      <c r="AB428" s="22"/>
    </row>
    <row r="429" ht="18.75" customHeight="1">
      <c r="A429" s="18" t="str">
        <f t="array" ref="A429">IFERROR(
  INDEX(
    'api-register-id'!A:A,
    MATCH(F429, 'api-register-id'!B:B, 0)
  ),
  "Not found Organization"
)</f>
        <v>SSFF</v>
      </c>
      <c r="B429" s="22" t="str">
        <f>IFERROR(VLOOKUP(F429, 'api-register-id'!B:F, 4, FALSE), "Not found path.")</f>
        <v>mx-api-bc-pro-party-lifecycle-management</v>
      </c>
      <c r="C429" s="23" t="s">
        <v>41</v>
      </c>
      <c r="D429" s="23" t="s">
        <v>811</v>
      </c>
      <c r="E429" s="24" t="str">
        <f>IFERROR(VLOOKUP(F429, 'api-register-id'!B:F, 5, FALSE), "Not found path.")</f>
        <v>APIMX000096</v>
      </c>
      <c r="F429" s="25" t="s">
        <v>1214</v>
      </c>
      <c r="G429" s="26" t="s">
        <v>4230</v>
      </c>
      <c r="H429" s="22" t="s">
        <v>3361</v>
      </c>
      <c r="I429" s="29" t="str">
        <f>IFERROR(VLOOKUP(F429, 'api-register-id'!B:I, 8, FALSE), "Not found path.")</f>
        <v>2.3.2</v>
      </c>
      <c r="J429" s="3" t="s">
        <v>3197</v>
      </c>
      <c r="K429" s="31" t="s">
        <v>48</v>
      </c>
      <c r="L429" s="23" t="s">
        <v>49</v>
      </c>
      <c r="M429" s="3" t="s">
        <v>1488</v>
      </c>
      <c r="N429" s="3" t="str">
        <f t="shared" si="1"/>
        <v>POST /system/sales/partyLifecycleManagement/v1/location/retrieve</v>
      </c>
      <c r="O429" s="32" t="s">
        <v>3364</v>
      </c>
      <c r="P429" s="32"/>
      <c r="Q429" s="61" t="s">
        <v>4232</v>
      </c>
      <c r="R429" s="31" t="s">
        <v>56</v>
      </c>
      <c r="S429" s="38" t="str">
        <f t="shared" si="2"/>
        <v>https://github.com/SF-Bancoppel/mx-api-bc-pro-party-lifecycle-management</v>
      </c>
      <c r="T429" s="40"/>
      <c r="U429" s="22"/>
      <c r="V429" s="40"/>
      <c r="W429" s="40"/>
      <c r="X429" s="40"/>
      <c r="Y429" s="40"/>
      <c r="Z429" s="22"/>
      <c r="AA429" s="22"/>
      <c r="AB429" s="22"/>
    </row>
    <row r="430" ht="18.75" customHeight="1">
      <c r="A430" s="18" t="str">
        <f t="array" ref="A430">IFERROR(
  INDEX(
    'api-register-id'!A:A,
    MATCH(F430, 'api-register-id'!B:B, 0)
  ),
  "Not found Organization"
)</f>
        <v>SSFF</v>
      </c>
      <c r="B430" s="22" t="str">
        <f>IFERROR(VLOOKUP(F430, 'api-register-id'!B:F, 4, FALSE), "Not found path.")</f>
        <v>mx-api-bc-pro-party-lifecycle-management</v>
      </c>
      <c r="C430" s="23" t="s">
        <v>41</v>
      </c>
      <c r="D430" s="23" t="s">
        <v>811</v>
      </c>
      <c r="E430" s="24" t="str">
        <f>IFERROR(VLOOKUP(F430, 'api-register-id'!B:F, 5, FALSE), "Not found path.")</f>
        <v>APIMX000096</v>
      </c>
      <c r="F430" s="25" t="s">
        <v>1214</v>
      </c>
      <c r="G430" s="26" t="s">
        <v>4235</v>
      </c>
      <c r="H430" s="22" t="s">
        <v>3368</v>
      </c>
      <c r="I430" s="29" t="str">
        <f>IFERROR(VLOOKUP(F430, 'api-register-id'!B:I, 8, FALSE), "Not found path.")</f>
        <v>2.3.2</v>
      </c>
      <c r="J430" s="3" t="s">
        <v>3197</v>
      </c>
      <c r="K430" s="31" t="s">
        <v>48</v>
      </c>
      <c r="L430" s="23" t="s">
        <v>49</v>
      </c>
      <c r="M430" s="3" t="s">
        <v>1492</v>
      </c>
      <c r="N430" s="3" t="str">
        <f t="shared" si="1"/>
        <v>POST /system/sales/partyLifecycleManagement/v1/partyReference/retrieve</v>
      </c>
      <c r="O430" s="32" t="s">
        <v>4236</v>
      </c>
      <c r="P430" s="32"/>
      <c r="Q430" s="61" t="s">
        <v>4237</v>
      </c>
      <c r="R430" s="31" t="s">
        <v>56</v>
      </c>
      <c r="S430" s="38" t="str">
        <f t="shared" si="2"/>
        <v>https://github.com/SF-Bancoppel/mx-api-bc-pro-party-lifecycle-management</v>
      </c>
      <c r="T430" s="40"/>
      <c r="U430" s="22"/>
      <c r="V430" s="40"/>
      <c r="W430" s="40"/>
      <c r="X430" s="40"/>
      <c r="Y430" s="40"/>
      <c r="Z430" s="22"/>
      <c r="AA430" s="22"/>
      <c r="AB430" s="22"/>
    </row>
    <row r="431" ht="18.75" customHeight="1">
      <c r="A431" s="18" t="str">
        <f t="array" ref="A431">IFERROR(
  INDEX(
    'api-register-id'!A:A,
    MATCH(F431, 'api-register-id'!B:B, 0)
  ),
  "Not found Organization"
)</f>
        <v>SSFF</v>
      </c>
      <c r="B431" s="22" t="str">
        <f>IFERROR(VLOOKUP(F431, 'api-register-id'!B:F, 4, FALSE), "Not found path.")</f>
        <v>mx-api-bc-pro-party-lifecycle-management</v>
      </c>
      <c r="C431" s="23" t="s">
        <v>41</v>
      </c>
      <c r="D431" s="23" t="s">
        <v>811</v>
      </c>
      <c r="E431" s="24" t="str">
        <f>IFERROR(VLOOKUP(F431, 'api-register-id'!B:F, 5, FALSE), "Not found path.")</f>
        <v>APIMX000096</v>
      </c>
      <c r="F431" s="25" t="s">
        <v>1214</v>
      </c>
      <c r="G431" s="26" t="s">
        <v>4241</v>
      </c>
      <c r="H431" s="22" t="s">
        <v>3372</v>
      </c>
      <c r="I431" s="29" t="str">
        <f>IFERROR(VLOOKUP(F431, 'api-register-id'!B:I, 8, FALSE), "Not found path.")</f>
        <v>2.3.2</v>
      </c>
      <c r="J431" s="3" t="s">
        <v>3197</v>
      </c>
      <c r="K431" s="31" t="s">
        <v>48</v>
      </c>
      <c r="L431" s="23" t="s">
        <v>428</v>
      </c>
      <c r="M431" s="3" t="s">
        <v>3373</v>
      </c>
      <c r="N431" s="3" t="str">
        <f t="shared" si="1"/>
        <v>PATCH /system/sales/partyLifecycleManagement/v1/personProfile/{sessionDialogueIdentification}/update</v>
      </c>
      <c r="O431" s="32" t="s">
        <v>4242</v>
      </c>
      <c r="P431" s="32" t="s">
        <v>900</v>
      </c>
      <c r="Q431" s="61" t="s">
        <v>4243</v>
      </c>
      <c r="R431" s="31" t="s">
        <v>56</v>
      </c>
      <c r="S431" s="38" t="str">
        <f t="shared" si="2"/>
        <v>https://github.com/SF-Bancoppel/mx-api-bc-pro-party-lifecycle-management</v>
      </c>
      <c r="T431" s="40"/>
      <c r="U431" s="22"/>
      <c r="V431" s="40"/>
      <c r="W431" s="40"/>
      <c r="X431" s="40"/>
      <c r="Y431" s="40"/>
      <c r="Z431" s="22"/>
      <c r="AA431" s="22"/>
      <c r="AB431" s="22"/>
    </row>
    <row r="432" ht="18.75" customHeight="1">
      <c r="A432" s="18" t="str">
        <f t="array" ref="A432">IFERROR(
  INDEX(
    'api-register-id'!A:A,
    MATCH(F432, 'api-register-id'!B:B, 0)
  ),
  "Not found Organization"
)</f>
        <v>SSFF</v>
      </c>
      <c r="B432" s="22" t="str">
        <f>IFERROR(VLOOKUP(F432, 'api-register-id'!B:F, 4, FALSE), "Not found path.")</f>
        <v>mx-api-bc-pro-party-lifecycle-management</v>
      </c>
      <c r="C432" s="23" t="s">
        <v>41</v>
      </c>
      <c r="D432" s="23" t="s">
        <v>811</v>
      </c>
      <c r="E432" s="24" t="str">
        <f>IFERROR(VLOOKUP(F432, 'api-register-id'!B:F, 5, FALSE), "Not found path.")</f>
        <v>APIMX000096</v>
      </c>
      <c r="F432" s="25" t="s">
        <v>1214</v>
      </c>
      <c r="G432" s="26" t="s">
        <v>4247</v>
      </c>
      <c r="H432" s="22" t="s">
        <v>3377</v>
      </c>
      <c r="I432" s="29" t="str">
        <f>IFERROR(VLOOKUP(F432, 'api-register-id'!B:I, 8, FALSE), "Not found path.")</f>
        <v>2.3.2</v>
      </c>
      <c r="J432" s="3" t="s">
        <v>3197</v>
      </c>
      <c r="K432" s="31" t="s">
        <v>48</v>
      </c>
      <c r="L432" s="23" t="s">
        <v>49</v>
      </c>
      <c r="M432" s="3" t="s">
        <v>4248</v>
      </c>
      <c r="N432" s="3" t="str">
        <f t="shared" si="1"/>
        <v>POST /system/sales/partyLifecycleManagement/v1/familyProfile/initiate</v>
      </c>
      <c r="O432" s="32" t="s">
        <v>4249</v>
      </c>
      <c r="P432" s="32"/>
      <c r="Q432" s="61" t="s">
        <v>4250</v>
      </c>
      <c r="R432" s="31" t="s">
        <v>56</v>
      </c>
      <c r="S432" s="38" t="str">
        <f t="shared" si="2"/>
        <v>https://github.com/SF-Bancoppel/mx-api-bc-pro-party-lifecycle-management</v>
      </c>
      <c r="T432" s="40"/>
      <c r="U432" s="22"/>
      <c r="V432" s="22"/>
      <c r="W432" s="22"/>
      <c r="X432" s="40"/>
      <c r="Y432" s="40"/>
      <c r="Z432" s="22"/>
      <c r="AA432" s="22"/>
      <c r="AB432" s="22"/>
    </row>
    <row r="433" ht="18.75" customHeight="1">
      <c r="A433" s="18" t="str">
        <f t="array" ref="A433">IFERROR(
  INDEX(
    'api-register-id'!A:A,
    MATCH(F433, 'api-register-id'!B:B, 0)
  ),
  "Not found Organization"
)</f>
        <v>SSFF</v>
      </c>
      <c r="B433" s="22" t="str">
        <f>IFERROR(VLOOKUP(F433, 'api-register-id'!B:F, 4, FALSE), "Not found path.")</f>
        <v>mx-api-bc-pro-party-lifecycle-management</v>
      </c>
      <c r="C433" s="23" t="s">
        <v>41</v>
      </c>
      <c r="D433" s="23" t="s">
        <v>811</v>
      </c>
      <c r="E433" s="24" t="str">
        <f>IFERROR(VLOOKUP(F433, 'api-register-id'!B:F, 5, FALSE), "Not found path.")</f>
        <v>APIMX000096</v>
      </c>
      <c r="F433" s="25" t="s">
        <v>1214</v>
      </c>
      <c r="G433" s="26" t="s">
        <v>4253</v>
      </c>
      <c r="H433" s="22" t="s">
        <v>3385</v>
      </c>
      <c r="I433" s="29" t="str">
        <f>IFERROR(VLOOKUP(F433, 'api-register-id'!B:I, 8, FALSE), "Not found path.")</f>
        <v>2.3.2</v>
      </c>
      <c r="J433" s="3" t="s">
        <v>3197</v>
      </c>
      <c r="K433" s="31" t="s">
        <v>48</v>
      </c>
      <c r="L433" s="23" t="s">
        <v>49</v>
      </c>
      <c r="M433" s="3" t="s">
        <v>3386</v>
      </c>
      <c r="N433" s="3" t="str">
        <f t="shared" si="1"/>
        <v>POST /system/sales/partyLifecycleManagement/v1/customerRelationshipInvolvement/initiate</v>
      </c>
      <c r="O433" s="32" t="s">
        <v>4255</v>
      </c>
      <c r="P433" s="32"/>
      <c r="Q433" s="61" t="s">
        <v>4257</v>
      </c>
      <c r="R433" s="31" t="s">
        <v>56</v>
      </c>
      <c r="S433" s="38" t="str">
        <f t="shared" si="2"/>
        <v>https://github.com/SF-Bancoppel/mx-api-bc-pro-party-lifecycle-management</v>
      </c>
      <c r="T433" s="40"/>
      <c r="U433" s="22"/>
      <c r="V433" s="40"/>
      <c r="W433" s="40"/>
      <c r="X433" s="40"/>
      <c r="Y433" s="40"/>
      <c r="Z433" s="22"/>
      <c r="AA433" s="22"/>
      <c r="AB433" s="22"/>
    </row>
    <row r="434" ht="18.75" customHeight="1">
      <c r="A434" s="18" t="str">
        <f t="array" ref="A434">IFERROR(
  INDEX(
    'api-register-id'!A:A,
    MATCH(F434, 'api-register-id'!B:B, 0)
  ),
  "Not found Organization"
)</f>
        <v>SSFF</v>
      </c>
      <c r="B434" s="22" t="str">
        <f>IFERROR(VLOOKUP(F434, 'api-register-id'!B:F, 4, FALSE), "Not found path.")</f>
        <v>mx-api-bc-pro-party-lifecycle-management</v>
      </c>
      <c r="C434" s="78" t="s">
        <v>41</v>
      </c>
      <c r="D434" s="78" t="s">
        <v>811</v>
      </c>
      <c r="E434" s="24" t="str">
        <f>IFERROR(VLOOKUP(F434, 'api-register-id'!B:F, 5, FALSE), "Not found path.")</f>
        <v>APIMX000096</v>
      </c>
      <c r="F434" s="25" t="s">
        <v>1214</v>
      </c>
      <c r="G434" s="26" t="s">
        <v>4262</v>
      </c>
      <c r="H434" s="22" t="s">
        <v>4263</v>
      </c>
      <c r="I434" s="29" t="str">
        <f>IFERROR(VLOOKUP(F434, 'api-register-id'!B:I, 8, FALSE), "Not found path.")</f>
        <v>2.3.2</v>
      </c>
      <c r="J434" s="3" t="s">
        <v>3197</v>
      </c>
      <c r="K434" s="31" t="s">
        <v>48</v>
      </c>
      <c r="L434" s="78" t="s">
        <v>428</v>
      </c>
      <c r="M434" s="3" t="s">
        <v>1414</v>
      </c>
      <c r="N434" s="3" t="str">
        <f t="shared" si="1"/>
        <v>PATCH /system/sales/partyLifecycleManagement/v1/partyRelationshipProcedure/{sessionDialogueIdentification}/capture</v>
      </c>
      <c r="O434" s="32" t="s">
        <v>1415</v>
      </c>
      <c r="P434" s="32"/>
      <c r="Q434" s="61" t="s">
        <v>98</v>
      </c>
      <c r="R434" s="31" t="s">
        <v>56</v>
      </c>
      <c r="S434" s="38" t="str">
        <f t="shared" si="2"/>
        <v>https://github.com/SF-Bancoppel/mx-api-bc-pro-party-lifecycle-management</v>
      </c>
      <c r="T434" s="40"/>
      <c r="U434" s="22"/>
      <c r="V434" s="40"/>
      <c r="W434" s="40"/>
      <c r="X434" s="40"/>
      <c r="Y434" s="40"/>
      <c r="Z434" s="22"/>
      <c r="AA434" s="22"/>
      <c r="AB434" s="22"/>
    </row>
    <row r="435" ht="18.75" customHeight="1">
      <c r="A435" s="18" t="str">
        <f t="array" ref="A435">IFERROR(
  INDEX(
    'api-register-id'!A:A,
    MATCH(F435, 'api-register-id'!B:B, 0)
  ),
  "Not found Organization"
)</f>
        <v>SSFF</v>
      </c>
      <c r="B435" s="22" t="str">
        <f>IFERROR(VLOOKUP(F435, 'api-register-id'!B:F, 4, FALSE), "Not found path.")</f>
        <v>mx-api-bc-pro-party-reference-data-directory</v>
      </c>
      <c r="C435" s="23" t="s">
        <v>41</v>
      </c>
      <c r="D435" s="23" t="s">
        <v>811</v>
      </c>
      <c r="E435" s="24" t="str">
        <f>IFERROR(VLOOKUP(F435, 'api-register-id'!B:F, 5, FALSE), "Not found path.")</f>
        <v>APIMX000097</v>
      </c>
      <c r="F435" s="25" t="s">
        <v>1222</v>
      </c>
      <c r="G435" s="26" t="s">
        <v>4274</v>
      </c>
      <c r="H435" s="22" t="s">
        <v>3394</v>
      </c>
      <c r="I435" s="29" t="str">
        <f>IFERROR(VLOOKUP(F435, 'api-register-id'!B:I, 8, FALSE), "Not found path.")</f>
        <v>1.8.1</v>
      </c>
      <c r="J435" s="3" t="s">
        <v>3395</v>
      </c>
      <c r="K435" s="31" t="s">
        <v>48</v>
      </c>
      <c r="L435" s="23" t="s">
        <v>49</v>
      </c>
      <c r="M435" s="3" t="s">
        <v>1505</v>
      </c>
      <c r="N435" s="3" t="str">
        <f t="shared" si="1"/>
        <v>POST /system/customerManagement/partyReferenceDataDirectory/v1/contactPoint/evaluate</v>
      </c>
      <c r="O435" s="32" t="s">
        <v>3397</v>
      </c>
      <c r="P435" s="32"/>
      <c r="Q435" s="61" t="s">
        <v>4277</v>
      </c>
      <c r="R435" s="31" t="s">
        <v>56</v>
      </c>
      <c r="S435" s="38" t="str">
        <f t="shared" si="2"/>
        <v>https://github.com/SF-Bancoppel/mx-api-bc-pro-party-reference-data-directory</v>
      </c>
      <c r="T435" s="40"/>
      <c r="U435" s="22"/>
      <c r="V435" s="40"/>
      <c r="W435" s="40"/>
      <c r="X435" s="40"/>
      <c r="Y435" s="40"/>
      <c r="Z435" s="22"/>
      <c r="AA435" s="22"/>
      <c r="AB435" s="22"/>
    </row>
    <row r="436" ht="18.75" customHeight="1">
      <c r="A436" s="18" t="str">
        <f t="array" ref="A436">IFERROR(
  INDEX(
    'api-register-id'!A:A,
    MATCH(F436, 'api-register-id'!B:B, 0)
  ),
  "Not found Organization"
)</f>
        <v>SSFF</v>
      </c>
      <c r="B436" s="22" t="str">
        <f>IFERROR(VLOOKUP(F436, 'api-register-id'!B:F, 4, FALSE), "Not found path.")</f>
        <v>mx-api-bc-pro-party-reference-data-directory</v>
      </c>
      <c r="C436" s="23" t="s">
        <v>41</v>
      </c>
      <c r="D436" s="23" t="s">
        <v>811</v>
      </c>
      <c r="E436" s="24" t="str">
        <f>IFERROR(VLOOKUP(F436, 'api-register-id'!B:F, 5, FALSE), "Not found path.")</f>
        <v>APIMX000097</v>
      </c>
      <c r="F436" s="25" t="s">
        <v>1222</v>
      </c>
      <c r="G436" s="26" t="s">
        <v>4283</v>
      </c>
      <c r="H436" s="22" t="s">
        <v>3401</v>
      </c>
      <c r="I436" s="29" t="str">
        <f>IFERROR(VLOOKUP(F436, 'api-register-id'!B:I, 8, FALSE), "Not found path.")</f>
        <v>1.8.1</v>
      </c>
      <c r="J436" s="3" t="s">
        <v>3395</v>
      </c>
      <c r="K436" s="31" t="s">
        <v>48</v>
      </c>
      <c r="L436" s="23" t="s">
        <v>49</v>
      </c>
      <c r="M436" s="3" t="s">
        <v>1513</v>
      </c>
      <c r="N436" s="3" t="str">
        <f t="shared" si="1"/>
        <v>POST /system/customerManagement/partyReferenceDataDirectory/v1/partyReferenceDataDirectoryEntry/retrieve</v>
      </c>
      <c r="O436" s="32" t="s">
        <v>1514</v>
      </c>
      <c r="P436" s="32"/>
      <c r="Q436" s="61" t="s">
        <v>4287</v>
      </c>
      <c r="R436" s="31" t="s">
        <v>56</v>
      </c>
      <c r="S436" s="38" t="str">
        <f t="shared" si="2"/>
        <v>https://github.com/SF-Bancoppel/mx-api-bc-pro-party-reference-data-directory</v>
      </c>
      <c r="T436" s="40"/>
      <c r="U436" s="22"/>
      <c r="V436" s="40"/>
      <c r="W436" s="40"/>
      <c r="X436" s="40"/>
      <c r="Y436" s="40"/>
      <c r="Z436" s="22"/>
      <c r="AA436" s="22"/>
      <c r="AB436" s="22"/>
    </row>
    <row r="437" ht="18.75" customHeight="1">
      <c r="A437" s="18" t="str">
        <f t="array" ref="A437">IFERROR(
  INDEX(
    'api-register-id'!A:A,
    MATCH(F437, 'api-register-id'!B:B, 0)
  ),
  "Not found Organization"
)</f>
        <v>SSFF</v>
      </c>
      <c r="B437" s="22" t="str">
        <f>IFERROR(VLOOKUP(F437, 'api-register-id'!B:F, 4, FALSE), "Not found path.")</f>
        <v>mx-api-bc-pro-party-reference-data-directory</v>
      </c>
      <c r="C437" s="23" t="s">
        <v>41</v>
      </c>
      <c r="D437" s="23" t="s">
        <v>811</v>
      </c>
      <c r="E437" s="24" t="str">
        <f>IFERROR(VLOOKUP(F437, 'api-register-id'!B:F, 5, FALSE), "Not found path.")</f>
        <v>APIMX000097</v>
      </c>
      <c r="F437" s="25" t="s">
        <v>1222</v>
      </c>
      <c r="G437" s="26" t="s">
        <v>4295</v>
      </c>
      <c r="H437" s="22" t="s">
        <v>3407</v>
      </c>
      <c r="I437" s="29" t="str">
        <f>IFERROR(VLOOKUP(F437, 'api-register-id'!B:I, 8, FALSE), "Not found path.")</f>
        <v>1.8.1</v>
      </c>
      <c r="J437" s="3" t="s">
        <v>3395</v>
      </c>
      <c r="K437" s="31" t="s">
        <v>48</v>
      </c>
      <c r="L437" s="23" t="s">
        <v>49</v>
      </c>
      <c r="M437" s="3" t="s">
        <v>1589</v>
      </c>
      <c r="N437" s="3" t="str">
        <f t="shared" si="1"/>
        <v>POST /system/customerManagement/partyReferenceDataDirectory/v1/reference/evaluate</v>
      </c>
      <c r="O437" s="32" t="s">
        <v>1519</v>
      </c>
      <c r="P437" s="32"/>
      <c r="Q437" s="61" t="s">
        <v>4302</v>
      </c>
      <c r="R437" s="31" t="s">
        <v>56</v>
      </c>
      <c r="S437" s="38" t="str">
        <f t="shared" si="2"/>
        <v>https://github.com/SF-Bancoppel/mx-api-bc-pro-party-reference-data-directory</v>
      </c>
      <c r="T437" s="40"/>
      <c r="U437" s="22"/>
      <c r="V437" s="40"/>
      <c r="W437" s="40"/>
      <c r="X437" s="40"/>
      <c r="Y437" s="40"/>
      <c r="Z437" s="22"/>
      <c r="AA437" s="22"/>
      <c r="AB437" s="22"/>
    </row>
    <row r="438" ht="18.75" customHeight="1">
      <c r="A438" s="18" t="str">
        <f t="array" ref="A438">IFERROR(
  INDEX(
    'api-register-id'!A:A,
    MATCH(F438, 'api-register-id'!B:B, 0)
  ),
  "Not found Organization"
)</f>
        <v>SSFF</v>
      </c>
      <c r="B438" s="22" t="str">
        <f>IFERROR(VLOOKUP(F438, 'api-register-id'!B:F, 4, FALSE), "Not found path.")</f>
        <v>mx-api-bc-pro-party-reference-data-directory</v>
      </c>
      <c r="C438" s="23" t="s">
        <v>41</v>
      </c>
      <c r="D438" s="23" t="s">
        <v>811</v>
      </c>
      <c r="E438" s="24" t="str">
        <f>IFERROR(VLOOKUP(F438, 'api-register-id'!B:F, 5, FALSE), "Not found path.")</f>
        <v>APIMX000097</v>
      </c>
      <c r="F438" s="25" t="s">
        <v>1222</v>
      </c>
      <c r="G438" s="26" t="s">
        <v>4310</v>
      </c>
      <c r="H438" s="22" t="s">
        <v>3412</v>
      </c>
      <c r="I438" s="29" t="str">
        <f>IFERROR(VLOOKUP(F438, 'api-register-id'!B:I, 8, FALSE), "Not found path.")</f>
        <v>1.8.1</v>
      </c>
      <c r="J438" s="3" t="s">
        <v>3395</v>
      </c>
      <c r="K438" s="31" t="s">
        <v>48</v>
      </c>
      <c r="L438" s="23" t="s">
        <v>49</v>
      </c>
      <c r="M438" s="3" t="s">
        <v>1525</v>
      </c>
      <c r="N438" s="3" t="str">
        <f t="shared" si="1"/>
        <v>POST /system/customerManagement/partyReferenceDataDirectory/v1/pendingOperations/evaluate</v>
      </c>
      <c r="O438" s="32" t="s">
        <v>1526</v>
      </c>
      <c r="P438" s="32"/>
      <c r="Q438" s="36" t="s">
        <v>4317</v>
      </c>
      <c r="R438" s="31" t="s">
        <v>56</v>
      </c>
      <c r="S438" s="38" t="str">
        <f t="shared" si="2"/>
        <v>https://github.com/SF-Bancoppel/mx-api-bc-pro-party-reference-data-directory</v>
      </c>
      <c r="T438" s="40"/>
      <c r="U438" s="22"/>
      <c r="V438" s="40"/>
      <c r="W438" s="40"/>
      <c r="X438" s="40"/>
      <c r="Y438" s="40"/>
      <c r="Z438" s="22"/>
      <c r="AA438" s="22"/>
      <c r="AB438" s="22"/>
    </row>
    <row r="439" ht="18.75" customHeight="1">
      <c r="A439" s="18" t="str">
        <f t="array" ref="A439">IFERROR(
  INDEX(
    'api-register-id'!A:A,
    MATCH(F439, 'api-register-id'!B:B, 0)
  ),
  "Not found Organization"
)</f>
        <v>SSFF</v>
      </c>
      <c r="B439" s="22" t="str">
        <f>IFERROR(VLOOKUP(F439, 'api-register-id'!B:F, 4, FALSE), "Not found path.")</f>
        <v>mx-api-bc-pro-party-reference-data-directory</v>
      </c>
      <c r="C439" s="23" t="s">
        <v>41</v>
      </c>
      <c r="D439" s="23" t="s">
        <v>811</v>
      </c>
      <c r="E439" s="24" t="str">
        <f>IFERROR(VLOOKUP(F439, 'api-register-id'!B:F, 5, FALSE), "Not found path.")</f>
        <v>APIMX000097</v>
      </c>
      <c r="F439" s="25" t="s">
        <v>1222</v>
      </c>
      <c r="G439" s="26" t="s">
        <v>4331</v>
      </c>
      <c r="H439" s="22" t="s">
        <v>3417</v>
      </c>
      <c r="I439" s="29" t="str">
        <f>IFERROR(VLOOKUP(F439, 'api-register-id'!B:I, 8, FALSE), "Not found path.")</f>
        <v>1.8.1</v>
      </c>
      <c r="J439" s="3" t="s">
        <v>3395</v>
      </c>
      <c r="K439" s="31" t="s">
        <v>48</v>
      </c>
      <c r="L439" s="23" t="s">
        <v>61</v>
      </c>
      <c r="M439" s="3" t="s">
        <v>1529</v>
      </c>
      <c r="N439" s="3" t="str">
        <f t="shared" si="1"/>
        <v>PUT /system/customerManagement/partyReferenceDataDirectory/v1/notificationFacility/execute</v>
      </c>
      <c r="O439" s="32" t="s">
        <v>1530</v>
      </c>
      <c r="P439" s="32"/>
      <c r="Q439" s="36" t="s">
        <v>4334</v>
      </c>
      <c r="R439" s="31" t="s">
        <v>56</v>
      </c>
      <c r="S439" s="38" t="str">
        <f t="shared" si="2"/>
        <v>https://github.com/SF-Bancoppel/mx-api-bc-pro-party-reference-data-directory</v>
      </c>
      <c r="T439" s="40"/>
      <c r="U439" s="22"/>
      <c r="V439" s="40"/>
      <c r="W439" s="40"/>
      <c r="X439" s="40"/>
      <c r="Y439" s="40"/>
      <c r="Z439" s="22"/>
      <c r="AA439" s="22"/>
      <c r="AB439" s="22"/>
    </row>
    <row r="440" ht="18.75" customHeight="1">
      <c r="A440" s="18" t="str">
        <f t="array" ref="A440">IFERROR(
  INDEX(
    'api-register-id'!A:A,
    MATCH(F440, 'api-register-id'!B:B, 0)
  ),
  "Not found Organization"
)</f>
        <v>SSFF</v>
      </c>
      <c r="B440" s="22" t="str">
        <f>IFERROR(VLOOKUP(F440, 'api-register-id'!B:F, 4, FALSE), "Not found path.")</f>
        <v>mx-api-bc-pro-party-reference-data-directory</v>
      </c>
      <c r="C440" s="23" t="s">
        <v>41</v>
      </c>
      <c r="D440" s="23" t="s">
        <v>811</v>
      </c>
      <c r="E440" s="24" t="str">
        <f>IFERROR(VLOOKUP(F440, 'api-register-id'!B:F, 5, FALSE), "Not found path.")</f>
        <v>APIMX000097</v>
      </c>
      <c r="F440" s="25" t="s">
        <v>1222</v>
      </c>
      <c r="G440" s="26" t="s">
        <v>4346</v>
      </c>
      <c r="H440" s="22" t="s">
        <v>3421</v>
      </c>
      <c r="I440" s="29" t="str">
        <f>IFERROR(VLOOKUP(F440, 'api-register-id'!B:I, 8, FALSE), "Not found path.")</f>
        <v>1.8.1</v>
      </c>
      <c r="J440" s="3" t="s">
        <v>3395</v>
      </c>
      <c r="K440" s="31" t="s">
        <v>48</v>
      </c>
      <c r="L440" s="23" t="s">
        <v>49</v>
      </c>
      <c r="M440" s="3" t="s">
        <v>1536</v>
      </c>
      <c r="N440" s="3" t="str">
        <f t="shared" si="1"/>
        <v>POST /system/customerManagement/partyReferenceDataDirectory/v1/contactPoint/register</v>
      </c>
      <c r="O440" s="32" t="s">
        <v>3423</v>
      </c>
      <c r="P440" s="32"/>
      <c r="Q440" s="36" t="s">
        <v>4351</v>
      </c>
      <c r="R440" s="31" t="s">
        <v>56</v>
      </c>
      <c r="S440" s="38" t="str">
        <f t="shared" si="2"/>
        <v>https://github.com/SF-Bancoppel/mx-api-bc-pro-party-reference-data-directory</v>
      </c>
      <c r="T440" s="40"/>
      <c r="U440" s="22"/>
      <c r="V440" s="40"/>
      <c r="W440" s="40"/>
      <c r="X440" s="40"/>
      <c r="Y440" s="40"/>
      <c r="Z440" s="22"/>
      <c r="AA440" s="22"/>
      <c r="AB440" s="22"/>
    </row>
    <row r="441" ht="18.75" customHeight="1">
      <c r="A441" s="18" t="str">
        <f t="array" ref="A441">IFERROR(
  INDEX(
    'api-register-id'!A:A,
    MATCH(F441, 'api-register-id'!B:B, 0)
  ),
  "Not found Organization"
)</f>
        <v>SSFF</v>
      </c>
      <c r="B441" s="22" t="str">
        <f>IFERROR(VLOOKUP(F441, 'api-register-id'!B:F, 4, FALSE), "Not found path.")</f>
        <v>mx-api-bc-pro-party-reference-data-directory</v>
      </c>
      <c r="C441" s="23" t="s">
        <v>41</v>
      </c>
      <c r="D441" s="23" t="s">
        <v>811</v>
      </c>
      <c r="E441" s="24" t="str">
        <f>IFERROR(VLOOKUP(F441, 'api-register-id'!B:F, 5, FALSE), "Not found path.")</f>
        <v>APIMX000097</v>
      </c>
      <c r="F441" s="25" t="s">
        <v>1222</v>
      </c>
      <c r="G441" s="26" t="s">
        <v>4360</v>
      </c>
      <c r="H441" s="22" t="s">
        <v>3428</v>
      </c>
      <c r="I441" s="29" t="str">
        <f>IFERROR(VLOOKUP(F441, 'api-register-id'!B:I, 8, FALSE), "Not found path.")</f>
        <v>1.8.1</v>
      </c>
      <c r="J441" s="3" t="s">
        <v>3395</v>
      </c>
      <c r="K441" s="31" t="s">
        <v>48</v>
      </c>
      <c r="L441" s="23" t="s">
        <v>428</v>
      </c>
      <c r="M441" s="3" t="s">
        <v>1549</v>
      </c>
      <c r="N441" s="3" t="str">
        <f t="shared" si="1"/>
        <v>PATCH /system/customerManagement/partyReferenceDataDirectory/v1/contactPoint/control</v>
      </c>
      <c r="O441" s="32" t="s">
        <v>1550</v>
      </c>
      <c r="P441" s="32"/>
      <c r="Q441" s="36" t="s">
        <v>4364</v>
      </c>
      <c r="R441" s="31" t="s">
        <v>56</v>
      </c>
      <c r="S441" s="38" t="str">
        <f t="shared" si="2"/>
        <v>https://github.com/SF-Bancoppel/mx-api-bc-pro-party-reference-data-directory</v>
      </c>
      <c r="T441" s="40"/>
      <c r="U441" s="22"/>
      <c r="V441" s="40"/>
      <c r="W441" s="40"/>
      <c r="X441" s="40"/>
      <c r="Y441" s="40"/>
      <c r="Z441" s="22"/>
      <c r="AA441" s="22"/>
      <c r="AB441" s="22"/>
    </row>
    <row r="442" ht="18.75" customHeight="1">
      <c r="A442" s="18" t="str">
        <f t="array" ref="A442">IFERROR(
  INDEX(
    'api-register-id'!A:A,
    MATCH(F442, 'api-register-id'!B:B, 0)
  ),
  "Not found Organization"
)</f>
        <v>SSFF</v>
      </c>
      <c r="B442" s="22" t="str">
        <f>IFERROR(VLOOKUP(F442, 'api-register-id'!B:F, 4, FALSE), "Not found path.")</f>
        <v>mx-api-bc-pro-party-reference-data-directory</v>
      </c>
      <c r="C442" s="23" t="s">
        <v>41</v>
      </c>
      <c r="D442" s="23" t="s">
        <v>811</v>
      </c>
      <c r="E442" s="24" t="str">
        <f>IFERROR(VLOOKUP(F442, 'api-register-id'!B:F, 5, FALSE), "Not found path.")</f>
        <v>APIMX000097</v>
      </c>
      <c r="F442" s="25" t="s">
        <v>1222</v>
      </c>
      <c r="G442" s="26" t="s">
        <v>4372</v>
      </c>
      <c r="H442" s="22" t="s">
        <v>3434</v>
      </c>
      <c r="I442" s="29" t="str">
        <f>IFERROR(VLOOKUP(F442, 'api-register-id'!B:I, 8, FALSE), "Not found path.")</f>
        <v>1.8.1</v>
      </c>
      <c r="J442" s="3" t="s">
        <v>3395</v>
      </c>
      <c r="K442" s="31" t="s">
        <v>48</v>
      </c>
      <c r="L442" s="23" t="s">
        <v>49</v>
      </c>
      <c r="M442" s="3" t="s">
        <v>1555</v>
      </c>
      <c r="N442" s="3" t="str">
        <f t="shared" si="1"/>
        <v>POST /system/customerManagement/partyReferenceDataDirectory/v1/contactPoint/retrieve</v>
      </c>
      <c r="O442" s="32" t="s">
        <v>1556</v>
      </c>
      <c r="P442" s="32"/>
      <c r="Q442" s="61" t="s">
        <v>4374</v>
      </c>
      <c r="R442" s="31" t="s">
        <v>56</v>
      </c>
      <c r="S442" s="38" t="str">
        <f t="shared" si="2"/>
        <v>https://github.com/SF-Bancoppel/mx-api-bc-pro-party-reference-data-directory</v>
      </c>
      <c r="T442" s="40"/>
      <c r="U442" s="22"/>
      <c r="V442" s="40"/>
      <c r="W442" s="40"/>
      <c r="X442" s="40"/>
      <c r="Y442" s="40"/>
      <c r="Z442" s="22"/>
      <c r="AA442" s="22"/>
      <c r="AB442" s="22"/>
    </row>
    <row r="443" ht="18.75" customHeight="1">
      <c r="A443" s="18" t="str">
        <f t="array" ref="A443">IFERROR(
  INDEX(
    'api-register-id'!A:A,
    MATCH(F443, 'api-register-id'!B:B, 0)
  ),
  "Not found Organization"
)</f>
        <v>SSFF</v>
      </c>
      <c r="B443" s="22" t="str">
        <f>IFERROR(VLOOKUP(F443, 'api-register-id'!B:F, 4, FALSE), "Not found path.")</f>
        <v>mx-api-bc-pro-party-reference-data-directory</v>
      </c>
      <c r="C443" s="23" t="s">
        <v>41</v>
      </c>
      <c r="D443" s="23" t="s">
        <v>811</v>
      </c>
      <c r="E443" s="24" t="str">
        <f>IFERROR(VLOOKUP(F443, 'api-register-id'!B:F, 5, FALSE), "Not found path.")</f>
        <v>APIMX000097</v>
      </c>
      <c r="F443" s="25" t="s">
        <v>1222</v>
      </c>
      <c r="G443" s="26" t="s">
        <v>4381</v>
      </c>
      <c r="H443" s="22" t="s">
        <v>3439</v>
      </c>
      <c r="I443" s="29" t="str">
        <f>IFERROR(VLOOKUP(F443, 'api-register-id'!B:I, 8, FALSE), "Not found path.")</f>
        <v>1.8.1</v>
      </c>
      <c r="J443" s="3" t="s">
        <v>3395</v>
      </c>
      <c r="K443" s="31" t="s">
        <v>48</v>
      </c>
      <c r="L443" s="23" t="s">
        <v>49</v>
      </c>
      <c r="M443" s="3" t="s">
        <v>1563</v>
      </c>
      <c r="N443" s="3" t="str">
        <f t="shared" si="1"/>
        <v>POST /system/customerManagement/partyReferenceDataDirectory/v1/reference/register</v>
      </c>
      <c r="O443" s="32" t="s">
        <v>1564</v>
      </c>
      <c r="P443" s="32"/>
      <c r="Q443" s="61" t="s">
        <v>4383</v>
      </c>
      <c r="R443" s="31" t="s">
        <v>56</v>
      </c>
      <c r="S443" s="38" t="str">
        <f t="shared" si="2"/>
        <v>https://github.com/SF-Bancoppel/mx-api-bc-pro-party-reference-data-directory</v>
      </c>
      <c r="T443" s="40"/>
      <c r="U443" s="22"/>
      <c r="V443" s="22"/>
      <c r="W443" s="40"/>
      <c r="X443" s="40"/>
      <c r="Y443" s="40"/>
      <c r="Z443" s="22"/>
      <c r="AA443" s="22"/>
      <c r="AB443" s="22"/>
    </row>
    <row r="444" ht="18.75" customHeight="1">
      <c r="A444" s="18" t="str">
        <f t="array" ref="A444">IFERROR(
  INDEX(
    'api-register-id'!A:A,
    MATCH(F444, 'api-register-id'!B:B, 0)
  ),
  "Not found Organization"
)</f>
        <v>SSFF</v>
      </c>
      <c r="B444" s="22" t="str">
        <f>IFERROR(VLOOKUP(F444, 'api-register-id'!B:F, 4, FALSE), "Not found path.")</f>
        <v>mx-api-bc-pro-party-reference-data-directory</v>
      </c>
      <c r="C444" s="23" t="s">
        <v>41</v>
      </c>
      <c r="D444" s="23" t="s">
        <v>811</v>
      </c>
      <c r="E444" s="24" t="str">
        <f>IFERROR(VLOOKUP(F444, 'api-register-id'!B:F, 5, FALSE), "Not found path.")</f>
        <v>APIMX000097</v>
      </c>
      <c r="F444" s="25" t="s">
        <v>1222</v>
      </c>
      <c r="G444" s="26" t="s">
        <v>4385</v>
      </c>
      <c r="H444" s="22" t="s">
        <v>3330</v>
      </c>
      <c r="I444" s="29" t="str">
        <f>IFERROR(VLOOKUP(F444, 'api-register-id'!B:I, 8, FALSE), "Not found path.")</f>
        <v>1.8.1</v>
      </c>
      <c r="J444" s="3" t="s">
        <v>3395</v>
      </c>
      <c r="K444" s="31" t="s">
        <v>48</v>
      </c>
      <c r="L444" s="23" t="s">
        <v>61</v>
      </c>
      <c r="M444" s="3" t="s">
        <v>1455</v>
      </c>
      <c r="N444" s="3" t="str">
        <f t="shared" si="1"/>
        <v>PUT /system/customerManagement/partyReferenceDataDirectory/v1/contactPoint/capture</v>
      </c>
      <c r="O444" s="32" t="s">
        <v>1567</v>
      </c>
      <c r="P444" s="32"/>
      <c r="Q444" s="61" t="s">
        <v>4388</v>
      </c>
      <c r="R444" s="31" t="s">
        <v>56</v>
      </c>
      <c r="S444" s="38" t="str">
        <f t="shared" si="2"/>
        <v>https://github.com/SF-Bancoppel/mx-api-bc-pro-party-reference-data-directory</v>
      </c>
      <c r="T444" s="40"/>
      <c r="U444" s="22"/>
      <c r="V444" s="40"/>
      <c r="W444" s="40"/>
      <c r="X444" s="40"/>
      <c r="Y444" s="40"/>
      <c r="Z444" s="22"/>
      <c r="AA444" s="22"/>
      <c r="AB444" s="22"/>
    </row>
    <row r="445" ht="18.75" customHeight="1">
      <c r="A445" s="18" t="str">
        <f t="array" ref="A445">IFERROR(
  INDEX(
    'api-register-id'!A:A,
    MATCH(F445, 'api-register-id'!B:B, 0)
  ),
  "Not found Organization"
)</f>
        <v>SSFF</v>
      </c>
      <c r="B445" s="22" t="str">
        <f>IFERROR(VLOOKUP(F445, 'api-register-id'!B:F, 4, FALSE), "Not found path.")</f>
        <v>mx-api-bc-pro-party-reference-data-directory</v>
      </c>
      <c r="C445" s="23" t="s">
        <v>41</v>
      </c>
      <c r="D445" s="23" t="s">
        <v>811</v>
      </c>
      <c r="E445" s="24" t="str">
        <f>IFERROR(VLOOKUP(F445, 'api-register-id'!B:F, 5, FALSE), "Not found path.")</f>
        <v>APIMX000097</v>
      </c>
      <c r="F445" s="25" t="s">
        <v>1222</v>
      </c>
      <c r="G445" s="26" t="s">
        <v>4389</v>
      </c>
      <c r="H445" s="22" t="s">
        <v>3446</v>
      </c>
      <c r="I445" s="29" t="str">
        <f>IFERROR(VLOOKUP(F445, 'api-register-id'!B:I, 8, FALSE), "Not found path.")</f>
        <v>1.8.1</v>
      </c>
      <c r="J445" s="3" t="s">
        <v>3395</v>
      </c>
      <c r="K445" s="31" t="s">
        <v>48</v>
      </c>
      <c r="L445" s="23" t="s">
        <v>61</v>
      </c>
      <c r="M445" s="3" t="s">
        <v>407</v>
      </c>
      <c r="N445" s="3" t="str">
        <f t="shared" si="1"/>
        <v>PUT /system/customerManagement/partyReferenceDataDirectory/v1/contactPoint/update</v>
      </c>
      <c r="O445" s="32" t="s">
        <v>408</v>
      </c>
      <c r="P445" s="32"/>
      <c r="Q445" s="36" t="s">
        <v>4391</v>
      </c>
      <c r="R445" s="31" t="s">
        <v>56</v>
      </c>
      <c r="S445" s="38" t="str">
        <f t="shared" si="2"/>
        <v>https://github.com/SF-Bancoppel/mx-api-bc-pro-party-reference-data-directory</v>
      </c>
      <c r="T445" s="40"/>
      <c r="U445" s="22"/>
      <c r="V445" s="40"/>
      <c r="W445" s="40"/>
      <c r="X445" s="40"/>
      <c r="Y445" s="40"/>
      <c r="Z445" s="22"/>
      <c r="AA445" s="22"/>
      <c r="AB445" s="22"/>
    </row>
    <row r="446" ht="18.75" customHeight="1">
      <c r="A446" s="18" t="str">
        <f t="array" ref="A446">IFERROR(
  INDEX(
    'api-register-id'!A:A,
    MATCH(F446, 'api-register-id'!B:B, 0)
  ),
  "Not found Organization"
)</f>
        <v>SSFF</v>
      </c>
      <c r="B446" s="22" t="str">
        <f>IFERROR(VLOOKUP(F446, 'api-register-id'!B:F, 4, FALSE), "Not found path.")</f>
        <v>mx-api-bc-pro-party-reference-data-directory</v>
      </c>
      <c r="C446" s="23" t="s">
        <v>41</v>
      </c>
      <c r="D446" s="23" t="s">
        <v>811</v>
      </c>
      <c r="E446" s="24" t="str">
        <f>IFERROR(VLOOKUP(F446, 'api-register-id'!B:F, 5, FALSE), "Not found path.")</f>
        <v>APIMX000097</v>
      </c>
      <c r="F446" s="25" t="s">
        <v>1222</v>
      </c>
      <c r="G446" s="26" t="s">
        <v>4394</v>
      </c>
      <c r="H446" s="22" t="s">
        <v>3372</v>
      </c>
      <c r="I446" s="29" t="str">
        <f>IFERROR(VLOOKUP(F446, 'api-register-id'!B:I, 8, FALSE), "Not found path.")</f>
        <v>1.8.1</v>
      </c>
      <c r="J446" s="3" t="s">
        <v>3395</v>
      </c>
      <c r="K446" s="31" t="s">
        <v>48</v>
      </c>
      <c r="L446" s="23" t="s">
        <v>61</v>
      </c>
      <c r="M446" s="3" t="s">
        <v>415</v>
      </c>
      <c r="N446" s="3" t="str">
        <f t="shared" si="1"/>
        <v>PUT /system/customerManagement/partyReferenceDataDirectory/v1/personProfile/update</v>
      </c>
      <c r="O446" s="32" t="s">
        <v>417</v>
      </c>
      <c r="P446" s="32"/>
      <c r="Q446" s="61" t="s">
        <v>4395</v>
      </c>
      <c r="R446" s="31" t="s">
        <v>56</v>
      </c>
      <c r="S446" s="38" t="str">
        <f t="shared" si="2"/>
        <v>https://github.com/SF-Bancoppel/mx-api-bc-pro-party-reference-data-directory</v>
      </c>
      <c r="T446" s="40"/>
      <c r="U446" s="22"/>
      <c r="V446" s="40"/>
      <c r="W446" s="40"/>
      <c r="X446" s="40"/>
      <c r="Y446" s="40"/>
      <c r="Z446" s="22"/>
      <c r="AA446" s="22"/>
      <c r="AB446" s="22"/>
    </row>
    <row r="447" ht="18.75" customHeight="1">
      <c r="A447" s="18" t="str">
        <f t="array" ref="A447">IFERROR(
  INDEX(
    'api-register-id'!A:A,
    MATCH(F447, 'api-register-id'!B:B, 0)
  ),
  "Not found Organization"
)</f>
        <v>SSFF</v>
      </c>
      <c r="B447" s="22" t="str">
        <f>IFERROR(VLOOKUP(F447, 'api-register-id'!B:F, 4, FALSE), "Not found path.")</f>
        <v>mx-api-bc-pro-party-reference-data-directory</v>
      </c>
      <c r="C447" s="23" t="s">
        <v>41</v>
      </c>
      <c r="D447" s="23" t="s">
        <v>811</v>
      </c>
      <c r="E447" s="24" t="str">
        <f>IFERROR(VLOOKUP(F447, 'api-register-id'!B:F, 5, FALSE), "Not found path.")</f>
        <v>APIMX000097</v>
      </c>
      <c r="F447" s="25" t="s">
        <v>1222</v>
      </c>
      <c r="G447" s="26" t="s">
        <v>4399</v>
      </c>
      <c r="H447" s="22" t="s">
        <v>3456</v>
      </c>
      <c r="I447" s="29" t="str">
        <f>IFERROR(VLOOKUP(F447, 'api-register-id'!B:I, 8, FALSE), "Not found path.")</f>
        <v>1.8.1</v>
      </c>
      <c r="J447" s="3" t="s">
        <v>3395</v>
      </c>
      <c r="K447" s="31" t="s">
        <v>48</v>
      </c>
      <c r="L447" s="23" t="s">
        <v>428</v>
      </c>
      <c r="M447" s="3" t="s">
        <v>1582</v>
      </c>
      <c r="N447" s="3" t="str">
        <f t="shared" si="1"/>
        <v>PATCH /system/customerManagement/partyReferenceDataDirectory/v1/personProfile/capture</v>
      </c>
      <c r="O447" s="32" t="s">
        <v>1583</v>
      </c>
      <c r="P447" s="32"/>
      <c r="Q447" s="36" t="s">
        <v>4400</v>
      </c>
      <c r="R447" s="31" t="s">
        <v>56</v>
      </c>
      <c r="S447" s="38" t="str">
        <f t="shared" si="2"/>
        <v>https://github.com/SF-Bancoppel/mx-api-bc-pro-party-reference-data-directory</v>
      </c>
      <c r="T447" s="40"/>
      <c r="U447" s="22"/>
      <c r="V447" s="40"/>
      <c r="W447" s="40"/>
      <c r="X447" s="40"/>
      <c r="Y447" s="40"/>
      <c r="Z447" s="22"/>
      <c r="AA447" s="22"/>
      <c r="AB447" s="22"/>
    </row>
    <row r="448" ht="18.75" customHeight="1">
      <c r="A448" s="79" t="str">
        <f t="array" ref="A448">IFERROR(
  INDEX(
    'api-register-id'!A:A,
    MATCH(F448, 'api-register-id'!B:B, 0)
  ),
  "Not found Organization"
)</f>
        <v>SSFF</v>
      </c>
      <c r="B448" s="65" t="str">
        <f>IFERROR(VLOOKUP(F448, 'api-register-id'!B:F, 4, FALSE), "Not found path.")</f>
        <v>mx-api-bc-pro-party-reference-data-directory</v>
      </c>
      <c r="C448" s="184" t="s">
        <v>41</v>
      </c>
      <c r="D448" s="184" t="s">
        <v>811</v>
      </c>
      <c r="E448" s="81" t="str">
        <f>IFERROR(VLOOKUP(F448, 'api-register-id'!B:F, 5, FALSE), "Not found path.")</f>
        <v>APIMX000097</v>
      </c>
      <c r="F448" s="82" t="s">
        <v>1222</v>
      </c>
      <c r="G448" s="83" t="s">
        <v>4404</v>
      </c>
      <c r="H448" s="65" t="s">
        <v>4405</v>
      </c>
      <c r="I448" s="84" t="str">
        <f>IFERROR(VLOOKUP(F448, 'api-register-id'!B:I, 8, FALSE), "Not found path.")</f>
        <v>1.8.1</v>
      </c>
      <c r="J448" s="85" t="s">
        <v>3395</v>
      </c>
      <c r="K448" s="81" t="s">
        <v>48</v>
      </c>
      <c r="L448" s="184" t="s">
        <v>49</v>
      </c>
      <c r="M448" s="85" t="s">
        <v>1544</v>
      </c>
      <c r="N448" s="85" t="str">
        <f t="shared" si="1"/>
        <v>POST /system/customerManagement/partyReferenceDataDirectory/v1/partyReferenceDataDirectoryEntry/register</v>
      </c>
      <c r="O448" s="86" t="s">
        <v>1545</v>
      </c>
      <c r="P448" s="86"/>
      <c r="Q448" s="87" t="s">
        <v>98</v>
      </c>
      <c r="R448" s="81" t="s">
        <v>56</v>
      </c>
      <c r="S448" s="88" t="str">
        <f t="shared" si="2"/>
        <v>https://github.com/SF-Bancoppel/mx-api-bc-pro-party-reference-data-directory</v>
      </c>
      <c r="T448" s="66"/>
      <c r="U448" s="22"/>
      <c r="V448" s="40"/>
      <c r="W448" s="40"/>
      <c r="X448" s="40"/>
      <c r="Y448" s="40"/>
      <c r="Z448" s="22"/>
      <c r="AA448" s="22"/>
      <c r="AB448" s="22"/>
    </row>
    <row r="449" ht="18.75" customHeight="1">
      <c r="A449" s="18" t="str">
        <f t="array" ref="A449">IFERROR(
  INDEX(
    'api-register-id'!A:A,
    MATCH(F449, 'api-register-id'!B:B, 0)
  ),
  "Not found Organization"
)</f>
        <v>SSFF</v>
      </c>
      <c r="B449" s="22" t="str">
        <f>IFERROR(VLOOKUP(F449, 'api-register-id'!B:F, 4, FALSE), "Not found path.")</f>
        <v>mx-api-cpp-pro-party-retail-reference-data-directory</v>
      </c>
      <c r="C449" s="78" t="s">
        <v>41</v>
      </c>
      <c r="D449" s="78" t="s">
        <v>811</v>
      </c>
      <c r="E449" s="24" t="str">
        <f>IFERROR(VLOOKUP(F449, 'api-register-id'!B:F, 5, FALSE), "Not found path.")</f>
        <v>APIMX000098</v>
      </c>
      <c r="F449" s="25" t="s">
        <v>1234</v>
      </c>
      <c r="G449" s="26" t="s">
        <v>4406</v>
      </c>
      <c r="H449" s="3" t="s">
        <v>4407</v>
      </c>
      <c r="I449" s="29" t="str">
        <f>IFERROR(VLOOKUP(F449, 'api-register-id'!B:I, 8, FALSE), "Not found path.")</f>
        <v>1.1.1</v>
      </c>
      <c r="J449" s="3" t="s">
        <v>4408</v>
      </c>
      <c r="K449" s="31" t="s">
        <v>48</v>
      </c>
      <c r="L449" s="78" t="s">
        <v>49</v>
      </c>
      <c r="M449" s="3" t="s">
        <v>1594</v>
      </c>
      <c r="N449" s="3" t="str">
        <f t="shared" si="1"/>
        <v>POST /system/partyReference/partyRetailReferenceDataDirectory/v1/partyRetailReferenceDataDirectoryEntry/retrieve</v>
      </c>
      <c r="O449" s="32" t="s">
        <v>4409</v>
      </c>
      <c r="P449" s="32"/>
      <c r="Q449" s="61" t="s">
        <v>4410</v>
      </c>
      <c r="R449" s="31" t="s">
        <v>56</v>
      </c>
      <c r="S449" s="38" t="str">
        <f t="shared" si="2"/>
        <v>https://github.com/SF-Bancoppel/mx-api-cpp-pro-party-retail-reference-data-directory</v>
      </c>
      <c r="T449" s="40"/>
      <c r="U449" s="22"/>
      <c r="V449" s="40"/>
      <c r="W449" s="40"/>
      <c r="X449" s="40"/>
      <c r="Y449" s="40"/>
      <c r="Z449" s="22"/>
      <c r="AA449" s="22"/>
      <c r="AB449" s="22"/>
    </row>
    <row r="450" ht="18.75" customHeight="1">
      <c r="A450" s="18" t="str">
        <f t="array" ref="A450">IFERROR(
  INDEX(
    'api-register-id'!A:A,
    MATCH(F450, 'api-register-id'!B:B, 0)
  ),
  "Not found Organization"
)</f>
        <v>SSFF</v>
      </c>
      <c r="B450" s="22" t="str">
        <f>IFERROR(VLOOKUP(F450, 'api-register-id'!B:F, 4, FALSE), "Not found path.")</f>
        <v>mx-api-cpp-pro-party-retail-reference-data-directory</v>
      </c>
      <c r="C450" s="78" t="s">
        <v>41</v>
      </c>
      <c r="D450" s="78" t="s">
        <v>811</v>
      </c>
      <c r="E450" s="24" t="str">
        <f>IFERROR(VLOOKUP(F450, 'api-register-id'!B:F, 5, FALSE), "Not found path.")</f>
        <v>APIMX000098</v>
      </c>
      <c r="F450" s="25" t="s">
        <v>1234</v>
      </c>
      <c r="G450" s="26" t="s">
        <v>4411</v>
      </c>
      <c r="H450" s="3" t="s">
        <v>4412</v>
      </c>
      <c r="I450" s="29" t="str">
        <f>IFERROR(VLOOKUP(F450, 'api-register-id'!B:I, 8, FALSE), "Not found path.")</f>
        <v>1.1.1</v>
      </c>
      <c r="J450" s="3" t="s">
        <v>4408</v>
      </c>
      <c r="K450" s="31" t="s">
        <v>48</v>
      </c>
      <c r="L450" s="78" t="s">
        <v>49</v>
      </c>
      <c r="M450" s="3" t="s">
        <v>1602</v>
      </c>
      <c r="N450" s="3" t="str">
        <f t="shared" si="1"/>
        <v>POST /system/partyReference/partyRetailReferenceDataDirectory/v1/partyRetailReferenceDataDirectoryEntry/evaluate</v>
      </c>
      <c r="O450" s="32" t="s">
        <v>4409</v>
      </c>
      <c r="P450" s="32"/>
      <c r="Q450" s="61" t="s">
        <v>98</v>
      </c>
      <c r="R450" s="31" t="s">
        <v>56</v>
      </c>
      <c r="S450" s="38" t="str">
        <f t="shared" si="2"/>
        <v>https://github.com/SF-Bancoppel/mx-api-cpp-pro-party-retail-reference-data-directory</v>
      </c>
      <c r="T450" s="40"/>
      <c r="U450" s="22"/>
      <c r="V450" s="40"/>
      <c r="W450" s="40"/>
      <c r="X450" s="40"/>
      <c r="Y450" s="40"/>
      <c r="Z450" s="22"/>
      <c r="AA450" s="22"/>
      <c r="AB450" s="22"/>
    </row>
    <row r="451" ht="18.75" customHeight="1">
      <c r="A451" s="18" t="str">
        <f t="array" ref="A451">IFERROR(
  INDEX(
    'api-register-id'!A:A,
    MATCH(F451, 'api-register-id'!B:B, 0)
  ),
  "Not found Organization"
)</f>
        <v>SSFF</v>
      </c>
      <c r="B451" s="22" t="str">
        <f>IFERROR(VLOOKUP(F451, 'api-register-id'!B:F, 4, FALSE), "Not found path.")</f>
        <v>mx-api-cpp-pro-party-retail-reference-data-directory</v>
      </c>
      <c r="C451" s="78" t="s">
        <v>41</v>
      </c>
      <c r="D451" s="78" t="s">
        <v>811</v>
      </c>
      <c r="E451" s="24" t="str">
        <f>IFERROR(VLOOKUP(F451, 'api-register-id'!B:F, 5, FALSE), "Not found path.")</f>
        <v>APIMX000098</v>
      </c>
      <c r="F451" s="25" t="s">
        <v>1234</v>
      </c>
      <c r="G451" s="26" t="s">
        <v>4413</v>
      </c>
      <c r="H451" s="3" t="s">
        <v>4414</v>
      </c>
      <c r="I451" s="29" t="str">
        <f>IFERROR(VLOOKUP(F451, 'api-register-id'!B:I, 8, FALSE), "Not found path.")</f>
        <v>1.1.1</v>
      </c>
      <c r="J451" s="3" t="s">
        <v>4408</v>
      </c>
      <c r="K451" s="31" t="s">
        <v>48</v>
      </c>
      <c r="L451" s="78" t="s">
        <v>61</v>
      </c>
      <c r="M451" s="3" t="s">
        <v>1609</v>
      </c>
      <c r="N451" s="3" t="str">
        <f t="shared" si="1"/>
        <v>PUT /system/partyReference/partyRetailReferenceDataDirectory/v1/creditProfile/capture</v>
      </c>
      <c r="O451" s="32" t="s">
        <v>1610</v>
      </c>
      <c r="P451" s="32"/>
      <c r="Q451" s="61" t="s">
        <v>4415</v>
      </c>
      <c r="R451" s="31" t="s">
        <v>56</v>
      </c>
      <c r="S451" s="38" t="str">
        <f t="shared" si="2"/>
        <v>https://github.com/SF-Bancoppel/mx-api-cpp-pro-party-retail-reference-data-directory</v>
      </c>
      <c r="T451" s="40"/>
      <c r="U451" s="22"/>
      <c r="V451" s="40"/>
      <c r="W451" s="40"/>
      <c r="X451" s="40"/>
      <c r="Y451" s="40"/>
      <c r="Z451" s="22"/>
      <c r="AA451" s="22"/>
      <c r="AB451" s="22"/>
    </row>
    <row r="452" ht="18.75" customHeight="1">
      <c r="A452" s="18" t="str">
        <f t="array" ref="A452">IFERROR(
  INDEX(
    'api-register-id'!A:A,
    MATCH(F452, 'api-register-id'!B:B, 0)
  ),
  "Not found Organization"
)</f>
        <v>SSFF</v>
      </c>
      <c r="B452" s="22" t="str">
        <f>IFERROR(VLOOKUP(F452, 'api-register-id'!B:F, 4, FALSE), "Not found path.")</f>
        <v>mx-api-bc-pro-payment-execution</v>
      </c>
      <c r="C452" s="23" t="s">
        <v>41</v>
      </c>
      <c r="D452" s="23" t="s">
        <v>811</v>
      </c>
      <c r="E452" s="24" t="str">
        <f>IFERROR(VLOOKUP(F452, 'api-register-id'!B:F, 5, FALSE), "Not found path.")</f>
        <v>APIMX000099</v>
      </c>
      <c r="F452" s="25" t="s">
        <v>1243</v>
      </c>
      <c r="G452" s="26" t="s">
        <v>4416</v>
      </c>
      <c r="H452" s="22" t="s">
        <v>3462</v>
      </c>
      <c r="I452" s="29" t="str">
        <f>IFERROR(VLOOKUP(F452, 'api-register-id'!B:I, 8, FALSE), "Not found path.")</f>
        <v>1.0.1</v>
      </c>
      <c r="J452" s="3" t="s">
        <v>3463</v>
      </c>
      <c r="K452" s="31" t="s">
        <v>48</v>
      </c>
      <c r="L452" s="23" t="s">
        <v>49</v>
      </c>
      <c r="M452" s="3" t="s">
        <v>1615</v>
      </c>
      <c r="N452" s="3" t="str">
        <f t="shared" si="1"/>
        <v>POST /system/payments/paymentExecution/v1/paymentTransactionProcedure/retrieve</v>
      </c>
      <c r="O452" s="32" t="s">
        <v>1616</v>
      </c>
      <c r="P452" s="32"/>
      <c r="Q452" s="61" t="s">
        <v>98</v>
      </c>
      <c r="R452" s="31" t="s">
        <v>56</v>
      </c>
      <c r="S452" s="38" t="str">
        <f t="shared" si="2"/>
        <v>https://github.com/SF-Bancoppel/mx-api-bc-pro-payment-execution</v>
      </c>
      <c r="T452" s="40"/>
      <c r="U452" s="22"/>
      <c r="V452" s="40"/>
      <c r="W452" s="40"/>
      <c r="X452" s="40"/>
      <c r="Y452" s="40"/>
      <c r="Z452" s="22"/>
      <c r="AA452" s="22"/>
      <c r="AB452" s="22"/>
    </row>
    <row r="453" ht="18.75" customHeight="1">
      <c r="A453" s="18" t="str">
        <f t="array" ref="A453">IFERROR(
  INDEX(
    'api-register-id'!A:A,
    MATCH(F453, 'api-register-id'!B:B, 0)
  ),
  "Not found Organization"
)</f>
        <v>SSFF</v>
      </c>
      <c r="B453" s="22" t="str">
        <f>IFERROR(VLOOKUP(F453, 'api-register-id'!B:F, 4, FALSE), "Not found path.")</f>
        <v>mx-api-bc-pro-payment-execution</v>
      </c>
      <c r="C453" s="23" t="s">
        <v>41</v>
      </c>
      <c r="D453" s="23" t="s">
        <v>811</v>
      </c>
      <c r="E453" s="24" t="str">
        <f>IFERROR(VLOOKUP(F453, 'api-register-id'!B:F, 5, FALSE), "Not found path.")</f>
        <v>APIMX000099</v>
      </c>
      <c r="F453" s="25" t="s">
        <v>1243</v>
      </c>
      <c r="G453" s="26" t="s">
        <v>4417</v>
      </c>
      <c r="H453" s="22" t="s">
        <v>3468</v>
      </c>
      <c r="I453" s="29" t="str">
        <f>IFERROR(VLOOKUP(F453, 'api-register-id'!B:I, 8, FALSE), "Not found path.")</f>
        <v>1.0.1</v>
      </c>
      <c r="J453" s="3" t="s">
        <v>3463</v>
      </c>
      <c r="K453" s="31" t="s">
        <v>48</v>
      </c>
      <c r="L453" s="23" t="s">
        <v>49</v>
      </c>
      <c r="M453" s="3" t="s">
        <v>1622</v>
      </c>
      <c r="N453" s="3" t="str">
        <f t="shared" si="1"/>
        <v>POST /system/payments/paymentExecution/v1/paymentExecutionTransaction/evaluate</v>
      </c>
      <c r="O453" s="32" t="s">
        <v>1623</v>
      </c>
      <c r="P453" s="32"/>
      <c r="Q453" s="61" t="s">
        <v>98</v>
      </c>
      <c r="R453" s="31" t="s">
        <v>56</v>
      </c>
      <c r="S453" s="38" t="str">
        <f t="shared" si="2"/>
        <v>https://github.com/SF-Bancoppel/mx-api-bc-pro-payment-execution</v>
      </c>
      <c r="T453" s="40"/>
      <c r="U453" s="22"/>
      <c r="V453" s="40"/>
      <c r="W453" s="40"/>
      <c r="X453" s="40"/>
      <c r="Y453" s="40"/>
      <c r="Z453" s="22"/>
      <c r="AA453" s="22"/>
      <c r="AB453" s="22"/>
    </row>
    <row r="454" ht="18.75" customHeight="1">
      <c r="A454" s="18" t="str">
        <f t="array" ref="A454">IFERROR(
  INDEX(
    'api-register-id'!A:A,
    MATCH(F454, 'api-register-id'!B:B, 0)
  ),
  "Not found Organization"
)</f>
        <v>SSFF</v>
      </c>
      <c r="B454" s="22" t="str">
        <f>IFERROR(VLOOKUP(F454, 'api-register-id'!B:F, 4, FALSE), "Not found path.")</f>
        <v>mx-api-bc-pro-payment-execution</v>
      </c>
      <c r="C454" s="23" t="s">
        <v>41</v>
      </c>
      <c r="D454" s="23" t="s">
        <v>811</v>
      </c>
      <c r="E454" s="24" t="str">
        <f>IFERROR(VLOOKUP(F454, 'api-register-id'!B:F, 5, FALSE), "Not found path.")</f>
        <v>APIMX000099</v>
      </c>
      <c r="F454" s="25" t="s">
        <v>1243</v>
      </c>
      <c r="G454" s="26" t="s">
        <v>4418</v>
      </c>
      <c r="H454" s="22" t="s">
        <v>3475</v>
      </c>
      <c r="I454" s="29" t="str">
        <f>IFERROR(VLOOKUP(F454, 'api-register-id'!B:I, 8, FALSE), "Not found path.")</f>
        <v>1.0.1</v>
      </c>
      <c r="J454" s="3" t="s">
        <v>3463</v>
      </c>
      <c r="K454" s="31" t="s">
        <v>48</v>
      </c>
      <c r="L454" s="23" t="s">
        <v>428</v>
      </c>
      <c r="M454" s="3" t="s">
        <v>1627</v>
      </c>
      <c r="N454" s="3" t="str">
        <f t="shared" si="1"/>
        <v>PATCH /system/payments/paymentExecution/v1/paymentTransactionProcedure/update</v>
      </c>
      <c r="O454" s="32" t="s">
        <v>1628</v>
      </c>
      <c r="P454" s="32"/>
      <c r="Q454" s="61" t="s">
        <v>98</v>
      </c>
      <c r="R454" s="31" t="s">
        <v>56</v>
      </c>
      <c r="S454" s="38" t="str">
        <f t="shared" si="2"/>
        <v>https://github.com/SF-Bancoppel/mx-api-bc-pro-payment-execution</v>
      </c>
      <c r="T454" s="40"/>
      <c r="U454" s="22"/>
      <c r="V454" s="40"/>
      <c r="W454" s="40"/>
      <c r="X454" s="40"/>
      <c r="Y454" s="40"/>
      <c r="Z454" s="22"/>
      <c r="AA454" s="22"/>
      <c r="AB454" s="22"/>
    </row>
    <row r="455" ht="18.75" customHeight="1">
      <c r="A455" s="18" t="str">
        <f t="array" ref="A455">IFERROR(
  INDEX(
    'api-register-id'!A:A,
    MATCH(F455, 'api-register-id'!B:B, 0)
  ),
  "Not found Organization"
)</f>
        <v>SSFF</v>
      </c>
      <c r="B455" s="22" t="str">
        <f>IFERROR(VLOOKUP(F455, 'api-register-id'!B:F, 4, FALSE), "Not found path.")</f>
        <v>mx-api-bc-pro-payment-execution</v>
      </c>
      <c r="C455" s="23" t="s">
        <v>41</v>
      </c>
      <c r="D455" s="23" t="s">
        <v>811</v>
      </c>
      <c r="E455" s="24" t="str">
        <f>IFERROR(VLOOKUP(F455, 'api-register-id'!B:F, 5, FALSE), "Not found path.")</f>
        <v>APIMX000099</v>
      </c>
      <c r="F455" s="25" t="s">
        <v>1243</v>
      </c>
      <c r="G455" s="26" t="s">
        <v>4419</v>
      </c>
      <c r="H455" s="22" t="s">
        <v>3478</v>
      </c>
      <c r="I455" s="29" t="str">
        <f>IFERROR(VLOOKUP(F455, 'api-register-id'!B:I, 8, FALSE), "Not found path.")</f>
        <v>1.0.1</v>
      </c>
      <c r="J455" s="3" t="s">
        <v>3463</v>
      </c>
      <c r="K455" s="31" t="s">
        <v>48</v>
      </c>
      <c r="L455" s="23" t="s">
        <v>49</v>
      </c>
      <c r="M455" s="3" t="s">
        <v>1639</v>
      </c>
      <c r="N455" s="3" t="str">
        <f t="shared" si="1"/>
        <v>POST /system/payments/paymentExecution/v1/paymentExecutionProcedure/initiate</v>
      </c>
      <c r="O455" s="32" t="s">
        <v>1640</v>
      </c>
      <c r="P455" s="32"/>
      <c r="Q455" s="61" t="s">
        <v>4420</v>
      </c>
      <c r="R455" s="31" t="s">
        <v>56</v>
      </c>
      <c r="S455" s="38" t="str">
        <f t="shared" si="2"/>
        <v>https://github.com/SF-Bancoppel/mx-api-bc-pro-payment-execution</v>
      </c>
      <c r="T455" s="40"/>
      <c r="U455" s="22"/>
      <c r="V455" s="40"/>
      <c r="W455" s="40"/>
      <c r="X455" s="40"/>
      <c r="Y455" s="40"/>
      <c r="Z455" s="22"/>
      <c r="AA455" s="22"/>
      <c r="AB455" s="22"/>
    </row>
    <row r="456" ht="18.75" customHeight="1">
      <c r="A456" s="18" t="str">
        <f t="array" ref="A456">IFERROR(
  INDEX(
    'api-register-id'!A:A,
    MATCH(F456, 'api-register-id'!B:B, 0)
  ),
  "Not found Organization"
)</f>
        <v>SSFF</v>
      </c>
      <c r="B456" s="22" t="str">
        <f>IFERROR(VLOOKUP(F456, 'api-register-id'!B:F, 4, FALSE), "Not found path.")</f>
        <v>mx-api-bc-pro-payment-execution</v>
      </c>
      <c r="C456" s="23" t="s">
        <v>41</v>
      </c>
      <c r="D456" s="23" t="s">
        <v>811</v>
      </c>
      <c r="E456" s="24" t="str">
        <f>IFERROR(VLOOKUP(F456, 'api-register-id'!B:F, 5, FALSE), "Not found path.")</f>
        <v>APIMX000099</v>
      </c>
      <c r="F456" s="25" t="s">
        <v>1243</v>
      </c>
      <c r="G456" s="26" t="s">
        <v>4421</v>
      </c>
      <c r="H456" s="22" t="s">
        <v>3483</v>
      </c>
      <c r="I456" s="29" t="str">
        <f>IFERROR(VLOOKUP(F456, 'api-register-id'!B:I, 8, FALSE), "Not found path.")</f>
        <v>1.0.1</v>
      </c>
      <c r="J456" s="3" t="s">
        <v>3463</v>
      </c>
      <c r="K456" s="31" t="s">
        <v>48</v>
      </c>
      <c r="L456" s="23" t="s">
        <v>49</v>
      </c>
      <c r="M456" s="3" t="s">
        <v>1633</v>
      </c>
      <c r="N456" s="3" t="str">
        <f t="shared" si="1"/>
        <v>POST /system/payments/paymentExecution/v1/paymentExecution/initiate</v>
      </c>
      <c r="O456" s="32" t="s">
        <v>1634</v>
      </c>
      <c r="P456" s="32"/>
      <c r="Q456" s="61" t="s">
        <v>4422</v>
      </c>
      <c r="R456" s="31" t="s">
        <v>56</v>
      </c>
      <c r="S456" s="38" t="str">
        <f t="shared" si="2"/>
        <v>https://github.com/SF-Bancoppel/mx-api-bc-pro-payment-execution</v>
      </c>
      <c r="T456" s="40"/>
      <c r="U456" s="22"/>
      <c r="V456" s="40"/>
      <c r="W456" s="40"/>
      <c r="X456" s="40"/>
      <c r="Y456" s="40"/>
      <c r="Z456" s="22"/>
      <c r="AA456" s="22"/>
      <c r="AB456" s="22"/>
    </row>
    <row r="457" ht="18.75" customHeight="1">
      <c r="A457" s="18" t="str">
        <f t="array" ref="A457">IFERROR(
  INDEX(
    'api-register-id'!A:A,
    MATCH(F457, 'api-register-id'!B:B, 0)
  ),
  "Not found Organization"
)</f>
        <v>SSFF</v>
      </c>
      <c r="B457" s="22" t="str">
        <f>IFERROR(VLOOKUP(F457, 'api-register-id'!B:F, 4, FALSE), "Not found path.")</f>
        <v>mx-api-bc-pro-payment-order</v>
      </c>
      <c r="C457" s="23" t="s">
        <v>41</v>
      </c>
      <c r="D457" s="23" t="s">
        <v>811</v>
      </c>
      <c r="E457" s="24" t="str">
        <f>IFERROR(VLOOKUP(F457, 'api-register-id'!B:F, 5, FALSE), "Not found path.")</f>
        <v>APIMX000100</v>
      </c>
      <c r="F457" s="25" t="s">
        <v>1256</v>
      </c>
      <c r="G457" s="26" t="s">
        <v>4423</v>
      </c>
      <c r="H457" s="22" t="s">
        <v>3488</v>
      </c>
      <c r="I457" s="29" t="str">
        <f>IFERROR(VLOOKUP(F457, 'api-register-id'!B:I, 8, FALSE), "Not found path.")</f>
        <v>1.0.0</v>
      </c>
      <c r="J457" s="3" t="s">
        <v>3489</v>
      </c>
      <c r="K457" s="31" t="s">
        <v>48</v>
      </c>
      <c r="L457" s="23" t="s">
        <v>61</v>
      </c>
      <c r="M457" s="3" t="s">
        <v>1647</v>
      </c>
      <c r="N457" s="3" t="str">
        <f t="shared" si="1"/>
        <v>PUT /system/payments/paymentOrder/v1/orderConfirmation/update</v>
      </c>
      <c r="O457" s="32" t="s">
        <v>1648</v>
      </c>
      <c r="P457" s="32"/>
      <c r="Q457" s="61" t="s">
        <v>98</v>
      </c>
      <c r="R457" s="31" t="s">
        <v>56</v>
      </c>
      <c r="S457" s="38" t="str">
        <f t="shared" si="2"/>
        <v>https://github.com/SF-Bancoppel/mx-api-bc-pro-payment-order</v>
      </c>
      <c r="T457" s="40"/>
      <c r="U457" s="22"/>
      <c r="V457" s="40"/>
      <c r="W457" s="40"/>
      <c r="X457" s="40"/>
      <c r="Y457" s="40"/>
      <c r="Z457" s="22"/>
      <c r="AA457" s="22"/>
      <c r="AB457" s="22"/>
    </row>
    <row r="458" ht="18.75" customHeight="1">
      <c r="A458" s="18" t="str">
        <f t="array" ref="A458">IFERROR(
  INDEX(
    'api-register-id'!A:A,
    MATCH(F458, 'api-register-id'!B:B, 0)
  ),
  "Not found Organization"
)</f>
        <v>SSFF</v>
      </c>
      <c r="B458" s="22" t="str">
        <f>IFERROR(VLOOKUP(F458, 'api-register-id'!B:F, 4, FALSE), "Not found path.")</f>
        <v>mx-api-bc-pro-payment-order</v>
      </c>
      <c r="C458" s="23" t="s">
        <v>41</v>
      </c>
      <c r="D458" s="23" t="s">
        <v>811</v>
      </c>
      <c r="E458" s="24" t="str">
        <f>IFERROR(VLOOKUP(F458, 'api-register-id'!B:F, 5, FALSE), "Not found path.")</f>
        <v>APIMX000100</v>
      </c>
      <c r="F458" s="25" t="s">
        <v>1256</v>
      </c>
      <c r="G458" s="26" t="s">
        <v>4424</v>
      </c>
      <c r="H458" s="22" t="s">
        <v>3495</v>
      </c>
      <c r="I458" s="29" t="str">
        <f>IFERROR(VLOOKUP(F458, 'api-register-id'!B:I, 8, FALSE), "Not found path.")</f>
        <v>1.0.0</v>
      </c>
      <c r="J458" s="3" t="s">
        <v>3489</v>
      </c>
      <c r="K458" s="31" t="s">
        <v>48</v>
      </c>
      <c r="L458" s="23" t="s">
        <v>49</v>
      </c>
      <c r="M458" s="3" t="s">
        <v>1654</v>
      </c>
      <c r="N458" s="3" t="str">
        <f t="shared" si="1"/>
        <v>POST /system/payments/paymentOrder/v1/paymentOrderProcedure/retrieve</v>
      </c>
      <c r="O458" s="32" t="s">
        <v>1655</v>
      </c>
      <c r="P458" s="32"/>
      <c r="Q458" s="61" t="s">
        <v>98</v>
      </c>
      <c r="R458" s="31" t="s">
        <v>56</v>
      </c>
      <c r="S458" s="38" t="str">
        <f t="shared" si="2"/>
        <v>https://github.com/SF-Bancoppel/mx-api-bc-pro-payment-order</v>
      </c>
      <c r="T458" s="40"/>
      <c r="U458" s="22"/>
      <c r="V458" s="22"/>
      <c r="W458" s="22"/>
      <c r="X458" s="22"/>
      <c r="Y458" s="40"/>
      <c r="Z458" s="22"/>
      <c r="AA458" s="22"/>
      <c r="AB458" s="22"/>
    </row>
    <row r="459" ht="18.75" customHeight="1">
      <c r="A459" s="18" t="str">
        <f t="array" ref="A459">IFERROR(
  INDEX(
    'api-register-id'!A:A,
    MATCH(F459, 'api-register-id'!B:B, 0)
  ),
  "Not found Organization"
)</f>
        <v>SSFF</v>
      </c>
      <c r="B459" s="22" t="str">
        <f>IFERROR(VLOOKUP(F459, 'api-register-id'!B:F, 4, FALSE), "Not found path.")</f>
        <v>mx-api-bc-pro-payment-order</v>
      </c>
      <c r="C459" s="23" t="s">
        <v>41</v>
      </c>
      <c r="D459" s="23" t="s">
        <v>811</v>
      </c>
      <c r="E459" s="24" t="str">
        <f>IFERROR(VLOOKUP(F459, 'api-register-id'!B:F, 5, FALSE), "Not found path.")</f>
        <v>APIMX000100</v>
      </c>
      <c r="F459" s="25" t="s">
        <v>1256</v>
      </c>
      <c r="G459" s="26" t="s">
        <v>4425</v>
      </c>
      <c r="H459" s="22" t="s">
        <v>3498</v>
      </c>
      <c r="I459" s="29" t="str">
        <f>IFERROR(VLOOKUP(F459, 'api-register-id'!B:I, 8, FALSE), "Not found path.")</f>
        <v>1.0.0</v>
      </c>
      <c r="J459" s="3" t="s">
        <v>3489</v>
      </c>
      <c r="K459" s="31" t="s">
        <v>48</v>
      </c>
      <c r="L459" s="23" t="s">
        <v>61</v>
      </c>
      <c r="M459" s="3" t="s">
        <v>1659</v>
      </c>
      <c r="N459" s="3" t="str">
        <f t="shared" si="1"/>
        <v>PUT /system/payments/paymentOrder/v1/paymentOrderProcedure/update</v>
      </c>
      <c r="O459" s="32" t="s">
        <v>1660</v>
      </c>
      <c r="P459" s="32"/>
      <c r="Q459" s="61" t="s">
        <v>98</v>
      </c>
      <c r="R459" s="31" t="s">
        <v>56</v>
      </c>
      <c r="S459" s="38" t="str">
        <f t="shared" si="2"/>
        <v>https://github.com/SF-Bancoppel/mx-api-bc-pro-payment-order</v>
      </c>
      <c r="T459" s="40"/>
      <c r="U459" s="22"/>
      <c r="V459" s="40"/>
      <c r="W459" s="40"/>
      <c r="X459" s="40"/>
      <c r="Y459" s="40"/>
      <c r="Z459" s="22"/>
      <c r="AA459" s="22"/>
      <c r="AB459" s="22"/>
    </row>
    <row r="460" ht="18.75" customHeight="1">
      <c r="A460" s="18" t="str">
        <f t="array" ref="A460">IFERROR(
  INDEX(
    'api-register-id'!A:A,
    MATCH(F460, 'api-register-id'!B:B, 0)
  ),
  "Not found Organization"
)</f>
        <v>SSFF</v>
      </c>
      <c r="B460" s="22" t="str">
        <f>IFERROR(VLOOKUP(F460, 'api-register-id'!B:F, 4, FALSE), "Not found path.")</f>
        <v>mx-api-bc-pro-payment-order</v>
      </c>
      <c r="C460" s="23" t="s">
        <v>41</v>
      </c>
      <c r="D460" s="23" t="s">
        <v>811</v>
      </c>
      <c r="E460" s="24" t="str">
        <f>IFERROR(VLOOKUP(F460, 'api-register-id'!B:F, 5, FALSE), "Not found path.")</f>
        <v>APIMX000100</v>
      </c>
      <c r="F460" s="25" t="s">
        <v>1256</v>
      </c>
      <c r="G460" s="26" t="s">
        <v>4426</v>
      </c>
      <c r="H460" s="22" t="s">
        <v>3501</v>
      </c>
      <c r="I460" s="29" t="str">
        <f>IFERROR(VLOOKUP(F460, 'api-register-id'!B:I, 8, FALSE), "Not found path.")</f>
        <v>1.0.0</v>
      </c>
      <c r="J460" s="3" t="s">
        <v>3489</v>
      </c>
      <c r="K460" s="31" t="s">
        <v>48</v>
      </c>
      <c r="L460" s="23" t="s">
        <v>61</v>
      </c>
      <c r="M460" s="3" t="s">
        <v>1665</v>
      </c>
      <c r="N460" s="3" t="str">
        <f t="shared" si="1"/>
        <v>PUT /system/payments/paymentOrder/v1/transactionAssigment/control</v>
      </c>
      <c r="O460" s="32" t="s">
        <v>1666</v>
      </c>
      <c r="P460" s="32"/>
      <c r="Q460" s="61" t="s">
        <v>98</v>
      </c>
      <c r="R460" s="31" t="s">
        <v>56</v>
      </c>
      <c r="S460" s="38" t="str">
        <f t="shared" si="2"/>
        <v>https://github.com/SF-Bancoppel/mx-api-bc-pro-payment-order</v>
      </c>
      <c r="T460" s="40"/>
      <c r="U460" s="22"/>
      <c r="V460" s="40"/>
      <c r="W460" s="40"/>
      <c r="X460" s="40"/>
      <c r="Y460" s="40"/>
      <c r="Z460" s="22"/>
      <c r="AA460" s="22"/>
      <c r="AB460" s="22"/>
    </row>
    <row r="461" ht="18.75" customHeight="1">
      <c r="A461" s="18" t="str">
        <f t="array" ref="A461">IFERROR(
  INDEX(
    'api-register-id'!A:A,
    MATCH(F461, 'api-register-id'!B:B, 0)
  ),
  "Not found Organization"
)</f>
        <v>SSFF</v>
      </c>
      <c r="B461" s="22" t="str">
        <f>IFERROR(VLOOKUP(F461, 'api-register-id'!B:F, 4, FALSE), "Not found path.")</f>
        <v>mx-api-bc-pro-payment-order</v>
      </c>
      <c r="C461" s="23" t="s">
        <v>41</v>
      </c>
      <c r="D461" s="23" t="s">
        <v>811</v>
      </c>
      <c r="E461" s="24" t="str">
        <f>IFERROR(VLOOKUP(F461, 'api-register-id'!B:F, 5, FALSE), "Not found path.")</f>
        <v>APIMX000100</v>
      </c>
      <c r="F461" s="25" t="s">
        <v>1256</v>
      </c>
      <c r="G461" s="26" t="s">
        <v>4427</v>
      </c>
      <c r="H461" s="22" t="s">
        <v>3507</v>
      </c>
      <c r="I461" s="29" t="str">
        <f>IFERROR(VLOOKUP(F461, 'api-register-id'!B:I, 8, FALSE), "Not found path.")</f>
        <v>1.0.0</v>
      </c>
      <c r="J461" s="3" t="s">
        <v>3489</v>
      </c>
      <c r="K461" s="31" t="s">
        <v>48</v>
      </c>
      <c r="L461" s="23" t="s">
        <v>61</v>
      </c>
      <c r="M461" s="3" t="s">
        <v>1672</v>
      </c>
      <c r="N461" s="3" t="str">
        <f t="shared" si="1"/>
        <v>PUT /system/payments/paymentOrder/v1/orderConfirmation/execute</v>
      </c>
      <c r="O461" s="32" t="s">
        <v>1674</v>
      </c>
      <c r="P461" s="32"/>
      <c r="Q461" s="61" t="s">
        <v>98</v>
      </c>
      <c r="R461" s="31" t="s">
        <v>56</v>
      </c>
      <c r="S461" s="38" t="str">
        <f t="shared" si="2"/>
        <v>https://github.com/SF-Bancoppel/mx-api-bc-pro-payment-order</v>
      </c>
      <c r="T461" s="40"/>
      <c r="U461" s="22"/>
      <c r="V461" s="40"/>
      <c r="W461" s="40"/>
      <c r="X461" s="40"/>
      <c r="Y461" s="40"/>
      <c r="Z461" s="22"/>
      <c r="AA461" s="22"/>
      <c r="AB461" s="22"/>
    </row>
    <row r="462" ht="18.75" customHeight="1">
      <c r="A462" s="18" t="str">
        <f t="array" ref="A462">IFERROR(
  INDEX(
    'api-register-id'!A:A,
    MATCH(F462, 'api-register-id'!B:B, 0)
  ),
  "Not found Organization"
)</f>
        <v>SSFF</v>
      </c>
      <c r="B462" s="22" t="str">
        <f>IFERROR(VLOOKUP(F462, 'api-register-id'!B:F, 4, FALSE), "Not found path.")</f>
        <v>mx-api-bc-pro-payment-order</v>
      </c>
      <c r="C462" s="23" t="s">
        <v>41</v>
      </c>
      <c r="D462" s="23" t="s">
        <v>811</v>
      </c>
      <c r="E462" s="24" t="str">
        <f>IFERROR(VLOOKUP(F462, 'api-register-id'!B:F, 5, FALSE), "Not found path.")</f>
        <v>APIMX000100</v>
      </c>
      <c r="F462" s="25" t="s">
        <v>1256</v>
      </c>
      <c r="G462" s="26" t="s">
        <v>4428</v>
      </c>
      <c r="H462" s="22" t="s">
        <v>3514</v>
      </c>
      <c r="I462" s="29" t="str">
        <f>IFERROR(VLOOKUP(F462, 'api-register-id'!B:I, 8, FALSE), "Not found path.")</f>
        <v>1.0.0</v>
      </c>
      <c r="J462" s="3" t="s">
        <v>3489</v>
      </c>
      <c r="K462" s="31" t="s">
        <v>48</v>
      </c>
      <c r="L462" s="23" t="s">
        <v>49</v>
      </c>
      <c r="M462" s="3" t="s">
        <v>82</v>
      </c>
      <c r="N462" s="3" t="str">
        <f t="shared" si="1"/>
        <v>POST /system/payments/paymentOrder/v1/paymentOrderProcedure/initiate</v>
      </c>
      <c r="O462" s="32" t="s">
        <v>83</v>
      </c>
      <c r="P462" s="32"/>
      <c r="Q462" s="61" t="s">
        <v>98</v>
      </c>
      <c r="R462" s="31" t="s">
        <v>56</v>
      </c>
      <c r="S462" s="38" t="str">
        <f t="shared" si="2"/>
        <v>https://github.com/SF-Bancoppel/mx-api-bc-pro-payment-order</v>
      </c>
      <c r="T462" s="40"/>
      <c r="U462" s="22"/>
      <c r="V462" s="40"/>
      <c r="W462" s="40"/>
      <c r="X462" s="40"/>
      <c r="Y462" s="40"/>
      <c r="Z462" s="22"/>
      <c r="AA462" s="22"/>
      <c r="AB462" s="22"/>
    </row>
    <row r="463" ht="18.75" customHeight="1">
      <c r="A463" s="18" t="str">
        <f t="array" ref="A463">IFERROR(
  INDEX(
    'api-register-id'!A:A,
    MATCH(F463, 'api-register-id'!B:B, 0)
  ),
  "Not found Organization"
)</f>
        <v>SSFF</v>
      </c>
      <c r="B463" s="22" t="str">
        <f>IFERROR(VLOOKUP(F463, 'api-register-id'!B:F, 4, FALSE), "Not found path.")</f>
        <v>mx-api-bc-pro-payment-order</v>
      </c>
      <c r="C463" s="23" t="s">
        <v>41</v>
      </c>
      <c r="D463" s="23" t="s">
        <v>811</v>
      </c>
      <c r="E463" s="24" t="str">
        <f>IFERROR(VLOOKUP(F463, 'api-register-id'!B:F, 5, FALSE), "Not found path.")</f>
        <v>APIMX000100</v>
      </c>
      <c r="F463" s="25" t="s">
        <v>1256</v>
      </c>
      <c r="G463" s="26" t="s">
        <v>4434</v>
      </c>
      <c r="H463" s="22" t="s">
        <v>3519</v>
      </c>
      <c r="I463" s="29" t="str">
        <f>IFERROR(VLOOKUP(F463, 'api-register-id'!B:I, 8, FALSE), "Not found path.")</f>
        <v>1.0.0</v>
      </c>
      <c r="J463" s="3" t="s">
        <v>3489</v>
      </c>
      <c r="K463" s="31" t="s">
        <v>48</v>
      </c>
      <c r="L463" s="23" t="s">
        <v>49</v>
      </c>
      <c r="M463" s="3" t="s">
        <v>1682</v>
      </c>
      <c r="N463" s="3" t="str">
        <f t="shared" si="1"/>
        <v>POST /system/payments/paymentOrder/v1/paymentOrderFees/initiate</v>
      </c>
      <c r="O463" s="32" t="s">
        <v>1683</v>
      </c>
      <c r="P463" s="32"/>
      <c r="Q463" s="61" t="s">
        <v>98</v>
      </c>
      <c r="R463" s="31" t="s">
        <v>56</v>
      </c>
      <c r="S463" s="38" t="str">
        <f t="shared" si="2"/>
        <v>https://github.com/SF-Bancoppel/mx-api-bc-pro-payment-order</v>
      </c>
      <c r="T463" s="40"/>
      <c r="U463" s="22"/>
      <c r="V463" s="40"/>
      <c r="W463" s="40"/>
      <c r="X463" s="40"/>
      <c r="Y463" s="40"/>
      <c r="Z463" s="22"/>
      <c r="AA463" s="22"/>
      <c r="AB463" s="22"/>
    </row>
    <row r="464" ht="18.75" customHeight="1">
      <c r="A464" s="18" t="str">
        <f t="array" ref="A464">IFERROR(
  INDEX(
    'api-register-id'!A:A,
    MATCH(F464, 'api-register-id'!B:B, 0)
  ),
  "Not found Organization"
)</f>
        <v>SSFF</v>
      </c>
      <c r="B464" s="22" t="str">
        <f>IFERROR(VLOOKUP(F464, 'api-register-id'!B:F, 4, FALSE), "Not found path.")</f>
        <v>mx-api-bc-pro-payment-order</v>
      </c>
      <c r="C464" s="23" t="s">
        <v>41</v>
      </c>
      <c r="D464" s="23" t="s">
        <v>811</v>
      </c>
      <c r="E464" s="24" t="str">
        <f>IFERROR(VLOOKUP(F464, 'api-register-id'!B:F, 5, FALSE), "Not found path.")</f>
        <v>APIMX000100</v>
      </c>
      <c r="F464" s="25" t="s">
        <v>1256</v>
      </c>
      <c r="G464" s="26" t="s">
        <v>4450</v>
      </c>
      <c r="H464" s="22" t="s">
        <v>3524</v>
      </c>
      <c r="I464" s="29" t="str">
        <f>IFERROR(VLOOKUP(F464, 'api-register-id'!B:I, 8, FALSE), "Not found path.")</f>
        <v>1.0.0</v>
      </c>
      <c r="J464" s="3" t="s">
        <v>3489</v>
      </c>
      <c r="K464" s="31" t="s">
        <v>48</v>
      </c>
      <c r="L464" s="23" t="s">
        <v>49</v>
      </c>
      <c r="M464" s="3" t="s">
        <v>3525</v>
      </c>
      <c r="N464" s="3" t="str">
        <f t="shared" si="1"/>
        <v>POST /system/payments/paymentOrder/v1/paymentOrderFees/evaluate</v>
      </c>
      <c r="O464" s="32" t="s">
        <v>1683</v>
      </c>
      <c r="P464" s="32"/>
      <c r="Q464" s="61" t="s">
        <v>98</v>
      </c>
      <c r="R464" s="31" t="s">
        <v>56</v>
      </c>
      <c r="S464" s="38" t="str">
        <f t="shared" si="2"/>
        <v>https://github.com/SF-Bancoppel/mx-api-bc-pro-payment-order</v>
      </c>
      <c r="T464" s="40"/>
      <c r="U464" s="22"/>
      <c r="V464" s="40"/>
      <c r="W464" s="40"/>
      <c r="X464" s="40"/>
      <c r="Y464" s="40"/>
      <c r="Z464" s="22"/>
      <c r="AA464" s="22"/>
      <c r="AB464" s="22"/>
    </row>
    <row r="465" ht="18.75" customHeight="1">
      <c r="A465" s="18" t="str">
        <f t="array" ref="A465">IFERROR(
  INDEX(
    'api-register-id'!A:A,
    MATCH(F465, 'api-register-id'!B:B, 0)
  ),
  "Not found Organization"
)</f>
        <v>SSFF</v>
      </c>
      <c r="B465" s="22" t="str">
        <f>IFERROR(VLOOKUP(F465, 'api-register-id'!B:F, 4, FALSE), "Not found path.")</f>
        <v>mx-api-bc-pro-payment-order</v>
      </c>
      <c r="C465" s="23" t="s">
        <v>41</v>
      </c>
      <c r="D465" s="23" t="s">
        <v>811</v>
      </c>
      <c r="E465" s="24" t="str">
        <f>IFERROR(VLOOKUP(F465, 'api-register-id'!B:F, 5, FALSE), "Not found path.")</f>
        <v>APIMX000100</v>
      </c>
      <c r="F465" s="25" t="s">
        <v>1256</v>
      </c>
      <c r="G465" s="26" t="s">
        <v>4451</v>
      </c>
      <c r="H465" s="22" t="s">
        <v>3530</v>
      </c>
      <c r="I465" s="29" t="str">
        <f>IFERROR(VLOOKUP(F465, 'api-register-id'!B:I, 8, FALSE), "Not found path.")</f>
        <v>1.0.0</v>
      </c>
      <c r="J465" s="3" t="s">
        <v>3489</v>
      </c>
      <c r="K465" s="31" t="s">
        <v>48</v>
      </c>
      <c r="L465" s="23" t="s">
        <v>428</v>
      </c>
      <c r="M465" s="3" t="s">
        <v>1699</v>
      </c>
      <c r="N465" s="3" t="str">
        <f t="shared" si="1"/>
        <v>PATCH /system/payments/paymentOrder/v1/paymentOrderFees/execute</v>
      </c>
      <c r="O465" s="32" t="s">
        <v>1702</v>
      </c>
      <c r="P465" s="32"/>
      <c r="Q465" s="61" t="s">
        <v>98</v>
      </c>
      <c r="R465" s="31" t="s">
        <v>56</v>
      </c>
      <c r="S465" s="38" t="str">
        <f t="shared" si="2"/>
        <v>https://github.com/SF-Bancoppel/mx-api-bc-pro-payment-order</v>
      </c>
      <c r="T465" s="40"/>
      <c r="U465" s="22"/>
      <c r="V465" s="40"/>
      <c r="W465" s="40"/>
      <c r="X465" s="40"/>
      <c r="Y465" s="40"/>
      <c r="Z465" s="22"/>
      <c r="AA465" s="22"/>
      <c r="AB465" s="22"/>
    </row>
    <row r="466" ht="18.75" customHeight="1">
      <c r="A466" s="18" t="str">
        <f t="array" ref="A466">IFERROR(
  INDEX(
    'api-register-id'!A:A,
    MATCH(F466, 'api-register-id'!B:B, 0)
  ),
  "Not found Organization"
)</f>
        <v>SSFF</v>
      </c>
      <c r="B466" s="22" t="str">
        <f>IFERROR(VLOOKUP(F466, 'api-register-id'!B:F, 4, FALSE), "Not found path.")</f>
        <v>mx-api-bc-pro-payment-order</v>
      </c>
      <c r="C466" s="23" t="s">
        <v>41</v>
      </c>
      <c r="D466" s="23" t="s">
        <v>811</v>
      </c>
      <c r="E466" s="24" t="str">
        <f>IFERROR(VLOOKUP(F466, 'api-register-id'!B:F, 5, FALSE), "Not found path.")</f>
        <v>APIMX000100</v>
      </c>
      <c r="F466" s="25" t="s">
        <v>1256</v>
      </c>
      <c r="G466" s="26" t="s">
        <v>4452</v>
      </c>
      <c r="H466" s="22" t="s">
        <v>3535</v>
      </c>
      <c r="I466" s="29" t="str">
        <f>IFERROR(VLOOKUP(F466, 'api-register-id'!B:I, 8, FALSE), "Not found path.")</f>
        <v>1.0.0</v>
      </c>
      <c r="J466" s="3" t="s">
        <v>3489</v>
      </c>
      <c r="K466" s="31" t="s">
        <v>48</v>
      </c>
      <c r="L466" s="23" t="s">
        <v>49</v>
      </c>
      <c r="M466" s="3" t="s">
        <v>1686</v>
      </c>
      <c r="N466" s="3" t="str">
        <f t="shared" si="1"/>
        <v>POST /system/payments/paymentOrder/v1/executionInitiation/register</v>
      </c>
      <c r="O466" s="32" t="s">
        <v>1687</v>
      </c>
      <c r="P466" s="32"/>
      <c r="Q466" s="61" t="s">
        <v>98</v>
      </c>
      <c r="R466" s="31" t="s">
        <v>56</v>
      </c>
      <c r="S466" s="38" t="str">
        <f t="shared" si="2"/>
        <v>https://github.com/SF-Bancoppel/mx-api-bc-pro-payment-order</v>
      </c>
      <c r="T466" s="40"/>
      <c r="U466" s="22"/>
      <c r="V466" s="40"/>
      <c r="W466" s="40"/>
      <c r="X466" s="40"/>
      <c r="Y466" s="40"/>
      <c r="Z466" s="22"/>
      <c r="AA466" s="22"/>
      <c r="AB466" s="22"/>
    </row>
    <row r="467" ht="18.75" customHeight="1">
      <c r="A467" s="18" t="str">
        <f t="array" ref="A467">IFERROR(
  INDEX(
    'api-register-id'!A:A,
    MATCH(F467, 'api-register-id'!B:B, 0)
  ),
  "Not found Organization"
)</f>
        <v>SSFF</v>
      </c>
      <c r="B467" s="22" t="str">
        <f>IFERROR(VLOOKUP(F467, 'api-register-id'!B:F, 4, FALSE), "Not found path.")</f>
        <v>mx-api-bc-pro-payment-order</v>
      </c>
      <c r="C467" s="23" t="s">
        <v>41</v>
      </c>
      <c r="D467" s="23" t="s">
        <v>811</v>
      </c>
      <c r="E467" s="24" t="str">
        <f>IFERROR(VLOOKUP(F467, 'api-register-id'!B:F, 5, FALSE), "Not found path.")</f>
        <v>APIMX000100</v>
      </c>
      <c r="F467" s="25" t="s">
        <v>1256</v>
      </c>
      <c r="G467" s="26" t="s">
        <v>4453</v>
      </c>
      <c r="H467" s="22" t="s">
        <v>3541</v>
      </c>
      <c r="I467" s="29" t="str">
        <f>IFERROR(VLOOKUP(F467, 'api-register-id'!B:I, 8, FALSE), "Not found path.")</f>
        <v>1.0.0</v>
      </c>
      <c r="J467" s="3" t="s">
        <v>3489</v>
      </c>
      <c r="K467" s="31" t="s">
        <v>48</v>
      </c>
      <c r="L467" s="23" t="s">
        <v>49</v>
      </c>
      <c r="M467" s="3" t="s">
        <v>1693</v>
      </c>
      <c r="N467" s="3" t="str">
        <f t="shared" si="1"/>
        <v>POST /system/payments/paymentOrder/v1/withdrawals/initiate</v>
      </c>
      <c r="O467" s="32" t="s">
        <v>1694</v>
      </c>
      <c r="P467" s="32"/>
      <c r="Q467" s="61" t="s">
        <v>4422</v>
      </c>
      <c r="R467" s="31" t="s">
        <v>56</v>
      </c>
      <c r="S467" s="38" t="str">
        <f t="shared" si="2"/>
        <v>https://github.com/SF-Bancoppel/mx-api-bc-pro-payment-order</v>
      </c>
      <c r="T467" s="40"/>
      <c r="U467" s="22"/>
      <c r="V467" s="40"/>
      <c r="W467" s="40"/>
      <c r="X467" s="40"/>
      <c r="Y467" s="40"/>
      <c r="Z467" s="22"/>
      <c r="AA467" s="22"/>
      <c r="AB467" s="22"/>
    </row>
    <row r="468" ht="18.75" customHeight="1">
      <c r="A468" s="18" t="str">
        <f t="array" ref="A468">IFERROR(
  INDEX(
    'api-register-id'!A:A,
    MATCH(F468, 'api-register-id'!B:B, 0)
  ),
  "Not found Organization"
)</f>
        <v>SSFF</v>
      </c>
      <c r="B468" s="22" t="str">
        <f>IFERROR(VLOOKUP(F468, 'api-register-id'!B:F, 4, FALSE), "Not found path.")</f>
        <v>mx-api-bc-pro-payment-rail-operations</v>
      </c>
      <c r="C468" s="23" t="s">
        <v>41</v>
      </c>
      <c r="D468" s="23" t="s">
        <v>811</v>
      </c>
      <c r="E468" s="24" t="str">
        <f>IFERROR(VLOOKUP(F468, 'api-register-id'!B:F, 5, FALSE), "Not found path.")</f>
        <v>APIMX000101</v>
      </c>
      <c r="F468" s="25" t="s">
        <v>1270</v>
      </c>
      <c r="G468" s="26" t="s">
        <v>4454</v>
      </c>
      <c r="H468" s="22" t="s">
        <v>3548</v>
      </c>
      <c r="I468" s="29" t="str">
        <f>IFERROR(VLOOKUP(F468, 'api-register-id'!B:I, 8, FALSE), "Not found path.")</f>
        <v>1.0.0</v>
      </c>
      <c r="J468" s="3" t="s">
        <v>3549</v>
      </c>
      <c r="K468" s="31" t="s">
        <v>48</v>
      </c>
      <c r="L468" s="23" t="s">
        <v>49</v>
      </c>
      <c r="M468" s="3" t="s">
        <v>1706</v>
      </c>
      <c r="N468" s="3" t="str">
        <f t="shared" si="1"/>
        <v>POST /system/clearingAndSettlement/paymentRailOperations/v1/thirdPartyPayments/retrieve</v>
      </c>
      <c r="O468" s="32" t="s">
        <v>1707</v>
      </c>
      <c r="P468" s="32" t="s">
        <v>3553</v>
      </c>
      <c r="Q468" s="61" t="s">
        <v>98</v>
      </c>
      <c r="R468" s="31" t="s">
        <v>56</v>
      </c>
      <c r="S468" s="38" t="str">
        <f t="shared" si="2"/>
        <v>https://github.com/SF-Bancoppel/mx-api-bc-pro-payment-rail-operations</v>
      </c>
      <c r="T468" s="40"/>
      <c r="U468" s="22"/>
      <c r="V468" s="40"/>
      <c r="W468" s="40"/>
      <c r="X468" s="40"/>
      <c r="Y468" s="40"/>
      <c r="Z468" s="22"/>
      <c r="AA468" s="22"/>
      <c r="AB468" s="22"/>
    </row>
    <row r="469" ht="18.75" customHeight="1">
      <c r="A469" s="18" t="str">
        <f t="array" ref="A469">IFERROR(
  INDEX(
    'api-register-id'!A:A,
    MATCH(F469, 'api-register-id'!B:B, 0)
  ),
  "Not found Organization"
)</f>
        <v>SSFF</v>
      </c>
      <c r="B469" s="22" t="str">
        <f>IFERROR(VLOOKUP(F469, 'api-register-id'!B:F, 4, FALSE), "Not found path.")</f>
        <v>mx-api-bc-pro-platform-operations</v>
      </c>
      <c r="C469" s="23" t="s">
        <v>41</v>
      </c>
      <c r="D469" s="23" t="s">
        <v>811</v>
      </c>
      <c r="E469" s="24" t="str">
        <f>IFERROR(VLOOKUP(F469, 'api-register-id'!B:F, 5, FALSE), "Not found path.")</f>
        <v>APIMX000102</v>
      </c>
      <c r="F469" s="25" t="s">
        <v>1277</v>
      </c>
      <c r="G469" s="26" t="s">
        <v>4455</v>
      </c>
      <c r="H469" s="22" t="s">
        <v>3557</v>
      </c>
      <c r="I469" s="29" t="str">
        <f>IFERROR(VLOOKUP(F469, 'api-register-id'!B:I, 8, FALSE), "Not found path.")</f>
        <v>1.1.0</v>
      </c>
      <c r="J469" s="3" t="s">
        <v>3558</v>
      </c>
      <c r="K469" s="31" t="s">
        <v>48</v>
      </c>
      <c r="L469" s="23" t="s">
        <v>49</v>
      </c>
      <c r="M469" s="3" t="s">
        <v>1715</v>
      </c>
      <c r="N469" s="3" t="str">
        <f t="shared" si="1"/>
        <v>POST /system/iTManagement/platformOperations/v1/platformOperationFacility/initiate</v>
      </c>
      <c r="O469" s="32" t="s">
        <v>1716</v>
      </c>
      <c r="P469" s="32"/>
      <c r="Q469" s="61" t="s">
        <v>98</v>
      </c>
      <c r="R469" s="31" t="s">
        <v>56</v>
      </c>
      <c r="S469" s="38" t="str">
        <f t="shared" si="2"/>
        <v>https://github.com/SF-Bancoppel/mx-api-bc-pro-platform-operations</v>
      </c>
      <c r="T469" s="40"/>
      <c r="U469" s="22"/>
      <c r="V469" s="40"/>
      <c r="W469" s="40"/>
      <c r="X469" s="40"/>
      <c r="Y469" s="40"/>
      <c r="Z469" s="22"/>
      <c r="AA469" s="22"/>
      <c r="AB469" s="22"/>
    </row>
    <row r="470" ht="18.75" customHeight="1">
      <c r="A470" s="18" t="str">
        <f t="array" ref="A470">IFERROR(
  INDEX(
    'api-register-id'!A:A,
    MATCH(F470, 'api-register-id'!B:B, 0)
  ),
  "Not found Organization"
)</f>
        <v>SSFF</v>
      </c>
      <c r="B470" s="22" t="str">
        <f>IFERROR(VLOOKUP(F470, 'api-register-id'!B:F, 4, FALSE), "Not found path.")</f>
        <v>mx-api-bc-pro-position-keeping</v>
      </c>
      <c r="C470" s="23" t="s">
        <v>41</v>
      </c>
      <c r="D470" s="23" t="s">
        <v>811</v>
      </c>
      <c r="E470" s="24" t="str">
        <f>IFERROR(VLOOKUP(F470, 'api-register-id'!B:F, 5, FALSE), "Not found path.")</f>
        <v>APIMX000103</v>
      </c>
      <c r="F470" s="25" t="s">
        <v>1290</v>
      </c>
      <c r="G470" s="26" t="s">
        <v>4456</v>
      </c>
      <c r="H470" s="22" t="s">
        <v>3564</v>
      </c>
      <c r="I470" s="29" t="str">
        <f>IFERROR(VLOOKUP(F470, 'api-register-id'!B:I, 8, FALSE), "Not found path.")</f>
        <v>1.1.0</v>
      </c>
      <c r="J470" s="3" t="s">
        <v>3565</v>
      </c>
      <c r="K470" s="31" t="s">
        <v>48</v>
      </c>
      <c r="L470" s="23" t="s">
        <v>428</v>
      </c>
      <c r="M470" s="3" t="s">
        <v>1720</v>
      </c>
      <c r="N470" s="3" t="str">
        <f t="shared" si="1"/>
        <v>PATCH /system/accountManagement/positionKeeping/v1/statementFacility/update</v>
      </c>
      <c r="O470" s="32" t="s">
        <v>1721</v>
      </c>
      <c r="P470" s="32"/>
      <c r="Q470" s="61" t="s">
        <v>98</v>
      </c>
      <c r="R470" s="31" t="s">
        <v>56</v>
      </c>
      <c r="S470" s="38" t="str">
        <f t="shared" si="2"/>
        <v>https://github.com/SF-Bancoppel/mx-api-bc-pro-position-keeping</v>
      </c>
      <c r="T470" s="40"/>
      <c r="U470" s="22"/>
      <c r="V470" s="40"/>
      <c r="W470" s="40"/>
      <c r="X470" s="40"/>
      <c r="Y470" s="40"/>
      <c r="Z470" s="22"/>
      <c r="AA470" s="22"/>
      <c r="AB470" s="22"/>
    </row>
    <row r="471" ht="18.75" customHeight="1">
      <c r="A471" s="18" t="str">
        <f t="array" ref="A471">IFERROR(
  INDEX(
    'api-register-id'!A:A,
    MATCH(F471, 'api-register-id'!B:B, 0)
  ),
  "Not found Organization"
)</f>
        <v>SSFF</v>
      </c>
      <c r="B471" s="22" t="str">
        <f>IFERROR(VLOOKUP(F471, 'api-register-id'!B:F, 4, FALSE), "Not found path.")</f>
        <v>mx-api-bc-pro-position-keeping</v>
      </c>
      <c r="C471" s="23" t="s">
        <v>41</v>
      </c>
      <c r="D471" s="23" t="s">
        <v>811</v>
      </c>
      <c r="E471" s="24" t="str">
        <f>IFERROR(VLOOKUP(F471, 'api-register-id'!B:F, 5, FALSE), "Not found path.")</f>
        <v>APIMX000103</v>
      </c>
      <c r="F471" s="25" t="s">
        <v>1290</v>
      </c>
      <c r="G471" s="26" t="s">
        <v>4457</v>
      </c>
      <c r="H471" s="22" t="s">
        <v>4458</v>
      </c>
      <c r="I471" s="29" t="str">
        <f>IFERROR(VLOOKUP(F471, 'api-register-id'!B:I, 8, FALSE), "Not found path.")</f>
        <v>1.1.0</v>
      </c>
      <c r="J471" s="3" t="s">
        <v>3565</v>
      </c>
      <c r="K471" s="31" t="s">
        <v>48</v>
      </c>
      <c r="L471" s="23" t="s">
        <v>49</v>
      </c>
      <c r="M471" s="3" t="s">
        <v>1727</v>
      </c>
      <c r="N471" s="3" t="str">
        <f t="shared" si="1"/>
        <v>POST /system/accountManagement/positionKeeping/v1/productFacility/evaluate</v>
      </c>
      <c r="O471" s="32" t="s">
        <v>1728</v>
      </c>
      <c r="P471" s="32"/>
      <c r="Q471" s="61" t="s">
        <v>98</v>
      </c>
      <c r="R471" s="31" t="s">
        <v>56</v>
      </c>
      <c r="S471" s="38" t="str">
        <f t="shared" si="2"/>
        <v>https://github.com/SF-Bancoppel/mx-api-bc-pro-position-keeping</v>
      </c>
      <c r="T471" s="40"/>
      <c r="U471" s="22"/>
      <c r="V471" s="40"/>
      <c r="W471" s="40"/>
      <c r="X471" s="40"/>
      <c r="Y471" s="40"/>
      <c r="Z471" s="22"/>
      <c r="AA471" s="22"/>
      <c r="AB471" s="22"/>
    </row>
    <row r="472" ht="18.75" customHeight="1">
      <c r="A472" s="18" t="str">
        <f t="array" ref="A472">IFERROR(
  INDEX(
    'api-register-id'!A:A,
    MATCH(F472, 'api-register-id'!B:B, 0)
  ),
  "Not found Organization"
)</f>
        <v>SSFF</v>
      </c>
      <c r="B472" s="22" t="str">
        <f>IFERROR(VLOOKUP(F472, 'api-register-id'!B:F, 4, FALSE), "Not found path.")</f>
        <v>mx-api-bc-pro-product-directory</v>
      </c>
      <c r="C472" s="23" t="s">
        <v>41</v>
      </c>
      <c r="D472" s="23" t="s">
        <v>811</v>
      </c>
      <c r="E472" s="24" t="str">
        <f>IFERROR(VLOOKUP(F472, 'api-register-id'!B:F, 5, FALSE), "Not found path.")</f>
        <v>APIMX000104</v>
      </c>
      <c r="F472" s="25" t="s">
        <v>1299</v>
      </c>
      <c r="G472" s="26" t="s">
        <v>4459</v>
      </c>
      <c r="H472" s="22" t="s">
        <v>4460</v>
      </c>
      <c r="I472" s="29" t="str">
        <f>IFERROR(VLOOKUP(F472, 'api-register-id'!B:I, 8, FALSE), "Not found path.")</f>
        <v>1.0.0</v>
      </c>
      <c r="J472" s="3" t="s">
        <v>4461</v>
      </c>
      <c r="K472" s="31" t="s">
        <v>48</v>
      </c>
      <c r="L472" s="23" t="s">
        <v>49</v>
      </c>
      <c r="M472" s="3" t="s">
        <v>1732</v>
      </c>
      <c r="N472" s="3" t="str">
        <f t="shared" si="1"/>
        <v>POST /system/productManagement/productDirectory/v1/productDirectoryEntry/retrieve</v>
      </c>
      <c r="O472" s="32" t="s">
        <v>1733</v>
      </c>
      <c r="P472" s="32"/>
      <c r="Q472" s="61" t="s">
        <v>98</v>
      </c>
      <c r="R472" s="31" t="s">
        <v>56</v>
      </c>
      <c r="S472" s="38" t="str">
        <f t="shared" si="2"/>
        <v>https://github.com/SF-Bancoppel/mx-api-bc-pro-product-directory</v>
      </c>
      <c r="T472" s="40"/>
      <c r="U472" s="22"/>
      <c r="V472" s="40"/>
      <c r="W472" s="40"/>
      <c r="X472" s="40"/>
      <c r="Y472" s="40"/>
      <c r="Z472" s="22"/>
      <c r="AA472" s="22"/>
      <c r="AB472" s="22"/>
    </row>
    <row r="473" ht="18.75" customHeight="1">
      <c r="A473" s="18" t="str">
        <f t="array" ref="A473">IFERROR(
  INDEX(
    'api-register-id'!A:A,
    MATCH(F473, 'api-register-id'!B:B, 0)
  ),
  "Not found Organization"
)</f>
        <v>SSFF</v>
      </c>
      <c r="B473" s="22" t="str">
        <f>IFERROR(VLOOKUP(F473, 'api-register-id'!B:F, 4, FALSE), "Not found path.")</f>
        <v>mx-api-bc-pro-product-directory</v>
      </c>
      <c r="C473" s="23" t="s">
        <v>41</v>
      </c>
      <c r="D473" s="23" t="s">
        <v>811</v>
      </c>
      <c r="E473" s="24" t="str">
        <f>IFERROR(VLOOKUP(F473, 'api-register-id'!B:F, 5, FALSE), "Not found path.")</f>
        <v>APIMX000104</v>
      </c>
      <c r="F473" s="25" t="s">
        <v>1299</v>
      </c>
      <c r="G473" s="26" t="s">
        <v>4462</v>
      </c>
      <c r="H473" s="22" t="s">
        <v>4463</v>
      </c>
      <c r="I473" s="29" t="str">
        <f>IFERROR(VLOOKUP(F473, 'api-register-id'!B:I, 8, FALSE), "Not found path.")</f>
        <v>1.0.0</v>
      </c>
      <c r="J473" s="3" t="s">
        <v>4461</v>
      </c>
      <c r="K473" s="31" t="s">
        <v>48</v>
      </c>
      <c r="L473" s="23" t="s">
        <v>49</v>
      </c>
      <c r="M473" s="3" t="s">
        <v>1739</v>
      </c>
      <c r="N473" s="3" t="str">
        <f t="shared" si="1"/>
        <v>POST /system/productManagement/productDirectory/v1/interestProductFeature/retrieve</v>
      </c>
      <c r="O473" s="32" t="s">
        <v>1740</v>
      </c>
      <c r="P473" s="32"/>
      <c r="Q473" s="61" t="s">
        <v>98</v>
      </c>
      <c r="R473" s="31" t="s">
        <v>56</v>
      </c>
      <c r="S473" s="38" t="str">
        <f t="shared" si="2"/>
        <v>https://github.com/SF-Bancoppel/mx-api-bc-pro-product-directory</v>
      </c>
      <c r="T473" s="40"/>
      <c r="U473" s="22"/>
      <c r="V473" s="40"/>
      <c r="W473" s="40"/>
      <c r="X473" s="40"/>
      <c r="Y473" s="40"/>
      <c r="Z473" s="22"/>
      <c r="AA473" s="22"/>
      <c r="AB473" s="22"/>
    </row>
    <row r="474" ht="18.75" customHeight="1">
      <c r="A474" s="18" t="str">
        <f t="array" ref="A474">IFERROR(
  INDEX(
    'api-register-id'!A:A,
    MATCH(F474, 'api-register-id'!B:B, 0)
  ),
  "Not found Organization"
)</f>
        <v>SSFF</v>
      </c>
      <c r="B474" s="22" t="str">
        <f>IFERROR(VLOOKUP(F474, 'api-register-id'!B:F, 4, FALSE), "Not found path.")</f>
        <v>mx-api-bc-pro-product-directory</v>
      </c>
      <c r="C474" s="23" t="s">
        <v>41</v>
      </c>
      <c r="D474" s="23" t="s">
        <v>811</v>
      </c>
      <c r="E474" s="24" t="str">
        <f>IFERROR(VLOOKUP(F474, 'api-register-id'!B:F, 5, FALSE), "Not found path.")</f>
        <v>APIMX000104</v>
      </c>
      <c r="F474" s="25" t="s">
        <v>1299</v>
      </c>
      <c r="G474" s="26" t="s">
        <v>4464</v>
      </c>
      <c r="H474" s="22" t="s">
        <v>4465</v>
      </c>
      <c r="I474" s="29" t="str">
        <f>IFERROR(VLOOKUP(F474, 'api-register-id'!B:I, 8, FALSE), "Not found path.")</f>
        <v>1.0.0</v>
      </c>
      <c r="J474" s="3" t="s">
        <v>4461</v>
      </c>
      <c r="K474" s="31" t="s">
        <v>48</v>
      </c>
      <c r="L474" s="23" t="s">
        <v>49</v>
      </c>
      <c r="M474" s="3" t="s">
        <v>346</v>
      </c>
      <c r="N474" s="3" t="str">
        <f t="shared" si="1"/>
        <v>POST /system/productManagement/productDirectory/v1/lifeInsurance/retrieve</v>
      </c>
      <c r="O474" s="32" t="s">
        <v>348</v>
      </c>
      <c r="P474" s="32"/>
      <c r="Q474" s="61" t="s">
        <v>98</v>
      </c>
      <c r="R474" s="31" t="s">
        <v>56</v>
      </c>
      <c r="S474" s="38" t="str">
        <f t="shared" si="2"/>
        <v>https://github.com/SF-Bancoppel/mx-api-bc-pro-product-directory</v>
      </c>
      <c r="T474" s="40"/>
      <c r="U474" s="40"/>
      <c r="V474" s="40"/>
      <c r="W474" s="40"/>
      <c r="X474" s="40"/>
      <c r="Y474" s="40"/>
      <c r="Z474" s="40"/>
      <c r="AA474" s="40"/>
      <c r="AB474" s="40"/>
    </row>
    <row r="475" ht="18.75" customHeight="1">
      <c r="A475" s="18" t="str">
        <f t="array" ref="A475">IFERROR(
  INDEX(
    'api-register-id'!A:A,
    MATCH(F475, 'api-register-id'!B:B, 0)
  ),
  "Not found Organization"
)</f>
        <v>SSFF</v>
      </c>
      <c r="B475" s="22" t="str">
        <f>IFERROR(VLOOKUP(F475, 'api-register-id'!B:F, 4, FALSE), "Not found path.")</f>
        <v>mx-api-bc-pro-product-matching</v>
      </c>
      <c r="C475" s="23" t="s">
        <v>41</v>
      </c>
      <c r="D475" s="23" t="s">
        <v>811</v>
      </c>
      <c r="E475" s="24" t="str">
        <f>IFERROR(VLOOKUP(F475, 'api-register-id'!B:F, 5, FALSE), "Not found path.")</f>
        <v>APIMX000105</v>
      </c>
      <c r="F475" s="25" t="s">
        <v>1310</v>
      </c>
      <c r="G475" s="26" t="s">
        <v>4466</v>
      </c>
      <c r="H475" s="22" t="s">
        <v>4467</v>
      </c>
      <c r="I475" s="29" t="str">
        <f>IFERROR(VLOOKUP(F475, 'api-register-id'!B:I, 8, FALSE), "Not found path.")</f>
        <v>1.0.0</v>
      </c>
      <c r="J475" s="3" t="s">
        <v>4468</v>
      </c>
      <c r="K475" s="31" t="s">
        <v>48</v>
      </c>
      <c r="L475" s="23" t="s">
        <v>49</v>
      </c>
      <c r="M475" s="3" t="s">
        <v>1751</v>
      </c>
      <c r="N475" s="3" t="str">
        <f t="shared" si="1"/>
        <v>POST /system/sales/productMatching/v1/productEligibility/retrieve</v>
      </c>
      <c r="O475" s="32" t="s">
        <v>1752</v>
      </c>
      <c r="P475" s="32"/>
      <c r="Q475" s="61" t="s">
        <v>98</v>
      </c>
      <c r="R475" s="31" t="s">
        <v>56</v>
      </c>
      <c r="S475" s="38" t="str">
        <f t="shared" si="2"/>
        <v>https://github.com/SF-Bancoppel/mx-api-bc-pro-product-matching</v>
      </c>
      <c r="T475" s="40"/>
      <c r="U475" s="40"/>
      <c r="V475" s="40"/>
      <c r="W475" s="40"/>
      <c r="X475" s="40"/>
      <c r="Y475" s="40"/>
      <c r="Z475" s="40"/>
      <c r="AA475" s="40"/>
      <c r="AB475" s="40"/>
    </row>
    <row r="476" ht="18.75" customHeight="1">
      <c r="A476" s="18" t="str">
        <f t="array" ref="A476">IFERROR(
  INDEX(
    'api-register-id'!A:A,
    MATCH(F476, 'api-register-id'!B:B, 0)
  ),
  "Not found Organization"
)</f>
        <v>SSFF</v>
      </c>
      <c r="B476" s="22" t="str">
        <f>IFERROR(VLOOKUP(F476, 'api-register-id'!B:F, 4, FALSE), "Not found path.")</f>
        <v>mx-api-bc-pro-product-matching</v>
      </c>
      <c r="C476" s="23" t="s">
        <v>41</v>
      </c>
      <c r="D476" s="23" t="s">
        <v>811</v>
      </c>
      <c r="E476" s="24" t="str">
        <f>IFERROR(VLOOKUP(F476, 'api-register-id'!B:F, 5, FALSE), "Not found path.")</f>
        <v>APIMX000105</v>
      </c>
      <c r="F476" s="25" t="s">
        <v>1310</v>
      </c>
      <c r="G476" s="26" t="s">
        <v>4469</v>
      </c>
      <c r="H476" s="22" t="s">
        <v>4470</v>
      </c>
      <c r="I476" s="29" t="str">
        <f>IFERROR(VLOOKUP(F476, 'api-register-id'!B:I, 8, FALSE), "Not found path.")</f>
        <v>1.0.0</v>
      </c>
      <c r="J476" s="3" t="s">
        <v>4468</v>
      </c>
      <c r="K476" s="31" t="s">
        <v>48</v>
      </c>
      <c r="L476" s="23" t="s">
        <v>61</v>
      </c>
      <c r="M476" s="3" t="s">
        <v>1756</v>
      </c>
      <c r="N476" s="3" t="str">
        <f t="shared" si="1"/>
        <v>PUT /system/sales/productMatching/v1/productEligibility/update</v>
      </c>
      <c r="O476" s="32" t="s">
        <v>1757</v>
      </c>
      <c r="P476" s="32"/>
      <c r="Q476" s="61" t="s">
        <v>98</v>
      </c>
      <c r="R476" s="31" t="s">
        <v>56</v>
      </c>
      <c r="S476" s="38" t="str">
        <f t="shared" si="2"/>
        <v>https://github.com/SF-Bancoppel/mx-api-bc-pro-product-matching</v>
      </c>
      <c r="T476" s="40"/>
      <c r="U476" s="40"/>
      <c r="V476" s="40"/>
      <c r="W476" s="40"/>
      <c r="X476" s="40"/>
      <c r="Y476" s="40"/>
      <c r="Z476" s="40"/>
      <c r="AA476" s="40"/>
      <c r="AB476" s="40"/>
    </row>
    <row r="477" ht="18.75" customHeight="1">
      <c r="A477" s="18" t="str">
        <f t="array" ref="A477">IFERROR(
  INDEX(
    'api-register-id'!A:A,
    MATCH(F477, 'api-register-id'!B:B, 0)
  ),
  "Not found Organization"
)</f>
        <v>SSFF</v>
      </c>
      <c r="B477" s="22" t="str">
        <f>IFERROR(VLOOKUP(F477, 'api-register-id'!B:F, 4, FALSE), "Not found path.")</f>
        <v>mx-api-bc-pro-product-matching</v>
      </c>
      <c r="C477" s="23" t="s">
        <v>41</v>
      </c>
      <c r="D477" s="23" t="s">
        <v>811</v>
      </c>
      <c r="E477" s="24" t="str">
        <f>IFERROR(VLOOKUP(F477, 'api-register-id'!B:F, 5, FALSE), "Not found path.")</f>
        <v>APIMX000105</v>
      </c>
      <c r="F477" s="25" t="s">
        <v>1310</v>
      </c>
      <c r="G477" s="26" t="s">
        <v>4471</v>
      </c>
      <c r="H477" s="22" t="s">
        <v>4472</v>
      </c>
      <c r="I477" s="29" t="str">
        <f>IFERROR(VLOOKUP(F477, 'api-register-id'!B:I, 8, FALSE), "Not found path.")</f>
        <v>1.0.0</v>
      </c>
      <c r="J477" s="3" t="s">
        <v>4468</v>
      </c>
      <c r="K477" s="31" t="s">
        <v>48</v>
      </c>
      <c r="L477" s="23" t="s">
        <v>49</v>
      </c>
      <c r="M477" s="3" t="s">
        <v>1762</v>
      </c>
      <c r="N477" s="3" t="str">
        <f t="shared" si="1"/>
        <v>POST /system/sales/productMatching/v1/productTypeSelection/initiate</v>
      </c>
      <c r="O477" s="32" t="s">
        <v>1763</v>
      </c>
      <c r="P477" s="32"/>
      <c r="Q477" s="61" t="s">
        <v>98</v>
      </c>
      <c r="R477" s="31" t="s">
        <v>56</v>
      </c>
      <c r="S477" s="38" t="str">
        <f t="shared" si="2"/>
        <v>https://github.com/SF-Bancoppel/mx-api-bc-pro-product-matching</v>
      </c>
      <c r="T477" s="40"/>
      <c r="U477" s="40"/>
      <c r="V477" s="40"/>
      <c r="W477" s="40"/>
      <c r="X477" s="40"/>
      <c r="Y477" s="40"/>
      <c r="Z477" s="40"/>
      <c r="AA477" s="40"/>
      <c r="AB477" s="40"/>
    </row>
    <row r="478" ht="18.75" customHeight="1">
      <c r="A478" s="18" t="str">
        <f t="array" ref="A478">IFERROR(
  INDEX(
    'api-register-id'!A:A,
    MATCH(F478, 'api-register-id'!B:B, 0)
  ),
  "Not found Organization"
)</f>
        <v>SSFF</v>
      </c>
      <c r="B478" s="22" t="str">
        <f>IFERROR(VLOOKUP(F478, 'api-register-id'!B:F, 4, FALSE), "Not found path.")</f>
        <v>mx-api-bc-pro-product-matching</v>
      </c>
      <c r="C478" s="23" t="s">
        <v>41</v>
      </c>
      <c r="D478" s="23" t="s">
        <v>811</v>
      </c>
      <c r="E478" s="24" t="str">
        <f>IFERROR(VLOOKUP(F478, 'api-register-id'!B:F, 5, FALSE), "Not found path.")</f>
        <v>APIMX000105</v>
      </c>
      <c r="F478" s="25" t="s">
        <v>1310</v>
      </c>
      <c r="G478" s="26" t="s">
        <v>4473</v>
      </c>
      <c r="H478" s="22" t="s">
        <v>4474</v>
      </c>
      <c r="I478" s="29" t="str">
        <f>IFERROR(VLOOKUP(F478, 'api-register-id'!B:I, 8, FALSE), "Not found path.")</f>
        <v>1.0.0</v>
      </c>
      <c r="J478" s="3" t="s">
        <v>4468</v>
      </c>
      <c r="K478" s="31" t="s">
        <v>48</v>
      </c>
      <c r="L478" s="23" t="s">
        <v>428</v>
      </c>
      <c r="M478" s="3" t="s">
        <v>1770</v>
      </c>
      <c r="N478" s="3" t="str">
        <f t="shared" si="1"/>
        <v>PATCH /system/sales/productMatching/v1/productTypeSelection/update</v>
      </c>
      <c r="O478" s="32" t="s">
        <v>1771</v>
      </c>
      <c r="P478" s="32"/>
      <c r="Q478" s="61" t="s">
        <v>98</v>
      </c>
      <c r="R478" s="31" t="s">
        <v>56</v>
      </c>
      <c r="S478" s="38" t="str">
        <f t="shared" si="2"/>
        <v>https://github.com/SF-Bancoppel/mx-api-bc-pro-product-matching</v>
      </c>
      <c r="T478" s="40"/>
      <c r="U478" s="40"/>
      <c r="V478" s="40"/>
      <c r="W478" s="40"/>
      <c r="X478" s="40"/>
      <c r="Y478" s="40"/>
      <c r="Z478" s="40"/>
      <c r="AA478" s="40"/>
      <c r="AB478" s="40"/>
    </row>
    <row r="479" ht="18.75" customHeight="1">
      <c r="A479" s="18" t="str">
        <f t="array" ref="A479">IFERROR(
  INDEX(
    'api-register-id'!A:A,
    MATCH(F479, 'api-register-id'!B:B, 0)
  ),
  "Not found Organization"
)</f>
        <v>SSFF</v>
      </c>
      <c r="B479" s="22" t="str">
        <f>IFERROR(VLOOKUP(F479, 'api-register-id'!B:F, 4, FALSE), "Not found path.")</f>
        <v>mx-api-bc-pro-product-matching</v>
      </c>
      <c r="C479" s="23" t="s">
        <v>41</v>
      </c>
      <c r="D479" s="23" t="s">
        <v>811</v>
      </c>
      <c r="E479" s="24" t="str">
        <f>IFERROR(VLOOKUP(F479, 'api-register-id'!B:F, 5, FALSE), "Not found path.")</f>
        <v>APIMX000105</v>
      </c>
      <c r="F479" s="25" t="s">
        <v>1310</v>
      </c>
      <c r="G479" s="26" t="s">
        <v>4475</v>
      </c>
      <c r="H479" s="22" t="s">
        <v>4476</v>
      </c>
      <c r="I479" s="29" t="str">
        <f>IFERROR(VLOOKUP(F479, 'api-register-id'!B:I, 8, FALSE), "Not found path.")</f>
        <v>1.0.0</v>
      </c>
      <c r="J479" s="3" t="s">
        <v>4468</v>
      </c>
      <c r="K479" s="31" t="s">
        <v>48</v>
      </c>
      <c r="L479" s="23" t="s">
        <v>61</v>
      </c>
      <c r="M479" s="3" t="s">
        <v>1775</v>
      </c>
      <c r="N479" s="3" t="str">
        <f t="shared" si="1"/>
        <v>PUT /system/sales/productMatching/v1/productTypeSelection/control</v>
      </c>
      <c r="O479" s="32" t="s">
        <v>1777</v>
      </c>
      <c r="P479" s="32"/>
      <c r="Q479" s="61" t="s">
        <v>98</v>
      </c>
      <c r="R479" s="31" t="s">
        <v>56</v>
      </c>
      <c r="S479" s="38" t="str">
        <f t="shared" si="2"/>
        <v>https://github.com/SF-Bancoppel/mx-api-bc-pro-product-matching</v>
      </c>
      <c r="T479" s="40"/>
      <c r="U479" s="40"/>
      <c r="V479" s="40"/>
      <c r="W479" s="40"/>
      <c r="X479" s="40"/>
      <c r="Y479" s="40"/>
      <c r="Z479" s="40"/>
      <c r="AA479" s="40"/>
      <c r="AB479" s="40"/>
    </row>
    <row r="480" ht="18.75" customHeight="1">
      <c r="A480" s="18" t="str">
        <f t="array" ref="A480">IFERROR(
  INDEX(
    'api-register-id'!A:A,
    MATCH(F480, 'api-register-id'!B:B, 0)
  ),
  "Not found Organization"
)</f>
        <v>SSFF</v>
      </c>
      <c r="B480" s="22" t="str">
        <f>IFERROR(VLOOKUP(F480, 'api-register-id'!B:F, 4, FALSE), "Not found path.")</f>
        <v>mx-api-bc-pro-product-matching</v>
      </c>
      <c r="C480" s="23" t="s">
        <v>41</v>
      </c>
      <c r="D480" s="23" t="s">
        <v>811</v>
      </c>
      <c r="E480" s="24" t="str">
        <f>IFERROR(VLOOKUP(F480, 'api-register-id'!B:F, 5, FALSE), "Not found path.")</f>
        <v>APIMX000105</v>
      </c>
      <c r="F480" s="25" t="s">
        <v>1310</v>
      </c>
      <c r="G480" s="26" t="s">
        <v>4477</v>
      </c>
      <c r="H480" s="22" t="s">
        <v>4478</v>
      </c>
      <c r="I480" s="29" t="str">
        <f>IFERROR(VLOOKUP(F480, 'api-register-id'!B:I, 8, FALSE), "Not found path.")</f>
        <v>1.0.0</v>
      </c>
      <c r="J480" s="3" t="s">
        <v>4468</v>
      </c>
      <c r="K480" s="31" t="s">
        <v>48</v>
      </c>
      <c r="L480" s="23" t="s">
        <v>49</v>
      </c>
      <c r="M480" s="3" t="s">
        <v>1781</v>
      </c>
      <c r="N480" s="3" t="str">
        <f t="shared" si="1"/>
        <v>POST /system/sales/productMatching/v1/productTypeSelection/retrieve</v>
      </c>
      <c r="O480" s="32" t="s">
        <v>1782</v>
      </c>
      <c r="P480" s="32"/>
      <c r="Q480" s="61" t="s">
        <v>98</v>
      </c>
      <c r="R480" s="31" t="s">
        <v>56</v>
      </c>
      <c r="S480" s="38" t="str">
        <f t="shared" si="2"/>
        <v>https://github.com/SF-Bancoppel/mx-api-bc-pro-product-matching</v>
      </c>
      <c r="T480" s="40"/>
      <c r="U480" s="40"/>
      <c r="V480" s="40"/>
      <c r="W480" s="40"/>
      <c r="X480" s="40"/>
      <c r="Y480" s="40"/>
      <c r="Z480" s="40"/>
      <c r="AA480" s="40"/>
      <c r="AB480" s="40"/>
    </row>
    <row r="481" ht="18.75" customHeight="1">
      <c r="A481" s="18" t="str">
        <f t="array" ref="A481">IFERROR(
  INDEX(
    'api-register-id'!A:A,
    MATCH(F481, 'api-register-id'!B:B, 0)
  ),
  "Not found Organization"
)</f>
        <v>SSFF</v>
      </c>
      <c r="B481" s="22" t="str">
        <f>IFERROR(VLOOKUP(F481, 'api-register-id'!B:F, 4, FALSE), "Not found path.")</f>
        <v>mx-api-bc-pro-product-matching</v>
      </c>
      <c r="C481" s="23" t="s">
        <v>41</v>
      </c>
      <c r="D481" s="23" t="s">
        <v>811</v>
      </c>
      <c r="E481" s="24" t="str">
        <f>IFERROR(VLOOKUP(F481, 'api-register-id'!B:F, 5, FALSE), "Not found path.")</f>
        <v>APIMX000105</v>
      </c>
      <c r="F481" s="25" t="s">
        <v>1310</v>
      </c>
      <c r="G481" s="26" t="s">
        <v>4479</v>
      </c>
      <c r="H481" s="22" t="s">
        <v>4480</v>
      </c>
      <c r="I481" s="29" t="str">
        <f>IFERROR(VLOOKUP(F481, 'api-register-id'!B:I, 8, FALSE), "Not found path.")</f>
        <v>1.0.0</v>
      </c>
      <c r="J481" s="3" t="s">
        <v>4468</v>
      </c>
      <c r="K481" s="31" t="s">
        <v>48</v>
      </c>
      <c r="L481" s="23" t="s">
        <v>49</v>
      </c>
      <c r="M481" s="3" t="s">
        <v>1786</v>
      </c>
      <c r="N481" s="3" t="str">
        <f t="shared" si="1"/>
        <v>POST /system/sales/productMatching/v1/productTypeSelectionDetail/initiate</v>
      </c>
      <c r="O481" s="32" t="s">
        <v>1788</v>
      </c>
      <c r="P481" s="32"/>
      <c r="Q481" s="61" t="s">
        <v>98</v>
      </c>
      <c r="R481" s="31" t="s">
        <v>56</v>
      </c>
      <c r="S481" s="38" t="str">
        <f t="shared" si="2"/>
        <v>https://github.com/SF-Bancoppel/mx-api-bc-pro-product-matching</v>
      </c>
      <c r="T481" s="40"/>
      <c r="U481" s="40"/>
      <c r="V481" s="40"/>
      <c r="W481" s="40"/>
      <c r="X481" s="40"/>
      <c r="Y481" s="40"/>
      <c r="Z481" s="40"/>
      <c r="AA481" s="40"/>
      <c r="AB481" s="40"/>
    </row>
    <row r="482" ht="18.75" customHeight="1">
      <c r="A482" s="18" t="str">
        <f t="array" ref="A482">IFERROR(
  INDEX(
    'api-register-id'!A:A,
    MATCH(F482, 'api-register-id'!B:B, 0)
  ),
  "Not found Organization"
)</f>
        <v>SSFF</v>
      </c>
      <c r="B482" s="22" t="str">
        <f>IFERROR(VLOOKUP(F482, 'api-register-id'!B:F, 4, FALSE), "Not found path.")</f>
        <v>mx-api-bc-pro-product-matching</v>
      </c>
      <c r="C482" s="23" t="s">
        <v>41</v>
      </c>
      <c r="D482" s="23" t="s">
        <v>811</v>
      </c>
      <c r="E482" s="24" t="str">
        <f>IFERROR(VLOOKUP(F482, 'api-register-id'!B:F, 5, FALSE), "Not found path.")</f>
        <v>APIMX000105</v>
      </c>
      <c r="F482" s="25" t="s">
        <v>1310</v>
      </c>
      <c r="G482" s="26" t="s">
        <v>4481</v>
      </c>
      <c r="H482" s="22" t="s">
        <v>4482</v>
      </c>
      <c r="I482" s="29" t="str">
        <f>IFERROR(VLOOKUP(F482, 'api-register-id'!B:I, 8, FALSE), "Not found path.")</f>
        <v>1.0.0</v>
      </c>
      <c r="J482" s="3" t="s">
        <v>4468</v>
      </c>
      <c r="K482" s="31" t="s">
        <v>48</v>
      </c>
      <c r="L482" s="23" t="s">
        <v>428</v>
      </c>
      <c r="M482" s="3" t="s">
        <v>1792</v>
      </c>
      <c r="N482" s="3" t="str">
        <f t="shared" si="1"/>
        <v>PATCH /system/sales/productMatching/v1/productTypeSelectionDetail/update</v>
      </c>
      <c r="O482" s="32" t="s">
        <v>1793</v>
      </c>
      <c r="P482" s="32"/>
      <c r="Q482" s="61" t="s">
        <v>98</v>
      </c>
      <c r="R482" s="31" t="s">
        <v>56</v>
      </c>
      <c r="S482" s="38" t="str">
        <f t="shared" si="2"/>
        <v>https://github.com/SF-Bancoppel/mx-api-bc-pro-product-matching</v>
      </c>
      <c r="T482" s="40"/>
      <c r="U482" s="40"/>
      <c r="V482" s="40"/>
      <c r="W482" s="40"/>
      <c r="X482" s="40"/>
      <c r="Y482" s="40"/>
      <c r="Z482" s="40"/>
      <c r="AA482" s="40"/>
      <c r="AB482" s="40"/>
    </row>
    <row r="483" ht="18.75" customHeight="1">
      <c r="A483" s="18" t="str">
        <f t="array" ref="A483">IFERROR(
  INDEX(
    'api-register-id'!A:A,
    MATCH(F483, 'api-register-id'!B:B, 0)
  ),
  "Not found Organization"
)</f>
        <v>SSFF</v>
      </c>
      <c r="B483" s="22" t="str">
        <f>IFERROR(VLOOKUP(F483, 'api-register-id'!B:F, 4, FALSE), "Not found path.")</f>
        <v>mx-api-bc-pro-product-matching</v>
      </c>
      <c r="C483" s="23" t="s">
        <v>41</v>
      </c>
      <c r="D483" s="23" t="s">
        <v>811</v>
      </c>
      <c r="E483" s="24" t="str">
        <f>IFERROR(VLOOKUP(F483, 'api-register-id'!B:F, 5, FALSE), "Not found path.")</f>
        <v>APIMX000105</v>
      </c>
      <c r="F483" s="25" t="s">
        <v>1310</v>
      </c>
      <c r="G483" s="26" t="s">
        <v>4483</v>
      </c>
      <c r="H483" s="22" t="s">
        <v>4484</v>
      </c>
      <c r="I483" s="29" t="str">
        <f>IFERROR(VLOOKUP(F483, 'api-register-id'!B:I, 8, FALSE), "Not found path.")</f>
        <v>1.0.0</v>
      </c>
      <c r="J483" s="3" t="s">
        <v>4468</v>
      </c>
      <c r="K483" s="31" t="s">
        <v>48</v>
      </c>
      <c r="L483" s="23" t="s">
        <v>49</v>
      </c>
      <c r="M483" s="3" t="s">
        <v>1799</v>
      </c>
      <c r="N483" s="3" t="str">
        <f t="shared" si="1"/>
        <v>POST /system/sales/productMatching/v1/productTypeSelectionDetail/retrieve</v>
      </c>
      <c r="O483" s="32" t="s">
        <v>1800</v>
      </c>
      <c r="P483" s="32"/>
      <c r="Q483" s="61" t="s">
        <v>98</v>
      </c>
      <c r="R483" s="31" t="s">
        <v>56</v>
      </c>
      <c r="S483" s="38" t="str">
        <f t="shared" si="2"/>
        <v>https://github.com/SF-Bancoppel/mx-api-bc-pro-product-matching</v>
      </c>
      <c r="T483" s="40"/>
      <c r="U483" s="40"/>
      <c r="V483" s="40"/>
      <c r="W483" s="40"/>
      <c r="X483" s="40"/>
      <c r="Y483" s="40"/>
      <c r="Z483" s="40"/>
      <c r="AA483" s="40"/>
      <c r="AB483" s="40"/>
    </row>
    <row r="484" ht="18.75" customHeight="1">
      <c r="A484" s="18" t="str">
        <f t="array" ref="A484">IFERROR(
  INDEX(
    'api-register-id'!A:A,
    MATCH(F484, 'api-register-id'!B:B, 0)
  ),
  "Not found Organization"
)</f>
        <v>SSFF</v>
      </c>
      <c r="B484" s="22" t="str">
        <f>IFERROR(VLOOKUP(F484, 'api-register-id'!B:F, 4, FALSE), "Not found path.")</f>
        <v>mx-api-bc-pro-product-matching</v>
      </c>
      <c r="C484" s="23" t="s">
        <v>41</v>
      </c>
      <c r="D484" s="23" t="s">
        <v>811</v>
      </c>
      <c r="E484" s="24" t="str">
        <f>IFERROR(VLOOKUP(F484, 'api-register-id'!B:F, 5, FALSE), "Not found path.")</f>
        <v>APIMX000105</v>
      </c>
      <c r="F484" s="25" t="s">
        <v>1310</v>
      </c>
      <c r="G484" s="26" t="s">
        <v>4485</v>
      </c>
      <c r="H484" s="22" t="s">
        <v>4486</v>
      </c>
      <c r="I484" s="29" t="str">
        <f>IFERROR(VLOOKUP(F484, 'api-register-id'!B:I, 8, FALSE), "Not found path.")</f>
        <v>1.0.0</v>
      </c>
      <c r="J484" s="3" t="s">
        <v>4468</v>
      </c>
      <c r="K484" s="31" t="s">
        <v>48</v>
      </c>
      <c r="L484" s="23" t="s">
        <v>108</v>
      </c>
      <c r="M484" s="3" t="s">
        <v>1803</v>
      </c>
      <c r="N484" s="3" t="str">
        <f t="shared" si="1"/>
        <v>GET /system/sales/productMatching/v1/dataParameter/retrieve</v>
      </c>
      <c r="O484" s="32" t="s">
        <v>1804</v>
      </c>
      <c r="P484" s="32"/>
      <c r="Q484" s="61" t="s">
        <v>98</v>
      </c>
      <c r="R484" s="31" t="s">
        <v>56</v>
      </c>
      <c r="S484" s="38" t="str">
        <f t="shared" si="2"/>
        <v>https://github.com/SF-Bancoppel/mx-api-bc-pro-product-matching</v>
      </c>
      <c r="T484" s="40"/>
      <c r="U484" s="40"/>
      <c r="V484" s="40"/>
      <c r="W484" s="40"/>
      <c r="X484" s="40"/>
      <c r="Y484" s="40"/>
      <c r="Z484" s="40"/>
      <c r="AA484" s="40"/>
      <c r="AB484" s="40"/>
    </row>
    <row r="485" ht="18.75" customHeight="1">
      <c r="A485" s="18" t="str">
        <f t="array" ref="A485">IFERROR(
  INDEX(
    'api-register-id'!A:A,
    MATCH(F485, 'api-register-id'!B:B, 0)
  ),
  "Not found Organization"
)</f>
        <v>SSFF</v>
      </c>
      <c r="B485" s="22" t="str">
        <f>IFERROR(VLOOKUP(F485, 'api-register-id'!B:F, 4, FALSE), "Not found path.")</f>
        <v>mx-api-bc-pro-product-matching</v>
      </c>
      <c r="C485" s="23" t="s">
        <v>41</v>
      </c>
      <c r="D485" s="23" t="s">
        <v>811</v>
      </c>
      <c r="E485" s="24" t="str">
        <f>IFERROR(VLOOKUP(F485, 'api-register-id'!B:F, 5, FALSE), "Not found path.")</f>
        <v>APIMX000105</v>
      </c>
      <c r="F485" s="25" t="s">
        <v>1310</v>
      </c>
      <c r="G485" s="26" t="s">
        <v>4493</v>
      </c>
      <c r="H485" s="22" t="s">
        <v>4494</v>
      </c>
      <c r="I485" s="29" t="str">
        <f>IFERROR(VLOOKUP(F485, 'api-register-id'!B:I, 8, FALSE), "Not found path.")</f>
        <v>1.0.0</v>
      </c>
      <c r="J485" s="3" t="s">
        <v>4468</v>
      </c>
      <c r="K485" s="31" t="s">
        <v>48</v>
      </c>
      <c r="L485" s="23" t="s">
        <v>61</v>
      </c>
      <c r="M485" s="3" t="s">
        <v>1810</v>
      </c>
      <c r="N485" s="3" t="str">
        <f t="shared" si="1"/>
        <v>PUT /system/sales/productMatching/v1/productTypeSelectionDetail/control</v>
      </c>
      <c r="O485" s="32" t="s">
        <v>1811</v>
      </c>
      <c r="P485" s="32"/>
      <c r="Q485" s="61" t="s">
        <v>98</v>
      </c>
      <c r="R485" s="31" t="s">
        <v>56</v>
      </c>
      <c r="S485" s="38" t="str">
        <f t="shared" si="2"/>
        <v>https://github.com/SF-Bancoppel/mx-api-bc-pro-product-matching</v>
      </c>
      <c r="T485" s="40"/>
      <c r="U485" s="40"/>
      <c r="V485" s="40"/>
      <c r="W485" s="40"/>
      <c r="X485" s="40"/>
      <c r="Y485" s="40"/>
      <c r="Z485" s="40"/>
      <c r="AA485" s="40"/>
      <c r="AB485" s="40"/>
    </row>
    <row r="486" ht="18.75" customHeight="1">
      <c r="A486" s="18" t="str">
        <f t="array" ref="A486">IFERROR(
  INDEX(
    'api-register-id'!A:A,
    MATCH(F486, 'api-register-id'!B:B, 0)
  ),
  "Not found Organization"
)</f>
        <v>SSFF</v>
      </c>
      <c r="B486" s="22" t="str">
        <f>IFERROR(VLOOKUP(F486, 'api-register-id'!B:F, 4, FALSE), "Not found path.")</f>
        <v>mx-api-bc-pro-regulatory-compliance</v>
      </c>
      <c r="C486" s="23" t="s">
        <v>41</v>
      </c>
      <c r="D486" s="23" t="s">
        <v>811</v>
      </c>
      <c r="E486" s="24" t="str">
        <f>IFERROR(VLOOKUP(F486, 'api-register-id'!B:F, 5, FALSE), "Not found path.")</f>
        <v>APIMX000106</v>
      </c>
      <c r="F486" s="25" t="s">
        <v>1321</v>
      </c>
      <c r="G486" s="26" t="s">
        <v>4501</v>
      </c>
      <c r="H486" s="22" t="s">
        <v>4502</v>
      </c>
      <c r="I486" s="29" t="str">
        <f>IFERROR(VLOOKUP(F486, 'api-register-id'!B:I, 8, FALSE), "Not found path.")</f>
        <v>1.0.0</v>
      </c>
      <c r="J486" s="3" t="s">
        <v>4505</v>
      </c>
      <c r="K486" s="31" t="s">
        <v>48</v>
      </c>
      <c r="L486" s="23" t="s">
        <v>49</v>
      </c>
      <c r="M486" s="3" t="s">
        <v>1815</v>
      </c>
      <c r="N486" s="3" t="str">
        <f t="shared" si="1"/>
        <v>POST /system/regulationsAndCompliance/regulatoryCompliance/v1/regulatoryComplianceAssessment/evaluate</v>
      </c>
      <c r="O486" s="32" t="s">
        <v>1817</v>
      </c>
      <c r="P486" s="32"/>
      <c r="Q486" s="61" t="s">
        <v>98</v>
      </c>
      <c r="R486" s="31" t="s">
        <v>56</v>
      </c>
      <c r="S486" s="38" t="str">
        <f t="shared" si="2"/>
        <v>https://github.com/SF-Bancoppel/mx-api-bc-pro-regulatory-compliance</v>
      </c>
      <c r="T486" s="40"/>
      <c r="U486" s="40"/>
      <c r="V486" s="40"/>
      <c r="W486" s="40"/>
      <c r="X486" s="40"/>
      <c r="Y486" s="40"/>
      <c r="Z486" s="40"/>
      <c r="AA486" s="40"/>
      <c r="AB486" s="40"/>
    </row>
    <row r="487" ht="18.75" customHeight="1">
      <c r="A487" s="18" t="str">
        <f t="array" ref="A487">IFERROR(
  INDEX(
    'api-register-id'!A:A,
    MATCH(F487, 'api-register-id'!B:B, 0)
  ),
  "Not found Organization"
)</f>
        <v>SSFF</v>
      </c>
      <c r="B487" s="22" t="str">
        <f>IFERROR(VLOOKUP(F487, 'api-register-id'!B:F, 4, FALSE), "Not found path.")</f>
        <v>mx-api-bc-pro-remittances</v>
      </c>
      <c r="C487" s="23" t="s">
        <v>41</v>
      </c>
      <c r="D487" s="23" t="s">
        <v>811</v>
      </c>
      <c r="E487" s="24" t="str">
        <f>IFERROR(VLOOKUP(F487, 'api-register-id'!B:F, 5, FALSE), "Not found path.")</f>
        <v>APIMX000107</v>
      </c>
      <c r="F487" s="25" t="s">
        <v>1332</v>
      </c>
      <c r="G487" s="26" t="s">
        <v>4516</v>
      </c>
      <c r="H487" s="22" t="s">
        <v>4517</v>
      </c>
      <c r="I487" s="29" t="str">
        <f>IFERROR(VLOOKUP(F487, 'api-register-id'!B:I, 8, FALSE), "Not found path.")</f>
        <v>1.0.0</v>
      </c>
      <c r="J487" s="3" t="s">
        <v>4518</v>
      </c>
      <c r="K487" s="31" t="s">
        <v>48</v>
      </c>
      <c r="L487" s="23" t="s">
        <v>49</v>
      </c>
      <c r="M487" s="3" t="s">
        <v>1824</v>
      </c>
      <c r="N487" s="3" t="str">
        <f t="shared" si="1"/>
        <v>POST /system/clearingAndSettlement/remittances/v1/remittancesFacility/retrieve</v>
      </c>
      <c r="O487" s="32" t="s">
        <v>1825</v>
      </c>
      <c r="P487" s="32" t="s">
        <v>4519</v>
      </c>
      <c r="Q487" s="61" t="s">
        <v>98</v>
      </c>
      <c r="R487" s="31" t="s">
        <v>56</v>
      </c>
      <c r="S487" s="38" t="str">
        <f t="shared" si="2"/>
        <v>https://github.com/SF-Bancoppel/mx-api-bc-pro-remittances</v>
      </c>
      <c r="T487" s="40"/>
      <c r="U487" s="40"/>
      <c r="V487" s="40"/>
      <c r="W487" s="40"/>
      <c r="X487" s="40"/>
      <c r="Y487" s="40"/>
      <c r="Z487" s="40"/>
      <c r="AA487" s="40"/>
      <c r="AB487" s="40"/>
    </row>
    <row r="488" ht="18.75" customHeight="1">
      <c r="A488" s="18" t="str">
        <f t="array" ref="A488">IFERROR(
  INDEX(
    'api-register-id'!A:A,
    MATCH(F488, 'api-register-id'!B:B, 0)
  ),
  "Not found Organization"
)</f>
        <v>SSFF</v>
      </c>
      <c r="B488" s="22" t="str">
        <f>IFERROR(VLOOKUP(F488, 'api-register-id'!B:F, 4, FALSE), "Not found path.")</f>
        <v>mx-api-bc-pro-sales-product-agreement</v>
      </c>
      <c r="C488" s="23" t="s">
        <v>41</v>
      </c>
      <c r="D488" s="23" t="s">
        <v>811</v>
      </c>
      <c r="E488" s="24" t="str">
        <f>IFERROR(VLOOKUP(F488, 'api-register-id'!B:F, 5, FALSE), "Not found path.")</f>
        <v>APIMX000108</v>
      </c>
      <c r="F488" s="25" t="s">
        <v>1345</v>
      </c>
      <c r="G488" s="26" t="s">
        <v>4520</v>
      </c>
      <c r="H488" s="22" t="s">
        <v>4521</v>
      </c>
      <c r="I488" s="29" t="str">
        <f>IFERROR(VLOOKUP(F488, 'api-register-id'!B:I, 8, FALSE), "Not found path.")</f>
        <v>1.0.0</v>
      </c>
      <c r="J488" s="3" t="s">
        <v>4522</v>
      </c>
      <c r="K488" s="31" t="s">
        <v>48</v>
      </c>
      <c r="L488" s="23" t="s">
        <v>49</v>
      </c>
      <c r="M488" s="3" t="s">
        <v>1832</v>
      </c>
      <c r="N488" s="3" t="str">
        <f t="shared" si="1"/>
        <v>POST /system/customerManagement/salesProductAgreement/v1/salesProductAgreement/register</v>
      </c>
      <c r="O488" s="32" t="s">
        <v>4523</v>
      </c>
      <c r="P488" s="32"/>
      <c r="Q488" s="61" t="s">
        <v>98</v>
      </c>
      <c r="R488" s="31" t="s">
        <v>56</v>
      </c>
      <c r="S488" s="38" t="str">
        <f t="shared" si="2"/>
        <v>https://github.com/SF-Bancoppel/mx-api-bc-pro-sales-product-agreement</v>
      </c>
      <c r="T488" s="40"/>
      <c r="U488" s="40"/>
      <c r="V488" s="40"/>
      <c r="W488" s="40"/>
      <c r="X488" s="40"/>
      <c r="Y488" s="40"/>
      <c r="Z488" s="40"/>
      <c r="AA488" s="40"/>
      <c r="AB488" s="40"/>
    </row>
    <row r="489" ht="18.75" customHeight="1">
      <c r="A489" s="18" t="str">
        <f t="array" ref="A489">IFERROR(
  INDEX(
    'api-register-id'!A:A,
    MATCH(F489, 'api-register-id'!B:B, 0)
  ),
  "Not found Organization"
)</f>
        <v>SSFF</v>
      </c>
      <c r="B489" s="22" t="str">
        <f>IFERROR(VLOOKUP(F489, 'api-register-id'!B:F, 4, FALSE), "Not found path.")</f>
        <v>mx-api-bc-pro-sales-product-agreement</v>
      </c>
      <c r="C489" s="23" t="s">
        <v>41</v>
      </c>
      <c r="D489" s="23" t="s">
        <v>811</v>
      </c>
      <c r="E489" s="24" t="str">
        <f>IFERROR(VLOOKUP(F489, 'api-register-id'!B:F, 5, FALSE), "Not found path.")</f>
        <v>APIMX000108</v>
      </c>
      <c r="F489" s="25" t="s">
        <v>1345</v>
      </c>
      <c r="G489" s="26" t="s">
        <v>4524</v>
      </c>
      <c r="H489" s="22" t="s">
        <v>4525</v>
      </c>
      <c r="I489" s="29" t="str">
        <f>IFERROR(VLOOKUP(F489, 'api-register-id'!B:I, 8, FALSE), "Not found path.")</f>
        <v>1.0.0</v>
      </c>
      <c r="J489" s="3" t="s">
        <v>4522</v>
      </c>
      <c r="K489" s="31" t="s">
        <v>48</v>
      </c>
      <c r="L489" s="23" t="s">
        <v>49</v>
      </c>
      <c r="M489" s="3" t="s">
        <v>1837</v>
      </c>
      <c r="N489" s="3" t="str">
        <f t="shared" si="1"/>
        <v>POST /system/customerManagement/salesProductAgreement/v1/feesFacility/initiate</v>
      </c>
      <c r="O489" s="32" t="s">
        <v>1838</v>
      </c>
      <c r="P489" s="32"/>
      <c r="Q489" s="61" t="s">
        <v>98</v>
      </c>
      <c r="R489" s="31" t="s">
        <v>56</v>
      </c>
      <c r="S489" s="38" t="str">
        <f t="shared" si="2"/>
        <v>https://github.com/SF-Bancoppel/mx-api-bc-pro-sales-product-agreement</v>
      </c>
      <c r="T489" s="40"/>
      <c r="U489" s="40"/>
      <c r="V489" s="40"/>
      <c r="W489" s="40"/>
      <c r="X489" s="40"/>
      <c r="Y489" s="40"/>
      <c r="Z489" s="40"/>
      <c r="AA489" s="40"/>
      <c r="AB489" s="40"/>
    </row>
    <row r="490" ht="18.75" customHeight="1">
      <c r="A490" s="18" t="str">
        <f t="array" ref="A490">IFERROR(
  INDEX(
    'api-register-id'!A:A,
    MATCH(F490, 'api-register-id'!B:B, 0)
  ),
  "Not found Organization"
)</f>
        <v>SSFF</v>
      </c>
      <c r="B490" s="22" t="str">
        <f>IFERROR(VLOOKUP(F490, 'api-register-id'!B:F, 4, FALSE), "Not found path.")</f>
        <v>mx-api-bc-pro-sales-product-agreement</v>
      </c>
      <c r="C490" s="23" t="s">
        <v>41</v>
      </c>
      <c r="D490" s="23" t="s">
        <v>811</v>
      </c>
      <c r="E490" s="24" t="str">
        <f>IFERROR(VLOOKUP(F490, 'api-register-id'!B:F, 5, FALSE), "Not found path.")</f>
        <v>APIMX000108</v>
      </c>
      <c r="F490" s="25" t="s">
        <v>1345</v>
      </c>
      <c r="G490" s="26" t="s">
        <v>4527</v>
      </c>
      <c r="H490" s="22" t="s">
        <v>4528</v>
      </c>
      <c r="I490" s="29" t="str">
        <f>IFERROR(VLOOKUP(F490, 'api-register-id'!B:I, 8, FALSE), "Not found path.")</f>
        <v>1.0.0</v>
      </c>
      <c r="J490" s="3" t="s">
        <v>4522</v>
      </c>
      <c r="K490" s="31" t="s">
        <v>48</v>
      </c>
      <c r="L490" s="23" t="s">
        <v>428</v>
      </c>
      <c r="M490" s="3" t="s">
        <v>1843</v>
      </c>
      <c r="N490" s="3" t="str">
        <f t="shared" si="1"/>
        <v>PATCH /system/customerManagement/salesProductAgreement/v1/feesFacility/execute</v>
      </c>
      <c r="O490" s="32" t="s">
        <v>1845</v>
      </c>
      <c r="P490" s="32"/>
      <c r="Q490" s="61" t="s">
        <v>98</v>
      </c>
      <c r="R490" s="31" t="s">
        <v>56</v>
      </c>
      <c r="S490" s="38" t="str">
        <f t="shared" si="2"/>
        <v>https://github.com/SF-Bancoppel/mx-api-bc-pro-sales-product-agreement</v>
      </c>
      <c r="T490" s="40"/>
      <c r="U490" s="40"/>
      <c r="V490" s="40"/>
      <c r="W490" s="40"/>
      <c r="X490" s="40"/>
      <c r="Y490" s="40"/>
      <c r="Z490" s="40"/>
      <c r="AA490" s="40"/>
      <c r="AB490" s="40"/>
    </row>
    <row r="491" ht="18.75" customHeight="1">
      <c r="A491" s="18" t="str">
        <f t="array" ref="A491">IFERROR(
  INDEX(
    'api-register-id'!A:A,
    MATCH(F491, 'api-register-id'!B:B, 0)
  ),
  "Not found Organization"
)</f>
        <v>SSFF</v>
      </c>
      <c r="B491" s="22" t="str">
        <f>IFERROR(VLOOKUP(F491, 'api-register-id'!B:F, 4, FALSE), "Not found path.")</f>
        <v>mx-api-bc-pro-savings-account</v>
      </c>
      <c r="C491" s="23" t="s">
        <v>41</v>
      </c>
      <c r="D491" s="23" t="s">
        <v>811</v>
      </c>
      <c r="E491" s="24" t="str">
        <f>IFERROR(VLOOKUP(F491, 'api-register-id'!B:F, 5, FALSE), "Not found path.")</f>
        <v>APIMX000109</v>
      </c>
      <c r="F491" s="25" t="s">
        <v>1358</v>
      </c>
      <c r="G491" s="26" t="s">
        <v>4535</v>
      </c>
      <c r="H491" s="22" t="s">
        <v>4536</v>
      </c>
      <c r="I491" s="29" t="str">
        <f>IFERROR(VLOOKUP(F491, 'api-register-id'!B:I, 8, FALSE), "Not found path.")</f>
        <v>1.0.0</v>
      </c>
      <c r="J491" s="3" t="s">
        <v>4538</v>
      </c>
      <c r="K491" s="31" t="s">
        <v>48</v>
      </c>
      <c r="L491" s="23" t="s">
        <v>49</v>
      </c>
      <c r="M491" s="3" t="s">
        <v>1849</v>
      </c>
      <c r="N491" s="3" t="str">
        <f t="shared" si="1"/>
        <v>POST /system/loansAndDeposits/savingsAccount/v1/savingsAccountBalance/retrieve</v>
      </c>
      <c r="O491" s="32" t="s">
        <v>1850</v>
      </c>
      <c r="P491" s="32"/>
      <c r="Q491" s="61" t="s">
        <v>98</v>
      </c>
      <c r="R491" s="31" t="s">
        <v>56</v>
      </c>
      <c r="S491" s="38" t="str">
        <f t="shared" si="2"/>
        <v>https://github.com/SF-Bancoppel/mx-api-bc-pro-savings-account</v>
      </c>
      <c r="T491" s="40"/>
      <c r="U491" s="40"/>
      <c r="V491" s="40"/>
      <c r="W491" s="40"/>
      <c r="X491" s="40"/>
      <c r="Y491" s="40"/>
      <c r="Z491" s="40"/>
      <c r="AA491" s="40"/>
      <c r="AB491" s="40"/>
    </row>
    <row r="492" ht="18.75" customHeight="1">
      <c r="A492" s="18" t="str">
        <f t="array" ref="A492">IFERROR(
  INDEX(
    'api-register-id'!A:A,
    MATCH(F492, 'api-register-id'!B:B, 0)
  ),
  "Not found Organization"
)</f>
        <v>SSFF</v>
      </c>
      <c r="B492" s="22" t="str">
        <f>IFERROR(VLOOKUP(F492, 'api-register-id'!B:F, 4, FALSE), "Not found path.")</f>
        <v>mx-api-bc-pro-servicing-order</v>
      </c>
      <c r="C492" s="23" t="s">
        <v>41</v>
      </c>
      <c r="D492" s="23" t="s">
        <v>811</v>
      </c>
      <c r="E492" s="24" t="str">
        <f>IFERROR(VLOOKUP(F492, 'api-register-id'!B:F, 5, FALSE), "Not found path.")</f>
        <v>APIMX000110</v>
      </c>
      <c r="F492" s="25" t="s">
        <v>1366</v>
      </c>
      <c r="G492" s="26" t="s">
        <v>4546</v>
      </c>
      <c r="H492" s="22" t="s">
        <v>4548</v>
      </c>
      <c r="I492" s="29" t="str">
        <f>IFERROR(VLOOKUP(F492, 'api-register-id'!B:I, 8, FALSE), "Not found path.")</f>
        <v>1.0.0</v>
      </c>
      <c r="J492" s="3" t="s">
        <v>4552</v>
      </c>
      <c r="K492" s="31" t="s">
        <v>48</v>
      </c>
      <c r="L492" s="23" t="s">
        <v>49</v>
      </c>
      <c r="M492" s="3" t="s">
        <v>1857</v>
      </c>
      <c r="N492" s="3" t="str">
        <f t="shared" si="1"/>
        <v>POST /system/servicing/servicingOrder/v1/transactionReversalInstanceRecord/initiate</v>
      </c>
      <c r="O492" s="32" t="s">
        <v>1858</v>
      </c>
      <c r="P492" s="32"/>
      <c r="Q492" s="61" t="s">
        <v>4553</v>
      </c>
      <c r="R492" s="31" t="s">
        <v>56</v>
      </c>
      <c r="S492" s="38" t="str">
        <f t="shared" si="2"/>
        <v>https://github.com/SF-Bancoppel/mx-api-bc-pro-servicing-order</v>
      </c>
      <c r="T492" s="40"/>
      <c r="U492" s="40"/>
      <c r="V492" s="40"/>
      <c r="W492" s="40"/>
      <c r="X492" s="40"/>
      <c r="Y492" s="40"/>
      <c r="Z492" s="40"/>
      <c r="AA492" s="40"/>
      <c r="AB492" s="40"/>
    </row>
    <row r="493" ht="18.75" customHeight="1">
      <c r="A493" s="18" t="str">
        <f t="array" ref="A493">IFERROR(
  INDEX(
    'api-register-id'!A:A,
    MATCH(F493, 'api-register-id'!B:B, 0)
  ),
  "Not found Organization"
)</f>
        <v>SSFF</v>
      </c>
      <c r="B493" s="22" t="str">
        <f>IFERROR(VLOOKUP(F493, 'api-register-id'!B:F, 4, FALSE), "Not found path.")</f>
        <v>mx-api-bc-pro-session-dialogue</v>
      </c>
      <c r="C493" s="23" t="s">
        <v>41</v>
      </c>
      <c r="D493" s="23" t="s">
        <v>811</v>
      </c>
      <c r="E493" s="24" t="str">
        <f>IFERROR(VLOOKUP(F493, 'api-register-id'!B:F, 5, FALSE), "Not found path.")</f>
        <v>APIMX000111</v>
      </c>
      <c r="F493" s="25" t="s">
        <v>1374</v>
      </c>
      <c r="G493" s="26" t="s">
        <v>4554</v>
      </c>
      <c r="H493" s="22" t="s">
        <v>4555</v>
      </c>
      <c r="I493" s="29" t="str">
        <f>IFERROR(VLOOKUP(F493, 'api-register-id'!B:I, 8, FALSE), "Not found path.")</f>
        <v>1.1.0</v>
      </c>
      <c r="J493" s="3" t="s">
        <v>4556</v>
      </c>
      <c r="K493" s="31" t="s">
        <v>48</v>
      </c>
      <c r="L493" s="23" t="s">
        <v>49</v>
      </c>
      <c r="M493" s="3" t="s">
        <v>1863</v>
      </c>
      <c r="N493" s="3" t="str">
        <f t="shared" si="1"/>
        <v>POST /system/crossChannel/sessionDialogue/v1/customerContactSessionProcedure/initiate</v>
      </c>
      <c r="O493" s="32" t="s">
        <v>1864</v>
      </c>
      <c r="P493" s="32"/>
      <c r="Q493" s="61" t="s">
        <v>4557</v>
      </c>
      <c r="R493" s="31" t="s">
        <v>56</v>
      </c>
      <c r="S493" s="38" t="str">
        <f t="shared" si="2"/>
        <v>https://github.com/SF-Bancoppel/mx-api-bc-pro-session-dialogue</v>
      </c>
      <c r="T493" s="40"/>
      <c r="U493" s="40"/>
      <c r="V493" s="40"/>
      <c r="W493" s="40"/>
      <c r="X493" s="40"/>
      <c r="Y493" s="40"/>
      <c r="Z493" s="40"/>
      <c r="AA493" s="40"/>
      <c r="AB493" s="40"/>
    </row>
    <row r="494" ht="18.75" customHeight="1">
      <c r="A494" s="18" t="str">
        <f t="array" ref="A494">IFERROR(
  INDEX(
    'api-register-id'!A:A,
    MATCH(F494, 'api-register-id'!B:B, 0)
  ),
  "Not found Organization"
)</f>
        <v>SSFF</v>
      </c>
      <c r="B494" s="22" t="str">
        <f>IFERROR(VLOOKUP(F494, 'api-register-id'!B:F, 4, FALSE), "Not found path.")</f>
        <v>mx-api-bc-pro-session-dialogue</v>
      </c>
      <c r="C494" s="23" t="s">
        <v>41</v>
      </c>
      <c r="D494" s="23" t="s">
        <v>811</v>
      </c>
      <c r="E494" s="24" t="str">
        <f>IFERROR(VLOOKUP(F494, 'api-register-id'!B:F, 5, FALSE), "Not found path.")</f>
        <v>APIMX000111</v>
      </c>
      <c r="F494" s="25" t="s">
        <v>1374</v>
      </c>
      <c r="G494" s="26" t="s">
        <v>4558</v>
      </c>
      <c r="H494" s="22" t="s">
        <v>4559</v>
      </c>
      <c r="I494" s="29" t="str">
        <f>IFERROR(VLOOKUP(F494, 'api-register-id'!B:I, 8, FALSE), "Not found path.")</f>
        <v>1.1.0</v>
      </c>
      <c r="J494" s="3" t="s">
        <v>4556</v>
      </c>
      <c r="K494" s="31" t="s">
        <v>48</v>
      </c>
      <c r="L494" s="23" t="s">
        <v>108</v>
      </c>
      <c r="M494" s="3" t="s">
        <v>1871</v>
      </c>
      <c r="N494" s="3" t="str">
        <f t="shared" si="1"/>
        <v>GET /system/crossChannel/sessionDialogue/v1/customerContactSessionProcedure/retrieve</v>
      </c>
      <c r="O494" s="32" t="s">
        <v>4560</v>
      </c>
      <c r="P494" s="32"/>
      <c r="Q494" s="61" t="s">
        <v>4561</v>
      </c>
      <c r="R494" s="31" t="s">
        <v>56</v>
      </c>
      <c r="S494" s="38" t="str">
        <f t="shared" si="2"/>
        <v>https://github.com/SF-Bancoppel/mx-api-bc-pro-session-dialogue</v>
      </c>
      <c r="T494" s="40"/>
      <c r="U494" s="40"/>
      <c r="V494" s="40"/>
      <c r="W494" s="40"/>
      <c r="X494" s="40"/>
      <c r="Y494" s="40"/>
      <c r="Z494" s="40"/>
      <c r="AA494" s="40"/>
      <c r="AB494" s="40"/>
    </row>
    <row r="495" ht="18.75" customHeight="1">
      <c r="A495" s="18" t="str">
        <f t="array" ref="A495">IFERROR(
  INDEX(
    'api-register-id'!A:A,
    MATCH(F495, 'api-register-id'!B:B, 0)
  ),
  "Not found Organization"
)</f>
        <v>SSFF</v>
      </c>
      <c r="B495" s="22" t="str">
        <f>IFERROR(VLOOKUP(F495, 'api-register-id'!B:F, 4, FALSE), "Not found path.")</f>
        <v>mx-api-bc-pro-session-dialogue</v>
      </c>
      <c r="C495" s="23" t="s">
        <v>41</v>
      </c>
      <c r="D495" s="23" t="s">
        <v>811</v>
      </c>
      <c r="E495" s="24" t="str">
        <f>IFERROR(VLOOKUP(F495, 'api-register-id'!B:F, 5, FALSE), "Not found path.")</f>
        <v>APIMX000111</v>
      </c>
      <c r="F495" s="25" t="s">
        <v>1374</v>
      </c>
      <c r="G495" s="26" t="s">
        <v>4562</v>
      </c>
      <c r="H495" s="22" t="s">
        <v>4563</v>
      </c>
      <c r="I495" s="29" t="str">
        <f>IFERROR(VLOOKUP(F495, 'api-register-id'!B:I, 8, FALSE), "Not found path.")</f>
        <v>1.1.0</v>
      </c>
      <c r="J495" s="3" t="s">
        <v>4556</v>
      </c>
      <c r="K495" s="31" t="s">
        <v>48</v>
      </c>
      <c r="L495" s="23" t="s">
        <v>49</v>
      </c>
      <c r="M495" s="3" t="s">
        <v>1878</v>
      </c>
      <c r="N495" s="3" t="str">
        <f t="shared" si="1"/>
        <v>POST /system/crossChannel/sessionDialogue/v1/customerContactSessionProcedure/capture</v>
      </c>
      <c r="O495" s="32" t="s">
        <v>4564</v>
      </c>
      <c r="P495" s="32" t="s">
        <v>1880</v>
      </c>
      <c r="Q495" s="61" t="s">
        <v>4565</v>
      </c>
      <c r="R495" s="31" t="s">
        <v>56</v>
      </c>
      <c r="S495" s="38" t="str">
        <f t="shared" si="2"/>
        <v>https://github.com/SF-Bancoppel/mx-api-bc-pro-session-dialogue</v>
      </c>
      <c r="T495" s="40"/>
      <c r="U495" s="40"/>
      <c r="V495" s="40"/>
      <c r="W495" s="40"/>
      <c r="X495" s="40"/>
      <c r="Y495" s="40"/>
      <c r="Z495" s="40"/>
      <c r="AA495" s="40"/>
      <c r="AB495" s="40"/>
    </row>
    <row r="496" ht="18.75" customHeight="1">
      <c r="A496" s="18" t="str">
        <f t="array" ref="A496">IFERROR(
  INDEX(
    'api-register-id'!A:A,
    MATCH(F496, 'api-register-id'!B:B, 0)
  ),
  "Not found Organization"
)</f>
        <v>SSFF</v>
      </c>
      <c r="B496" s="22" t="str">
        <f>IFERROR(VLOOKUP(F496, 'api-register-id'!B:F, 4, FALSE), "Not found path.")</f>
        <v>mx-api-bc-pro-session-dialogue</v>
      </c>
      <c r="C496" s="23" t="s">
        <v>41</v>
      </c>
      <c r="D496" s="23" t="s">
        <v>811</v>
      </c>
      <c r="E496" s="24" t="str">
        <f>IFERROR(VLOOKUP(F496, 'api-register-id'!B:F, 5, FALSE), "Not found path.")</f>
        <v>APIMX000111</v>
      </c>
      <c r="F496" s="25" t="s">
        <v>1374</v>
      </c>
      <c r="G496" s="26" t="s">
        <v>4566</v>
      </c>
      <c r="H496" s="22" t="s">
        <v>4567</v>
      </c>
      <c r="I496" s="29" t="str">
        <f>IFERROR(VLOOKUP(F496, 'api-register-id'!B:I, 8, FALSE), "Not found path.")</f>
        <v>1.1.0</v>
      </c>
      <c r="J496" s="3" t="s">
        <v>4556</v>
      </c>
      <c r="K496" s="31" t="s">
        <v>48</v>
      </c>
      <c r="L496" s="23" t="s">
        <v>108</v>
      </c>
      <c r="M496" s="3" t="s">
        <v>1884</v>
      </c>
      <c r="N496" s="3" t="str">
        <f t="shared" si="1"/>
        <v>GET /system/crossChannel/sessionDialogue/v1/history/retrieve</v>
      </c>
      <c r="O496" s="32" t="s">
        <v>4568</v>
      </c>
      <c r="P496" s="32"/>
      <c r="Q496" s="61" t="s">
        <v>4569</v>
      </c>
      <c r="R496" s="31" t="s">
        <v>56</v>
      </c>
      <c r="S496" s="38" t="str">
        <f t="shared" si="2"/>
        <v>https://github.com/SF-Bancoppel/mx-api-bc-pro-session-dialogue</v>
      </c>
      <c r="T496" s="40"/>
      <c r="U496" s="40"/>
      <c r="V496" s="40"/>
      <c r="W496" s="40"/>
      <c r="X496" s="40"/>
      <c r="Y496" s="40"/>
      <c r="Z496" s="40"/>
      <c r="AA496" s="40"/>
      <c r="AB496" s="40"/>
    </row>
    <row r="497" ht="18.75" customHeight="1">
      <c r="A497" s="18" t="str">
        <f t="array" ref="A497">IFERROR(
  INDEX(
    'api-register-id'!A:A,
    MATCH(F497, 'api-register-id'!B:B, 0)
  ),
  "Not found Organization"
)</f>
        <v>SSFF</v>
      </c>
      <c r="B497" s="22" t="str">
        <f>IFERROR(VLOOKUP(F497, 'api-register-id'!B:F, 4, FALSE), "Not found path.")</f>
        <v>mx-api-bc-pro-session-dialogue</v>
      </c>
      <c r="C497" s="23" t="s">
        <v>41</v>
      </c>
      <c r="D497" s="23" t="s">
        <v>811</v>
      </c>
      <c r="E497" s="24" t="str">
        <f>IFERROR(VLOOKUP(F497, 'api-register-id'!B:F, 5, FALSE), "Not found path.")</f>
        <v>APIMX000111</v>
      </c>
      <c r="F497" s="25" t="s">
        <v>1374</v>
      </c>
      <c r="G497" s="26" t="s">
        <v>4570</v>
      </c>
      <c r="H497" s="22" t="s">
        <v>4571</v>
      </c>
      <c r="I497" s="29" t="str">
        <f>IFERROR(VLOOKUP(F497, 'api-register-id'!B:I, 8, FALSE), "Not found path.")</f>
        <v>1.1.0</v>
      </c>
      <c r="J497" s="3" t="s">
        <v>4556</v>
      </c>
      <c r="K497" s="31" t="s">
        <v>48</v>
      </c>
      <c r="L497" s="23" t="s">
        <v>49</v>
      </c>
      <c r="M497" s="3" t="s">
        <v>1892</v>
      </c>
      <c r="N497" s="3" t="str">
        <f t="shared" si="1"/>
        <v>POST /system/crossChannel/sessionDialogue/v1/authenticationAddress/initiate</v>
      </c>
      <c r="O497" s="32" t="s">
        <v>4572</v>
      </c>
      <c r="P497" s="32"/>
      <c r="Q497" s="61" t="s">
        <v>4573</v>
      </c>
      <c r="R497" s="31" t="s">
        <v>56</v>
      </c>
      <c r="S497" s="38" t="str">
        <f t="shared" si="2"/>
        <v>https://github.com/SF-Bancoppel/mx-api-bc-pro-session-dialogue</v>
      </c>
      <c r="T497" s="40"/>
      <c r="U497" s="40"/>
      <c r="V497" s="40"/>
      <c r="W497" s="40"/>
      <c r="X497" s="40"/>
      <c r="Y497" s="40"/>
      <c r="Z497" s="40"/>
      <c r="AA497" s="40"/>
      <c r="AB497" s="40"/>
    </row>
    <row r="498" ht="18.75" customHeight="1">
      <c r="A498" s="18" t="str">
        <f t="array" ref="A498">IFERROR(
  INDEX(
    'api-register-id'!A:A,
    MATCH(F498, 'api-register-id'!B:B, 0)
  ),
  "Not found Organization"
)</f>
        <v>SSFF</v>
      </c>
      <c r="B498" s="22" t="str">
        <f>IFERROR(VLOOKUP(F498, 'api-register-id'!B:F, 4, FALSE), "Not found path.")</f>
        <v>mx-api-bc-pro-session-dialogue</v>
      </c>
      <c r="C498" s="23" t="s">
        <v>41</v>
      </c>
      <c r="D498" s="23" t="s">
        <v>811</v>
      </c>
      <c r="E498" s="24" t="str">
        <f>IFERROR(VLOOKUP(F498, 'api-register-id'!B:F, 5, FALSE), "Not found path.")</f>
        <v>APIMX000111</v>
      </c>
      <c r="F498" s="25" t="s">
        <v>1374</v>
      </c>
      <c r="G498" s="26" t="s">
        <v>4574</v>
      </c>
      <c r="H498" s="22" t="s">
        <v>4575</v>
      </c>
      <c r="I498" s="29" t="str">
        <f>IFERROR(VLOOKUP(F498, 'api-register-id'!B:I, 8, FALSE), "Not found path.")</f>
        <v>1.1.0</v>
      </c>
      <c r="J498" s="3" t="s">
        <v>4556</v>
      </c>
      <c r="K498" s="31" t="s">
        <v>48</v>
      </c>
      <c r="L498" s="23" t="s">
        <v>49</v>
      </c>
      <c r="M498" s="3" t="s">
        <v>1899</v>
      </c>
      <c r="N498" s="3" t="str">
        <f t="shared" si="1"/>
        <v>POST /system/crossChannel/sessionDialogue/v1/customerContactSelfieProcedure/initiate</v>
      </c>
      <c r="O498" s="32" t="s">
        <v>4576</v>
      </c>
      <c r="P498" s="32"/>
      <c r="Q498" s="61" t="s">
        <v>98</v>
      </c>
      <c r="R498" s="31" t="s">
        <v>56</v>
      </c>
      <c r="S498" s="38" t="str">
        <f t="shared" si="2"/>
        <v>https://github.com/SF-Bancoppel/mx-api-bc-pro-session-dialogue</v>
      </c>
      <c r="T498" s="40"/>
      <c r="U498" s="40"/>
      <c r="V498" s="40"/>
      <c r="W498" s="40"/>
      <c r="X498" s="40"/>
      <c r="Y498" s="40"/>
      <c r="Z498" s="40"/>
      <c r="AA498" s="40"/>
      <c r="AB498" s="40"/>
    </row>
    <row r="499" ht="18.75" customHeight="1">
      <c r="A499" s="18" t="str">
        <f t="array" ref="A499">IFERROR(
  INDEX(
    'api-register-id'!A:A,
    MATCH(F499, 'api-register-id'!B:B, 0)
  ),
  "Not found Organization"
)</f>
        <v>SSFF</v>
      </c>
      <c r="B499" s="22" t="str">
        <f>IFERROR(VLOOKUP(F499, 'api-register-id'!B:F, 4, FALSE), "Not found path.")</f>
        <v>mx-api-bc-pro-session-dialogue</v>
      </c>
      <c r="C499" s="23" t="s">
        <v>41</v>
      </c>
      <c r="D499" s="23" t="s">
        <v>811</v>
      </c>
      <c r="E499" s="24" t="str">
        <f>IFERROR(VLOOKUP(F499, 'api-register-id'!B:F, 5, FALSE), "Not found path.")</f>
        <v>APIMX000111</v>
      </c>
      <c r="F499" s="25" t="s">
        <v>1374</v>
      </c>
      <c r="G499" s="26" t="s">
        <v>4577</v>
      </c>
      <c r="H499" s="22" t="s">
        <v>4578</v>
      </c>
      <c r="I499" s="29" t="str">
        <f>IFERROR(VLOOKUP(F499, 'api-register-id'!B:I, 8, FALSE), "Not found path.")</f>
        <v>1.1.0</v>
      </c>
      <c r="J499" s="3" t="s">
        <v>4556</v>
      </c>
      <c r="K499" s="31" t="s">
        <v>48</v>
      </c>
      <c r="L499" s="23" t="s">
        <v>49</v>
      </c>
      <c r="M499" s="3" t="s">
        <v>1904</v>
      </c>
      <c r="N499" s="3" t="str">
        <f t="shared" si="1"/>
        <v>POST /system/crossChannel/sessionDialogue/v1/customerContactVideoSelfieProcedure/initiate</v>
      </c>
      <c r="O499" s="32" t="s">
        <v>4579</v>
      </c>
      <c r="P499" s="32"/>
      <c r="Q499" s="61" t="s">
        <v>98</v>
      </c>
      <c r="R499" s="31" t="s">
        <v>56</v>
      </c>
      <c r="S499" s="38" t="str">
        <f t="shared" si="2"/>
        <v>https://github.com/SF-Bancoppel/mx-api-bc-pro-session-dialogue</v>
      </c>
      <c r="T499" s="40"/>
      <c r="U499" s="40"/>
      <c r="V499" s="40"/>
      <c r="W499" s="40"/>
      <c r="X499" s="40"/>
      <c r="Y499" s="40"/>
      <c r="Z499" s="40"/>
      <c r="AA499" s="40"/>
      <c r="AB499" s="40"/>
    </row>
    <row r="500" ht="18.75" customHeight="1">
      <c r="A500" s="18" t="str">
        <f t="array" ref="A500">IFERROR(
  INDEX(
    'api-register-id'!A:A,
    MATCH(F500, 'api-register-id'!B:B, 0)
  ),
  "Not found Organization"
)</f>
        <v>SSFF</v>
      </c>
      <c r="B500" s="22" t="str">
        <f>IFERROR(VLOOKUP(F500, 'api-register-id'!B:F, 4, FALSE), "Not found path.")</f>
        <v>mx-api-bc-pro-session-dialogue</v>
      </c>
      <c r="C500" s="23" t="s">
        <v>41</v>
      </c>
      <c r="D500" s="23" t="s">
        <v>811</v>
      </c>
      <c r="E500" s="24" t="str">
        <f>IFERROR(VLOOKUP(F500, 'api-register-id'!B:F, 5, FALSE), "Not found path.")</f>
        <v>APIMX000111</v>
      </c>
      <c r="F500" s="25" t="s">
        <v>1374</v>
      </c>
      <c r="G500" s="26" t="s">
        <v>4580</v>
      </c>
      <c r="H500" s="22" t="s">
        <v>4581</v>
      </c>
      <c r="I500" s="29" t="str">
        <f>IFERROR(VLOOKUP(F500, 'api-register-id'!B:I, 8, FALSE), "Not found path.")</f>
        <v>1.1.0</v>
      </c>
      <c r="J500" s="3" t="s">
        <v>4556</v>
      </c>
      <c r="K500" s="31" t="s">
        <v>48</v>
      </c>
      <c r="L500" s="23" t="s">
        <v>108</v>
      </c>
      <c r="M500" s="3" t="s">
        <v>1909</v>
      </c>
      <c r="N500" s="3" t="str">
        <f t="shared" si="1"/>
        <v>GET /system/crossChannel/sessionDialogue/v1/customerContactVideoSelfieProcedure/retrieve</v>
      </c>
      <c r="O500" s="32" t="s">
        <v>4582</v>
      </c>
      <c r="P500" s="32"/>
      <c r="Q500" s="61" t="s">
        <v>98</v>
      </c>
      <c r="R500" s="31" t="s">
        <v>56</v>
      </c>
      <c r="S500" s="38" t="str">
        <f t="shared" si="2"/>
        <v>https://github.com/SF-Bancoppel/mx-api-bc-pro-session-dialogue</v>
      </c>
      <c r="T500" s="40"/>
      <c r="U500" s="40"/>
      <c r="V500" s="40"/>
      <c r="W500" s="40"/>
      <c r="X500" s="40"/>
      <c r="Y500" s="40"/>
      <c r="Z500" s="40"/>
      <c r="AA500" s="40"/>
      <c r="AB500" s="40"/>
    </row>
    <row r="501" ht="18.75" customHeight="1">
      <c r="A501" s="18" t="str">
        <f t="array" ref="A501">IFERROR(
  INDEX(
    'api-register-id'!A:A,
    MATCH(F501, 'api-register-id'!B:B, 0)
  ),
  "Not found Organization"
)</f>
        <v>SSFF</v>
      </c>
      <c r="B501" s="22" t="str">
        <f>IFERROR(VLOOKUP(F501, 'api-register-id'!B:F, 4, FALSE), "Not found path.")</f>
        <v>mx-api-bc-pro-session-dialogue</v>
      </c>
      <c r="C501" s="23" t="s">
        <v>41</v>
      </c>
      <c r="D501" s="23" t="s">
        <v>811</v>
      </c>
      <c r="E501" s="24" t="str">
        <f>IFERROR(VLOOKUP(F501, 'api-register-id'!B:F, 5, FALSE), "Not found path.")</f>
        <v>APIMX000111</v>
      </c>
      <c r="F501" s="25" t="s">
        <v>1374</v>
      </c>
      <c r="G501" s="26" t="s">
        <v>4583</v>
      </c>
      <c r="H501" s="22" t="s">
        <v>4584</v>
      </c>
      <c r="I501" s="29" t="str">
        <f>IFERROR(VLOOKUP(F501, 'api-register-id'!B:I, 8, FALSE), "Not found path.")</f>
        <v>1.1.0</v>
      </c>
      <c r="J501" s="3" t="s">
        <v>4556</v>
      </c>
      <c r="K501" s="31" t="s">
        <v>48</v>
      </c>
      <c r="L501" s="23" t="s">
        <v>108</v>
      </c>
      <c r="M501" s="3" t="s">
        <v>1915</v>
      </c>
      <c r="N501" s="3" t="str">
        <f t="shared" si="1"/>
        <v>GET /system/crossChannel/sessionDialogue/v1/workstep/{sessionDialogueIdentification}/retrieve</v>
      </c>
      <c r="O501" s="32" t="s">
        <v>4585</v>
      </c>
      <c r="P501" s="32" t="s">
        <v>900</v>
      </c>
      <c r="Q501" s="61" t="s">
        <v>98</v>
      </c>
      <c r="R501" s="31" t="s">
        <v>56</v>
      </c>
      <c r="S501" s="38" t="str">
        <f t="shared" si="2"/>
        <v>https://github.com/SF-Bancoppel/mx-api-bc-pro-session-dialogue</v>
      </c>
      <c r="T501" s="40"/>
      <c r="U501" s="40"/>
      <c r="V501" s="40"/>
      <c r="W501" s="40"/>
      <c r="X501" s="40"/>
      <c r="Y501" s="40"/>
      <c r="Z501" s="40"/>
      <c r="AA501" s="40"/>
      <c r="AB501" s="40"/>
    </row>
    <row r="502" ht="18.75" customHeight="1">
      <c r="A502" s="18" t="str">
        <f t="array" ref="A502">IFERROR(
  INDEX(
    'api-register-id'!A:A,
    MATCH(F502, 'api-register-id'!B:B, 0)
  ),
  "Not found Organization"
)</f>
        <v>SSFF</v>
      </c>
      <c r="B502" s="22" t="str">
        <f>IFERROR(VLOOKUP(F502, 'api-register-id'!B:F, 4, FALSE), "Not found path.")</f>
        <v>mx-api-bc-pro-systems-operations</v>
      </c>
      <c r="C502" s="23" t="s">
        <v>41</v>
      </c>
      <c r="D502" s="23" t="s">
        <v>811</v>
      </c>
      <c r="E502" s="24" t="str">
        <f>IFERROR(VLOOKUP(F502, 'api-register-id'!B:F, 5, FALSE), "Not found path.")</f>
        <v>APIMX000112</v>
      </c>
      <c r="F502" s="25" t="s">
        <v>1386</v>
      </c>
      <c r="G502" s="26" t="s">
        <v>4586</v>
      </c>
      <c r="H502" s="22" t="s">
        <v>4587</v>
      </c>
      <c r="I502" s="29" t="str">
        <f>IFERROR(VLOOKUP(F502, 'api-register-id'!B:I, 8, FALSE), "Not found path.")</f>
        <v>1.0.0</v>
      </c>
      <c r="J502" s="3" t="s">
        <v>4588</v>
      </c>
      <c r="K502" s="31" t="s">
        <v>48</v>
      </c>
      <c r="L502" s="23" t="s">
        <v>49</v>
      </c>
      <c r="M502" s="3" t="s">
        <v>1922</v>
      </c>
      <c r="N502" s="3" t="str">
        <f t="shared" si="1"/>
        <v>POST /system/iTManagement/systemsOperations/v1/processEventOnBoarding/initiate</v>
      </c>
      <c r="O502" s="32" t="s">
        <v>1923</v>
      </c>
      <c r="P502" s="32"/>
      <c r="Q502" s="61" t="s">
        <v>98</v>
      </c>
      <c r="R502" s="31" t="s">
        <v>56</v>
      </c>
      <c r="S502" s="38" t="str">
        <f t="shared" si="2"/>
        <v>https://github.com/SF-Bancoppel/mx-api-bc-pro-systems-operations</v>
      </c>
      <c r="T502" s="40"/>
      <c r="U502" s="40"/>
      <c r="V502" s="40"/>
      <c r="W502" s="40"/>
      <c r="X502" s="40"/>
      <c r="Y502" s="40"/>
      <c r="Z502" s="40"/>
      <c r="AA502" s="40"/>
      <c r="AB502" s="40"/>
    </row>
    <row r="503" ht="18.75" customHeight="1">
      <c r="A503" s="18" t="str">
        <f t="array" ref="A503">IFERROR(
  INDEX(
    'api-register-id'!A:A,
    MATCH(F503, 'api-register-id'!B:B, 0)
  ),
  "Not found Organization"
)</f>
        <v>SSFF</v>
      </c>
      <c r="B503" s="22" t="str">
        <f>IFERROR(VLOOKUP(F503, 'api-register-id'!B:F, 4, FALSE), "Not found path.")</f>
        <v>mx-api-bc-pro-systems-operations</v>
      </c>
      <c r="C503" s="23" t="s">
        <v>41</v>
      </c>
      <c r="D503" s="23" t="s">
        <v>811</v>
      </c>
      <c r="E503" s="24" t="str">
        <f>IFERROR(VLOOKUP(F503, 'api-register-id'!B:F, 5, FALSE), "Not found path.")</f>
        <v>APIMX000112</v>
      </c>
      <c r="F503" s="25" t="s">
        <v>1386</v>
      </c>
      <c r="G503" s="26" t="s">
        <v>4589</v>
      </c>
      <c r="H503" s="22" t="s">
        <v>4590</v>
      </c>
      <c r="I503" s="29" t="str">
        <f>IFERROR(VLOOKUP(F503, 'api-register-id'!B:I, 8, FALSE), "Not found path.")</f>
        <v>1.0.0</v>
      </c>
      <c r="J503" s="3" t="s">
        <v>4588</v>
      </c>
      <c r="K503" s="31" t="s">
        <v>48</v>
      </c>
      <c r="L503" s="23" t="s">
        <v>428</v>
      </c>
      <c r="M503" s="3" t="s">
        <v>1926</v>
      </c>
      <c r="N503" s="3" t="str">
        <f t="shared" si="1"/>
        <v>PATCH /system/iTManagement/systemsOperations/v1/processEvent/execute</v>
      </c>
      <c r="O503" s="32" t="s">
        <v>1927</v>
      </c>
      <c r="P503" s="32"/>
      <c r="Q503" s="61" t="s">
        <v>98</v>
      </c>
      <c r="R503" s="31" t="s">
        <v>56</v>
      </c>
      <c r="S503" s="38" t="str">
        <f t="shared" si="2"/>
        <v>https://github.com/SF-Bancoppel/mx-api-bc-pro-systems-operations</v>
      </c>
      <c r="T503" s="40"/>
      <c r="U503" s="40"/>
      <c r="V503" s="40"/>
      <c r="W503" s="40"/>
      <c r="X503" s="40"/>
      <c r="Y503" s="40"/>
      <c r="Z503" s="40"/>
      <c r="AA503" s="40"/>
      <c r="AB503" s="40"/>
    </row>
    <row r="504" ht="18.75" customHeight="1">
      <c r="A504" s="18" t="str">
        <f t="array" ref="A504">IFERROR(
  INDEX(
    'api-register-id'!A:A,
    MATCH(F504, 'api-register-id'!B:B, 0)
  ),
  "Not found Organization"
)</f>
        <v>SSFF</v>
      </c>
      <c r="B504" s="22" t="str">
        <f>IFERROR(VLOOKUP(F504, 'api-register-id'!B:F, 4, FALSE), "Not found path.")</f>
        <v>mx-api-bc-pro-systems-operations</v>
      </c>
      <c r="C504" s="23" t="s">
        <v>41</v>
      </c>
      <c r="D504" s="23" t="s">
        <v>811</v>
      </c>
      <c r="E504" s="24" t="str">
        <f>IFERROR(VLOOKUP(F504, 'api-register-id'!B:F, 5, FALSE), "Not found path.")</f>
        <v>APIMX000112</v>
      </c>
      <c r="F504" s="25" t="s">
        <v>1386</v>
      </c>
      <c r="G504" s="26" t="s">
        <v>4591</v>
      </c>
      <c r="H504" s="22" t="s">
        <v>4592</v>
      </c>
      <c r="I504" s="29" t="str">
        <f>IFERROR(VLOOKUP(F504, 'api-register-id'!B:I, 8, FALSE), "Not found path.")</f>
        <v>1.0.0</v>
      </c>
      <c r="J504" s="3" t="s">
        <v>4588</v>
      </c>
      <c r="K504" s="31" t="s">
        <v>48</v>
      </c>
      <c r="L504" s="23" t="s">
        <v>49</v>
      </c>
      <c r="M504" s="3" t="s">
        <v>1933</v>
      </c>
      <c r="N504" s="3" t="str">
        <f t="shared" si="1"/>
        <v>POST /system/iTManagement/systemsOperations/v1/processEvent/retrieve</v>
      </c>
      <c r="O504" s="32" t="s">
        <v>1934</v>
      </c>
      <c r="P504" s="32"/>
      <c r="Q504" s="61" t="s">
        <v>98</v>
      </c>
      <c r="R504" s="31" t="s">
        <v>56</v>
      </c>
      <c r="S504" s="38" t="str">
        <f t="shared" si="2"/>
        <v>https://github.com/SF-Bancoppel/mx-api-bc-pro-systems-operations</v>
      </c>
      <c r="T504" s="40"/>
      <c r="U504" s="40"/>
      <c r="V504" s="40"/>
      <c r="W504" s="40"/>
      <c r="X504" s="40"/>
      <c r="Y504" s="40"/>
      <c r="Z504" s="40"/>
      <c r="AA504" s="40"/>
      <c r="AB504" s="40"/>
    </row>
    <row r="505" ht="18.75" customHeight="1">
      <c r="A505" s="18" t="str">
        <f t="array" ref="A505">IFERROR(
  INDEX(
    'api-register-id'!A:A,
    MATCH(F505, 'api-register-id'!B:B, 0)
  ),
  "Not found Organization"
)</f>
        <v>SSFF</v>
      </c>
      <c r="B505" s="22" t="str">
        <f>IFERROR(VLOOKUP(F505, 'api-register-id'!B:F, 4, FALSE), "Not found path.")</f>
        <v>mx-api-bc-pro-transaction-engine</v>
      </c>
      <c r="C505" s="23" t="s">
        <v>41</v>
      </c>
      <c r="D505" s="23" t="s">
        <v>811</v>
      </c>
      <c r="E505" s="24" t="str">
        <f>IFERROR(VLOOKUP(F505, 'api-register-id'!B:F, 5, FALSE), "Not found path.")</f>
        <v>APIMX000113</v>
      </c>
      <c r="F505" s="25" t="s">
        <v>1396</v>
      </c>
      <c r="G505" s="26" t="s">
        <v>4593</v>
      </c>
      <c r="H505" s="22" t="s">
        <v>4594</v>
      </c>
      <c r="I505" s="29" t="str">
        <f>IFERROR(VLOOKUP(F505, 'api-register-id'!B:I, 8, FALSE), "Not found path.")</f>
        <v>1.0.0</v>
      </c>
      <c r="J505" s="3" t="s">
        <v>4595</v>
      </c>
      <c r="K505" s="31" t="s">
        <v>48</v>
      </c>
      <c r="L505" s="23" t="s">
        <v>49</v>
      </c>
      <c r="M505" s="3" t="s">
        <v>1939</v>
      </c>
      <c r="N505" s="3" t="str">
        <f t="shared" si="1"/>
        <v>POST /system/clearingAndSettlement/transactionEngine/v1/transactionScheduleFacility/initiate</v>
      </c>
      <c r="O505" s="32" t="s">
        <v>1940</v>
      </c>
      <c r="P505" s="32" t="s">
        <v>900</v>
      </c>
      <c r="Q505" s="61" t="s">
        <v>98</v>
      </c>
      <c r="R505" s="31" t="s">
        <v>56</v>
      </c>
      <c r="S505" s="38" t="str">
        <f t="shared" si="2"/>
        <v>https://github.com/SF-Bancoppel/mx-api-bc-pro-transaction-engine</v>
      </c>
      <c r="T505" s="40"/>
      <c r="U505" s="40"/>
      <c r="V505" s="40"/>
      <c r="W505" s="40"/>
      <c r="X505" s="40"/>
      <c r="Y505" s="40"/>
      <c r="Z505" s="40"/>
      <c r="AA505" s="40"/>
      <c r="AB505" s="40"/>
    </row>
    <row r="506" ht="18.75" customHeight="1">
      <c r="A506" s="18" t="str">
        <f t="array" ref="A506">IFERROR(
  INDEX(
    'api-register-id'!A:A,
    MATCH(F506, 'api-register-id'!B:B, 0)
  ),
  "Not found Organization"
)</f>
        <v>SSFF</v>
      </c>
      <c r="B506" s="22" t="str">
        <f>IFERROR(VLOOKUP(F506, 'api-register-id'!B:F, 4, FALSE), "Not found path.")</f>
        <v>mx-api-bc-pro-transaction-engine</v>
      </c>
      <c r="C506" s="23" t="s">
        <v>41</v>
      </c>
      <c r="D506" s="23" t="s">
        <v>811</v>
      </c>
      <c r="E506" s="24" t="str">
        <f>IFERROR(VLOOKUP(F506, 'api-register-id'!B:F, 5, FALSE), "Not found path.")</f>
        <v>APIMX000113</v>
      </c>
      <c r="F506" s="25" t="s">
        <v>1396</v>
      </c>
      <c r="G506" s="26" t="s">
        <v>4596</v>
      </c>
      <c r="H506" s="22" t="s">
        <v>4597</v>
      </c>
      <c r="I506" s="29" t="str">
        <f>IFERROR(VLOOKUP(F506, 'api-register-id'!B:I, 8, FALSE), "Not found path.")</f>
        <v>1.0.0</v>
      </c>
      <c r="J506" s="3" t="s">
        <v>4595</v>
      </c>
      <c r="K506" s="31" t="s">
        <v>48</v>
      </c>
      <c r="L506" s="23" t="s">
        <v>49</v>
      </c>
      <c r="M506" s="3" t="s">
        <v>1945</v>
      </c>
      <c r="N506" s="3" t="str">
        <f t="shared" si="1"/>
        <v>POST /system/clearingAndSettlement/transactionEngine/v1/transactionScheduleFacility/register</v>
      </c>
      <c r="O506" s="32" t="s">
        <v>1946</v>
      </c>
      <c r="P506" s="32" t="s">
        <v>900</v>
      </c>
      <c r="Q506" s="61" t="s">
        <v>98</v>
      </c>
      <c r="R506" s="31" t="s">
        <v>56</v>
      </c>
      <c r="S506" s="38" t="str">
        <f t="shared" si="2"/>
        <v>https://github.com/SF-Bancoppel/mx-api-bc-pro-transaction-engine</v>
      </c>
      <c r="T506" s="40"/>
      <c r="U506" s="40"/>
      <c r="V506" s="40"/>
      <c r="W506" s="40"/>
      <c r="X506" s="40"/>
      <c r="Y506" s="40"/>
      <c r="Z506" s="40"/>
      <c r="AA506" s="40"/>
      <c r="AB506" s="40"/>
    </row>
    <row r="507" ht="18.75" customHeight="1">
      <c r="A507" s="18" t="str">
        <f t="array" ref="A507">IFERROR(
  INDEX(
    'api-register-id'!A:A,
    MATCH(F507, 'api-register-id'!B:B, 0)
  ),
  "Not found Organization"
)</f>
        <v>SSFF</v>
      </c>
      <c r="B507" s="22" t="str">
        <f>IFERROR(VLOOKUP(F507, 'api-register-id'!B:F, 4, FALSE), "Not found path.")</f>
        <v>mx-api-bc-pro-utility</v>
      </c>
      <c r="C507" s="23" t="s">
        <v>41</v>
      </c>
      <c r="D507" s="23" t="s">
        <v>811</v>
      </c>
      <c r="E507" s="24" t="str">
        <f>IFERROR(VLOOKUP(F507, 'api-register-id'!B:F, 5, FALSE), "Not found path.")</f>
        <v>APIMX000114</v>
      </c>
      <c r="F507" s="25" t="s">
        <v>1404</v>
      </c>
      <c r="G507" s="26" t="s">
        <v>4598</v>
      </c>
      <c r="H507" s="22" t="s">
        <v>4599</v>
      </c>
      <c r="I507" s="29" t="str">
        <f>IFERROR(VLOOKUP(F507, 'api-register-id'!B:I, 8, FALSE), "Not found path.")</f>
        <v>1.2.0</v>
      </c>
      <c r="J507" s="3" t="s">
        <v>4600</v>
      </c>
      <c r="K507" s="31" t="s">
        <v>48</v>
      </c>
      <c r="L507" s="23" t="s">
        <v>108</v>
      </c>
      <c r="M507" s="3" t="s">
        <v>1950</v>
      </c>
      <c r="N507" s="3" t="str">
        <f t="shared" si="1"/>
        <v>GET /system/utility/utility/v1/SMSParamProduct/{productInstanceReference}/retrieve</v>
      </c>
      <c r="O507" s="32" t="s">
        <v>1951</v>
      </c>
      <c r="P507" s="32"/>
      <c r="Q507" s="61" t="s">
        <v>98</v>
      </c>
      <c r="R507" s="31" t="s">
        <v>56</v>
      </c>
      <c r="S507" s="38" t="str">
        <f t="shared" si="2"/>
        <v>https://github.com/SF-Bancoppel/mx-api-bc-pro-utility</v>
      </c>
      <c r="T507" s="40"/>
      <c r="U507" s="40"/>
      <c r="V507" s="40"/>
      <c r="W507" s="40"/>
      <c r="X507" s="40"/>
      <c r="Y507" s="40"/>
      <c r="Z507" s="40"/>
      <c r="AA507" s="40"/>
      <c r="AB507" s="40"/>
    </row>
    <row r="508" ht="18.75" customHeight="1">
      <c r="A508" s="18" t="str">
        <f t="array" ref="A508">IFERROR(
  INDEX(
    'api-register-id'!A:A,
    MATCH(F508, 'api-register-id'!B:B, 0)
  ),
  "Not found Organization"
)</f>
        <v>SSFF</v>
      </c>
      <c r="B508" s="22" t="str">
        <f>IFERROR(VLOOKUP(F508, 'api-register-id'!B:F, 4, FALSE), "Not found path.")</f>
        <v>mx-api-bc-pro-utility</v>
      </c>
      <c r="C508" s="23" t="s">
        <v>41</v>
      </c>
      <c r="D508" s="23" t="s">
        <v>811</v>
      </c>
      <c r="E508" s="24" t="str">
        <f>IFERROR(VLOOKUP(F508, 'api-register-id'!B:F, 5, FALSE), "Not found path.")</f>
        <v>APIMX000114</v>
      </c>
      <c r="F508" s="25" t="s">
        <v>1404</v>
      </c>
      <c r="G508" s="26" t="s">
        <v>4601</v>
      </c>
      <c r="H508" s="22" t="s">
        <v>4602</v>
      </c>
      <c r="I508" s="29" t="str">
        <f>IFERROR(VLOOKUP(F508, 'api-register-id'!B:I, 8, FALSE), "Not found path.")</f>
        <v>1.2.0</v>
      </c>
      <c r="J508" s="3" t="s">
        <v>4600</v>
      </c>
      <c r="K508" s="31" t="s">
        <v>48</v>
      </c>
      <c r="L508" s="23" t="s">
        <v>49</v>
      </c>
      <c r="M508" s="3" t="s">
        <v>1957</v>
      </c>
      <c r="N508" s="3" t="str">
        <f t="shared" si="1"/>
        <v>POST /system/utility/utility/v1/SMSParamProduct/evaluate</v>
      </c>
      <c r="O508" s="32" t="s">
        <v>1958</v>
      </c>
      <c r="P508" s="32"/>
      <c r="Q508" s="61" t="s">
        <v>98</v>
      </c>
      <c r="R508" s="31" t="s">
        <v>56</v>
      </c>
      <c r="S508" s="38" t="str">
        <f t="shared" si="2"/>
        <v>https://github.com/SF-Bancoppel/mx-api-bc-pro-utility</v>
      </c>
      <c r="T508" s="40"/>
      <c r="U508" s="40"/>
      <c r="V508" s="40"/>
      <c r="W508" s="40"/>
      <c r="X508" s="40"/>
      <c r="Y508" s="40"/>
      <c r="Z508" s="40"/>
      <c r="AA508" s="40"/>
      <c r="AB508" s="40"/>
    </row>
    <row r="509" ht="18.75" customHeight="1">
      <c r="A509" s="18" t="str">
        <f t="array" ref="A509">IFERROR(
  INDEX(
    'api-register-id'!A:A,
    MATCH(F509, 'api-register-id'!B:B, 0)
  ),
  "Not found Organization"
)</f>
        <v>SSFF</v>
      </c>
      <c r="B509" s="22" t="str">
        <f>IFERROR(VLOOKUP(F509, 'api-register-id'!B:F, 4, FALSE), "Not found path.")</f>
        <v>mx-api-bc-pro-utility</v>
      </c>
      <c r="C509" s="23" t="s">
        <v>41</v>
      </c>
      <c r="D509" s="23" t="s">
        <v>811</v>
      </c>
      <c r="E509" s="24" t="str">
        <f>IFERROR(VLOOKUP(F509, 'api-register-id'!B:F, 5, FALSE), "Not found path.")</f>
        <v>APIMX000114</v>
      </c>
      <c r="F509" s="25" t="s">
        <v>1404</v>
      </c>
      <c r="G509" s="26" t="s">
        <v>4603</v>
      </c>
      <c r="H509" s="22" t="s">
        <v>4604</v>
      </c>
      <c r="I509" s="29" t="str">
        <f>IFERROR(VLOOKUP(F509, 'api-register-id'!B:I, 8, FALSE), "Not found path.")</f>
        <v>1.2.0</v>
      </c>
      <c r="J509" s="3" t="s">
        <v>4600</v>
      </c>
      <c r="K509" s="31" t="s">
        <v>48</v>
      </c>
      <c r="L509" s="23" t="s">
        <v>108</v>
      </c>
      <c r="M509" s="3" t="s">
        <v>1961</v>
      </c>
      <c r="N509" s="3" t="str">
        <f t="shared" si="1"/>
        <v>GET /system/utility/utility/v1/movementsRecord/retrieve</v>
      </c>
      <c r="O509" s="32" t="s">
        <v>1962</v>
      </c>
      <c r="P509" s="32"/>
      <c r="Q509" s="61" t="s">
        <v>98</v>
      </c>
      <c r="R509" s="31" t="s">
        <v>56</v>
      </c>
      <c r="S509" s="38" t="str">
        <f t="shared" si="2"/>
        <v>https://github.com/SF-Bancoppel/mx-api-bc-pro-utility</v>
      </c>
      <c r="T509" s="40"/>
      <c r="U509" s="40"/>
      <c r="V509" s="40"/>
      <c r="W509" s="40"/>
      <c r="X509" s="40"/>
      <c r="Y509" s="40"/>
      <c r="Z509" s="40"/>
      <c r="AA509" s="40"/>
      <c r="AB509" s="40"/>
    </row>
    <row r="510" ht="18.75" customHeight="1">
      <c r="A510" s="18" t="str">
        <f t="array" ref="A510">IFERROR(
  INDEX(
    'api-register-id'!A:A,
    MATCH(F510, 'api-register-id'!B:B, 0)
  ),
  "Not found Organization"
)</f>
        <v>SSFF</v>
      </c>
      <c r="B510" s="22" t="str">
        <f>IFERROR(VLOOKUP(F510, 'api-register-id'!B:F, 4, FALSE), "Not found path.")</f>
        <v>mx-api-bc-pro-utility</v>
      </c>
      <c r="C510" s="23" t="s">
        <v>41</v>
      </c>
      <c r="D510" s="23" t="s">
        <v>811</v>
      </c>
      <c r="E510" s="24" t="str">
        <f>IFERROR(VLOOKUP(F510, 'api-register-id'!B:F, 5, FALSE), "Not found path.")</f>
        <v>APIMX000114</v>
      </c>
      <c r="F510" s="25" t="s">
        <v>1404</v>
      </c>
      <c r="G510" s="26" t="s">
        <v>4605</v>
      </c>
      <c r="H510" s="22" t="s">
        <v>4606</v>
      </c>
      <c r="I510" s="29" t="str">
        <f>IFERROR(VLOOKUP(F510, 'api-register-id'!B:I, 8, FALSE), "Not found path.")</f>
        <v>1.2.0</v>
      </c>
      <c r="J510" s="3" t="s">
        <v>4600</v>
      </c>
      <c r="K510" s="31" t="s">
        <v>48</v>
      </c>
      <c r="L510" s="23" t="s">
        <v>49</v>
      </c>
      <c r="M510" s="3" t="s">
        <v>1967</v>
      </c>
      <c r="N510" s="3" t="str">
        <f t="shared" si="1"/>
        <v>POST /system/utility/utility/v1/configurationParameters/retrieve</v>
      </c>
      <c r="O510" s="32" t="s">
        <v>1968</v>
      </c>
      <c r="P510" s="32"/>
      <c r="Q510" s="61" t="s">
        <v>98</v>
      </c>
      <c r="R510" s="31" t="s">
        <v>56</v>
      </c>
      <c r="S510" s="38" t="str">
        <f t="shared" si="2"/>
        <v>https://github.com/SF-Bancoppel/mx-api-bc-pro-utility</v>
      </c>
      <c r="T510" s="40"/>
      <c r="U510" s="40"/>
      <c r="V510" s="40"/>
      <c r="W510" s="40"/>
      <c r="X510" s="40"/>
      <c r="Y510" s="40"/>
      <c r="Z510" s="40"/>
      <c r="AA510" s="40"/>
      <c r="AB510" s="40"/>
    </row>
    <row r="511" ht="18.75" customHeight="1">
      <c r="A511" s="18" t="str">
        <f t="array" ref="A511">IFERROR(
  INDEX(
    'api-register-id'!A:A,
    MATCH(F511, 'api-register-id'!B:B, 0)
  ),
  "Not found Organization"
)</f>
        <v>SSFF</v>
      </c>
      <c r="B511" s="22" t="str">
        <f>IFERROR(VLOOKUP(F511, 'api-register-id'!B:F, 4, FALSE), "Not found path.")</f>
        <v>mx-api-bc-pro-utility</v>
      </c>
      <c r="C511" s="23" t="s">
        <v>41</v>
      </c>
      <c r="D511" s="23" t="s">
        <v>811</v>
      </c>
      <c r="E511" s="24" t="str">
        <f>IFERROR(VLOOKUP(F511, 'api-register-id'!B:F, 5, FALSE), "Not found path.")</f>
        <v>APIMX000114</v>
      </c>
      <c r="F511" s="25" t="s">
        <v>1404</v>
      </c>
      <c r="G511" s="26" t="s">
        <v>4607</v>
      </c>
      <c r="H511" s="22" t="s">
        <v>4608</v>
      </c>
      <c r="I511" s="29" t="str">
        <f>IFERROR(VLOOKUP(F511, 'api-register-id'!B:I, 8, FALSE), "Not found path.")</f>
        <v>1.2.0</v>
      </c>
      <c r="J511" s="3" t="s">
        <v>4600</v>
      </c>
      <c r="K511" s="31" t="s">
        <v>48</v>
      </c>
      <c r="L511" s="23" t="s">
        <v>108</v>
      </c>
      <c r="M511" s="3" t="s">
        <v>1971</v>
      </c>
      <c r="N511" s="3" t="str">
        <f t="shared" si="1"/>
        <v>GET /system/utility/utility/v1/bRCommisionIVAParams/{companyReference}/retrieve</v>
      </c>
      <c r="O511" s="32" t="s">
        <v>1972</v>
      </c>
      <c r="P511" s="32"/>
      <c r="Q511" s="61" t="s">
        <v>98</v>
      </c>
      <c r="R511" s="31" t="s">
        <v>56</v>
      </c>
      <c r="S511" s="38" t="str">
        <f t="shared" si="2"/>
        <v>https://github.com/SF-Bancoppel/mx-api-bc-pro-utility</v>
      </c>
      <c r="T511" s="40"/>
      <c r="U511" s="40"/>
      <c r="V511" s="40"/>
      <c r="W511" s="40"/>
      <c r="X511" s="40"/>
      <c r="Y511" s="40"/>
      <c r="Z511" s="40"/>
      <c r="AA511" s="40"/>
      <c r="AB511" s="40"/>
    </row>
    <row r="512" ht="18.75" customHeight="1">
      <c r="A512" s="18" t="str">
        <f t="array" ref="A512">IFERROR(
  INDEX(
    'api-register-id'!A:A,
    MATCH(F512, 'api-register-id'!B:B, 0)
  ),
  "Not found Organization"
)</f>
        <v>SSFF</v>
      </c>
      <c r="B512" s="22" t="str">
        <f>IFERROR(VLOOKUP(F512, 'api-register-id'!B:F, 4, FALSE), "Not found path.")</f>
        <v>mx-api-bc-pro-utility</v>
      </c>
      <c r="C512" s="23" t="s">
        <v>41</v>
      </c>
      <c r="D512" s="23" t="s">
        <v>811</v>
      </c>
      <c r="E512" s="24" t="str">
        <f>IFERROR(VLOOKUP(F512, 'api-register-id'!B:F, 5, FALSE), "Not found path.")</f>
        <v>APIMX000114</v>
      </c>
      <c r="F512" s="25" t="s">
        <v>1404</v>
      </c>
      <c r="G512" s="26" t="s">
        <v>4609</v>
      </c>
      <c r="H512" s="22" t="s">
        <v>4610</v>
      </c>
      <c r="I512" s="29" t="str">
        <f>IFERROR(VLOOKUP(F512, 'api-register-id'!B:I, 8, FALSE), "Not found path.")</f>
        <v>1.2.0</v>
      </c>
      <c r="J512" s="3" t="s">
        <v>4600</v>
      </c>
      <c r="K512" s="31" t="s">
        <v>48</v>
      </c>
      <c r="L512" s="23" t="s">
        <v>49</v>
      </c>
      <c r="M512" s="3" t="s">
        <v>1978</v>
      </c>
      <c r="N512" s="3" t="str">
        <f t="shared" si="1"/>
        <v>POST /system/utility/utility/v1/bRInterestRateIVAParams/retrieve</v>
      </c>
      <c r="O512" s="32" t="s">
        <v>1979</v>
      </c>
      <c r="P512" s="32" t="s">
        <v>652</v>
      </c>
      <c r="Q512" s="61" t="s">
        <v>98</v>
      </c>
      <c r="R512" s="31" t="s">
        <v>56</v>
      </c>
      <c r="S512" s="38" t="str">
        <f t="shared" si="2"/>
        <v>https://github.com/SF-Bancoppel/mx-api-bc-pro-utility</v>
      </c>
      <c r="T512" s="40"/>
      <c r="U512" s="40"/>
      <c r="V512" s="40"/>
      <c r="W512" s="40"/>
      <c r="X512" s="40"/>
      <c r="Y512" s="40"/>
      <c r="Z512" s="40"/>
      <c r="AA512" s="40"/>
      <c r="AB512" s="40"/>
    </row>
    <row r="513" ht="18.75" customHeight="1">
      <c r="A513" s="18" t="str">
        <f t="array" ref="A513">IFERROR(
  INDEX(
    'api-register-id'!A:A,
    MATCH(F513, 'api-register-id'!B:B, 0)
  ),
  "Not found Organization"
)</f>
        <v>SSFF</v>
      </c>
      <c r="B513" s="22" t="str">
        <f>IFERROR(VLOOKUP(F513, 'api-register-id'!B:F, 4, FALSE), "Not found path.")</f>
        <v>mx-api-bc-pro-utility</v>
      </c>
      <c r="C513" s="23" t="s">
        <v>41</v>
      </c>
      <c r="D513" s="23" t="s">
        <v>811</v>
      </c>
      <c r="E513" s="24" t="str">
        <f>IFERROR(VLOOKUP(F513, 'api-register-id'!B:F, 5, FALSE), "Not found path.")</f>
        <v>APIMX000114</v>
      </c>
      <c r="F513" s="25" t="s">
        <v>1404</v>
      </c>
      <c r="G513" s="26" t="s">
        <v>4611</v>
      </c>
      <c r="H513" s="22" t="s">
        <v>4486</v>
      </c>
      <c r="I513" s="29" t="str">
        <f>IFERROR(VLOOKUP(F513, 'api-register-id'!B:I, 8, FALSE), "Not found path.")</f>
        <v>1.2.0</v>
      </c>
      <c r="J513" s="3" t="s">
        <v>4600</v>
      </c>
      <c r="K513" s="31" t="s">
        <v>48</v>
      </c>
      <c r="L513" s="23" t="s">
        <v>108</v>
      </c>
      <c r="M513" s="3" t="s">
        <v>1981</v>
      </c>
      <c r="N513" s="3" t="str">
        <f t="shared" si="1"/>
        <v>GET /system/utility/utility/v1/dataParameter/{companyReference}/retrieve</v>
      </c>
      <c r="O513" s="32" t="s">
        <v>4612</v>
      </c>
      <c r="P513" s="32"/>
      <c r="Q513" s="61" t="s">
        <v>98</v>
      </c>
      <c r="R513" s="31" t="s">
        <v>56</v>
      </c>
      <c r="S513" s="38" t="str">
        <f t="shared" si="2"/>
        <v>https://github.com/SF-Bancoppel/mx-api-bc-pro-utility</v>
      </c>
      <c r="T513" s="40"/>
      <c r="U513" s="40"/>
      <c r="V513" s="40"/>
      <c r="W513" s="40"/>
      <c r="X513" s="40"/>
      <c r="Y513" s="40"/>
      <c r="Z513" s="40"/>
      <c r="AA513" s="40"/>
      <c r="AB513" s="40"/>
    </row>
    <row r="514" ht="18.75" customHeight="1">
      <c r="A514" s="18" t="str">
        <f t="array" ref="A514">IFERROR(
  INDEX(
    'api-register-id'!A:A,
    MATCH(F514, 'api-register-id'!B:B, 0)
  ),
  "Not found Organization"
)</f>
        <v>SSFF</v>
      </c>
      <c r="B514" s="22" t="str">
        <f>IFERROR(VLOOKUP(F514, 'api-register-id'!B:F, 4, FALSE), "Not found path.")</f>
        <v>mx-api-bc-pro-utility</v>
      </c>
      <c r="C514" s="78" t="s">
        <v>41</v>
      </c>
      <c r="D514" s="78" t="s">
        <v>811</v>
      </c>
      <c r="E514" s="24" t="str">
        <f>IFERROR(VLOOKUP(F514, 'api-register-id'!B:F, 5, FALSE), "Not found path.")</f>
        <v>APIMX000114</v>
      </c>
      <c r="F514" s="25" t="s">
        <v>1404</v>
      </c>
      <c r="G514" s="26" t="s">
        <v>4613</v>
      </c>
      <c r="H514" s="22" t="s">
        <v>4614</v>
      </c>
      <c r="I514" s="29" t="str">
        <f>IFERROR(VLOOKUP(F514, 'api-register-id'!B:I, 8, FALSE), "Not found path.")</f>
        <v>1.2.0</v>
      </c>
      <c r="J514" s="3" t="s">
        <v>4600</v>
      </c>
      <c r="K514" s="31" t="s">
        <v>48</v>
      </c>
      <c r="L514" s="78" t="s">
        <v>108</v>
      </c>
      <c r="M514" s="3" t="s">
        <v>4615</v>
      </c>
      <c r="N514" s="3" t="str">
        <f t="shared" si="1"/>
        <v>GET /system/utility/utility/v1/serviceParameter/{companyReference}/retrieve</v>
      </c>
      <c r="O514" s="32" t="s">
        <v>4616</v>
      </c>
      <c r="P514" s="32"/>
      <c r="Q514" s="61" t="s">
        <v>4617</v>
      </c>
      <c r="R514" s="31" t="s">
        <v>56</v>
      </c>
      <c r="S514" s="38" t="str">
        <f t="shared" si="2"/>
        <v>https://github.com/SF-Bancoppel/mx-api-bc-pro-utility</v>
      </c>
      <c r="T514" s="40"/>
      <c r="U514" s="40"/>
      <c r="V514" s="40"/>
      <c r="W514" s="40"/>
      <c r="X514" s="40"/>
      <c r="Y514" s="40"/>
      <c r="Z514" s="40"/>
      <c r="AA514" s="40"/>
      <c r="AB514" s="40"/>
    </row>
    <row r="515" ht="18.75" customHeight="1">
      <c r="A515" s="18" t="str">
        <f t="array" ref="A515">IFERROR(
  INDEX(
    'api-register-id'!A:A,
    MATCH(F515, 'api-register-id'!B:B, 0)
  ),
  "Not found Organization"
)</f>
        <v>SSFF</v>
      </c>
      <c r="B515" s="22" t="str">
        <f>IFERROR(VLOOKUP(F515, 'api-register-id'!B:F, 4, FALSE), "Not found path.")</f>
        <v>mx-api-bc-rec-branch-location-operations</v>
      </c>
      <c r="C515" s="23" t="s">
        <v>112</v>
      </c>
      <c r="D515" s="23" t="s">
        <v>1417</v>
      </c>
      <c r="E515" s="24" t="str">
        <f>IFERROR(VLOOKUP(F515, 'api-register-id'!B:F, 5, FALSE), "Not found path.")</f>
        <v>APIMX000115</v>
      </c>
      <c r="F515" s="25" t="s">
        <v>1416</v>
      </c>
      <c r="G515" s="26" t="s">
        <v>4618</v>
      </c>
      <c r="H515" s="22" t="s">
        <v>3891</v>
      </c>
      <c r="I515" s="29" t="str">
        <f>IFERROR(VLOOKUP(F515, 'api-register-id'!B:I, 8, FALSE), "Not found path.")</f>
        <v>1.1.0</v>
      </c>
      <c r="J515" s="3" t="s">
        <v>3892</v>
      </c>
      <c r="K515" s="31" t="s">
        <v>48</v>
      </c>
      <c r="L515" s="23" t="s">
        <v>49</v>
      </c>
      <c r="M515" s="3" t="s">
        <v>492</v>
      </c>
      <c r="N515" s="3" t="str">
        <f t="shared" si="1"/>
        <v>POST /experience/channelSpecific/branchLocationOperations/v1/branchLocation/retrieve</v>
      </c>
      <c r="O515" s="32" t="s">
        <v>493</v>
      </c>
      <c r="P515" s="32"/>
      <c r="Q515" s="61" t="s">
        <v>98</v>
      </c>
      <c r="R515" s="31" t="s">
        <v>56</v>
      </c>
      <c r="S515" s="38" t="str">
        <f t="shared" si="2"/>
        <v>https://github.com/SF-Bancoppel/mx-api-bc-rec-branch-location-operations</v>
      </c>
      <c r="T515" s="40"/>
      <c r="U515" s="40"/>
      <c r="V515" s="40"/>
      <c r="W515" s="40"/>
      <c r="X515" s="40"/>
      <c r="Y515" s="40"/>
      <c r="Z515" s="40"/>
      <c r="AA515" s="40"/>
      <c r="AB515" s="40"/>
    </row>
    <row r="516" ht="18.75" hidden="1" customHeight="1">
      <c r="A516" s="18" t="str">
        <f t="array" ref="A516">IFERROR(
  INDEX(
    'api-register-id'!A:A,
    MATCH(F516, 'api-register-id'!B:B, 0)
  ),
  "Not found Organization"
)</f>
        <v>SSFF</v>
      </c>
      <c r="B516" s="22" t="str">
        <f>IFERROR(VLOOKUP(F516, 'api-register-id'!B:F, 4, FALSE), "Not found path.")</f>
        <v>mx-api-bc-rec-business-support</v>
      </c>
      <c r="C516" s="23" t="s">
        <v>112</v>
      </c>
      <c r="D516" s="23" t="s">
        <v>1417</v>
      </c>
      <c r="E516" s="24" t="str">
        <f>IFERROR(VLOOKUP(F516, 'api-register-id'!B:F, 5, FALSE), "Not found path.")</f>
        <v>APIMX000116</v>
      </c>
      <c r="F516" s="25" t="s">
        <v>1426</v>
      </c>
      <c r="G516" s="26" t="s">
        <v>4619</v>
      </c>
      <c r="H516" s="22" t="s">
        <v>3903</v>
      </c>
      <c r="I516" s="29" t="str">
        <f>IFERROR(VLOOKUP(F516, 'api-register-id'!B:I, 8, FALSE), "Not found path.")</f>
        <v>1.3.0</v>
      </c>
      <c r="J516" s="3" t="s">
        <v>3904</v>
      </c>
      <c r="K516" s="31" t="s">
        <v>48</v>
      </c>
      <c r="L516" s="23" t="s">
        <v>49</v>
      </c>
      <c r="M516" s="3" t="s">
        <v>50</v>
      </c>
      <c r="N516" s="3" t="str">
        <f t="shared" si="1"/>
        <v>POST /experience/businessSupport/v1/smsNotification/execute</v>
      </c>
      <c r="O516" s="32" t="s">
        <v>51</v>
      </c>
      <c r="P516" s="32" t="s">
        <v>52</v>
      </c>
      <c r="Q516" s="49" t="s">
        <v>4620</v>
      </c>
      <c r="R516" s="31" t="s">
        <v>56</v>
      </c>
      <c r="S516" s="38" t="str">
        <f t="shared" si="2"/>
        <v>https://github.com/SF-Bancoppel/mx-api-bc-rec-business-support</v>
      </c>
      <c r="T516" s="40"/>
      <c r="U516" s="40"/>
      <c r="V516" s="40"/>
      <c r="W516" s="40"/>
      <c r="X516" s="40"/>
      <c r="Y516" s="40"/>
      <c r="Z516" s="40"/>
      <c r="AA516" s="40"/>
      <c r="AB516" s="40"/>
    </row>
    <row r="517" ht="18.75" hidden="1" customHeight="1">
      <c r="A517" s="18" t="str">
        <f t="array" ref="A517">IFERROR(
  INDEX(
    'api-register-id'!A:A,
    MATCH(F517, 'api-register-id'!B:B, 0)
  ),
  "Not found Organization"
)</f>
        <v>SSFF</v>
      </c>
      <c r="B517" s="22" t="str">
        <f>IFERROR(VLOOKUP(F517, 'api-register-id'!B:F, 4, FALSE), "Not found path.")</f>
        <v>mx-api-bc-rec-business-support</v>
      </c>
      <c r="C517" s="23" t="s">
        <v>112</v>
      </c>
      <c r="D517" s="23" t="s">
        <v>1417</v>
      </c>
      <c r="E517" s="24" t="str">
        <f>IFERROR(VLOOKUP(F517, 'api-register-id'!B:F, 5, FALSE), "Not found path.")</f>
        <v>APIMX000116</v>
      </c>
      <c r="F517" s="25" t="s">
        <v>1426</v>
      </c>
      <c r="G517" s="26" t="s">
        <v>4621</v>
      </c>
      <c r="H517" s="22" t="s">
        <v>3911</v>
      </c>
      <c r="I517" s="29" t="str">
        <f>IFERROR(VLOOKUP(F517, 'api-register-id'!B:I, 8, FALSE), "Not found path.")</f>
        <v>1.3.0</v>
      </c>
      <c r="J517" s="3" t="s">
        <v>3904</v>
      </c>
      <c r="K517" s="31" t="s">
        <v>48</v>
      </c>
      <c r="L517" s="23" t="s">
        <v>61</v>
      </c>
      <c r="M517" s="3" t="s">
        <v>62</v>
      </c>
      <c r="N517" s="3" t="str">
        <f t="shared" si="1"/>
        <v>PUT /experience/businessSupport/v1/executeOrderConfirmation/execute</v>
      </c>
      <c r="O517" s="32" t="s">
        <v>63</v>
      </c>
      <c r="P517" s="32" t="s">
        <v>64</v>
      </c>
      <c r="Q517" s="36" t="s">
        <v>4622</v>
      </c>
      <c r="R517" s="31" t="s">
        <v>56</v>
      </c>
      <c r="S517" s="38" t="str">
        <f t="shared" si="2"/>
        <v>https://github.com/SF-Bancoppel/mx-api-bc-rec-business-support</v>
      </c>
      <c r="T517" s="40"/>
      <c r="U517" s="40"/>
      <c r="V517" s="40"/>
      <c r="W517" s="40"/>
      <c r="X517" s="40"/>
      <c r="Y517" s="40"/>
      <c r="Z517" s="40"/>
      <c r="AA517" s="40"/>
      <c r="AB517" s="40"/>
    </row>
    <row r="518" ht="18.75" hidden="1" customHeight="1">
      <c r="A518" s="18" t="str">
        <f t="array" ref="A518">IFERROR(
  INDEX(
    'api-register-id'!A:A,
    MATCH(F518, 'api-register-id'!B:B, 0)
  ),
  "Not found Organization"
)</f>
        <v>SSFF</v>
      </c>
      <c r="B518" s="22" t="str">
        <f>IFERROR(VLOOKUP(F518, 'api-register-id'!B:F, 4, FALSE), "Not found path.")</f>
        <v>mx-api-bc-rec-business-support</v>
      </c>
      <c r="C518" s="23" t="s">
        <v>112</v>
      </c>
      <c r="D518" s="23" t="s">
        <v>1417</v>
      </c>
      <c r="E518" s="24" t="str">
        <f>IFERROR(VLOOKUP(F518, 'api-register-id'!B:F, 5, FALSE), "Not found path.")</f>
        <v>APIMX000116</v>
      </c>
      <c r="F518" s="25" t="s">
        <v>1426</v>
      </c>
      <c r="G518" s="26" t="s">
        <v>4623</v>
      </c>
      <c r="H518" s="22" t="s">
        <v>3922</v>
      </c>
      <c r="I518" s="29" t="str">
        <f>IFERROR(VLOOKUP(F518, 'api-register-id'!B:I, 8, FALSE), "Not found path.")</f>
        <v>1.3.0</v>
      </c>
      <c r="J518" s="3" t="s">
        <v>3904</v>
      </c>
      <c r="K518" s="31" t="s">
        <v>48</v>
      </c>
      <c r="L518" s="23" t="s">
        <v>49</v>
      </c>
      <c r="M518" s="3" t="s">
        <v>70</v>
      </c>
      <c r="N518" s="3" t="str">
        <f t="shared" si="1"/>
        <v>POST /experience/businessSupport/v1/orderCancellation/retrieve</v>
      </c>
      <c r="O518" s="32" t="s">
        <v>71</v>
      </c>
      <c r="P518" s="32"/>
      <c r="Q518" s="36" t="s">
        <v>4624</v>
      </c>
      <c r="R518" s="31" t="s">
        <v>56</v>
      </c>
      <c r="S518" s="38" t="str">
        <f t="shared" si="2"/>
        <v>https://github.com/SF-Bancoppel/mx-api-bc-rec-business-support</v>
      </c>
      <c r="T518" s="40"/>
      <c r="U518" s="40"/>
      <c r="V518" s="40"/>
      <c r="W518" s="40"/>
      <c r="X518" s="40"/>
      <c r="Y518" s="40"/>
      <c r="Z518" s="40"/>
      <c r="AA518" s="40"/>
      <c r="AB518" s="40"/>
    </row>
    <row r="519" ht="18.75" hidden="1" customHeight="1">
      <c r="A519" s="18" t="str">
        <f t="array" ref="A519">IFERROR(
  INDEX(
    'api-register-id'!A:A,
    MATCH(F519, 'api-register-id'!B:B, 0)
  ),
  "Not found Organization"
)</f>
        <v>SSFF</v>
      </c>
      <c r="B519" s="22" t="str">
        <f>IFERROR(VLOOKUP(F519, 'api-register-id'!B:F, 4, FALSE), "Not found path.")</f>
        <v>mx-api-bc-rec-business-support</v>
      </c>
      <c r="C519" s="23" t="s">
        <v>112</v>
      </c>
      <c r="D519" s="23" t="s">
        <v>1417</v>
      </c>
      <c r="E519" s="24" t="str">
        <f>IFERROR(VLOOKUP(F519, 'api-register-id'!B:F, 5, FALSE), "Not found path.")</f>
        <v>APIMX000116</v>
      </c>
      <c r="F519" s="25" t="s">
        <v>1426</v>
      </c>
      <c r="G519" s="26" t="s">
        <v>4625</v>
      </c>
      <c r="H519" s="22" t="s">
        <v>3929</v>
      </c>
      <c r="I519" s="29" t="str">
        <f>IFERROR(VLOOKUP(F519, 'api-register-id'!B:I, 8, FALSE), "Not found path.")</f>
        <v>1.3.0</v>
      </c>
      <c r="J519" s="3" t="s">
        <v>3904</v>
      </c>
      <c r="K519" s="31" t="s">
        <v>48</v>
      </c>
      <c r="L519" s="23" t="s">
        <v>49</v>
      </c>
      <c r="M519" s="3" t="s">
        <v>82</v>
      </c>
      <c r="N519" s="3" t="str">
        <f t="shared" si="1"/>
        <v>POST /experience/businessSupport/v1/paymentOrderProcedure/initiate</v>
      </c>
      <c r="O519" s="32" t="s">
        <v>83</v>
      </c>
      <c r="P519" s="32"/>
      <c r="Q519" s="36" t="s">
        <v>4626</v>
      </c>
      <c r="R519" s="31" t="s">
        <v>56</v>
      </c>
      <c r="S519" s="38" t="str">
        <f t="shared" si="2"/>
        <v>https://github.com/SF-Bancoppel/mx-api-bc-rec-business-support</v>
      </c>
      <c r="T519" s="40"/>
      <c r="U519" s="40"/>
      <c r="V519" s="40"/>
      <c r="W519" s="40"/>
      <c r="X519" s="40"/>
      <c r="Y519" s="40"/>
      <c r="Z519" s="40"/>
      <c r="AA519" s="40"/>
      <c r="AB519" s="40"/>
    </row>
    <row r="520" ht="18.75" customHeight="1">
      <c r="A520" s="18" t="str">
        <f t="array" ref="A520">IFERROR(
  INDEX(
    'api-register-id'!A:A,
    MATCH(F520, 'api-register-id'!B:B, 0)
  ),
  "Not found Organization"
)</f>
        <v>SSFF</v>
      </c>
      <c r="B520" s="22" t="str">
        <f>IFERROR(VLOOKUP(F520, 'api-register-id'!B:F, 4, FALSE), "Not found path.")</f>
        <v>mx-api-bc-rec-card-ecommerce-gateway</v>
      </c>
      <c r="C520" s="23" t="s">
        <v>112</v>
      </c>
      <c r="D520" s="23" t="s">
        <v>1417</v>
      </c>
      <c r="E520" s="24" t="str">
        <f>IFERROR(VLOOKUP(F520, 'api-register-id'!B:F, 5, FALSE), "Not found path.")</f>
        <v>APIMX000117</v>
      </c>
      <c r="F520" s="25" t="s">
        <v>1437</v>
      </c>
      <c r="G520" s="26" t="s">
        <v>4627</v>
      </c>
      <c r="H520" s="22" t="s">
        <v>3936</v>
      </c>
      <c r="I520" s="29" t="str">
        <f>IFERROR(VLOOKUP(F520, 'api-register-id'!B:I, 8, FALSE), "Not found path.")</f>
        <v>1.1.0</v>
      </c>
      <c r="J520" s="3" t="s">
        <v>3937</v>
      </c>
      <c r="K520" s="31" t="s">
        <v>48</v>
      </c>
      <c r="L520" s="23" t="s">
        <v>49</v>
      </c>
      <c r="M520" s="3" t="s">
        <v>502</v>
      </c>
      <c r="N520" s="3" t="str">
        <f t="shared" si="1"/>
        <v>POST /experience/payments/cardeCommerceGateway/v1/tokenAssignment/create</v>
      </c>
      <c r="O520" s="32" t="s">
        <v>503</v>
      </c>
      <c r="P520" s="32"/>
      <c r="Q520" s="61" t="s">
        <v>4628</v>
      </c>
      <c r="R520" s="31" t="s">
        <v>56</v>
      </c>
      <c r="S520" s="38" t="str">
        <f t="shared" si="2"/>
        <v>https://github.com/SF-Bancoppel/mx-api-bc-rec-card-ecommerce-gateway</v>
      </c>
      <c r="T520" s="40"/>
      <c r="U520" s="40"/>
      <c r="V520" s="40"/>
      <c r="W520" s="40"/>
      <c r="X520" s="40"/>
      <c r="Y520" s="40"/>
      <c r="Z520" s="40"/>
      <c r="AA520" s="40"/>
      <c r="AB520" s="40"/>
    </row>
    <row r="521" ht="18.75" customHeight="1">
      <c r="A521" s="18" t="str">
        <f t="array" ref="A521">IFERROR(
  INDEX(
    'api-register-id'!A:A,
    MATCH(F521, 'api-register-id'!B:B, 0)
  ),
  "Not found Organization"
)</f>
        <v>SSFF</v>
      </c>
      <c r="B521" s="22" t="str">
        <f>IFERROR(VLOOKUP(F521, 'api-register-id'!B:F, 4, FALSE), "Not found path.")</f>
        <v>mx-api-bc-rec-corporate-current-account</v>
      </c>
      <c r="C521" s="23" t="s">
        <v>112</v>
      </c>
      <c r="D521" s="23" t="s">
        <v>1417</v>
      </c>
      <c r="E521" s="24" t="str">
        <f>IFERROR(VLOOKUP(F521, 'api-register-id'!B:F, 5, FALSE), "Not found path.")</f>
        <v>APIMX000118</v>
      </c>
      <c r="F521" s="25" t="s">
        <v>1450</v>
      </c>
      <c r="G521" s="26" t="s">
        <v>4629</v>
      </c>
      <c r="H521" s="22" t="s">
        <v>3945</v>
      </c>
      <c r="I521" s="29" t="str">
        <f>IFERROR(VLOOKUP(F521, 'api-register-id'!B:I, 8, FALSE), "Not found path.")</f>
        <v>1.2.0</v>
      </c>
      <c r="J521" s="3" t="s">
        <v>3946</v>
      </c>
      <c r="K521" s="31" t="s">
        <v>48</v>
      </c>
      <c r="L521" s="23" t="s">
        <v>49</v>
      </c>
      <c r="M521" s="3" t="s">
        <v>512</v>
      </c>
      <c r="N521" s="3" t="str">
        <f t="shared" si="1"/>
        <v>POST /experience/loansAndDeposits/corporateCurrentAccount/v1/corporateCurrentAccountFacility/initiate</v>
      </c>
      <c r="O521" s="32" t="s">
        <v>514</v>
      </c>
      <c r="P521" s="32"/>
      <c r="Q521" s="61" t="s">
        <v>98</v>
      </c>
      <c r="R521" s="31" t="s">
        <v>56</v>
      </c>
      <c r="S521" s="38" t="str">
        <f t="shared" si="2"/>
        <v>https://github.com/SF-Bancoppel/mx-api-bc-rec-corporate-current-account</v>
      </c>
      <c r="T521" s="40"/>
      <c r="U521" s="40"/>
      <c r="V521" s="40"/>
      <c r="W521" s="40"/>
      <c r="X521" s="40"/>
      <c r="Y521" s="40"/>
      <c r="Z521" s="40"/>
      <c r="AA521" s="40"/>
      <c r="AB521" s="40"/>
    </row>
    <row r="522" ht="18.75" customHeight="1">
      <c r="A522" s="18" t="str">
        <f t="array" ref="A522">IFERROR(
  INDEX(
    'api-register-id'!A:A,
    MATCH(F522, 'api-register-id'!B:B, 0)
  ),
  "Not found Organization"
)</f>
        <v>SSFF</v>
      </c>
      <c r="B522" s="22" t="str">
        <f>IFERROR(VLOOKUP(F522, 'api-register-id'!B:F, 4, FALSE), "Not found path.")</f>
        <v>mx-api-bc-rec-counterparty-risk</v>
      </c>
      <c r="C522" s="23" t="s">
        <v>112</v>
      </c>
      <c r="D522" s="23" t="s">
        <v>1417</v>
      </c>
      <c r="E522" s="24" t="str">
        <f>IFERROR(VLOOKUP(F522, 'api-register-id'!B:F, 5, FALSE), "Not found path.")</f>
        <v>APIMX000119</v>
      </c>
      <c r="F522" s="25" t="s">
        <v>1459</v>
      </c>
      <c r="G522" s="26" t="s">
        <v>4630</v>
      </c>
      <c r="H522" s="22" t="s">
        <v>3949</v>
      </c>
      <c r="I522" s="29" t="str">
        <f>IFERROR(VLOOKUP(F522, 'api-register-id'!B:I, 8, FALSE), "Not found path.")</f>
        <v>1.2.0</v>
      </c>
      <c r="J522" s="3" t="s">
        <v>3950</v>
      </c>
      <c r="K522" s="31" t="s">
        <v>48</v>
      </c>
      <c r="L522" s="23" t="s">
        <v>49</v>
      </c>
      <c r="M522" s="3" t="s">
        <v>540</v>
      </c>
      <c r="N522" s="3" t="str">
        <f t="shared" si="1"/>
        <v>POST /experience/accountManagement/counterpartyRisk/v1/customerCreditRating/evaluate</v>
      </c>
      <c r="O522" s="32" t="s">
        <v>542</v>
      </c>
      <c r="P522" s="32"/>
      <c r="Q522" s="61" t="s">
        <v>4631</v>
      </c>
      <c r="R522" s="31" t="s">
        <v>56</v>
      </c>
      <c r="S522" s="38" t="str">
        <f t="shared" si="2"/>
        <v>https://github.com/SF-Bancoppel/mx-api-bc-rec-counterparty-risk</v>
      </c>
      <c r="T522" s="40"/>
      <c r="U522" s="40"/>
      <c r="V522" s="40"/>
      <c r="W522" s="40"/>
      <c r="X522" s="40"/>
      <c r="Y522" s="40"/>
      <c r="Z522" s="40"/>
      <c r="AA522" s="40"/>
      <c r="AB522" s="40"/>
    </row>
    <row r="523" ht="18.75" customHeight="1">
      <c r="A523" s="18" t="str">
        <f t="array" ref="A523">IFERROR(
  INDEX(
    'api-register-id'!A:A,
    MATCH(F523, 'api-register-id'!B:B, 0)
  ),
  "Not found Organization"
)</f>
        <v>SSFF</v>
      </c>
      <c r="B523" s="22" t="str">
        <f>IFERROR(VLOOKUP(F523, 'api-register-id'!B:F, 4, FALSE), "Not found path.")</f>
        <v>mx-api-bc-rec-credit-card</v>
      </c>
      <c r="C523" s="23" t="s">
        <v>112</v>
      </c>
      <c r="D523" s="23" t="s">
        <v>1417</v>
      </c>
      <c r="E523" s="24" t="str">
        <f>IFERROR(VLOOKUP(F523, 'api-register-id'!B:F, 5, FALSE), "Not found path.")</f>
        <v>APIMX000120</v>
      </c>
      <c r="F523" s="25" t="s">
        <v>1471</v>
      </c>
      <c r="G523" s="26" t="s">
        <v>4632</v>
      </c>
      <c r="H523" s="22" t="s">
        <v>3958</v>
      </c>
      <c r="I523" s="29" t="str">
        <f>IFERROR(VLOOKUP(F523, 'api-register-id'!B:I, 8, FALSE), "Not found path.")</f>
        <v>1.14.0</v>
      </c>
      <c r="J523" s="3" t="s">
        <v>3959</v>
      </c>
      <c r="K523" s="31" t="s">
        <v>48</v>
      </c>
      <c r="L523" s="23" t="s">
        <v>49</v>
      </c>
      <c r="M523" s="3" t="s">
        <v>680</v>
      </c>
      <c r="N523" s="3" t="str">
        <f t="shared" si="1"/>
        <v>POST /experience/cards/creditCard/v1/creditCardApplication/evaluate</v>
      </c>
      <c r="O523" s="32" t="s">
        <v>2637</v>
      </c>
      <c r="P523" s="32"/>
      <c r="Q523" s="61" t="s">
        <v>98</v>
      </c>
      <c r="R523" s="31" t="s">
        <v>56</v>
      </c>
      <c r="S523" s="38" t="str">
        <f t="shared" si="2"/>
        <v>https://github.com/SF-Bancoppel/mx-api-bc-rec-credit-card</v>
      </c>
      <c r="T523" s="40"/>
      <c r="U523" s="40"/>
      <c r="V523" s="40"/>
      <c r="W523" s="40"/>
      <c r="X523" s="40"/>
      <c r="Y523" s="40"/>
      <c r="Z523" s="40"/>
      <c r="AA523" s="40"/>
      <c r="AB523" s="40"/>
    </row>
    <row r="524" ht="18.75" customHeight="1">
      <c r="A524" s="18" t="str">
        <f t="array" ref="A524">IFERROR(
  INDEX(
    'api-register-id'!A:A,
    MATCH(F524, 'api-register-id'!B:B, 0)
  ),
  "Not found Organization"
)</f>
        <v>SSFF</v>
      </c>
      <c r="B524" s="22" t="str">
        <f>IFERROR(VLOOKUP(F524, 'api-register-id'!B:F, 4, FALSE), "Not found path.")</f>
        <v>mx-api-bc-rec-credit-card</v>
      </c>
      <c r="C524" s="23" t="s">
        <v>112</v>
      </c>
      <c r="D524" s="23" t="s">
        <v>1417</v>
      </c>
      <c r="E524" s="24" t="str">
        <f>IFERROR(VLOOKUP(F524, 'api-register-id'!B:F, 5, FALSE), "Not found path.")</f>
        <v>APIMX000120</v>
      </c>
      <c r="F524" s="25" t="s">
        <v>1471</v>
      </c>
      <c r="G524" s="26" t="s">
        <v>4633</v>
      </c>
      <c r="H524" s="22" t="s">
        <v>3968</v>
      </c>
      <c r="I524" s="29" t="str">
        <f>IFERROR(VLOOKUP(F524, 'api-register-id'!B:I, 8, FALSE), "Not found path.")</f>
        <v>1.14.0</v>
      </c>
      <c r="J524" s="3" t="s">
        <v>3959</v>
      </c>
      <c r="K524" s="31" t="s">
        <v>48</v>
      </c>
      <c r="L524" s="23" t="s">
        <v>61</v>
      </c>
      <c r="M524" s="3" t="s">
        <v>670</v>
      </c>
      <c r="N524" s="3" t="str">
        <f t="shared" si="1"/>
        <v>PUT /experience/cards/creditCard/v1/paymentCard/control</v>
      </c>
      <c r="O524" s="32" t="s">
        <v>2643</v>
      </c>
      <c r="P524" s="32"/>
      <c r="Q524" s="61" t="s">
        <v>98</v>
      </c>
      <c r="R524" s="31" t="s">
        <v>56</v>
      </c>
      <c r="S524" s="38" t="str">
        <f t="shared" si="2"/>
        <v>https://github.com/SF-Bancoppel/mx-api-bc-rec-credit-card</v>
      </c>
      <c r="T524" s="40"/>
      <c r="U524" s="22"/>
      <c r="V524" s="40"/>
      <c r="W524" s="40"/>
      <c r="X524" s="40"/>
      <c r="Y524" s="40"/>
      <c r="Z524" s="22"/>
      <c r="AA524" s="22"/>
      <c r="AB524" s="22"/>
    </row>
    <row r="525" ht="18.75" customHeight="1">
      <c r="A525" s="18" t="str">
        <f t="array" ref="A525">IFERROR(
  INDEX(
    'api-register-id'!A:A,
    MATCH(F525, 'api-register-id'!B:B, 0)
  ),
  "Not found Organization"
)</f>
        <v>SSFF</v>
      </c>
      <c r="B525" s="22" t="str">
        <f>IFERROR(VLOOKUP(F525, 'api-register-id'!B:F, 4, FALSE), "Not found path.")</f>
        <v>mx-api-bc-rec-credit-card</v>
      </c>
      <c r="C525" s="23" t="s">
        <v>112</v>
      </c>
      <c r="D525" s="23" t="s">
        <v>1417</v>
      </c>
      <c r="E525" s="24" t="str">
        <f>IFERROR(VLOOKUP(F525, 'api-register-id'!B:F, 5, FALSE), "Not found path.")</f>
        <v>APIMX000120</v>
      </c>
      <c r="F525" s="25" t="s">
        <v>1471</v>
      </c>
      <c r="G525" s="26" t="s">
        <v>4634</v>
      </c>
      <c r="H525" s="22" t="s">
        <v>3975</v>
      </c>
      <c r="I525" s="29" t="str">
        <f>IFERROR(VLOOKUP(F525, 'api-register-id'!B:I, 8, FALSE), "Not found path.")</f>
        <v>1.14.0</v>
      </c>
      <c r="J525" s="3" t="s">
        <v>3959</v>
      </c>
      <c r="K525" s="31" t="s">
        <v>48</v>
      </c>
      <c r="L525" s="23" t="s">
        <v>49</v>
      </c>
      <c r="M525" s="3" t="s">
        <v>677</v>
      </c>
      <c r="N525" s="3" t="str">
        <f t="shared" si="1"/>
        <v>POST /experience/cards/creditCard/v1/paymentCard/register</v>
      </c>
      <c r="O525" s="32" t="s">
        <v>651</v>
      </c>
      <c r="P525" s="32"/>
      <c r="Q525" s="61" t="s">
        <v>98</v>
      </c>
      <c r="R525" s="31" t="s">
        <v>56</v>
      </c>
      <c r="S525" s="38" t="str">
        <f t="shared" si="2"/>
        <v>https://github.com/SF-Bancoppel/mx-api-bc-rec-credit-card</v>
      </c>
      <c r="T525" s="40"/>
      <c r="U525" s="22"/>
      <c r="V525" s="40"/>
      <c r="W525" s="40"/>
      <c r="X525" s="40"/>
      <c r="Y525" s="40"/>
      <c r="Z525" s="22"/>
      <c r="AA525" s="22"/>
      <c r="AB525" s="22"/>
    </row>
    <row r="526" ht="18.75" customHeight="1">
      <c r="A526" s="18" t="str">
        <f t="array" ref="A526">IFERROR(
  INDEX(
    'api-register-id'!A:A,
    MATCH(F526, 'api-register-id'!B:B, 0)
  ),
  "Not found Organization"
)</f>
        <v>SSFF</v>
      </c>
      <c r="B526" s="22" t="str">
        <f>IFERROR(VLOOKUP(F526, 'api-register-id'!B:F, 4, FALSE), "Not found path.")</f>
        <v>mx-api-bc-rec-credit-card</v>
      </c>
      <c r="C526" s="23" t="s">
        <v>112</v>
      </c>
      <c r="D526" s="23" t="s">
        <v>1417</v>
      </c>
      <c r="E526" s="24" t="str">
        <f>IFERROR(VLOOKUP(F526, 'api-register-id'!B:F, 5, FALSE), "Not found path.")</f>
        <v>APIMX000120</v>
      </c>
      <c r="F526" s="25" t="s">
        <v>1471</v>
      </c>
      <c r="G526" s="26" t="s">
        <v>4635</v>
      </c>
      <c r="H526" s="22" t="s">
        <v>3983</v>
      </c>
      <c r="I526" s="29" t="str">
        <f>IFERROR(VLOOKUP(F526, 'api-register-id'!B:I, 8, FALSE), "Not found path.")</f>
        <v>1.14.0</v>
      </c>
      <c r="J526" s="3" t="s">
        <v>3959</v>
      </c>
      <c r="K526" s="31" t="s">
        <v>48</v>
      </c>
      <c r="L526" s="23" t="s">
        <v>49</v>
      </c>
      <c r="M526" s="3" t="s">
        <v>604</v>
      </c>
      <c r="N526" s="3" t="str">
        <f t="shared" si="1"/>
        <v>POST /experience/cards/creditCard/v1/creditCardFacility/retrieve</v>
      </c>
      <c r="O526" s="32" t="s">
        <v>607</v>
      </c>
      <c r="P526" s="32"/>
      <c r="Q526" s="61" t="s">
        <v>98</v>
      </c>
      <c r="R526" s="31" t="s">
        <v>56</v>
      </c>
      <c r="S526" s="38" t="str">
        <f t="shared" si="2"/>
        <v>https://github.com/SF-Bancoppel/mx-api-bc-rec-credit-card</v>
      </c>
      <c r="T526" s="40"/>
      <c r="U526" s="22"/>
      <c r="V526" s="40"/>
      <c r="W526" s="40"/>
      <c r="X526" s="40"/>
      <c r="Y526" s="40"/>
      <c r="Z526" s="22"/>
      <c r="AA526" s="22"/>
      <c r="AB526" s="22"/>
    </row>
    <row r="527" ht="18.75" customHeight="1">
      <c r="A527" s="18" t="str">
        <f t="array" ref="A527">IFERROR(
  INDEX(
    'api-register-id'!A:A,
    MATCH(F527, 'api-register-id'!B:B, 0)
  ),
  "Not found Organization"
)</f>
        <v>SSFF</v>
      </c>
      <c r="B527" s="22" t="str">
        <f>IFERROR(VLOOKUP(F527, 'api-register-id'!B:F, 4, FALSE), "Not found path.")</f>
        <v>mx-api-bc-rec-credit-card</v>
      </c>
      <c r="C527" s="23" t="s">
        <v>112</v>
      </c>
      <c r="D527" s="23" t="s">
        <v>1417</v>
      </c>
      <c r="E527" s="24" t="str">
        <f>IFERROR(VLOOKUP(F527, 'api-register-id'!B:F, 5, FALSE), "Not found path.")</f>
        <v>APIMX000120</v>
      </c>
      <c r="F527" s="25" t="s">
        <v>1471</v>
      </c>
      <c r="G527" s="26" t="s">
        <v>4636</v>
      </c>
      <c r="H527" s="22" t="s">
        <v>3992</v>
      </c>
      <c r="I527" s="29" t="str">
        <f>IFERROR(VLOOKUP(F527, 'api-register-id'!B:I, 8, FALSE), "Not found path.")</f>
        <v>1.14.0</v>
      </c>
      <c r="J527" s="3" t="s">
        <v>3959</v>
      </c>
      <c r="K527" s="31" t="s">
        <v>48</v>
      </c>
      <c r="L527" s="23" t="s">
        <v>49</v>
      </c>
      <c r="M527" s="3" t="s">
        <v>687</v>
      </c>
      <c r="N527" s="3" t="str">
        <f t="shared" si="1"/>
        <v>POST /experience/cards/creditCard/v1/creditCardFacility/evaluate</v>
      </c>
      <c r="O527" s="32" t="s">
        <v>688</v>
      </c>
      <c r="P527" s="32"/>
      <c r="Q527" s="61" t="s">
        <v>98</v>
      </c>
      <c r="R527" s="31" t="s">
        <v>56</v>
      </c>
      <c r="S527" s="38" t="str">
        <f t="shared" si="2"/>
        <v>https://github.com/SF-Bancoppel/mx-api-bc-rec-credit-card</v>
      </c>
      <c r="T527" s="40"/>
      <c r="U527" s="22"/>
      <c r="V527" s="40"/>
      <c r="W527" s="40"/>
      <c r="X527" s="40"/>
      <c r="Y527" s="40"/>
      <c r="Z527" s="22"/>
      <c r="AA527" s="22"/>
      <c r="AB527" s="22"/>
    </row>
    <row r="528" ht="18.75" customHeight="1">
      <c r="A528" s="18" t="str">
        <f t="array" ref="A528">IFERROR(
  INDEX(
    'api-register-id'!A:A,
    MATCH(F528, 'api-register-id'!B:B, 0)
  ),
  "Not found Organization"
)</f>
        <v>SSFF</v>
      </c>
      <c r="B528" s="22" t="str">
        <f>IFERROR(VLOOKUP(F528, 'api-register-id'!B:F, 4, FALSE), "Not found path.")</f>
        <v>mx-api-bc-rec-credit-card</v>
      </c>
      <c r="C528" s="23" t="s">
        <v>112</v>
      </c>
      <c r="D528" s="23" t="s">
        <v>1417</v>
      </c>
      <c r="E528" s="24" t="str">
        <f>IFERROR(VLOOKUP(F528, 'api-register-id'!B:F, 5, FALSE), "Not found path.")</f>
        <v>APIMX000120</v>
      </c>
      <c r="F528" s="25" t="s">
        <v>1471</v>
      </c>
      <c r="G528" s="26" t="s">
        <v>4637</v>
      </c>
      <c r="H528" s="22" t="s">
        <v>3998</v>
      </c>
      <c r="I528" s="29" t="str">
        <f>IFERROR(VLOOKUP(F528, 'api-register-id'!B:I, 8, FALSE), "Not found path.")</f>
        <v>1.14.0</v>
      </c>
      <c r="J528" s="3" t="s">
        <v>3959</v>
      </c>
      <c r="K528" s="31" t="s">
        <v>48</v>
      </c>
      <c r="L528" s="23" t="s">
        <v>49</v>
      </c>
      <c r="M528" s="3" t="s">
        <v>597</v>
      </c>
      <c r="N528" s="3" t="str">
        <f t="shared" si="1"/>
        <v>POST /experience/cards/creditCard/v1/creditCardFacility/register</v>
      </c>
      <c r="O528" s="32" t="s">
        <v>599</v>
      </c>
      <c r="P528" s="32"/>
      <c r="Q528" s="61" t="s">
        <v>98</v>
      </c>
      <c r="R528" s="31" t="s">
        <v>56</v>
      </c>
      <c r="S528" s="38" t="str">
        <f t="shared" si="2"/>
        <v>https://github.com/SF-Bancoppel/mx-api-bc-rec-credit-card</v>
      </c>
      <c r="T528" s="40"/>
      <c r="U528" s="22"/>
      <c r="V528" s="40"/>
      <c r="W528" s="40"/>
      <c r="X528" s="40"/>
      <c r="Y528" s="40"/>
      <c r="Z528" s="22"/>
      <c r="AA528" s="22"/>
      <c r="AB528" s="22"/>
    </row>
    <row r="529" ht="18.75" customHeight="1">
      <c r="A529" s="18" t="str">
        <f t="array" ref="A529">IFERROR(
  INDEX(
    'api-register-id'!A:A,
    MATCH(F529, 'api-register-id'!B:B, 0)
  ),
  "Not found Organization"
)</f>
        <v>SSFF</v>
      </c>
      <c r="B529" s="22" t="str">
        <f>IFERROR(VLOOKUP(F529, 'api-register-id'!B:F, 4, FALSE), "Not found path.")</f>
        <v>mx-api-bc-rec-credit-card</v>
      </c>
      <c r="C529" s="23" t="s">
        <v>112</v>
      </c>
      <c r="D529" s="23" t="s">
        <v>1417</v>
      </c>
      <c r="E529" s="24" t="str">
        <f>IFERROR(VLOOKUP(F529, 'api-register-id'!B:F, 5, FALSE), "Not found path.")</f>
        <v>APIMX000120</v>
      </c>
      <c r="F529" s="25" t="s">
        <v>1471</v>
      </c>
      <c r="G529" s="26" t="s">
        <v>4638</v>
      </c>
      <c r="H529" s="22" t="s">
        <v>4005</v>
      </c>
      <c r="I529" s="29" t="str">
        <f>IFERROR(VLOOKUP(F529, 'api-register-id'!B:I, 8, FALSE), "Not found path.")</f>
        <v>1.14.0</v>
      </c>
      <c r="J529" s="3" t="s">
        <v>3959</v>
      </c>
      <c r="K529" s="31" t="s">
        <v>48</v>
      </c>
      <c r="L529" s="23" t="s">
        <v>49</v>
      </c>
      <c r="M529" s="3" t="s">
        <v>693</v>
      </c>
      <c r="N529" s="3" t="str">
        <f t="shared" si="1"/>
        <v>POST /experience/cards/creditCard/v1/cardTransaction/retrieve</v>
      </c>
      <c r="O529" s="32" t="s">
        <v>695</v>
      </c>
      <c r="P529" s="32"/>
      <c r="Q529" s="61" t="s">
        <v>4639</v>
      </c>
      <c r="R529" s="31" t="s">
        <v>56</v>
      </c>
      <c r="S529" s="38" t="str">
        <f t="shared" si="2"/>
        <v>https://github.com/SF-Bancoppel/mx-api-bc-rec-credit-card</v>
      </c>
      <c r="T529" s="40"/>
      <c r="U529" s="22"/>
      <c r="V529" s="40"/>
      <c r="W529" s="40"/>
      <c r="X529" s="40"/>
      <c r="Y529" s="40"/>
      <c r="Z529" s="22"/>
      <c r="AA529" s="22"/>
      <c r="AB529" s="22"/>
    </row>
    <row r="530" ht="18.75" customHeight="1">
      <c r="A530" s="18" t="str">
        <f t="array" ref="A530">IFERROR(
  INDEX(
    'api-register-id'!A:A,
    MATCH(F530, 'api-register-id'!B:B, 0)
  ),
  "Not found Organization"
)</f>
        <v>SSFF</v>
      </c>
      <c r="B530" s="22" t="str">
        <f>IFERROR(VLOOKUP(F530, 'api-register-id'!B:F, 4, FALSE), "Not found path.")</f>
        <v>mx-api-bc-rec-credit-card</v>
      </c>
      <c r="C530" s="23" t="s">
        <v>112</v>
      </c>
      <c r="D530" s="23" t="s">
        <v>1417</v>
      </c>
      <c r="E530" s="24" t="str">
        <f>IFERROR(VLOOKUP(F530, 'api-register-id'!B:F, 5, FALSE), "Not found path.")</f>
        <v>APIMX000120</v>
      </c>
      <c r="F530" s="25" t="s">
        <v>1471</v>
      </c>
      <c r="G530" s="26" t="s">
        <v>4640</v>
      </c>
      <c r="H530" s="22" t="s">
        <v>4014</v>
      </c>
      <c r="I530" s="29" t="str">
        <f>IFERROR(VLOOKUP(F530, 'api-register-id'!B:I, 8, FALSE), "Not found path.")</f>
        <v>1.14.0</v>
      </c>
      <c r="J530" s="3" t="s">
        <v>3959</v>
      </c>
      <c r="K530" s="31" t="s">
        <v>48</v>
      </c>
      <c r="L530" s="23" t="s">
        <v>61</v>
      </c>
      <c r="M530" s="3" t="s">
        <v>707</v>
      </c>
      <c r="N530" s="3" t="str">
        <f t="shared" si="1"/>
        <v>PUT /experience/cards/creditCard/v1/creditCardFacility/control</v>
      </c>
      <c r="O530" s="32" t="s">
        <v>708</v>
      </c>
      <c r="P530" s="32"/>
      <c r="Q530" s="61" t="s">
        <v>98</v>
      </c>
      <c r="R530" s="31" t="s">
        <v>56</v>
      </c>
      <c r="S530" s="38" t="str">
        <f t="shared" si="2"/>
        <v>https://github.com/SF-Bancoppel/mx-api-bc-rec-credit-card</v>
      </c>
      <c r="T530" s="40"/>
      <c r="U530" s="22"/>
      <c r="V530" s="40"/>
      <c r="W530" s="40"/>
      <c r="X530" s="40"/>
      <c r="Y530" s="40"/>
      <c r="Z530" s="22"/>
      <c r="AA530" s="22"/>
      <c r="AB530" s="22"/>
    </row>
    <row r="531" ht="18.75" customHeight="1">
      <c r="A531" s="18" t="str">
        <f t="array" ref="A531">IFERROR(
  INDEX(
    'api-register-id'!A:A,
    MATCH(F531, 'api-register-id'!B:B, 0)
  ),
  "Not found Organization"
)</f>
        <v>SSFF</v>
      </c>
      <c r="B531" s="22" t="str">
        <f>IFERROR(VLOOKUP(F531, 'api-register-id'!B:F, 4, FALSE), "Not found path.")</f>
        <v>mx-api-bc-rec-credit-card</v>
      </c>
      <c r="C531" s="23" t="s">
        <v>112</v>
      </c>
      <c r="D531" s="23" t="s">
        <v>1417</v>
      </c>
      <c r="E531" s="24" t="str">
        <f>IFERROR(VLOOKUP(F531, 'api-register-id'!B:F, 5, FALSE), "Not found path.")</f>
        <v>APIMX000120</v>
      </c>
      <c r="F531" s="25" t="s">
        <v>1471</v>
      </c>
      <c r="G531" s="26" t="s">
        <v>4641</v>
      </c>
      <c r="H531" s="22" t="s">
        <v>4020</v>
      </c>
      <c r="I531" s="29" t="str">
        <f>IFERROR(VLOOKUP(F531, 'api-register-id'!B:I, 8, FALSE), "Not found path.")</f>
        <v>1.14.0</v>
      </c>
      <c r="J531" s="3" t="s">
        <v>3959</v>
      </c>
      <c r="K531" s="31" t="s">
        <v>48</v>
      </c>
      <c r="L531" s="23" t="s">
        <v>49</v>
      </c>
      <c r="M531" s="3" t="s">
        <v>714</v>
      </c>
      <c r="N531" s="3" t="str">
        <f t="shared" si="1"/>
        <v>POST /experience/cards/creditCard/v1/creditCardPosition/retrieve</v>
      </c>
      <c r="O531" s="32" t="s">
        <v>715</v>
      </c>
      <c r="P531" s="32"/>
      <c r="Q531" s="61" t="s">
        <v>4642</v>
      </c>
      <c r="R531" s="31" t="s">
        <v>56</v>
      </c>
      <c r="S531" s="38" t="str">
        <f t="shared" si="2"/>
        <v>https://github.com/SF-Bancoppel/mx-api-bc-rec-credit-card</v>
      </c>
      <c r="T531" s="40"/>
      <c r="U531" s="22"/>
      <c r="V531" s="40"/>
      <c r="W531" s="40"/>
      <c r="X531" s="40"/>
      <c r="Y531" s="40"/>
      <c r="Z531" s="22"/>
      <c r="AA531" s="22"/>
      <c r="AB531" s="22"/>
    </row>
    <row r="532" ht="18.75" customHeight="1">
      <c r="A532" s="18" t="str">
        <f t="array" ref="A532">IFERROR(
  INDEX(
    'api-register-id'!A:A,
    MATCH(F532, 'api-register-id'!B:B, 0)
  ),
  "Not found Organization"
)</f>
        <v>SSFF</v>
      </c>
      <c r="B532" s="22" t="str">
        <f>IFERROR(VLOOKUP(F532, 'api-register-id'!B:F, 4, FALSE), "Not found path.")</f>
        <v>mx-api-bc-rec-credit-card</v>
      </c>
      <c r="C532" s="23" t="s">
        <v>112</v>
      </c>
      <c r="D532" s="23" t="s">
        <v>1417</v>
      </c>
      <c r="E532" s="24" t="str">
        <f>IFERROR(VLOOKUP(F532, 'api-register-id'!B:F, 5, FALSE), "Not found path.")</f>
        <v>APIMX000120</v>
      </c>
      <c r="F532" s="25" t="s">
        <v>1471</v>
      </c>
      <c r="G532" s="26" t="s">
        <v>4643</v>
      </c>
      <c r="H532" s="22" t="s">
        <v>4030</v>
      </c>
      <c r="I532" s="29" t="str">
        <f>IFERROR(VLOOKUP(F532, 'api-register-id'!B:I, 8, FALSE), "Not found path.")</f>
        <v>1.14.0</v>
      </c>
      <c r="J532" s="3" t="s">
        <v>3959</v>
      </c>
      <c r="K532" s="31" t="s">
        <v>48</v>
      </c>
      <c r="L532" s="23" t="s">
        <v>428</v>
      </c>
      <c r="M532" s="3" t="s">
        <v>726</v>
      </c>
      <c r="N532" s="3" t="str">
        <f t="shared" si="1"/>
        <v>PATCH /experience/cards/creditCard/v1/paymentCard/update</v>
      </c>
      <c r="O532" s="32" t="s">
        <v>728</v>
      </c>
      <c r="P532" s="32" t="s">
        <v>652</v>
      </c>
      <c r="Q532" s="61" t="s">
        <v>4644</v>
      </c>
      <c r="R532" s="31" t="s">
        <v>56</v>
      </c>
      <c r="S532" s="38" t="str">
        <f t="shared" si="2"/>
        <v>https://github.com/SF-Bancoppel/mx-api-bc-rec-credit-card</v>
      </c>
      <c r="T532" s="40"/>
      <c r="U532" s="22"/>
      <c r="V532" s="40"/>
      <c r="W532" s="40"/>
      <c r="X532" s="40"/>
      <c r="Y532" s="40"/>
      <c r="Z532" s="22"/>
      <c r="AA532" s="22"/>
      <c r="AB532" s="22"/>
    </row>
    <row r="533" ht="18.75" customHeight="1">
      <c r="A533" s="18" t="str">
        <f t="array" ref="A533">IFERROR(
  INDEX(
    'api-register-id'!A:A,
    MATCH(F533, 'api-register-id'!B:B, 0)
  ),
  "Not found Organization"
)</f>
        <v>SSFF</v>
      </c>
      <c r="B533" s="22" t="str">
        <f>IFERROR(VLOOKUP(F533, 'api-register-id'!B:F, 4, FALSE), "Not found path.")</f>
        <v>mx-api-bc-rec-credit-card</v>
      </c>
      <c r="C533" s="23" t="s">
        <v>112</v>
      </c>
      <c r="D533" s="23" t="s">
        <v>1417</v>
      </c>
      <c r="E533" s="24" t="str">
        <f>IFERROR(VLOOKUP(F533, 'api-register-id'!B:F, 5, FALSE), "Not found path.")</f>
        <v>APIMX000120</v>
      </c>
      <c r="F533" s="25" t="s">
        <v>1471</v>
      </c>
      <c r="G533" s="26" t="s">
        <v>4645</v>
      </c>
      <c r="H533" s="22" t="s">
        <v>4036</v>
      </c>
      <c r="I533" s="29" t="str">
        <f>IFERROR(VLOOKUP(F533, 'api-register-id'!B:I, 8, FALSE), "Not found path.")</f>
        <v>1.14.0</v>
      </c>
      <c r="J533" s="3" t="s">
        <v>3959</v>
      </c>
      <c r="K533" s="31" t="s">
        <v>48</v>
      </c>
      <c r="L533" s="23" t="s">
        <v>49</v>
      </c>
      <c r="M533" s="3" t="s">
        <v>734</v>
      </c>
      <c r="N533" s="3" t="str">
        <f t="shared" si="1"/>
        <v>POST /experience/cards/creditCard/v1/positionLimit/retrieve</v>
      </c>
      <c r="O533" s="32" t="s">
        <v>735</v>
      </c>
      <c r="P533" s="32"/>
      <c r="Q533" s="61" t="s">
        <v>98</v>
      </c>
      <c r="R533" s="31" t="s">
        <v>56</v>
      </c>
      <c r="S533" s="38" t="str">
        <f t="shared" si="2"/>
        <v>https://github.com/SF-Bancoppel/mx-api-bc-rec-credit-card</v>
      </c>
      <c r="T533" s="40"/>
      <c r="U533" s="22"/>
      <c r="V533" s="40"/>
      <c r="W533" s="40"/>
      <c r="X533" s="40"/>
      <c r="Y533" s="40"/>
      <c r="Z533" s="22"/>
      <c r="AA533" s="22"/>
      <c r="AB533" s="22"/>
    </row>
    <row r="534" ht="18.75" customHeight="1">
      <c r="A534" s="18" t="str">
        <f t="array" ref="A534">IFERROR(
  INDEX(
    'api-register-id'!A:A,
    MATCH(F534, 'api-register-id'!B:B, 0)
  ),
  "Not found Organization"
)</f>
        <v>SSFF</v>
      </c>
      <c r="B534" s="22" t="str">
        <f>IFERROR(VLOOKUP(F534, 'api-register-id'!B:F, 4, FALSE), "Not found path.")</f>
        <v>mx-api-bc-rec-credit-card</v>
      </c>
      <c r="C534" s="23" t="s">
        <v>112</v>
      </c>
      <c r="D534" s="23" t="s">
        <v>1417</v>
      </c>
      <c r="E534" s="24" t="str">
        <f>IFERROR(VLOOKUP(F534, 'api-register-id'!B:F, 5, FALSE), "Not found path.")</f>
        <v>APIMX000120</v>
      </c>
      <c r="F534" s="25" t="s">
        <v>1471</v>
      </c>
      <c r="G534" s="26" t="s">
        <v>4646</v>
      </c>
      <c r="H534" s="22" t="s">
        <v>4046</v>
      </c>
      <c r="I534" s="29" t="str">
        <f>IFERROR(VLOOKUP(F534, 'api-register-id'!B:I, 8, FALSE), "Not found path.")</f>
        <v>1.14.0</v>
      </c>
      <c r="J534" s="3" t="s">
        <v>3959</v>
      </c>
      <c r="K534" s="31" t="s">
        <v>48</v>
      </c>
      <c r="L534" s="23" t="s">
        <v>49</v>
      </c>
      <c r="M534" s="3" t="s">
        <v>650</v>
      </c>
      <c r="N534" s="3" t="str">
        <f t="shared" si="1"/>
        <v>POST /experience/cards/creditCard/v1/paymentCard/retrieve</v>
      </c>
      <c r="O534" s="32" t="s">
        <v>651</v>
      </c>
      <c r="P534" s="32"/>
      <c r="Q534" s="61" t="s">
        <v>98</v>
      </c>
      <c r="R534" s="31" t="s">
        <v>56</v>
      </c>
      <c r="S534" s="38" t="str">
        <f t="shared" si="2"/>
        <v>https://github.com/SF-Bancoppel/mx-api-bc-rec-credit-card</v>
      </c>
      <c r="T534" s="40"/>
      <c r="U534" s="22"/>
      <c r="V534" s="40"/>
      <c r="W534" s="40"/>
      <c r="X534" s="40"/>
      <c r="Y534" s="40"/>
      <c r="Z534" s="22"/>
      <c r="AA534" s="22"/>
      <c r="AB534" s="22"/>
    </row>
    <row r="535" ht="18.75" customHeight="1">
      <c r="A535" s="18" t="str">
        <f t="array" ref="A535">IFERROR(
  INDEX(
    'api-register-id'!A:A,
    MATCH(F535, 'api-register-id'!B:B, 0)
  ),
  "Not found Organization"
)</f>
        <v>SSFF</v>
      </c>
      <c r="B535" s="22" t="str">
        <f>IFERROR(VLOOKUP(F535, 'api-register-id'!B:F, 4, FALSE), "Not found path.")</f>
        <v>mx-api-bc-rec-credit-card</v>
      </c>
      <c r="C535" s="23" t="s">
        <v>112</v>
      </c>
      <c r="D535" s="23" t="s">
        <v>1417</v>
      </c>
      <c r="E535" s="24" t="str">
        <f>IFERROR(VLOOKUP(F535, 'api-register-id'!B:F, 5, FALSE), "Not found path.")</f>
        <v>APIMX000120</v>
      </c>
      <c r="F535" s="25" t="s">
        <v>1471</v>
      </c>
      <c r="G535" s="26" t="s">
        <v>4647</v>
      </c>
      <c r="H535" s="22" t="s">
        <v>4050</v>
      </c>
      <c r="I535" s="29" t="str">
        <f>IFERROR(VLOOKUP(F535, 'api-register-id'!B:I, 8, FALSE), "Not found path.")</f>
        <v>1.14.0</v>
      </c>
      <c r="J535" s="3" t="s">
        <v>3959</v>
      </c>
      <c r="K535" s="31" t="s">
        <v>48</v>
      </c>
      <c r="L535" s="23" t="s">
        <v>49</v>
      </c>
      <c r="M535" s="3" t="s">
        <v>722</v>
      </c>
      <c r="N535" s="3" t="str">
        <f t="shared" si="1"/>
        <v>POST /experience/cards/creditCard/v1/paymentCard/evaluate</v>
      </c>
      <c r="O535" s="32" t="s">
        <v>723</v>
      </c>
      <c r="P535" s="32"/>
      <c r="Q535" s="61" t="s">
        <v>98</v>
      </c>
      <c r="R535" s="31" t="s">
        <v>56</v>
      </c>
      <c r="S535" s="38" t="str">
        <f t="shared" si="2"/>
        <v>https://github.com/SF-Bancoppel/mx-api-bc-rec-credit-card</v>
      </c>
      <c r="T535" s="40"/>
      <c r="U535" s="22"/>
      <c r="V535" s="40"/>
      <c r="W535" s="40"/>
      <c r="X535" s="40"/>
      <c r="Y535" s="40"/>
      <c r="Z535" s="22"/>
      <c r="AA535" s="22"/>
      <c r="AB535" s="22"/>
    </row>
    <row r="536" ht="18.75" customHeight="1">
      <c r="A536" s="18" t="str">
        <f t="array" ref="A536">IFERROR(
  INDEX(
    'api-register-id'!A:A,
    MATCH(F536, 'api-register-id'!B:B, 0)
  ),
  "Not found Organization"
)</f>
        <v>SSFF</v>
      </c>
      <c r="B536" s="22" t="str">
        <f>IFERROR(VLOOKUP(F536, 'api-register-id'!B:F, 4, FALSE), "Not found path.")</f>
        <v>mx-api-bc-rec-credit-card</v>
      </c>
      <c r="C536" s="23" t="s">
        <v>112</v>
      </c>
      <c r="D536" s="23" t="s">
        <v>1417</v>
      </c>
      <c r="E536" s="24" t="str">
        <f>IFERROR(VLOOKUP(F536, 'api-register-id'!B:F, 5, FALSE), "Not found path.")</f>
        <v>APIMX000120</v>
      </c>
      <c r="F536" s="25" t="s">
        <v>1471</v>
      </c>
      <c r="G536" s="26" t="s">
        <v>4648</v>
      </c>
      <c r="H536" s="22" t="s">
        <v>4058</v>
      </c>
      <c r="I536" s="29" t="str">
        <f>IFERROR(VLOOKUP(F536, 'api-register-id'!B:I, 8, FALSE), "Not found path.")</f>
        <v>1.14.0</v>
      </c>
      <c r="J536" s="3" t="s">
        <v>3959</v>
      </c>
      <c r="K536" s="31" t="s">
        <v>48</v>
      </c>
      <c r="L536" s="23" t="s">
        <v>428</v>
      </c>
      <c r="M536" s="3" t="s">
        <v>786</v>
      </c>
      <c r="N536" s="3" t="str">
        <f t="shared" si="1"/>
        <v>PATCH /experience/cards/creditCard/v1/creditCardFacility/update</v>
      </c>
      <c r="O536" s="32" t="s">
        <v>787</v>
      </c>
      <c r="P536" s="32"/>
      <c r="Q536" s="61" t="s">
        <v>98</v>
      </c>
      <c r="R536" s="31" t="s">
        <v>56</v>
      </c>
      <c r="S536" s="38" t="str">
        <f t="shared" si="2"/>
        <v>https://github.com/SF-Bancoppel/mx-api-bc-rec-credit-card</v>
      </c>
      <c r="T536" s="40"/>
      <c r="U536" s="22"/>
      <c r="V536" s="40"/>
      <c r="W536" s="40"/>
      <c r="X536" s="40"/>
      <c r="Y536" s="40"/>
      <c r="Z536" s="22"/>
      <c r="AA536" s="22"/>
      <c r="AB536" s="22"/>
    </row>
    <row r="537" ht="18.75" customHeight="1">
      <c r="A537" s="18" t="str">
        <f t="array" ref="A537">IFERROR(
  INDEX(
    'api-register-id'!A:A,
    MATCH(F537, 'api-register-id'!B:B, 0)
  ),
  "Not found Organization"
)</f>
        <v>SSFF</v>
      </c>
      <c r="B537" s="22" t="str">
        <f>IFERROR(VLOOKUP(F537, 'api-register-id'!B:F, 4, FALSE), "Not found path.")</f>
        <v>mx-api-bc-rec-credit-card</v>
      </c>
      <c r="C537" s="23" t="s">
        <v>112</v>
      </c>
      <c r="D537" s="23" t="s">
        <v>1417</v>
      </c>
      <c r="E537" s="24" t="str">
        <f>IFERROR(VLOOKUP(F537, 'api-register-id'!B:F, 5, FALSE), "Not found path.")</f>
        <v>APIMX000120</v>
      </c>
      <c r="F537" s="25" t="s">
        <v>1471</v>
      </c>
      <c r="G537" s="26" t="s">
        <v>4649</v>
      </c>
      <c r="H537" s="22" t="s">
        <v>4067</v>
      </c>
      <c r="I537" s="29" t="str">
        <f>IFERROR(VLOOKUP(F537, 'api-register-id'!B:I, 8, FALSE), "Not found path.")</f>
        <v>1.14.0</v>
      </c>
      <c r="J537" s="3" t="s">
        <v>3959</v>
      </c>
      <c r="K537" s="31" t="s">
        <v>48</v>
      </c>
      <c r="L537" s="23" t="s">
        <v>49</v>
      </c>
      <c r="M537" s="3" t="s">
        <v>752</v>
      </c>
      <c r="N537" s="3" t="str">
        <f t="shared" si="1"/>
        <v>POST /experience/cards/creditCard/v1/refund/retrieve</v>
      </c>
      <c r="O537" s="32" t="s">
        <v>753</v>
      </c>
      <c r="P537" s="32"/>
      <c r="Q537" s="61" t="s">
        <v>98</v>
      </c>
      <c r="R537" s="31" t="s">
        <v>56</v>
      </c>
      <c r="S537" s="38" t="str">
        <f t="shared" si="2"/>
        <v>https://github.com/SF-Bancoppel/mx-api-bc-rec-credit-card</v>
      </c>
      <c r="T537" s="40"/>
      <c r="U537" s="40"/>
      <c r="V537" s="40"/>
      <c r="W537" s="40"/>
      <c r="X537" s="40"/>
      <c r="Y537" s="40"/>
      <c r="Z537" s="40"/>
      <c r="AA537" s="40"/>
      <c r="AB537" s="40"/>
    </row>
    <row r="538" ht="18.75" customHeight="1">
      <c r="A538" s="18" t="str">
        <f t="array" ref="A538">IFERROR(
  INDEX(
    'api-register-id'!A:A,
    MATCH(F538, 'api-register-id'!B:B, 0)
  ),
  "Not found Organization"
)</f>
        <v>SSFF</v>
      </c>
      <c r="B538" s="22" t="str">
        <f>IFERROR(VLOOKUP(F538, 'api-register-id'!B:F, 4, FALSE), "Not found path.")</f>
        <v>mx-api-bc-rec-credit-card</v>
      </c>
      <c r="C538" s="23" t="s">
        <v>112</v>
      </c>
      <c r="D538" s="23" t="s">
        <v>1417</v>
      </c>
      <c r="E538" s="24" t="str">
        <f>IFERROR(VLOOKUP(F538, 'api-register-id'!B:F, 5, FALSE), "Not found path.")</f>
        <v>APIMX000120</v>
      </c>
      <c r="F538" s="25" t="s">
        <v>1471</v>
      </c>
      <c r="G538" s="26" t="s">
        <v>4650</v>
      </c>
      <c r="H538" s="22" t="s">
        <v>4073</v>
      </c>
      <c r="I538" s="29" t="str">
        <f>IFERROR(VLOOKUP(F538, 'api-register-id'!B:I, 8, FALSE), "Not found path.")</f>
        <v>1.14.0</v>
      </c>
      <c r="J538" s="3" t="s">
        <v>3959</v>
      </c>
      <c r="K538" s="31" t="s">
        <v>48</v>
      </c>
      <c r="L538" s="23" t="s">
        <v>49</v>
      </c>
      <c r="M538" s="3" t="s">
        <v>765</v>
      </c>
      <c r="N538" s="3" t="str">
        <f t="shared" si="1"/>
        <v>POST /experience/cards/creditCard/v1/paymentCard/initiate</v>
      </c>
      <c r="O538" s="32" t="s">
        <v>767</v>
      </c>
      <c r="P538" s="32"/>
      <c r="Q538" s="61" t="s">
        <v>98</v>
      </c>
      <c r="R538" s="31" t="s">
        <v>56</v>
      </c>
      <c r="S538" s="38" t="str">
        <f t="shared" si="2"/>
        <v>https://github.com/SF-Bancoppel/mx-api-bc-rec-credit-card</v>
      </c>
      <c r="T538" s="40"/>
      <c r="U538" s="40"/>
      <c r="V538" s="40"/>
      <c r="W538" s="40"/>
      <c r="X538" s="40"/>
      <c r="Y538" s="40"/>
      <c r="Z538" s="40"/>
      <c r="AA538" s="40"/>
      <c r="AB538" s="40"/>
    </row>
    <row r="539" ht="18.75" customHeight="1">
      <c r="A539" s="18" t="str">
        <f t="array" ref="A539">IFERROR(
  INDEX(
    'api-register-id'!A:A,
    MATCH(F539, 'api-register-id'!B:B, 0)
  ),
  "Not found Organization"
)</f>
        <v>SSFF</v>
      </c>
      <c r="B539" s="22" t="str">
        <f>IFERROR(VLOOKUP(F539, 'api-register-id'!B:F, 4, FALSE), "Not found path.")</f>
        <v>mx-api-bc-rec-credit-card</v>
      </c>
      <c r="C539" s="23" t="s">
        <v>112</v>
      </c>
      <c r="D539" s="23" t="s">
        <v>1417</v>
      </c>
      <c r="E539" s="24" t="str">
        <f>IFERROR(VLOOKUP(F539, 'api-register-id'!B:F, 5, FALSE), "Not found path.")</f>
        <v>APIMX000120</v>
      </c>
      <c r="F539" s="25" t="s">
        <v>1471</v>
      </c>
      <c r="G539" s="26" t="s">
        <v>4651</v>
      </c>
      <c r="H539" s="22" t="s">
        <v>4080</v>
      </c>
      <c r="I539" s="29" t="str">
        <f>IFERROR(VLOOKUP(F539, 'api-register-id'!B:I, 8, FALSE), "Not found path.")</f>
        <v>1.14.0</v>
      </c>
      <c r="J539" s="3" t="s">
        <v>3959</v>
      </c>
      <c r="K539" s="31" t="s">
        <v>48</v>
      </c>
      <c r="L539" s="23" t="s">
        <v>49</v>
      </c>
      <c r="M539" s="3" t="s">
        <v>621</v>
      </c>
      <c r="N539" s="3" t="str">
        <f t="shared" si="1"/>
        <v>POST /experience/cards/creditCard/v1/creditCardBalance/retrieve</v>
      </c>
      <c r="O539" s="32" t="s">
        <v>4652</v>
      </c>
      <c r="P539" s="32"/>
      <c r="Q539" s="61" t="s">
        <v>98</v>
      </c>
      <c r="R539" s="31" t="s">
        <v>56</v>
      </c>
      <c r="S539" s="38" t="str">
        <f t="shared" si="2"/>
        <v>https://github.com/SF-Bancoppel/mx-api-bc-rec-credit-card</v>
      </c>
      <c r="T539" s="40"/>
      <c r="U539" s="40"/>
      <c r="V539" s="40"/>
      <c r="W539" s="40"/>
      <c r="X539" s="40"/>
      <c r="Y539" s="40"/>
      <c r="Z539" s="40"/>
      <c r="AA539" s="40"/>
      <c r="AB539" s="40"/>
    </row>
    <row r="540" ht="18.75" customHeight="1">
      <c r="A540" s="18" t="str">
        <f t="array" ref="A540">IFERROR(
  INDEX(
    'api-register-id'!A:A,
    MATCH(F540, 'api-register-id'!B:B, 0)
  ),
  "Not found Organization"
)</f>
        <v>SSFF</v>
      </c>
      <c r="B540" s="22" t="str">
        <f>IFERROR(VLOOKUP(F540, 'api-register-id'!B:F, 4, FALSE), "Not found path.")</f>
        <v>mx-api-bc-rec-credit-card-position-keeping</v>
      </c>
      <c r="C540" s="23" t="s">
        <v>112</v>
      </c>
      <c r="D540" s="23" t="s">
        <v>1417</v>
      </c>
      <c r="E540" s="24" t="str">
        <f>IFERROR(VLOOKUP(F540, 'api-register-id'!B:F, 5, FALSE), "Not found path.")</f>
        <v>APIMX000121</v>
      </c>
      <c r="F540" s="25" t="s">
        <v>1483</v>
      </c>
      <c r="G540" s="26" t="s">
        <v>4653</v>
      </c>
      <c r="H540" s="22" t="s">
        <v>4087</v>
      </c>
      <c r="I540" s="29" t="str">
        <f>IFERROR(VLOOKUP(F540, 'api-register-id'!B:I, 8, FALSE), "Not found path.")</f>
        <v>1.1.1</v>
      </c>
      <c r="J540" s="3" t="s">
        <v>4088</v>
      </c>
      <c r="K540" s="31" t="s">
        <v>48</v>
      </c>
      <c r="L540" s="23" t="s">
        <v>49</v>
      </c>
      <c r="M540" s="3" t="s">
        <v>803</v>
      </c>
      <c r="N540" s="3" t="str">
        <f t="shared" si="1"/>
        <v>POST /experience/cards/creditCardPositionKeeping/v1/cardTransactionEvent/register</v>
      </c>
      <c r="O540" s="32" t="s">
        <v>804</v>
      </c>
      <c r="P540" s="32"/>
      <c r="Q540" s="61" t="s">
        <v>98</v>
      </c>
      <c r="R540" s="31" t="s">
        <v>56</v>
      </c>
      <c r="S540" s="38" t="str">
        <f t="shared" si="2"/>
        <v>https://github.com/SF-Bancoppel/mx-api-bc-rec-credit-card-position-keeping</v>
      </c>
      <c r="T540" s="40"/>
      <c r="U540" s="40"/>
      <c r="V540" s="40"/>
      <c r="W540" s="40"/>
      <c r="X540" s="40"/>
      <c r="Y540" s="40"/>
      <c r="Z540" s="40"/>
      <c r="AA540" s="40"/>
      <c r="AB540" s="40"/>
    </row>
    <row r="541" ht="18.75" customHeight="1">
      <c r="A541" s="18" t="str">
        <f t="array" ref="A541">IFERROR(
  INDEX(
    'api-register-id'!A:A,
    MATCH(F541, 'api-register-id'!B:B, 0)
  ),
  "Not found Organization"
)</f>
        <v>SSFF</v>
      </c>
      <c r="B541" s="22" t="str">
        <f>IFERROR(VLOOKUP(F541, 'api-register-id'!B:F, 4, FALSE), "Not found path.")</f>
        <v>mx-api-bc-rec-credit-card-position-keeping</v>
      </c>
      <c r="C541" s="23" t="s">
        <v>112</v>
      </c>
      <c r="D541" s="23" t="s">
        <v>1417</v>
      </c>
      <c r="E541" s="24" t="str">
        <f>IFERROR(VLOOKUP(F541, 'api-register-id'!B:F, 5, FALSE), "Not found path.")</f>
        <v>APIMX000121</v>
      </c>
      <c r="F541" s="25" t="s">
        <v>1483</v>
      </c>
      <c r="G541" s="26" t="s">
        <v>4654</v>
      </c>
      <c r="H541" s="22" t="s">
        <v>4020</v>
      </c>
      <c r="I541" s="29" t="str">
        <f>IFERROR(VLOOKUP(F541, 'api-register-id'!B:I, 8, FALSE), "Not found path.")</f>
        <v>1.1.1</v>
      </c>
      <c r="J541" s="3" t="s">
        <v>4088</v>
      </c>
      <c r="K541" s="31" t="s">
        <v>48</v>
      </c>
      <c r="L541" s="23" t="s">
        <v>49</v>
      </c>
      <c r="M541" s="3" t="s">
        <v>714</v>
      </c>
      <c r="N541" s="3" t="str">
        <f t="shared" si="1"/>
        <v>POST /experience/cards/creditCardPositionKeeping/v1/creditCardPosition/retrieve</v>
      </c>
      <c r="O541" s="32" t="s">
        <v>808</v>
      </c>
      <c r="P541" s="32"/>
      <c r="Q541" s="61" t="s">
        <v>4655</v>
      </c>
      <c r="R541" s="31" t="s">
        <v>56</v>
      </c>
      <c r="S541" s="38" t="str">
        <f t="shared" si="2"/>
        <v>https://github.com/SF-Bancoppel/mx-api-bc-rec-credit-card-position-keeping</v>
      </c>
      <c r="T541" s="40"/>
      <c r="U541" s="40"/>
      <c r="V541" s="40"/>
      <c r="W541" s="40"/>
      <c r="X541" s="40"/>
      <c r="Y541" s="40"/>
      <c r="Z541" s="40"/>
      <c r="AA541" s="40"/>
      <c r="AB541" s="40"/>
    </row>
    <row r="542" ht="18.75" customHeight="1">
      <c r="A542" s="18" t="str">
        <f t="array" ref="A542">IFERROR(
  INDEX(
    'api-register-id'!A:A,
    MATCH(F542, 'api-register-id'!B:B, 0)
  ),
  "Not found Organization"
)</f>
        <v>SSFF</v>
      </c>
      <c r="B542" s="22" t="str">
        <f>IFERROR(VLOOKUP(F542, 'api-register-id'!B:F, 4, FALSE), "Not found path.")</f>
        <v>mx-api-bc-rec-credit-card-position-keeping</v>
      </c>
      <c r="C542" s="23" t="s">
        <v>112</v>
      </c>
      <c r="D542" s="23" t="s">
        <v>1417</v>
      </c>
      <c r="E542" s="24" t="str">
        <f>IFERROR(VLOOKUP(F542, 'api-register-id'!B:F, 5, FALSE), "Not found path.")</f>
        <v>APIMX000121</v>
      </c>
      <c r="F542" s="25" t="s">
        <v>1483</v>
      </c>
      <c r="G542" s="26" t="s">
        <v>4656</v>
      </c>
      <c r="H542" s="22" t="s">
        <v>4105</v>
      </c>
      <c r="I542" s="29" t="str">
        <f>IFERROR(VLOOKUP(F542, 'api-register-id'!B:I, 8, FALSE), "Not found path.")</f>
        <v>1.1.1</v>
      </c>
      <c r="J542" s="3" t="s">
        <v>4088</v>
      </c>
      <c r="K542" s="31" t="s">
        <v>48</v>
      </c>
      <c r="L542" s="23" t="s">
        <v>49</v>
      </c>
      <c r="M542" s="3" t="s">
        <v>817</v>
      </c>
      <c r="N542" s="3" t="str">
        <f t="shared" si="1"/>
        <v>POST /experience/cards/creditCardPositionKeeping/v1/creditCardAssessment/retrieve</v>
      </c>
      <c r="O542" s="32" t="s">
        <v>818</v>
      </c>
      <c r="P542" s="32"/>
      <c r="Q542" s="61" t="s">
        <v>98</v>
      </c>
      <c r="R542" s="31" t="s">
        <v>56</v>
      </c>
      <c r="S542" s="38" t="str">
        <f t="shared" si="2"/>
        <v>https://github.com/SF-Bancoppel/mx-api-bc-rec-credit-card-position-keeping</v>
      </c>
      <c r="T542" s="40"/>
      <c r="U542" s="40"/>
      <c r="V542" s="40"/>
      <c r="W542" s="40"/>
      <c r="X542" s="40"/>
      <c r="Y542" s="40"/>
      <c r="Z542" s="40"/>
      <c r="AA542" s="40"/>
      <c r="AB542" s="40"/>
    </row>
    <row r="543" ht="18.75" customHeight="1">
      <c r="A543" s="18" t="str">
        <f t="array" ref="A543">IFERROR(
  INDEX(
    'api-register-id'!A:A,
    MATCH(F543, 'api-register-id'!B:B, 0)
  ),
  "Not found Organization"
)</f>
        <v>SSFF</v>
      </c>
      <c r="B543" s="22" t="str">
        <f>IFERROR(VLOOKUP(F543, 'api-register-id'!B:F, 4, FALSE), "Not found path.")</f>
        <v>mx-api-bc-rec-credit-card-position-keeping</v>
      </c>
      <c r="C543" s="23" t="s">
        <v>112</v>
      </c>
      <c r="D543" s="23" t="s">
        <v>1417</v>
      </c>
      <c r="E543" s="24" t="str">
        <f>IFERROR(VLOOKUP(F543, 'api-register-id'!B:F, 5, FALSE), "Not found path.")</f>
        <v>APIMX000121</v>
      </c>
      <c r="F543" s="25" t="s">
        <v>1483</v>
      </c>
      <c r="G543" s="26" t="s">
        <v>4657</v>
      </c>
      <c r="H543" s="22" t="s">
        <v>4114</v>
      </c>
      <c r="I543" s="29" t="str">
        <f>IFERROR(VLOOKUP(F543, 'api-register-id'!B:I, 8, FALSE), "Not found path.")</f>
        <v>1.1.1</v>
      </c>
      <c r="J543" s="3" t="s">
        <v>4088</v>
      </c>
      <c r="K543" s="31" t="s">
        <v>48</v>
      </c>
      <c r="L543" s="23" t="s">
        <v>49</v>
      </c>
      <c r="M543" s="3" t="s">
        <v>821</v>
      </c>
      <c r="N543" s="3" t="str">
        <f t="shared" si="1"/>
        <v>POST /experience/cards/creditCardPositionKeeping/v1/creditCardStatement/retrieve</v>
      </c>
      <c r="O543" s="32" t="s">
        <v>823</v>
      </c>
      <c r="P543" s="32"/>
      <c r="Q543" s="61" t="s">
        <v>4658</v>
      </c>
      <c r="R543" s="31" t="s">
        <v>56</v>
      </c>
      <c r="S543" s="38" t="str">
        <f t="shared" si="2"/>
        <v>https://github.com/SF-Bancoppel/mx-api-bc-rec-credit-card-position-keeping</v>
      </c>
      <c r="T543" s="40"/>
      <c r="U543" s="40"/>
      <c r="V543" s="40"/>
      <c r="W543" s="40"/>
      <c r="X543" s="40"/>
      <c r="Y543" s="40"/>
      <c r="Z543" s="40"/>
      <c r="AA543" s="40"/>
      <c r="AB543" s="40"/>
    </row>
    <row r="544" ht="18.75" customHeight="1">
      <c r="A544" s="18" t="str">
        <f t="array" ref="A544">IFERROR(
  INDEX(
    'api-register-id'!A:A,
    MATCH(F544, 'api-register-id'!B:B, 0)
  ),
  "Not found Organization"
)</f>
        <v>SSFF</v>
      </c>
      <c r="B544" s="22" t="str">
        <f>IFERROR(VLOOKUP(F544, 'api-register-id'!B:F, 4, FALSE), "Not found path.")</f>
        <v>mx-api-bc-rec-credit-card-position-keeping</v>
      </c>
      <c r="C544" s="23" t="s">
        <v>112</v>
      </c>
      <c r="D544" s="23" t="s">
        <v>1417</v>
      </c>
      <c r="E544" s="24" t="str">
        <f>IFERROR(VLOOKUP(F544, 'api-register-id'!B:F, 5, FALSE), "Not found path.")</f>
        <v>APIMX000121</v>
      </c>
      <c r="F544" s="25" t="s">
        <v>1483</v>
      </c>
      <c r="G544" s="26" t="s">
        <v>4659</v>
      </c>
      <c r="H544" s="22" t="s">
        <v>4121</v>
      </c>
      <c r="I544" s="29" t="str">
        <f>IFERROR(VLOOKUP(F544, 'api-register-id'!B:I, 8, FALSE), "Not found path.")</f>
        <v>1.1.1</v>
      </c>
      <c r="J544" s="3" t="s">
        <v>4088</v>
      </c>
      <c r="K544" s="31" t="s">
        <v>48</v>
      </c>
      <c r="L544" s="23" t="s">
        <v>49</v>
      </c>
      <c r="M544" s="3" t="s">
        <v>209</v>
      </c>
      <c r="N544" s="3" t="str">
        <f t="shared" si="1"/>
        <v>POST /experience/cards/creditCardPositionKeeping/v1/creditCardHolder/retrieve</v>
      </c>
      <c r="O544" s="32" t="s">
        <v>2735</v>
      </c>
      <c r="P544" s="32"/>
      <c r="Q544" s="61" t="s">
        <v>98</v>
      </c>
      <c r="R544" s="31" t="s">
        <v>56</v>
      </c>
      <c r="S544" s="38" t="str">
        <f t="shared" si="2"/>
        <v>https://github.com/SF-Bancoppel/mx-api-bc-rec-credit-card-position-keeping</v>
      </c>
      <c r="T544" s="40"/>
      <c r="U544" s="40"/>
      <c r="V544" s="40"/>
      <c r="W544" s="40"/>
      <c r="X544" s="40"/>
      <c r="Y544" s="40"/>
      <c r="Z544" s="40"/>
      <c r="AA544" s="40"/>
      <c r="AB544" s="40"/>
    </row>
    <row r="545" ht="18.75" customHeight="1">
      <c r="A545" s="18" t="str">
        <f t="array" ref="A545">IFERROR(
  INDEX(
    'api-register-id'!A:A,
    MATCH(F545, 'api-register-id'!B:B, 0)
  ),
  "Not found Organization"
)</f>
        <v>SSFF</v>
      </c>
      <c r="B545" s="22" t="str">
        <f>IFERROR(VLOOKUP(F545, 'api-register-id'!B:F, 4, FALSE), "Not found path.")</f>
        <v>mx-api-bc-rec-credit-facility</v>
      </c>
      <c r="C545" s="23" t="s">
        <v>112</v>
      </c>
      <c r="D545" s="23" t="s">
        <v>1417</v>
      </c>
      <c r="E545" s="24" t="str">
        <f>IFERROR(VLOOKUP(F545, 'api-register-id'!B:F, 5, FALSE), "Not found path.")</f>
        <v>APIMX000122</v>
      </c>
      <c r="F545" s="25" t="s">
        <v>1495</v>
      </c>
      <c r="G545" s="26" t="s">
        <v>4660</v>
      </c>
      <c r="H545" s="22" t="s">
        <v>4132</v>
      </c>
      <c r="I545" s="29" t="str">
        <f>IFERROR(VLOOKUP(F545, 'api-register-id'!B:I, 8, FALSE), "Not found path.")</f>
        <v>1.2.1</v>
      </c>
      <c r="J545" s="3" t="s">
        <v>4133</v>
      </c>
      <c r="K545" s="31" t="s">
        <v>48</v>
      </c>
      <c r="L545" s="23" t="s">
        <v>428</v>
      </c>
      <c r="M545" s="3" t="s">
        <v>833</v>
      </c>
      <c r="N545" s="3" t="str">
        <f t="shared" si="1"/>
        <v>PATCH /experience/corporateBanking/creditFacility/v1/creditLineFacility/update</v>
      </c>
      <c r="O545" s="32" t="s">
        <v>834</v>
      </c>
      <c r="P545" s="32" t="s">
        <v>4661</v>
      </c>
      <c r="Q545" s="61" t="s">
        <v>98</v>
      </c>
      <c r="R545" s="31" t="s">
        <v>56</v>
      </c>
      <c r="S545" s="38" t="str">
        <f t="shared" si="2"/>
        <v>https://github.com/SF-Bancoppel/mx-api-bc-rec-credit-facility</v>
      </c>
      <c r="T545" s="40"/>
      <c r="U545" s="22"/>
      <c r="V545" s="40"/>
      <c r="W545" s="40"/>
      <c r="X545" s="40"/>
      <c r="Y545" s="40"/>
      <c r="Z545" s="22"/>
      <c r="AA545" s="22"/>
      <c r="AB545" s="22"/>
    </row>
    <row r="546" ht="18.75" customHeight="1">
      <c r="A546" s="18" t="str">
        <f t="array" ref="A546">IFERROR(
  INDEX(
    'api-register-id'!A:A,
    MATCH(F546, 'api-register-id'!B:B, 0)
  ),
  "Not found Organization"
)</f>
        <v>SSFF</v>
      </c>
      <c r="B546" s="22" t="str">
        <f>IFERROR(VLOOKUP(F546, 'api-register-id'!B:F, 4, FALSE), "Not found path.")</f>
        <v>mx-api-bc-rec-currency-exchange</v>
      </c>
      <c r="C546" s="23" t="s">
        <v>112</v>
      </c>
      <c r="D546" s="23" t="s">
        <v>1417</v>
      </c>
      <c r="E546" s="24" t="str">
        <f>IFERROR(VLOOKUP(F546, 'api-register-id'!B:F, 5, FALSE), "Not found path.")</f>
        <v>APIMX000123</v>
      </c>
      <c r="F546" s="25" t="s">
        <v>1508</v>
      </c>
      <c r="G546" s="26" t="s">
        <v>4662</v>
      </c>
      <c r="H546" s="22" t="s">
        <v>4140</v>
      </c>
      <c r="I546" s="29" t="str">
        <f>IFERROR(VLOOKUP(F546, 'api-register-id'!B:I, 8, FALSE), "Not found path.")</f>
        <v>1.0.0</v>
      </c>
      <c r="J546" s="3" t="s">
        <v>4141</v>
      </c>
      <c r="K546" s="31" t="s">
        <v>48</v>
      </c>
      <c r="L546" s="23" t="s">
        <v>49</v>
      </c>
      <c r="M546" s="3" t="s">
        <v>841</v>
      </c>
      <c r="N546" s="3" t="str">
        <f t="shared" si="1"/>
        <v>POST /experience/consumerServices/currencyExchange/v1/currencyExchangeTransaction/retrieve</v>
      </c>
      <c r="O546" s="32" t="s">
        <v>842</v>
      </c>
      <c r="P546" s="32"/>
      <c r="Q546" s="61" t="s">
        <v>98</v>
      </c>
      <c r="R546" s="31" t="s">
        <v>56</v>
      </c>
      <c r="S546" s="38" t="str">
        <f t="shared" si="2"/>
        <v>https://github.com/SF-Bancoppel/mx-api-bc-rec-currency-exchange</v>
      </c>
      <c r="T546" s="40"/>
      <c r="U546" s="40"/>
      <c r="V546" s="40"/>
      <c r="W546" s="40"/>
      <c r="X546" s="40"/>
      <c r="Y546" s="40"/>
      <c r="Z546" s="40"/>
      <c r="AA546" s="40"/>
      <c r="AB546" s="40"/>
    </row>
    <row r="547" ht="18.75" customHeight="1">
      <c r="A547" s="18" t="str">
        <f t="array" ref="A547">IFERROR(
  INDEX(
    'api-register-id'!A:A,
    MATCH(F547, 'api-register-id'!B:B, 0)
  ),
  "Not found Organization"
)</f>
        <v>SSFF</v>
      </c>
      <c r="B547" s="22" t="str">
        <f>IFERROR(VLOOKUP(F547, 'api-register-id'!B:F, 4, FALSE), "Not found path.")</f>
        <v>mx-api-bc-rec-customer-access-entitlement</v>
      </c>
      <c r="C547" s="23" t="s">
        <v>112</v>
      </c>
      <c r="D547" s="23" t="s">
        <v>1417</v>
      </c>
      <c r="E547" s="24" t="str">
        <f>IFERROR(VLOOKUP(F547, 'api-register-id'!B:F, 5, FALSE), "Not found path.")</f>
        <v>APIMX000124</v>
      </c>
      <c r="F547" s="25" t="s">
        <v>1520</v>
      </c>
      <c r="G547" s="26" t="s">
        <v>4663</v>
      </c>
      <c r="H547" s="22" t="s">
        <v>4148</v>
      </c>
      <c r="I547" s="29" t="str">
        <f>IFERROR(VLOOKUP(F547, 'api-register-id'!B:I, 8, FALSE), "Not found path.")</f>
        <v>1.1.1</v>
      </c>
      <c r="J547" s="3" t="s">
        <v>4149</v>
      </c>
      <c r="K547" s="31" t="s">
        <v>48</v>
      </c>
      <c r="L547" s="23" t="s">
        <v>49</v>
      </c>
      <c r="M547" s="3" t="s">
        <v>854</v>
      </c>
      <c r="N547" s="3" t="str">
        <f t="shared" si="1"/>
        <v>POST /experience/customerManagement/CustomerAccessEntitlement/v1/restrictions/retrieve</v>
      </c>
      <c r="O547" s="32" t="s">
        <v>4151</v>
      </c>
      <c r="P547" s="32" t="s">
        <v>4152</v>
      </c>
      <c r="Q547" s="61" t="s">
        <v>98</v>
      </c>
      <c r="R547" s="31" t="s">
        <v>56</v>
      </c>
      <c r="S547" s="38" t="str">
        <f t="shared" si="2"/>
        <v>https://github.com/SF-Bancoppel/mx-api-bc-rec-customer-access-entitlement</v>
      </c>
      <c r="T547" s="40"/>
      <c r="U547" s="40"/>
      <c r="V547" s="40"/>
      <c r="W547" s="40"/>
      <c r="X547" s="40"/>
      <c r="Y547" s="40"/>
      <c r="Z547" s="40"/>
      <c r="AA547" s="40"/>
      <c r="AB547" s="40"/>
    </row>
    <row r="548" ht="18.75" customHeight="1">
      <c r="A548" s="18" t="str">
        <f t="array" ref="A548">IFERROR(
  INDEX(
    'api-register-id'!A:A,
    MATCH(F548, 'api-register-id'!B:B, 0)
  ),
  "Not found Organization"
)</f>
        <v>SSFF</v>
      </c>
      <c r="B548" s="22" t="str">
        <f>IFERROR(VLOOKUP(F548, 'api-register-id'!B:F, 4, FALSE), "Not found path.")</f>
        <v>mx-api-bc-rec-customer-agreement</v>
      </c>
      <c r="C548" s="23" t="s">
        <v>112</v>
      </c>
      <c r="D548" s="23" t="s">
        <v>1417</v>
      </c>
      <c r="E548" s="24" t="str">
        <f>IFERROR(VLOOKUP(F548, 'api-register-id'!B:F, 5, FALSE), "Not found path.")</f>
        <v>APIMX000125</v>
      </c>
      <c r="F548" s="25" t="s">
        <v>1531</v>
      </c>
      <c r="G548" s="26" t="s">
        <v>4664</v>
      </c>
      <c r="H548" s="22" t="s">
        <v>4160</v>
      </c>
      <c r="I548" s="29" t="str">
        <f>IFERROR(VLOOKUP(F548, 'api-register-id'!B:I, 8, FALSE), "Not found path.")</f>
        <v>1.1.0</v>
      </c>
      <c r="J548" s="3" t="s">
        <v>4161</v>
      </c>
      <c r="K548" s="31" t="s">
        <v>48</v>
      </c>
      <c r="L548" s="23" t="s">
        <v>49</v>
      </c>
      <c r="M548" s="3" t="s">
        <v>884</v>
      </c>
      <c r="N548" s="3" t="str">
        <f t="shared" si="1"/>
        <v>POST /experience/customerManagement/customerAgreement/v1/endorsement/register</v>
      </c>
      <c r="O548" s="32" t="s">
        <v>4163</v>
      </c>
      <c r="P548" s="32"/>
      <c r="Q548" s="61" t="s">
        <v>4665</v>
      </c>
      <c r="R548" s="31" t="s">
        <v>56</v>
      </c>
      <c r="S548" s="38" t="str">
        <f t="shared" si="2"/>
        <v>https://github.com/SF-Bancoppel/mx-api-bc-rec-customer-agreement</v>
      </c>
      <c r="T548" s="40"/>
      <c r="U548" s="22"/>
      <c r="V548" s="40"/>
      <c r="W548" s="40"/>
      <c r="X548" s="40"/>
      <c r="Y548" s="40"/>
      <c r="Z548" s="22"/>
      <c r="AA548" s="22"/>
      <c r="AB548" s="22"/>
    </row>
    <row r="549" ht="18.75" customHeight="1">
      <c r="A549" s="18" t="str">
        <f t="array" ref="A549">IFERROR(
  INDEX(
    'api-register-id'!A:A,
    MATCH(F549, 'api-register-id'!B:B, 0)
  ),
  "Not found Organization"
)</f>
        <v>SSFF</v>
      </c>
      <c r="B549" s="22" t="str">
        <f>IFERROR(VLOOKUP(F549, 'api-register-id'!B:F, 4, FALSE), "Not found path.")</f>
        <v>mx-api-bc-rec-customer-agreement</v>
      </c>
      <c r="C549" s="23" t="s">
        <v>112</v>
      </c>
      <c r="D549" s="23" t="s">
        <v>1417</v>
      </c>
      <c r="E549" s="24" t="str">
        <f>IFERROR(VLOOKUP(F549, 'api-register-id'!B:F, 5, FALSE), "Not found path.")</f>
        <v>APIMX000125</v>
      </c>
      <c r="F549" s="25" t="s">
        <v>1531</v>
      </c>
      <c r="G549" s="26" t="s">
        <v>4666</v>
      </c>
      <c r="H549" s="22" t="s">
        <v>4167</v>
      </c>
      <c r="I549" s="29" t="str">
        <f>IFERROR(VLOOKUP(F549, 'api-register-id'!B:I, 8, FALSE), "Not found path.")</f>
        <v>1.1.0</v>
      </c>
      <c r="J549" s="3" t="s">
        <v>4161</v>
      </c>
      <c r="K549" s="31" t="s">
        <v>48</v>
      </c>
      <c r="L549" s="23" t="s">
        <v>108</v>
      </c>
      <c r="M549" s="3" t="s">
        <v>889</v>
      </c>
      <c r="N549" s="3" t="str">
        <f t="shared" si="1"/>
        <v>GET /experience/customerManagement/customerAgreement/v1/endorsement/{sessionDialogueIdentification}/retrieve</v>
      </c>
      <c r="O549" s="32" t="s">
        <v>4170</v>
      </c>
      <c r="P549" s="32"/>
      <c r="Q549" s="61" t="s">
        <v>4667</v>
      </c>
      <c r="R549" s="31" t="s">
        <v>56</v>
      </c>
      <c r="S549" s="38" t="str">
        <f t="shared" si="2"/>
        <v>https://github.com/SF-Bancoppel/mx-api-bc-rec-customer-agreement</v>
      </c>
      <c r="T549" s="40"/>
      <c r="U549" s="22"/>
      <c r="V549" s="22"/>
      <c r="W549" s="40"/>
      <c r="X549" s="40"/>
      <c r="Y549" s="40"/>
      <c r="Z549" s="22"/>
      <c r="AA549" s="22"/>
      <c r="AB549" s="22"/>
    </row>
    <row r="550" ht="18.75" customHeight="1">
      <c r="A550" s="18" t="str">
        <f t="array" ref="A550">IFERROR(
  INDEX(
    'api-register-id'!A:A,
    MATCH(F550, 'api-register-id'!B:B, 0)
  ),
  "Not found Organization"
)</f>
        <v>SSFF</v>
      </c>
      <c r="B550" s="22" t="str">
        <f>IFERROR(VLOOKUP(F550, 'api-register-id'!B:F, 4, FALSE), "Not found path.")</f>
        <v>mx-api-bc-rec-customer-offer</v>
      </c>
      <c r="C550" s="23" t="s">
        <v>112</v>
      </c>
      <c r="D550" s="23" t="s">
        <v>1417</v>
      </c>
      <c r="E550" s="24" t="str">
        <f>IFERROR(VLOOKUP(F550, 'api-register-id'!B:F, 5, FALSE), "Not found path.")</f>
        <v>APIMX000127</v>
      </c>
      <c r="F550" s="25" t="s">
        <v>1548</v>
      </c>
      <c r="G550" s="26" t="s">
        <v>4668</v>
      </c>
      <c r="H550" s="22" t="s">
        <v>4177</v>
      </c>
      <c r="I550" s="29" t="str">
        <f>IFERROR(VLOOKUP(F550, 'api-register-id'!B:I, 8, FALSE), "Not found path.")</f>
        <v>1.0.0</v>
      </c>
      <c r="J550" s="3" t="s">
        <v>4178</v>
      </c>
      <c r="K550" s="31" t="s">
        <v>48</v>
      </c>
      <c r="L550" s="23" t="s">
        <v>49</v>
      </c>
      <c r="M550" s="3" t="s">
        <v>911</v>
      </c>
      <c r="N550" s="3" t="str">
        <f t="shared" si="1"/>
        <v>POST /experience/sales/customerOffer/v1/facilityApplication/evaluate</v>
      </c>
      <c r="O550" s="32" t="s">
        <v>912</v>
      </c>
      <c r="P550" s="32"/>
      <c r="Q550" s="61" t="s">
        <v>98</v>
      </c>
      <c r="R550" s="31" t="s">
        <v>56</v>
      </c>
      <c r="S550" s="38" t="str">
        <f t="shared" si="2"/>
        <v>https://github.com/SF-Bancoppel/mx-api-bc-rec-customer-offer</v>
      </c>
      <c r="T550" s="40"/>
      <c r="U550" s="22"/>
      <c r="V550" s="40"/>
      <c r="W550" s="40"/>
      <c r="X550" s="40"/>
      <c r="Y550" s="40"/>
      <c r="Z550" s="22"/>
      <c r="AA550" s="22"/>
      <c r="AB550" s="22"/>
    </row>
    <row r="551" ht="18.75" customHeight="1">
      <c r="A551" s="18" t="str">
        <f t="array" ref="A551">IFERROR(
  INDEX(
    'api-register-id'!A:A,
    MATCH(F551, 'api-register-id'!B:B, 0)
  ),
  "Not found Organization"
)</f>
        <v>SSFF</v>
      </c>
      <c r="B551" s="22" t="str">
        <f>IFERROR(VLOOKUP(F551, 'api-register-id'!B:F, 4, FALSE), "Not found path.")</f>
        <v>mx-api-bc-rec-customer-product-and-service-eligibility</v>
      </c>
      <c r="C551" s="23" t="s">
        <v>112</v>
      </c>
      <c r="D551" s="23" t="s">
        <v>1417</v>
      </c>
      <c r="E551" s="24" t="str">
        <f>IFERROR(VLOOKUP(F551, 'api-register-id'!B:F, 5, FALSE), "Not found path.")</f>
        <v>APIMX000129</v>
      </c>
      <c r="F551" s="25" t="s">
        <v>1569</v>
      </c>
      <c r="G551" s="26" t="s">
        <v>4669</v>
      </c>
      <c r="H551" s="22" t="s">
        <v>4197</v>
      </c>
      <c r="I551" s="29" t="str">
        <f>IFERROR(VLOOKUP(F551, 'api-register-id'!B:I, 8, FALSE), "Not found path.")</f>
        <v>1.1.0</v>
      </c>
      <c r="J551" s="195" t="s">
        <v>4670</v>
      </c>
      <c r="K551" s="31" t="s">
        <v>48</v>
      </c>
      <c r="L551" s="23" t="s">
        <v>49</v>
      </c>
      <c r="M551" s="3" t="s">
        <v>965</v>
      </c>
      <c r="N551" s="3" t="str">
        <f t="shared" si="1"/>
        <v>POST /experience/customerManagement/customerProductAndServiceEligibility/v1/customerProductInformation/retrieve</v>
      </c>
      <c r="O551" s="32" t="s">
        <v>966</v>
      </c>
      <c r="P551" s="32"/>
      <c r="Q551" s="61" t="s">
        <v>98</v>
      </c>
      <c r="R551" s="31" t="s">
        <v>56</v>
      </c>
      <c r="S551" s="38" t="str">
        <f t="shared" si="2"/>
        <v>https://github.com/SF-Bancoppel/mx-api-bc-rec-customer-product-and-service-eligibility</v>
      </c>
      <c r="T551" s="40"/>
      <c r="U551" s="22"/>
      <c r="V551" s="40"/>
      <c r="W551" s="40"/>
      <c r="X551" s="40"/>
      <c r="Y551" s="40"/>
      <c r="Z551" s="22"/>
      <c r="AA551" s="22"/>
      <c r="AB551" s="22"/>
    </row>
    <row r="552" ht="18.75" customHeight="1">
      <c r="A552" s="18" t="str">
        <f t="array" ref="A552">IFERROR(
  INDEX(
    'api-register-id'!A:A,
    MATCH(F552, 'api-register-id'!B:B, 0)
  ),
  "Not found Organization"
)</f>
        <v>SSFF</v>
      </c>
      <c r="B552" s="22" t="str">
        <f>IFERROR(VLOOKUP(F552, 'api-register-id'!B:F, 4, FALSE), "Not found path.")</f>
        <v>mx-api-bc-rec-customer-product-and-service-eligibility</v>
      </c>
      <c r="C552" s="23" t="s">
        <v>112</v>
      </c>
      <c r="D552" s="23" t="s">
        <v>1417</v>
      </c>
      <c r="E552" s="24" t="str">
        <f>IFERROR(VLOOKUP(F552, 'api-register-id'!B:F, 5, FALSE), "Not found path.")</f>
        <v>APIMX000129</v>
      </c>
      <c r="F552" s="25" t="s">
        <v>1569</v>
      </c>
      <c r="G552" s="26" t="s">
        <v>4671</v>
      </c>
      <c r="H552" s="22" t="s">
        <v>4184</v>
      </c>
      <c r="I552" s="29" t="str">
        <f>IFERROR(VLOOKUP(F552, 'api-register-id'!B:I, 8, FALSE), "Not found path.")</f>
        <v>1.1.0</v>
      </c>
      <c r="J552" s="3" t="s">
        <v>4670</v>
      </c>
      <c r="K552" s="31" t="s">
        <v>48</v>
      </c>
      <c r="L552" s="23" t="s">
        <v>49</v>
      </c>
      <c r="M552" s="3" t="s">
        <v>941</v>
      </c>
      <c r="N552" s="3" t="str">
        <f t="shared" si="1"/>
        <v>POST /experience/customerManagement/customerProductAndServiceEligibility/v1/customerEligibilityReport/retrieve</v>
      </c>
      <c r="O552" s="32" t="s">
        <v>942</v>
      </c>
      <c r="P552" s="32"/>
      <c r="Q552" s="61" t="s">
        <v>98</v>
      </c>
      <c r="R552" s="31" t="s">
        <v>56</v>
      </c>
      <c r="S552" s="38" t="str">
        <f t="shared" si="2"/>
        <v>https://github.com/SF-Bancoppel/mx-api-bc-rec-customer-product-and-service-eligibility</v>
      </c>
      <c r="T552" s="40"/>
      <c r="U552" s="22"/>
      <c r="V552" s="40"/>
      <c r="W552" s="40"/>
      <c r="X552" s="40"/>
      <c r="Y552" s="40"/>
      <c r="Z552" s="22"/>
      <c r="AA552" s="22"/>
      <c r="AB552" s="22"/>
    </row>
    <row r="553" ht="18.75" customHeight="1">
      <c r="A553" s="18" t="str">
        <f t="array" ref="A553">IFERROR(
  INDEX(
    'api-register-id'!A:A,
    MATCH(F553, 'api-register-id'!B:B, 0)
  ),
  "Not found Organization"
)</f>
        <v>SSFF</v>
      </c>
      <c r="B553" s="22" t="str">
        <f>IFERROR(VLOOKUP(F553, 'api-register-id'!B:F, 4, FALSE), "Not found path.")</f>
        <v>mx-api-bc-rec-customer-workbench</v>
      </c>
      <c r="C553" s="23" t="s">
        <v>112</v>
      </c>
      <c r="D553" s="23" t="s">
        <v>1417</v>
      </c>
      <c r="E553" s="24" t="str">
        <f>IFERROR(VLOOKUP(F553, 'api-register-id'!B:F, 5, FALSE), "Not found path.")</f>
        <v>APIMX000130</v>
      </c>
      <c r="F553" s="25" t="s">
        <v>1576</v>
      </c>
      <c r="G553" s="26" t="s">
        <v>4672</v>
      </c>
      <c r="H553" s="22" t="s">
        <v>4206</v>
      </c>
      <c r="I553" s="29" t="str">
        <f>IFERROR(VLOOKUP(F553, 'api-register-id'!B:I, 8, FALSE), "Not found path.")</f>
        <v>1.0.0</v>
      </c>
      <c r="J553" s="3" t="s">
        <v>4207</v>
      </c>
      <c r="K553" s="31" t="s">
        <v>48</v>
      </c>
      <c r="L553" s="23" t="s">
        <v>49</v>
      </c>
      <c r="M553" s="3" t="s">
        <v>396</v>
      </c>
      <c r="N553" s="3" t="str">
        <f t="shared" si="1"/>
        <v>POST /experience/crossChannel/customerWorkbench/v1/customerWorkbenchFinancialTransaction/evaluate</v>
      </c>
      <c r="O553" s="32" t="s">
        <v>998</v>
      </c>
      <c r="P553" s="32"/>
      <c r="Q553" s="61" t="s">
        <v>98</v>
      </c>
      <c r="R553" s="31" t="s">
        <v>56</v>
      </c>
      <c r="S553" s="38" t="str">
        <f t="shared" si="2"/>
        <v>https://github.com/SF-Bancoppel/mx-api-bc-rec-customer-workbench</v>
      </c>
      <c r="T553" s="40"/>
      <c r="U553" s="22"/>
      <c r="V553" s="22"/>
      <c r="W553" s="40"/>
      <c r="X553" s="40"/>
      <c r="Y553" s="40"/>
      <c r="Z553" s="22"/>
      <c r="AA553" s="22"/>
      <c r="AB553" s="22"/>
    </row>
    <row r="554" ht="18.75" customHeight="1">
      <c r="A554" s="18" t="str">
        <f t="array" ref="A554">IFERROR(
  INDEX(
    'api-register-id'!A:A,
    MATCH(F554, 'api-register-id'!B:B, 0)
  ),
  "Not found Organization"
)</f>
        <v>SSFF</v>
      </c>
      <c r="B554" s="22" t="str">
        <f>IFERROR(VLOOKUP(F554, 'api-register-id'!B:F, 4, FALSE), "Not found path.")</f>
        <v>mx-api-bc-rec-document-directory</v>
      </c>
      <c r="C554" s="23" t="s">
        <v>112</v>
      </c>
      <c r="D554" s="23" t="s">
        <v>1417</v>
      </c>
      <c r="E554" s="24" t="str">
        <f>IFERROR(VLOOKUP(F554, 'api-register-id'!B:F, 5, FALSE), "Not found path.")</f>
        <v>APIMX000131</v>
      </c>
      <c r="F554" s="25" t="s">
        <v>1584</v>
      </c>
      <c r="G554" s="26" t="s">
        <v>4673</v>
      </c>
      <c r="H554" s="22" t="s">
        <v>4217</v>
      </c>
      <c r="I554" s="29" t="str">
        <f>IFERROR(VLOOKUP(F554, 'api-register-id'!B:I, 8, FALSE), "Not found path.")</f>
        <v>1.0.0</v>
      </c>
      <c r="J554" s="3" t="s">
        <v>3825</v>
      </c>
      <c r="K554" s="31" t="s">
        <v>48</v>
      </c>
      <c r="L554" s="23" t="s">
        <v>49</v>
      </c>
      <c r="M554" s="3" t="s">
        <v>1010</v>
      </c>
      <c r="N554" s="3" t="str">
        <f t="shared" si="1"/>
        <v>POST /experience/documentManagementAndArchive/documentDirectory/v1/documentDirectoryEntry/register</v>
      </c>
      <c r="O554" s="32" t="s">
        <v>1011</v>
      </c>
      <c r="P554" s="32"/>
      <c r="Q554" s="61" t="s">
        <v>98</v>
      </c>
      <c r="R554" s="31" t="s">
        <v>56</v>
      </c>
      <c r="S554" s="38" t="str">
        <f t="shared" si="2"/>
        <v>https://github.com/SF-Bancoppel/mx-api-bc-rec-document-directory</v>
      </c>
      <c r="T554" s="40"/>
      <c r="U554" s="22"/>
      <c r="V554" s="40"/>
      <c r="W554" s="40"/>
      <c r="X554" s="40"/>
      <c r="Y554" s="40"/>
      <c r="Z554" s="22"/>
      <c r="AA554" s="22"/>
      <c r="AB554" s="22"/>
    </row>
    <row r="555" ht="18.75" customHeight="1">
      <c r="A555" s="18" t="str">
        <f t="array" ref="A555">IFERROR(
  INDEX(
    'api-register-id'!A:A,
    MATCH(F555, 'api-register-id'!B:B, 0)
  ),
  "Not found Organization"
)</f>
        <v>SSFF</v>
      </c>
      <c r="B555" s="22" t="str">
        <f>IFERROR(VLOOKUP(F555, 'api-register-id'!B:F, 4, FALSE), "Not found path.")</f>
        <v>mx-api-bc-rec-document-directory</v>
      </c>
      <c r="C555" s="23" t="s">
        <v>112</v>
      </c>
      <c r="D555" s="23" t="s">
        <v>1417</v>
      </c>
      <c r="E555" s="24" t="str">
        <f>IFERROR(VLOOKUP(F555, 'api-register-id'!B:F, 5, FALSE), "Not found path.")</f>
        <v>APIMX000131</v>
      </c>
      <c r="F555" s="25" t="s">
        <v>1584</v>
      </c>
      <c r="G555" s="26" t="s">
        <v>4674</v>
      </c>
      <c r="H555" s="22" t="s">
        <v>3824</v>
      </c>
      <c r="I555" s="29" t="str">
        <f>IFERROR(VLOOKUP(F555, 'api-register-id'!B:I, 8, FALSE), "Not found path.")</f>
        <v>1.0.0</v>
      </c>
      <c r="J555" s="3" t="s">
        <v>3825</v>
      </c>
      <c r="K555" s="31" t="s">
        <v>48</v>
      </c>
      <c r="L555" s="23" t="s">
        <v>49</v>
      </c>
      <c r="M555" s="3" t="s">
        <v>1017</v>
      </c>
      <c r="N555" s="3" t="str">
        <f t="shared" si="1"/>
        <v>POST /experience/documentManagementAndArchive/documentDirectory/v1/documentDirectoryEntry/evaluate</v>
      </c>
      <c r="O555" s="32" t="s">
        <v>1018</v>
      </c>
      <c r="P555" s="32"/>
      <c r="Q555" s="61" t="s">
        <v>98</v>
      </c>
      <c r="R555" s="31" t="s">
        <v>56</v>
      </c>
      <c r="S555" s="38" t="str">
        <f t="shared" si="2"/>
        <v>https://github.com/SF-Bancoppel/mx-api-bc-rec-document-directory</v>
      </c>
      <c r="T555" s="40"/>
      <c r="U555" s="22"/>
      <c r="V555" s="40"/>
      <c r="W555" s="40"/>
      <c r="X555" s="40"/>
      <c r="Y555" s="40"/>
      <c r="Z555" s="22"/>
      <c r="AA555" s="22"/>
      <c r="AB555" s="22"/>
    </row>
    <row r="556" ht="18.75" customHeight="1">
      <c r="A556" s="18" t="str">
        <f t="array" ref="A556">IFERROR(
  INDEX(
    'api-register-id'!A:A,
    MATCH(F556, 'api-register-id'!B:B, 0)
  ),
  "Not found Organization"
)</f>
        <v>SSFF</v>
      </c>
      <c r="B556" s="22" t="str">
        <f>IFERROR(VLOOKUP(F556, 'api-register-id'!B:F, 4, FALSE), "Not found path.")</f>
        <v>mx-api-bc-rec-document-directory</v>
      </c>
      <c r="C556" s="23" t="s">
        <v>112</v>
      </c>
      <c r="D556" s="23" t="s">
        <v>1417</v>
      </c>
      <c r="E556" s="24" t="str">
        <f>IFERROR(VLOOKUP(F556, 'api-register-id'!B:F, 5, FALSE), "Not found path.")</f>
        <v>APIMX000131</v>
      </c>
      <c r="F556" s="25" t="s">
        <v>1584</v>
      </c>
      <c r="G556" s="26" t="s">
        <v>4675</v>
      </c>
      <c r="H556" s="22" t="s">
        <v>3833</v>
      </c>
      <c r="I556" s="29" t="str">
        <f>IFERROR(VLOOKUP(F556, 'api-register-id'!B:I, 8, FALSE), "Not found path.")</f>
        <v>1.0.0</v>
      </c>
      <c r="J556" s="3" t="s">
        <v>3825</v>
      </c>
      <c r="K556" s="31" t="s">
        <v>48</v>
      </c>
      <c r="L556" s="23" t="s">
        <v>49</v>
      </c>
      <c r="M556" s="3" t="s">
        <v>1021</v>
      </c>
      <c r="N556" s="3" t="str">
        <f t="shared" si="1"/>
        <v>POST /experience/documentManagementAndArchive/documentDirectory/v1/documentDirectoryEntry/initiate</v>
      </c>
      <c r="O556" s="32" t="s">
        <v>1022</v>
      </c>
      <c r="P556" s="32"/>
      <c r="Q556" s="61" t="s">
        <v>98</v>
      </c>
      <c r="R556" s="31" t="s">
        <v>56</v>
      </c>
      <c r="S556" s="38" t="str">
        <f t="shared" si="2"/>
        <v>https://github.com/SF-Bancoppel/mx-api-bc-rec-document-directory</v>
      </c>
      <c r="T556" s="40"/>
      <c r="U556" s="22"/>
      <c r="V556" s="40"/>
      <c r="W556" s="40"/>
      <c r="X556" s="40"/>
      <c r="Y556" s="40"/>
      <c r="Z556" s="22"/>
      <c r="AA556" s="22"/>
      <c r="AB556" s="22"/>
    </row>
    <row r="557" ht="18.75" customHeight="1">
      <c r="A557" s="18" t="str">
        <f t="array" ref="A557">IFERROR(
  INDEX(
    'api-register-id'!A:A,
    MATCH(F557, 'api-register-id'!B:B, 0)
  ),
  "Not found Organization"
)</f>
        <v>SSFF</v>
      </c>
      <c r="B557" s="22" t="str">
        <f>IFERROR(VLOOKUP(F557, 'api-register-id'!B:F, 4, FALSE), "Not found path.")</f>
        <v>mx-api-bc-rec-document-services</v>
      </c>
      <c r="C557" s="23" t="s">
        <v>112</v>
      </c>
      <c r="D557" s="23" t="s">
        <v>1417</v>
      </c>
      <c r="E557" s="24" t="str">
        <f>IFERROR(VLOOKUP(F557, 'api-register-id'!B:F, 5, FALSE), "Not found path.")</f>
        <v>APIMX000132</v>
      </c>
      <c r="F557" s="25" t="s">
        <v>1596</v>
      </c>
      <c r="G557" s="26" t="s">
        <v>4676</v>
      </c>
      <c r="H557" s="22" t="s">
        <v>3840</v>
      </c>
      <c r="I557" s="29" t="str">
        <f>IFERROR(VLOOKUP(F557, 'api-register-id'!B:I, 8, FALSE), "Not found path.")</f>
        <v>1.4.1</v>
      </c>
      <c r="J557" s="3" t="s">
        <v>3841</v>
      </c>
      <c r="K557" s="31" t="s">
        <v>48</v>
      </c>
      <c r="L557" s="23" t="s">
        <v>49</v>
      </c>
      <c r="M557" s="3" t="s">
        <v>1029</v>
      </c>
      <c r="N557" s="3" t="str">
        <f t="shared" si="1"/>
        <v>POST /experience/documentManagementAndArchive/documentServices/v1/documentServiceProcedure/register</v>
      </c>
      <c r="O557" s="32" t="s">
        <v>2952</v>
      </c>
      <c r="P557" s="32"/>
      <c r="Q557" s="61" t="s">
        <v>4677</v>
      </c>
      <c r="R557" s="31" t="s">
        <v>56</v>
      </c>
      <c r="S557" s="38" t="str">
        <f t="shared" si="2"/>
        <v>https://github.com/SF-Bancoppel/mx-api-bc-rec-document-services</v>
      </c>
      <c r="T557" s="40"/>
      <c r="U557" s="22"/>
      <c r="V557" s="40"/>
      <c r="W557" s="40"/>
      <c r="X557" s="40"/>
      <c r="Y557" s="40"/>
      <c r="Z557" s="22"/>
      <c r="AA557" s="22"/>
      <c r="AB557" s="22"/>
    </row>
    <row r="558" ht="18.75" customHeight="1">
      <c r="A558" s="18" t="str">
        <f t="array" ref="A558">IFERROR(
  INDEX(
    'api-register-id'!A:A,
    MATCH(F558, 'api-register-id'!B:B, 0)
  ),
  "Not found Organization"
)</f>
        <v>SSFF</v>
      </c>
      <c r="B558" s="22" t="str">
        <f>IFERROR(VLOOKUP(F558, 'api-register-id'!B:F, 4, FALSE), "Not found path.")</f>
        <v>mx-api-bc-rec-issued-device-administration</v>
      </c>
      <c r="C558" s="23" t="s">
        <v>112</v>
      </c>
      <c r="D558" s="23" t="s">
        <v>1417</v>
      </c>
      <c r="E558" s="24" t="str">
        <f>IFERROR(VLOOKUP(F558, 'api-register-id'!B:F, 5, FALSE), "Not found path.")</f>
        <v>APIMX000133</v>
      </c>
      <c r="F558" s="25" t="s">
        <v>1604</v>
      </c>
      <c r="G558" s="26" t="s">
        <v>4678</v>
      </c>
      <c r="H558" s="22" t="s">
        <v>3848</v>
      </c>
      <c r="I558" s="29" t="str">
        <f>IFERROR(VLOOKUP(F558, 'api-register-id'!B:I, 8, FALSE), "Not found path.")</f>
        <v>1.2.1</v>
      </c>
      <c r="J558" s="3" t="s">
        <v>3849</v>
      </c>
      <c r="K558" s="31" t="s">
        <v>48</v>
      </c>
      <c r="L558" s="23" t="s">
        <v>49</v>
      </c>
      <c r="M558" s="3" t="s">
        <v>1129</v>
      </c>
      <c r="N558" s="3" t="str">
        <f t="shared" si="1"/>
        <v>POST /experience/operationalServices/issuedDeviceAdministration/v1/tokenAssignment/evaluate</v>
      </c>
      <c r="O558" s="32" t="s">
        <v>1130</v>
      </c>
      <c r="P558" s="32"/>
      <c r="Q558" s="61" t="s">
        <v>98</v>
      </c>
      <c r="R558" s="31" t="s">
        <v>56</v>
      </c>
      <c r="S558" s="38" t="str">
        <f t="shared" si="2"/>
        <v>https://github.com/SF-Bancoppel/mx-api-bc-rec-issued-device-administration</v>
      </c>
      <c r="T558" s="40"/>
      <c r="U558" s="22"/>
      <c r="V558" s="40"/>
      <c r="W558" s="40"/>
      <c r="X558" s="40"/>
      <c r="Y558" s="40"/>
      <c r="Z558" s="22"/>
      <c r="AA558" s="22"/>
      <c r="AB558" s="22"/>
    </row>
    <row r="559" ht="18.75" customHeight="1">
      <c r="A559" s="18" t="str">
        <f t="array" ref="A559">IFERROR(
  INDEX(
    'api-register-id'!A:A,
    MATCH(F559, 'api-register-id'!B:B, 0)
  ),
  "Not found Organization"
)</f>
        <v>SSFF</v>
      </c>
      <c r="B559" s="22" t="str">
        <f>IFERROR(VLOOKUP(F559, 'api-register-id'!B:F, 4, FALSE), "Not found path.")</f>
        <v>mx-api-bc-rec-issued-device-administration</v>
      </c>
      <c r="C559" s="23" t="s">
        <v>112</v>
      </c>
      <c r="D559" s="23" t="s">
        <v>1417</v>
      </c>
      <c r="E559" s="24" t="str">
        <f>IFERROR(VLOOKUP(F559, 'api-register-id'!B:F, 5, FALSE), "Not found path.")</f>
        <v>APIMX000133</v>
      </c>
      <c r="F559" s="25" t="s">
        <v>1604</v>
      </c>
      <c r="G559" s="26" t="s">
        <v>4679</v>
      </c>
      <c r="H559" s="22" t="s">
        <v>3858</v>
      </c>
      <c r="I559" s="29" t="str">
        <f>IFERROR(VLOOKUP(F559, 'api-register-id'!B:I, 8, FALSE), "Not found path.")</f>
        <v>1.2.1</v>
      </c>
      <c r="J559" s="3" t="s">
        <v>3849</v>
      </c>
      <c r="K559" s="31" t="s">
        <v>48</v>
      </c>
      <c r="L559" s="23" t="s">
        <v>108</v>
      </c>
      <c r="M559" s="3" t="s">
        <v>1141</v>
      </c>
      <c r="N559" s="3" t="str">
        <f t="shared" si="1"/>
        <v>GET /experience/operationalServices/issuedDeviceAdministration/v1/biometricAssignment/{companyReference}/{customerReference}/retrieve</v>
      </c>
      <c r="O559" s="32" t="s">
        <v>1142</v>
      </c>
      <c r="P559" s="32"/>
      <c r="Q559" s="61" t="s">
        <v>98</v>
      </c>
      <c r="R559" s="31" t="s">
        <v>56</v>
      </c>
      <c r="S559" s="38" t="str">
        <f t="shared" si="2"/>
        <v>https://github.com/SF-Bancoppel/mx-api-bc-rec-issued-device-administration</v>
      </c>
      <c r="T559" s="40"/>
      <c r="U559" s="22"/>
      <c r="V559" s="40"/>
      <c r="W559" s="40"/>
      <c r="X559" s="40"/>
      <c r="Y559" s="40"/>
      <c r="Z559" s="22"/>
      <c r="AA559" s="22"/>
      <c r="AB559" s="22"/>
    </row>
    <row r="560" ht="18.75" customHeight="1">
      <c r="A560" s="18" t="str">
        <f t="array" ref="A560">IFERROR(
  INDEX(
    'api-register-id'!A:A,
    MATCH(F560, 'api-register-id'!B:B, 0)
  ),
  "Not found Organization"
)</f>
        <v>SSFF</v>
      </c>
      <c r="B560" s="22" t="str">
        <f>IFERROR(VLOOKUP(F560, 'api-register-id'!B:F, 4, FALSE), "Not found path.")</f>
        <v>mx-api-bc-rec-issued-device-administration</v>
      </c>
      <c r="C560" s="23" t="s">
        <v>112</v>
      </c>
      <c r="D560" s="23" t="s">
        <v>1417</v>
      </c>
      <c r="E560" s="24" t="str">
        <f>IFERROR(VLOOKUP(F560, 'api-register-id'!B:F, 5, FALSE), "Not found path.")</f>
        <v>APIMX000133</v>
      </c>
      <c r="F560" s="25" t="s">
        <v>1604</v>
      </c>
      <c r="G560" s="26" t="s">
        <v>4680</v>
      </c>
      <c r="H560" s="22" t="s">
        <v>4681</v>
      </c>
      <c r="I560" s="29" t="str">
        <f>IFERROR(VLOOKUP(F560, 'api-register-id'!B:I, 8, FALSE), "Not found path.")</f>
        <v>1.2.1</v>
      </c>
      <c r="J560" s="3" t="s">
        <v>3849</v>
      </c>
      <c r="K560" s="31" t="s">
        <v>48</v>
      </c>
      <c r="L560" s="23" t="s">
        <v>49</v>
      </c>
      <c r="M560" s="3" t="s">
        <v>1116</v>
      </c>
      <c r="N560" s="3" t="str">
        <f t="shared" si="1"/>
        <v>POST /experience/operationalServices/issuedDeviceAdministration/v1/tokenAssignment/initiate</v>
      </c>
      <c r="O560" s="32" t="s">
        <v>4682</v>
      </c>
      <c r="P560" s="32"/>
      <c r="Q560" s="61" t="s">
        <v>4683</v>
      </c>
      <c r="R560" s="31" t="s">
        <v>56</v>
      </c>
      <c r="S560" s="38" t="str">
        <f t="shared" si="2"/>
        <v>https://github.com/SF-Bancoppel/mx-api-bc-rec-issued-device-administration</v>
      </c>
      <c r="T560" s="40"/>
      <c r="U560" s="22"/>
      <c r="V560" s="40"/>
      <c r="W560" s="40"/>
      <c r="X560" s="40"/>
      <c r="Y560" s="40"/>
      <c r="Z560" s="22"/>
      <c r="AA560" s="22"/>
      <c r="AB560" s="22"/>
    </row>
    <row r="561" ht="18.75" customHeight="1">
      <c r="A561" s="18" t="str">
        <f t="array" ref="A561">IFERROR(
  INDEX(
    'api-register-id'!A:A,
    MATCH(F561, 'api-register-id'!B:B, 0)
  ),
  "Not found Organization"
)</f>
        <v>SSFF</v>
      </c>
      <c r="B561" s="22" t="str">
        <f>IFERROR(VLOOKUP(F561, 'api-register-id'!B:F, 4, FALSE), "Not found path.")</f>
        <v>mx-api-bc-rec-issued-device-administration</v>
      </c>
      <c r="C561" s="23" t="s">
        <v>112</v>
      </c>
      <c r="D561" s="23" t="s">
        <v>1417</v>
      </c>
      <c r="E561" s="24" t="str">
        <f>IFERROR(VLOOKUP(F561, 'api-register-id'!B:F, 5, FALSE), "Not found path.")</f>
        <v>APIMX000133</v>
      </c>
      <c r="F561" s="25" t="s">
        <v>1604</v>
      </c>
      <c r="G561" s="26" t="s">
        <v>4684</v>
      </c>
      <c r="H561" s="22" t="s">
        <v>4685</v>
      </c>
      <c r="I561" s="29" t="str">
        <f>IFERROR(VLOOKUP(F561, 'api-register-id'!B:I, 8, FALSE), "Not found path.")</f>
        <v>1.2.1</v>
      </c>
      <c r="J561" s="3" t="s">
        <v>3849</v>
      </c>
      <c r="K561" s="31" t="s">
        <v>48</v>
      </c>
      <c r="L561" s="23" t="s">
        <v>49</v>
      </c>
      <c r="M561" s="3" t="s">
        <v>1160</v>
      </c>
      <c r="N561" s="3" t="str">
        <f t="shared" si="1"/>
        <v>POST /experience/operationalServices/issuedDeviceAdministration/v1/passwordAssignment/initiate</v>
      </c>
      <c r="O561" s="32" t="s">
        <v>4686</v>
      </c>
      <c r="P561" s="32"/>
      <c r="Q561" s="61" t="s">
        <v>98</v>
      </c>
      <c r="R561" s="31" t="s">
        <v>56</v>
      </c>
      <c r="S561" s="38" t="str">
        <f t="shared" si="2"/>
        <v>https://github.com/SF-Bancoppel/mx-api-bc-rec-issued-device-administration</v>
      </c>
      <c r="T561" s="40"/>
      <c r="U561" s="22"/>
      <c r="V561" s="40"/>
      <c r="W561" s="40"/>
      <c r="X561" s="40"/>
      <c r="Y561" s="40"/>
      <c r="Z561" s="22"/>
      <c r="AA561" s="22"/>
      <c r="AB561" s="22"/>
    </row>
    <row r="562" ht="18.75" customHeight="1">
      <c r="A562" s="18" t="str">
        <f t="array" ref="A562">IFERROR(
  INDEX(
    'api-register-id'!A:A,
    MATCH(F562, 'api-register-id'!B:B, 0)
  ),
  "Not found Organization"
)</f>
        <v>SSFF</v>
      </c>
      <c r="B562" s="22" t="str">
        <f>IFERROR(VLOOKUP(F562, 'api-register-id'!B:F, 4, FALSE), "Not found path.")</f>
        <v>mx-api-bc-rec-issued-device-administration</v>
      </c>
      <c r="C562" s="23" t="s">
        <v>112</v>
      </c>
      <c r="D562" s="23" t="s">
        <v>1417</v>
      </c>
      <c r="E562" s="24" t="str">
        <f>IFERROR(VLOOKUP(F562, 'api-register-id'!B:F, 5, FALSE), "Not found path.")</f>
        <v>APIMX000133</v>
      </c>
      <c r="F562" s="25" t="s">
        <v>1604</v>
      </c>
      <c r="G562" s="26" t="s">
        <v>4687</v>
      </c>
      <c r="H562" s="22" t="s">
        <v>4688</v>
      </c>
      <c r="I562" s="29" t="str">
        <f>IFERROR(VLOOKUP(F562, 'api-register-id'!B:I, 8, FALSE), "Not found path.")</f>
        <v>1.2.1</v>
      </c>
      <c r="J562" s="3" t="s">
        <v>3849</v>
      </c>
      <c r="K562" s="31" t="s">
        <v>48</v>
      </c>
      <c r="L562" s="23" t="s">
        <v>49</v>
      </c>
      <c r="M562" s="3" t="s">
        <v>1172</v>
      </c>
      <c r="N562" s="3" t="str">
        <f t="shared" si="1"/>
        <v>POST /experience/operationalServices/issuedDeviceAdministration/v1/passwordAssignmentLog/register</v>
      </c>
      <c r="O562" s="32" t="s">
        <v>1173</v>
      </c>
      <c r="P562" s="32"/>
      <c r="Q562" s="61" t="s">
        <v>98</v>
      </c>
      <c r="R562" s="31" t="s">
        <v>56</v>
      </c>
      <c r="S562" s="38" t="str">
        <f t="shared" si="2"/>
        <v>https://github.com/SF-Bancoppel/mx-api-bc-rec-issued-device-administration</v>
      </c>
      <c r="T562" s="40"/>
      <c r="U562" s="22"/>
      <c r="V562" s="40"/>
      <c r="W562" s="40"/>
      <c r="X562" s="40"/>
      <c r="Y562" s="40"/>
      <c r="Z562" s="22"/>
      <c r="AA562" s="22"/>
      <c r="AB562" s="22"/>
    </row>
    <row r="563" ht="18.75" customHeight="1">
      <c r="A563" s="18" t="str">
        <f t="array" ref="A563">IFERROR(
  INDEX(
    'api-register-id'!A:A,
    MATCH(F563, 'api-register-id'!B:B, 0)
  ),
  "Not found Organization"
)</f>
        <v>SSFF</v>
      </c>
      <c r="B563" s="22" t="str">
        <f>IFERROR(VLOOKUP(F563, 'api-register-id'!B:F, 4, FALSE), "Not found path.")</f>
        <v>mx-api-bc-rec-issued-device-administration</v>
      </c>
      <c r="C563" s="23" t="s">
        <v>112</v>
      </c>
      <c r="D563" s="23" t="s">
        <v>1417</v>
      </c>
      <c r="E563" s="24" t="str">
        <f>IFERROR(VLOOKUP(F563, 'api-register-id'!B:F, 5, FALSE), "Not found path.")</f>
        <v>APIMX000133</v>
      </c>
      <c r="F563" s="25" t="s">
        <v>1604</v>
      </c>
      <c r="G563" s="26" t="s">
        <v>4689</v>
      </c>
      <c r="H563" s="22" t="s">
        <v>4690</v>
      </c>
      <c r="I563" s="29" t="str">
        <f>IFERROR(VLOOKUP(F563, 'api-register-id'!B:I, 8, FALSE), "Not found path.")</f>
        <v>1.2.1</v>
      </c>
      <c r="J563" s="3" t="s">
        <v>3849</v>
      </c>
      <c r="K563" s="31" t="s">
        <v>48</v>
      </c>
      <c r="L563" s="23" t="s">
        <v>428</v>
      </c>
      <c r="M563" s="3" t="s">
        <v>1165</v>
      </c>
      <c r="N563" s="3" t="str">
        <f t="shared" si="1"/>
        <v>PATCH /experience/operationalServices/issuedDeviceAdministration/v1/deviceAssignment/update</v>
      </c>
      <c r="O563" s="32" t="s">
        <v>1166</v>
      </c>
      <c r="P563" s="32" t="s">
        <v>652</v>
      </c>
      <c r="Q563" s="61" t="s">
        <v>98</v>
      </c>
      <c r="R563" s="31" t="s">
        <v>56</v>
      </c>
      <c r="S563" s="38" t="str">
        <f t="shared" si="2"/>
        <v>https://github.com/SF-Bancoppel/mx-api-bc-rec-issued-device-administration</v>
      </c>
      <c r="T563" s="40"/>
      <c r="U563" s="22"/>
      <c r="V563" s="40"/>
      <c r="W563" s="40"/>
      <c r="X563" s="40"/>
      <c r="Y563" s="40"/>
      <c r="Z563" s="22"/>
      <c r="AA563" s="22"/>
      <c r="AB563" s="22"/>
    </row>
    <row r="564" ht="18.75" customHeight="1">
      <c r="A564" s="18" t="str">
        <f t="array" ref="A564">IFERROR(
  INDEX(
    'api-register-id'!A:A,
    MATCH(F564, 'api-register-id'!B:B, 0)
  ),
  "Not found Organization"
)</f>
        <v>SSFF</v>
      </c>
      <c r="B564" s="22" t="str">
        <f>IFERROR(VLOOKUP(F564, 'api-register-id'!B:F, 4, FALSE), "Not found path.")</f>
        <v>mx-api-bc-rec-issued-device-administration</v>
      </c>
      <c r="C564" s="23" t="s">
        <v>112</v>
      </c>
      <c r="D564" s="23" t="s">
        <v>1417</v>
      </c>
      <c r="E564" s="24" t="str">
        <f>IFERROR(VLOOKUP(F564, 'api-register-id'!B:F, 5, FALSE), "Not found path.")</f>
        <v>APIMX000133</v>
      </c>
      <c r="F564" s="25" t="s">
        <v>1604</v>
      </c>
      <c r="G564" s="26" t="s">
        <v>4691</v>
      </c>
      <c r="H564" s="22" t="s">
        <v>4692</v>
      </c>
      <c r="I564" s="29" t="str">
        <f>IFERROR(VLOOKUP(F564, 'api-register-id'!B:I, 8, FALSE), "Not found path.")</f>
        <v>1.2.1</v>
      </c>
      <c r="J564" s="3" t="s">
        <v>3849</v>
      </c>
      <c r="K564" s="31" t="s">
        <v>48</v>
      </c>
      <c r="L564" s="23" t="s">
        <v>49</v>
      </c>
      <c r="M564" s="3" t="s">
        <v>1184</v>
      </c>
      <c r="N564" s="3" t="str">
        <f t="shared" si="1"/>
        <v>POST /experience/operationalServices/issuedDeviceAdministration/v1/passwordAssignment/create</v>
      </c>
      <c r="O564" s="32" t="s">
        <v>1185</v>
      </c>
      <c r="P564" s="32"/>
      <c r="Q564" s="61" t="s">
        <v>98</v>
      </c>
      <c r="R564" s="31" t="s">
        <v>56</v>
      </c>
      <c r="S564" s="38" t="str">
        <f t="shared" si="2"/>
        <v>https://github.com/SF-Bancoppel/mx-api-bc-rec-issued-device-administration</v>
      </c>
      <c r="T564" s="40"/>
      <c r="U564" s="22"/>
      <c r="V564" s="40"/>
      <c r="W564" s="40"/>
      <c r="X564" s="40"/>
      <c r="Y564" s="40"/>
      <c r="Z564" s="22"/>
      <c r="AA564" s="22"/>
      <c r="AB564" s="22"/>
    </row>
    <row r="565" ht="18.75" customHeight="1">
      <c r="A565" s="18" t="str">
        <f t="array" ref="A565">IFERROR(
  INDEX(
    'api-register-id'!A:A,
    MATCH(F565, 'api-register-id'!B:B, 0)
  ),
  "Not found Organization"
)</f>
        <v>SSFF</v>
      </c>
      <c r="B565" s="22" t="str">
        <f>IFERROR(VLOOKUP(F565, 'api-register-id'!B:F, 4, FALSE), "Not found path.")</f>
        <v>mx-api-bc-rec-legal-entity-directory</v>
      </c>
      <c r="C565" s="23" t="s">
        <v>112</v>
      </c>
      <c r="D565" s="23" t="s">
        <v>1417</v>
      </c>
      <c r="E565" s="24" t="str">
        <f>IFERROR(VLOOKUP(F565, 'api-register-id'!B:F, 5, FALSE), "Not found path.")</f>
        <v>APIMX000134</v>
      </c>
      <c r="F565" s="25" t="s">
        <v>1617</v>
      </c>
      <c r="G565" s="26" t="s">
        <v>4693</v>
      </c>
      <c r="H565" s="22" t="s">
        <v>4694</v>
      </c>
      <c r="I565" s="29" t="str">
        <f>IFERROR(VLOOKUP(F565, 'api-register-id'!B:I, 8, FALSE), "Not found path.")</f>
        <v>1.1.0</v>
      </c>
      <c r="J565" s="3" t="s">
        <v>4695</v>
      </c>
      <c r="K565" s="31" t="s">
        <v>48</v>
      </c>
      <c r="L565" s="23" t="s">
        <v>49</v>
      </c>
      <c r="M565" s="3" t="s">
        <v>1193</v>
      </c>
      <c r="N565" s="3" t="str">
        <f t="shared" si="1"/>
        <v>POST /experience/party/legalEntityDirectory/v1/legalEntityDirectoryEntry/register</v>
      </c>
      <c r="O565" s="32" t="s">
        <v>1194</v>
      </c>
      <c r="P565" s="32"/>
      <c r="Q565" s="61" t="s">
        <v>98</v>
      </c>
      <c r="R565" s="31" t="s">
        <v>56</v>
      </c>
      <c r="S565" s="38" t="str">
        <f t="shared" si="2"/>
        <v>https://github.com/SF-Bancoppel/mx-api-bc-rec-legal-entity-directory</v>
      </c>
      <c r="T565" s="40"/>
      <c r="U565" s="22"/>
      <c r="V565" s="40"/>
      <c r="W565" s="40"/>
      <c r="X565" s="40"/>
      <c r="Y565" s="40"/>
      <c r="Z565" s="22"/>
      <c r="AA565" s="22"/>
      <c r="AB565" s="22"/>
    </row>
    <row r="566" ht="18.75" customHeight="1">
      <c r="A566" s="18" t="str">
        <f t="array" ref="A566">IFERROR(
  INDEX(
    'api-register-id'!A:A,
    MATCH(F566, 'api-register-id'!B:B, 0)
  ),
  "Not found Organization"
)</f>
        <v>SSFF</v>
      </c>
      <c r="B566" s="22" t="str">
        <f>IFERROR(VLOOKUP(F566, 'api-register-id'!B:F, 4, FALSE), "Not found path.")</f>
        <v>mx-api-bc-rec-legal-entity-directory</v>
      </c>
      <c r="C566" s="23" t="s">
        <v>112</v>
      </c>
      <c r="D566" s="23" t="s">
        <v>1417</v>
      </c>
      <c r="E566" s="24" t="str">
        <f>IFERROR(VLOOKUP(F566, 'api-register-id'!B:F, 5, FALSE), "Not found path.")</f>
        <v>APIMX000134</v>
      </c>
      <c r="F566" s="25" t="s">
        <v>1617</v>
      </c>
      <c r="G566" s="26" t="s">
        <v>4696</v>
      </c>
      <c r="H566" s="22" t="s">
        <v>4697</v>
      </c>
      <c r="I566" s="29" t="str">
        <f>IFERROR(VLOOKUP(F566, 'api-register-id'!B:I, 8, FALSE), "Not found path.")</f>
        <v>1.1.0</v>
      </c>
      <c r="J566" s="3" t="s">
        <v>4695</v>
      </c>
      <c r="K566" s="31" t="s">
        <v>48</v>
      </c>
      <c r="L566" s="23" t="s">
        <v>428</v>
      </c>
      <c r="M566" s="3" t="s">
        <v>1197</v>
      </c>
      <c r="N566" s="3" t="str">
        <f t="shared" si="1"/>
        <v>PATCH /experience/party/legalEntityDirectory/v1/legalEntityDirectoryEntry/update</v>
      </c>
      <c r="O566" s="32" t="s">
        <v>1199</v>
      </c>
      <c r="P566" s="32"/>
      <c r="Q566" s="61" t="s">
        <v>98</v>
      </c>
      <c r="R566" s="31" t="s">
        <v>56</v>
      </c>
      <c r="S566" s="38" t="str">
        <f t="shared" si="2"/>
        <v>https://github.com/SF-Bancoppel/mx-api-bc-rec-legal-entity-directory</v>
      </c>
      <c r="T566" s="40"/>
      <c r="U566" s="22"/>
      <c r="V566" s="22"/>
      <c r="W566" s="40"/>
      <c r="X566" s="40"/>
      <c r="Y566" s="40"/>
      <c r="Z566" s="22"/>
      <c r="AA566" s="22"/>
      <c r="AB566" s="22"/>
    </row>
    <row r="567" ht="18.75" customHeight="1">
      <c r="A567" s="18" t="str">
        <f t="array" ref="A567">IFERROR(
  INDEX(
    'api-register-id'!A:A,
    MATCH(F567, 'api-register-id'!B:B, 0)
  ),
  "Not found Organization"
)</f>
        <v>SSFF</v>
      </c>
      <c r="B567" s="22" t="str">
        <f>IFERROR(VLOOKUP(F567, 'api-register-id'!B:F, 4, FALSE), "Not found path.")</f>
        <v>mx-api-bc-rec-loan</v>
      </c>
      <c r="C567" s="23" t="s">
        <v>112</v>
      </c>
      <c r="D567" s="23" t="s">
        <v>1417</v>
      </c>
      <c r="E567" s="24" t="str">
        <f>IFERROR(VLOOKUP(F567, 'api-register-id'!B:F, 5, FALSE), "Not found path.")</f>
        <v>APIMX000135</v>
      </c>
      <c r="F567" s="25" t="s">
        <v>1626</v>
      </c>
      <c r="G567" s="26" t="s">
        <v>4698</v>
      </c>
      <c r="H567" s="22" t="s">
        <v>4699</v>
      </c>
      <c r="I567" s="29" t="str">
        <f>IFERROR(VLOOKUP(F567, 'api-register-id'!B:I, 8, FALSE), "Not found path.")</f>
        <v>1.2.0</v>
      </c>
      <c r="J567" s="3" t="s">
        <v>4700</v>
      </c>
      <c r="K567" s="31" t="s">
        <v>48</v>
      </c>
      <c r="L567" s="23" t="s">
        <v>428</v>
      </c>
      <c r="M567" s="3" t="s">
        <v>1212</v>
      </c>
      <c r="N567" s="3" t="str">
        <f t="shared" si="1"/>
        <v>PATCH /experience/loanAndDeposits/loan/v1/loanFacilityReport/execute</v>
      </c>
      <c r="O567" s="32" t="s">
        <v>1213</v>
      </c>
      <c r="P567" s="32" t="s">
        <v>4701</v>
      </c>
      <c r="Q567" s="61" t="s">
        <v>98</v>
      </c>
      <c r="R567" s="31" t="s">
        <v>56</v>
      </c>
      <c r="S567" s="38" t="str">
        <f t="shared" si="2"/>
        <v>https://github.com/SF-Bancoppel/mx-api-bc-rec-loan</v>
      </c>
      <c r="T567" s="40"/>
      <c r="U567" s="22"/>
      <c r="V567" s="40"/>
      <c r="W567" s="40"/>
      <c r="X567" s="40"/>
      <c r="Y567" s="40"/>
      <c r="Z567" s="22"/>
      <c r="AA567" s="22"/>
      <c r="AB567" s="22"/>
    </row>
    <row r="568" ht="18.75" customHeight="1">
      <c r="A568" s="18" t="str">
        <f t="array" ref="A568">IFERROR(
  INDEX(
    'api-register-id'!A:A,
    MATCH(F568, 'api-register-id'!B:B, 0)
  ),
  "Not found Organization"
)</f>
        <v>SSFF</v>
      </c>
      <c r="B568" s="22" t="str">
        <f>IFERROR(VLOOKUP(F568, 'api-register-id'!B:F, 4, FALSE), "Not found path.")</f>
        <v>mx-api-bc-rec-loan</v>
      </c>
      <c r="C568" s="23" t="s">
        <v>112</v>
      </c>
      <c r="D568" s="23" t="s">
        <v>1417</v>
      </c>
      <c r="E568" s="24" t="str">
        <f>IFERROR(VLOOKUP(F568, 'api-register-id'!B:F, 5, FALSE), "Not found path.")</f>
        <v>APIMX000135</v>
      </c>
      <c r="F568" s="25" t="s">
        <v>1626</v>
      </c>
      <c r="G568" s="26" t="s">
        <v>4702</v>
      </c>
      <c r="H568" s="22" t="s">
        <v>4703</v>
      </c>
      <c r="I568" s="29" t="str">
        <f>IFERROR(VLOOKUP(F568, 'api-register-id'!B:I, 8, FALSE), "Not found path.")</f>
        <v>1.2.0</v>
      </c>
      <c r="J568" s="3" t="s">
        <v>4700</v>
      </c>
      <c r="K568" s="31" t="s">
        <v>48</v>
      </c>
      <c r="L568" s="23" t="s">
        <v>428</v>
      </c>
      <c r="M568" s="3" t="s">
        <v>1232</v>
      </c>
      <c r="N568" s="3" t="str">
        <f t="shared" si="1"/>
        <v>PATCH /experience/loanAndDeposits/loan/v1/loanProjection/request</v>
      </c>
      <c r="O568" s="32" t="s">
        <v>1233</v>
      </c>
      <c r="P568" s="32" t="s">
        <v>4701</v>
      </c>
      <c r="Q568" s="61" t="s">
        <v>98</v>
      </c>
      <c r="R568" s="31" t="s">
        <v>56</v>
      </c>
      <c r="S568" s="38" t="str">
        <f t="shared" si="2"/>
        <v>https://github.com/SF-Bancoppel/mx-api-bc-rec-loan</v>
      </c>
      <c r="T568" s="40"/>
      <c r="U568" s="22"/>
      <c r="V568" s="40"/>
      <c r="W568" s="40"/>
      <c r="X568" s="40"/>
      <c r="Y568" s="40"/>
      <c r="Z568" s="22"/>
      <c r="AA568" s="22"/>
      <c r="AB568" s="22"/>
    </row>
    <row r="569" ht="18.75" customHeight="1">
      <c r="A569" s="18" t="str">
        <f t="array" ref="A569">IFERROR(
  INDEX(
    'api-register-id'!A:A,
    MATCH(F569, 'api-register-id'!B:B, 0)
  ),
  "Not found Organization"
)</f>
        <v>SSFF</v>
      </c>
      <c r="B569" s="22" t="str">
        <f>IFERROR(VLOOKUP(F569, 'api-register-id'!B:F, 4, FALSE), "Not found path.")</f>
        <v>mx-api-bc-rec-loan</v>
      </c>
      <c r="C569" s="23" t="s">
        <v>112</v>
      </c>
      <c r="D569" s="23" t="s">
        <v>1417</v>
      </c>
      <c r="E569" s="24" t="str">
        <f>IFERROR(VLOOKUP(F569, 'api-register-id'!B:F, 5, FALSE), "Not found path.")</f>
        <v>APIMX000135</v>
      </c>
      <c r="F569" s="25" t="s">
        <v>1626</v>
      </c>
      <c r="G569" s="26" t="s">
        <v>4704</v>
      </c>
      <c r="H569" s="22" t="s">
        <v>4705</v>
      </c>
      <c r="I569" s="29" t="str">
        <f>IFERROR(VLOOKUP(F569, 'api-register-id'!B:I, 8, FALSE), "Not found path.")</f>
        <v>1.2.0</v>
      </c>
      <c r="J569" s="3" t="s">
        <v>4700</v>
      </c>
      <c r="K569" s="31" t="s">
        <v>48</v>
      </c>
      <c r="L569" s="23" t="s">
        <v>49</v>
      </c>
      <c r="M569" s="3" t="s">
        <v>1254</v>
      </c>
      <c r="N569" s="3" t="str">
        <f t="shared" si="1"/>
        <v>POST /experience/loanAndDeposits/loan/v1/maintenance/retrieve</v>
      </c>
      <c r="O569" s="32" t="s">
        <v>780</v>
      </c>
      <c r="P569" s="32" t="s">
        <v>4701</v>
      </c>
      <c r="Q569" s="61" t="s">
        <v>98</v>
      </c>
      <c r="R569" s="31" t="s">
        <v>56</v>
      </c>
      <c r="S569" s="38" t="str">
        <f t="shared" si="2"/>
        <v>https://github.com/SF-Bancoppel/mx-api-bc-rec-loan</v>
      </c>
      <c r="T569" s="40"/>
      <c r="U569" s="22"/>
      <c r="V569" s="40"/>
      <c r="W569" s="40"/>
      <c r="X569" s="40"/>
      <c r="Y569" s="40"/>
      <c r="Z569" s="22"/>
      <c r="AA569" s="22"/>
      <c r="AB569" s="22"/>
    </row>
    <row r="570" ht="18.75" customHeight="1">
      <c r="A570" s="18" t="str">
        <f t="array" ref="A570">IFERROR(
  INDEX(
    'api-register-id'!A:A,
    MATCH(F570, 'api-register-id'!B:B, 0)
  ),
  "Not found Organization"
)</f>
        <v>SSFF</v>
      </c>
      <c r="B570" s="22" t="str">
        <f>IFERROR(VLOOKUP(F570, 'api-register-id'!B:F, 4, FALSE), "Not found path.")</f>
        <v>mx-api-bc-rec-location-data-management</v>
      </c>
      <c r="C570" s="23" t="s">
        <v>112</v>
      </c>
      <c r="D570" s="23" t="s">
        <v>1417</v>
      </c>
      <c r="E570" s="24" t="str">
        <f>IFERROR(VLOOKUP(F570, 'api-register-id'!B:F, 5, FALSE), "Not found path.")</f>
        <v>APIMX000136</v>
      </c>
      <c r="F570" s="25" t="s">
        <v>1638</v>
      </c>
      <c r="G570" s="26" t="s">
        <v>4706</v>
      </c>
      <c r="H570" s="22" t="s">
        <v>4707</v>
      </c>
      <c r="I570" s="29" t="str">
        <f>IFERROR(VLOOKUP(F570, 'api-register-id'!B:I, 8, FALSE), "Not found path.")</f>
        <v>1.2.1</v>
      </c>
      <c r="J570" s="3" t="s">
        <v>4708</v>
      </c>
      <c r="K570" s="31" t="s">
        <v>48</v>
      </c>
      <c r="L570" s="23" t="s">
        <v>49</v>
      </c>
      <c r="M570" s="3" t="s">
        <v>1262</v>
      </c>
      <c r="N570" s="3" t="str">
        <f t="shared" si="1"/>
        <v>POST /experience/marketData/locationDataManagement/v1/street/evaluate</v>
      </c>
      <c r="O570" s="32" t="s">
        <v>4709</v>
      </c>
      <c r="P570" s="32" t="s">
        <v>652</v>
      </c>
      <c r="Q570" s="61" t="s">
        <v>4710</v>
      </c>
      <c r="R570" s="31" t="s">
        <v>56</v>
      </c>
      <c r="S570" s="38" t="str">
        <f t="shared" si="2"/>
        <v>https://github.com/SF-Bancoppel/mx-api-bc-rec-location-data-management</v>
      </c>
      <c r="T570" s="40"/>
      <c r="U570" s="22"/>
      <c r="V570" s="40"/>
      <c r="W570" s="40"/>
      <c r="X570" s="40"/>
      <c r="Y570" s="40"/>
      <c r="Z570" s="22"/>
      <c r="AA570" s="22"/>
      <c r="AB570" s="22"/>
    </row>
    <row r="571" ht="18.75" customHeight="1">
      <c r="A571" s="18" t="str">
        <f t="array" ref="A571">IFERROR(
  INDEX(
    'api-register-id'!A:A,
    MATCH(F571, 'api-register-id'!B:B, 0)
  ),
  "Not found Organization"
)</f>
        <v>SSFF</v>
      </c>
      <c r="B571" s="22" t="str">
        <f>IFERROR(VLOOKUP(F571, 'api-register-id'!B:F, 4, FALSE), "Not found path.")</f>
        <v>mx-api-bc-rec-location-data-management</v>
      </c>
      <c r="C571" s="23" t="s">
        <v>112</v>
      </c>
      <c r="D571" s="23" t="s">
        <v>1417</v>
      </c>
      <c r="E571" s="24" t="str">
        <f>IFERROR(VLOOKUP(F571, 'api-register-id'!B:F, 5, FALSE), "Not found path.")</f>
        <v>APIMX000136</v>
      </c>
      <c r="F571" s="25" t="s">
        <v>1638</v>
      </c>
      <c r="G571" s="26" t="s">
        <v>4711</v>
      </c>
      <c r="H571" s="22" t="s">
        <v>4712</v>
      </c>
      <c r="I571" s="29" t="str">
        <f>IFERROR(VLOOKUP(F571, 'api-register-id'!B:I, 8, FALSE), "Not found path.")</f>
        <v>1.2.1</v>
      </c>
      <c r="J571" s="3" t="s">
        <v>4708</v>
      </c>
      <c r="K571" s="31" t="s">
        <v>48</v>
      </c>
      <c r="L571" s="23" t="s">
        <v>49</v>
      </c>
      <c r="M571" s="3" t="s">
        <v>1267</v>
      </c>
      <c r="N571" s="3" t="str">
        <f t="shared" si="1"/>
        <v>POST /experience/marketData/locationDataManagement/v1/sepomex/retrieve</v>
      </c>
      <c r="O571" s="32" t="s">
        <v>4713</v>
      </c>
      <c r="P571" s="32"/>
      <c r="Q571" s="61" t="s">
        <v>4714</v>
      </c>
      <c r="R571" s="31" t="s">
        <v>56</v>
      </c>
      <c r="S571" s="38" t="str">
        <f t="shared" si="2"/>
        <v>https://github.com/SF-Bancoppel/mx-api-bc-rec-location-data-management</v>
      </c>
      <c r="T571" s="40"/>
      <c r="U571" s="22"/>
      <c r="V571" s="40"/>
      <c r="W571" s="40"/>
      <c r="X571" s="40"/>
      <c r="Y571" s="40"/>
      <c r="Z571" s="22"/>
      <c r="AA571" s="22"/>
      <c r="AB571" s="22"/>
    </row>
    <row r="572" ht="18.75" customHeight="1">
      <c r="A572" s="18" t="str">
        <f t="array" ref="A572">IFERROR(
  INDEX(
    'api-register-id'!A:A,
    MATCH(F572, 'api-register-id'!B:B, 0)
  ),
  "Not found Organization"
)</f>
        <v>SSFF</v>
      </c>
      <c r="B572" s="22" t="str">
        <f>IFERROR(VLOOKUP(F572, 'api-register-id'!B:F, 4, FALSE), "Not found path.")</f>
        <v>mx-api-bc-rec-location-data-management</v>
      </c>
      <c r="C572" s="23" t="s">
        <v>112</v>
      </c>
      <c r="D572" s="23" t="s">
        <v>1417</v>
      </c>
      <c r="E572" s="24" t="str">
        <f>IFERROR(VLOOKUP(F572, 'api-register-id'!B:F, 5, FALSE), "Not found path.")</f>
        <v>APIMX000136</v>
      </c>
      <c r="F572" s="25" t="s">
        <v>1638</v>
      </c>
      <c r="G572" s="26" t="s">
        <v>4715</v>
      </c>
      <c r="H572" s="22" t="s">
        <v>4716</v>
      </c>
      <c r="I572" s="29" t="str">
        <f>IFERROR(VLOOKUP(F572, 'api-register-id'!B:I, 8, FALSE), "Not found path.")</f>
        <v>1.2.1</v>
      </c>
      <c r="J572" s="3" t="s">
        <v>4708</v>
      </c>
      <c r="K572" s="31" t="s">
        <v>48</v>
      </c>
      <c r="L572" s="23" t="s">
        <v>108</v>
      </c>
      <c r="M572" s="3" t="s">
        <v>4717</v>
      </c>
      <c r="N572" s="3" t="str">
        <f t="shared" si="1"/>
        <v>GET /experience/marketData/locationDataManagement/v1/neighborhood/retrieve/{postalCode}</v>
      </c>
      <c r="O572" s="32" t="s">
        <v>4718</v>
      </c>
      <c r="P572" s="32" t="s">
        <v>4719</v>
      </c>
      <c r="Q572" s="61" t="s">
        <v>98</v>
      </c>
      <c r="R572" s="31" t="s">
        <v>56</v>
      </c>
      <c r="S572" s="38" t="str">
        <f t="shared" si="2"/>
        <v>https://github.com/SF-Bancoppel/mx-api-bc-rec-location-data-management</v>
      </c>
      <c r="T572" s="40"/>
      <c r="U572" s="40"/>
      <c r="V572" s="40"/>
      <c r="W572" s="40"/>
      <c r="X572" s="40"/>
      <c r="Y572" s="40"/>
      <c r="Z572" s="40"/>
      <c r="AA572" s="40"/>
      <c r="AB572" s="40"/>
    </row>
    <row r="573" ht="18.75" customHeight="1">
      <c r="A573" s="18" t="str">
        <f t="array" ref="A573">IFERROR(
  INDEX(
    'api-register-id'!A:A,
    MATCH(F573, 'api-register-id'!B:B, 0)
  ),
  "Not found Organization"
)</f>
        <v>SSFF</v>
      </c>
      <c r="B573" s="22" t="str">
        <f>IFERROR(VLOOKUP(F573, 'api-register-id'!B:F, 4, FALSE), "Not found path.")</f>
        <v>mx-api-bc-rec-location-data-management</v>
      </c>
      <c r="C573" s="23" t="s">
        <v>112</v>
      </c>
      <c r="D573" s="23" t="s">
        <v>1417</v>
      </c>
      <c r="E573" s="24" t="str">
        <f>IFERROR(VLOOKUP(F573, 'api-register-id'!B:F, 5, FALSE), "Not found path.")</f>
        <v>APIMX000136</v>
      </c>
      <c r="F573" s="25" t="s">
        <v>1638</v>
      </c>
      <c r="G573" s="26" t="s">
        <v>4720</v>
      </c>
      <c r="H573" s="22" t="s">
        <v>4721</v>
      </c>
      <c r="I573" s="29" t="str">
        <f>IFERROR(VLOOKUP(F573, 'api-register-id'!B:I, 8, FALSE), "Not found path.")</f>
        <v>1.2.1</v>
      </c>
      <c r="J573" s="3" t="s">
        <v>4708</v>
      </c>
      <c r="K573" s="31" t="s">
        <v>48</v>
      </c>
      <c r="L573" s="23" t="s">
        <v>428</v>
      </c>
      <c r="M573" s="3" t="s">
        <v>1287</v>
      </c>
      <c r="N573" s="3" t="str">
        <f t="shared" si="1"/>
        <v>PATCH /experience/marketData/locationDataManagement/v1/sepomex/update</v>
      </c>
      <c r="O573" s="32" t="s">
        <v>4722</v>
      </c>
      <c r="P573" s="32"/>
      <c r="Q573" s="61" t="s">
        <v>4723</v>
      </c>
      <c r="R573" s="31" t="s">
        <v>56</v>
      </c>
      <c r="S573" s="38" t="str">
        <f t="shared" si="2"/>
        <v>https://github.com/SF-Bancoppel/mx-api-bc-rec-location-data-management</v>
      </c>
      <c r="T573" s="40"/>
      <c r="U573" s="22"/>
      <c r="V573" s="40"/>
      <c r="W573" s="40"/>
      <c r="X573" s="40"/>
      <c r="Y573" s="40"/>
      <c r="Z573" s="22"/>
      <c r="AA573" s="22"/>
      <c r="AB573" s="22"/>
    </row>
    <row r="574" ht="18.75" customHeight="1">
      <c r="A574" s="18" t="str">
        <f t="array" ref="A574">IFERROR(
  INDEX(
    'api-register-id'!A:A,
    MATCH(F574, 'api-register-id'!B:B, 0)
  ),
  "Not found Organization"
)</f>
        <v>SSFF</v>
      </c>
      <c r="B574" s="22" t="str">
        <f>IFERROR(VLOOKUP(F574, 'api-register-id'!B:F, 4, FALSE), "Not found path.")</f>
        <v>mx-api-bc-rec-operations-and-execution</v>
      </c>
      <c r="C574" s="23" t="s">
        <v>112</v>
      </c>
      <c r="D574" s="23" t="s">
        <v>1417</v>
      </c>
      <c r="E574" s="24" t="str">
        <f>IFERROR(VLOOKUP(F574, 'api-register-id'!B:F, 5, FALSE), "Not found path.")</f>
        <v>APIMX000137</v>
      </c>
      <c r="F574" s="25" t="s">
        <v>1649</v>
      </c>
      <c r="G574" s="26" t="s">
        <v>4724</v>
      </c>
      <c r="H574" s="22" t="s">
        <v>4725</v>
      </c>
      <c r="I574" s="29" t="str">
        <f>IFERROR(VLOOKUP(F574, 'api-register-id'!B:I, 8, FALSE), "Not found path.")</f>
        <v>1.3.1</v>
      </c>
      <c r="J574" s="3" t="s">
        <v>4726</v>
      </c>
      <c r="K574" s="31" t="s">
        <v>48</v>
      </c>
      <c r="L574" s="23" t="s">
        <v>49</v>
      </c>
      <c r="M574" s="3" t="s">
        <v>95</v>
      </c>
      <c r="N574" s="3" t="str">
        <f t="shared" si="1"/>
        <v>POST /experience/operationsAndExecution/v1/loanFacility/initiate</v>
      </c>
      <c r="O574" s="32" t="s">
        <v>96</v>
      </c>
      <c r="P574" s="32"/>
      <c r="Q574" s="61" t="s">
        <v>98</v>
      </c>
      <c r="R574" s="31" t="s">
        <v>56</v>
      </c>
      <c r="S574" s="38" t="str">
        <f t="shared" si="2"/>
        <v>https://github.com/SF-Bancoppel/mx-api-bc-rec-operations-and-execution</v>
      </c>
      <c r="T574" s="40"/>
      <c r="U574" s="40"/>
      <c r="V574" s="40"/>
      <c r="W574" s="40"/>
      <c r="X574" s="40"/>
      <c r="Y574" s="40"/>
      <c r="Z574" s="40"/>
      <c r="AA574" s="40"/>
      <c r="AB574" s="40"/>
    </row>
    <row r="575" ht="18.75" customHeight="1">
      <c r="A575" s="18" t="str">
        <f t="array" ref="A575">IFERROR(
  INDEX(
    'api-register-id'!A:A,
    MATCH(F575, 'api-register-id'!B:B, 0)
  ),
  "Not found Organization"
)</f>
        <v>SSFF</v>
      </c>
      <c r="B575" s="22" t="str">
        <f>IFERROR(VLOOKUP(F575, 'api-register-id'!B:F, 4, FALSE), "Not found path.")</f>
        <v>mx-api-bc-rec-operations-and-execution</v>
      </c>
      <c r="C575" s="23" t="s">
        <v>112</v>
      </c>
      <c r="D575" s="23" t="s">
        <v>1417</v>
      </c>
      <c r="E575" s="24" t="str">
        <f>IFERROR(VLOOKUP(F575, 'api-register-id'!B:F, 5, FALSE), "Not found path.")</f>
        <v>APIMX000137</v>
      </c>
      <c r="F575" s="25" t="s">
        <v>1649</v>
      </c>
      <c r="G575" s="26" t="s">
        <v>4727</v>
      </c>
      <c r="H575" s="22" t="s">
        <v>4728</v>
      </c>
      <c r="I575" s="29" t="str">
        <f>IFERROR(VLOOKUP(F575, 'api-register-id'!B:I, 8, FALSE), "Not found path.")</f>
        <v>1.3.1</v>
      </c>
      <c r="J575" s="3" t="s">
        <v>4726</v>
      </c>
      <c r="K575" s="31" t="s">
        <v>48</v>
      </c>
      <c r="L575" s="23" t="s">
        <v>108</v>
      </c>
      <c r="M575" s="3" t="s">
        <v>109</v>
      </c>
      <c r="N575" s="3" t="str">
        <f t="shared" si="1"/>
        <v>GET /experience/operationsAndExecution/v1/creditDataDocument/retrieve</v>
      </c>
      <c r="O575" s="32" t="s">
        <v>110</v>
      </c>
      <c r="P575" s="32"/>
      <c r="Q575" s="61" t="s">
        <v>98</v>
      </c>
      <c r="R575" s="31" t="s">
        <v>56</v>
      </c>
      <c r="S575" s="38" t="str">
        <f t="shared" si="2"/>
        <v>https://github.com/SF-Bancoppel/mx-api-bc-rec-operations-and-execution</v>
      </c>
      <c r="T575" s="40"/>
      <c r="U575" s="22"/>
      <c r="V575" s="40"/>
      <c r="W575" s="40"/>
      <c r="X575" s="40"/>
      <c r="Y575" s="40"/>
      <c r="Z575" s="22"/>
      <c r="AA575" s="22"/>
      <c r="AB575" s="22"/>
    </row>
    <row r="576" ht="18.75" customHeight="1">
      <c r="A576" s="18" t="str">
        <f t="array" ref="A576">IFERROR(
  INDEX(
    'api-register-id'!A:A,
    MATCH(F576, 'api-register-id'!B:B, 0)
  ),
  "Not found Organization"
)</f>
        <v>SSFF</v>
      </c>
      <c r="B576" s="22" t="str">
        <f>IFERROR(VLOOKUP(F576, 'api-register-id'!B:F, 4, FALSE), "Not found path.")</f>
        <v>mx-api-bc-rec-operations-and-execution</v>
      </c>
      <c r="C576" s="23" t="s">
        <v>112</v>
      </c>
      <c r="D576" s="23" t="s">
        <v>1417</v>
      </c>
      <c r="E576" s="24" t="str">
        <f>IFERROR(VLOOKUP(F576, 'api-register-id'!B:F, 5, FALSE), "Not found path.")</f>
        <v>APIMX000137</v>
      </c>
      <c r="F576" s="25" t="s">
        <v>1649</v>
      </c>
      <c r="G576" s="26" t="s">
        <v>4729</v>
      </c>
      <c r="H576" s="22" t="s">
        <v>4730</v>
      </c>
      <c r="I576" s="29" t="str">
        <f>IFERROR(VLOOKUP(F576, 'api-register-id'!B:I, 8, FALSE), "Not found path.")</f>
        <v>1.3.1</v>
      </c>
      <c r="J576" s="3" t="s">
        <v>4726</v>
      </c>
      <c r="K576" s="31" t="s">
        <v>48</v>
      </c>
      <c r="L576" s="23" t="s">
        <v>108</v>
      </c>
      <c r="M576" s="3" t="s">
        <v>116</v>
      </c>
      <c r="N576" s="3" t="str">
        <f t="shared" si="1"/>
        <v>GET /experience/operationsAndExecution/v1/customerCreditBalance/retrieve</v>
      </c>
      <c r="O576" s="32" t="s">
        <v>117</v>
      </c>
      <c r="P576" s="32"/>
      <c r="Q576" s="61" t="s">
        <v>98</v>
      </c>
      <c r="R576" s="31" t="s">
        <v>56</v>
      </c>
      <c r="S576" s="38" t="str">
        <f t="shared" si="2"/>
        <v>https://github.com/SF-Bancoppel/mx-api-bc-rec-operations-and-execution</v>
      </c>
      <c r="T576" s="40"/>
      <c r="U576" s="22"/>
      <c r="V576" s="40"/>
      <c r="W576" s="40"/>
      <c r="X576" s="40"/>
      <c r="Y576" s="40"/>
      <c r="Z576" s="22"/>
      <c r="AA576" s="22"/>
      <c r="AB576" s="22"/>
    </row>
    <row r="577" ht="18.75" customHeight="1">
      <c r="A577" s="18" t="str">
        <f t="array" ref="A577">IFERROR(
  INDEX(
    'api-register-id'!A:A,
    MATCH(F577, 'api-register-id'!B:B, 0)
  ),
  "Not found Organization"
)</f>
        <v>SSFF</v>
      </c>
      <c r="B577" s="22" t="str">
        <f>IFERROR(VLOOKUP(F577, 'api-register-id'!B:F, 4, FALSE), "Not found path.")</f>
        <v>mx-api-bc-rec-operations-and-execution</v>
      </c>
      <c r="C577" s="23" t="s">
        <v>112</v>
      </c>
      <c r="D577" s="23" t="s">
        <v>1417</v>
      </c>
      <c r="E577" s="24" t="str">
        <f>IFERROR(VLOOKUP(F577, 'api-register-id'!B:F, 5, FALSE), "Not found path.")</f>
        <v>APIMX000137</v>
      </c>
      <c r="F577" s="25" t="s">
        <v>1649</v>
      </c>
      <c r="G577" s="26" t="s">
        <v>4731</v>
      </c>
      <c r="H577" s="22" t="s">
        <v>4197</v>
      </c>
      <c r="I577" s="29" t="str">
        <f>IFERROR(VLOOKUP(F577, 'api-register-id'!B:I, 8, FALSE), "Not found path.")</f>
        <v>1.3.1</v>
      </c>
      <c r="J577" s="3" t="s">
        <v>4726</v>
      </c>
      <c r="K577" s="31" t="s">
        <v>48</v>
      </c>
      <c r="L577" s="23" t="s">
        <v>108</v>
      </c>
      <c r="M577" s="3" t="s">
        <v>125</v>
      </c>
      <c r="N577" s="3" t="str">
        <f t="shared" si="1"/>
        <v>GET /experience/operationsAndExecution/v1/customerProductInformation/{companyReference}/retrieve</v>
      </c>
      <c r="O577" s="32" t="s">
        <v>126</v>
      </c>
      <c r="P577" s="32"/>
      <c r="Q577" s="61" t="s">
        <v>98</v>
      </c>
      <c r="R577" s="31" t="s">
        <v>56</v>
      </c>
      <c r="S577" s="38" t="str">
        <f t="shared" si="2"/>
        <v>https://github.com/SF-Bancoppel/mx-api-bc-rec-operations-and-execution</v>
      </c>
      <c r="T577" s="40"/>
      <c r="U577" s="22"/>
      <c r="V577" s="40"/>
      <c r="W577" s="40"/>
      <c r="X577" s="40"/>
      <c r="Y577" s="40"/>
      <c r="Z577" s="22"/>
      <c r="AA577" s="22"/>
      <c r="AB577" s="22"/>
    </row>
    <row r="578" ht="18.75" customHeight="1">
      <c r="A578" s="18" t="str">
        <f t="array" ref="A578">IFERROR(
  INDEX(
    'api-register-id'!A:A,
    MATCH(F578, 'api-register-id'!B:B, 0)
  ),
  "Not found Organization"
)</f>
        <v>SSFF</v>
      </c>
      <c r="B578" s="22" t="str">
        <f>IFERROR(VLOOKUP(F578, 'api-register-id'!B:F, 4, FALSE), "Not found path.")</f>
        <v>mx-api-bc-rec-operations-and-execution</v>
      </c>
      <c r="C578" s="23" t="s">
        <v>112</v>
      </c>
      <c r="D578" s="23" t="s">
        <v>1417</v>
      </c>
      <c r="E578" s="24" t="str">
        <f>IFERROR(VLOOKUP(F578, 'api-register-id'!B:F, 5, FALSE), "Not found path.")</f>
        <v>APIMX000137</v>
      </c>
      <c r="F578" s="25" t="s">
        <v>1649</v>
      </c>
      <c r="G578" s="26" t="s">
        <v>4732</v>
      </c>
      <c r="H578" s="22" t="s">
        <v>4733</v>
      </c>
      <c r="I578" s="29" t="str">
        <f>IFERROR(VLOOKUP(F578, 'api-register-id'!B:I, 8, FALSE), "Not found path.")</f>
        <v>1.3.1</v>
      </c>
      <c r="J578" s="3" t="s">
        <v>4726</v>
      </c>
      <c r="K578" s="31" t="s">
        <v>48</v>
      </c>
      <c r="L578" s="23" t="s">
        <v>108</v>
      </c>
      <c r="M578" s="3" t="s">
        <v>146</v>
      </c>
      <c r="N578" s="3" t="str">
        <f t="shared" si="1"/>
        <v>GET /experience/operationsAndExecution/v1/loanAgreement/retrieve</v>
      </c>
      <c r="O578" s="32" t="s">
        <v>147</v>
      </c>
      <c r="P578" s="32"/>
      <c r="Q578" s="61" t="s">
        <v>98</v>
      </c>
      <c r="R578" s="31" t="s">
        <v>56</v>
      </c>
      <c r="S578" s="38" t="str">
        <f t="shared" si="2"/>
        <v>https://github.com/SF-Bancoppel/mx-api-bc-rec-operations-and-execution</v>
      </c>
      <c r="T578" s="40"/>
      <c r="U578" s="22"/>
      <c r="V578" s="40"/>
      <c r="W578" s="40"/>
      <c r="X578" s="40"/>
      <c r="Y578" s="40"/>
      <c r="Z578" s="22"/>
      <c r="AA578" s="22"/>
      <c r="AB578" s="22"/>
    </row>
    <row r="579" ht="18.75" customHeight="1">
      <c r="A579" s="18" t="str">
        <f t="array" ref="A579">IFERROR(
  INDEX(
    'api-register-id'!A:A,
    MATCH(F579, 'api-register-id'!B:B, 0)
  ),
  "Not found Organization"
)</f>
        <v>SSFF</v>
      </c>
      <c r="B579" s="22" t="str">
        <f>IFERROR(VLOOKUP(F579, 'api-register-id'!B:F, 4, FALSE), "Not found path.")</f>
        <v>mx-api-bc-rec-operations-and-execution</v>
      </c>
      <c r="C579" s="23" t="s">
        <v>112</v>
      </c>
      <c r="D579" s="23" t="s">
        <v>1417</v>
      </c>
      <c r="E579" s="24" t="str">
        <f>IFERROR(VLOOKUP(F579, 'api-register-id'!B:F, 5, FALSE), "Not found path.")</f>
        <v>APIMX000137</v>
      </c>
      <c r="F579" s="25" t="s">
        <v>1649</v>
      </c>
      <c r="G579" s="26" t="s">
        <v>4734</v>
      </c>
      <c r="H579" s="22" t="s">
        <v>4735</v>
      </c>
      <c r="I579" s="29" t="str">
        <f>IFERROR(VLOOKUP(F579, 'api-register-id'!B:I, 8, FALSE), "Not found path.")</f>
        <v>1.3.1</v>
      </c>
      <c r="J579" s="3" t="s">
        <v>4726</v>
      </c>
      <c r="K579" s="31" t="s">
        <v>48</v>
      </c>
      <c r="L579" s="23" t="s">
        <v>108</v>
      </c>
      <c r="M579" s="3" t="s">
        <v>153</v>
      </c>
      <c r="N579" s="3" t="str">
        <f t="shared" si="1"/>
        <v>GET /experience/operationsAndExecution/v1/savingAccountBalance/{companyReference}/retrieve</v>
      </c>
      <c r="O579" s="32" t="s">
        <v>154</v>
      </c>
      <c r="P579" s="32"/>
      <c r="Q579" s="61" t="s">
        <v>98</v>
      </c>
      <c r="R579" s="31" t="s">
        <v>56</v>
      </c>
      <c r="S579" s="38" t="str">
        <f t="shared" si="2"/>
        <v>https://github.com/SF-Bancoppel/mx-api-bc-rec-operations-and-execution</v>
      </c>
      <c r="T579" s="40"/>
      <c r="U579" s="22"/>
      <c r="V579" s="22"/>
      <c r="W579" s="40"/>
      <c r="X579" s="40"/>
      <c r="Y579" s="40"/>
      <c r="Z579" s="22"/>
      <c r="AA579" s="22"/>
      <c r="AB579" s="22"/>
    </row>
    <row r="580" ht="18.75" customHeight="1">
      <c r="A580" s="18" t="str">
        <f t="array" ref="A580">IFERROR(
  INDEX(
    'api-register-id'!A:A,
    MATCH(F580, 'api-register-id'!B:B, 0)
  ),
  "Not found Organization"
)</f>
        <v>SSFF</v>
      </c>
      <c r="B580" s="22" t="str">
        <f>IFERROR(VLOOKUP(F580, 'api-register-id'!B:F, 4, FALSE), "Not found path.")</f>
        <v>mx-api-bc-rec-operations-and-execution</v>
      </c>
      <c r="C580" s="23" t="s">
        <v>112</v>
      </c>
      <c r="D580" s="23" t="s">
        <v>1417</v>
      </c>
      <c r="E580" s="24" t="str">
        <f>IFERROR(VLOOKUP(F580, 'api-register-id'!B:F, 5, FALSE), "Not found path.")</f>
        <v>APIMX000137</v>
      </c>
      <c r="F580" s="25" t="s">
        <v>1649</v>
      </c>
      <c r="G580" s="26" t="s">
        <v>4736</v>
      </c>
      <c r="H580" s="22" t="s">
        <v>4737</v>
      </c>
      <c r="I580" s="29" t="str">
        <f>IFERROR(VLOOKUP(F580, 'api-register-id'!B:I, 8, FALSE), "Not found path.")</f>
        <v>1.3.1</v>
      </c>
      <c r="J580" s="3" t="s">
        <v>4726</v>
      </c>
      <c r="K580" s="31" t="s">
        <v>48</v>
      </c>
      <c r="L580" s="23" t="s">
        <v>49</v>
      </c>
      <c r="M580" s="3" t="s">
        <v>163</v>
      </c>
      <c r="N580" s="3" t="str">
        <f t="shared" si="1"/>
        <v>POST /experience/operationsAndExecution/v1/creditCardFacilityApplication/request</v>
      </c>
      <c r="O580" s="32" t="s">
        <v>164</v>
      </c>
      <c r="P580" s="32" t="s">
        <v>165</v>
      </c>
      <c r="Q580" s="61" t="s">
        <v>98</v>
      </c>
      <c r="R580" s="31" t="s">
        <v>56</v>
      </c>
      <c r="S580" s="38" t="str">
        <f t="shared" si="2"/>
        <v>https://github.com/SF-Bancoppel/mx-api-bc-rec-operations-and-execution</v>
      </c>
      <c r="T580" s="40"/>
      <c r="U580" s="22"/>
      <c r="V580" s="40"/>
      <c r="W580" s="40"/>
      <c r="X580" s="40"/>
      <c r="Y580" s="40"/>
      <c r="Z580" s="22"/>
      <c r="AA580" s="22"/>
      <c r="AB580" s="22"/>
    </row>
    <row r="581" ht="18.75" customHeight="1">
      <c r="A581" s="18" t="str">
        <f t="array" ref="A581">IFERROR(
  INDEX(
    'api-register-id'!A:A,
    MATCH(F581, 'api-register-id'!B:B, 0)
  ),
  "Not found Organization"
)</f>
        <v>SSFF</v>
      </c>
      <c r="B581" s="22" t="str">
        <f>IFERROR(VLOOKUP(F581, 'api-register-id'!B:F, 4, FALSE), "Not found path.")</f>
        <v>mx-api-bc-rec-operations-and-execution</v>
      </c>
      <c r="C581" s="23" t="s">
        <v>112</v>
      </c>
      <c r="D581" s="23" t="s">
        <v>1417</v>
      </c>
      <c r="E581" s="24" t="str">
        <f>IFERROR(VLOOKUP(F581, 'api-register-id'!B:F, 5, FALSE), "Not found path.")</f>
        <v>APIMX000137</v>
      </c>
      <c r="F581" s="25" t="s">
        <v>1649</v>
      </c>
      <c r="G581" s="26" t="s">
        <v>4738</v>
      </c>
      <c r="H581" s="22" t="s">
        <v>4739</v>
      </c>
      <c r="I581" s="29" t="str">
        <f>IFERROR(VLOOKUP(F581, 'api-register-id'!B:I, 8, FALSE), "Not found path.")</f>
        <v>1.3.1</v>
      </c>
      <c r="J581" s="3" t="s">
        <v>4726</v>
      </c>
      <c r="K581" s="31" t="s">
        <v>48</v>
      </c>
      <c r="L581" s="23" t="s">
        <v>49</v>
      </c>
      <c r="M581" s="3" t="s">
        <v>171</v>
      </c>
      <c r="N581" s="3" t="str">
        <f t="shared" si="1"/>
        <v>POST /experience/operationsAndExecution/v1/creditCardFacility/initiate</v>
      </c>
      <c r="O581" s="32" t="s">
        <v>172</v>
      </c>
      <c r="P581" s="32"/>
      <c r="Q581" s="61" t="s">
        <v>98</v>
      </c>
      <c r="R581" s="31" t="s">
        <v>56</v>
      </c>
      <c r="S581" s="38" t="str">
        <f t="shared" si="2"/>
        <v>https://github.com/SF-Bancoppel/mx-api-bc-rec-operations-and-execution</v>
      </c>
      <c r="T581" s="40"/>
      <c r="U581" s="22"/>
      <c r="V581" s="40"/>
      <c r="W581" s="40"/>
      <c r="X581" s="40"/>
      <c r="Y581" s="40"/>
      <c r="Z581" s="22"/>
      <c r="AA581" s="22"/>
      <c r="AB581" s="22"/>
    </row>
    <row r="582" ht="18.75" customHeight="1">
      <c r="A582" s="18" t="str">
        <f t="array" ref="A582">IFERROR(
  INDEX(
    'api-register-id'!A:A,
    MATCH(F582, 'api-register-id'!B:B, 0)
  ),
  "Not found Organization"
)</f>
        <v>SSFF</v>
      </c>
      <c r="B582" s="22" t="str">
        <f>IFERROR(VLOOKUP(F582, 'api-register-id'!B:F, 4, FALSE), "Not found path.")</f>
        <v>mx-api-bc-rec-operations-and-execution</v>
      </c>
      <c r="C582" s="23" t="s">
        <v>112</v>
      </c>
      <c r="D582" s="23" t="s">
        <v>1417</v>
      </c>
      <c r="E582" s="24" t="str">
        <f>IFERROR(VLOOKUP(F582, 'api-register-id'!B:F, 5, FALSE), "Not found path.")</f>
        <v>APIMX000137</v>
      </c>
      <c r="F582" s="25" t="s">
        <v>1649</v>
      </c>
      <c r="G582" s="26" t="s">
        <v>4740</v>
      </c>
      <c r="H582" s="22" t="s">
        <v>4741</v>
      </c>
      <c r="I582" s="29" t="str">
        <f>IFERROR(VLOOKUP(F582, 'api-register-id'!B:I, 8, FALSE), "Not found path.")</f>
        <v>1.3.1</v>
      </c>
      <c r="J582" s="3" t="s">
        <v>4726</v>
      </c>
      <c r="K582" s="31" t="s">
        <v>48</v>
      </c>
      <c r="L582" s="23" t="s">
        <v>108</v>
      </c>
      <c r="M582" s="3" t="s">
        <v>182</v>
      </c>
      <c r="N582" s="3" t="str">
        <f t="shared" si="1"/>
        <v>GET /experience/operationsAndExecution/v1/creditCardInformation/retrieve</v>
      </c>
      <c r="O582" s="32" t="s">
        <v>183</v>
      </c>
      <c r="P582" s="32"/>
      <c r="Q582" s="61" t="s">
        <v>98</v>
      </c>
      <c r="R582" s="31" t="s">
        <v>56</v>
      </c>
      <c r="S582" s="38" t="str">
        <f t="shared" si="2"/>
        <v>https://github.com/SF-Bancoppel/mx-api-bc-rec-operations-and-execution</v>
      </c>
      <c r="T582" s="40"/>
      <c r="U582" s="22"/>
      <c r="V582" s="40"/>
      <c r="W582" s="40"/>
      <c r="X582" s="40"/>
      <c r="Y582" s="40"/>
      <c r="Z582" s="22"/>
      <c r="AA582" s="22"/>
      <c r="AB582" s="22"/>
    </row>
    <row r="583" ht="18.75" customHeight="1">
      <c r="A583" s="18" t="str">
        <f t="array" ref="A583">IFERROR(
  INDEX(
    'api-register-id'!A:A,
    MATCH(F583, 'api-register-id'!B:B, 0)
  ),
  "Not found Organization"
)</f>
        <v>SSFF</v>
      </c>
      <c r="B583" s="22" t="str">
        <f>IFERROR(VLOOKUP(F583, 'api-register-id'!B:F, 4, FALSE), "Not found path.")</f>
        <v>mx-api-bc-rec-operations-and-execution</v>
      </c>
      <c r="C583" s="23" t="s">
        <v>112</v>
      </c>
      <c r="D583" s="23" t="s">
        <v>1417</v>
      </c>
      <c r="E583" s="24" t="str">
        <f>IFERROR(VLOOKUP(F583, 'api-register-id'!B:F, 5, FALSE), "Not found path.")</f>
        <v>APIMX000137</v>
      </c>
      <c r="F583" s="25" t="s">
        <v>1649</v>
      </c>
      <c r="G583" s="26" t="s">
        <v>4742</v>
      </c>
      <c r="H583" s="22" t="s">
        <v>4743</v>
      </c>
      <c r="I583" s="29" t="str">
        <f>IFERROR(VLOOKUP(F583, 'api-register-id'!B:I, 8, FALSE), "Not found path.")</f>
        <v>1.3.1</v>
      </c>
      <c r="J583" s="3" t="s">
        <v>4726</v>
      </c>
      <c r="K583" s="31" t="s">
        <v>48</v>
      </c>
      <c r="L583" s="23" t="s">
        <v>108</v>
      </c>
      <c r="M583" s="3" t="s">
        <v>190</v>
      </c>
      <c r="N583" s="3" t="str">
        <f t="shared" si="1"/>
        <v>GET /experience/operationsAndExecution/v1/creditCardCashProvision/retrieve</v>
      </c>
      <c r="O583" s="32" t="s">
        <v>191</v>
      </c>
      <c r="P583" s="32"/>
      <c r="Q583" s="61" t="s">
        <v>98</v>
      </c>
      <c r="R583" s="31" t="s">
        <v>56</v>
      </c>
      <c r="S583" s="38" t="str">
        <f t="shared" si="2"/>
        <v>https://github.com/SF-Bancoppel/mx-api-bc-rec-operations-and-execution</v>
      </c>
      <c r="T583" s="40"/>
      <c r="U583" s="22"/>
      <c r="V583" s="40"/>
      <c r="W583" s="40"/>
      <c r="X583" s="40"/>
      <c r="Y583" s="40"/>
      <c r="Z583" s="22"/>
      <c r="AA583" s="22"/>
      <c r="AB583" s="22"/>
    </row>
    <row r="584" ht="18.75" customHeight="1">
      <c r="A584" s="18" t="str">
        <f t="array" ref="A584">IFERROR(
  INDEX(
    'api-register-id'!A:A,
    MATCH(F584, 'api-register-id'!B:B, 0)
  ),
  "Not found Organization"
)</f>
        <v>SSFF</v>
      </c>
      <c r="B584" s="22" t="str">
        <f>IFERROR(VLOOKUP(F584, 'api-register-id'!B:F, 4, FALSE), "Not found path.")</f>
        <v>mx-api-bc-rec-operations-and-execution</v>
      </c>
      <c r="C584" s="23" t="s">
        <v>112</v>
      </c>
      <c r="D584" s="23" t="s">
        <v>1417</v>
      </c>
      <c r="E584" s="24" t="str">
        <f>IFERROR(VLOOKUP(F584, 'api-register-id'!B:F, 5, FALSE), "Not found path.")</f>
        <v>APIMX000137</v>
      </c>
      <c r="F584" s="25" t="s">
        <v>1649</v>
      </c>
      <c r="G584" s="26" t="s">
        <v>4744</v>
      </c>
      <c r="H584" s="22" t="s">
        <v>4745</v>
      </c>
      <c r="I584" s="29" t="str">
        <f>IFERROR(VLOOKUP(F584, 'api-register-id'!B:I, 8, FALSE), "Not found path.")</f>
        <v>1.3.1</v>
      </c>
      <c r="J584" s="3" t="s">
        <v>4726</v>
      </c>
      <c r="K584" s="31" t="s">
        <v>48</v>
      </c>
      <c r="L584" s="23" t="s">
        <v>49</v>
      </c>
      <c r="M584" s="3" t="s">
        <v>199</v>
      </c>
      <c r="N584" s="3" t="str">
        <f t="shared" si="1"/>
        <v>POST /experience/operationsAndExecution/v1/creditCardActivationLog/initiate</v>
      </c>
      <c r="O584" s="32" t="s">
        <v>200</v>
      </c>
      <c r="P584" s="32"/>
      <c r="Q584" s="61" t="s">
        <v>98</v>
      </c>
      <c r="R584" s="31" t="s">
        <v>56</v>
      </c>
      <c r="S584" s="38" t="str">
        <f t="shared" si="2"/>
        <v>https://github.com/SF-Bancoppel/mx-api-bc-rec-operations-and-execution</v>
      </c>
      <c r="T584" s="40"/>
      <c r="U584" s="22"/>
      <c r="V584" s="40"/>
      <c r="W584" s="40"/>
      <c r="X584" s="40"/>
      <c r="Y584" s="40"/>
      <c r="Z584" s="22"/>
      <c r="AA584" s="22"/>
      <c r="AB584" s="22"/>
    </row>
    <row r="585" ht="18.75" customHeight="1">
      <c r="A585" s="18" t="str">
        <f t="array" ref="A585">IFERROR(
  INDEX(
    'api-register-id'!A:A,
    MATCH(F585, 'api-register-id'!B:B, 0)
  ),
  "Not found Organization"
)</f>
        <v>SSFF</v>
      </c>
      <c r="B585" s="22" t="str">
        <f>IFERROR(VLOOKUP(F585, 'api-register-id'!B:F, 4, FALSE), "Not found path.")</f>
        <v>mx-api-bc-rec-operations-and-execution</v>
      </c>
      <c r="C585" s="23" t="s">
        <v>112</v>
      </c>
      <c r="D585" s="23" t="s">
        <v>1417</v>
      </c>
      <c r="E585" s="24" t="str">
        <f>IFERROR(VLOOKUP(F585, 'api-register-id'!B:F, 5, FALSE), "Not found path.")</f>
        <v>APIMX000137</v>
      </c>
      <c r="F585" s="25" t="s">
        <v>1649</v>
      </c>
      <c r="G585" s="26" t="s">
        <v>4746</v>
      </c>
      <c r="H585" s="22" t="s">
        <v>4121</v>
      </c>
      <c r="I585" s="29" t="str">
        <f>IFERROR(VLOOKUP(F585, 'api-register-id'!B:I, 8, FALSE), "Not found path.")</f>
        <v>1.3.1</v>
      </c>
      <c r="J585" s="3" t="s">
        <v>4726</v>
      </c>
      <c r="K585" s="31" t="s">
        <v>48</v>
      </c>
      <c r="L585" s="23" t="s">
        <v>49</v>
      </c>
      <c r="M585" s="3" t="s">
        <v>209</v>
      </c>
      <c r="N585" s="3" t="str">
        <f t="shared" si="1"/>
        <v>POST /experience/operationsAndExecution/v1/creditCardHolder/retrieve</v>
      </c>
      <c r="O585" s="32" t="s">
        <v>210</v>
      </c>
      <c r="P585" s="32"/>
      <c r="Q585" s="61" t="s">
        <v>98</v>
      </c>
      <c r="R585" s="31" t="s">
        <v>56</v>
      </c>
      <c r="S585" s="38" t="str">
        <f t="shared" si="2"/>
        <v>https://github.com/SF-Bancoppel/mx-api-bc-rec-operations-and-execution</v>
      </c>
      <c r="T585" s="40"/>
      <c r="U585" s="22"/>
      <c r="V585" s="40"/>
      <c r="W585" s="40"/>
      <c r="X585" s="40"/>
      <c r="Y585" s="40"/>
      <c r="Z585" s="22"/>
      <c r="AA585" s="22"/>
      <c r="AB585" s="22"/>
    </row>
    <row r="586" ht="18.75" customHeight="1">
      <c r="A586" s="18" t="str">
        <f t="array" ref="A586">IFERROR(
  INDEX(
    'api-register-id'!A:A,
    MATCH(F586, 'api-register-id'!B:B, 0)
  ),
  "Not found Organization"
)</f>
        <v>SSFF</v>
      </c>
      <c r="B586" s="22" t="str">
        <f>IFERROR(VLOOKUP(F586, 'api-register-id'!B:F, 4, FALSE), "Not found path.")</f>
        <v>mx-api-bc-rec-operations-and-execution</v>
      </c>
      <c r="C586" s="23" t="s">
        <v>112</v>
      </c>
      <c r="D586" s="23" t="s">
        <v>1417</v>
      </c>
      <c r="E586" s="24" t="str">
        <f>IFERROR(VLOOKUP(F586, 'api-register-id'!B:F, 5, FALSE), "Not found path.")</f>
        <v>APIMX000137</v>
      </c>
      <c r="F586" s="25" t="s">
        <v>1649</v>
      </c>
      <c r="G586" s="26" t="s">
        <v>4747</v>
      </c>
      <c r="H586" s="22" t="s">
        <v>4748</v>
      </c>
      <c r="I586" s="29" t="str">
        <f>IFERROR(VLOOKUP(F586, 'api-register-id'!B:I, 8, FALSE), "Not found path.")</f>
        <v>1.3.1</v>
      </c>
      <c r="J586" s="3" t="s">
        <v>4726</v>
      </c>
      <c r="K586" s="31" t="s">
        <v>48</v>
      </c>
      <c r="L586" s="23" t="s">
        <v>49</v>
      </c>
      <c r="M586" s="3" t="s">
        <v>234</v>
      </c>
      <c r="N586" s="3" t="str">
        <f t="shared" si="1"/>
        <v>POST /experience/operationsAndExecution/v1/customerUpgrade/retrieve</v>
      </c>
      <c r="O586" s="32" t="s">
        <v>235</v>
      </c>
      <c r="P586" s="32"/>
      <c r="Q586" s="61" t="s">
        <v>98</v>
      </c>
      <c r="R586" s="31" t="s">
        <v>56</v>
      </c>
      <c r="S586" s="38" t="str">
        <f t="shared" si="2"/>
        <v>https://github.com/SF-Bancoppel/mx-api-bc-rec-operations-and-execution</v>
      </c>
      <c r="T586" s="40"/>
      <c r="U586" s="22"/>
      <c r="V586" s="40"/>
      <c r="W586" s="40"/>
      <c r="X586" s="40"/>
      <c r="Y586" s="40"/>
      <c r="Z586" s="22"/>
      <c r="AA586" s="22"/>
      <c r="AB586" s="22"/>
    </row>
    <row r="587" ht="18.75" customHeight="1">
      <c r="A587" s="18" t="str">
        <f t="array" ref="A587">IFERROR(
  INDEX(
    'api-register-id'!A:A,
    MATCH(F587, 'api-register-id'!B:B, 0)
  ),
  "Not found Organization"
)</f>
        <v>SSFF</v>
      </c>
      <c r="B587" s="22" t="str">
        <f>IFERROR(VLOOKUP(F587, 'api-register-id'!B:F, 4, FALSE), "Not found path.")</f>
        <v>mx-api-bc-rec-operations-and-execution</v>
      </c>
      <c r="C587" s="23" t="s">
        <v>112</v>
      </c>
      <c r="D587" s="23" t="s">
        <v>1417</v>
      </c>
      <c r="E587" s="24" t="str">
        <f>IFERROR(VLOOKUP(F587, 'api-register-id'!B:F, 5, FALSE), "Not found path.")</f>
        <v>APIMX000137</v>
      </c>
      <c r="F587" s="25" t="s">
        <v>1649</v>
      </c>
      <c r="G587" s="26" t="s">
        <v>4749</v>
      </c>
      <c r="H587" s="22" t="s">
        <v>4750</v>
      </c>
      <c r="I587" s="29" t="str">
        <f>IFERROR(VLOOKUP(F587, 'api-register-id'!B:I, 8, FALSE), "Not found path.")</f>
        <v>1.3.1</v>
      </c>
      <c r="J587" s="3" t="s">
        <v>4726</v>
      </c>
      <c r="K587" s="31" t="s">
        <v>48</v>
      </c>
      <c r="L587" s="23" t="s">
        <v>49</v>
      </c>
      <c r="M587" s="3" t="s">
        <v>246</v>
      </c>
      <c r="N587" s="3" t="str">
        <f t="shared" si="1"/>
        <v>POST /experience/operationsAndExecution/v1/balanceProduct/retrieve</v>
      </c>
      <c r="O587" s="32" t="s">
        <v>248</v>
      </c>
      <c r="P587" s="32"/>
      <c r="Q587" s="61" t="s">
        <v>98</v>
      </c>
      <c r="R587" s="31" t="s">
        <v>56</v>
      </c>
      <c r="S587" s="38" t="str">
        <f t="shared" si="2"/>
        <v>https://github.com/SF-Bancoppel/mx-api-bc-rec-operations-and-execution</v>
      </c>
      <c r="T587" s="40"/>
      <c r="U587" s="22"/>
      <c r="V587" s="40"/>
      <c r="W587" s="40"/>
      <c r="X587" s="40"/>
      <c r="Y587" s="40"/>
      <c r="Z587" s="22"/>
      <c r="AA587" s="22"/>
      <c r="AB587" s="22"/>
    </row>
    <row r="588" ht="18.75" customHeight="1">
      <c r="A588" s="18" t="str">
        <f t="array" ref="A588">IFERROR(
  INDEX(
    'api-register-id'!A:A,
    MATCH(F588, 'api-register-id'!B:B, 0)
  ),
  "Not found Organization"
)</f>
        <v>SSFF</v>
      </c>
      <c r="B588" s="22" t="str">
        <f>IFERROR(VLOOKUP(F588, 'api-register-id'!B:F, 4, FALSE), "Not found path.")</f>
        <v>mx-api-bc-rec-operations-and-execution</v>
      </c>
      <c r="C588" s="23" t="s">
        <v>112</v>
      </c>
      <c r="D588" s="23" t="s">
        <v>1417</v>
      </c>
      <c r="E588" s="24" t="str">
        <f>IFERROR(VLOOKUP(F588, 'api-register-id'!B:F, 5, FALSE), "Not found path.")</f>
        <v>APIMX000137</v>
      </c>
      <c r="F588" s="25" t="s">
        <v>1649</v>
      </c>
      <c r="G588" s="26" t="s">
        <v>4751</v>
      </c>
      <c r="H588" s="22" t="s">
        <v>4752</v>
      </c>
      <c r="I588" s="29" t="str">
        <f>IFERROR(VLOOKUP(F588, 'api-register-id'!B:I, 8, FALSE), "Not found path.")</f>
        <v>1.3.1</v>
      </c>
      <c r="J588" s="3" t="s">
        <v>4726</v>
      </c>
      <c r="K588" s="31" t="s">
        <v>48</v>
      </c>
      <c r="L588" s="23" t="s">
        <v>61</v>
      </c>
      <c r="M588" s="3" t="s">
        <v>256</v>
      </c>
      <c r="N588" s="3" t="str">
        <f t="shared" si="1"/>
        <v>PUT /experience/operationsAndExecution/v1/creditCardStatus/control</v>
      </c>
      <c r="O588" s="32" t="s">
        <v>258</v>
      </c>
      <c r="P588" s="32"/>
      <c r="Q588" s="61" t="s">
        <v>98</v>
      </c>
      <c r="R588" s="31" t="s">
        <v>56</v>
      </c>
      <c r="S588" s="38" t="str">
        <f t="shared" si="2"/>
        <v>https://github.com/SF-Bancoppel/mx-api-bc-rec-operations-and-execution</v>
      </c>
      <c r="T588" s="40"/>
      <c r="U588" s="22"/>
      <c r="V588" s="40"/>
      <c r="W588" s="40"/>
      <c r="X588" s="40"/>
      <c r="Y588" s="40"/>
      <c r="Z588" s="22"/>
      <c r="AA588" s="22"/>
      <c r="AB588" s="22"/>
    </row>
    <row r="589" ht="18.75" customHeight="1">
      <c r="A589" s="18" t="str">
        <f t="array" ref="A589">IFERROR(
  INDEX(
    'api-register-id'!A:A,
    MATCH(F589, 'api-register-id'!B:B, 0)
  ),
  "Not found Organization"
)</f>
        <v>SSFF</v>
      </c>
      <c r="B589" s="22" t="str">
        <f>IFERROR(VLOOKUP(F589, 'api-register-id'!B:F, 4, FALSE), "Not found path.")</f>
        <v>mx-api-bc-rec-operations-and-execution</v>
      </c>
      <c r="C589" s="78" t="s">
        <v>112</v>
      </c>
      <c r="D589" s="78" t="s">
        <v>1417</v>
      </c>
      <c r="E589" s="24" t="str">
        <f>IFERROR(VLOOKUP(F589, 'api-register-id'!B:F, 5, FALSE), "Not found path.")</f>
        <v>APIMX000137</v>
      </c>
      <c r="F589" s="25" t="s">
        <v>1649</v>
      </c>
      <c r="G589" s="26" t="s">
        <v>4753</v>
      </c>
      <c r="H589" s="22" t="s">
        <v>4754</v>
      </c>
      <c r="I589" s="29" t="str">
        <f>IFERROR(VLOOKUP(F589, 'api-register-id'!B:I, 8, FALSE), "Not found path.")</f>
        <v>1.3.1</v>
      </c>
      <c r="J589" s="3" t="s">
        <v>4726</v>
      </c>
      <c r="K589" s="31" t="s">
        <v>48</v>
      </c>
      <c r="L589" s="78" t="s">
        <v>49</v>
      </c>
      <c r="M589" s="3" t="s">
        <v>267</v>
      </c>
      <c r="N589" s="3" t="str">
        <f t="shared" si="1"/>
        <v>POST /experience/operationsAndExecution/v1/executionCashAdvance/initiate</v>
      </c>
      <c r="O589" s="32" t="s">
        <v>4755</v>
      </c>
      <c r="P589" s="32"/>
      <c r="Q589" s="61" t="s">
        <v>98</v>
      </c>
      <c r="R589" s="31" t="s">
        <v>56</v>
      </c>
      <c r="S589" s="38" t="str">
        <f t="shared" si="2"/>
        <v>https://github.com/SF-Bancoppel/mx-api-bc-rec-operations-and-execution</v>
      </c>
      <c r="T589" s="40"/>
      <c r="U589" s="22"/>
      <c r="V589" s="40"/>
      <c r="W589" s="40"/>
      <c r="X589" s="40"/>
      <c r="Y589" s="40"/>
      <c r="Z589" s="22"/>
      <c r="AA589" s="22"/>
      <c r="AB589" s="22"/>
    </row>
    <row r="590" ht="18.75" customHeight="1">
      <c r="A590" s="18" t="str">
        <f t="array" ref="A590">IFERROR(
  INDEX(
    'api-register-id'!A:A,
    MATCH(F590, 'api-register-id'!B:B, 0)
  ),
  "Not found Organization"
)</f>
        <v>SSFF</v>
      </c>
      <c r="B590" s="22" t="str">
        <f>IFERROR(VLOOKUP(F590, 'api-register-id'!B:F, 4, FALSE), "Not found path.")</f>
        <v>mx-api-bc-rec-party-authentication</v>
      </c>
      <c r="C590" s="23" t="s">
        <v>112</v>
      </c>
      <c r="D590" s="23" t="s">
        <v>1417</v>
      </c>
      <c r="E590" s="24" t="str">
        <f>IFERROR(VLOOKUP(F590, 'api-register-id'!B:F, 5, FALSE), "Not found path.")</f>
        <v>APIMX000138</v>
      </c>
      <c r="F590" s="25" t="s">
        <v>1658</v>
      </c>
      <c r="G590" s="26" t="s">
        <v>4756</v>
      </c>
      <c r="H590" s="22" t="s">
        <v>4757</v>
      </c>
      <c r="I590" s="29" t="str">
        <f>IFERROR(VLOOKUP(F590, 'api-register-id'!B:I, 8, FALSE), "Not found path.")</f>
        <v>1.1.0</v>
      </c>
      <c r="J590" s="3" t="s">
        <v>4443</v>
      </c>
      <c r="K590" s="31" t="s">
        <v>48</v>
      </c>
      <c r="L590" s="23" t="s">
        <v>49</v>
      </c>
      <c r="M590" s="3" t="s">
        <v>1296</v>
      </c>
      <c r="N590" s="3" t="str">
        <f t="shared" si="1"/>
        <v>POST /experience/crossChannel/partyAuthentication/v1/profileFacility/register</v>
      </c>
      <c r="O590" s="32" t="s">
        <v>1297</v>
      </c>
      <c r="P590" s="32"/>
      <c r="Q590" s="61" t="s">
        <v>98</v>
      </c>
      <c r="R590" s="31" t="s">
        <v>56</v>
      </c>
      <c r="S590" s="38" t="str">
        <f t="shared" si="2"/>
        <v>https://github.com/SF-Bancoppel/mx-api-bc-rec-party-authentication</v>
      </c>
      <c r="T590" s="40"/>
      <c r="U590" s="22"/>
      <c r="V590" s="40"/>
      <c r="W590" s="40"/>
      <c r="X590" s="40"/>
      <c r="Y590" s="40"/>
      <c r="Z590" s="22"/>
      <c r="AA590" s="22"/>
      <c r="AB590" s="22"/>
    </row>
    <row r="591" ht="18.75" customHeight="1">
      <c r="A591" s="18" t="str">
        <f t="array" ref="A591">IFERROR(
  INDEX(
    'api-register-id'!A:A,
    MATCH(F591, 'api-register-id'!B:B, 0)
  ),
  "Not found Organization"
)</f>
        <v>SSFF</v>
      </c>
      <c r="B591" s="22" t="str">
        <f>IFERROR(VLOOKUP(F591, 'api-register-id'!B:F, 4, FALSE), "Not found path.")</f>
        <v>mx-api-bc-rec-party-authentication</v>
      </c>
      <c r="C591" s="23" t="s">
        <v>112</v>
      </c>
      <c r="D591" s="23" t="s">
        <v>1417</v>
      </c>
      <c r="E591" s="24" t="str">
        <f>IFERROR(VLOOKUP(F591, 'api-register-id'!B:F, 5, FALSE), "Not found path.")</f>
        <v>APIMX000138</v>
      </c>
      <c r="F591" s="25" t="s">
        <v>1658</v>
      </c>
      <c r="G591" s="26" t="s">
        <v>4758</v>
      </c>
      <c r="H591" s="22" t="s">
        <v>4759</v>
      </c>
      <c r="I591" s="29" t="str">
        <f>IFERROR(VLOOKUP(F591, 'api-register-id'!B:I, 8, FALSE), "Not found path.")</f>
        <v>1.1.0</v>
      </c>
      <c r="J591" s="3" t="s">
        <v>4443</v>
      </c>
      <c r="K591" s="31" t="s">
        <v>48</v>
      </c>
      <c r="L591" s="23" t="s">
        <v>49</v>
      </c>
      <c r="M591" s="3" t="s">
        <v>1302</v>
      </c>
      <c r="N591" s="3" t="str">
        <f t="shared" si="1"/>
        <v>POST /experience/crossChannel/partyAuthentication/v1/partyAuthenticationAssessment/evaluate</v>
      </c>
      <c r="O591" s="196" t="s">
        <v>1304</v>
      </c>
      <c r="P591" s="32"/>
      <c r="Q591" s="61" t="s">
        <v>4760</v>
      </c>
      <c r="R591" s="31" t="s">
        <v>56</v>
      </c>
      <c r="S591" s="38" t="str">
        <f t="shared" si="2"/>
        <v>https://github.com/SF-Bancoppel/mx-api-bc-rec-party-authentication</v>
      </c>
      <c r="T591" s="40"/>
      <c r="U591" s="22"/>
      <c r="V591" s="40"/>
      <c r="W591" s="40"/>
      <c r="X591" s="40"/>
      <c r="Y591" s="40"/>
      <c r="Z591" s="22"/>
      <c r="AA591" s="22"/>
      <c r="AB591" s="22"/>
    </row>
    <row r="592" ht="18.75" customHeight="1">
      <c r="A592" s="18" t="str">
        <f t="array" ref="A592">IFERROR(
  INDEX(
    'api-register-id'!A:A,
    MATCH(F592, 'api-register-id'!B:B, 0)
  ),
  "Not found Organization"
)</f>
        <v>SSFF</v>
      </c>
      <c r="B592" s="22" t="str">
        <f>IFERROR(VLOOKUP(F592, 'api-register-id'!B:F, 4, FALSE), "Not found path.")</f>
        <v>mx-api-bc-rec-party-authentication</v>
      </c>
      <c r="C592" s="23" t="s">
        <v>112</v>
      </c>
      <c r="D592" s="23" t="s">
        <v>1417</v>
      </c>
      <c r="E592" s="24" t="str">
        <f>IFERROR(VLOOKUP(F592, 'api-register-id'!B:F, 5, FALSE), "Not found path.")</f>
        <v>APIMX000138</v>
      </c>
      <c r="F592" s="25" t="s">
        <v>1658</v>
      </c>
      <c r="G592" s="26" t="s">
        <v>4761</v>
      </c>
      <c r="H592" s="22" t="s">
        <v>4762</v>
      </c>
      <c r="I592" s="29" t="str">
        <f>IFERROR(VLOOKUP(F592, 'api-register-id'!B:I, 8, FALSE), "Not found path.")</f>
        <v>1.1.0</v>
      </c>
      <c r="J592" s="3" t="s">
        <v>4443</v>
      </c>
      <c r="K592" s="31" t="s">
        <v>48</v>
      </c>
      <c r="L592" s="23" t="s">
        <v>49</v>
      </c>
      <c r="M592" s="3" t="s">
        <v>1308</v>
      </c>
      <c r="N592" s="3" t="str">
        <f t="shared" si="1"/>
        <v>POST /experience/crossChannel/partyAuthentication/v1/password/evaluate</v>
      </c>
      <c r="O592" s="32" t="s">
        <v>1309</v>
      </c>
      <c r="P592" s="32"/>
      <c r="Q592" s="61" t="s">
        <v>98</v>
      </c>
      <c r="R592" s="31" t="s">
        <v>56</v>
      </c>
      <c r="S592" s="38" t="str">
        <f t="shared" si="2"/>
        <v>https://github.com/SF-Bancoppel/mx-api-bc-rec-party-authentication</v>
      </c>
      <c r="T592" s="40"/>
      <c r="U592" s="22"/>
      <c r="V592" s="40"/>
      <c r="W592" s="40"/>
      <c r="X592" s="40"/>
      <c r="Y592" s="40"/>
      <c r="Z592" s="22"/>
      <c r="AA592" s="22"/>
      <c r="AB592" s="22"/>
    </row>
    <row r="593" ht="18.75" customHeight="1">
      <c r="A593" s="18" t="str">
        <f t="array" ref="A593">IFERROR(
  INDEX(
    'api-register-id'!A:A,
    MATCH(F593, 'api-register-id'!B:B, 0)
  ),
  "Not found Organization"
)</f>
        <v>SSFF</v>
      </c>
      <c r="B593" s="22" t="str">
        <f>IFERROR(VLOOKUP(F593, 'api-register-id'!B:F, 4, FALSE), "Not found path.")</f>
        <v>mx-api-bc-rec-party-lifecycle-management</v>
      </c>
      <c r="C593" s="23" t="s">
        <v>112</v>
      </c>
      <c r="D593" s="23" t="s">
        <v>1417</v>
      </c>
      <c r="E593" s="24" t="str">
        <f>IFERROR(VLOOKUP(F593, 'api-register-id'!B:F, 5, FALSE), "Not found path.")</f>
        <v>APIMX000139</v>
      </c>
      <c r="F593" s="25" t="s">
        <v>1667</v>
      </c>
      <c r="G593" s="26" t="s">
        <v>4763</v>
      </c>
      <c r="H593" s="22" t="s">
        <v>4764</v>
      </c>
      <c r="I593" s="29" t="str">
        <f>IFERROR(VLOOKUP(F593, 'api-register-id'!B:I, 8, FALSE), "Not found path.")</f>
        <v>2.1.1</v>
      </c>
      <c r="J593" s="3" t="s">
        <v>4543</v>
      </c>
      <c r="K593" s="31" t="s">
        <v>48</v>
      </c>
      <c r="L593" s="23" t="s">
        <v>428</v>
      </c>
      <c r="M593" s="3" t="s">
        <v>1316</v>
      </c>
      <c r="N593" s="3" t="str">
        <f t="shared" si="1"/>
        <v>PATCH /experience/sales/partyLifecycleManagement/v1/documentation/capture</v>
      </c>
      <c r="O593" s="32" t="s">
        <v>1317</v>
      </c>
      <c r="P593" s="32"/>
      <c r="Q593" s="61" t="s">
        <v>4765</v>
      </c>
      <c r="R593" s="31" t="s">
        <v>56</v>
      </c>
      <c r="S593" s="38" t="str">
        <f t="shared" si="2"/>
        <v>https://github.com/SF-Bancoppel/mx-api-bc-rec-party-lifecycle-management</v>
      </c>
      <c r="T593" s="40"/>
      <c r="U593" s="22"/>
      <c r="V593" s="40"/>
      <c r="W593" s="40"/>
      <c r="X593" s="40"/>
      <c r="Y593" s="40"/>
      <c r="Z593" s="22"/>
      <c r="AA593" s="22"/>
      <c r="AB593" s="22"/>
    </row>
    <row r="594" ht="18.75" customHeight="1">
      <c r="A594" s="18" t="str">
        <f t="array" ref="A594">IFERROR(
  INDEX(
    'api-register-id'!A:A,
    MATCH(F594, 'api-register-id'!B:B, 0)
  ),
  "Not found Organization"
)</f>
        <v>SSFF</v>
      </c>
      <c r="B594" s="22" t="str">
        <f>IFERROR(VLOOKUP(F594, 'api-register-id'!B:F, 4, FALSE), "Not found path.")</f>
        <v>mx-api-bc-rec-party-lifecycle-management</v>
      </c>
      <c r="C594" s="23" t="s">
        <v>112</v>
      </c>
      <c r="D594" s="23" t="s">
        <v>1417</v>
      </c>
      <c r="E594" s="24" t="str">
        <f>IFERROR(VLOOKUP(F594, 'api-register-id'!B:F, 5, FALSE), "Not found path.")</f>
        <v>APIMX000139</v>
      </c>
      <c r="F594" s="25" t="s">
        <v>1667</v>
      </c>
      <c r="G594" s="26" t="s">
        <v>4766</v>
      </c>
      <c r="H594" s="22" t="s">
        <v>4767</v>
      </c>
      <c r="I594" s="29" t="str">
        <f>IFERROR(VLOOKUP(F594, 'api-register-id'!B:I, 8, FALSE), "Not found path.")</f>
        <v>2.1.1</v>
      </c>
      <c r="J594" s="3" t="s">
        <v>4543</v>
      </c>
      <c r="K594" s="31" t="s">
        <v>48</v>
      </c>
      <c r="L594" s="23" t="s">
        <v>49</v>
      </c>
      <c r="M594" s="3" t="s">
        <v>1322</v>
      </c>
      <c r="N594" s="3" t="str">
        <f t="shared" si="1"/>
        <v>POST /experience/sales/partyLifecycleManagement/v1/documentation/evaluate</v>
      </c>
      <c r="O594" s="32" t="s">
        <v>4768</v>
      </c>
      <c r="P594" s="32"/>
      <c r="Q594" s="61" t="s">
        <v>4769</v>
      </c>
      <c r="R594" s="31" t="s">
        <v>56</v>
      </c>
      <c r="S594" s="38" t="str">
        <f t="shared" si="2"/>
        <v>https://github.com/SF-Bancoppel/mx-api-bc-rec-party-lifecycle-management</v>
      </c>
      <c r="T594" s="40"/>
      <c r="U594" s="22"/>
      <c r="V594" s="40"/>
      <c r="W594" s="40"/>
      <c r="X594" s="40"/>
      <c r="Y594" s="40"/>
      <c r="Z594" s="22"/>
      <c r="AA594" s="22"/>
      <c r="AB594" s="22"/>
    </row>
    <row r="595" ht="18.75" customHeight="1">
      <c r="A595" s="18" t="str">
        <f t="array" ref="A595">IFERROR(
  INDEX(
    'api-register-id'!A:A,
    MATCH(F595, 'api-register-id'!B:B, 0)
  ),
  "Not found Organization"
)</f>
        <v>SSFF</v>
      </c>
      <c r="B595" s="22" t="str">
        <f>IFERROR(VLOOKUP(F595, 'api-register-id'!B:F, 4, FALSE), "Not found path.")</f>
        <v>mx-api-bc-rec-party-lifecycle-management</v>
      </c>
      <c r="C595" s="23" t="s">
        <v>112</v>
      </c>
      <c r="D595" s="23" t="s">
        <v>1417</v>
      </c>
      <c r="E595" s="24" t="str">
        <f>IFERROR(VLOOKUP(F595, 'api-register-id'!B:F, 5, FALSE), "Not found path.")</f>
        <v>APIMX000139</v>
      </c>
      <c r="F595" s="25" t="s">
        <v>1667</v>
      </c>
      <c r="G595" s="26" t="s">
        <v>4770</v>
      </c>
      <c r="H595" s="22" t="s">
        <v>4771</v>
      </c>
      <c r="I595" s="29" t="str">
        <f>IFERROR(VLOOKUP(F595, 'api-register-id'!B:I, 8, FALSE), "Not found path.")</f>
        <v>2.1.1</v>
      </c>
      <c r="J595" s="3" t="s">
        <v>4543</v>
      </c>
      <c r="K595" s="31" t="s">
        <v>48</v>
      </c>
      <c r="L595" s="23" t="s">
        <v>49</v>
      </c>
      <c r="M595" s="3" t="s">
        <v>1348</v>
      </c>
      <c r="N595" s="3" t="str">
        <f t="shared" si="1"/>
        <v>POST /experience/sales/partyLifecycleManagement/v1/documentation/retrieve</v>
      </c>
      <c r="O595" s="32" t="s">
        <v>4545</v>
      </c>
      <c r="P595" s="32"/>
      <c r="Q595" s="61" t="s">
        <v>4772</v>
      </c>
      <c r="R595" s="31" t="s">
        <v>56</v>
      </c>
      <c r="S595" s="38" t="str">
        <f t="shared" si="2"/>
        <v>https://github.com/SF-Bancoppel/mx-api-bc-rec-party-lifecycle-management</v>
      </c>
      <c r="T595" s="40"/>
      <c r="U595" s="22"/>
      <c r="V595" s="40"/>
      <c r="W595" s="40"/>
      <c r="X595" s="40"/>
      <c r="Y595" s="40"/>
      <c r="Z595" s="22"/>
      <c r="AA595" s="22"/>
      <c r="AB595" s="22"/>
    </row>
    <row r="596" ht="18.75" customHeight="1">
      <c r="A596" s="18" t="str">
        <f t="array" ref="A596">IFERROR(
  INDEX(
    'api-register-id'!A:A,
    MATCH(F596, 'api-register-id'!B:B, 0)
  ),
  "Not found Organization"
)</f>
        <v>SSFF</v>
      </c>
      <c r="B596" s="22" t="str">
        <f>IFERROR(VLOOKUP(F596, 'api-register-id'!B:F, 4, FALSE), "Not found path.")</f>
        <v>mx-api-bc-rec-party-lifecycle-management</v>
      </c>
      <c r="C596" s="23" t="s">
        <v>112</v>
      </c>
      <c r="D596" s="23" t="s">
        <v>1417</v>
      </c>
      <c r="E596" s="24" t="str">
        <f>IFERROR(VLOOKUP(F596, 'api-register-id'!B:F, 5, FALSE), "Not found path.")</f>
        <v>APIMX000139</v>
      </c>
      <c r="F596" s="25" t="s">
        <v>1667</v>
      </c>
      <c r="G596" s="26" t="s">
        <v>4773</v>
      </c>
      <c r="H596" s="22" t="s">
        <v>4774</v>
      </c>
      <c r="I596" s="29" t="str">
        <f>IFERROR(VLOOKUP(F596, 'api-register-id'!B:I, 8, FALSE), "Not found path.")</f>
        <v>2.1.1</v>
      </c>
      <c r="J596" s="3" t="s">
        <v>4543</v>
      </c>
      <c r="K596" s="31" t="s">
        <v>48</v>
      </c>
      <c r="L596" s="23" t="s">
        <v>428</v>
      </c>
      <c r="M596" s="3" t="s">
        <v>1329</v>
      </c>
      <c r="N596" s="3" t="str">
        <f t="shared" si="1"/>
        <v>PATCH /experience/sales/partyLifecycleManagement/v1/documentation/update</v>
      </c>
      <c r="O596" s="32" t="s">
        <v>4775</v>
      </c>
      <c r="P596" s="32"/>
      <c r="Q596" s="61" t="s">
        <v>4776</v>
      </c>
      <c r="R596" s="31" t="s">
        <v>56</v>
      </c>
      <c r="S596" s="38" t="str">
        <f t="shared" si="2"/>
        <v>https://github.com/SF-Bancoppel/mx-api-bc-rec-party-lifecycle-management</v>
      </c>
      <c r="T596" s="40"/>
      <c r="U596" s="22"/>
      <c r="V596" s="40"/>
      <c r="W596" s="40"/>
      <c r="X596" s="40"/>
      <c r="Y596" s="40"/>
      <c r="Z596" s="22"/>
      <c r="AA596" s="22"/>
      <c r="AB596" s="22"/>
    </row>
    <row r="597" ht="18.75" customHeight="1">
      <c r="A597" s="18" t="str">
        <f t="array" ref="A597">IFERROR(
  INDEX(
    'api-register-id'!A:A,
    MATCH(F597, 'api-register-id'!B:B, 0)
  ),
  "Not found Organization"
)</f>
        <v>SSFF</v>
      </c>
      <c r="B597" s="22" t="str">
        <f>IFERROR(VLOOKUP(F597, 'api-register-id'!B:F, 4, FALSE), "Not found path.")</f>
        <v>mx-api-bc-rec-party-lifecycle-management</v>
      </c>
      <c r="C597" s="23" t="s">
        <v>112</v>
      </c>
      <c r="D597" s="23" t="s">
        <v>1417</v>
      </c>
      <c r="E597" s="24" t="str">
        <f>IFERROR(VLOOKUP(F597, 'api-register-id'!B:F, 5, FALSE), "Not found path.")</f>
        <v>APIMX000139</v>
      </c>
      <c r="F597" s="25" t="s">
        <v>1667</v>
      </c>
      <c r="G597" s="26" t="s">
        <v>4777</v>
      </c>
      <c r="H597" s="22" t="s">
        <v>4778</v>
      </c>
      <c r="I597" s="29" t="str">
        <f>IFERROR(VLOOKUP(F597, 'api-register-id'!B:I, 8, FALSE), "Not found path.")</f>
        <v>2.1.1</v>
      </c>
      <c r="J597" s="3" t="s">
        <v>4543</v>
      </c>
      <c r="K597" s="31" t="s">
        <v>48</v>
      </c>
      <c r="L597" s="23" t="s">
        <v>49</v>
      </c>
      <c r="M597" s="3" t="s">
        <v>1355</v>
      </c>
      <c r="N597" s="3" t="str">
        <f t="shared" si="1"/>
        <v>POST /experience/sales/partyLifecycleManagement/v1/documentation/register</v>
      </c>
      <c r="O597" s="32" t="s">
        <v>1356</v>
      </c>
      <c r="P597" s="32"/>
      <c r="Q597" s="61" t="s">
        <v>4779</v>
      </c>
      <c r="R597" s="31" t="s">
        <v>56</v>
      </c>
      <c r="S597" s="38" t="str">
        <f t="shared" si="2"/>
        <v>https://github.com/SF-Bancoppel/mx-api-bc-rec-party-lifecycle-management</v>
      </c>
      <c r="T597" s="40"/>
      <c r="U597" s="22"/>
      <c r="V597" s="40"/>
      <c r="W597" s="40"/>
      <c r="X597" s="40"/>
      <c r="Y597" s="40"/>
      <c r="Z597" s="22"/>
      <c r="AA597" s="22"/>
      <c r="AB597" s="22"/>
    </row>
    <row r="598" ht="18.75" customHeight="1">
      <c r="A598" s="18" t="str">
        <f t="array" ref="A598">IFERROR(
  INDEX(
    'api-register-id'!A:A,
    MATCH(F598, 'api-register-id'!B:B, 0)
  ),
  "Not found Organization"
)</f>
        <v>SSFF</v>
      </c>
      <c r="B598" s="22" t="str">
        <f>IFERROR(VLOOKUP(F598, 'api-register-id'!B:F, 4, FALSE), "Not found path.")</f>
        <v>mx-api-bc-rec-party-lifecycle-management</v>
      </c>
      <c r="C598" s="23" t="s">
        <v>112</v>
      </c>
      <c r="D598" s="23" t="s">
        <v>1417</v>
      </c>
      <c r="E598" s="24" t="str">
        <f>IFERROR(VLOOKUP(F598, 'api-register-id'!B:F, 5, FALSE), "Not found path.")</f>
        <v>APIMX000139</v>
      </c>
      <c r="F598" s="25" t="s">
        <v>1667</v>
      </c>
      <c r="G598" s="26" t="s">
        <v>4780</v>
      </c>
      <c r="H598" s="22" t="s">
        <v>4781</v>
      </c>
      <c r="I598" s="29" t="str">
        <f>IFERROR(VLOOKUP(F598, 'api-register-id'!B:I, 8, FALSE), "Not found path.")</f>
        <v>2.1.1</v>
      </c>
      <c r="J598" s="3" t="s">
        <v>4543</v>
      </c>
      <c r="K598" s="31" t="s">
        <v>48</v>
      </c>
      <c r="L598" s="23" t="s">
        <v>428</v>
      </c>
      <c r="M598" s="3" t="s">
        <v>1414</v>
      </c>
      <c r="N598" s="3" t="str">
        <f t="shared" si="1"/>
        <v>PATCH /experience/sales/partyLifecycleManagement/v1/partyRelationshipProcedure/{sessionDialogueIdentification}/capture</v>
      </c>
      <c r="O598" s="32" t="s">
        <v>4782</v>
      </c>
      <c r="P598" s="32"/>
      <c r="Q598" s="61" t="s">
        <v>98</v>
      </c>
      <c r="R598" s="31" t="s">
        <v>56</v>
      </c>
      <c r="S598" s="38" t="str">
        <f t="shared" si="2"/>
        <v>https://github.com/SF-Bancoppel/mx-api-bc-rec-party-lifecycle-management</v>
      </c>
      <c r="T598" s="40"/>
      <c r="U598" s="22"/>
      <c r="V598" s="40"/>
      <c r="W598" s="40"/>
      <c r="X598" s="40"/>
      <c r="Y598" s="40"/>
      <c r="Z598" s="22"/>
      <c r="AA598" s="22"/>
      <c r="AB598" s="22"/>
    </row>
    <row r="599" ht="18.75" customHeight="1">
      <c r="A599" s="18" t="str">
        <f t="array" ref="A599">IFERROR(
  INDEX(
    'api-register-id'!A:A,
    MATCH(F599, 'api-register-id'!B:B, 0)
  ),
  "Not found Organization"
)</f>
        <v>SSFF</v>
      </c>
      <c r="B599" s="22" t="str">
        <f>IFERROR(VLOOKUP(F599, 'api-register-id'!B:F, 4, FALSE), "Not found path.")</f>
        <v>mx-api-bc-rec-party-lifecycle-management</v>
      </c>
      <c r="C599" s="23" t="s">
        <v>112</v>
      </c>
      <c r="D599" s="23" t="s">
        <v>1417</v>
      </c>
      <c r="E599" s="24" t="str">
        <f>IFERROR(VLOOKUP(F599, 'api-register-id'!B:F, 5, FALSE), "Not found path.")</f>
        <v>APIMX000139</v>
      </c>
      <c r="F599" s="25" t="s">
        <v>1667</v>
      </c>
      <c r="G599" s="26" t="s">
        <v>4783</v>
      </c>
      <c r="H599" s="22" t="s">
        <v>4784</v>
      </c>
      <c r="I599" s="29" t="str">
        <f>IFERROR(VLOOKUP(F599, 'api-register-id'!B:I, 8, FALSE), "Not found path.")</f>
        <v>2.1.1</v>
      </c>
      <c r="J599" s="3" t="s">
        <v>4543</v>
      </c>
      <c r="K599" s="31" t="s">
        <v>48</v>
      </c>
      <c r="L599" s="23" t="s">
        <v>428</v>
      </c>
      <c r="M599" s="3" t="s">
        <v>1442</v>
      </c>
      <c r="N599" s="3" t="str">
        <f t="shared" si="1"/>
        <v>PATCH /experience/sales/partyLifecycleManagement/v1/partyRelationshipProcedure/update</v>
      </c>
      <c r="O599" s="32" t="s">
        <v>1443</v>
      </c>
      <c r="P599" s="32"/>
      <c r="Q599" s="61" t="s">
        <v>4785</v>
      </c>
      <c r="R599" s="31" t="s">
        <v>56</v>
      </c>
      <c r="S599" s="38" t="str">
        <f t="shared" si="2"/>
        <v>https://github.com/SF-Bancoppel/mx-api-bc-rec-party-lifecycle-management</v>
      </c>
      <c r="T599" s="40"/>
      <c r="U599" s="22"/>
      <c r="V599" s="40"/>
      <c r="W599" s="40"/>
      <c r="X599" s="40"/>
      <c r="Y599" s="40"/>
      <c r="Z599" s="22"/>
      <c r="AA599" s="22"/>
      <c r="AB599" s="22"/>
    </row>
    <row r="600" ht="18.75" customHeight="1">
      <c r="A600" s="18" t="str">
        <f t="array" ref="A600">IFERROR(
  INDEX(
    'api-register-id'!A:A,
    MATCH(F600, 'api-register-id'!B:B, 0)
  ),
  "Not found Organization"
)</f>
        <v>SSFF</v>
      </c>
      <c r="B600" s="22" t="str">
        <f>IFERROR(VLOOKUP(F600, 'api-register-id'!B:F, 4, FALSE), "Not found path.")</f>
        <v>mx-api-bc-rec-party-lifecycle-management</v>
      </c>
      <c r="C600" s="23" t="s">
        <v>112</v>
      </c>
      <c r="D600" s="23" t="s">
        <v>1417</v>
      </c>
      <c r="E600" s="24" t="str">
        <f>IFERROR(VLOOKUP(F600, 'api-register-id'!B:F, 5, FALSE), "Not found path.")</f>
        <v>APIMX000139</v>
      </c>
      <c r="F600" s="25" t="s">
        <v>1667</v>
      </c>
      <c r="G600" s="26" t="s">
        <v>4786</v>
      </c>
      <c r="H600" s="22" t="s">
        <v>4787</v>
      </c>
      <c r="I600" s="29" t="str">
        <f>IFERROR(VLOOKUP(F600, 'api-register-id'!B:I, 8, FALSE), "Not found path.")</f>
        <v>2.1.1</v>
      </c>
      <c r="J600" s="3" t="s">
        <v>4543</v>
      </c>
      <c r="K600" s="31" t="s">
        <v>48</v>
      </c>
      <c r="L600" s="23" t="s">
        <v>108</v>
      </c>
      <c r="M600" s="3" t="s">
        <v>1430</v>
      </c>
      <c r="N600" s="3" t="str">
        <f t="shared" si="1"/>
        <v>GET /experience/sales/partyLifecycleManagement/v1/question/retrieve</v>
      </c>
      <c r="O600" s="32" t="s">
        <v>4788</v>
      </c>
      <c r="P600" s="32"/>
      <c r="Q600" s="61" t="s">
        <v>98</v>
      </c>
      <c r="R600" s="31" t="s">
        <v>56</v>
      </c>
      <c r="S600" s="38" t="str">
        <f t="shared" si="2"/>
        <v>https://github.com/SF-Bancoppel/mx-api-bc-rec-party-lifecycle-management</v>
      </c>
      <c r="T600" s="40"/>
      <c r="U600" s="22"/>
      <c r="V600" s="40"/>
      <c r="W600" s="40"/>
      <c r="X600" s="40"/>
      <c r="Y600" s="40"/>
      <c r="Z600" s="22"/>
      <c r="AA600" s="22"/>
      <c r="AB600" s="22"/>
    </row>
    <row r="601" ht="18.75" customHeight="1">
      <c r="A601" s="18" t="str">
        <f t="array" ref="A601">IFERROR(
  INDEX(
    'api-register-id'!A:A,
    MATCH(F601, 'api-register-id'!B:B, 0)
  ),
  "Not found Organization"
)</f>
        <v>SSFF</v>
      </c>
      <c r="B601" s="22" t="str">
        <f>IFERROR(VLOOKUP(F601, 'api-register-id'!B:F, 4, FALSE), "Not found path.")</f>
        <v>mx-api-bc-rec-party-lifecycle-management</v>
      </c>
      <c r="C601" s="23" t="s">
        <v>112</v>
      </c>
      <c r="D601" s="23" t="s">
        <v>1417</v>
      </c>
      <c r="E601" s="24" t="str">
        <f>IFERROR(VLOOKUP(F601, 'api-register-id'!B:F, 5, FALSE), "Not found path.")</f>
        <v>APIMX000139</v>
      </c>
      <c r="F601" s="25" t="s">
        <v>1667</v>
      </c>
      <c r="G601" s="26" t="s">
        <v>4789</v>
      </c>
      <c r="H601" s="22" t="s">
        <v>4790</v>
      </c>
      <c r="I601" s="29" t="str">
        <f>IFERROR(VLOOKUP(F601, 'api-register-id'!B:I, 8, FALSE), "Not found path.")</f>
        <v>2.1.1</v>
      </c>
      <c r="J601" s="3" t="s">
        <v>4543</v>
      </c>
      <c r="K601" s="31" t="s">
        <v>48</v>
      </c>
      <c r="L601" s="23" t="s">
        <v>49</v>
      </c>
      <c r="M601" s="3" t="s">
        <v>1363</v>
      </c>
      <c r="N601" s="3" t="str">
        <f t="shared" si="1"/>
        <v>POST /experience/sales/partyLifecycleManagement/v1/rfc/evaluate</v>
      </c>
      <c r="O601" s="32" t="s">
        <v>4791</v>
      </c>
      <c r="P601" s="32"/>
      <c r="Q601" s="61" t="s">
        <v>4792</v>
      </c>
      <c r="R601" s="31" t="s">
        <v>56</v>
      </c>
      <c r="S601" s="38" t="str">
        <f t="shared" si="2"/>
        <v>https://github.com/SF-Bancoppel/mx-api-bc-rec-party-lifecycle-management</v>
      </c>
      <c r="T601" s="40"/>
      <c r="U601" s="22"/>
      <c r="V601" s="40"/>
      <c r="W601" s="40"/>
      <c r="X601" s="40"/>
      <c r="Y601" s="40"/>
      <c r="Z601" s="22"/>
      <c r="AA601" s="22"/>
      <c r="AB601" s="22"/>
    </row>
    <row r="602" ht="18.75" customHeight="1">
      <c r="A602" s="18" t="str">
        <f t="array" ref="A602">IFERROR(
  INDEX(
    'api-register-id'!A:A,
    MATCH(F602, 'api-register-id'!B:B, 0)
  ),
  "Not found Organization"
)</f>
        <v>SSFF</v>
      </c>
      <c r="B602" s="22" t="str">
        <f>IFERROR(VLOOKUP(F602, 'api-register-id'!B:F, 4, FALSE), "Not found path.")</f>
        <v>mx-api-bc-rec-party-lifecycle-management</v>
      </c>
      <c r="C602" s="23" t="s">
        <v>112</v>
      </c>
      <c r="D602" s="23" t="s">
        <v>1417</v>
      </c>
      <c r="E602" s="24" t="str">
        <f>IFERROR(VLOOKUP(F602, 'api-register-id'!B:F, 5, FALSE), "Not found path.")</f>
        <v>APIMX000139</v>
      </c>
      <c r="F602" s="25" t="s">
        <v>1667</v>
      </c>
      <c r="G602" s="26" t="s">
        <v>4793</v>
      </c>
      <c r="H602" s="22" t="s">
        <v>4794</v>
      </c>
      <c r="I602" s="29" t="str">
        <f>IFERROR(VLOOKUP(F602, 'api-register-id'!B:I, 8, FALSE), "Not found path.")</f>
        <v>2.1.1</v>
      </c>
      <c r="J602" s="3" t="s">
        <v>4543</v>
      </c>
      <c r="K602" s="31" t="s">
        <v>48</v>
      </c>
      <c r="L602" s="23" t="s">
        <v>428</v>
      </c>
      <c r="M602" s="3" t="s">
        <v>1461</v>
      </c>
      <c r="N602" s="3" t="str">
        <f t="shared" si="1"/>
        <v>PATCH /experience/sales/partyLifecycleManagement/v1/location/{sessionDialogueIdentification}/update</v>
      </c>
      <c r="O602" s="32" t="s">
        <v>1463</v>
      </c>
      <c r="P602" s="32"/>
      <c r="Q602" s="61" t="s">
        <v>4795</v>
      </c>
      <c r="R602" s="31" t="s">
        <v>56</v>
      </c>
      <c r="S602" s="38" t="str">
        <f t="shared" si="2"/>
        <v>https://github.com/SF-Bancoppel/mx-api-bc-rec-party-lifecycle-management</v>
      </c>
      <c r="T602" s="40"/>
      <c r="U602" s="22"/>
      <c r="V602" s="40"/>
      <c r="W602" s="40"/>
      <c r="X602" s="40"/>
      <c r="Y602" s="40"/>
      <c r="Z602" s="22"/>
      <c r="AA602" s="22"/>
      <c r="AB602" s="22"/>
    </row>
    <row r="603" ht="18.75" customHeight="1">
      <c r="A603" s="18" t="str">
        <f t="array" ref="A603">IFERROR(
  INDEX(
    'api-register-id'!A:A,
    MATCH(F603, 'api-register-id'!B:B, 0)
  ),
  "Not found Organization"
)</f>
        <v>SSFF</v>
      </c>
      <c r="B603" s="22" t="str">
        <f>IFERROR(VLOOKUP(F603, 'api-register-id'!B:F, 4, FALSE), "Not found path.")</f>
        <v>mx-api-bc-rec-party-lifecycle-management</v>
      </c>
      <c r="C603" s="23" t="s">
        <v>112</v>
      </c>
      <c r="D603" s="23" t="s">
        <v>1417</v>
      </c>
      <c r="E603" s="24" t="str">
        <f>IFERROR(VLOOKUP(F603, 'api-register-id'!B:F, 5, FALSE), "Not found path.")</f>
        <v>APIMX000139</v>
      </c>
      <c r="F603" s="25" t="s">
        <v>1667</v>
      </c>
      <c r="G603" s="26" t="s">
        <v>4796</v>
      </c>
      <c r="H603" s="22" t="s">
        <v>4797</v>
      </c>
      <c r="I603" s="29" t="str">
        <f>IFERROR(VLOOKUP(F603, 'api-register-id'!B:I, 8, FALSE), "Not found path.")</f>
        <v>2.1.1</v>
      </c>
      <c r="J603" s="3" t="s">
        <v>4543</v>
      </c>
      <c r="K603" s="31" t="s">
        <v>48</v>
      </c>
      <c r="L603" s="23" t="s">
        <v>49</v>
      </c>
      <c r="M603" s="3" t="s">
        <v>1282</v>
      </c>
      <c r="N603" s="3" t="str">
        <f t="shared" si="1"/>
        <v>POST /experience/sales/partyLifecycleManagement/v1/location/register</v>
      </c>
      <c r="O603" s="32" t="s">
        <v>1481</v>
      </c>
      <c r="P603" s="32"/>
      <c r="Q603" s="61" t="s">
        <v>4798</v>
      </c>
      <c r="R603" s="31" t="s">
        <v>56</v>
      </c>
      <c r="S603" s="38" t="str">
        <f t="shared" si="2"/>
        <v>https://github.com/SF-Bancoppel/mx-api-bc-rec-party-lifecycle-management</v>
      </c>
      <c r="T603" s="40"/>
      <c r="U603" s="22"/>
      <c r="V603" s="40"/>
      <c r="W603" s="40"/>
      <c r="X603" s="40"/>
      <c r="Y603" s="40"/>
      <c r="Z603" s="22"/>
      <c r="AA603" s="22"/>
      <c r="AB603" s="22"/>
    </row>
    <row r="604" ht="18.75" customHeight="1">
      <c r="A604" s="18" t="str">
        <f t="array" ref="A604">IFERROR(
  INDEX(
    'api-register-id'!A:A,
    MATCH(F604, 'api-register-id'!B:B, 0)
  ),
  "Not found Organization"
)</f>
        <v>SSFF</v>
      </c>
      <c r="B604" s="22" t="str">
        <f>IFERROR(VLOOKUP(F604, 'api-register-id'!B:F, 4, FALSE), "Not found path.")</f>
        <v>mx-api-bc-rec-party-lifecycle-management</v>
      </c>
      <c r="C604" s="23" t="s">
        <v>112</v>
      </c>
      <c r="D604" s="23" t="s">
        <v>1417</v>
      </c>
      <c r="E604" s="24" t="str">
        <f>IFERROR(VLOOKUP(F604, 'api-register-id'!B:F, 5, FALSE), "Not found path.")</f>
        <v>APIMX000139</v>
      </c>
      <c r="F604" s="25" t="s">
        <v>1667</v>
      </c>
      <c r="G604" s="26" t="s">
        <v>4799</v>
      </c>
      <c r="H604" s="22" t="s">
        <v>4800</v>
      </c>
      <c r="I604" s="29" t="str">
        <f>IFERROR(VLOOKUP(F604, 'api-register-id'!B:I, 8, FALSE), "Not found path.")</f>
        <v>2.1.1</v>
      </c>
      <c r="J604" s="3" t="s">
        <v>4543</v>
      </c>
      <c r="K604" s="31" t="s">
        <v>48</v>
      </c>
      <c r="L604" s="23" t="s">
        <v>108</v>
      </c>
      <c r="M604" s="3" t="s">
        <v>1500</v>
      </c>
      <c r="N604" s="3" t="str">
        <f t="shared" si="1"/>
        <v>GET /experience/sales/partyLifecycleManagement/v1/validation/{sessionDialogueIdentification}/retrieve</v>
      </c>
      <c r="O604" s="32" t="s">
        <v>1501</v>
      </c>
      <c r="P604" s="32"/>
      <c r="Q604" s="61" t="s">
        <v>98</v>
      </c>
      <c r="R604" s="31" t="s">
        <v>56</v>
      </c>
      <c r="S604" s="38" t="str">
        <f t="shared" si="2"/>
        <v>https://github.com/SF-Bancoppel/mx-api-bc-rec-party-lifecycle-management</v>
      </c>
      <c r="T604" s="40"/>
      <c r="U604" s="22"/>
      <c r="V604" s="40"/>
      <c r="W604" s="40"/>
      <c r="X604" s="40"/>
      <c r="Y604" s="40"/>
      <c r="Z604" s="22"/>
      <c r="AA604" s="22"/>
      <c r="AB604" s="22"/>
    </row>
    <row r="605" ht="18.75" customHeight="1">
      <c r="A605" s="18" t="str">
        <f t="array" ref="A605">IFERROR(
  INDEX(
    'api-register-id'!A:A,
    MATCH(F605, 'api-register-id'!B:B, 0)
  ),
  "Not found Organization"
)</f>
        <v>SSFF</v>
      </c>
      <c r="B605" s="22" t="str">
        <f>IFERROR(VLOOKUP(F605, 'api-register-id'!B:F, 4, FALSE), "Not found path.")</f>
        <v>mx-api-bc-rec-party-lifecycle-management</v>
      </c>
      <c r="C605" s="23" t="s">
        <v>112</v>
      </c>
      <c r="D605" s="23" t="s">
        <v>1417</v>
      </c>
      <c r="E605" s="24" t="str">
        <f>IFERROR(VLOOKUP(F605, 'api-register-id'!B:F, 5, FALSE), "Not found path.")</f>
        <v>APIMX000139</v>
      </c>
      <c r="F605" s="25" t="s">
        <v>1667</v>
      </c>
      <c r="G605" s="26" t="s">
        <v>4801</v>
      </c>
      <c r="H605" s="22" t="s">
        <v>4802</v>
      </c>
      <c r="I605" s="29" t="str">
        <f>IFERROR(VLOOKUP(F605, 'api-register-id'!B:I, 8, FALSE), "Not found path.")</f>
        <v>2.1.1</v>
      </c>
      <c r="J605" s="3" t="s">
        <v>4543</v>
      </c>
      <c r="K605" s="31" t="s">
        <v>48</v>
      </c>
      <c r="L605" s="23" t="s">
        <v>49</v>
      </c>
      <c r="M605" s="3" t="s">
        <v>1474</v>
      </c>
      <c r="N605" s="3" t="str">
        <f t="shared" si="1"/>
        <v>POST /experience/sales/partyLifecycleManagement/v1/resourceProvider/initiate</v>
      </c>
      <c r="O605" s="32" t="s">
        <v>1476</v>
      </c>
      <c r="P605" s="32"/>
      <c r="Q605" s="61" t="s">
        <v>4803</v>
      </c>
      <c r="R605" s="31" t="s">
        <v>56</v>
      </c>
      <c r="S605" s="38" t="str">
        <f t="shared" si="2"/>
        <v>https://github.com/SF-Bancoppel/mx-api-bc-rec-party-lifecycle-management</v>
      </c>
      <c r="T605" s="40"/>
      <c r="U605" s="40"/>
      <c r="V605" s="40"/>
      <c r="W605" s="40"/>
      <c r="X605" s="40"/>
      <c r="Y605" s="40"/>
      <c r="Z605" s="40"/>
      <c r="AA605" s="40"/>
      <c r="AB605" s="40"/>
    </row>
    <row r="606" ht="18.75" customHeight="1">
      <c r="A606" s="18" t="str">
        <f t="array" ref="A606">IFERROR(
  INDEX(
    'api-register-id'!A:A,
    MATCH(F606, 'api-register-id'!B:B, 0)
  ),
  "Not found Organization"
)</f>
        <v>SSFF</v>
      </c>
      <c r="B606" s="22" t="str">
        <f>IFERROR(VLOOKUP(F606, 'api-register-id'!B:F, 4, FALSE), "Not found path.")</f>
        <v>mx-api-bc-rec-party-lifecycle-management</v>
      </c>
      <c r="C606" s="23" t="s">
        <v>112</v>
      </c>
      <c r="D606" s="23" t="s">
        <v>1417</v>
      </c>
      <c r="E606" s="24" t="str">
        <f>IFERROR(VLOOKUP(F606, 'api-register-id'!B:F, 5, FALSE), "Not found path.")</f>
        <v>APIMX000139</v>
      </c>
      <c r="F606" s="25" t="s">
        <v>1667</v>
      </c>
      <c r="G606" s="26" t="s">
        <v>4804</v>
      </c>
      <c r="H606" s="22" t="s">
        <v>4805</v>
      </c>
      <c r="I606" s="29" t="str">
        <f>IFERROR(VLOOKUP(F606, 'api-register-id'!B:I, 8, FALSE), "Not found path.")</f>
        <v>2.1.1</v>
      </c>
      <c r="J606" s="3" t="s">
        <v>4543</v>
      </c>
      <c r="K606" s="31" t="s">
        <v>48</v>
      </c>
      <c r="L606" s="23" t="s">
        <v>428</v>
      </c>
      <c r="M606" s="3" t="s">
        <v>1468</v>
      </c>
      <c r="N606" s="3" t="str">
        <f t="shared" si="1"/>
        <v>PATCH /experience/sales/partyLifecycleManagement/v1/resourceProvider/update</v>
      </c>
      <c r="O606" s="32" t="s">
        <v>1469</v>
      </c>
      <c r="P606" s="32"/>
      <c r="Q606" s="61" t="s">
        <v>4806</v>
      </c>
      <c r="R606" s="31" t="s">
        <v>56</v>
      </c>
      <c r="S606" s="38" t="str">
        <f t="shared" si="2"/>
        <v>https://github.com/SF-Bancoppel/mx-api-bc-rec-party-lifecycle-management</v>
      </c>
      <c r="T606" s="40"/>
      <c r="U606" s="40"/>
      <c r="V606" s="40"/>
      <c r="W606" s="40"/>
      <c r="X606" s="40"/>
      <c r="Y606" s="40"/>
      <c r="Z606" s="40"/>
      <c r="AA606" s="40"/>
      <c r="AB606" s="40"/>
    </row>
    <row r="607" ht="18.75" customHeight="1">
      <c r="A607" s="18" t="str">
        <f t="array" ref="A607">IFERROR(
  INDEX(
    'api-register-id'!A:A,
    MATCH(F607, 'api-register-id'!B:B, 0)
  ),
  "Not found Organization"
)</f>
        <v>SSFF</v>
      </c>
      <c r="B607" s="22" t="str">
        <f>IFERROR(VLOOKUP(F607, 'api-register-id'!B:F, 4, FALSE), "Not found path.")</f>
        <v>mx-api-bc-rec-party-lifecycle-management</v>
      </c>
      <c r="C607" s="23" t="s">
        <v>112</v>
      </c>
      <c r="D607" s="23" t="s">
        <v>1417</v>
      </c>
      <c r="E607" s="24" t="str">
        <f>IFERROR(VLOOKUP(F607, 'api-register-id'!B:F, 5, FALSE), "Not found path.")</f>
        <v>APIMX000139</v>
      </c>
      <c r="F607" s="25" t="s">
        <v>1667</v>
      </c>
      <c r="G607" s="26" t="s">
        <v>4807</v>
      </c>
      <c r="H607" s="22" t="s">
        <v>4808</v>
      </c>
      <c r="I607" s="29" t="str">
        <f>IFERROR(VLOOKUP(F607, 'api-register-id'!B:I, 8, FALSE), "Not found path.")</f>
        <v>2.1.1</v>
      </c>
      <c r="J607" s="3" t="s">
        <v>4543</v>
      </c>
      <c r="K607" s="31" t="s">
        <v>48</v>
      </c>
      <c r="L607" s="23" t="s">
        <v>49</v>
      </c>
      <c r="M607" s="3" t="s">
        <v>1488</v>
      </c>
      <c r="N607" s="3" t="str">
        <f t="shared" si="1"/>
        <v>POST /experience/sales/partyLifecycleManagement/v1/location/retrieve</v>
      </c>
      <c r="O607" s="32" t="s">
        <v>3364</v>
      </c>
      <c r="P607" s="32"/>
      <c r="Q607" s="61" t="s">
        <v>4809</v>
      </c>
      <c r="R607" s="31" t="s">
        <v>56</v>
      </c>
      <c r="S607" s="38" t="str">
        <f t="shared" si="2"/>
        <v>https://github.com/SF-Bancoppel/mx-api-bc-rec-party-lifecycle-management</v>
      </c>
      <c r="T607" s="40"/>
      <c r="U607" s="22"/>
      <c r="V607" s="22"/>
      <c r="W607" s="40"/>
      <c r="X607" s="40"/>
      <c r="Y607" s="40"/>
      <c r="Z607" s="22"/>
      <c r="AA607" s="22"/>
      <c r="AB607" s="22"/>
    </row>
    <row r="608" ht="18.75" customHeight="1">
      <c r="A608" s="18" t="str">
        <f t="array" ref="A608">IFERROR(
  INDEX(
    'api-register-id'!A:A,
    MATCH(F608, 'api-register-id'!B:B, 0)
  ),
  "Not found Organization"
)</f>
        <v>SSFF</v>
      </c>
      <c r="B608" s="22" t="str">
        <f>IFERROR(VLOOKUP(F608, 'api-register-id'!B:F, 4, FALSE), "Not found path.")</f>
        <v>mx-api-bc-rec-party-lifecycle-management</v>
      </c>
      <c r="C608" s="78" t="s">
        <v>112</v>
      </c>
      <c r="D608" s="78" t="s">
        <v>1417</v>
      </c>
      <c r="E608" s="24" t="str">
        <f>IFERROR(VLOOKUP(F608, 'api-register-id'!B:F, 5, FALSE), "Not found path.")</f>
        <v>APIMX000139</v>
      </c>
      <c r="F608" s="25" t="s">
        <v>1667</v>
      </c>
      <c r="G608" s="26" t="s">
        <v>4810</v>
      </c>
      <c r="H608" s="22" t="s">
        <v>4542</v>
      </c>
      <c r="I608" s="29" t="str">
        <f>IFERROR(VLOOKUP(F608, 'api-register-id'!B:I, 8, FALSE), "Not found path.")</f>
        <v>2.1.1</v>
      </c>
      <c r="J608" s="3" t="s">
        <v>4543</v>
      </c>
      <c r="K608" s="31" t="s">
        <v>48</v>
      </c>
      <c r="L608" s="78" t="s">
        <v>61</v>
      </c>
      <c r="M608" s="3" t="s">
        <v>1337</v>
      </c>
      <c r="N608" s="3" t="str">
        <f t="shared" si="1"/>
        <v>PUT /experience/sales/partyLifecycleManagement/v1/documentation/request</v>
      </c>
      <c r="O608" s="32" t="s">
        <v>1338</v>
      </c>
      <c r="P608" s="32"/>
      <c r="Q608" s="61" t="s">
        <v>98</v>
      </c>
      <c r="R608" s="31" t="s">
        <v>56</v>
      </c>
      <c r="S608" s="38" t="str">
        <f t="shared" si="2"/>
        <v>https://github.com/SF-Bancoppel/mx-api-bc-rec-party-lifecycle-management</v>
      </c>
      <c r="T608" s="40"/>
      <c r="U608" s="22"/>
      <c r="V608" s="40"/>
      <c r="W608" s="40"/>
      <c r="X608" s="40"/>
      <c r="Y608" s="40"/>
      <c r="Z608" s="22"/>
      <c r="AA608" s="22"/>
      <c r="AB608" s="22"/>
    </row>
    <row r="609" ht="18.75" customHeight="1">
      <c r="A609" s="18" t="str">
        <f t="array" ref="A609">IFERROR(
  INDEX(
    'api-register-id'!A:A,
    MATCH(F609, 'api-register-id'!B:B, 0)
  ),
  "Not found Organization"
)</f>
        <v>SSFF</v>
      </c>
      <c r="B609" s="22" t="str">
        <f>IFERROR(VLOOKUP(F609, 'api-register-id'!B:F, 4, FALSE), "Not found path.")</f>
        <v>mx-api-bc-rec-party-reference-data-directory</v>
      </c>
      <c r="C609" s="23" t="s">
        <v>112</v>
      </c>
      <c r="D609" s="23" t="s">
        <v>1417</v>
      </c>
      <c r="E609" s="24" t="str">
        <f>IFERROR(VLOOKUP(F609, 'api-register-id'!B:F, 5, FALSE), "Not found path.")</f>
        <v>APIMX000140</v>
      </c>
      <c r="F609" s="25" t="s">
        <v>1677</v>
      </c>
      <c r="G609" s="26" t="s">
        <v>4811</v>
      </c>
      <c r="H609" s="22" t="s">
        <v>4812</v>
      </c>
      <c r="I609" s="29" t="str">
        <f>IFERROR(VLOOKUP(F609, 'api-register-id'!B:I, 8, FALSE), "Not found path.")</f>
        <v>1.0.0</v>
      </c>
      <c r="J609" s="3" t="s">
        <v>4550</v>
      </c>
      <c r="K609" s="31" t="s">
        <v>48</v>
      </c>
      <c r="L609" s="23" t="s">
        <v>49</v>
      </c>
      <c r="M609" s="3" t="s">
        <v>1513</v>
      </c>
      <c r="N609" s="3" t="str">
        <f t="shared" si="1"/>
        <v>POST /experience/customerManagement/partyReferenceDataDirectory/v1/partyReferenceDataDirectoryEntry/retrieve</v>
      </c>
      <c r="O609" s="32" t="s">
        <v>1514</v>
      </c>
      <c r="P609" s="32"/>
      <c r="Q609" s="61" t="s">
        <v>98</v>
      </c>
      <c r="R609" s="31" t="s">
        <v>56</v>
      </c>
      <c r="S609" s="38" t="str">
        <f t="shared" si="2"/>
        <v>https://github.com/SF-Bancoppel/mx-api-bc-rec-party-reference-data-directory</v>
      </c>
      <c r="T609" s="40"/>
      <c r="U609" s="40"/>
      <c r="V609" s="40"/>
      <c r="W609" s="40"/>
      <c r="X609" s="40"/>
      <c r="Y609" s="40"/>
      <c r="Z609" s="40"/>
      <c r="AA609" s="40"/>
      <c r="AB609" s="40"/>
    </row>
    <row r="610" ht="18.75" customHeight="1">
      <c r="A610" s="18" t="str">
        <f t="array" ref="A610">IFERROR(
  INDEX(
    'api-register-id'!A:A,
    MATCH(F610, 'api-register-id'!B:B, 0)
  ),
  "Not found Organization"
)</f>
        <v>SSFF</v>
      </c>
      <c r="B610" s="22" t="str">
        <f>IFERROR(VLOOKUP(F610, 'api-register-id'!B:F, 4, FALSE), "Not found path.")</f>
        <v>mx-api-bc-rec-party-reference-data-directory</v>
      </c>
      <c r="C610" s="23" t="s">
        <v>112</v>
      </c>
      <c r="D610" s="23" t="s">
        <v>1417</v>
      </c>
      <c r="E610" s="24" t="str">
        <f>IFERROR(VLOOKUP(F610, 'api-register-id'!B:F, 5, FALSE), "Not found path.")</f>
        <v>APIMX000140</v>
      </c>
      <c r="F610" s="25" t="s">
        <v>1677</v>
      </c>
      <c r="G610" s="26" t="s">
        <v>4813</v>
      </c>
      <c r="H610" s="22" t="s">
        <v>4814</v>
      </c>
      <c r="I610" s="29" t="str">
        <f>IFERROR(VLOOKUP(F610, 'api-register-id'!B:I, 8, FALSE), "Not found path.")</f>
        <v>1.0.0</v>
      </c>
      <c r="J610" s="3" t="s">
        <v>4550</v>
      </c>
      <c r="K610" s="31" t="s">
        <v>48</v>
      </c>
      <c r="L610" s="23" t="s">
        <v>49</v>
      </c>
      <c r="M610" s="3" t="s">
        <v>1589</v>
      </c>
      <c r="N610" s="3" t="str">
        <f t="shared" si="1"/>
        <v>POST /experience/customerManagement/partyReferenceDataDirectory/v1/reference/evaluate</v>
      </c>
      <c r="O610" s="32" t="s">
        <v>1519</v>
      </c>
      <c r="P610" s="32"/>
      <c r="Q610" s="61" t="s">
        <v>98</v>
      </c>
      <c r="R610" s="31" t="s">
        <v>56</v>
      </c>
      <c r="S610" s="38" t="str">
        <f t="shared" si="2"/>
        <v>https://github.com/SF-Bancoppel/mx-api-bc-rec-party-reference-data-directory</v>
      </c>
      <c r="T610" s="40"/>
      <c r="U610" s="40"/>
      <c r="V610" s="40"/>
      <c r="W610" s="40"/>
      <c r="X610" s="40"/>
      <c r="Y610" s="40"/>
      <c r="Z610" s="40"/>
      <c r="AA610" s="40"/>
      <c r="AB610" s="40"/>
    </row>
    <row r="611" ht="18.75" customHeight="1">
      <c r="A611" s="18" t="str">
        <f t="array" ref="A611">IFERROR(
  INDEX(
    'api-register-id'!A:A,
    MATCH(F611, 'api-register-id'!B:B, 0)
  ),
  "Not found Organization"
)</f>
        <v>SSFF</v>
      </c>
      <c r="B611" s="22" t="str">
        <f>IFERROR(VLOOKUP(F611, 'api-register-id'!B:F, 4, FALSE), "Not found path.")</f>
        <v>mx-api-bc-rec-party-reference-data-directory</v>
      </c>
      <c r="C611" s="23" t="s">
        <v>112</v>
      </c>
      <c r="D611" s="23" t="s">
        <v>1417</v>
      </c>
      <c r="E611" s="24" t="str">
        <f>IFERROR(VLOOKUP(F611, 'api-register-id'!B:F, 5, FALSE), "Not found path.")</f>
        <v>APIMX000140</v>
      </c>
      <c r="F611" s="25" t="s">
        <v>1677</v>
      </c>
      <c r="G611" s="26" t="s">
        <v>4815</v>
      </c>
      <c r="H611" s="22" t="s">
        <v>4816</v>
      </c>
      <c r="I611" s="29" t="str">
        <f>IFERROR(VLOOKUP(F611, 'api-register-id'!B:I, 8, FALSE), "Not found path.")</f>
        <v>1.0.0</v>
      </c>
      <c r="J611" s="3" t="s">
        <v>4550</v>
      </c>
      <c r="K611" s="31" t="s">
        <v>48</v>
      </c>
      <c r="L611" s="23" t="s">
        <v>49</v>
      </c>
      <c r="M611" s="3" t="s">
        <v>1525</v>
      </c>
      <c r="N611" s="3" t="str">
        <f t="shared" si="1"/>
        <v>POST /experience/customerManagement/partyReferenceDataDirectory/v1/pendingOperations/evaluate</v>
      </c>
      <c r="O611" s="32" t="s">
        <v>1526</v>
      </c>
      <c r="P611" s="32"/>
      <c r="Q611" s="61" t="s">
        <v>98</v>
      </c>
      <c r="R611" s="31" t="s">
        <v>56</v>
      </c>
      <c r="S611" s="38" t="str">
        <f t="shared" si="2"/>
        <v>https://github.com/SF-Bancoppel/mx-api-bc-rec-party-reference-data-directory</v>
      </c>
      <c r="T611" s="40"/>
      <c r="U611" s="40"/>
      <c r="V611" s="40"/>
      <c r="W611" s="40"/>
      <c r="X611" s="40"/>
      <c r="Y611" s="40"/>
      <c r="Z611" s="40"/>
      <c r="AA611" s="40"/>
      <c r="AB611" s="40"/>
    </row>
    <row r="612" ht="18.75" customHeight="1">
      <c r="A612" s="18" t="str">
        <f t="array" ref="A612">IFERROR(
  INDEX(
    'api-register-id'!A:A,
    MATCH(F612, 'api-register-id'!B:B, 0)
  ),
  "Not found Organization"
)</f>
        <v>SSFF</v>
      </c>
      <c r="B612" s="22" t="str">
        <f>IFERROR(VLOOKUP(F612, 'api-register-id'!B:F, 4, FALSE), "Not found path.")</f>
        <v>mx-api-bc-rec-party-reference-data-directory</v>
      </c>
      <c r="C612" s="23" t="s">
        <v>112</v>
      </c>
      <c r="D612" s="23" t="s">
        <v>1417</v>
      </c>
      <c r="E612" s="24" t="str">
        <f>IFERROR(VLOOKUP(F612, 'api-register-id'!B:F, 5, FALSE), "Not found path.")</f>
        <v>APIMX000140</v>
      </c>
      <c r="F612" s="25" t="s">
        <v>1677</v>
      </c>
      <c r="G612" s="26" t="s">
        <v>4817</v>
      </c>
      <c r="H612" s="22" t="s">
        <v>4818</v>
      </c>
      <c r="I612" s="29" t="str">
        <f>IFERROR(VLOOKUP(F612, 'api-register-id'!B:I, 8, FALSE), "Not found path.")</f>
        <v>1.0.0</v>
      </c>
      <c r="J612" s="3" t="s">
        <v>4550</v>
      </c>
      <c r="K612" s="31" t="s">
        <v>48</v>
      </c>
      <c r="L612" s="23" t="s">
        <v>49</v>
      </c>
      <c r="M612" s="3" t="s">
        <v>1555</v>
      </c>
      <c r="N612" s="3" t="str">
        <f t="shared" si="1"/>
        <v>POST /experience/customerManagement/partyReferenceDataDirectory/v1/contactPoint/retrieve</v>
      </c>
      <c r="O612" s="32" t="s">
        <v>1556</v>
      </c>
      <c r="P612" s="32"/>
      <c r="Q612" s="61" t="s">
        <v>4819</v>
      </c>
      <c r="R612" s="31" t="s">
        <v>56</v>
      </c>
      <c r="S612" s="38" t="str">
        <f t="shared" si="2"/>
        <v>https://github.com/SF-Bancoppel/mx-api-bc-rec-party-reference-data-directory</v>
      </c>
      <c r="T612" s="40"/>
      <c r="U612" s="40"/>
      <c r="V612" s="40"/>
      <c r="W612" s="40"/>
      <c r="X612" s="40"/>
      <c r="Y612" s="40"/>
      <c r="Z612" s="40"/>
      <c r="AA612" s="40"/>
      <c r="AB612" s="40"/>
    </row>
    <row r="613" ht="18.75" customHeight="1">
      <c r="A613" s="18" t="str">
        <f t="array" ref="A613">IFERROR(
  INDEX(
    'api-register-id'!A:A,
    MATCH(F613, 'api-register-id'!B:B, 0)
  ),
  "Not found Organization"
)</f>
        <v>SSFF</v>
      </c>
      <c r="B613" s="22" t="str">
        <f>IFERROR(VLOOKUP(F613, 'api-register-id'!B:F, 4, FALSE), "Not found path.")</f>
        <v>mx-api-bc-rec-party-reference-data-directory</v>
      </c>
      <c r="C613" s="23" t="s">
        <v>112</v>
      </c>
      <c r="D613" s="23" t="s">
        <v>1417</v>
      </c>
      <c r="E613" s="24" t="str">
        <f>IFERROR(VLOOKUP(F613, 'api-register-id'!B:F, 5, FALSE), "Not found path.")</f>
        <v>APIMX000140</v>
      </c>
      <c r="F613" s="25" t="s">
        <v>1677</v>
      </c>
      <c r="G613" s="26" t="s">
        <v>4820</v>
      </c>
      <c r="H613" s="3" t="s">
        <v>4821</v>
      </c>
      <c r="I613" s="29" t="str">
        <f>IFERROR(VLOOKUP(F613, 'api-register-id'!B:I, 8, FALSE), "Not found path.")</f>
        <v>1.0.0</v>
      </c>
      <c r="J613" s="3" t="s">
        <v>4550</v>
      </c>
      <c r="K613" s="31" t="s">
        <v>48</v>
      </c>
      <c r="L613" s="23" t="s">
        <v>428</v>
      </c>
      <c r="M613" s="3" t="s">
        <v>1549</v>
      </c>
      <c r="N613" s="3" t="str">
        <f t="shared" si="1"/>
        <v>PATCH /experience/customerManagement/partyReferenceDataDirectory/v1/contactPoint/control</v>
      </c>
      <c r="O613" s="32" t="s">
        <v>1550</v>
      </c>
      <c r="P613" s="32"/>
      <c r="Q613" s="61" t="s">
        <v>98</v>
      </c>
      <c r="R613" s="31" t="s">
        <v>56</v>
      </c>
      <c r="S613" s="38" t="str">
        <f t="shared" si="2"/>
        <v>https://github.com/SF-Bancoppel/mx-api-bc-rec-party-reference-data-directory</v>
      </c>
      <c r="T613" s="40"/>
      <c r="U613" s="40"/>
      <c r="V613" s="40"/>
      <c r="W613" s="40"/>
      <c r="X613" s="40"/>
      <c r="Y613" s="40"/>
      <c r="Z613" s="40"/>
      <c r="AA613" s="40"/>
      <c r="AB613" s="40"/>
    </row>
    <row r="614" ht="18.75" customHeight="1">
      <c r="A614" s="18" t="str">
        <f t="array" ref="A614">IFERROR(
  INDEX(
    'api-register-id'!A:A,
    MATCH(F614, 'api-register-id'!B:B, 0)
  ),
  "Not found Organization"
)</f>
        <v>SSFF</v>
      </c>
      <c r="B614" s="22" t="str">
        <f>IFERROR(VLOOKUP(F614, 'api-register-id'!B:F, 4, FALSE), "Not found path.")</f>
        <v>mx-api-bc-rec-party-reference-data-directory</v>
      </c>
      <c r="C614" s="23" t="s">
        <v>112</v>
      </c>
      <c r="D614" s="23" t="s">
        <v>1417</v>
      </c>
      <c r="E614" s="24" t="str">
        <f>IFERROR(VLOOKUP(F614, 'api-register-id'!B:F, 5, FALSE), "Not found path.")</f>
        <v>APIMX000140</v>
      </c>
      <c r="F614" s="25" t="s">
        <v>1677</v>
      </c>
      <c r="G614" s="26" t="s">
        <v>4822</v>
      </c>
      <c r="H614" s="3" t="s">
        <v>4823</v>
      </c>
      <c r="I614" s="29" t="str">
        <f>IFERROR(VLOOKUP(F614, 'api-register-id'!B:I, 8, FALSE), "Not found path.")</f>
        <v>1.0.0</v>
      </c>
      <c r="J614" s="3" t="s">
        <v>4550</v>
      </c>
      <c r="K614" s="31" t="s">
        <v>48</v>
      </c>
      <c r="L614" s="23" t="s">
        <v>61</v>
      </c>
      <c r="M614" s="3" t="s">
        <v>1455</v>
      </c>
      <c r="N614" s="3" t="str">
        <f t="shared" si="1"/>
        <v>PUT /experience/customerManagement/partyReferenceDataDirectory/v1/contactPoint/capture</v>
      </c>
      <c r="O614" s="32" t="s">
        <v>1567</v>
      </c>
      <c r="P614" s="32"/>
      <c r="Q614" s="61" t="s">
        <v>98</v>
      </c>
      <c r="R614" s="31" t="s">
        <v>56</v>
      </c>
      <c r="S614" s="38" t="str">
        <f t="shared" si="2"/>
        <v>https://github.com/SF-Bancoppel/mx-api-bc-rec-party-reference-data-directory</v>
      </c>
      <c r="T614" s="40"/>
      <c r="U614" s="22"/>
      <c r="V614" s="40"/>
      <c r="W614" s="40"/>
      <c r="X614" s="40"/>
      <c r="Y614" s="40"/>
      <c r="Z614" s="22"/>
      <c r="AA614" s="22"/>
      <c r="AB614" s="22"/>
    </row>
    <row r="615" ht="18.75" customHeight="1">
      <c r="A615" s="18" t="str">
        <f t="array" ref="A615">IFERROR(
  INDEX(
    'api-register-id'!A:A,
    MATCH(F615, 'api-register-id'!B:B, 0)
  ),
  "Not found Organization"
)</f>
        <v>SSFF</v>
      </c>
      <c r="B615" s="22" t="str">
        <f>IFERROR(VLOOKUP(F615, 'api-register-id'!B:F, 4, FALSE), "Not found path.")</f>
        <v>mx-api-bc-rec-party-reference-data-directory</v>
      </c>
      <c r="C615" s="23" t="s">
        <v>112</v>
      </c>
      <c r="D615" s="23" t="s">
        <v>1417</v>
      </c>
      <c r="E615" s="24" t="str">
        <f>IFERROR(VLOOKUP(F615, 'api-register-id'!B:F, 5, FALSE), "Not found path.")</f>
        <v>APIMX000140</v>
      </c>
      <c r="F615" s="25" t="s">
        <v>1677</v>
      </c>
      <c r="G615" s="26" t="s">
        <v>4824</v>
      </c>
      <c r="H615" s="3" t="s">
        <v>4825</v>
      </c>
      <c r="I615" s="29" t="str">
        <f>IFERROR(VLOOKUP(F615, 'api-register-id'!B:I, 8, FALSE), "Not found path.")</f>
        <v>1.0.0</v>
      </c>
      <c r="J615" s="3" t="s">
        <v>4550</v>
      </c>
      <c r="K615" s="31" t="s">
        <v>48</v>
      </c>
      <c r="L615" s="23" t="s">
        <v>428</v>
      </c>
      <c r="M615" s="3" t="s">
        <v>1582</v>
      </c>
      <c r="N615" s="3" t="str">
        <f t="shared" si="1"/>
        <v>PATCH /experience/customerManagement/partyReferenceDataDirectory/v1/personProfile/capture</v>
      </c>
      <c r="O615" s="32" t="s">
        <v>1583</v>
      </c>
      <c r="P615" s="32"/>
      <c r="Q615" s="61" t="s">
        <v>98</v>
      </c>
      <c r="R615" s="31" t="s">
        <v>56</v>
      </c>
      <c r="S615" s="38" t="str">
        <f t="shared" si="2"/>
        <v>https://github.com/SF-Bancoppel/mx-api-bc-rec-party-reference-data-directory</v>
      </c>
      <c r="T615" s="40"/>
      <c r="U615" s="22"/>
      <c r="V615" s="40"/>
      <c r="W615" s="40"/>
      <c r="X615" s="40"/>
      <c r="Y615" s="40"/>
      <c r="Z615" s="22"/>
      <c r="AA615" s="22"/>
      <c r="AB615" s="22"/>
    </row>
    <row r="616" ht="18.75" customHeight="1">
      <c r="A616" s="18" t="str">
        <f t="array" ref="A616">IFERROR(
  INDEX(
    'api-register-id'!A:A,
    MATCH(F616, 'api-register-id'!B:B, 0)
  ),
  "Not found Organization"
)</f>
        <v>SSFF</v>
      </c>
      <c r="B616" s="22" t="str">
        <f>IFERROR(VLOOKUP(F616, 'api-register-id'!B:F, 4, FALSE), "Not found path.")</f>
        <v>mx-api-bc-rec-party-reference-data-directory</v>
      </c>
      <c r="C616" s="78" t="s">
        <v>112</v>
      </c>
      <c r="D616" s="78" t="s">
        <v>1417</v>
      </c>
      <c r="E616" s="24" t="str">
        <f>IFERROR(VLOOKUP(F616, 'api-register-id'!B:F, 5, FALSE), "Not found path.")</f>
        <v>APIMX000140</v>
      </c>
      <c r="F616" s="25" t="s">
        <v>1677</v>
      </c>
      <c r="G616" s="26" t="s">
        <v>4826</v>
      </c>
      <c r="H616" s="22" t="s">
        <v>4549</v>
      </c>
      <c r="I616" s="29" t="str">
        <f>IFERROR(VLOOKUP(F616, 'api-register-id'!B:I, 8, FALSE), "Not found path.")</f>
        <v>1.0.0</v>
      </c>
      <c r="J616" s="3" t="s">
        <v>4550</v>
      </c>
      <c r="K616" s="31" t="s">
        <v>48</v>
      </c>
      <c r="L616" s="78" t="s">
        <v>49</v>
      </c>
      <c r="M616" s="3" t="s">
        <v>1544</v>
      </c>
      <c r="N616" s="3" t="str">
        <f t="shared" si="1"/>
        <v>POST /experience/customerManagement/partyReferenceDataDirectory/v1/partyReferenceDataDirectoryEntry/register</v>
      </c>
      <c r="O616" s="32" t="s">
        <v>1545</v>
      </c>
      <c r="P616" s="32"/>
      <c r="Q616" s="61" t="s">
        <v>98</v>
      </c>
      <c r="R616" s="31" t="s">
        <v>56</v>
      </c>
      <c r="S616" s="38" t="str">
        <f t="shared" si="2"/>
        <v>https://github.com/SF-Bancoppel/mx-api-bc-rec-party-reference-data-directory</v>
      </c>
      <c r="T616" s="40"/>
      <c r="U616" s="22"/>
      <c r="V616" s="22"/>
      <c r="W616" s="40"/>
      <c r="X616" s="40"/>
      <c r="Y616" s="40"/>
      <c r="Z616" s="22"/>
      <c r="AA616" s="22"/>
      <c r="AB616" s="22"/>
    </row>
    <row r="617" ht="18.75" customHeight="1">
      <c r="A617" s="18" t="str">
        <f t="array" ref="A617">IFERROR(
  INDEX(
    'api-register-id'!A:A,
    MATCH(F617, 'api-register-id'!B:B, 0)
  ),
  "Not found Organization"
)</f>
        <v>SSFF</v>
      </c>
      <c r="B617" s="22" t="str">
        <f>IFERROR(VLOOKUP(F617, 'api-register-id'!B:F, 4, FALSE), "Not found path.")</f>
        <v>mx-api-bc-rec-payment-execution</v>
      </c>
      <c r="C617" s="23" t="s">
        <v>112</v>
      </c>
      <c r="D617" s="23" t="s">
        <v>1417</v>
      </c>
      <c r="E617" s="24" t="str">
        <f>IFERROR(VLOOKUP(F617, 'api-register-id'!B:F, 5, FALSE), "Not found path.")</f>
        <v>APIMX000141</v>
      </c>
      <c r="F617" s="25" t="s">
        <v>1688</v>
      </c>
      <c r="G617" s="26" t="s">
        <v>4827</v>
      </c>
      <c r="H617" s="3" t="s">
        <v>4828</v>
      </c>
      <c r="I617" s="29" t="str">
        <f>IFERROR(VLOOKUP(F617, 'api-register-id'!B:I, 8, FALSE), "Not found path.")</f>
        <v>1.2.0</v>
      </c>
      <c r="J617" s="3" t="s">
        <v>4829</v>
      </c>
      <c r="K617" s="31" t="s">
        <v>48</v>
      </c>
      <c r="L617" s="23" t="s">
        <v>49</v>
      </c>
      <c r="M617" s="3" t="s">
        <v>1615</v>
      </c>
      <c r="N617" s="3" t="str">
        <f t="shared" si="1"/>
        <v>POST /experience/payments/paymentExecution/v1/paymentTransactionProcedure/retrieve</v>
      </c>
      <c r="O617" s="32" t="s">
        <v>1616</v>
      </c>
      <c r="P617" s="32"/>
      <c r="Q617" s="61" t="s">
        <v>98</v>
      </c>
      <c r="R617" s="31" t="s">
        <v>56</v>
      </c>
      <c r="S617" s="38" t="str">
        <f t="shared" si="2"/>
        <v>https://github.com/SF-Bancoppel/mx-api-bc-rec-payment-execution</v>
      </c>
      <c r="T617" s="40"/>
      <c r="U617" s="40"/>
      <c r="V617" s="40"/>
      <c r="W617" s="40"/>
      <c r="X617" s="40"/>
      <c r="Y617" s="40"/>
      <c r="Z617" s="40"/>
      <c r="AA617" s="40"/>
      <c r="AB617" s="40"/>
    </row>
    <row r="618" ht="18.75" customHeight="1">
      <c r="A618" s="18" t="str">
        <f t="array" ref="A618">IFERROR(
  INDEX(
    'api-register-id'!A:A,
    MATCH(F618, 'api-register-id'!B:B, 0)
  ),
  "Not found Organization"
)</f>
        <v>SSFF</v>
      </c>
      <c r="B618" s="22" t="str">
        <f>IFERROR(VLOOKUP(F618, 'api-register-id'!B:F, 4, FALSE), "Not found path.")</f>
        <v>mx-api-bc-rec-payment-execution</v>
      </c>
      <c r="C618" s="23" t="s">
        <v>112</v>
      </c>
      <c r="D618" s="23" t="s">
        <v>1417</v>
      </c>
      <c r="E618" s="24" t="str">
        <f>IFERROR(VLOOKUP(F618, 'api-register-id'!B:F, 5, FALSE), "Not found path.")</f>
        <v>APIMX000141</v>
      </c>
      <c r="F618" s="25" t="s">
        <v>1688</v>
      </c>
      <c r="G618" s="26" t="s">
        <v>4830</v>
      </c>
      <c r="H618" s="3" t="s">
        <v>4831</v>
      </c>
      <c r="I618" s="29" t="str">
        <f>IFERROR(VLOOKUP(F618, 'api-register-id'!B:I, 8, FALSE), "Not found path.")</f>
        <v>1.2.0</v>
      </c>
      <c r="J618" s="3" t="s">
        <v>4829</v>
      </c>
      <c r="K618" s="31" t="s">
        <v>48</v>
      </c>
      <c r="L618" s="23" t="s">
        <v>49</v>
      </c>
      <c r="M618" s="3" t="s">
        <v>1622</v>
      </c>
      <c r="N618" s="3" t="str">
        <f t="shared" si="1"/>
        <v>POST /experience/payments/paymentExecution/v1/paymentExecutionTransaction/evaluate</v>
      </c>
      <c r="O618" s="32" t="s">
        <v>1623</v>
      </c>
      <c r="P618" s="32"/>
      <c r="Q618" s="61" t="s">
        <v>98</v>
      </c>
      <c r="R618" s="31" t="s">
        <v>56</v>
      </c>
      <c r="S618" s="38" t="str">
        <f t="shared" si="2"/>
        <v>https://github.com/SF-Bancoppel/mx-api-bc-rec-payment-execution</v>
      </c>
      <c r="T618" s="40"/>
      <c r="U618" s="40"/>
      <c r="V618" s="40"/>
      <c r="W618" s="40"/>
      <c r="X618" s="40"/>
      <c r="Y618" s="40"/>
      <c r="Z618" s="40"/>
      <c r="AA618" s="40"/>
      <c r="AB618" s="40"/>
    </row>
    <row r="619" ht="18.75" customHeight="1">
      <c r="A619" s="18" t="str">
        <f t="array" ref="A619">IFERROR(
  INDEX(
    'api-register-id'!A:A,
    MATCH(F619, 'api-register-id'!B:B, 0)
  ),
  "Not found Organization"
)</f>
        <v>SSFF</v>
      </c>
      <c r="B619" s="22" t="str">
        <f>IFERROR(VLOOKUP(F619, 'api-register-id'!B:F, 4, FALSE), "Not found path.")</f>
        <v>mx-api-bc-rec-payment-execution</v>
      </c>
      <c r="C619" s="23" t="s">
        <v>112</v>
      </c>
      <c r="D619" s="23" t="s">
        <v>1417</v>
      </c>
      <c r="E619" s="24" t="str">
        <f>IFERROR(VLOOKUP(F619, 'api-register-id'!B:F, 5, FALSE), "Not found path.")</f>
        <v>APIMX000141</v>
      </c>
      <c r="F619" s="25" t="s">
        <v>1688</v>
      </c>
      <c r="G619" s="26" t="s">
        <v>4832</v>
      </c>
      <c r="H619" s="3" t="s">
        <v>4833</v>
      </c>
      <c r="I619" s="29" t="str">
        <f>IFERROR(VLOOKUP(F619, 'api-register-id'!B:I, 8, FALSE), "Not found path.")</f>
        <v>1.2.0</v>
      </c>
      <c r="J619" s="3" t="s">
        <v>4829</v>
      </c>
      <c r="K619" s="31" t="s">
        <v>48</v>
      </c>
      <c r="L619" s="23" t="s">
        <v>428</v>
      </c>
      <c r="M619" s="3" t="s">
        <v>1627</v>
      </c>
      <c r="N619" s="3" t="str">
        <f t="shared" si="1"/>
        <v>PATCH /experience/payments/paymentExecution/v1/paymentTransactionProcedure/update</v>
      </c>
      <c r="O619" s="32" t="s">
        <v>1628</v>
      </c>
      <c r="P619" s="32"/>
      <c r="Q619" s="61" t="s">
        <v>98</v>
      </c>
      <c r="R619" s="31" t="s">
        <v>56</v>
      </c>
      <c r="S619" s="38" t="str">
        <f t="shared" si="2"/>
        <v>https://github.com/SF-Bancoppel/mx-api-bc-rec-payment-execution</v>
      </c>
      <c r="T619" s="40"/>
      <c r="U619" s="40"/>
      <c r="V619" s="40"/>
      <c r="W619" s="40"/>
      <c r="X619" s="40"/>
      <c r="Y619" s="40"/>
      <c r="Z619" s="40"/>
      <c r="AA619" s="40"/>
      <c r="AB619" s="40"/>
    </row>
    <row r="620" ht="18.75" customHeight="1">
      <c r="A620" s="18" t="str">
        <f t="array" ref="A620">IFERROR(
  INDEX(
    'api-register-id'!A:A,
    MATCH(F620, 'api-register-id'!B:B, 0)
  ),
  "Not found Organization"
)</f>
        <v>SSFF</v>
      </c>
      <c r="B620" s="22" t="str">
        <f>IFERROR(VLOOKUP(F620, 'api-register-id'!B:F, 4, FALSE), "Not found path.")</f>
        <v>mx-api-bc-rec-payment-execution</v>
      </c>
      <c r="C620" s="23" t="s">
        <v>112</v>
      </c>
      <c r="D620" s="23" t="s">
        <v>1417</v>
      </c>
      <c r="E620" s="24" t="str">
        <f>IFERROR(VLOOKUP(F620, 'api-register-id'!B:F, 5, FALSE), "Not found path.")</f>
        <v>APIMX000141</v>
      </c>
      <c r="F620" s="25" t="s">
        <v>1688</v>
      </c>
      <c r="G620" s="26" t="s">
        <v>4834</v>
      </c>
      <c r="H620" s="3" t="s">
        <v>4835</v>
      </c>
      <c r="I620" s="29" t="str">
        <f>IFERROR(VLOOKUP(F620, 'api-register-id'!B:I, 8, FALSE), "Not found path.")</f>
        <v>1.2.0</v>
      </c>
      <c r="J620" s="3" t="s">
        <v>4829</v>
      </c>
      <c r="K620" s="31" t="s">
        <v>48</v>
      </c>
      <c r="L620" s="23" t="s">
        <v>49</v>
      </c>
      <c r="M620" s="3" t="s">
        <v>1633</v>
      </c>
      <c r="N620" s="3" t="str">
        <f t="shared" si="1"/>
        <v>POST /experience/payments/paymentExecution/v1/paymentExecution/initiate</v>
      </c>
      <c r="O620" s="32" t="s">
        <v>1634</v>
      </c>
      <c r="P620" s="32"/>
      <c r="Q620" s="61" t="s">
        <v>98</v>
      </c>
      <c r="R620" s="31" t="s">
        <v>56</v>
      </c>
      <c r="S620" s="38" t="str">
        <f t="shared" si="2"/>
        <v>https://github.com/SF-Bancoppel/mx-api-bc-rec-payment-execution</v>
      </c>
      <c r="T620" s="40"/>
      <c r="U620" s="40"/>
      <c r="V620" s="40"/>
      <c r="W620" s="40"/>
      <c r="X620" s="40"/>
      <c r="Y620" s="40"/>
      <c r="Z620" s="40"/>
      <c r="AA620" s="40"/>
      <c r="AB620" s="40"/>
    </row>
    <row r="621" ht="18.75" customHeight="1">
      <c r="A621" s="18" t="str">
        <f t="array" ref="A621">IFERROR(
  INDEX(
    'api-register-id'!A:A,
    MATCH(F621, 'api-register-id'!B:B, 0)
  ),
  "Not found Organization"
)</f>
        <v>SSFF</v>
      </c>
      <c r="B621" s="22" t="str">
        <f>IFERROR(VLOOKUP(F621, 'api-register-id'!B:F, 4, FALSE), "Not found path.")</f>
        <v>mx-api-bc-rec-payment-execution</v>
      </c>
      <c r="C621" s="23" t="s">
        <v>112</v>
      </c>
      <c r="D621" s="23" t="s">
        <v>1417</v>
      </c>
      <c r="E621" s="24" t="str">
        <f>IFERROR(VLOOKUP(F621, 'api-register-id'!B:F, 5, FALSE), "Not found path.")</f>
        <v>APIMX000141</v>
      </c>
      <c r="F621" s="25" t="s">
        <v>1688</v>
      </c>
      <c r="G621" s="26" t="s">
        <v>4836</v>
      </c>
      <c r="H621" s="3" t="s">
        <v>4837</v>
      </c>
      <c r="I621" s="29" t="str">
        <f>IFERROR(VLOOKUP(F621, 'api-register-id'!B:I, 8, FALSE), "Not found path.")</f>
        <v>1.2.0</v>
      </c>
      <c r="J621" s="3" t="s">
        <v>4829</v>
      </c>
      <c r="K621" s="31" t="s">
        <v>48</v>
      </c>
      <c r="L621" s="23" t="s">
        <v>49</v>
      </c>
      <c r="M621" s="3" t="s">
        <v>1639</v>
      </c>
      <c r="N621" s="3" t="str">
        <f t="shared" si="1"/>
        <v>POST /experience/payments/paymentExecution/v1/paymentExecutionProcedure/initiate</v>
      </c>
      <c r="O621" s="32" t="s">
        <v>4838</v>
      </c>
      <c r="P621" s="32"/>
      <c r="Q621" s="61" t="s">
        <v>98</v>
      </c>
      <c r="R621" s="31" t="s">
        <v>56</v>
      </c>
      <c r="S621" s="38" t="str">
        <f t="shared" si="2"/>
        <v>https://github.com/SF-Bancoppel/mx-api-bc-rec-payment-execution</v>
      </c>
      <c r="T621" s="40"/>
      <c r="U621" s="40"/>
      <c r="V621" s="40"/>
      <c r="W621" s="40"/>
      <c r="X621" s="40"/>
      <c r="Y621" s="40"/>
      <c r="Z621" s="40"/>
      <c r="AA621" s="40"/>
      <c r="AB621" s="40"/>
    </row>
    <row r="622" ht="18.75" customHeight="1">
      <c r="A622" s="18" t="str">
        <f t="array" ref="A622">IFERROR(
  INDEX(
    'api-register-id'!A:A,
    MATCH(F622, 'api-register-id'!B:B, 0)
  ),
  "Not found Organization"
)</f>
        <v>SSFF</v>
      </c>
      <c r="B622" s="22" t="str">
        <f>IFERROR(VLOOKUP(F622, 'api-register-id'!B:F, 4, FALSE), "Not found path.")</f>
        <v>mx-api-bc-rec-payment-order</v>
      </c>
      <c r="C622" s="23" t="s">
        <v>112</v>
      </c>
      <c r="D622" s="23" t="s">
        <v>1417</v>
      </c>
      <c r="E622" s="24" t="str">
        <f>IFERROR(VLOOKUP(F622, 'api-register-id'!B:F, 5, FALSE), "Not found path.")</f>
        <v>APIMX000142</v>
      </c>
      <c r="F622" s="25" t="s">
        <v>1698</v>
      </c>
      <c r="G622" s="26" t="s">
        <v>4839</v>
      </c>
      <c r="H622" s="3" t="s">
        <v>4840</v>
      </c>
      <c r="I622" s="29" t="str">
        <f>IFERROR(VLOOKUP(F622, 'api-register-id'!B:I, 8, FALSE), "Not found path.")</f>
        <v>1.0.0</v>
      </c>
      <c r="J622" s="3" t="s">
        <v>4841</v>
      </c>
      <c r="K622" s="31" t="s">
        <v>48</v>
      </c>
      <c r="L622" s="23" t="s">
        <v>61</v>
      </c>
      <c r="M622" s="3" t="s">
        <v>1647</v>
      </c>
      <c r="N622" s="3" t="str">
        <f t="shared" si="1"/>
        <v>PUT /experience/payments/paymentOrder/v1/orderConfirmation/update</v>
      </c>
      <c r="O622" s="32" t="s">
        <v>1648</v>
      </c>
      <c r="P622" s="32"/>
      <c r="Q622" s="61" t="s">
        <v>98</v>
      </c>
      <c r="R622" s="31" t="s">
        <v>56</v>
      </c>
      <c r="S622" s="38" t="str">
        <f t="shared" si="2"/>
        <v>https://github.com/SF-Bancoppel/mx-api-bc-rec-payment-order</v>
      </c>
      <c r="T622" s="40"/>
      <c r="U622" s="40"/>
      <c r="V622" s="40"/>
      <c r="W622" s="40"/>
      <c r="X622" s="40"/>
      <c r="Y622" s="40"/>
      <c r="Z622" s="40"/>
      <c r="AA622" s="40"/>
      <c r="AB622" s="40"/>
    </row>
    <row r="623" ht="18.75" customHeight="1">
      <c r="A623" s="18" t="str">
        <f t="array" ref="A623">IFERROR(
  INDEX(
    'api-register-id'!A:A,
    MATCH(F623, 'api-register-id'!B:B, 0)
  ),
  "Not found Organization"
)</f>
        <v>SSFF</v>
      </c>
      <c r="B623" s="22" t="str">
        <f>IFERROR(VLOOKUP(F623, 'api-register-id'!B:F, 4, FALSE), "Not found path.")</f>
        <v>mx-api-bc-rec-payment-order</v>
      </c>
      <c r="C623" s="23" t="s">
        <v>112</v>
      </c>
      <c r="D623" s="23" t="s">
        <v>1417</v>
      </c>
      <c r="E623" s="24" t="str">
        <f>IFERROR(VLOOKUP(F623, 'api-register-id'!B:F, 5, FALSE), "Not found path.")</f>
        <v>APIMX000142</v>
      </c>
      <c r="F623" s="25" t="s">
        <v>1698</v>
      </c>
      <c r="G623" s="26" t="s">
        <v>4842</v>
      </c>
      <c r="H623" s="3" t="s">
        <v>4843</v>
      </c>
      <c r="I623" s="29" t="str">
        <f>IFERROR(VLOOKUP(F623, 'api-register-id'!B:I, 8, FALSE), "Not found path.")</f>
        <v>1.0.0</v>
      </c>
      <c r="J623" s="3" t="s">
        <v>4841</v>
      </c>
      <c r="K623" s="31" t="s">
        <v>48</v>
      </c>
      <c r="L623" s="23" t="s">
        <v>49</v>
      </c>
      <c r="M623" s="3" t="s">
        <v>1654</v>
      </c>
      <c r="N623" s="3" t="str">
        <f t="shared" si="1"/>
        <v>POST /experience/payments/paymentOrder/v1/paymentOrderProcedure/retrieve</v>
      </c>
      <c r="O623" s="32" t="s">
        <v>1655</v>
      </c>
      <c r="P623" s="32"/>
      <c r="Q623" s="61" t="s">
        <v>98</v>
      </c>
      <c r="R623" s="31" t="s">
        <v>56</v>
      </c>
      <c r="S623" s="38" t="str">
        <f t="shared" si="2"/>
        <v>https://github.com/SF-Bancoppel/mx-api-bc-rec-payment-order</v>
      </c>
      <c r="T623" s="40"/>
      <c r="U623" s="40"/>
      <c r="V623" s="40"/>
      <c r="W623" s="40"/>
      <c r="X623" s="40"/>
      <c r="Y623" s="40"/>
      <c r="Z623" s="40"/>
      <c r="AA623" s="40"/>
      <c r="AB623" s="40"/>
    </row>
    <row r="624" ht="18.75" customHeight="1">
      <c r="A624" s="18" t="str">
        <f t="array" ref="A624">IFERROR(
  INDEX(
    'api-register-id'!A:A,
    MATCH(F624, 'api-register-id'!B:B, 0)
  ),
  "Not found Organization"
)</f>
        <v>SSFF</v>
      </c>
      <c r="B624" s="22" t="str">
        <f>IFERROR(VLOOKUP(F624, 'api-register-id'!B:F, 4, FALSE), "Not found path.")</f>
        <v>mx-api-bc-rec-payment-order</v>
      </c>
      <c r="C624" s="23" t="s">
        <v>112</v>
      </c>
      <c r="D624" s="23" t="s">
        <v>1417</v>
      </c>
      <c r="E624" s="24" t="str">
        <f>IFERROR(VLOOKUP(F624, 'api-register-id'!B:F, 5, FALSE), "Not found path.")</f>
        <v>APIMX000142</v>
      </c>
      <c r="F624" s="25" t="s">
        <v>1698</v>
      </c>
      <c r="G624" s="26" t="s">
        <v>4844</v>
      </c>
      <c r="H624" s="3" t="s">
        <v>4845</v>
      </c>
      <c r="I624" s="29" t="str">
        <f>IFERROR(VLOOKUP(F624, 'api-register-id'!B:I, 8, FALSE), "Not found path.")</f>
        <v>1.0.0</v>
      </c>
      <c r="J624" s="3" t="s">
        <v>4841</v>
      </c>
      <c r="K624" s="31" t="s">
        <v>48</v>
      </c>
      <c r="L624" s="23" t="s">
        <v>61</v>
      </c>
      <c r="M624" s="3" t="s">
        <v>1659</v>
      </c>
      <c r="N624" s="3" t="str">
        <f t="shared" si="1"/>
        <v>PUT /experience/payments/paymentOrder/v1/paymentOrderProcedure/update</v>
      </c>
      <c r="O624" s="32" t="s">
        <v>1660</v>
      </c>
      <c r="P624" s="32"/>
      <c r="Q624" s="61" t="s">
        <v>98</v>
      </c>
      <c r="R624" s="31" t="s">
        <v>56</v>
      </c>
      <c r="S624" s="38" t="str">
        <f t="shared" si="2"/>
        <v>https://github.com/SF-Bancoppel/mx-api-bc-rec-payment-order</v>
      </c>
      <c r="T624" s="40"/>
      <c r="U624" s="40"/>
      <c r="V624" s="40"/>
      <c r="W624" s="40"/>
      <c r="X624" s="40"/>
      <c r="Y624" s="40"/>
      <c r="Z624" s="40"/>
      <c r="AA624" s="40"/>
      <c r="AB624" s="40"/>
    </row>
    <row r="625" ht="18.75" customHeight="1">
      <c r="A625" s="18" t="str">
        <f t="array" ref="A625">IFERROR(
  INDEX(
    'api-register-id'!A:A,
    MATCH(F625, 'api-register-id'!B:B, 0)
  ),
  "Not found Organization"
)</f>
        <v>SSFF</v>
      </c>
      <c r="B625" s="22" t="str">
        <f>IFERROR(VLOOKUP(F625, 'api-register-id'!B:F, 4, FALSE), "Not found path.")</f>
        <v>mx-api-bc-rec-payment-order</v>
      </c>
      <c r="C625" s="23" t="s">
        <v>112</v>
      </c>
      <c r="D625" s="23" t="s">
        <v>1417</v>
      </c>
      <c r="E625" s="24" t="str">
        <f>IFERROR(VLOOKUP(F625, 'api-register-id'!B:F, 5, FALSE), "Not found path.")</f>
        <v>APIMX000142</v>
      </c>
      <c r="F625" s="25" t="s">
        <v>1698</v>
      </c>
      <c r="G625" s="26" t="s">
        <v>4846</v>
      </c>
      <c r="H625" s="3" t="s">
        <v>4847</v>
      </c>
      <c r="I625" s="29" t="str">
        <f>IFERROR(VLOOKUP(F625, 'api-register-id'!B:I, 8, FALSE), "Not found path.")</f>
        <v>1.0.0</v>
      </c>
      <c r="J625" s="3" t="s">
        <v>4841</v>
      </c>
      <c r="K625" s="31" t="s">
        <v>48</v>
      </c>
      <c r="L625" s="23" t="s">
        <v>61</v>
      </c>
      <c r="M625" s="3" t="s">
        <v>1665</v>
      </c>
      <c r="N625" s="3" t="str">
        <f t="shared" si="1"/>
        <v>PUT /experience/payments/paymentOrder/v1/transactionAssigment/control</v>
      </c>
      <c r="O625" s="32" t="s">
        <v>1666</v>
      </c>
      <c r="P625" s="32"/>
      <c r="Q625" s="61" t="s">
        <v>98</v>
      </c>
      <c r="R625" s="31" t="s">
        <v>56</v>
      </c>
      <c r="S625" s="38" t="str">
        <f t="shared" si="2"/>
        <v>https://github.com/SF-Bancoppel/mx-api-bc-rec-payment-order</v>
      </c>
      <c r="T625" s="40"/>
      <c r="U625" s="40"/>
      <c r="V625" s="40"/>
      <c r="W625" s="40"/>
      <c r="X625" s="40"/>
      <c r="Y625" s="40"/>
      <c r="Z625" s="40"/>
      <c r="AA625" s="40"/>
      <c r="AB625" s="40"/>
    </row>
    <row r="626" ht="18.75" customHeight="1">
      <c r="A626" s="18" t="str">
        <f t="array" ref="A626">IFERROR(
  INDEX(
    'api-register-id'!A:A,
    MATCH(F626, 'api-register-id'!B:B, 0)
  ),
  "Not found Organization"
)</f>
        <v>SSFF</v>
      </c>
      <c r="B626" s="22" t="str">
        <f>IFERROR(VLOOKUP(F626, 'api-register-id'!B:F, 4, FALSE), "Not found path.")</f>
        <v>mx-api-bc-rec-payment-order</v>
      </c>
      <c r="C626" s="23" t="s">
        <v>112</v>
      </c>
      <c r="D626" s="23" t="s">
        <v>1417</v>
      </c>
      <c r="E626" s="24" t="str">
        <f>IFERROR(VLOOKUP(F626, 'api-register-id'!B:F, 5, FALSE), "Not found path.")</f>
        <v>APIMX000142</v>
      </c>
      <c r="F626" s="25" t="s">
        <v>1698</v>
      </c>
      <c r="G626" s="26" t="s">
        <v>4848</v>
      </c>
      <c r="H626" s="3" t="s">
        <v>4849</v>
      </c>
      <c r="I626" s="29" t="str">
        <f>IFERROR(VLOOKUP(F626, 'api-register-id'!B:I, 8, FALSE), "Not found path.")</f>
        <v>1.0.0</v>
      </c>
      <c r="J626" s="3" t="s">
        <v>4841</v>
      </c>
      <c r="K626" s="31" t="s">
        <v>48</v>
      </c>
      <c r="L626" s="23" t="s">
        <v>49</v>
      </c>
      <c r="M626" s="3" t="s">
        <v>1693</v>
      </c>
      <c r="N626" s="3" t="str">
        <f t="shared" si="1"/>
        <v>POST /experience/payments/paymentOrder/v1/withdrawals/initiate</v>
      </c>
      <c r="O626" s="32" t="s">
        <v>1694</v>
      </c>
      <c r="P626" s="32"/>
      <c r="Q626" s="61" t="s">
        <v>98</v>
      </c>
      <c r="R626" s="31" t="s">
        <v>56</v>
      </c>
      <c r="S626" s="38" t="str">
        <f t="shared" si="2"/>
        <v>https://github.com/SF-Bancoppel/mx-api-bc-rec-payment-order</v>
      </c>
      <c r="T626" s="40"/>
      <c r="U626" s="40"/>
      <c r="V626" s="40"/>
      <c r="W626" s="40"/>
      <c r="X626" s="40"/>
      <c r="Y626" s="40"/>
      <c r="Z626" s="40"/>
      <c r="AA626" s="40"/>
      <c r="AB626" s="40"/>
    </row>
    <row r="627" ht="18.75" customHeight="1">
      <c r="A627" s="18" t="str">
        <f t="array" ref="A627">IFERROR(
  INDEX(
    'api-register-id'!A:A,
    MATCH(F627, 'api-register-id'!B:B, 0)
  ),
  "Not found Organization"
)</f>
        <v>SSFF</v>
      </c>
      <c r="B627" s="22" t="str">
        <f>IFERROR(VLOOKUP(F627, 'api-register-id'!B:F, 4, FALSE), "Not found path.")</f>
        <v>mx-api-bc-rec-payment-rail-operations</v>
      </c>
      <c r="C627" s="23" t="s">
        <v>112</v>
      </c>
      <c r="D627" s="23" t="s">
        <v>1417</v>
      </c>
      <c r="E627" s="24" t="str">
        <f>IFERROR(VLOOKUP(F627, 'api-register-id'!B:F, 5, FALSE), "Not found path.")</f>
        <v>APIMX000143</v>
      </c>
      <c r="F627" s="25" t="s">
        <v>1709</v>
      </c>
      <c r="G627" s="26" t="s">
        <v>4850</v>
      </c>
      <c r="H627" s="3" t="s">
        <v>4851</v>
      </c>
      <c r="I627" s="29" t="str">
        <f>IFERROR(VLOOKUP(F627, 'api-register-id'!B:I, 8, FALSE), "Not found path.")</f>
        <v>1.0.0</v>
      </c>
      <c r="J627" s="3" t="s">
        <v>4852</v>
      </c>
      <c r="K627" s="31" t="s">
        <v>48</v>
      </c>
      <c r="L627" s="23" t="s">
        <v>49</v>
      </c>
      <c r="M627" s="3" t="s">
        <v>1706</v>
      </c>
      <c r="N627" s="3" t="str">
        <f t="shared" si="1"/>
        <v>POST /experience/clearingAndSettlement/paymentRailOperations/v1/thirdPartyPayments/retrieve</v>
      </c>
      <c r="O627" s="32" t="s">
        <v>1707</v>
      </c>
      <c r="P627" s="32" t="s">
        <v>4853</v>
      </c>
      <c r="Q627" s="61" t="s">
        <v>98</v>
      </c>
      <c r="R627" s="31" t="s">
        <v>56</v>
      </c>
      <c r="S627" s="38" t="str">
        <f t="shared" si="2"/>
        <v>https://github.com/SF-Bancoppel/mx-api-bc-rec-payment-rail-operations</v>
      </c>
      <c r="T627" s="40"/>
      <c r="U627" s="40"/>
      <c r="V627" s="40"/>
      <c r="W627" s="40"/>
      <c r="X627" s="40"/>
      <c r="Y627" s="40"/>
      <c r="Z627" s="40"/>
      <c r="AA627" s="40"/>
      <c r="AB627" s="40"/>
    </row>
    <row r="628" ht="18.75" customHeight="1">
      <c r="A628" s="18" t="str">
        <f t="array" ref="A628">IFERROR(
  INDEX(
    'api-register-id'!A:A,
    MATCH(F628, 'api-register-id'!B:B, 0)
  ),
  "Not found Organization"
)</f>
        <v>SSFF</v>
      </c>
      <c r="B628" s="22" t="str">
        <f>IFERROR(VLOOKUP(F628, 'api-register-id'!B:F, 4, FALSE), "Not found path.")</f>
        <v>mx-api-bc-rec-position-keeping</v>
      </c>
      <c r="C628" s="23" t="s">
        <v>112</v>
      </c>
      <c r="D628" s="23" t="s">
        <v>1417</v>
      </c>
      <c r="E628" s="24" t="str">
        <f>IFERROR(VLOOKUP(F628, 'api-register-id'!B:F, 5, FALSE), "Not found path.")</f>
        <v>APIMX000144</v>
      </c>
      <c r="F628" s="25" t="s">
        <v>1722</v>
      </c>
      <c r="G628" s="26" t="s">
        <v>4854</v>
      </c>
      <c r="H628" s="3" t="s">
        <v>4855</v>
      </c>
      <c r="I628" s="29" t="str">
        <f>IFERROR(VLOOKUP(F628, 'api-register-id'!B:I, 8, FALSE), "Not found path.")</f>
        <v>1.0.0</v>
      </c>
      <c r="J628" s="3" t="s">
        <v>4856</v>
      </c>
      <c r="K628" s="31" t="s">
        <v>48</v>
      </c>
      <c r="L628" s="23" t="s">
        <v>428</v>
      </c>
      <c r="M628" s="3" t="s">
        <v>1720</v>
      </c>
      <c r="N628" s="3" t="str">
        <f t="shared" si="1"/>
        <v>PATCH /experience/accountManagement/positionKeeping/v1/statementFacility/update</v>
      </c>
      <c r="O628" s="32" t="s">
        <v>1721</v>
      </c>
      <c r="P628" s="32"/>
      <c r="Q628" s="61" t="s">
        <v>98</v>
      </c>
      <c r="R628" s="31" t="s">
        <v>56</v>
      </c>
      <c r="S628" s="38" t="str">
        <f t="shared" si="2"/>
        <v>https://github.com/SF-Bancoppel/mx-api-bc-rec-position-keeping</v>
      </c>
      <c r="T628" s="40"/>
      <c r="U628" s="40"/>
      <c r="V628" s="40"/>
      <c r="W628" s="40"/>
      <c r="X628" s="40"/>
      <c r="Y628" s="40"/>
      <c r="Z628" s="40"/>
      <c r="AA628" s="40"/>
      <c r="AB628" s="40"/>
    </row>
    <row r="629" ht="18.75" customHeight="1">
      <c r="A629" s="18" t="str">
        <f t="array" ref="A629">IFERROR(
  INDEX(
    'api-register-id'!A:A,
    MATCH(F629, 'api-register-id'!B:B, 0)
  ),
  "Not found Organization"
)</f>
        <v>SSFF</v>
      </c>
      <c r="B629" s="22" t="str">
        <f>IFERROR(VLOOKUP(F629, 'api-register-id'!B:F, 4, FALSE), "Not found path.")</f>
        <v>mx-api-bc-rec-product-directory</v>
      </c>
      <c r="C629" s="23" t="s">
        <v>112</v>
      </c>
      <c r="D629" s="23" t="s">
        <v>1417</v>
      </c>
      <c r="E629" s="24" t="str">
        <f>IFERROR(VLOOKUP(F629, 'api-register-id'!B:F, 5, FALSE), "Not found path.")</f>
        <v>APIMX000145</v>
      </c>
      <c r="F629" s="25" t="s">
        <v>1734</v>
      </c>
      <c r="G629" s="26" t="s">
        <v>4857</v>
      </c>
      <c r="H629" s="3" t="s">
        <v>4858</v>
      </c>
      <c r="I629" s="29" t="str">
        <f>IFERROR(VLOOKUP(F629, 'api-register-id'!B:I, 8, FALSE), "Not found path.")</f>
        <v>1.0.0</v>
      </c>
      <c r="J629" s="3" t="s">
        <v>4859</v>
      </c>
      <c r="K629" s="31" t="s">
        <v>48</v>
      </c>
      <c r="L629" s="23" t="s">
        <v>49</v>
      </c>
      <c r="M629" s="3" t="s">
        <v>1732</v>
      </c>
      <c r="N629" s="3" t="str">
        <f t="shared" si="1"/>
        <v>POST /experience/productManagement/productDirectory/v1/productDirectoryEntry/retrieve</v>
      </c>
      <c r="O629" s="32" t="s">
        <v>1733</v>
      </c>
      <c r="P629" s="32"/>
      <c r="Q629" s="61" t="s">
        <v>98</v>
      </c>
      <c r="R629" s="31" t="s">
        <v>56</v>
      </c>
      <c r="S629" s="38" t="str">
        <f t="shared" si="2"/>
        <v>https://github.com/SF-Bancoppel/mx-api-bc-rec-product-directory</v>
      </c>
      <c r="T629" s="40"/>
      <c r="U629" s="40"/>
      <c r="V629" s="40"/>
      <c r="W629" s="40"/>
      <c r="X629" s="40"/>
      <c r="Y629" s="40"/>
      <c r="Z629" s="40"/>
      <c r="AA629" s="40"/>
      <c r="AB629" s="40"/>
    </row>
    <row r="630" ht="18.75" customHeight="1">
      <c r="A630" s="18" t="str">
        <f t="array" ref="A630">IFERROR(
  INDEX(
    'api-register-id'!A:A,
    MATCH(F630, 'api-register-id'!B:B, 0)
  ),
  "Not found Organization"
)</f>
        <v>SSFF</v>
      </c>
      <c r="B630" s="22" t="str">
        <f>IFERROR(VLOOKUP(F630, 'api-register-id'!B:F, 4, FALSE), "Not found path.")</f>
        <v>mx-api-bc-rec-reference-data</v>
      </c>
      <c r="C630" s="23" t="s">
        <v>112</v>
      </c>
      <c r="D630" s="23" t="s">
        <v>1417</v>
      </c>
      <c r="E630" s="24" t="str">
        <f>IFERROR(VLOOKUP(F630, 'api-register-id'!B:F, 5, FALSE), "Not found path.")</f>
        <v>APIMX000146</v>
      </c>
      <c r="F630" s="25" t="s">
        <v>1744</v>
      </c>
      <c r="G630" s="26" t="s">
        <v>4860</v>
      </c>
      <c r="H630" s="3" t="s">
        <v>4861</v>
      </c>
      <c r="I630" s="29" t="str">
        <f>IFERROR(VLOOKUP(F630, 'api-register-id'!B:I, 8, FALSE), "Not found path.")</f>
        <v>1.6.0</v>
      </c>
      <c r="J630" s="3" t="s">
        <v>4448</v>
      </c>
      <c r="K630" s="31" t="s">
        <v>48</v>
      </c>
      <c r="L630" s="23" t="s">
        <v>108</v>
      </c>
      <c r="M630" s="3" t="s">
        <v>275</v>
      </c>
      <c r="N630" s="3" t="str">
        <f t="shared" si="1"/>
        <v>GET /experience/referenceData/v1/ocrDocument/retrieve</v>
      </c>
      <c r="O630" s="32" t="s">
        <v>277</v>
      </c>
      <c r="P630" s="32"/>
      <c r="Q630" s="61" t="s">
        <v>4862</v>
      </c>
      <c r="R630" s="31" t="s">
        <v>56</v>
      </c>
      <c r="S630" s="38" t="str">
        <f t="shared" si="2"/>
        <v>https://github.com/SF-Bancoppel/mx-api-bc-rec-reference-data</v>
      </c>
      <c r="T630" s="40"/>
      <c r="U630" s="40"/>
      <c r="V630" s="40"/>
      <c r="W630" s="40"/>
      <c r="X630" s="40"/>
      <c r="Y630" s="40"/>
      <c r="Z630" s="40"/>
      <c r="AA630" s="40"/>
      <c r="AB630" s="40"/>
    </row>
    <row r="631" ht="18.75" customHeight="1">
      <c r="A631" s="18" t="str">
        <f t="array" ref="A631">IFERROR(
  INDEX(
    'api-register-id'!A:A,
    MATCH(F631, 'api-register-id'!B:B, 0)
  ),
  "Not found Organization"
)</f>
        <v>SSFF</v>
      </c>
      <c r="B631" s="22" t="str">
        <f>IFERROR(VLOOKUP(F631, 'api-register-id'!B:F, 4, FALSE), "Not found path.")</f>
        <v>mx-api-bc-rec-reference-data</v>
      </c>
      <c r="C631" s="23" t="s">
        <v>112</v>
      </c>
      <c r="D631" s="23" t="s">
        <v>1417</v>
      </c>
      <c r="E631" s="24" t="str">
        <f>IFERROR(VLOOKUP(F631, 'api-register-id'!B:F, 5, FALSE), "Not found path.")</f>
        <v>APIMX000146</v>
      </c>
      <c r="F631" s="25" t="s">
        <v>1744</v>
      </c>
      <c r="G631" s="26" t="s">
        <v>4863</v>
      </c>
      <c r="H631" s="3" t="s">
        <v>4864</v>
      </c>
      <c r="I631" s="29" t="str">
        <f>IFERROR(VLOOKUP(F631, 'api-register-id'!B:I, 8, FALSE), "Not found path.")</f>
        <v>1.6.0</v>
      </c>
      <c r="J631" s="3" t="s">
        <v>4448</v>
      </c>
      <c r="K631" s="31" t="s">
        <v>48</v>
      </c>
      <c r="L631" s="23" t="s">
        <v>49</v>
      </c>
      <c r="M631" s="3" t="s">
        <v>286</v>
      </c>
      <c r="N631" s="3" t="str">
        <f t="shared" si="1"/>
        <v>POST /experience/referenceData/v1/onboardingPartySuitability/evaluate</v>
      </c>
      <c r="O631" s="32" t="s">
        <v>4865</v>
      </c>
      <c r="P631" s="32"/>
      <c r="Q631" s="61" t="s">
        <v>4866</v>
      </c>
      <c r="R631" s="31" t="s">
        <v>56</v>
      </c>
      <c r="S631" s="38" t="str">
        <f t="shared" si="2"/>
        <v>https://github.com/SF-Bancoppel/mx-api-bc-rec-reference-data</v>
      </c>
      <c r="T631" s="40"/>
      <c r="U631" s="40"/>
      <c r="V631" s="40"/>
      <c r="W631" s="40"/>
      <c r="X631" s="40"/>
      <c r="Y631" s="40"/>
      <c r="Z631" s="40"/>
      <c r="AA631" s="40"/>
      <c r="AB631" s="40"/>
    </row>
    <row r="632" ht="18.75" customHeight="1">
      <c r="A632" s="18" t="str">
        <f t="array" ref="A632">IFERROR(
  INDEX(
    'api-register-id'!A:A,
    MATCH(F632, 'api-register-id'!B:B, 0)
  ),
  "Not found Organization"
)</f>
        <v>SSFF</v>
      </c>
      <c r="B632" s="22" t="str">
        <f>IFERROR(VLOOKUP(F632, 'api-register-id'!B:F, 4, FALSE), "Not found path.")</f>
        <v>mx-api-bc-rec-reference-data</v>
      </c>
      <c r="C632" s="23" t="s">
        <v>112</v>
      </c>
      <c r="D632" s="23" t="s">
        <v>1417</v>
      </c>
      <c r="E632" s="24" t="str">
        <f>IFERROR(VLOOKUP(F632, 'api-register-id'!B:F, 5, FALSE), "Not found path.")</f>
        <v>APIMX000146</v>
      </c>
      <c r="F632" s="25" t="s">
        <v>1744</v>
      </c>
      <c r="G632" s="26" t="s">
        <v>4867</v>
      </c>
      <c r="H632" s="3" t="s">
        <v>4868</v>
      </c>
      <c r="I632" s="29" t="str">
        <f>IFERROR(VLOOKUP(F632, 'api-register-id'!B:I, 8, FALSE), "Not found path.")</f>
        <v>1.6.0</v>
      </c>
      <c r="J632" s="3" t="s">
        <v>4448</v>
      </c>
      <c r="K632" s="31" t="s">
        <v>48</v>
      </c>
      <c r="L632" s="23" t="s">
        <v>61</v>
      </c>
      <c r="M632" s="3" t="s">
        <v>4869</v>
      </c>
      <c r="N632" s="3" t="str">
        <f t="shared" si="1"/>
        <v>PUT /experience/referenceData/v1/onboardingParty/{sessionDialogueIdentification}/execute</v>
      </c>
      <c r="O632" s="32" t="s">
        <v>4870</v>
      </c>
      <c r="P632" s="32" t="s">
        <v>900</v>
      </c>
      <c r="Q632" s="61" t="s">
        <v>4871</v>
      </c>
      <c r="R632" s="31" t="s">
        <v>56</v>
      </c>
      <c r="S632" s="38" t="str">
        <f t="shared" si="2"/>
        <v>https://github.com/SF-Bancoppel/mx-api-bc-rec-reference-data</v>
      </c>
      <c r="T632" s="40"/>
      <c r="U632" s="40"/>
      <c r="V632" s="40"/>
      <c r="W632" s="40"/>
      <c r="X632" s="40"/>
      <c r="Y632" s="40"/>
      <c r="Z632" s="40"/>
      <c r="AA632" s="40"/>
      <c r="AB632" s="40"/>
    </row>
    <row r="633" ht="18.75" customHeight="1">
      <c r="A633" s="18" t="str">
        <f t="array" ref="A633">IFERROR(
  INDEX(
    'api-register-id'!A:A,
    MATCH(F633, 'api-register-id'!B:B, 0)
  ),
  "Not found Organization"
)</f>
        <v>SSFF</v>
      </c>
      <c r="B633" s="22" t="str">
        <f>IFERROR(VLOOKUP(F633, 'api-register-id'!B:F, 4, FALSE), "Not found path.")</f>
        <v>mx-api-bc-rec-reference-data</v>
      </c>
      <c r="C633" s="23" t="s">
        <v>112</v>
      </c>
      <c r="D633" s="23" t="s">
        <v>1417</v>
      </c>
      <c r="E633" s="24" t="str">
        <f>IFERROR(VLOOKUP(F633, 'api-register-id'!B:F, 5, FALSE), "Not found path.")</f>
        <v>APIMX000146</v>
      </c>
      <c r="F633" s="25" t="s">
        <v>1744</v>
      </c>
      <c r="G633" s="26" t="s">
        <v>4872</v>
      </c>
      <c r="H633" s="3" t="s">
        <v>4873</v>
      </c>
      <c r="I633" s="29" t="str">
        <f>IFERROR(VLOOKUP(F633, 'api-register-id'!B:I, 8, FALSE), "Not found path.")</f>
        <v>1.6.0</v>
      </c>
      <c r="J633" s="3" t="s">
        <v>4448</v>
      </c>
      <c r="K633" s="31" t="s">
        <v>48</v>
      </c>
      <c r="L633" s="23" t="s">
        <v>49</v>
      </c>
      <c r="M633" s="3" t="s">
        <v>292</v>
      </c>
      <c r="N633" s="3" t="str">
        <f t="shared" si="1"/>
        <v>POST /experience/referenceData/v1/reviewCustomerAccount/evaluate</v>
      </c>
      <c r="O633" s="32" t="s">
        <v>293</v>
      </c>
      <c r="P633" s="32"/>
      <c r="Q633" s="61" t="s">
        <v>98</v>
      </c>
      <c r="R633" s="31" t="s">
        <v>56</v>
      </c>
      <c r="S633" s="38" t="str">
        <f t="shared" si="2"/>
        <v>https://github.com/SF-Bancoppel/mx-api-bc-rec-reference-data</v>
      </c>
      <c r="T633" s="40"/>
      <c r="U633" s="40"/>
      <c r="V633" s="40"/>
      <c r="W633" s="40"/>
      <c r="X633" s="40"/>
      <c r="Y633" s="40"/>
      <c r="Z633" s="40"/>
      <c r="AA633" s="40"/>
      <c r="AB633" s="40"/>
    </row>
    <row r="634" ht="18.75" customHeight="1">
      <c r="A634" s="18" t="str">
        <f t="array" ref="A634">IFERROR(
  INDEX(
    'api-register-id'!A:A,
    MATCH(F634, 'api-register-id'!B:B, 0)
  ),
  "Not found Organization"
)</f>
        <v>SSFF</v>
      </c>
      <c r="B634" s="22" t="str">
        <f>IFERROR(VLOOKUP(F634, 'api-register-id'!B:F, 4, FALSE), "Not found path.")</f>
        <v>mx-api-bc-rec-reference-data</v>
      </c>
      <c r="C634" s="23" t="s">
        <v>112</v>
      </c>
      <c r="D634" s="23" t="s">
        <v>1417</v>
      </c>
      <c r="E634" s="24" t="str">
        <f>IFERROR(VLOOKUP(F634, 'api-register-id'!B:F, 5, FALSE), "Not found path.")</f>
        <v>APIMX000146</v>
      </c>
      <c r="F634" s="25" t="s">
        <v>1744</v>
      </c>
      <c r="G634" s="26" t="s">
        <v>4874</v>
      </c>
      <c r="H634" s="3" t="s">
        <v>4875</v>
      </c>
      <c r="I634" s="29" t="str">
        <f>IFERROR(VLOOKUP(F634, 'api-register-id'!B:I, 8, FALSE), "Not found path.")</f>
        <v>1.6.0</v>
      </c>
      <c r="J634" s="3" t="s">
        <v>4448</v>
      </c>
      <c r="K634" s="31" t="s">
        <v>48</v>
      </c>
      <c r="L634" s="23" t="s">
        <v>49</v>
      </c>
      <c r="M634" s="3" t="s">
        <v>302</v>
      </c>
      <c r="N634" s="3" t="str">
        <f t="shared" si="1"/>
        <v>POST /experience/referenceData/v1/generateParty/register</v>
      </c>
      <c r="O634" s="32" t="s">
        <v>303</v>
      </c>
      <c r="P634" s="32"/>
      <c r="Q634" s="61" t="s">
        <v>98</v>
      </c>
      <c r="R634" s="31" t="s">
        <v>56</v>
      </c>
      <c r="S634" s="38" t="str">
        <f t="shared" si="2"/>
        <v>https://github.com/SF-Bancoppel/mx-api-bc-rec-reference-data</v>
      </c>
      <c r="T634" s="40"/>
      <c r="U634" s="40"/>
      <c r="V634" s="40"/>
      <c r="W634" s="40"/>
      <c r="X634" s="40"/>
      <c r="Y634" s="40"/>
      <c r="Z634" s="40"/>
      <c r="AA634" s="40"/>
      <c r="AB634" s="40"/>
    </row>
    <row r="635" ht="18.75" customHeight="1">
      <c r="A635" s="18" t="str">
        <f t="array" ref="A635">IFERROR(
  INDEX(
    'api-register-id'!A:A,
    MATCH(F635, 'api-register-id'!B:B, 0)
  ),
  "Not found Organization"
)</f>
        <v>SSFF</v>
      </c>
      <c r="B635" s="22" t="str">
        <f>IFERROR(VLOOKUP(F635, 'api-register-id'!B:F, 4, FALSE), "Not found path.")</f>
        <v>mx-api-bc-rec-reference-data</v>
      </c>
      <c r="C635" s="23" t="s">
        <v>112</v>
      </c>
      <c r="D635" s="23" t="s">
        <v>1417</v>
      </c>
      <c r="E635" s="24" t="str">
        <f>IFERROR(VLOOKUP(F635, 'api-register-id'!B:F, 5, FALSE), "Not found path.")</f>
        <v>APIMX000146</v>
      </c>
      <c r="F635" s="25" t="s">
        <v>1744</v>
      </c>
      <c r="G635" s="26" t="s">
        <v>4876</v>
      </c>
      <c r="H635" s="3" t="s">
        <v>4877</v>
      </c>
      <c r="I635" s="29" t="str">
        <f>IFERROR(VLOOKUP(F635, 'api-register-id'!B:I, 8, FALSE), "Not found path.")</f>
        <v>1.6.0</v>
      </c>
      <c r="J635" s="3" t="s">
        <v>4448</v>
      </c>
      <c r="K635" s="31" t="s">
        <v>48</v>
      </c>
      <c r="L635" s="23" t="s">
        <v>49</v>
      </c>
      <c r="M635" s="3" t="s">
        <v>308</v>
      </c>
      <c r="N635" s="3" t="str">
        <f t="shared" si="1"/>
        <v>POST /experience/referenceData/v1/retrievePaymentBalances/retrieve</v>
      </c>
      <c r="O635" s="32" t="s">
        <v>309</v>
      </c>
      <c r="P635" s="32" t="s">
        <v>310</v>
      </c>
      <c r="Q635" s="61" t="s">
        <v>98</v>
      </c>
      <c r="R635" s="31" t="s">
        <v>56</v>
      </c>
      <c r="S635" s="38" t="str">
        <f t="shared" si="2"/>
        <v>https://github.com/SF-Bancoppel/mx-api-bc-rec-reference-data</v>
      </c>
      <c r="T635" s="40"/>
      <c r="U635" s="40"/>
      <c r="V635" s="40"/>
      <c r="W635" s="40"/>
      <c r="X635" s="40"/>
      <c r="Y635" s="40"/>
      <c r="Z635" s="40"/>
      <c r="AA635" s="40"/>
      <c r="AB635" s="40"/>
    </row>
    <row r="636" ht="18.75" customHeight="1">
      <c r="A636" s="18" t="str">
        <f t="array" ref="A636">IFERROR(
  INDEX(
    'api-register-id'!A:A,
    MATCH(F636, 'api-register-id'!B:B, 0)
  ),
  "Not found Organization"
)</f>
        <v>SSFF</v>
      </c>
      <c r="B636" s="22" t="str">
        <f>IFERROR(VLOOKUP(F636, 'api-register-id'!B:F, 4, FALSE), "Not found path.")</f>
        <v>mx-api-bc-rec-reference-data</v>
      </c>
      <c r="C636" s="23" t="s">
        <v>112</v>
      </c>
      <c r="D636" s="23" t="s">
        <v>1417</v>
      </c>
      <c r="E636" s="24" t="str">
        <f>IFERROR(VLOOKUP(F636, 'api-register-id'!B:F, 5, FALSE), "Not found path.")</f>
        <v>APIMX000146</v>
      </c>
      <c r="F636" s="25" t="s">
        <v>1744</v>
      </c>
      <c r="G636" s="26" t="s">
        <v>4878</v>
      </c>
      <c r="H636" s="3" t="s">
        <v>4879</v>
      </c>
      <c r="I636" s="29" t="str">
        <f>IFERROR(VLOOKUP(F636, 'api-register-id'!B:I, 8, FALSE), "Not found path.")</f>
        <v>1.6.0</v>
      </c>
      <c r="J636" s="3" t="s">
        <v>4448</v>
      </c>
      <c r="K636" s="31" t="s">
        <v>48</v>
      </c>
      <c r="L636" s="23" t="s">
        <v>49</v>
      </c>
      <c r="M636" s="3" t="s">
        <v>327</v>
      </c>
      <c r="N636" s="3" t="str">
        <f t="shared" si="1"/>
        <v>POST /experience/referenceData/v1/customer/retrieve</v>
      </c>
      <c r="O636" s="32" t="s">
        <v>328</v>
      </c>
      <c r="P636" s="32"/>
      <c r="Q636" s="61" t="s">
        <v>4880</v>
      </c>
      <c r="R636" s="31" t="s">
        <v>56</v>
      </c>
      <c r="S636" s="38" t="str">
        <f t="shared" si="2"/>
        <v>https://github.com/SF-Bancoppel/mx-api-bc-rec-reference-data</v>
      </c>
      <c r="T636" s="40"/>
      <c r="U636" s="40"/>
      <c r="V636" s="40"/>
      <c r="W636" s="40"/>
      <c r="X636" s="40"/>
      <c r="Y636" s="40"/>
      <c r="Z636" s="40"/>
      <c r="AA636" s="40"/>
      <c r="AB636" s="40"/>
    </row>
    <row r="637" ht="18.75" customHeight="1">
      <c r="A637" s="18" t="str">
        <f t="array" ref="A637">IFERROR(
  INDEX(
    'api-register-id'!A:A,
    MATCH(F637, 'api-register-id'!B:B, 0)
  ),
  "Not found Organization"
)</f>
        <v>SSFF</v>
      </c>
      <c r="B637" s="22" t="str">
        <f>IFERROR(VLOOKUP(F637, 'api-register-id'!B:F, 4, FALSE), "Not found path.")</f>
        <v>mx-api-bc-rec-reference-data</v>
      </c>
      <c r="C637" s="23" t="s">
        <v>112</v>
      </c>
      <c r="D637" s="23" t="s">
        <v>1417</v>
      </c>
      <c r="E637" s="24" t="str">
        <f>IFERROR(VLOOKUP(F637, 'api-register-id'!B:F, 5, FALSE), "Not found path.")</f>
        <v>APIMX000146</v>
      </c>
      <c r="F637" s="25" t="s">
        <v>1744</v>
      </c>
      <c r="G637" s="26" t="s">
        <v>4881</v>
      </c>
      <c r="H637" s="3" t="s">
        <v>4882</v>
      </c>
      <c r="I637" s="29" t="str">
        <f>IFERROR(VLOOKUP(F637, 'api-register-id'!B:I, 8, FALSE), "Not found path.")</f>
        <v>1.6.0</v>
      </c>
      <c r="J637" s="3" t="s">
        <v>4448</v>
      </c>
      <c r="K637" s="31" t="s">
        <v>48</v>
      </c>
      <c r="L637" s="23" t="s">
        <v>49</v>
      </c>
      <c r="M637" s="3" t="s">
        <v>337</v>
      </c>
      <c r="N637" s="3" t="str">
        <f t="shared" si="1"/>
        <v>POST /experience/referenceData/v1/customerCard/retrieve</v>
      </c>
      <c r="O637" s="32" t="s">
        <v>338</v>
      </c>
      <c r="P637" s="32"/>
      <c r="Q637" s="61" t="s">
        <v>98</v>
      </c>
      <c r="R637" s="31" t="s">
        <v>56</v>
      </c>
      <c r="S637" s="38" t="str">
        <f t="shared" si="2"/>
        <v>https://github.com/SF-Bancoppel/mx-api-bc-rec-reference-data</v>
      </c>
      <c r="T637" s="40"/>
      <c r="U637" s="40"/>
      <c r="V637" s="40"/>
      <c r="W637" s="40"/>
      <c r="X637" s="40"/>
      <c r="Y637" s="40"/>
      <c r="Z637" s="40"/>
      <c r="AA637" s="40"/>
      <c r="AB637" s="40"/>
    </row>
    <row r="638" ht="18.75" customHeight="1">
      <c r="A638" s="18" t="str">
        <f t="array" ref="A638">IFERROR(
  INDEX(
    'api-register-id'!A:A,
    MATCH(F638, 'api-register-id'!B:B, 0)
  ),
  "Not found Organization"
)</f>
        <v>SSFF</v>
      </c>
      <c r="B638" s="22" t="str">
        <f>IFERROR(VLOOKUP(F638, 'api-register-id'!B:F, 4, FALSE), "Not found path.")</f>
        <v>mx-api-bc-rec-reference-data</v>
      </c>
      <c r="C638" s="23" t="s">
        <v>112</v>
      </c>
      <c r="D638" s="23" t="s">
        <v>1417</v>
      </c>
      <c r="E638" s="24" t="str">
        <f>IFERROR(VLOOKUP(F638, 'api-register-id'!B:F, 5, FALSE), "Not found path.")</f>
        <v>APIMX000146</v>
      </c>
      <c r="F638" s="25" t="s">
        <v>1744</v>
      </c>
      <c r="G638" s="26" t="s">
        <v>4883</v>
      </c>
      <c r="H638" s="3" t="s">
        <v>4884</v>
      </c>
      <c r="I638" s="29" t="str">
        <f>IFERROR(VLOOKUP(F638, 'api-register-id'!B:I, 8, FALSE), "Not found path.")</f>
        <v>1.6.0</v>
      </c>
      <c r="J638" s="3" t="s">
        <v>4448</v>
      </c>
      <c r="K638" s="31" t="s">
        <v>48</v>
      </c>
      <c r="L638" s="23" t="s">
        <v>49</v>
      </c>
      <c r="M638" s="3" t="s">
        <v>346</v>
      </c>
      <c r="N638" s="3" t="str">
        <f t="shared" si="1"/>
        <v>POST /experience/referenceData/v1/lifeInsurance/retrieve</v>
      </c>
      <c r="O638" s="32" t="s">
        <v>348</v>
      </c>
      <c r="P638" s="32"/>
      <c r="Q638" s="61" t="s">
        <v>98</v>
      </c>
      <c r="R638" s="31" t="s">
        <v>56</v>
      </c>
      <c r="S638" s="38" t="str">
        <f t="shared" si="2"/>
        <v>https://github.com/SF-Bancoppel/mx-api-bc-rec-reference-data</v>
      </c>
      <c r="T638" s="40"/>
      <c r="U638" s="40"/>
      <c r="V638" s="40"/>
      <c r="W638" s="40"/>
      <c r="X638" s="40"/>
      <c r="Y638" s="40"/>
      <c r="Z638" s="40"/>
      <c r="AA638" s="40"/>
      <c r="AB638" s="40"/>
    </row>
    <row r="639" ht="18.75" customHeight="1">
      <c r="A639" s="18" t="str">
        <f t="array" ref="A639">IFERROR(
  INDEX(
    'api-register-id'!A:A,
    MATCH(F639, 'api-register-id'!B:B, 0)
  ),
  "Not found Organization"
)</f>
        <v>SSFF</v>
      </c>
      <c r="B639" s="22" t="str">
        <f>IFERROR(VLOOKUP(F639, 'api-register-id'!B:F, 4, FALSE), "Not found path.")</f>
        <v>mx-api-bc-rec-remittances</v>
      </c>
      <c r="C639" s="23" t="s">
        <v>112</v>
      </c>
      <c r="D639" s="23" t="s">
        <v>1417</v>
      </c>
      <c r="E639" s="24" t="str">
        <f>IFERROR(VLOOKUP(F639, 'api-register-id'!B:F, 5, FALSE), "Not found path.")</f>
        <v>APIMX000147</v>
      </c>
      <c r="F639" s="25" t="s">
        <v>1755</v>
      </c>
      <c r="G639" s="26" t="s">
        <v>4885</v>
      </c>
      <c r="H639" s="3" t="s">
        <v>4886</v>
      </c>
      <c r="I639" s="29" t="str">
        <f>IFERROR(VLOOKUP(F639, 'api-register-id'!B:I, 8, FALSE), "Not found path.")</f>
        <v>1.0.0</v>
      </c>
      <c r="J639" s="3" t="s">
        <v>4887</v>
      </c>
      <c r="K639" s="31" t="s">
        <v>48</v>
      </c>
      <c r="L639" s="23" t="s">
        <v>49</v>
      </c>
      <c r="M639" s="3" t="s">
        <v>1824</v>
      </c>
      <c r="N639" s="3" t="str">
        <f t="shared" si="1"/>
        <v>POST /experience/clearingAndSettlement/remittances/v1/remittancesFacility/retrieve</v>
      </c>
      <c r="O639" s="32" t="s">
        <v>1825</v>
      </c>
      <c r="P639" s="32" t="s">
        <v>4888</v>
      </c>
      <c r="Q639" s="61" t="s">
        <v>98</v>
      </c>
      <c r="R639" s="31" t="s">
        <v>56</v>
      </c>
      <c r="S639" s="38" t="str">
        <f t="shared" si="2"/>
        <v>https://github.com/SF-Bancoppel/mx-api-bc-rec-remittances</v>
      </c>
      <c r="T639" s="40"/>
      <c r="U639" s="40"/>
      <c r="V639" s="40"/>
      <c r="W639" s="40"/>
      <c r="X639" s="40"/>
      <c r="Y639" s="40"/>
      <c r="Z639" s="40"/>
      <c r="AA639" s="40"/>
      <c r="AB639" s="40"/>
    </row>
    <row r="640" ht="18.75" customHeight="1">
      <c r="A640" s="18" t="str">
        <f t="array" ref="A640">IFERROR(
  INDEX(
    'api-register-id'!A:A,
    MATCH(F640, 'api-register-id'!B:B, 0)
  ),
  "Not found Organization"
)</f>
        <v>SSFF</v>
      </c>
      <c r="B640" s="22" t="str">
        <f>IFERROR(VLOOKUP(F640, 'api-register-id'!B:F, 4, FALSE), "Not found path.")</f>
        <v>mx-api-bc-rec-sales-and-service</v>
      </c>
      <c r="C640" s="23" t="s">
        <v>112</v>
      </c>
      <c r="D640" s="23" t="s">
        <v>1417</v>
      </c>
      <c r="E640" s="24" t="str">
        <f>IFERROR(VLOOKUP(F640, 'api-register-id'!B:F, 5, FALSE), "Not found path.")</f>
        <v>APIMX000148</v>
      </c>
      <c r="F640" s="25" t="s">
        <v>1764</v>
      </c>
      <c r="G640" s="26" t="s">
        <v>4889</v>
      </c>
      <c r="H640" s="3" t="s">
        <v>4890</v>
      </c>
      <c r="I640" s="29" t="str">
        <f>IFERROR(VLOOKUP(F640, 'api-register-id'!B:I, 8, FALSE), "Not found path.")</f>
        <v>1.13.0</v>
      </c>
      <c r="J640" s="3" t="s">
        <v>4891</v>
      </c>
      <c r="K640" s="23" t="s">
        <v>48</v>
      </c>
      <c r="L640" s="23" t="s">
        <v>49</v>
      </c>
      <c r="M640" s="3" t="s">
        <v>353</v>
      </c>
      <c r="N640" s="3" t="str">
        <f t="shared" si="1"/>
        <v>POST /experience/salesAndService/v1/onBoardingParty/initiate</v>
      </c>
      <c r="O640" s="32" t="s">
        <v>4892</v>
      </c>
      <c r="P640" s="32"/>
      <c r="Q640" s="61" t="s">
        <v>4893</v>
      </c>
      <c r="R640" s="31" t="s">
        <v>56</v>
      </c>
      <c r="S640" s="38" t="str">
        <f t="shared" si="2"/>
        <v>https://github.com/SF-Bancoppel/mx-api-bc-rec-sales-and-service</v>
      </c>
      <c r="T640" s="40"/>
      <c r="U640" s="40"/>
      <c r="V640" s="40"/>
      <c r="W640" s="40"/>
      <c r="X640" s="40"/>
      <c r="Y640" s="40"/>
      <c r="Z640" s="40"/>
      <c r="AA640" s="40"/>
      <c r="AB640" s="40"/>
    </row>
    <row r="641" ht="18.75" customHeight="1">
      <c r="A641" s="18" t="str">
        <f t="array" ref="A641">IFERROR(
  INDEX(
    'api-register-id'!A:A,
    MATCH(F641, 'api-register-id'!B:B, 0)
  ),
  "Not found Organization"
)</f>
        <v>SSFF</v>
      </c>
      <c r="B641" s="22" t="str">
        <f>IFERROR(VLOOKUP(F641, 'api-register-id'!B:F, 4, FALSE), "Not found path.")</f>
        <v>mx-api-bc-rec-sales-and-service</v>
      </c>
      <c r="C641" s="23" t="s">
        <v>112</v>
      </c>
      <c r="D641" s="23" t="s">
        <v>1417</v>
      </c>
      <c r="E641" s="24" t="str">
        <f>IFERROR(VLOOKUP(F641, 'api-register-id'!B:F, 5, FALSE), "Not found path.")</f>
        <v>APIMX000148</v>
      </c>
      <c r="F641" s="25" t="s">
        <v>1764</v>
      </c>
      <c r="G641" s="26" t="s">
        <v>4894</v>
      </c>
      <c r="H641" s="3" t="s">
        <v>4895</v>
      </c>
      <c r="I641" s="29" t="str">
        <f>IFERROR(VLOOKUP(F641, 'api-register-id'!B:I, 8, FALSE), "Not found path.")</f>
        <v>1.13.0</v>
      </c>
      <c r="J641" s="3" t="s">
        <v>4891</v>
      </c>
      <c r="K641" s="31" t="s">
        <v>48</v>
      </c>
      <c r="L641" s="23" t="s">
        <v>49</v>
      </c>
      <c r="M641" s="3" t="s">
        <v>362</v>
      </c>
      <c r="N641" s="3" t="str">
        <f t="shared" si="1"/>
        <v>POST /experience/salesAndService/v1/onBoardingPhoneParty/evaluate</v>
      </c>
      <c r="O641" s="32" t="s">
        <v>363</v>
      </c>
      <c r="P641" s="32"/>
      <c r="Q641" s="61" t="s">
        <v>4896</v>
      </c>
      <c r="R641" s="31" t="s">
        <v>56</v>
      </c>
      <c r="S641" s="38" t="str">
        <f t="shared" si="2"/>
        <v>https://github.com/SF-Bancoppel/mx-api-bc-rec-sales-and-service</v>
      </c>
      <c r="T641" s="40"/>
      <c r="U641" s="40"/>
      <c r="V641" s="40"/>
      <c r="W641" s="40"/>
      <c r="X641" s="40"/>
      <c r="Y641" s="40"/>
      <c r="Z641" s="40"/>
      <c r="AA641" s="40"/>
      <c r="AB641" s="40"/>
    </row>
    <row r="642" ht="18.75" customHeight="1">
      <c r="A642" s="18" t="str">
        <f t="array" ref="A642">IFERROR(
  INDEX(
    'api-register-id'!A:A,
    MATCH(F642, 'api-register-id'!B:B, 0)
  ),
  "Not found Organization"
)</f>
        <v>SSFF</v>
      </c>
      <c r="B642" s="22" t="str">
        <f>IFERROR(VLOOKUP(F642, 'api-register-id'!B:F, 4, FALSE), "Not found path.")</f>
        <v>mx-api-bc-rec-sales-and-service</v>
      </c>
      <c r="C642" s="23" t="s">
        <v>112</v>
      </c>
      <c r="D642" s="23" t="s">
        <v>1417</v>
      </c>
      <c r="E642" s="24" t="str">
        <f>IFERROR(VLOOKUP(F642, 'api-register-id'!B:F, 5, FALSE), "Not found path.")</f>
        <v>APIMX000148</v>
      </c>
      <c r="F642" s="25" t="s">
        <v>1764</v>
      </c>
      <c r="G642" s="26" t="s">
        <v>4897</v>
      </c>
      <c r="H642" s="3" t="s">
        <v>4898</v>
      </c>
      <c r="I642" s="29" t="str">
        <f>IFERROR(VLOOKUP(F642, 'api-register-id'!B:I, 8, FALSE), "Not found path.")</f>
        <v>1.13.0</v>
      </c>
      <c r="J642" s="3" t="s">
        <v>4891</v>
      </c>
      <c r="K642" s="31" t="s">
        <v>48</v>
      </c>
      <c r="L642" s="23" t="s">
        <v>49</v>
      </c>
      <c r="M642" s="3" t="s">
        <v>436</v>
      </c>
      <c r="N642" s="3" t="str">
        <f t="shared" si="1"/>
        <v>POST /experience/salesAndService/v1/onBoardingEmailParty/evaluate</v>
      </c>
      <c r="O642" s="32" t="s">
        <v>4899</v>
      </c>
      <c r="P642" s="32"/>
      <c r="Q642" s="61" t="s">
        <v>4900</v>
      </c>
      <c r="R642" s="31" t="s">
        <v>56</v>
      </c>
      <c r="S642" s="38" t="str">
        <f t="shared" si="2"/>
        <v>https://github.com/SF-Bancoppel/mx-api-bc-rec-sales-and-service</v>
      </c>
      <c r="T642" s="40"/>
      <c r="U642" s="40"/>
      <c r="V642" s="40"/>
      <c r="W642" s="40"/>
      <c r="X642" s="40"/>
      <c r="Y642" s="40"/>
      <c r="Z642" s="40"/>
      <c r="AA642" s="40"/>
      <c r="AB642" s="40"/>
    </row>
    <row r="643" ht="18.75" customHeight="1">
      <c r="A643" s="18" t="str">
        <f t="array" ref="A643">IFERROR(
  INDEX(
    'api-register-id'!A:A,
    MATCH(F643, 'api-register-id'!B:B, 0)
  ),
  "Not found Organization"
)</f>
        <v>SSFF</v>
      </c>
      <c r="B643" s="22" t="str">
        <f>IFERROR(VLOOKUP(F643, 'api-register-id'!B:F, 4, FALSE), "Not found path.")</f>
        <v>mx-api-bc-rec-sales-and-service</v>
      </c>
      <c r="C643" s="23" t="s">
        <v>112</v>
      </c>
      <c r="D643" s="23" t="s">
        <v>1417</v>
      </c>
      <c r="E643" s="24" t="str">
        <f>IFERROR(VLOOKUP(F643, 'api-register-id'!B:F, 5, FALSE), "Not found path.")</f>
        <v>APIMX000148</v>
      </c>
      <c r="F643" s="25" t="s">
        <v>1764</v>
      </c>
      <c r="G643" s="26" t="s">
        <v>4901</v>
      </c>
      <c r="H643" s="3" t="s">
        <v>4902</v>
      </c>
      <c r="I643" s="29" t="str">
        <f>IFERROR(VLOOKUP(F643, 'api-register-id'!B:I, 8, FALSE), "Not found path.")</f>
        <v>1.13.0</v>
      </c>
      <c r="J643" s="3" t="s">
        <v>4891</v>
      </c>
      <c r="K643" s="31" t="s">
        <v>48</v>
      </c>
      <c r="L643" s="23" t="s">
        <v>61</v>
      </c>
      <c r="M643" s="3" t="s">
        <v>372</v>
      </c>
      <c r="N643" s="3" t="str">
        <f t="shared" si="1"/>
        <v>PUT /experience/salesAndService/v1/generateBiometricManagement/execute</v>
      </c>
      <c r="O643" s="32" t="s">
        <v>373</v>
      </c>
      <c r="P643" s="32"/>
      <c r="Q643" s="61" t="s">
        <v>98</v>
      </c>
      <c r="R643" s="31" t="s">
        <v>56</v>
      </c>
      <c r="S643" s="38" t="str">
        <f t="shared" si="2"/>
        <v>https://github.com/SF-Bancoppel/mx-api-bc-rec-sales-and-service</v>
      </c>
      <c r="T643" s="40"/>
      <c r="U643" s="40"/>
      <c r="V643" s="40"/>
      <c r="W643" s="40"/>
      <c r="X643" s="40"/>
      <c r="Y643" s="40"/>
      <c r="Z643" s="40"/>
      <c r="AA643" s="40"/>
      <c r="AB643" s="40"/>
    </row>
    <row r="644" ht="18.75" customHeight="1">
      <c r="A644" s="18" t="str">
        <f t="array" ref="A644">IFERROR(
  INDEX(
    'api-register-id'!A:A,
    MATCH(F644, 'api-register-id'!B:B, 0)
  ),
  "Not found Organization"
)</f>
        <v>SSFF</v>
      </c>
      <c r="B644" s="22" t="str">
        <f>IFERROR(VLOOKUP(F644, 'api-register-id'!B:F, 4, FALSE), "Not found path.")</f>
        <v>mx-api-bc-rec-sales-and-service</v>
      </c>
      <c r="C644" s="23" t="s">
        <v>112</v>
      </c>
      <c r="D644" s="23" t="s">
        <v>1417</v>
      </c>
      <c r="E644" s="24" t="str">
        <f>IFERROR(VLOOKUP(F644, 'api-register-id'!B:F, 5, FALSE), "Not found path.")</f>
        <v>APIMX000148</v>
      </c>
      <c r="F644" s="25" t="s">
        <v>1764</v>
      </c>
      <c r="G644" s="26" t="s">
        <v>4903</v>
      </c>
      <c r="H644" s="3" t="s">
        <v>4904</v>
      </c>
      <c r="I644" s="29" t="str">
        <f>IFERROR(VLOOKUP(F644, 'api-register-id'!B:I, 8, FALSE), "Not found path.")</f>
        <v>1.13.0</v>
      </c>
      <c r="J644" s="3" t="s">
        <v>4891</v>
      </c>
      <c r="K644" s="31" t="s">
        <v>48</v>
      </c>
      <c r="L644" s="23" t="s">
        <v>49</v>
      </c>
      <c r="M644" s="3" t="s">
        <v>384</v>
      </c>
      <c r="N644" s="3" t="str">
        <f t="shared" si="1"/>
        <v>POST /experience/salesAndService/v1/customerContactOperation/evaluate</v>
      </c>
      <c r="O644" s="32" t="s">
        <v>385</v>
      </c>
      <c r="P644" s="32"/>
      <c r="Q644" s="61" t="s">
        <v>98</v>
      </c>
      <c r="R644" s="31" t="s">
        <v>56</v>
      </c>
      <c r="S644" s="38" t="str">
        <f t="shared" si="2"/>
        <v>https://github.com/SF-Bancoppel/mx-api-bc-rec-sales-and-service</v>
      </c>
      <c r="T644" s="40"/>
      <c r="U644" s="40"/>
      <c r="V644" s="40"/>
      <c r="W644" s="40"/>
      <c r="X644" s="40"/>
      <c r="Y644" s="40"/>
      <c r="Z644" s="40"/>
      <c r="AA644" s="40"/>
      <c r="AB644" s="40"/>
    </row>
    <row r="645" ht="18.75" customHeight="1">
      <c r="A645" s="18" t="str">
        <f t="array" ref="A645">IFERROR(
  INDEX(
    'api-register-id'!A:A,
    MATCH(F645, 'api-register-id'!B:B, 0)
  ),
  "Not found Organization"
)</f>
        <v>SSFF</v>
      </c>
      <c r="B645" s="22" t="str">
        <f>IFERROR(VLOOKUP(F645, 'api-register-id'!B:F, 4, FALSE), "Not found path.")</f>
        <v>mx-api-bc-rec-sales-and-service</v>
      </c>
      <c r="C645" s="23" t="s">
        <v>112</v>
      </c>
      <c r="D645" s="23" t="s">
        <v>1417</v>
      </c>
      <c r="E645" s="24" t="str">
        <f>IFERROR(VLOOKUP(F645, 'api-register-id'!B:F, 5, FALSE), "Not found path.")</f>
        <v>APIMX000148</v>
      </c>
      <c r="F645" s="25" t="s">
        <v>1764</v>
      </c>
      <c r="G645" s="26" t="s">
        <v>4905</v>
      </c>
      <c r="H645" s="3" t="s">
        <v>4206</v>
      </c>
      <c r="I645" s="29" t="str">
        <f>IFERROR(VLOOKUP(F645, 'api-register-id'!B:I, 8, FALSE), "Not found path.")</f>
        <v>1.13.0</v>
      </c>
      <c r="J645" s="3" t="s">
        <v>4891</v>
      </c>
      <c r="K645" s="31" t="s">
        <v>48</v>
      </c>
      <c r="L645" s="23" t="s">
        <v>49</v>
      </c>
      <c r="M645" s="3" t="s">
        <v>396</v>
      </c>
      <c r="N645" s="3" t="str">
        <f t="shared" si="1"/>
        <v>POST /experience/salesAndService/v1/customerWorkbenchFinancialTransaction/evaluate</v>
      </c>
      <c r="O645" s="32" t="s">
        <v>397</v>
      </c>
      <c r="P645" s="32"/>
      <c r="Q645" s="61" t="s">
        <v>98</v>
      </c>
      <c r="R645" s="31" t="s">
        <v>56</v>
      </c>
      <c r="S645" s="38" t="str">
        <f t="shared" si="2"/>
        <v>https://github.com/SF-Bancoppel/mx-api-bc-rec-sales-and-service</v>
      </c>
      <c r="T645" s="40"/>
      <c r="U645" s="40"/>
      <c r="V645" s="40"/>
      <c r="W645" s="40"/>
      <c r="X645" s="40"/>
      <c r="Y645" s="40"/>
      <c r="Z645" s="40"/>
      <c r="AA645" s="40"/>
      <c r="AB645" s="40"/>
    </row>
    <row r="646" ht="18.75" customHeight="1">
      <c r="A646" s="18" t="str">
        <f t="array" ref="A646">IFERROR(
  INDEX(
    'api-register-id'!A:A,
    MATCH(F646, 'api-register-id'!B:B, 0)
  ),
  "Not found Organization"
)</f>
        <v>SSFF</v>
      </c>
      <c r="B646" s="22" t="str">
        <f>IFERROR(VLOOKUP(F646, 'api-register-id'!B:F, 4, FALSE), "Not found path.")</f>
        <v>mx-api-bc-rec-sales-and-service</v>
      </c>
      <c r="C646" s="23" t="s">
        <v>112</v>
      </c>
      <c r="D646" s="23" t="s">
        <v>1417</v>
      </c>
      <c r="E646" s="24" t="str">
        <f>IFERROR(VLOOKUP(F646, 'api-register-id'!B:F, 5, FALSE), "Not found path.")</f>
        <v>APIMX000148</v>
      </c>
      <c r="F646" s="25" t="s">
        <v>1764</v>
      </c>
      <c r="G646" s="26" t="s">
        <v>4906</v>
      </c>
      <c r="H646" s="3" t="s">
        <v>4907</v>
      </c>
      <c r="I646" s="29" t="str">
        <f>IFERROR(VLOOKUP(F646, 'api-register-id'!B:I, 8, FALSE), "Not found path.")</f>
        <v>1.13.0</v>
      </c>
      <c r="J646" s="3" t="s">
        <v>4891</v>
      </c>
      <c r="K646" s="31" t="s">
        <v>48</v>
      </c>
      <c r="L646" s="23" t="s">
        <v>61</v>
      </c>
      <c r="M646" s="3" t="s">
        <v>407</v>
      </c>
      <c r="N646" s="3" t="str">
        <f t="shared" si="1"/>
        <v>PUT /experience/salesAndService/v1/contactPoint/update</v>
      </c>
      <c r="O646" s="32" t="s">
        <v>408</v>
      </c>
      <c r="P646" s="32"/>
      <c r="Q646" s="61" t="s">
        <v>98</v>
      </c>
      <c r="R646" s="31" t="s">
        <v>56</v>
      </c>
      <c r="S646" s="38" t="str">
        <f t="shared" si="2"/>
        <v>https://github.com/SF-Bancoppel/mx-api-bc-rec-sales-and-service</v>
      </c>
      <c r="T646" s="40"/>
      <c r="U646" s="40"/>
      <c r="V646" s="40"/>
      <c r="W646" s="40"/>
      <c r="X646" s="40"/>
      <c r="Y646" s="40"/>
      <c r="Z646" s="40"/>
      <c r="AA646" s="40"/>
      <c r="AB646" s="40"/>
    </row>
    <row r="647" ht="18.75" customHeight="1">
      <c r="A647" s="18" t="str">
        <f t="array" ref="A647">IFERROR(
  INDEX(
    'api-register-id'!A:A,
    MATCH(F647, 'api-register-id'!B:B, 0)
  ),
  "Not found Organization"
)</f>
        <v>SSFF</v>
      </c>
      <c r="B647" s="22" t="str">
        <f>IFERROR(VLOOKUP(F647, 'api-register-id'!B:F, 4, FALSE), "Not found path.")</f>
        <v>mx-api-bc-rec-sales-and-service</v>
      </c>
      <c r="C647" s="23" t="s">
        <v>112</v>
      </c>
      <c r="D647" s="23" t="s">
        <v>1417</v>
      </c>
      <c r="E647" s="24" t="str">
        <f>IFERROR(VLOOKUP(F647, 'api-register-id'!B:F, 5, FALSE), "Not found path.")</f>
        <v>APIMX000148</v>
      </c>
      <c r="F647" s="25" t="s">
        <v>1764</v>
      </c>
      <c r="G647" s="26" t="s">
        <v>4908</v>
      </c>
      <c r="H647" s="3" t="s">
        <v>4909</v>
      </c>
      <c r="I647" s="29" t="str">
        <f>IFERROR(VLOOKUP(F647, 'api-register-id'!B:I, 8, FALSE), "Not found path.")</f>
        <v>1.13.0</v>
      </c>
      <c r="J647" s="3" t="s">
        <v>4891</v>
      </c>
      <c r="K647" s="31" t="s">
        <v>48</v>
      </c>
      <c r="L647" s="23" t="s">
        <v>61</v>
      </c>
      <c r="M647" s="3" t="s">
        <v>415</v>
      </c>
      <c r="N647" s="3" t="str">
        <f t="shared" si="1"/>
        <v>PUT /experience/salesAndService/v1/personProfile/update</v>
      </c>
      <c r="O647" s="32" t="s">
        <v>417</v>
      </c>
      <c r="P647" s="32"/>
      <c r="Q647" s="61" t="s">
        <v>4910</v>
      </c>
      <c r="R647" s="31" t="s">
        <v>56</v>
      </c>
      <c r="S647" s="38" t="str">
        <f t="shared" si="2"/>
        <v>https://github.com/SF-Bancoppel/mx-api-bc-rec-sales-and-service</v>
      </c>
      <c r="T647" s="40"/>
      <c r="U647" s="40"/>
      <c r="V647" s="40"/>
      <c r="W647" s="40"/>
      <c r="X647" s="40"/>
      <c r="Y647" s="40"/>
      <c r="Z647" s="40"/>
      <c r="AA647" s="40"/>
      <c r="AB647" s="40"/>
    </row>
    <row r="648" ht="18.75" customHeight="1">
      <c r="A648" s="18" t="str">
        <f t="array" ref="A648">IFERROR(
  INDEX(
    'api-register-id'!A:A,
    MATCH(F648, 'api-register-id'!B:B, 0)
  ),
  "Not found Organization"
)</f>
        <v>SSFF</v>
      </c>
      <c r="B648" s="22" t="str">
        <f>IFERROR(VLOOKUP(F648, 'api-register-id'!B:F, 4, FALSE), "Not found path.")</f>
        <v>mx-api-bc-rec-sales-and-service</v>
      </c>
      <c r="C648" s="23" t="s">
        <v>112</v>
      </c>
      <c r="D648" s="23" t="s">
        <v>1417</v>
      </c>
      <c r="E648" s="24" t="str">
        <f>IFERROR(VLOOKUP(F648, 'api-register-id'!B:F, 5, FALSE), "Not found path.")</f>
        <v>APIMX000148</v>
      </c>
      <c r="F648" s="25" t="s">
        <v>1764</v>
      </c>
      <c r="G648" s="26" t="s">
        <v>4911</v>
      </c>
      <c r="H648" s="3" t="s">
        <v>4912</v>
      </c>
      <c r="I648" s="29" t="str">
        <f>IFERROR(VLOOKUP(F648, 'api-register-id'!B:I, 8, FALSE), "Not found path.")</f>
        <v>1.13.0</v>
      </c>
      <c r="J648" s="3" t="s">
        <v>4891</v>
      </c>
      <c r="K648" s="31" t="s">
        <v>48</v>
      </c>
      <c r="L648" s="23" t="s">
        <v>428</v>
      </c>
      <c r="M648" s="3" t="s">
        <v>429</v>
      </c>
      <c r="N648" s="3" t="str">
        <f t="shared" si="1"/>
        <v>PATCH /experience/salesAndService/v1/onBoardingEmailParty/update</v>
      </c>
      <c r="O648" s="32" t="s">
        <v>4913</v>
      </c>
      <c r="P648" s="32"/>
      <c r="Q648" s="61" t="s">
        <v>4914</v>
      </c>
      <c r="R648" s="31" t="s">
        <v>56</v>
      </c>
      <c r="S648" s="38" t="str">
        <f t="shared" si="2"/>
        <v>https://github.com/SF-Bancoppel/mx-api-bc-rec-sales-and-service</v>
      </c>
      <c r="T648" s="40"/>
      <c r="U648" s="40"/>
      <c r="V648" s="40"/>
      <c r="W648" s="40"/>
      <c r="X648" s="40"/>
      <c r="Y648" s="40"/>
      <c r="Z648" s="40"/>
      <c r="AA648" s="40"/>
      <c r="AB648" s="40"/>
    </row>
    <row r="649" ht="18.75" customHeight="1">
      <c r="A649" s="18" t="str">
        <f t="array" ref="A649">IFERROR(
  INDEX(
    'api-register-id'!A:A,
    MATCH(F649, 'api-register-id'!B:B, 0)
  ),
  "Not found Organization"
)</f>
        <v>SSFF</v>
      </c>
      <c r="B649" s="22" t="str">
        <f>IFERROR(VLOOKUP(F649, 'api-register-id'!B:F, 4, FALSE), "Not found path.")</f>
        <v>mx-api-bc-rec-sales-and-service</v>
      </c>
      <c r="C649" s="23" t="s">
        <v>112</v>
      </c>
      <c r="D649" s="23" t="s">
        <v>1417</v>
      </c>
      <c r="E649" s="24" t="str">
        <f>IFERROR(VLOOKUP(F649, 'api-register-id'!B:F, 5, FALSE), "Not found path.")</f>
        <v>APIMX000148</v>
      </c>
      <c r="F649" s="25" t="s">
        <v>1764</v>
      </c>
      <c r="G649" s="26" t="s">
        <v>4915</v>
      </c>
      <c r="H649" s="3" t="s">
        <v>4916</v>
      </c>
      <c r="I649" s="29" t="str">
        <f>IFERROR(VLOOKUP(F649, 'api-register-id'!B:I, 8, FALSE), "Not found path.")</f>
        <v>1.13.0</v>
      </c>
      <c r="J649" s="3" t="s">
        <v>4891</v>
      </c>
      <c r="K649" s="31" t="s">
        <v>48</v>
      </c>
      <c r="L649" s="23" t="s">
        <v>49</v>
      </c>
      <c r="M649" s="3" t="s">
        <v>446</v>
      </c>
      <c r="N649" s="3" t="str">
        <f t="shared" si="1"/>
        <v>POST /experience/salesAndService/v1/generateCustomerOfferProcedure/retrieve</v>
      </c>
      <c r="O649" s="32" t="s">
        <v>447</v>
      </c>
      <c r="P649" s="32"/>
      <c r="Q649" s="61" t="s">
        <v>98</v>
      </c>
      <c r="R649" s="31" t="s">
        <v>56</v>
      </c>
      <c r="S649" s="38" t="str">
        <f t="shared" si="2"/>
        <v>https://github.com/SF-Bancoppel/mx-api-bc-rec-sales-and-service</v>
      </c>
      <c r="T649" s="40"/>
      <c r="U649" s="40"/>
      <c r="V649" s="40"/>
      <c r="W649" s="40"/>
      <c r="X649" s="40"/>
      <c r="Y649" s="40"/>
      <c r="Z649" s="40"/>
      <c r="AA649" s="40"/>
      <c r="AB649" s="40"/>
    </row>
    <row r="650" ht="18.75" customHeight="1">
      <c r="A650" s="18" t="str">
        <f t="array" ref="A650">IFERROR(
  INDEX(
    'api-register-id'!A:A,
    MATCH(F650, 'api-register-id'!B:B, 0)
  ),
  "Not found Organization"
)</f>
        <v>SSFF</v>
      </c>
      <c r="B650" s="22" t="str">
        <f>IFERROR(VLOOKUP(F650, 'api-register-id'!B:F, 4, FALSE), "Not found path.")</f>
        <v>mx-api-bc-rec-sales-and-service</v>
      </c>
      <c r="C650" s="23" t="s">
        <v>112</v>
      </c>
      <c r="D650" s="23" t="s">
        <v>1417</v>
      </c>
      <c r="E650" s="24" t="str">
        <f>IFERROR(VLOOKUP(F650, 'api-register-id'!B:F, 5, FALSE), "Not found path.")</f>
        <v>APIMX000148</v>
      </c>
      <c r="F650" s="25" t="s">
        <v>1764</v>
      </c>
      <c r="G650" s="26" t="s">
        <v>4917</v>
      </c>
      <c r="H650" s="3" t="s">
        <v>4918</v>
      </c>
      <c r="I650" s="29" t="str">
        <f>IFERROR(VLOOKUP(F650, 'api-register-id'!B:I, 8, FALSE), "Not found path.")</f>
        <v>1.13.0</v>
      </c>
      <c r="J650" s="3" t="s">
        <v>4891</v>
      </c>
      <c r="K650" s="31" t="s">
        <v>48</v>
      </c>
      <c r="L650" s="23" t="s">
        <v>428</v>
      </c>
      <c r="M650" s="3" t="s">
        <v>467</v>
      </c>
      <c r="N650" s="3" t="str">
        <f t="shared" si="1"/>
        <v>PATCH /experience/salesAndService/v1/onBoardingPartyLocation/{sessionDialogueIdentification}/update</v>
      </c>
      <c r="O650" s="32" t="s">
        <v>430</v>
      </c>
      <c r="P650" s="32"/>
      <c r="Q650" s="61" t="s">
        <v>4919</v>
      </c>
      <c r="R650" s="31" t="s">
        <v>56</v>
      </c>
      <c r="S650" s="38" t="str">
        <f t="shared" si="2"/>
        <v>https://github.com/SF-Bancoppel/mx-api-bc-rec-sales-and-service</v>
      </c>
      <c r="T650" s="40"/>
      <c r="U650" s="40"/>
      <c r="V650" s="40"/>
      <c r="W650" s="40"/>
      <c r="X650" s="40"/>
      <c r="Y650" s="40"/>
      <c r="Z650" s="40"/>
      <c r="AA650" s="40"/>
      <c r="AB650" s="40"/>
    </row>
    <row r="651" ht="18.75" customHeight="1">
      <c r="A651" s="18" t="str">
        <f t="array" ref="A651">IFERROR(
  INDEX(
    'api-register-id'!A:A,
    MATCH(F651, 'api-register-id'!B:B, 0)
  ),
  "Not found Organization"
)</f>
        <v>SSFF</v>
      </c>
      <c r="B651" s="22" t="str">
        <f>IFERROR(VLOOKUP(F651, 'api-register-id'!B:F, 4, FALSE), "Not found path.")</f>
        <v>mx-api-bc-rec-sales-and-service</v>
      </c>
      <c r="C651" s="23" t="s">
        <v>112</v>
      </c>
      <c r="D651" s="23" t="s">
        <v>1417</v>
      </c>
      <c r="E651" s="24" t="str">
        <f>IFERROR(VLOOKUP(F651, 'api-register-id'!B:F, 5, FALSE), "Not found path.")</f>
        <v>APIMX000148</v>
      </c>
      <c r="F651" s="25" t="s">
        <v>1764</v>
      </c>
      <c r="G651" s="26" t="s">
        <v>4920</v>
      </c>
      <c r="H651" s="3" t="s">
        <v>4921</v>
      </c>
      <c r="I651" s="29" t="str">
        <f>IFERROR(VLOOKUP(F651, 'api-register-id'!B:I, 8, FALSE), "Not found path.")</f>
        <v>1.13.0</v>
      </c>
      <c r="J651" s="3" t="s">
        <v>4891</v>
      </c>
      <c r="K651" s="31" t="s">
        <v>48</v>
      </c>
      <c r="L651" s="23" t="s">
        <v>49</v>
      </c>
      <c r="M651" s="3" t="s">
        <v>474</v>
      </c>
      <c r="N651" s="3" t="str">
        <f t="shared" si="1"/>
        <v>POST /experience/salesAndService/v1/onboardingPartySIC/evaluate</v>
      </c>
      <c r="O651" s="32" t="s">
        <v>475</v>
      </c>
      <c r="P651" s="32"/>
      <c r="Q651" s="61" t="s">
        <v>98</v>
      </c>
      <c r="R651" s="31" t="s">
        <v>56</v>
      </c>
      <c r="S651" s="38" t="str">
        <f t="shared" si="2"/>
        <v>https://github.com/SF-Bancoppel/mx-api-bc-rec-sales-and-service</v>
      </c>
      <c r="T651" s="40"/>
      <c r="U651" s="40"/>
      <c r="V651" s="40"/>
      <c r="W651" s="40"/>
      <c r="X651" s="40"/>
      <c r="Y651" s="40"/>
      <c r="Z651" s="40"/>
      <c r="AA651" s="40"/>
      <c r="AB651" s="40"/>
    </row>
    <row r="652" ht="18.75" customHeight="1">
      <c r="A652" s="18" t="str">
        <f t="array" ref="A652">IFERROR(
  INDEX(
    'api-register-id'!A:A,
    MATCH(F652, 'api-register-id'!B:B, 0)
  ),
  "Not found Organization"
)</f>
        <v>SSFF</v>
      </c>
      <c r="B652" s="22" t="str">
        <f>IFERROR(VLOOKUP(F652, 'api-register-id'!B:F, 4, FALSE), "Not found path.")</f>
        <v>mx-api-bc-rec-session-dialogue</v>
      </c>
      <c r="C652" s="23" t="s">
        <v>112</v>
      </c>
      <c r="D652" s="23" t="s">
        <v>1417</v>
      </c>
      <c r="E652" s="24" t="str">
        <f>IFERROR(VLOOKUP(F652, 'api-register-id'!B:F, 5, FALSE), "Not found path.")</f>
        <v>APIMX000149</v>
      </c>
      <c r="F652" s="25" t="s">
        <v>1773</v>
      </c>
      <c r="G652" s="26" t="s">
        <v>4922</v>
      </c>
      <c r="H652" s="3" t="s">
        <v>4923</v>
      </c>
      <c r="I652" s="29" t="str">
        <f>IFERROR(VLOOKUP(F652, 'api-register-id'!B:I, 8, FALSE), "Not found path.")</f>
        <v>1.2.0</v>
      </c>
      <c r="J652" s="3" t="s">
        <v>4924</v>
      </c>
      <c r="K652" s="31" t="s">
        <v>48</v>
      </c>
      <c r="L652" s="23" t="s">
        <v>108</v>
      </c>
      <c r="M652" s="3" t="s">
        <v>1884</v>
      </c>
      <c r="N652" s="3" t="str">
        <f t="shared" si="1"/>
        <v>GET /experience/crossChannel/sessionDialogue/v1/history/retrieve</v>
      </c>
      <c r="O652" s="32" t="s">
        <v>4925</v>
      </c>
      <c r="P652" s="32"/>
      <c r="Q652" s="61" t="s">
        <v>4926</v>
      </c>
      <c r="R652" s="31" t="s">
        <v>56</v>
      </c>
      <c r="S652" s="38" t="str">
        <f t="shared" si="2"/>
        <v>https://github.com/SF-Bancoppel/mx-api-bc-rec-session-dialogue</v>
      </c>
      <c r="T652" s="40"/>
      <c r="U652" s="40"/>
      <c r="V652" s="40"/>
      <c r="W652" s="40"/>
      <c r="X652" s="40"/>
      <c r="Y652" s="40"/>
      <c r="Z652" s="40"/>
      <c r="AA652" s="40"/>
      <c r="AB652" s="40"/>
    </row>
    <row r="653" ht="18.75" customHeight="1">
      <c r="A653" s="18" t="str">
        <f t="array" ref="A653">IFERROR(
  INDEX(
    'api-register-id'!A:A,
    MATCH(F653, 'api-register-id'!B:B, 0)
  ),
  "Not found Organization"
)</f>
        <v>SSFF</v>
      </c>
      <c r="B653" s="22" t="str">
        <f>IFERROR(VLOOKUP(F653, 'api-register-id'!B:F, 4, FALSE), "Not found path.")</f>
        <v>mx-api-bc-rec-session-dialogue</v>
      </c>
      <c r="C653" s="23" t="s">
        <v>112</v>
      </c>
      <c r="D653" s="23" t="s">
        <v>1417</v>
      </c>
      <c r="E653" s="24" t="str">
        <f>IFERROR(VLOOKUP(F653, 'api-register-id'!B:F, 5, FALSE), "Not found path.")</f>
        <v>APIMX000149</v>
      </c>
      <c r="F653" s="25" t="s">
        <v>1773</v>
      </c>
      <c r="G653" s="26" t="s">
        <v>4927</v>
      </c>
      <c r="H653" s="3" t="s">
        <v>4928</v>
      </c>
      <c r="I653" s="29" t="str">
        <f>IFERROR(VLOOKUP(F653, 'api-register-id'!B:I, 8, FALSE), "Not found path.")</f>
        <v>1.2.0</v>
      </c>
      <c r="J653" s="3" t="s">
        <v>4924</v>
      </c>
      <c r="K653" s="31" t="s">
        <v>48</v>
      </c>
      <c r="L653" s="23" t="s">
        <v>49</v>
      </c>
      <c r="M653" s="3" t="s">
        <v>1892</v>
      </c>
      <c r="N653" s="3" t="str">
        <f t="shared" si="1"/>
        <v>POST /experience/crossChannel/sessionDialogue/v1/authenticationAddress/initiate</v>
      </c>
      <c r="O653" s="32" t="s">
        <v>4929</v>
      </c>
      <c r="P653" s="32"/>
      <c r="Q653" s="61" t="s">
        <v>4930</v>
      </c>
      <c r="R653" s="31" t="s">
        <v>56</v>
      </c>
      <c r="S653" s="38" t="str">
        <f t="shared" si="2"/>
        <v>https://github.com/SF-Bancoppel/mx-api-bc-rec-session-dialogue</v>
      </c>
      <c r="T653" s="40"/>
      <c r="U653" s="40"/>
      <c r="V653" s="40"/>
      <c r="W653" s="40"/>
      <c r="X653" s="40"/>
      <c r="Y653" s="40"/>
      <c r="Z653" s="40"/>
      <c r="AA653" s="40"/>
      <c r="AB653" s="40"/>
    </row>
    <row r="654" ht="18.75" customHeight="1">
      <c r="A654" s="18" t="str">
        <f t="array" ref="A654">IFERROR(
  INDEX(
    'api-register-id'!A:A,
    MATCH(F654, 'api-register-id'!B:B, 0)
  ),
  "Not found Organization"
)</f>
        <v>SSFF</v>
      </c>
      <c r="B654" s="22" t="str">
        <f>IFERROR(VLOOKUP(F654, 'api-register-id'!B:F, 4, FALSE), "Not found path.")</f>
        <v>mx-api-bc-rec-session-dialogue</v>
      </c>
      <c r="C654" s="23" t="s">
        <v>112</v>
      </c>
      <c r="D654" s="23" t="s">
        <v>1417</v>
      </c>
      <c r="E654" s="24" t="str">
        <f>IFERROR(VLOOKUP(F654, 'api-register-id'!B:F, 5, FALSE), "Not found path.")</f>
        <v>APIMX000149</v>
      </c>
      <c r="F654" s="25" t="s">
        <v>1773</v>
      </c>
      <c r="G654" s="26" t="s">
        <v>4931</v>
      </c>
      <c r="H654" s="3" t="s">
        <v>4932</v>
      </c>
      <c r="I654" s="29" t="str">
        <f>IFERROR(VLOOKUP(F654, 'api-register-id'!B:I, 8, FALSE), "Not found path.")</f>
        <v>1.2.0</v>
      </c>
      <c r="J654" s="3" t="s">
        <v>4924</v>
      </c>
      <c r="K654" s="31" t="s">
        <v>48</v>
      </c>
      <c r="L654" s="23" t="s">
        <v>49</v>
      </c>
      <c r="M654" s="3" t="s">
        <v>1899</v>
      </c>
      <c r="N654" s="3" t="str">
        <f t="shared" si="1"/>
        <v>POST /experience/crossChannel/sessionDialogue/v1/customerContactSelfieProcedure/initiate</v>
      </c>
      <c r="O654" s="32" t="s">
        <v>4933</v>
      </c>
      <c r="P654" s="32"/>
      <c r="Q654" s="61" t="s">
        <v>98</v>
      </c>
      <c r="R654" s="31" t="s">
        <v>56</v>
      </c>
      <c r="S654" s="38" t="str">
        <f t="shared" si="2"/>
        <v>https://github.com/SF-Bancoppel/mx-api-bc-rec-session-dialogue</v>
      </c>
      <c r="T654" s="40"/>
      <c r="U654" s="40"/>
      <c r="V654" s="40"/>
      <c r="W654" s="40"/>
      <c r="X654" s="40"/>
      <c r="Y654" s="40"/>
      <c r="Z654" s="40"/>
      <c r="AA654" s="40"/>
      <c r="AB654" s="40"/>
    </row>
    <row r="655" ht="18.75" customHeight="1">
      <c r="A655" s="18" t="str">
        <f t="array" ref="A655">IFERROR(
  INDEX(
    'api-register-id'!A:A,
    MATCH(F655, 'api-register-id'!B:B, 0)
  ),
  "Not found Organization"
)</f>
        <v>SSFF</v>
      </c>
      <c r="B655" s="22" t="str">
        <f>IFERROR(VLOOKUP(F655, 'api-register-id'!B:F, 4, FALSE), "Not found path.")</f>
        <v>mx-api-bc-rec-session-dialogue</v>
      </c>
      <c r="C655" s="23" t="s">
        <v>112</v>
      </c>
      <c r="D655" s="23" t="s">
        <v>1417</v>
      </c>
      <c r="E655" s="24" t="str">
        <f>IFERROR(VLOOKUP(F655, 'api-register-id'!B:F, 5, FALSE), "Not found path.")</f>
        <v>APIMX000149</v>
      </c>
      <c r="F655" s="25" t="s">
        <v>1773</v>
      </c>
      <c r="G655" s="26" t="s">
        <v>4934</v>
      </c>
      <c r="H655" s="3" t="s">
        <v>4935</v>
      </c>
      <c r="I655" s="29" t="str">
        <f>IFERROR(VLOOKUP(F655, 'api-register-id'!B:I, 8, FALSE), "Not found path.")</f>
        <v>1.2.0</v>
      </c>
      <c r="J655" s="3" t="s">
        <v>4924</v>
      </c>
      <c r="K655" s="31" t="s">
        <v>48</v>
      </c>
      <c r="L655" s="23" t="s">
        <v>49</v>
      </c>
      <c r="M655" s="3" t="s">
        <v>1904</v>
      </c>
      <c r="N655" s="3" t="str">
        <f t="shared" si="1"/>
        <v>POST /experience/crossChannel/sessionDialogue/v1/customerContactVideoSelfieProcedure/initiate</v>
      </c>
      <c r="O655" s="32" t="s">
        <v>4936</v>
      </c>
      <c r="P655" s="32"/>
      <c r="Q655" s="61" t="s">
        <v>98</v>
      </c>
      <c r="R655" s="31" t="s">
        <v>56</v>
      </c>
      <c r="S655" s="38" t="str">
        <f t="shared" si="2"/>
        <v>https://github.com/SF-Bancoppel/mx-api-bc-rec-session-dialogue</v>
      </c>
      <c r="T655" s="40"/>
      <c r="U655" s="40"/>
      <c r="V655" s="40"/>
      <c r="W655" s="40"/>
      <c r="X655" s="40"/>
      <c r="Y655" s="40"/>
      <c r="Z655" s="40"/>
      <c r="AA655" s="40"/>
      <c r="AB655" s="40"/>
    </row>
    <row r="656" ht="18.75" customHeight="1">
      <c r="A656" s="18" t="str">
        <f t="array" ref="A656">IFERROR(
  INDEX(
    'api-register-id'!A:A,
    MATCH(F656, 'api-register-id'!B:B, 0)
  ),
  "Not found Organization"
)</f>
        <v>SSFF</v>
      </c>
      <c r="B656" s="22" t="str">
        <f>IFERROR(VLOOKUP(F656, 'api-register-id'!B:F, 4, FALSE), "Not found path.")</f>
        <v>mx-api-bc-rec-session-dialogue</v>
      </c>
      <c r="C656" s="23" t="s">
        <v>112</v>
      </c>
      <c r="D656" s="23" t="s">
        <v>1417</v>
      </c>
      <c r="E656" s="24" t="str">
        <f>IFERROR(VLOOKUP(F656, 'api-register-id'!B:F, 5, FALSE), "Not found path.")</f>
        <v>APIMX000149</v>
      </c>
      <c r="F656" s="25" t="s">
        <v>1773</v>
      </c>
      <c r="G656" s="26" t="s">
        <v>4937</v>
      </c>
      <c r="H656" s="3" t="s">
        <v>4938</v>
      </c>
      <c r="I656" s="29" t="str">
        <f>IFERROR(VLOOKUP(F656, 'api-register-id'!B:I, 8, FALSE), "Not found path.")</f>
        <v>1.2.0</v>
      </c>
      <c r="J656" s="3" t="s">
        <v>4924</v>
      </c>
      <c r="K656" s="31" t="s">
        <v>48</v>
      </c>
      <c r="L656" s="23" t="s">
        <v>108</v>
      </c>
      <c r="M656" s="3" t="s">
        <v>1909</v>
      </c>
      <c r="N656" s="3" t="str">
        <f t="shared" si="1"/>
        <v>GET /experience/crossChannel/sessionDialogue/v1/customerContactVideoSelfieProcedure/retrieve</v>
      </c>
      <c r="O656" s="32" t="s">
        <v>4939</v>
      </c>
      <c r="P656" s="32"/>
      <c r="Q656" s="61" t="s">
        <v>98</v>
      </c>
      <c r="R656" s="31" t="s">
        <v>56</v>
      </c>
      <c r="S656" s="38" t="str">
        <f t="shared" si="2"/>
        <v>https://github.com/SF-Bancoppel/mx-api-bc-rec-session-dialogue</v>
      </c>
      <c r="T656" s="40"/>
      <c r="U656" s="40"/>
      <c r="V656" s="40"/>
      <c r="W656" s="40"/>
      <c r="X656" s="40"/>
      <c r="Y656" s="40"/>
      <c r="Z656" s="40"/>
      <c r="AA656" s="40"/>
      <c r="AB656" s="40"/>
    </row>
    <row r="657" ht="18.75" customHeight="1">
      <c r="A657" s="18" t="str">
        <f t="array" ref="A657">IFERROR(
  INDEX(
    'api-register-id'!A:A,
    MATCH(F657, 'api-register-id'!B:B, 0)
  ),
  "Not found Organization"
)</f>
        <v>SSFF</v>
      </c>
      <c r="B657" s="22" t="str">
        <f>IFERROR(VLOOKUP(F657, 'api-register-id'!B:F, 4, FALSE), "Not found path.")</f>
        <v>mx-api-bc-rec-session-dialogue</v>
      </c>
      <c r="C657" s="23" t="s">
        <v>112</v>
      </c>
      <c r="D657" s="23" t="s">
        <v>1417</v>
      </c>
      <c r="E657" s="24" t="str">
        <f>IFERROR(VLOOKUP(F657, 'api-register-id'!B:F, 5, FALSE), "Not found path.")</f>
        <v>APIMX000149</v>
      </c>
      <c r="F657" s="25" t="s">
        <v>1773</v>
      </c>
      <c r="G657" s="26" t="s">
        <v>4940</v>
      </c>
      <c r="H657" s="3" t="s">
        <v>4941</v>
      </c>
      <c r="I657" s="29" t="str">
        <f>IFERROR(VLOOKUP(F657, 'api-register-id'!B:I, 8, FALSE), "Not found path.")</f>
        <v>1.2.0</v>
      </c>
      <c r="J657" s="3" t="s">
        <v>4924</v>
      </c>
      <c r="K657" s="31" t="s">
        <v>48</v>
      </c>
      <c r="L657" s="23" t="s">
        <v>108</v>
      </c>
      <c r="M657" s="3" t="s">
        <v>1915</v>
      </c>
      <c r="N657" s="3" t="str">
        <f t="shared" si="1"/>
        <v>GET /experience/crossChannel/sessionDialogue/v1/workstep/{sessionDialogueIdentification}/retrieve</v>
      </c>
      <c r="O657" s="32" t="s">
        <v>4942</v>
      </c>
      <c r="P657" s="32" t="s">
        <v>900</v>
      </c>
      <c r="Q657" s="61" t="s">
        <v>98</v>
      </c>
      <c r="R657" s="31" t="s">
        <v>56</v>
      </c>
      <c r="S657" s="38" t="str">
        <f t="shared" si="2"/>
        <v>https://github.com/SF-Bancoppel/mx-api-bc-rec-session-dialogue</v>
      </c>
      <c r="T657" s="40"/>
      <c r="U657" s="40"/>
      <c r="V657" s="40"/>
      <c r="W657" s="40"/>
      <c r="X657" s="40"/>
      <c r="Y657" s="40"/>
      <c r="Z657" s="40"/>
      <c r="AA657" s="40"/>
      <c r="AB657" s="40"/>
    </row>
    <row r="658" ht="18.75" customHeight="1">
      <c r="A658" s="18" t="str">
        <f t="array" ref="A658">IFERROR(
  INDEX(
    'api-register-id'!A:A,
    MATCH(F658, 'api-register-id'!B:B, 0)
  ),
  "Not found Organization"
)</f>
        <v>SSFF</v>
      </c>
      <c r="B658" s="22" t="str">
        <f>IFERROR(VLOOKUP(F658, 'api-register-id'!B:F, 4, FALSE), "Not found path.")</f>
        <v>mx-api-bc-rec-systems-operations</v>
      </c>
      <c r="C658" s="23" t="s">
        <v>112</v>
      </c>
      <c r="D658" s="23" t="s">
        <v>1417</v>
      </c>
      <c r="E658" s="24" t="str">
        <f>IFERROR(VLOOKUP(F658, 'api-register-id'!B:F, 5, FALSE), "Not found path.")</f>
        <v>APIMX000150</v>
      </c>
      <c r="F658" s="25" t="s">
        <v>1784</v>
      </c>
      <c r="G658" s="26" t="s">
        <v>4943</v>
      </c>
      <c r="H658" s="3" t="s">
        <v>4944</v>
      </c>
      <c r="I658" s="29" t="str">
        <f>IFERROR(VLOOKUP(F658, 'api-register-id'!B:I, 8, FALSE), "Not found path.")</f>
        <v>1.0.0</v>
      </c>
      <c r="J658" s="3" t="s">
        <v>4945</v>
      </c>
      <c r="K658" s="31" t="s">
        <v>48</v>
      </c>
      <c r="L658" s="23" t="s">
        <v>49</v>
      </c>
      <c r="M658" s="3" t="s">
        <v>1922</v>
      </c>
      <c r="N658" s="3" t="str">
        <f t="shared" si="1"/>
        <v>POST /experience/iTManagement/systemsOperations/v1/processEventOnBoarding/initiate</v>
      </c>
      <c r="O658" s="32" t="s">
        <v>1923</v>
      </c>
      <c r="P658" s="32"/>
      <c r="Q658" s="61" t="s">
        <v>98</v>
      </c>
      <c r="R658" s="31" t="s">
        <v>56</v>
      </c>
      <c r="S658" s="38" t="str">
        <f t="shared" si="2"/>
        <v>https://github.com/SF-Bancoppel/mx-api-bc-rec-systems-operations</v>
      </c>
      <c r="T658" s="40"/>
      <c r="U658" s="40"/>
      <c r="V658" s="40"/>
      <c r="W658" s="40"/>
      <c r="X658" s="40"/>
      <c r="Y658" s="40"/>
      <c r="Z658" s="40"/>
      <c r="AA658" s="40"/>
      <c r="AB658" s="40"/>
    </row>
    <row r="659" ht="18.75" customHeight="1">
      <c r="A659" s="18" t="str">
        <f t="array" ref="A659">IFERROR(
  INDEX(
    'api-register-id'!A:A,
    MATCH(F659, 'api-register-id'!B:B, 0)
  ),
  "Not found Organization"
)</f>
        <v>SSFF</v>
      </c>
      <c r="B659" s="22" t="str">
        <f>IFERROR(VLOOKUP(F659, 'api-register-id'!B:F, 4, FALSE), "Not found path.")</f>
        <v>mx-api-bc-rec-systems-operations</v>
      </c>
      <c r="C659" s="78" t="s">
        <v>112</v>
      </c>
      <c r="D659" s="78" t="s">
        <v>1417</v>
      </c>
      <c r="E659" s="24" t="str">
        <f>IFERROR(VLOOKUP(F659, 'api-register-id'!B:F, 5, FALSE), "Not found path.")</f>
        <v>APIMX000150</v>
      </c>
      <c r="F659" s="25" t="s">
        <v>1784</v>
      </c>
      <c r="G659" s="26" t="s">
        <v>4946</v>
      </c>
      <c r="H659" s="3" t="s">
        <v>4947</v>
      </c>
      <c r="I659" s="29" t="str">
        <f>IFERROR(VLOOKUP(F659, 'api-register-id'!B:I, 8, FALSE), "Not found path.")</f>
        <v>1.0.0</v>
      </c>
      <c r="J659" s="3" t="s">
        <v>4945</v>
      </c>
      <c r="K659" s="31" t="s">
        <v>48</v>
      </c>
      <c r="L659" s="78" t="s">
        <v>428</v>
      </c>
      <c r="M659" s="3" t="s">
        <v>1926</v>
      </c>
      <c r="N659" s="3" t="str">
        <f t="shared" si="1"/>
        <v>PATCH /experience/iTManagement/systemsOperations/v1/processEvent/execute</v>
      </c>
      <c r="O659" s="32" t="s">
        <v>1927</v>
      </c>
      <c r="P659" s="32"/>
      <c r="Q659" s="61" t="s">
        <v>98</v>
      </c>
      <c r="R659" s="31" t="s">
        <v>56</v>
      </c>
      <c r="S659" s="38" t="str">
        <f t="shared" si="2"/>
        <v>https://github.com/SF-Bancoppel/mx-api-bc-rec-systems-operations</v>
      </c>
      <c r="T659" s="40"/>
      <c r="U659" s="40"/>
      <c r="V659" s="40"/>
      <c r="W659" s="40"/>
      <c r="X659" s="40"/>
      <c r="Y659" s="40"/>
      <c r="Z659" s="40"/>
      <c r="AA659" s="40"/>
      <c r="AB659" s="40"/>
    </row>
    <row r="660" ht="18.75" customHeight="1">
      <c r="A660" s="18" t="str">
        <f t="array" ref="A660">IFERROR(
  INDEX(
    'api-register-id'!A:A,
    MATCH(F660, 'api-register-id'!B:B, 0)
  ),
  "Not found Organization"
)</f>
        <v>SSFF</v>
      </c>
      <c r="B660" s="22" t="str">
        <f>IFERROR(VLOOKUP(F660, 'api-register-id'!B:F, 4, FALSE), "Not found path.")</f>
        <v>mx-api-bc-rec-systems-operations</v>
      </c>
      <c r="C660" s="78" t="s">
        <v>112</v>
      </c>
      <c r="D660" s="78" t="s">
        <v>1417</v>
      </c>
      <c r="E660" s="24" t="str">
        <f>IFERROR(VLOOKUP(F660, 'api-register-id'!B:F, 5, FALSE), "Not found path.")</f>
        <v>APIMX000150</v>
      </c>
      <c r="F660" s="25" t="s">
        <v>1784</v>
      </c>
      <c r="G660" s="26" t="s">
        <v>4948</v>
      </c>
      <c r="H660" s="3" t="s">
        <v>4949</v>
      </c>
      <c r="I660" s="29" t="str">
        <f>IFERROR(VLOOKUP(F660, 'api-register-id'!B:I, 8, FALSE), "Not found path.")</f>
        <v>1.0.0</v>
      </c>
      <c r="J660" s="3" t="s">
        <v>4945</v>
      </c>
      <c r="K660" s="31" t="s">
        <v>48</v>
      </c>
      <c r="L660" s="78" t="s">
        <v>49</v>
      </c>
      <c r="M660" s="3" t="s">
        <v>1933</v>
      </c>
      <c r="N660" s="3" t="str">
        <f t="shared" si="1"/>
        <v>POST /experience/iTManagement/systemsOperations/v1/processEvent/retrieve</v>
      </c>
      <c r="O660" s="32" t="s">
        <v>1934</v>
      </c>
      <c r="P660" s="32"/>
      <c r="Q660" s="61" t="s">
        <v>98</v>
      </c>
      <c r="R660" s="31" t="s">
        <v>56</v>
      </c>
      <c r="S660" s="38" t="str">
        <f t="shared" si="2"/>
        <v>https://github.com/SF-Bancoppel/mx-api-bc-rec-systems-operations</v>
      </c>
      <c r="T660" s="40"/>
      <c r="U660" s="40"/>
      <c r="V660" s="40"/>
      <c r="W660" s="40"/>
      <c r="X660" s="40"/>
      <c r="Y660" s="40"/>
      <c r="Z660" s="40"/>
      <c r="AA660" s="40"/>
      <c r="AB660" s="40"/>
    </row>
    <row r="661" ht="18.75" customHeight="1">
      <c r="A661" s="18" t="str">
        <f t="array" ref="A661">IFERROR(
  INDEX(
    'api-register-id'!A:A,
    MATCH(F661, 'api-register-id'!B:B, 0)
  ),
  "Not found Organization"
)</f>
        <v>SSFF</v>
      </c>
      <c r="B661" s="22" t="str">
        <f>IFERROR(VLOOKUP(F661, 'api-register-id'!B:F, 4, FALSE), "Not found path.")</f>
        <v>mx-api-bc-rec-transaction-engine</v>
      </c>
      <c r="C661" s="78" t="s">
        <v>112</v>
      </c>
      <c r="D661" s="78" t="s">
        <v>1417</v>
      </c>
      <c r="E661" s="24" t="str">
        <f>IFERROR(VLOOKUP(F661, 'api-register-id'!B:F, 5, FALSE), "Not found path.")</f>
        <v>APIMX000151</v>
      </c>
      <c r="F661" s="25" t="s">
        <v>1794</v>
      </c>
      <c r="G661" s="26" t="s">
        <v>4950</v>
      </c>
      <c r="H661" s="3" t="s">
        <v>4951</v>
      </c>
      <c r="I661" s="29" t="str">
        <f>IFERROR(VLOOKUP(F661, 'api-register-id'!B:I, 8, FALSE), "Not found path.")</f>
        <v>1.0.0</v>
      </c>
      <c r="J661" s="3" t="s">
        <v>4952</v>
      </c>
      <c r="K661" s="31" t="s">
        <v>48</v>
      </c>
      <c r="L661" s="78" t="s">
        <v>49</v>
      </c>
      <c r="M661" s="3" t="s">
        <v>1939</v>
      </c>
      <c r="N661" s="3" t="str">
        <f t="shared" si="1"/>
        <v>POST /experience/clearingAndSettlement/transactionEngine/v1/transactionScheduleFacility/initiate</v>
      </c>
      <c r="O661" s="32" t="s">
        <v>1940</v>
      </c>
      <c r="P661" s="32" t="s">
        <v>900</v>
      </c>
      <c r="Q661" s="61" t="s">
        <v>98</v>
      </c>
      <c r="R661" s="31" t="s">
        <v>56</v>
      </c>
      <c r="S661" s="38" t="str">
        <f t="shared" si="2"/>
        <v>https://github.com/SF-Bancoppel/mx-api-bc-rec-transaction-engine</v>
      </c>
      <c r="T661" s="40"/>
      <c r="U661" s="40"/>
      <c r="V661" s="40"/>
      <c r="W661" s="40"/>
      <c r="X661" s="40"/>
      <c r="Y661" s="40"/>
      <c r="Z661" s="40"/>
      <c r="AA661" s="40"/>
      <c r="AB661" s="40"/>
    </row>
    <row r="662" ht="18.75" customHeight="1">
      <c r="A662" s="18" t="str">
        <f t="array" ref="A662">IFERROR(
  INDEX(
    'api-register-id'!A:A,
    MATCH(F662, 'api-register-id'!B:B, 0)
  ),
  "Not found Organization"
)</f>
        <v>SSFF</v>
      </c>
      <c r="B662" s="22" t="str">
        <f>IFERROR(VLOOKUP(F662, 'api-register-id'!B:F, 4, FALSE), "Not found path.")</f>
        <v>mx-api-bc-rec-transaction-engine</v>
      </c>
      <c r="C662" s="78" t="s">
        <v>112</v>
      </c>
      <c r="D662" s="78" t="s">
        <v>1417</v>
      </c>
      <c r="E662" s="24" t="str">
        <f>IFERROR(VLOOKUP(F662, 'api-register-id'!B:F, 5, FALSE), "Not found path.")</f>
        <v>APIMX000151</v>
      </c>
      <c r="F662" s="25" t="s">
        <v>1794</v>
      </c>
      <c r="G662" s="26" t="s">
        <v>4953</v>
      </c>
      <c r="H662" s="3" t="s">
        <v>4954</v>
      </c>
      <c r="I662" s="29" t="str">
        <f>IFERROR(VLOOKUP(F662, 'api-register-id'!B:I, 8, FALSE), "Not found path.")</f>
        <v>1.0.0</v>
      </c>
      <c r="J662" s="3" t="s">
        <v>4952</v>
      </c>
      <c r="K662" s="31" t="s">
        <v>48</v>
      </c>
      <c r="L662" s="78" t="s">
        <v>49</v>
      </c>
      <c r="M662" s="3" t="s">
        <v>1945</v>
      </c>
      <c r="N662" s="3" t="str">
        <f t="shared" si="1"/>
        <v>POST /experience/clearingAndSettlement/transactionEngine/v1/transactionScheduleFacility/register</v>
      </c>
      <c r="O662" s="32" t="s">
        <v>1946</v>
      </c>
      <c r="P662" s="32" t="s">
        <v>900</v>
      </c>
      <c r="Q662" s="61" t="s">
        <v>98</v>
      </c>
      <c r="R662" s="31" t="s">
        <v>56</v>
      </c>
      <c r="S662" s="38" t="str">
        <f t="shared" si="2"/>
        <v>https://github.com/SF-Bancoppel/mx-api-bc-rec-transaction-engine</v>
      </c>
      <c r="T662" s="40"/>
      <c r="U662" s="40"/>
      <c r="V662" s="40"/>
      <c r="W662" s="40"/>
      <c r="X662" s="40"/>
      <c r="Y662" s="40"/>
      <c r="Z662" s="40"/>
      <c r="AA662" s="40"/>
      <c r="AB662" s="40"/>
    </row>
    <row r="663" ht="18.75" customHeight="1">
      <c r="A663" s="18" t="str">
        <f t="array" ref="A663">IFERROR(
  INDEX(
    'api-register-id'!A:A,
    MATCH(F663, 'api-register-id'!B:B, 0)
  ),
  "Not found Organization"
)</f>
        <v>SSFF</v>
      </c>
      <c r="B663" s="22" t="str">
        <f>IFERROR(VLOOKUP(F663, 'api-register-id'!B:F, 4, FALSE), "Not found path.")</f>
        <v>mx-api-bc-rec-utility</v>
      </c>
      <c r="C663" s="78" t="s">
        <v>112</v>
      </c>
      <c r="D663" s="78" t="s">
        <v>1417</v>
      </c>
      <c r="E663" s="24" t="str">
        <f>IFERROR(VLOOKUP(F663, 'api-register-id'!B:F, 5, FALSE), "Not found path.")</f>
        <v>APIMX000152</v>
      </c>
      <c r="F663" s="25" t="s">
        <v>1805</v>
      </c>
      <c r="G663" s="26" t="s">
        <v>4955</v>
      </c>
      <c r="H663" s="3" t="s">
        <v>4956</v>
      </c>
      <c r="I663" s="29" t="str">
        <f>IFERROR(VLOOKUP(F663, 'api-register-id'!B:I, 8, FALSE), "Not found path.")</f>
        <v>1.1.0</v>
      </c>
      <c r="J663" s="3" t="s">
        <v>4957</v>
      </c>
      <c r="K663" s="31" t="s">
        <v>48</v>
      </c>
      <c r="L663" s="78" t="s">
        <v>108</v>
      </c>
      <c r="M663" s="3" t="s">
        <v>1981</v>
      </c>
      <c r="N663" s="3" t="str">
        <f t="shared" si="1"/>
        <v>GET /experience/utility/utility/v1/dataParameter/{companyReference}/retrieve</v>
      </c>
      <c r="O663" s="32" t="s">
        <v>4612</v>
      </c>
      <c r="P663" s="32"/>
      <c r="Q663" s="61" t="s">
        <v>98</v>
      </c>
      <c r="R663" s="31" t="s">
        <v>56</v>
      </c>
      <c r="S663" s="38" t="str">
        <f t="shared" si="2"/>
        <v>https://github.com/SF-Bancoppel/mx-api-bc-rec-utility</v>
      </c>
      <c r="T663" s="40"/>
      <c r="U663" s="40"/>
      <c r="V663" s="40"/>
      <c r="W663" s="40"/>
      <c r="X663" s="40"/>
      <c r="Y663" s="40"/>
      <c r="Z663" s="40"/>
      <c r="AA663" s="40"/>
      <c r="AB663" s="40"/>
    </row>
    <row r="664" ht="18.75" customHeight="1">
      <c r="A664" s="18" t="str">
        <f t="array" ref="A664">IFERROR(
  INDEX(
    'api-register-id'!A:A,
    MATCH(F664, 'api-register-id'!B:B, 0)
  ),
  "Not found Organization"
)</f>
        <v>SSFF</v>
      </c>
      <c r="B664" s="22" t="str">
        <f>IFERROR(VLOOKUP(F664, 'api-register-id'!B:F, 4, FALSE), "Not found path.")</f>
        <v>mx-api-bc-rec-utility</v>
      </c>
      <c r="C664" s="78" t="s">
        <v>112</v>
      </c>
      <c r="D664" s="78" t="s">
        <v>1417</v>
      </c>
      <c r="E664" s="24" t="str">
        <f>IFERROR(VLOOKUP(F664, 'api-register-id'!B:F, 5, FALSE), "Not found path.")</f>
        <v>APIMX000152</v>
      </c>
      <c r="F664" s="25" t="s">
        <v>1805</v>
      </c>
      <c r="G664" s="26" t="s">
        <v>4958</v>
      </c>
      <c r="H664" s="3" t="s">
        <v>4959</v>
      </c>
      <c r="I664" s="29" t="str">
        <f>IFERROR(VLOOKUP(F664, 'api-register-id'!B:I, 8, FALSE), "Not found path.")</f>
        <v>1.1.0</v>
      </c>
      <c r="J664" s="3" t="s">
        <v>4957</v>
      </c>
      <c r="K664" s="31" t="s">
        <v>48</v>
      </c>
      <c r="L664" s="78" t="s">
        <v>108</v>
      </c>
      <c r="M664" s="3" t="s">
        <v>1971</v>
      </c>
      <c r="N664" s="3" t="str">
        <f t="shared" si="1"/>
        <v>GET /experience/utility/utility/v1/bRCommisionIVAParams/{companyReference}/retrieve</v>
      </c>
      <c r="O664" s="32" t="s">
        <v>1972</v>
      </c>
      <c r="P664" s="32"/>
      <c r="Q664" s="61" t="s">
        <v>98</v>
      </c>
      <c r="R664" s="31" t="s">
        <v>56</v>
      </c>
      <c r="S664" s="38" t="str">
        <f t="shared" si="2"/>
        <v>https://github.com/SF-Bancoppel/mx-api-bc-rec-utility</v>
      </c>
      <c r="T664" s="40"/>
      <c r="U664" s="40"/>
      <c r="V664" s="40"/>
      <c r="W664" s="40"/>
      <c r="X664" s="40"/>
      <c r="Y664" s="40"/>
      <c r="Z664" s="40"/>
      <c r="AA664" s="40"/>
      <c r="AB664" s="40"/>
    </row>
    <row r="665" ht="18.75" customHeight="1">
      <c r="A665" s="18" t="str">
        <f t="array" ref="A665">IFERROR(
  INDEX(
    'api-register-id'!A:A,
    MATCH(F665, 'api-register-id'!B:B, 0)
  ),
  "Not found Organization"
)</f>
        <v>SSFF</v>
      </c>
      <c r="B665" s="22" t="str">
        <f>IFERROR(VLOOKUP(F665, 'api-register-id'!B:F, 4, FALSE), "Not found path.")</f>
        <v>mx-api-bc-bus-operations-and-execution</v>
      </c>
      <c r="C665" s="78" t="s">
        <v>41</v>
      </c>
      <c r="D665" s="78" t="s">
        <v>42</v>
      </c>
      <c r="E665" s="24" t="str">
        <f>IFERROR(VLOOKUP(F665, 'api-register-id'!B:F, 5, FALSE), "Not found path.")</f>
        <v>APIMX000002</v>
      </c>
      <c r="F665" s="25" t="s">
        <v>72</v>
      </c>
      <c r="G665" s="26" t="s">
        <v>4960</v>
      </c>
      <c r="H665" s="22" t="s">
        <v>4961</v>
      </c>
      <c r="I665" s="29" t="str">
        <f>IFERROR(VLOOKUP(F665, 'api-register-id'!B:I, 8, FALSE), "Not found path.")</f>
        <v>1.16.1</v>
      </c>
      <c r="J665" s="3" t="s">
        <v>93</v>
      </c>
      <c r="K665" s="31" t="s">
        <v>48</v>
      </c>
      <c r="L665" s="78" t="s">
        <v>428</v>
      </c>
      <c r="M665" s="3" t="s">
        <v>1165</v>
      </c>
      <c r="N665" s="3" t="str">
        <f t="shared" si="1"/>
        <v>PATCH /operationsAndExecution/v1/deviceAssignment/update</v>
      </c>
      <c r="O665" s="32" t="s">
        <v>4962</v>
      </c>
      <c r="P665" s="32" t="s">
        <v>652</v>
      </c>
      <c r="Q665" s="61" t="s">
        <v>98</v>
      </c>
      <c r="R665" s="31" t="s">
        <v>56</v>
      </c>
      <c r="S665" s="38" t="str">
        <f t="shared" si="2"/>
        <v>https://github.com/SF-Bancoppel/mx-api-bc-bus-operations-and-execution</v>
      </c>
      <c r="T665" s="40"/>
      <c r="U665" s="40"/>
      <c r="V665" s="40"/>
      <c r="W665" s="40"/>
      <c r="X665" s="40"/>
      <c r="Y665" s="40"/>
      <c r="Z665" s="40"/>
      <c r="AA665" s="40"/>
      <c r="AB665" s="40"/>
    </row>
    <row r="666" ht="18.75" customHeight="1">
      <c r="A666" s="18" t="str">
        <f t="array" ref="A666">IFERROR(
  INDEX(
    'api-register-id'!A:A,
    MATCH(F666, 'api-register-id'!B:B, 0)
  ),
  "Not found Organization"
)</f>
        <v>SSFF</v>
      </c>
      <c r="B666" s="22" t="str">
        <f>IFERROR(VLOOKUP(F666, 'api-register-id'!B:F, 4, FALSE), "Not found path.")</f>
        <v>mx-api-bc-bus-operations-and-execution</v>
      </c>
      <c r="C666" s="78" t="s">
        <v>41</v>
      </c>
      <c r="D666" s="78" t="s">
        <v>42</v>
      </c>
      <c r="E666" s="24" t="str">
        <f>IFERROR(VLOOKUP(F666, 'api-register-id'!B:F, 5, FALSE), "Not found path.")</f>
        <v>APIMX000002</v>
      </c>
      <c r="F666" s="25" t="s">
        <v>72</v>
      </c>
      <c r="G666" s="26" t="s">
        <v>4963</v>
      </c>
      <c r="H666" s="22" t="s">
        <v>4964</v>
      </c>
      <c r="I666" s="29" t="str">
        <f>IFERROR(VLOOKUP(F666, 'api-register-id'!B:I, 8, FALSE), "Not found path.")</f>
        <v>1.16.1</v>
      </c>
      <c r="J666" s="3" t="s">
        <v>93</v>
      </c>
      <c r="K666" s="31" t="s">
        <v>48</v>
      </c>
      <c r="L666" s="78" t="s">
        <v>49</v>
      </c>
      <c r="M666" s="3" t="s">
        <v>4965</v>
      </c>
      <c r="N666" s="3" t="str">
        <f t="shared" si="1"/>
        <v>POST /operationsAndExecution/v1/customerCreditCards/retrieve</v>
      </c>
      <c r="O666" s="32" t="s">
        <v>4966</v>
      </c>
      <c r="P666" s="32" t="s">
        <v>652</v>
      </c>
      <c r="Q666" s="61" t="s">
        <v>4967</v>
      </c>
      <c r="R666" s="31" t="s">
        <v>56</v>
      </c>
      <c r="S666" s="38" t="str">
        <f t="shared" si="2"/>
        <v>https://github.com/SF-Bancoppel/mx-api-bc-bus-operations-and-execution</v>
      </c>
      <c r="T666" s="40"/>
      <c r="U666" s="40"/>
      <c r="V666" s="40"/>
      <c r="W666" s="40"/>
      <c r="X666" s="40"/>
      <c r="Y666" s="40"/>
      <c r="Z666" s="40"/>
      <c r="AA666" s="40"/>
      <c r="AB666" s="40"/>
    </row>
    <row r="667" ht="18.75" customHeight="1">
      <c r="A667" s="18" t="str">
        <f t="array" ref="A667">IFERROR(
  INDEX(
    'api-register-id'!A:A,
    MATCH(F667, 'api-register-id'!B:B, 0)
  ),
  "Not found Organization"
)</f>
        <v>SSFF</v>
      </c>
      <c r="B667" s="22" t="str">
        <f>IFERROR(VLOOKUP(F667, 'api-register-id'!B:F, 4, FALSE), "Not found path.")</f>
        <v>mx-api-bc-dom-branch-network-management</v>
      </c>
      <c r="C667" s="78" t="s">
        <v>41</v>
      </c>
      <c r="D667" s="78" t="s">
        <v>119</v>
      </c>
      <c r="E667" s="24" t="str">
        <f>IFERROR(VLOOKUP(F667, 'api-register-id'!B:F, 5, FALSE), "Not found path.")</f>
        <v>APIMX000007</v>
      </c>
      <c r="F667" s="25" t="s">
        <v>139</v>
      </c>
      <c r="G667" s="26" t="s">
        <v>4968</v>
      </c>
      <c r="H667" s="22" t="s">
        <v>4969</v>
      </c>
      <c r="I667" s="29" t="str">
        <f>IFERROR(VLOOKUP(F667, 'api-register-id'!B:I, 8, FALSE), "Not found path.")</f>
        <v>1.1.0</v>
      </c>
      <c r="J667" s="3" t="s">
        <v>4970</v>
      </c>
      <c r="K667" s="31" t="s">
        <v>48</v>
      </c>
      <c r="L667" s="78" t="s">
        <v>108</v>
      </c>
      <c r="M667" s="3" t="s">
        <v>4971</v>
      </c>
      <c r="N667" s="3" t="str">
        <f t="shared" si="1"/>
        <v>GET /channelSpecific/branchNetworkManagement/v1/branchFacility/retrieve</v>
      </c>
      <c r="O667" s="32" t="s">
        <v>4972</v>
      </c>
      <c r="P667" s="32" t="s">
        <v>652</v>
      </c>
      <c r="Q667" s="61" t="s">
        <v>98</v>
      </c>
      <c r="R667" s="31" t="s">
        <v>56</v>
      </c>
      <c r="S667" s="38" t="str">
        <f t="shared" si="2"/>
        <v>https://github.com/SF-Bancoppel/mx-api-bc-dom-branch-network-management</v>
      </c>
      <c r="T667" s="40"/>
      <c r="U667" s="40"/>
      <c r="V667" s="40"/>
      <c r="W667" s="40"/>
      <c r="X667" s="40"/>
      <c r="Y667" s="40"/>
      <c r="Z667" s="40"/>
      <c r="AA667" s="40"/>
      <c r="AB667" s="40"/>
    </row>
    <row r="668" ht="18.75" customHeight="1">
      <c r="A668" s="18" t="str">
        <f t="array" ref="A668">IFERROR(
  INDEX(
    'api-register-id'!A:A,
    MATCH(F668, 'api-register-id'!B:B, 0)
  ),
  "Not found Organization"
)</f>
        <v>SSFF</v>
      </c>
      <c r="B668" s="22" t="str">
        <f>IFERROR(VLOOKUP(F668, 'api-register-id'!B:F, 4, FALSE), "Not found path.")</f>
        <v>mx-api-bc-dom-customer-product-and-service-eligibility</v>
      </c>
      <c r="C668" s="78" t="s">
        <v>41</v>
      </c>
      <c r="D668" s="78" t="s">
        <v>119</v>
      </c>
      <c r="E668" s="24" t="str">
        <f>IFERROR(VLOOKUP(F668, 'api-register-id'!B:F, 5, FALSE), "Not found path.")</f>
        <v>APIMX000022</v>
      </c>
      <c r="F668" s="25" t="s">
        <v>375</v>
      </c>
      <c r="G668" s="26" t="s">
        <v>4973</v>
      </c>
      <c r="H668" s="22" t="s">
        <v>4974</v>
      </c>
      <c r="I668" s="29" t="str">
        <f>IFERROR(VLOOKUP(F668, 'api-register-id'!B:I, 8, FALSE), "Not found path.")</f>
        <v>1.1.0</v>
      </c>
      <c r="J668" s="3" t="s">
        <v>940</v>
      </c>
      <c r="K668" s="31" t="s">
        <v>48</v>
      </c>
      <c r="L668" s="78" t="s">
        <v>49</v>
      </c>
      <c r="M668" s="3" t="s">
        <v>4975</v>
      </c>
      <c r="N668" s="3" t="str">
        <f t="shared" si="1"/>
        <v>POST /customerManagement/customerProductAndServiceEligibility/v1/eligibilityCheck/evaluate</v>
      </c>
      <c r="O668" s="32" t="s">
        <v>4976</v>
      </c>
      <c r="P668" s="32" t="s">
        <v>652</v>
      </c>
      <c r="Q668" s="61" t="s">
        <v>98</v>
      </c>
      <c r="R668" s="31" t="s">
        <v>56</v>
      </c>
      <c r="S668" s="38" t="str">
        <f t="shared" si="2"/>
        <v>https://github.com/SF-Bancoppel/mx-api-bc-dom-customer-product-and-service-eligibility</v>
      </c>
      <c r="T668" s="40"/>
      <c r="U668" s="40"/>
      <c r="V668" s="40"/>
      <c r="W668" s="40"/>
      <c r="X668" s="40"/>
      <c r="Y668" s="40"/>
      <c r="Z668" s="40"/>
      <c r="AA668" s="40"/>
      <c r="AB668" s="40"/>
    </row>
    <row r="669" ht="18.75" customHeight="1">
      <c r="A669" s="18" t="str">
        <f t="array" ref="A669">IFERROR(
  INDEX(
    'api-register-id'!A:A,
    MATCH(F669, 'api-register-id'!B:B, 0)
  ),
  "Not found Organization"
)</f>
        <v>SSFF</v>
      </c>
      <c r="B669" s="22" t="str">
        <f>IFERROR(VLOOKUP(F669, 'api-register-id'!B:F, 4, FALSE), "Not found path.")</f>
        <v>mx-api-bc-dom-customer-product-and-service-eligibility</v>
      </c>
      <c r="C669" s="78" t="s">
        <v>41</v>
      </c>
      <c r="D669" s="78" t="s">
        <v>119</v>
      </c>
      <c r="E669" s="24" t="str">
        <f>IFERROR(VLOOKUP(F669, 'api-register-id'!B:F, 5, FALSE), "Not found path.")</f>
        <v>APIMX000022</v>
      </c>
      <c r="F669" s="25" t="s">
        <v>375</v>
      </c>
      <c r="G669" s="26" t="s">
        <v>4977</v>
      </c>
      <c r="H669" s="22" t="s">
        <v>4978</v>
      </c>
      <c r="I669" s="29" t="str">
        <f>IFERROR(VLOOKUP(F669, 'api-register-id'!B:I, 8, FALSE), "Not found path.")</f>
        <v>1.1.0</v>
      </c>
      <c r="J669" s="3" t="s">
        <v>940</v>
      </c>
      <c r="K669" s="31" t="s">
        <v>48</v>
      </c>
      <c r="L669" s="78" t="s">
        <v>49</v>
      </c>
      <c r="M669" s="3" t="s">
        <v>4979</v>
      </c>
      <c r="N669" s="3" t="str">
        <f t="shared" si="1"/>
        <v>POST /customerManagement/customerProductAndServiceEligibility/v1/eligibilityCheck/retrieve</v>
      </c>
      <c r="O669" s="32" t="s">
        <v>4980</v>
      </c>
      <c r="P669" s="32" t="s">
        <v>652</v>
      </c>
      <c r="Q669" s="61" t="s">
        <v>98</v>
      </c>
      <c r="R669" s="31" t="s">
        <v>56</v>
      </c>
      <c r="S669" s="38" t="str">
        <f t="shared" si="2"/>
        <v>https://github.com/SF-Bancoppel/mx-api-bc-dom-customer-product-and-service-eligibility</v>
      </c>
      <c r="T669" s="40"/>
      <c r="U669" s="40"/>
      <c r="V669" s="40"/>
      <c r="W669" s="40"/>
      <c r="X669" s="40"/>
      <c r="Y669" s="40"/>
      <c r="Z669" s="40"/>
      <c r="AA669" s="40"/>
      <c r="AB669" s="40"/>
    </row>
    <row r="670" ht="18.75" customHeight="1">
      <c r="A670" s="18" t="str">
        <f t="array" ref="A670">IFERROR(
  INDEX(
    'api-register-id'!A:A,
    MATCH(F670, 'api-register-id'!B:B, 0)
  ),
  "Not found Organization"
)</f>
        <v>SSFF</v>
      </c>
      <c r="B670" s="22" t="str">
        <f>IFERROR(VLOOKUP(F670, 'api-register-id'!B:F, 4, FALSE), "Not found path.")</f>
        <v>mx-api-bc-dom-customer-product-and-service-eligibility</v>
      </c>
      <c r="C670" s="78" t="s">
        <v>41</v>
      </c>
      <c r="D670" s="78" t="s">
        <v>119</v>
      </c>
      <c r="E670" s="24" t="str">
        <f>IFERROR(VLOOKUP(F670, 'api-register-id'!B:F, 5, FALSE), "Not found path.")</f>
        <v>APIMX000022</v>
      </c>
      <c r="F670" s="25" t="s">
        <v>375</v>
      </c>
      <c r="G670" s="26" t="s">
        <v>4981</v>
      </c>
      <c r="H670" s="22" t="s">
        <v>4982</v>
      </c>
      <c r="I670" s="29" t="str">
        <f>IFERROR(VLOOKUP(F670, 'api-register-id'!B:I, 8, FALSE), "Not found path.")</f>
        <v>1.1.0</v>
      </c>
      <c r="J670" s="3" t="s">
        <v>940</v>
      </c>
      <c r="K670" s="31" t="s">
        <v>48</v>
      </c>
      <c r="L670" s="78" t="s">
        <v>49</v>
      </c>
      <c r="M670" s="3" t="s">
        <v>4983</v>
      </c>
      <c r="N670" s="3" t="str">
        <f t="shared" si="1"/>
        <v>POST /customerManagement/customerProductAndServiceEligibility/v1/customerEligibilityReport/evaluate</v>
      </c>
      <c r="O670" s="32" t="s">
        <v>4984</v>
      </c>
      <c r="P670" s="32" t="s">
        <v>652</v>
      </c>
      <c r="Q670" s="61" t="s">
        <v>98</v>
      </c>
      <c r="R670" s="31" t="s">
        <v>56</v>
      </c>
      <c r="S670" s="38" t="str">
        <f t="shared" si="2"/>
        <v>https://github.com/SF-Bancoppel/mx-api-bc-dom-customer-product-and-service-eligibility</v>
      </c>
      <c r="T670" s="40"/>
      <c r="U670" s="40"/>
      <c r="V670" s="40"/>
      <c r="W670" s="40"/>
      <c r="X670" s="40"/>
      <c r="Y670" s="40"/>
      <c r="Z670" s="40"/>
      <c r="AA670" s="40"/>
      <c r="AB670" s="40"/>
    </row>
    <row r="671" ht="18.75" customHeight="1">
      <c r="A671" s="18" t="str">
        <f t="array" ref="A671">IFERROR(
  INDEX(
    'api-register-id'!A:A,
    MATCH(F671, 'api-register-id'!B:B, 0)
  ),
  "Not found Organization"
)</f>
        <v>SSFF</v>
      </c>
      <c r="B671" s="22" t="str">
        <f>IFERROR(VLOOKUP(F671, 'api-register-id'!B:F, 4, FALSE), "Not found path.")</f>
        <v>mx-api-bc-dom-issued-device-tracking</v>
      </c>
      <c r="C671" s="78" t="s">
        <v>41</v>
      </c>
      <c r="D671" s="78" t="s">
        <v>119</v>
      </c>
      <c r="E671" s="24" t="str">
        <f>IFERROR(VLOOKUP(F671, 'api-register-id'!B:F, 5, FALSE), "Not found path.")</f>
        <v>APIMX000035</v>
      </c>
      <c r="F671" s="25" t="s">
        <v>565</v>
      </c>
      <c r="G671" s="26" t="s">
        <v>4985</v>
      </c>
      <c r="H671" s="22" t="s">
        <v>4986</v>
      </c>
      <c r="I671" s="29" t="str">
        <f>IFERROR(VLOOKUP(F671, 'api-register-id'!B:I, 8, FALSE), "Not found path.")</f>
        <v>1.1.0</v>
      </c>
      <c r="J671" s="3" t="s">
        <v>4987</v>
      </c>
      <c r="K671" s="31" t="s">
        <v>48</v>
      </c>
      <c r="L671" s="78" t="s">
        <v>49</v>
      </c>
      <c r="M671" s="3" t="s">
        <v>4988</v>
      </c>
      <c r="N671" s="3" t="str">
        <f t="shared" si="1"/>
        <v>POST /operationalServices/issuedDeviceTracking/v1/issuedDeviceState/retrieve</v>
      </c>
      <c r="O671" s="32" t="s">
        <v>1850</v>
      </c>
      <c r="P671" s="32" t="s">
        <v>652</v>
      </c>
      <c r="Q671" s="61" t="s">
        <v>98</v>
      </c>
      <c r="R671" s="31" t="s">
        <v>56</v>
      </c>
      <c r="S671" s="38" t="str">
        <f t="shared" si="2"/>
        <v>https://github.com/SF-Bancoppel/mx-api-bc-dom-issued-device-tracking</v>
      </c>
      <c r="T671" s="40"/>
      <c r="U671" s="40"/>
      <c r="V671" s="40"/>
      <c r="W671" s="40"/>
      <c r="X671" s="40"/>
      <c r="Y671" s="40"/>
      <c r="Z671" s="40"/>
      <c r="AA671" s="40"/>
      <c r="AB671" s="40"/>
    </row>
    <row r="672" ht="18.75" customHeight="1">
      <c r="A672" s="18" t="str">
        <f t="array" ref="A672">IFERROR(
  INDEX(
    'api-register-id'!A:A,
    MATCH(F672, 'api-register-id'!B:B, 0)
  ),
  "Not found Organization"
)</f>
        <v>SSFF</v>
      </c>
      <c r="B672" s="22" t="str">
        <f>IFERROR(VLOOKUP(F672, 'api-register-id'!B:F, 4, FALSE), "Not found path.")</f>
        <v>mx-api-bc-dom-party-authentication</v>
      </c>
      <c r="C672" s="78" t="s">
        <v>41</v>
      </c>
      <c r="D672" s="78" t="s">
        <v>119</v>
      </c>
      <c r="E672" s="24" t="str">
        <f>IFERROR(VLOOKUP(F672, 'api-register-id'!B:F, 5, FALSE), "Not found path.")</f>
        <v>APIMX000039</v>
      </c>
      <c r="F672" s="25" t="s">
        <v>615</v>
      </c>
      <c r="G672" s="26" t="s">
        <v>4989</v>
      </c>
      <c r="H672" s="22" t="s">
        <v>4990</v>
      </c>
      <c r="I672" s="29" t="str">
        <f>IFERROR(VLOOKUP(F672, 'api-register-id'!B:I, 8, FALSE), "Not found path.")</f>
        <v>1.1.0</v>
      </c>
      <c r="J672" s="3" t="s">
        <v>1295</v>
      </c>
      <c r="K672" s="31" t="s">
        <v>48</v>
      </c>
      <c r="L672" s="78" t="s">
        <v>49</v>
      </c>
      <c r="M672" s="3" t="s">
        <v>4991</v>
      </c>
      <c r="N672" s="3" t="str">
        <f t="shared" si="1"/>
        <v>POST /crossChannel/partyAuthentication/v1/passwordPolicies/evaluate</v>
      </c>
      <c r="O672" s="32" t="s">
        <v>1309</v>
      </c>
      <c r="P672" s="32" t="s">
        <v>652</v>
      </c>
      <c r="Q672" s="61" t="s">
        <v>98</v>
      </c>
      <c r="R672" s="31" t="s">
        <v>56</v>
      </c>
      <c r="S672" s="38" t="str">
        <f t="shared" si="2"/>
        <v>https://github.com/SF-Bancoppel/mx-api-bc-dom-party-authentication</v>
      </c>
      <c r="T672" s="40"/>
      <c r="U672" s="40"/>
      <c r="V672" s="40"/>
      <c r="W672" s="40"/>
      <c r="X672" s="40"/>
      <c r="Y672" s="40"/>
      <c r="Z672" s="40"/>
      <c r="AA672" s="40"/>
      <c r="AB672" s="40"/>
    </row>
    <row r="673" ht="18.75" customHeight="1">
      <c r="A673" s="18" t="str">
        <f t="array" ref="A673">IFERROR(
  INDEX(
    'api-register-id'!A:A,
    MATCH(F673, 'api-register-id'!B:B, 0)
  ),
  "Not found Organization"
)</f>
        <v>SSFF</v>
      </c>
      <c r="B673" s="22" t="str">
        <f>IFERROR(VLOOKUP(F673, 'api-register-id'!B:F, 4, FALSE), "Not found path.")</f>
        <v>mx-api-bc-pro-branch-network-management</v>
      </c>
      <c r="C673" s="78" t="s">
        <v>41</v>
      </c>
      <c r="D673" s="78" t="s">
        <v>811</v>
      </c>
      <c r="E673" s="24" t="str">
        <f>IFERROR(VLOOKUP(F673, 'api-register-id'!B:F, 5, FALSE), "Not found path.")</f>
        <v>APIMX000061</v>
      </c>
      <c r="F673" s="25" t="s">
        <v>829</v>
      </c>
      <c r="G673" s="26" t="s">
        <v>4992</v>
      </c>
      <c r="H673" s="22" t="s">
        <v>4993</v>
      </c>
      <c r="I673" s="29" t="str">
        <f>IFERROR(VLOOKUP(F673, 'api-register-id'!B:I, 8, FALSE), "Not found path.")</f>
        <v>1.1.0</v>
      </c>
      <c r="J673" s="3" t="s">
        <v>4994</v>
      </c>
      <c r="K673" s="31" t="s">
        <v>48</v>
      </c>
      <c r="L673" s="78" t="s">
        <v>108</v>
      </c>
      <c r="M673" s="3" t="s">
        <v>4971</v>
      </c>
      <c r="N673" s="3" t="str">
        <f t="shared" si="1"/>
        <v>GET /system/channelSpecific/branchNetworkManagement/v1/branchFacility/retrieve</v>
      </c>
      <c r="O673" s="32" t="s">
        <v>4972</v>
      </c>
      <c r="P673" s="32" t="s">
        <v>652</v>
      </c>
      <c r="Q673" s="61" t="s">
        <v>98</v>
      </c>
      <c r="R673" s="31" t="s">
        <v>56</v>
      </c>
      <c r="S673" s="38" t="str">
        <f t="shared" si="2"/>
        <v>https://github.com/SF-Bancoppel/mx-api-bc-pro-branch-network-management</v>
      </c>
      <c r="T673" s="40"/>
      <c r="U673" s="40"/>
      <c r="V673" s="40"/>
      <c r="W673" s="40"/>
      <c r="X673" s="40"/>
      <c r="Y673" s="40"/>
      <c r="Z673" s="40"/>
      <c r="AA673" s="40"/>
      <c r="AB673" s="40"/>
    </row>
    <row r="674" ht="18.75" customHeight="1">
      <c r="A674" s="18" t="str">
        <f t="array" ref="A674">IFERROR(
  INDEX(
    'api-register-id'!A:A,
    MATCH(F674, 'api-register-id'!B:B, 0)
  ),
  "Not found Organization"
)</f>
        <v>SSFF</v>
      </c>
      <c r="B674" s="22" t="str">
        <f>IFERROR(VLOOKUP(F674, 'api-register-id'!B:F, 4, FALSE), "Not found path.")</f>
        <v>mx-api-bc-pro-customer-product-and-service-eligibility</v>
      </c>
      <c r="C674" s="78" t="s">
        <v>41</v>
      </c>
      <c r="D674" s="78" t="s">
        <v>811</v>
      </c>
      <c r="E674" s="24" t="str">
        <f>IFERROR(VLOOKUP(F674, 'api-register-id'!B:F, 5, FALSE), "Not found path.")</f>
        <v>APIMX000078</v>
      </c>
      <c r="F674" s="25" t="s">
        <v>1023</v>
      </c>
      <c r="G674" s="26" t="s">
        <v>4995</v>
      </c>
      <c r="H674" s="22" t="s">
        <v>4996</v>
      </c>
      <c r="I674" s="29" t="str">
        <f>IFERROR(VLOOKUP(F674, 'api-register-id'!B:I, 8, FALSE), "Not found path.")</f>
        <v>1.1.0</v>
      </c>
      <c r="J674" s="3" t="s">
        <v>3574</v>
      </c>
      <c r="K674" s="31" t="s">
        <v>48</v>
      </c>
      <c r="L674" s="78" t="s">
        <v>49</v>
      </c>
      <c r="M674" s="3" t="s">
        <v>4975</v>
      </c>
      <c r="N674" s="3" t="str">
        <f t="shared" si="1"/>
        <v>POST /system/customerManagement/customerProductAndServiceEligibility/v1/eligibilityCheck/evaluate</v>
      </c>
      <c r="O674" s="32" t="s">
        <v>4976</v>
      </c>
      <c r="P674" s="32" t="s">
        <v>652</v>
      </c>
      <c r="Q674" s="61" t="s">
        <v>98</v>
      </c>
      <c r="R674" s="31" t="s">
        <v>56</v>
      </c>
      <c r="S674" s="38" t="str">
        <f t="shared" si="2"/>
        <v>https://github.com/SF-Bancoppel/mx-api-bc-pro-customer-product-and-service-eligibility</v>
      </c>
      <c r="T674" s="40"/>
      <c r="U674" s="40"/>
      <c r="V674" s="40"/>
      <c r="W674" s="40"/>
      <c r="X674" s="40"/>
      <c r="Y674" s="40"/>
      <c r="Z674" s="40"/>
      <c r="AA674" s="40"/>
      <c r="AB674" s="40"/>
    </row>
    <row r="675" ht="18.75" customHeight="1">
      <c r="A675" s="18" t="str">
        <f t="array" ref="A675">IFERROR(
  INDEX(
    'api-register-id'!A:A,
    MATCH(F675, 'api-register-id'!B:B, 0)
  ),
  "Not found Organization"
)</f>
        <v>SSFF</v>
      </c>
      <c r="B675" s="22" t="str">
        <f>IFERROR(VLOOKUP(F675, 'api-register-id'!B:F, 4, FALSE), "Not found path.")</f>
        <v>mx-api-bc-pro-customer-product-and-service-eligibility</v>
      </c>
      <c r="C675" s="78" t="s">
        <v>41</v>
      </c>
      <c r="D675" s="78" t="s">
        <v>811</v>
      </c>
      <c r="E675" s="24" t="str">
        <f>IFERROR(VLOOKUP(F675, 'api-register-id'!B:F, 5, FALSE), "Not found path.")</f>
        <v>APIMX000078</v>
      </c>
      <c r="F675" s="25" t="s">
        <v>1023</v>
      </c>
      <c r="G675" s="26" t="s">
        <v>4997</v>
      </c>
      <c r="H675" s="22" t="s">
        <v>4998</v>
      </c>
      <c r="I675" s="29" t="str">
        <f>IFERROR(VLOOKUP(F675, 'api-register-id'!B:I, 8, FALSE), "Not found path.")</f>
        <v>1.1.0</v>
      </c>
      <c r="J675" s="3" t="s">
        <v>3574</v>
      </c>
      <c r="K675" s="31" t="s">
        <v>48</v>
      </c>
      <c r="L675" s="78" t="s">
        <v>49</v>
      </c>
      <c r="M675" s="3" t="s">
        <v>4979</v>
      </c>
      <c r="N675" s="3" t="str">
        <f t="shared" si="1"/>
        <v>POST /system/customerManagement/customerProductAndServiceEligibility/v1/eligibilityCheck/retrieve</v>
      </c>
      <c r="O675" s="32" t="s">
        <v>4980</v>
      </c>
      <c r="P675" s="32" t="s">
        <v>652</v>
      </c>
      <c r="Q675" s="61" t="s">
        <v>98</v>
      </c>
      <c r="R675" s="31" t="s">
        <v>56</v>
      </c>
      <c r="S675" s="38" t="str">
        <f t="shared" si="2"/>
        <v>https://github.com/SF-Bancoppel/mx-api-bc-pro-customer-product-and-service-eligibility</v>
      </c>
      <c r="T675" s="40"/>
      <c r="U675" s="40"/>
      <c r="V675" s="40"/>
      <c r="W675" s="40"/>
      <c r="X675" s="40"/>
      <c r="Y675" s="40"/>
      <c r="Z675" s="40"/>
      <c r="AA675" s="40"/>
      <c r="AB675" s="40"/>
    </row>
    <row r="676" ht="18.75" customHeight="1">
      <c r="A676" s="18" t="str">
        <f t="array" ref="A676">IFERROR(
  INDEX(
    'api-register-id'!A:A,
    MATCH(F676, 'api-register-id'!B:B, 0)
  ),
  "Not found Organization"
)</f>
        <v>SSFF</v>
      </c>
      <c r="B676" s="22" t="str">
        <f>IFERROR(VLOOKUP(F676, 'api-register-id'!B:F, 4, FALSE), "Not found path.")</f>
        <v>mx-api-bc-pro-customer-product-and-service-eligibility</v>
      </c>
      <c r="C676" s="78" t="s">
        <v>41</v>
      </c>
      <c r="D676" s="78" t="s">
        <v>811</v>
      </c>
      <c r="E676" s="24" t="str">
        <f>IFERROR(VLOOKUP(F676, 'api-register-id'!B:F, 5, FALSE), "Not found path.")</f>
        <v>APIMX000078</v>
      </c>
      <c r="F676" s="25" t="s">
        <v>1023</v>
      </c>
      <c r="G676" s="26" t="s">
        <v>4999</v>
      </c>
      <c r="H676" s="22" t="s">
        <v>5000</v>
      </c>
      <c r="I676" s="29" t="str">
        <f>IFERROR(VLOOKUP(F676, 'api-register-id'!B:I, 8, FALSE), "Not found path.")</f>
        <v>1.1.0</v>
      </c>
      <c r="J676" s="3" t="s">
        <v>3574</v>
      </c>
      <c r="K676" s="31" t="s">
        <v>48</v>
      </c>
      <c r="L676" s="78" t="s">
        <v>49</v>
      </c>
      <c r="M676" s="3" t="s">
        <v>4983</v>
      </c>
      <c r="N676" s="3" t="str">
        <f t="shared" si="1"/>
        <v>POST /system/customerManagement/customerProductAndServiceEligibility/v1/customerEligibilityReport/evaluate</v>
      </c>
      <c r="O676" s="32" t="s">
        <v>4984</v>
      </c>
      <c r="P676" s="32" t="s">
        <v>652</v>
      </c>
      <c r="Q676" s="61" t="s">
        <v>98</v>
      </c>
      <c r="R676" s="31" t="s">
        <v>56</v>
      </c>
      <c r="S676" s="38" t="str">
        <f t="shared" si="2"/>
        <v>https://github.com/SF-Bancoppel/mx-api-bc-pro-customer-product-and-service-eligibility</v>
      </c>
      <c r="T676" s="40"/>
      <c r="U676" s="40"/>
      <c r="V676" s="40"/>
      <c r="W676" s="40"/>
      <c r="X676" s="40"/>
      <c r="Y676" s="40"/>
      <c r="Z676" s="40"/>
      <c r="AA676" s="40"/>
      <c r="AB676" s="40"/>
    </row>
    <row r="677" ht="18.75" customHeight="1">
      <c r="A677" s="18" t="str">
        <f t="array" ref="A677">IFERROR(
  INDEX(
    'api-register-id'!A:A,
    MATCH(F677, 'api-register-id'!B:B, 0)
  ),
  "Not found Organization"
)</f>
        <v>SSFF</v>
      </c>
      <c r="B677" s="22" t="str">
        <f>IFERROR(VLOOKUP(F677, 'api-register-id'!B:F, 4, FALSE), "Not found path.")</f>
        <v>mx-api-bc-pro-issued-device-tracking</v>
      </c>
      <c r="C677" s="78" t="s">
        <v>41</v>
      </c>
      <c r="D677" s="78" t="s">
        <v>811</v>
      </c>
      <c r="E677" s="24" t="str">
        <f>IFERROR(VLOOKUP(F677, 'api-register-id'!B:F, 5, FALSE), "Not found path.")</f>
        <v>APIMX000091</v>
      </c>
      <c r="F677" s="25" t="s">
        <v>1167</v>
      </c>
      <c r="G677" s="26" t="s">
        <v>5001</v>
      </c>
      <c r="H677" s="22" t="s">
        <v>5002</v>
      </c>
      <c r="I677" s="29" t="str">
        <f>IFERROR(VLOOKUP(F677, 'api-register-id'!B:I, 8, FALSE), "Not found path.")</f>
        <v>1.1.0</v>
      </c>
      <c r="J677" s="3" t="s">
        <v>5003</v>
      </c>
      <c r="K677" s="31" t="s">
        <v>48</v>
      </c>
      <c r="L677" s="78" t="s">
        <v>49</v>
      </c>
      <c r="M677" s="3" t="s">
        <v>4988</v>
      </c>
      <c r="N677" s="3" t="str">
        <f t="shared" si="1"/>
        <v>POST /system/operationalServices/issuedDeviceTracking/v1/issuedDeviceState/retrieve</v>
      </c>
      <c r="O677" s="32" t="s">
        <v>1850</v>
      </c>
      <c r="P677" s="32" t="s">
        <v>652</v>
      </c>
      <c r="Q677" s="61" t="s">
        <v>98</v>
      </c>
      <c r="R677" s="31" t="s">
        <v>56</v>
      </c>
      <c r="S677" s="38" t="str">
        <f t="shared" si="2"/>
        <v>https://github.com/SF-Bancoppel/mx-api-bc-pro-issued-device-tracking</v>
      </c>
      <c r="T677" s="40"/>
      <c r="U677" s="40"/>
      <c r="V677" s="40"/>
      <c r="W677" s="40"/>
      <c r="X677" s="40"/>
      <c r="Y677" s="40"/>
      <c r="Z677" s="40"/>
      <c r="AA677" s="40"/>
      <c r="AB677" s="40"/>
    </row>
    <row r="678" ht="18.75" customHeight="1">
      <c r="A678" s="18" t="str">
        <f t="array" ref="A678">IFERROR(
  INDEX(
    'api-register-id'!A:A,
    MATCH(F678, 'api-register-id'!B:B, 0)
  ),
  "Not found Organization"
)</f>
        <v>SSFF</v>
      </c>
      <c r="B678" s="22" t="str">
        <f>IFERROR(VLOOKUP(F678, 'api-register-id'!B:F, 4, FALSE), "Not found path.")</f>
        <v>mx-api-bc-pro-party-authentication</v>
      </c>
      <c r="C678" s="78" t="s">
        <v>41</v>
      </c>
      <c r="D678" s="78" t="s">
        <v>811</v>
      </c>
      <c r="E678" s="24" t="str">
        <f>IFERROR(VLOOKUP(F678, 'api-register-id'!B:F, 5, FALSE), "Not found path.")</f>
        <v>APIMX000095</v>
      </c>
      <c r="F678" s="25" t="s">
        <v>1204</v>
      </c>
      <c r="G678" s="26" t="s">
        <v>5004</v>
      </c>
      <c r="H678" s="22" t="s">
        <v>5005</v>
      </c>
      <c r="I678" s="29" t="str">
        <f>IFERROR(VLOOKUP(F678, 'api-register-id'!B:I, 8, FALSE), "Not found path.")</f>
        <v>1.1.0</v>
      </c>
      <c r="J678" s="3" t="s">
        <v>3179</v>
      </c>
      <c r="K678" s="31" t="s">
        <v>48</v>
      </c>
      <c r="L678" s="78" t="s">
        <v>49</v>
      </c>
      <c r="M678" s="3" t="s">
        <v>4991</v>
      </c>
      <c r="N678" s="3" t="str">
        <f t="shared" si="1"/>
        <v>POST /system/crossChannel/partyAuthentication/v1/passwordPolicies/evaluate</v>
      </c>
      <c r="O678" s="32" t="s">
        <v>1309</v>
      </c>
      <c r="P678" s="32" t="s">
        <v>652</v>
      </c>
      <c r="Q678" s="61" t="s">
        <v>98</v>
      </c>
      <c r="R678" s="31" t="s">
        <v>56</v>
      </c>
      <c r="S678" s="38" t="str">
        <f t="shared" si="2"/>
        <v>https://github.com/SF-Bancoppel/mx-api-bc-pro-party-authentication</v>
      </c>
      <c r="T678" s="40"/>
      <c r="U678" s="40"/>
      <c r="V678" s="40"/>
      <c r="W678" s="40"/>
      <c r="X678" s="40"/>
      <c r="Y678" s="40"/>
      <c r="Z678" s="40"/>
      <c r="AA678" s="40"/>
      <c r="AB678" s="40"/>
    </row>
    <row r="679" ht="18.75" customHeight="1">
      <c r="A679" s="18" t="str">
        <f t="array" ref="A679">IFERROR(
  INDEX(
    'api-register-id'!A:A,
    MATCH(F679, 'api-register-id'!B:B, 0)
  ),
  "Not found Organization"
)</f>
        <v>SSFF</v>
      </c>
      <c r="B679" s="22" t="str">
        <f>IFERROR(VLOOKUP(F679, 'api-register-id'!B:F, 4, FALSE), "Not found path.")</f>
        <v>mx-api-bc-rec-operations-and-execution</v>
      </c>
      <c r="C679" s="78" t="s">
        <v>112</v>
      </c>
      <c r="D679" s="78" t="s">
        <v>1417</v>
      </c>
      <c r="E679" s="24" t="str">
        <f>IFERROR(VLOOKUP(F679, 'api-register-id'!B:F, 5, FALSE), "Not found path.")</f>
        <v>APIMX000137</v>
      </c>
      <c r="F679" s="25" t="s">
        <v>1649</v>
      </c>
      <c r="G679" s="26" t="s">
        <v>5006</v>
      </c>
      <c r="H679" s="22" t="s">
        <v>4690</v>
      </c>
      <c r="I679" s="29" t="str">
        <f>IFERROR(VLOOKUP(F679, 'api-register-id'!B:I, 8, FALSE), "Not found path.")</f>
        <v>1.3.1</v>
      </c>
      <c r="J679" s="3" t="s">
        <v>4726</v>
      </c>
      <c r="K679" s="31" t="s">
        <v>48</v>
      </c>
      <c r="L679" s="78" t="s">
        <v>428</v>
      </c>
      <c r="M679" s="3" t="s">
        <v>1165</v>
      </c>
      <c r="N679" s="3" t="str">
        <f t="shared" si="1"/>
        <v>PATCH /experience/operationsAndExecution/v1/deviceAssignment/update</v>
      </c>
      <c r="O679" s="32" t="s">
        <v>4962</v>
      </c>
      <c r="P679" s="32"/>
      <c r="Q679" s="61" t="s">
        <v>98</v>
      </c>
      <c r="R679" s="31" t="s">
        <v>56</v>
      </c>
      <c r="S679" s="38" t="str">
        <f t="shared" si="2"/>
        <v>https://github.com/SF-Bancoppel/mx-api-bc-rec-operations-and-execution</v>
      </c>
      <c r="T679" s="40"/>
      <c r="U679" s="40"/>
      <c r="V679" s="40"/>
      <c r="W679" s="40"/>
      <c r="X679" s="40"/>
      <c r="Y679" s="40"/>
      <c r="Z679" s="40"/>
      <c r="AA679" s="40"/>
      <c r="AB679" s="40"/>
    </row>
    <row r="680" ht="18.75" customHeight="1">
      <c r="A680" s="18" t="str">
        <f t="array" ref="A680">IFERROR(
  INDEX(
    'api-register-id'!A:A,
    MATCH(F680, 'api-register-id'!B:B, 0)
  ),
  "Not found Organization"
)</f>
        <v>SSFF</v>
      </c>
      <c r="B680" s="22" t="str">
        <f>IFERROR(VLOOKUP(F680, 'api-register-id'!B:F, 4, FALSE), "Not found path.")</f>
        <v>mx-api-bc-rec-operations-and-execution</v>
      </c>
      <c r="C680" s="78" t="s">
        <v>112</v>
      </c>
      <c r="D680" s="78" t="s">
        <v>1417</v>
      </c>
      <c r="E680" s="24" t="str">
        <f>IFERROR(VLOOKUP(F680, 'api-register-id'!B:F, 5, FALSE), "Not found path.")</f>
        <v>APIMX000137</v>
      </c>
      <c r="F680" s="25" t="s">
        <v>1649</v>
      </c>
      <c r="G680" s="26" t="s">
        <v>5007</v>
      </c>
      <c r="H680" s="22" t="s">
        <v>5008</v>
      </c>
      <c r="I680" s="29" t="str">
        <f>IFERROR(VLOOKUP(F680, 'api-register-id'!B:I, 8, FALSE), "Not found path.")</f>
        <v>1.3.1</v>
      </c>
      <c r="J680" s="3" t="s">
        <v>4726</v>
      </c>
      <c r="K680" s="31" t="s">
        <v>48</v>
      </c>
      <c r="L680" s="78" t="s">
        <v>49</v>
      </c>
      <c r="M680" s="3" t="s">
        <v>4965</v>
      </c>
      <c r="N680" s="3" t="str">
        <f t="shared" si="1"/>
        <v>POST /experience/operationsAndExecution/v1/customerCreditCards/retrieve</v>
      </c>
      <c r="O680" s="32" t="s">
        <v>4966</v>
      </c>
      <c r="P680" s="32" t="s">
        <v>652</v>
      </c>
      <c r="Q680" s="61" t="s">
        <v>5009</v>
      </c>
      <c r="R680" s="31" t="s">
        <v>56</v>
      </c>
      <c r="S680" s="38" t="str">
        <f t="shared" si="2"/>
        <v>https://github.com/SF-Bancoppel/mx-api-bc-rec-operations-and-execution</v>
      </c>
      <c r="T680" s="40"/>
      <c r="U680" s="40"/>
      <c r="V680" s="40"/>
      <c r="W680" s="40"/>
      <c r="X680" s="40"/>
      <c r="Y680" s="40"/>
      <c r="Z680" s="40"/>
      <c r="AA680" s="40"/>
      <c r="AB680" s="40"/>
    </row>
    <row r="681" ht="18.75" customHeight="1">
      <c r="A681" s="18" t="str">
        <f t="array" ref="A681">IFERROR(
  INDEX(
    'api-register-id'!A:A,
    MATCH(F681, 'api-register-id'!B:B, 0)
  ),
  "Not found Organization"
)</f>
        <v>SSFF</v>
      </c>
      <c r="B681" s="22" t="str">
        <f>IFERROR(VLOOKUP(F681, 'api-register-id'!B:F, 4, FALSE), "Not found path.")</f>
        <v>mx-api-bc-bus-operations-and-execution</v>
      </c>
      <c r="C681" s="78" t="s">
        <v>41</v>
      </c>
      <c r="D681" s="78" t="s">
        <v>42</v>
      </c>
      <c r="E681" s="24" t="str">
        <f>IFERROR(VLOOKUP(F681, 'api-register-id'!B:F, 5, FALSE), "Not found path.")</f>
        <v>APIMX000002</v>
      </c>
      <c r="F681" s="25" t="s">
        <v>72</v>
      </c>
      <c r="G681" s="26" t="s">
        <v>5010</v>
      </c>
      <c r="H681" s="22" t="s">
        <v>5011</v>
      </c>
      <c r="I681" s="29" t="str">
        <f>IFERROR(VLOOKUP(F681, 'api-register-id'!B:I, 8, FALSE), "Not found path.")</f>
        <v>1.16.1</v>
      </c>
      <c r="J681" s="3" t="s">
        <v>93</v>
      </c>
      <c r="K681" s="31" t="s">
        <v>48</v>
      </c>
      <c r="L681" s="78" t="s">
        <v>49</v>
      </c>
      <c r="M681" s="3" t="s">
        <v>561</v>
      </c>
      <c r="N681" s="3" t="str">
        <f t="shared" si="1"/>
        <v>POST /operationsAndExecution/v1/creditCardApplication/retrieve</v>
      </c>
      <c r="O681" s="32" t="s">
        <v>5012</v>
      </c>
      <c r="P681" s="32"/>
      <c r="Q681" s="61" t="s">
        <v>98</v>
      </c>
      <c r="R681" s="31" t="s">
        <v>56</v>
      </c>
      <c r="S681" s="38" t="str">
        <f t="shared" si="2"/>
        <v>https://github.com/SF-Bancoppel/mx-api-bc-bus-operations-and-execution</v>
      </c>
      <c r="T681" s="40"/>
      <c r="U681" s="40"/>
      <c r="V681" s="40"/>
      <c r="W681" s="40"/>
      <c r="X681" s="40"/>
      <c r="Y681" s="40"/>
      <c r="Z681" s="40"/>
      <c r="AA681" s="40"/>
      <c r="AB681" s="40"/>
    </row>
    <row r="682" ht="18.75" customHeight="1">
      <c r="A682" s="18" t="str">
        <f t="array" ref="A682">IFERROR(
  INDEX(
    'api-register-id'!A:A,
    MATCH(F682, 'api-register-id'!B:B, 0)
  ),
  "Not found Organization"
)</f>
        <v>SSFF</v>
      </c>
      <c r="B682" s="22" t="str">
        <f>IFERROR(VLOOKUP(F682, 'api-register-id'!B:F, 4, FALSE), "Not found path.")</f>
        <v>mx-api-bc-dom-counterparty-risk</v>
      </c>
      <c r="C682" s="78" t="s">
        <v>41</v>
      </c>
      <c r="D682" s="78" t="s">
        <v>119</v>
      </c>
      <c r="E682" s="24" t="str">
        <f>IFERROR(VLOOKUP(F682, 'api-register-id'!B:F, 5, FALSE), "Not found path.")</f>
        <v>APIMX000011</v>
      </c>
      <c r="F682" s="25" t="s">
        <v>202</v>
      </c>
      <c r="G682" s="26" t="s">
        <v>5013</v>
      </c>
      <c r="H682" s="22" t="s">
        <v>5014</v>
      </c>
      <c r="I682" s="29" t="str">
        <f>IFERROR(VLOOKUP(F682, 'api-register-id'!B:I, 8, FALSE), "Not found path.")</f>
        <v>1.2.0</v>
      </c>
      <c r="J682" s="3" t="s">
        <v>531</v>
      </c>
      <c r="K682" s="31" t="s">
        <v>48</v>
      </c>
      <c r="L682" s="78" t="s">
        <v>49</v>
      </c>
      <c r="M682" s="3" t="s">
        <v>5015</v>
      </c>
      <c r="N682" s="3" t="str">
        <f t="shared" si="1"/>
        <v>POST /accountManagement/counterpartyRisk/v1/customerSpecialConditions/retrieve</v>
      </c>
      <c r="O682" s="32" t="s">
        <v>5016</v>
      </c>
      <c r="P682" s="32"/>
      <c r="Q682" s="61" t="s">
        <v>98</v>
      </c>
      <c r="R682" s="31" t="s">
        <v>56</v>
      </c>
      <c r="S682" s="38" t="str">
        <f t="shared" si="2"/>
        <v>https://github.com/SF-Bancoppel/mx-api-bc-dom-counterparty-risk</v>
      </c>
      <c r="T682" s="40"/>
      <c r="U682" s="40"/>
      <c r="V682" s="40"/>
      <c r="W682" s="40"/>
      <c r="X682" s="40"/>
      <c r="Y682" s="40"/>
      <c r="Z682" s="40"/>
      <c r="AA682" s="40"/>
      <c r="AB682" s="40"/>
    </row>
    <row r="683" ht="18.75" customHeight="1">
      <c r="A683" s="18" t="str">
        <f t="array" ref="A683">IFERROR(
  INDEX(
    'api-register-id'!A:A,
    MATCH(F683, 'api-register-id'!B:B, 0)
  ),
  "Not found Organization"
)</f>
        <v>SSFF</v>
      </c>
      <c r="B683" s="22" t="str">
        <f>IFERROR(VLOOKUP(F683, 'api-register-id'!B:F, 4, FALSE), "Not found path.")</f>
        <v>mx-api-bc-dom-counterparty-risk</v>
      </c>
      <c r="C683" s="78" t="s">
        <v>41</v>
      </c>
      <c r="D683" s="78" t="s">
        <v>119</v>
      </c>
      <c r="E683" s="24" t="str">
        <f>IFERROR(VLOOKUP(F683, 'api-register-id'!B:F, 5, FALSE), "Not found path.")</f>
        <v>APIMX000011</v>
      </c>
      <c r="F683" s="25" t="s">
        <v>202</v>
      </c>
      <c r="G683" s="26" t="s">
        <v>5017</v>
      </c>
      <c r="H683" s="22" t="s">
        <v>5018</v>
      </c>
      <c r="I683" s="29" t="str">
        <f>IFERROR(VLOOKUP(F683, 'api-register-id'!B:I, 8, FALSE), "Not found path.")</f>
        <v>1.2.0</v>
      </c>
      <c r="J683" s="3" t="s">
        <v>531</v>
      </c>
      <c r="K683" s="31" t="s">
        <v>48</v>
      </c>
      <c r="L683" s="78" t="s">
        <v>49</v>
      </c>
      <c r="M683" s="3" t="s">
        <v>5019</v>
      </c>
      <c r="N683" s="3" t="str">
        <f t="shared" si="1"/>
        <v>POST /accountManagement/counterpartyRisk/v1/customerSpecialConditions/initiate</v>
      </c>
      <c r="O683" s="32" t="s">
        <v>5020</v>
      </c>
      <c r="P683" s="32"/>
      <c r="Q683" s="61" t="s">
        <v>5021</v>
      </c>
      <c r="R683" s="31" t="s">
        <v>56</v>
      </c>
      <c r="S683" s="38" t="str">
        <f t="shared" si="2"/>
        <v>https://github.com/SF-Bancoppel/mx-api-bc-dom-counterparty-risk</v>
      </c>
      <c r="T683" s="40"/>
      <c r="U683" s="40"/>
      <c r="V683" s="40"/>
      <c r="W683" s="40"/>
      <c r="X683" s="40"/>
      <c r="Y683" s="40"/>
      <c r="Z683" s="40"/>
      <c r="AA683" s="40"/>
      <c r="AB683" s="40"/>
    </row>
    <row r="684" ht="18.75" customHeight="1">
      <c r="A684" s="18" t="str">
        <f t="array" ref="A684">IFERROR(
  INDEX(
    'api-register-id'!A:A,
    MATCH(F684, 'api-register-id'!B:B, 0)
  ),
  "Not found Organization"
)</f>
        <v>SSFF</v>
      </c>
      <c r="B684" s="22" t="str">
        <f>IFERROR(VLOOKUP(F684, 'api-register-id'!B:F, 4, FALSE), "Not found path.")</f>
        <v>mx-api-bc-dom-counterparty-risk</v>
      </c>
      <c r="C684" s="78" t="s">
        <v>41</v>
      </c>
      <c r="D684" s="78" t="s">
        <v>119</v>
      </c>
      <c r="E684" s="24" t="str">
        <f>IFERROR(VLOOKUP(F684, 'api-register-id'!B:F, 5, FALSE), "Not found path.")</f>
        <v>APIMX000011</v>
      </c>
      <c r="F684" s="25" t="s">
        <v>202</v>
      </c>
      <c r="G684" s="26" t="s">
        <v>5022</v>
      </c>
      <c r="H684" s="22" t="s">
        <v>5023</v>
      </c>
      <c r="I684" s="29" t="str">
        <f>IFERROR(VLOOKUP(F684, 'api-register-id'!B:I, 8, FALSE), "Not found path.")</f>
        <v>1.2.0</v>
      </c>
      <c r="J684" s="3" t="s">
        <v>531</v>
      </c>
      <c r="K684" s="31" t="s">
        <v>48</v>
      </c>
      <c r="L684" s="78" t="s">
        <v>428</v>
      </c>
      <c r="M684" s="3" t="s">
        <v>5024</v>
      </c>
      <c r="N684" s="3" t="str">
        <f t="shared" si="1"/>
        <v>PATCH /accountManagement/counterpartyRisk/v1/customerSpecialConditions/update</v>
      </c>
      <c r="O684" s="32" t="s">
        <v>5025</v>
      </c>
      <c r="P684" s="32"/>
      <c r="Q684" s="61" t="s">
        <v>98</v>
      </c>
      <c r="R684" s="31" t="s">
        <v>56</v>
      </c>
      <c r="S684" s="38" t="str">
        <f t="shared" si="2"/>
        <v>https://github.com/SF-Bancoppel/mx-api-bc-dom-counterparty-risk</v>
      </c>
      <c r="T684" s="40"/>
      <c r="U684" s="40"/>
      <c r="V684" s="40"/>
      <c r="W684" s="40"/>
      <c r="X684" s="40"/>
      <c r="Y684" s="40"/>
      <c r="Z684" s="40"/>
      <c r="AA684" s="40"/>
      <c r="AB684" s="40"/>
    </row>
    <row r="685" ht="18.75" customHeight="1">
      <c r="A685" s="18" t="str">
        <f t="array" ref="A685">IFERROR(
  INDEX(
    'api-register-id'!A:A,
    MATCH(F685, 'api-register-id'!B:B, 0)
  ),
  "Not found Organization"
)</f>
        <v>SSFF</v>
      </c>
      <c r="B685" s="22" t="str">
        <f>IFERROR(VLOOKUP(F685, 'api-register-id'!B:F, 4, FALSE), "Not found path.")</f>
        <v>mx-api-bc-dom-counterparty-risk</v>
      </c>
      <c r="C685" s="78" t="s">
        <v>41</v>
      </c>
      <c r="D685" s="78" t="s">
        <v>119</v>
      </c>
      <c r="E685" s="24" t="str">
        <f>IFERROR(VLOOKUP(F685, 'api-register-id'!B:F, 5, FALSE), "Not found path.")</f>
        <v>APIMX000011</v>
      </c>
      <c r="F685" s="25" t="s">
        <v>202</v>
      </c>
      <c r="G685" s="26" t="s">
        <v>5026</v>
      </c>
      <c r="H685" s="22" t="s">
        <v>5027</v>
      </c>
      <c r="I685" s="29" t="str">
        <f>IFERROR(VLOOKUP(F685, 'api-register-id'!B:I, 8, FALSE), "Not found path.")</f>
        <v>1.2.0</v>
      </c>
      <c r="J685" s="3" t="s">
        <v>531</v>
      </c>
      <c r="K685" s="31" t="s">
        <v>48</v>
      </c>
      <c r="L685" s="78" t="s">
        <v>428</v>
      </c>
      <c r="M685" s="3" t="s">
        <v>5028</v>
      </c>
      <c r="N685" s="3" t="str">
        <f t="shared" si="1"/>
        <v>PATCH /accountManagement/counterpartyRisk/v1/customerSpecialConditions/control</v>
      </c>
      <c r="O685" s="32" t="s">
        <v>5029</v>
      </c>
      <c r="P685" s="32"/>
      <c r="Q685" s="61" t="s">
        <v>98</v>
      </c>
      <c r="R685" s="31" t="s">
        <v>56</v>
      </c>
      <c r="S685" s="38" t="str">
        <f t="shared" si="2"/>
        <v>https://github.com/SF-Bancoppel/mx-api-bc-dom-counterparty-risk</v>
      </c>
      <c r="T685" s="40"/>
      <c r="U685" s="40"/>
      <c r="V685" s="40"/>
      <c r="W685" s="40"/>
      <c r="X685" s="40"/>
      <c r="Y685" s="40"/>
      <c r="Z685" s="40"/>
      <c r="AA685" s="40"/>
      <c r="AB685" s="40"/>
    </row>
    <row r="686" ht="18.75" customHeight="1">
      <c r="A686" s="18" t="str">
        <f t="array" ref="A686">IFERROR(
  INDEX(
    'api-register-id'!A:A,
    MATCH(F686, 'api-register-id'!B:B, 0)
  ),
  "Not found Organization"
)</f>
        <v>SSFF</v>
      </c>
      <c r="B686" s="22" t="str">
        <f>IFERROR(VLOOKUP(F686, 'api-register-id'!B:F, 4, FALSE), "Not found path.")</f>
        <v>mx-api-bc-dom-counterparty-risk</v>
      </c>
      <c r="C686" s="78" t="s">
        <v>41</v>
      </c>
      <c r="D686" s="78" t="s">
        <v>119</v>
      </c>
      <c r="E686" s="24" t="str">
        <f>IFERROR(VLOOKUP(F686, 'api-register-id'!B:F, 5, FALSE), "Not found path.")</f>
        <v>APIMX000011</v>
      </c>
      <c r="F686" s="25" t="s">
        <v>202</v>
      </c>
      <c r="G686" s="26" t="s">
        <v>5030</v>
      </c>
      <c r="H686" s="22" t="s">
        <v>5031</v>
      </c>
      <c r="I686" s="29" t="str">
        <f>IFERROR(VLOOKUP(F686, 'api-register-id'!B:I, 8, FALSE), "Not found path.")</f>
        <v>1.2.0</v>
      </c>
      <c r="J686" s="3" t="s">
        <v>531</v>
      </c>
      <c r="K686" s="31" t="s">
        <v>48</v>
      </c>
      <c r="L686" s="78" t="s">
        <v>49</v>
      </c>
      <c r="M686" s="3" t="s">
        <v>5032</v>
      </c>
      <c r="N686" s="3" t="str">
        <f t="shared" si="1"/>
        <v>POST /accountManagement/counterpartyRisk/v1/economicActivityRisk/retrieve</v>
      </c>
      <c r="O686" s="32" t="s">
        <v>5033</v>
      </c>
      <c r="P686" s="32"/>
      <c r="Q686" s="61" t="s">
        <v>98</v>
      </c>
      <c r="R686" s="31" t="s">
        <v>56</v>
      </c>
      <c r="S686" s="38" t="str">
        <f t="shared" si="2"/>
        <v>https://github.com/SF-Bancoppel/mx-api-bc-dom-counterparty-risk</v>
      </c>
      <c r="T686" s="40"/>
      <c r="U686" s="40"/>
      <c r="V686" s="40"/>
      <c r="W686" s="40"/>
      <c r="X686" s="40"/>
      <c r="Y686" s="40"/>
      <c r="Z686" s="40"/>
      <c r="AA686" s="40"/>
      <c r="AB686" s="40"/>
    </row>
    <row r="687" ht="18.75" customHeight="1">
      <c r="A687" s="18" t="str">
        <f t="array" ref="A687">IFERROR(
  INDEX(
    'api-register-id'!A:A,
    MATCH(F687, 'api-register-id'!B:B, 0)
  ),
  "Not found Organization"
)</f>
        <v>SSFF</v>
      </c>
      <c r="B687" s="22" t="str">
        <f>IFERROR(VLOOKUP(F687, 'api-register-id'!B:F, 4, FALSE), "Not found path.")</f>
        <v>mx-api-bc-dom-party-reference-data-directory</v>
      </c>
      <c r="C687" s="78" t="s">
        <v>41</v>
      </c>
      <c r="D687" s="78" t="s">
        <v>119</v>
      </c>
      <c r="E687" s="24" t="str">
        <f>IFERROR(VLOOKUP(F687, 'api-register-id'!B:F, 5, FALSE), "Not found path.")</f>
        <v>APIMX000041</v>
      </c>
      <c r="F687" s="25" t="s">
        <v>637</v>
      </c>
      <c r="G687" s="26" t="s">
        <v>5034</v>
      </c>
      <c r="H687" s="22" t="s">
        <v>5035</v>
      </c>
      <c r="I687" s="29" t="str">
        <f>IFERROR(VLOOKUP(F687, 'api-register-id'!B:I, 8, FALSE), "Not found path.")</f>
        <v>1.7.2</v>
      </c>
      <c r="J687" s="3" t="s">
        <v>1504</v>
      </c>
      <c r="K687" s="31" t="s">
        <v>48</v>
      </c>
      <c r="L687" s="78" t="s">
        <v>49</v>
      </c>
      <c r="M687" s="3" t="s">
        <v>4289</v>
      </c>
      <c r="N687" s="3" t="str">
        <f t="shared" si="1"/>
        <v>POST /customerManagement/partyReferenceDataDirectory/v1/incomeProfile/initiate</v>
      </c>
      <c r="O687" s="32" t="s">
        <v>4291</v>
      </c>
      <c r="P687" s="32"/>
      <c r="Q687" s="61" t="s">
        <v>5036</v>
      </c>
      <c r="R687" s="31" t="s">
        <v>56</v>
      </c>
      <c r="S687" s="38" t="str">
        <f t="shared" si="2"/>
        <v>https://github.com/SF-Bancoppel/mx-api-bc-dom-party-reference-data-directory</v>
      </c>
      <c r="T687" s="40"/>
      <c r="U687" s="40"/>
      <c r="V687" s="40"/>
      <c r="W687" s="40"/>
      <c r="X687" s="40"/>
      <c r="Y687" s="40"/>
      <c r="Z687" s="40"/>
      <c r="AA687" s="40"/>
      <c r="AB687" s="40"/>
    </row>
    <row r="688" ht="18.75" customHeight="1">
      <c r="A688" s="18" t="str">
        <f t="array" ref="A688">IFERROR(
  INDEX(
    'api-register-id'!A:A,
    MATCH(F688, 'api-register-id'!B:B, 0)
  ),
  "Not found Organization"
)</f>
        <v>SSFF</v>
      </c>
      <c r="B688" s="22" t="str">
        <f>IFERROR(VLOOKUP(F688, 'api-register-id'!B:F, 4, FALSE), "Not found path.")</f>
        <v>mx-api-bc-dom-payment-execution</v>
      </c>
      <c r="C688" s="78" t="s">
        <v>41</v>
      </c>
      <c r="D688" s="78" t="s">
        <v>119</v>
      </c>
      <c r="E688" s="24" t="str">
        <f>IFERROR(VLOOKUP(F688, 'api-register-id'!B:F, 5, FALSE), "Not found path.")</f>
        <v>APIMX000043</v>
      </c>
      <c r="F688" s="25" t="s">
        <v>661</v>
      </c>
      <c r="G688" s="26" t="s">
        <v>5037</v>
      </c>
      <c r="H688" s="22" t="s">
        <v>5038</v>
      </c>
      <c r="I688" s="29" t="str">
        <f>IFERROR(VLOOKUP(F688, 'api-register-id'!B:I, 8, FALSE), "Not found path.")</f>
        <v>1.1.2</v>
      </c>
      <c r="J688" s="3" t="s">
        <v>1614</v>
      </c>
      <c r="K688" s="31" t="s">
        <v>48</v>
      </c>
      <c r="L688" s="78" t="s">
        <v>49</v>
      </c>
      <c r="M688" s="3" t="s">
        <v>5039</v>
      </c>
      <c r="N688" s="3" t="str">
        <f t="shared" si="1"/>
        <v>POST /payments/paymentExecution/v1/cashAdvance/initiate</v>
      </c>
      <c r="O688" s="32" t="s">
        <v>5040</v>
      </c>
      <c r="P688" s="32"/>
      <c r="Q688" s="61" t="s">
        <v>98</v>
      </c>
      <c r="R688" s="31" t="s">
        <v>56</v>
      </c>
      <c r="S688" s="38" t="str">
        <f t="shared" si="2"/>
        <v>https://github.com/SF-Bancoppel/mx-api-bc-dom-payment-execution</v>
      </c>
      <c r="T688" s="40"/>
      <c r="U688" s="40"/>
      <c r="V688" s="40"/>
      <c r="W688" s="40"/>
      <c r="X688" s="40"/>
      <c r="Y688" s="40"/>
      <c r="Z688" s="40"/>
      <c r="AA688" s="40"/>
      <c r="AB688" s="40"/>
    </row>
    <row r="689" ht="18.75" customHeight="1">
      <c r="A689" s="18" t="str">
        <f t="array" ref="A689">IFERROR(
  INDEX(
    'api-register-id'!A:A,
    MATCH(F689, 'api-register-id'!B:B, 0)
  ),
  "Not found Organization"
)</f>
        <v>SSFF</v>
      </c>
      <c r="B689" s="22" t="str">
        <f>IFERROR(VLOOKUP(F689, 'api-register-id'!B:F, 4, FALSE), "Not found path.")</f>
        <v>mx-api-bc-dom-payment-execution</v>
      </c>
      <c r="C689" s="78" t="s">
        <v>41</v>
      </c>
      <c r="D689" s="78" t="s">
        <v>119</v>
      </c>
      <c r="E689" s="24" t="str">
        <f>IFERROR(VLOOKUP(F689, 'api-register-id'!B:F, 5, FALSE), "Not found path.")</f>
        <v>APIMX000043</v>
      </c>
      <c r="F689" s="25" t="s">
        <v>661</v>
      </c>
      <c r="G689" s="26" t="s">
        <v>5041</v>
      </c>
      <c r="H689" s="22" t="s">
        <v>5042</v>
      </c>
      <c r="I689" s="29" t="str">
        <f>IFERROR(VLOOKUP(F689, 'api-register-id'!B:I, 8, FALSE), "Not found path.")</f>
        <v>1.1.2</v>
      </c>
      <c r="J689" s="3" t="s">
        <v>1614</v>
      </c>
      <c r="K689" s="31" t="s">
        <v>48</v>
      </c>
      <c r="L689" s="78" t="s">
        <v>49</v>
      </c>
      <c r="M689" s="3" t="s">
        <v>5043</v>
      </c>
      <c r="N689" s="3" t="str">
        <f t="shared" si="1"/>
        <v>POST /payments/paymentExecution/v1/deposits/initiate</v>
      </c>
      <c r="O689" s="32" t="s">
        <v>5044</v>
      </c>
      <c r="P689" s="32"/>
      <c r="Q689" s="61" t="s">
        <v>98</v>
      </c>
      <c r="R689" s="31" t="s">
        <v>56</v>
      </c>
      <c r="S689" s="38" t="str">
        <f t="shared" si="2"/>
        <v>https://github.com/SF-Bancoppel/mx-api-bc-dom-payment-execution</v>
      </c>
      <c r="T689" s="40"/>
      <c r="U689" s="40"/>
      <c r="V689" s="40"/>
      <c r="W689" s="40"/>
      <c r="X689" s="40"/>
      <c r="Y689" s="40"/>
      <c r="Z689" s="40"/>
      <c r="AA689" s="40"/>
      <c r="AB689" s="40"/>
    </row>
    <row r="690" ht="18.75" customHeight="1">
      <c r="A690" s="18" t="str">
        <f t="array" ref="A690">IFERROR(
  INDEX(
    'api-register-id'!A:A,
    MATCH(F690, 'api-register-id'!B:B, 0)
  ),
  "Not found Organization"
)</f>
        <v>SSFF</v>
      </c>
      <c r="B690" s="22" t="str">
        <f>IFERROR(VLOOKUP(F690, 'api-register-id'!B:F, 4, FALSE), "Not found path.")</f>
        <v>mx-api-bc-dom-utility</v>
      </c>
      <c r="C690" s="78" t="s">
        <v>41</v>
      </c>
      <c r="D690" s="78" t="s">
        <v>119</v>
      </c>
      <c r="E690" s="24" t="str">
        <f>IFERROR(VLOOKUP(F690, 'api-register-id'!B:F, 5, FALSE), "Not found path.")</f>
        <v>APIMX000058</v>
      </c>
      <c r="F690" s="25" t="s">
        <v>802</v>
      </c>
      <c r="G690" s="26" t="s">
        <v>5045</v>
      </c>
      <c r="H690" s="22" t="s">
        <v>5046</v>
      </c>
      <c r="I690" s="29" t="str">
        <f>IFERROR(VLOOKUP(F690, 'api-register-id'!B:I, 8, FALSE), "Not found path.")</f>
        <v>1.1.0</v>
      </c>
      <c r="J690" s="3" t="s">
        <v>1949</v>
      </c>
      <c r="K690" s="31" t="s">
        <v>48</v>
      </c>
      <c r="L690" s="78" t="s">
        <v>108</v>
      </c>
      <c r="M690" s="3" t="s">
        <v>4615</v>
      </c>
      <c r="N690" s="3" t="str">
        <f t="shared" si="1"/>
        <v>GET /utility/utility/v1/serviceParameter/{companyReference}/retrieve</v>
      </c>
      <c r="O690" s="32" t="s">
        <v>4616</v>
      </c>
      <c r="P690" s="32"/>
      <c r="Q690" s="61" t="s">
        <v>5047</v>
      </c>
      <c r="R690" s="31" t="s">
        <v>56</v>
      </c>
      <c r="S690" s="38" t="str">
        <f t="shared" si="2"/>
        <v>https://github.com/SF-Bancoppel/mx-api-bc-dom-utility</v>
      </c>
      <c r="T690" s="40"/>
      <c r="U690" s="40"/>
      <c r="V690" s="40"/>
      <c r="W690" s="40"/>
      <c r="X690" s="40"/>
      <c r="Y690" s="40"/>
      <c r="Z690" s="40"/>
      <c r="AA690" s="40"/>
      <c r="AB690" s="40"/>
    </row>
    <row r="691" ht="18.75" customHeight="1">
      <c r="A691" s="18" t="str">
        <f t="array" ref="A691">IFERROR(
  INDEX(
    'api-register-id'!A:A,
    MATCH(F691, 'api-register-id'!B:B, 0)
  ),
  "Not found Organization"
)</f>
        <v>SSFF</v>
      </c>
      <c r="B691" s="22" t="str">
        <f>IFERROR(VLOOKUP(F691, 'api-register-id'!B:F, 4, FALSE), "Not found path.")</f>
        <v>mx-api-bc-pro-counterparty-risk</v>
      </c>
      <c r="C691" s="78" t="s">
        <v>41</v>
      </c>
      <c r="D691" s="78" t="s">
        <v>811</v>
      </c>
      <c r="E691" s="24" t="str">
        <f>IFERROR(VLOOKUP(F691, 'api-register-id'!B:F, 5, FALSE), "Not found path.")</f>
        <v>APIMX000067</v>
      </c>
      <c r="F691" s="25" t="s">
        <v>905</v>
      </c>
      <c r="G691" s="26" t="s">
        <v>5048</v>
      </c>
      <c r="H691" s="22" t="s">
        <v>5049</v>
      </c>
      <c r="I691" s="29" t="str">
        <f>IFERROR(VLOOKUP(F691, 'api-register-id'!B:I, 8, FALSE), "Not found path.")</f>
        <v>1.2.0</v>
      </c>
      <c r="J691" s="3" t="s">
        <v>2249</v>
      </c>
      <c r="K691" s="31" t="s">
        <v>48</v>
      </c>
      <c r="L691" s="78" t="s">
        <v>49</v>
      </c>
      <c r="M691" s="3" t="s">
        <v>5015</v>
      </c>
      <c r="N691" s="3" t="str">
        <f t="shared" si="1"/>
        <v>POST /system/accountManagement/counterpartyRisk/v1/customerSpecialConditions/retrieve</v>
      </c>
      <c r="O691" s="32" t="s">
        <v>5050</v>
      </c>
      <c r="P691" s="32"/>
      <c r="Q691" s="61" t="s">
        <v>98</v>
      </c>
      <c r="R691" s="31" t="s">
        <v>56</v>
      </c>
      <c r="S691" s="38" t="str">
        <f t="shared" si="2"/>
        <v>https://github.com/SF-Bancoppel/mx-api-bc-pro-counterparty-risk</v>
      </c>
      <c r="T691" s="40"/>
      <c r="U691" s="40"/>
      <c r="V691" s="40"/>
      <c r="W691" s="40"/>
      <c r="X691" s="40"/>
      <c r="Y691" s="40"/>
      <c r="Z691" s="40"/>
      <c r="AA691" s="40"/>
      <c r="AB691" s="40"/>
    </row>
    <row r="692" ht="18.75" customHeight="1">
      <c r="A692" s="18" t="str">
        <f t="array" ref="A692">IFERROR(
  INDEX(
    'api-register-id'!A:A,
    MATCH(F692, 'api-register-id'!B:B, 0)
  ),
  "Not found Organization"
)</f>
        <v>SSFF</v>
      </c>
      <c r="B692" s="22" t="str">
        <f>IFERROR(VLOOKUP(F692, 'api-register-id'!B:F, 4, FALSE), "Not found path.")</f>
        <v>mx-api-bc-pro-counterparty-risk</v>
      </c>
      <c r="C692" s="78" t="s">
        <v>41</v>
      </c>
      <c r="D692" s="78" t="s">
        <v>811</v>
      </c>
      <c r="E692" s="24" t="str">
        <f>IFERROR(VLOOKUP(F692, 'api-register-id'!B:F, 5, FALSE), "Not found path.")</f>
        <v>APIMX000067</v>
      </c>
      <c r="F692" s="25" t="s">
        <v>905</v>
      </c>
      <c r="G692" s="26" t="s">
        <v>5051</v>
      </c>
      <c r="H692" s="22" t="s">
        <v>5052</v>
      </c>
      <c r="I692" s="29" t="str">
        <f>IFERROR(VLOOKUP(F692, 'api-register-id'!B:I, 8, FALSE), "Not found path.")</f>
        <v>1.2.0</v>
      </c>
      <c r="J692" s="3" t="s">
        <v>2249</v>
      </c>
      <c r="K692" s="31" t="s">
        <v>48</v>
      </c>
      <c r="L692" s="78" t="s">
        <v>49</v>
      </c>
      <c r="M692" s="3" t="s">
        <v>5019</v>
      </c>
      <c r="N692" s="3" t="str">
        <f t="shared" si="1"/>
        <v>POST /system/accountManagement/counterpartyRisk/v1/customerSpecialConditions/initiate</v>
      </c>
      <c r="O692" s="32" t="s">
        <v>5053</v>
      </c>
      <c r="P692" s="32"/>
      <c r="Q692" s="61" t="s">
        <v>5054</v>
      </c>
      <c r="R692" s="31" t="s">
        <v>56</v>
      </c>
      <c r="S692" s="38" t="str">
        <f t="shared" si="2"/>
        <v>https://github.com/SF-Bancoppel/mx-api-bc-pro-counterparty-risk</v>
      </c>
      <c r="T692" s="40"/>
      <c r="U692" s="40"/>
      <c r="V692" s="40"/>
      <c r="W692" s="40"/>
      <c r="X692" s="40"/>
      <c r="Y692" s="40"/>
      <c r="Z692" s="40"/>
      <c r="AA692" s="40"/>
      <c r="AB692" s="40"/>
    </row>
    <row r="693" ht="18.75" customHeight="1">
      <c r="A693" s="18" t="str">
        <f t="array" ref="A693">IFERROR(
  INDEX(
    'api-register-id'!A:A,
    MATCH(F693, 'api-register-id'!B:B, 0)
  ),
  "Not found Organization"
)</f>
        <v>SSFF</v>
      </c>
      <c r="B693" s="22" t="str">
        <f>IFERROR(VLOOKUP(F693, 'api-register-id'!B:F, 4, FALSE), "Not found path.")</f>
        <v>mx-api-bc-pro-counterparty-risk</v>
      </c>
      <c r="C693" s="78" t="s">
        <v>41</v>
      </c>
      <c r="D693" s="78" t="s">
        <v>811</v>
      </c>
      <c r="E693" s="24" t="str">
        <f>IFERROR(VLOOKUP(F693, 'api-register-id'!B:F, 5, FALSE), "Not found path.")</f>
        <v>APIMX000067</v>
      </c>
      <c r="F693" s="25" t="s">
        <v>905</v>
      </c>
      <c r="G693" s="26" t="s">
        <v>5055</v>
      </c>
      <c r="H693" s="22" t="s">
        <v>5056</v>
      </c>
      <c r="I693" s="29" t="str">
        <f>IFERROR(VLOOKUP(F693, 'api-register-id'!B:I, 8, FALSE), "Not found path.")</f>
        <v>1.2.0</v>
      </c>
      <c r="J693" s="3" t="s">
        <v>2249</v>
      </c>
      <c r="K693" s="31" t="s">
        <v>48</v>
      </c>
      <c r="L693" s="78" t="s">
        <v>428</v>
      </c>
      <c r="M693" s="3" t="s">
        <v>5024</v>
      </c>
      <c r="N693" s="3" t="str">
        <f t="shared" si="1"/>
        <v>PATCH /system/accountManagement/counterpartyRisk/v1/customerSpecialConditions/update</v>
      </c>
      <c r="O693" s="32" t="s">
        <v>5057</v>
      </c>
      <c r="P693" s="32"/>
      <c r="Q693" s="61" t="s">
        <v>98</v>
      </c>
      <c r="R693" s="31" t="s">
        <v>56</v>
      </c>
      <c r="S693" s="38" t="str">
        <f t="shared" si="2"/>
        <v>https://github.com/SF-Bancoppel/mx-api-bc-pro-counterparty-risk</v>
      </c>
      <c r="T693" s="40"/>
      <c r="U693" s="40"/>
      <c r="V693" s="40"/>
      <c r="W693" s="40"/>
      <c r="X693" s="40"/>
      <c r="Y693" s="40"/>
      <c r="Z693" s="40"/>
      <c r="AA693" s="40"/>
      <c r="AB693" s="40"/>
    </row>
    <row r="694" ht="18.75" customHeight="1">
      <c r="A694" s="18" t="str">
        <f t="array" ref="A694">IFERROR(
  INDEX(
    'api-register-id'!A:A,
    MATCH(F694, 'api-register-id'!B:B, 0)
  ),
  "Not found Organization"
)</f>
        <v>SSFF</v>
      </c>
      <c r="B694" s="22" t="str">
        <f>IFERROR(VLOOKUP(F694, 'api-register-id'!B:F, 4, FALSE), "Not found path.")</f>
        <v>mx-api-bc-pro-counterparty-risk</v>
      </c>
      <c r="C694" s="78" t="s">
        <v>41</v>
      </c>
      <c r="D694" s="78" t="s">
        <v>811</v>
      </c>
      <c r="E694" s="24" t="str">
        <f>IFERROR(VLOOKUP(F694, 'api-register-id'!B:F, 5, FALSE), "Not found path.")</f>
        <v>APIMX000067</v>
      </c>
      <c r="F694" s="25" t="s">
        <v>905</v>
      </c>
      <c r="G694" s="26" t="s">
        <v>5058</v>
      </c>
      <c r="H694" s="22" t="s">
        <v>5059</v>
      </c>
      <c r="I694" s="29" t="str">
        <f>IFERROR(VLOOKUP(F694, 'api-register-id'!B:I, 8, FALSE), "Not found path.")</f>
        <v>1.2.0</v>
      </c>
      <c r="J694" s="3" t="s">
        <v>2249</v>
      </c>
      <c r="K694" s="31" t="s">
        <v>48</v>
      </c>
      <c r="L694" s="78" t="s">
        <v>428</v>
      </c>
      <c r="M694" s="3" t="s">
        <v>5028</v>
      </c>
      <c r="N694" s="3" t="str">
        <f t="shared" si="1"/>
        <v>PATCH /system/accountManagement/counterpartyRisk/v1/customerSpecialConditions/control</v>
      </c>
      <c r="O694" s="32" t="s">
        <v>5060</v>
      </c>
      <c r="P694" s="32"/>
      <c r="Q694" s="61" t="s">
        <v>98</v>
      </c>
      <c r="R694" s="31" t="s">
        <v>56</v>
      </c>
      <c r="S694" s="38" t="str">
        <f t="shared" si="2"/>
        <v>https://github.com/SF-Bancoppel/mx-api-bc-pro-counterparty-risk</v>
      </c>
      <c r="T694" s="40"/>
      <c r="U694" s="40"/>
      <c r="V694" s="40"/>
      <c r="W694" s="40"/>
      <c r="X694" s="40"/>
      <c r="Y694" s="40"/>
      <c r="Z694" s="40"/>
      <c r="AA694" s="40"/>
      <c r="AB694" s="40"/>
    </row>
    <row r="695" ht="18.75" customHeight="1">
      <c r="A695" s="18" t="str">
        <f t="array" ref="A695">IFERROR(
  INDEX(
    'api-register-id'!A:A,
    MATCH(F695, 'api-register-id'!B:B, 0)
  ),
  "Not found Organization"
)</f>
        <v>SSFF</v>
      </c>
      <c r="B695" s="22" t="str">
        <f>IFERROR(VLOOKUP(F695, 'api-register-id'!B:F, 4, FALSE), "Not found path.")</f>
        <v>mx-api-bc-pro-counterparty-risk</v>
      </c>
      <c r="C695" s="78" t="s">
        <v>41</v>
      </c>
      <c r="D695" s="78" t="s">
        <v>811</v>
      </c>
      <c r="E695" s="24" t="str">
        <f>IFERROR(VLOOKUP(F695, 'api-register-id'!B:F, 5, FALSE), "Not found path.")</f>
        <v>APIMX000067</v>
      </c>
      <c r="F695" s="25" t="s">
        <v>905</v>
      </c>
      <c r="G695" s="26" t="s">
        <v>5061</v>
      </c>
      <c r="H695" s="22" t="s">
        <v>5062</v>
      </c>
      <c r="I695" s="29" t="str">
        <f>IFERROR(VLOOKUP(F695, 'api-register-id'!B:I, 8, FALSE), "Not found path.")</f>
        <v>1.2.0</v>
      </c>
      <c r="J695" s="3" t="s">
        <v>2249</v>
      </c>
      <c r="K695" s="31" t="s">
        <v>48</v>
      </c>
      <c r="L695" s="78" t="s">
        <v>49</v>
      </c>
      <c r="M695" s="3" t="s">
        <v>5032</v>
      </c>
      <c r="N695" s="3" t="str">
        <f t="shared" si="1"/>
        <v>POST /system/accountManagement/counterpartyRisk/v1/economicActivityRisk/retrieve</v>
      </c>
      <c r="O695" s="32" t="s">
        <v>5063</v>
      </c>
      <c r="P695" s="32"/>
      <c r="Q695" s="61" t="s">
        <v>98</v>
      </c>
      <c r="R695" s="31" t="s">
        <v>56</v>
      </c>
      <c r="S695" s="38" t="str">
        <f t="shared" si="2"/>
        <v>https://github.com/SF-Bancoppel/mx-api-bc-pro-counterparty-risk</v>
      </c>
      <c r="T695" s="40"/>
      <c r="U695" s="40"/>
      <c r="V695" s="40"/>
      <c r="W695" s="40"/>
      <c r="X695" s="40"/>
      <c r="Y695" s="40"/>
      <c r="Z695" s="40"/>
      <c r="AA695" s="40"/>
      <c r="AB695" s="40"/>
    </row>
    <row r="696" ht="18.75" customHeight="1">
      <c r="A696" s="18" t="str">
        <f t="array" ref="A696">IFERROR(
  INDEX(
    'api-register-id'!A:A,
    MATCH(F696, 'api-register-id'!B:B, 0)
  ),
  "Not found Organization"
)</f>
        <v>SSFF</v>
      </c>
      <c r="B696" s="22" t="str">
        <f>IFERROR(VLOOKUP(F696, 'api-register-id'!B:F, 4, FALSE), "Not found path.")</f>
        <v>mx-api-bc-pro-party-reference-data-directory</v>
      </c>
      <c r="C696" s="78" t="s">
        <v>41</v>
      </c>
      <c r="D696" s="78" t="s">
        <v>811</v>
      </c>
      <c r="E696" s="24" t="str">
        <f>IFERROR(VLOOKUP(F696, 'api-register-id'!B:F, 5, FALSE), "Not found path.")</f>
        <v>APIMX000097</v>
      </c>
      <c r="F696" s="25" t="s">
        <v>1222</v>
      </c>
      <c r="G696" s="26" t="s">
        <v>5064</v>
      </c>
      <c r="H696" s="22" t="s">
        <v>5065</v>
      </c>
      <c r="I696" s="29" t="str">
        <f>IFERROR(VLOOKUP(F696, 'api-register-id'!B:I, 8, FALSE), "Not found path.")</f>
        <v>1.8.1</v>
      </c>
      <c r="J696" s="3" t="s">
        <v>3395</v>
      </c>
      <c r="K696" s="31" t="s">
        <v>48</v>
      </c>
      <c r="L696" s="78" t="s">
        <v>49</v>
      </c>
      <c r="M696" s="3" t="s">
        <v>4289</v>
      </c>
      <c r="N696" s="3" t="str">
        <f t="shared" si="1"/>
        <v>POST /system/customerManagement/partyReferenceDataDirectory/v1/incomeProfile/initiate</v>
      </c>
      <c r="O696" s="32" t="s">
        <v>5066</v>
      </c>
      <c r="P696" s="32"/>
      <c r="Q696" s="61" t="s">
        <v>5067</v>
      </c>
      <c r="R696" s="31" t="s">
        <v>56</v>
      </c>
      <c r="S696" s="38" t="str">
        <f t="shared" si="2"/>
        <v>https://github.com/SF-Bancoppel/mx-api-bc-pro-party-reference-data-directory</v>
      </c>
      <c r="T696" s="40"/>
      <c r="U696" s="40"/>
      <c r="V696" s="40"/>
      <c r="W696" s="40"/>
      <c r="X696" s="40"/>
      <c r="Y696" s="40"/>
      <c r="Z696" s="40"/>
      <c r="AA696" s="40"/>
      <c r="AB696" s="40"/>
    </row>
    <row r="697" ht="18.75" customHeight="1">
      <c r="A697" s="18" t="str">
        <f t="array" ref="A697">IFERROR(
  INDEX(
    'api-register-id'!A:A,
    MATCH(F697, 'api-register-id'!B:B, 0)
  ),
  "Not found Organization"
)</f>
        <v>SSFF</v>
      </c>
      <c r="B697" s="22" t="str">
        <f>IFERROR(VLOOKUP(F697, 'api-register-id'!B:F, 4, FALSE), "Not found path.")</f>
        <v>mx-api-bc-pro-payment-execution</v>
      </c>
      <c r="C697" s="78" t="s">
        <v>41</v>
      </c>
      <c r="D697" s="78" t="s">
        <v>811</v>
      </c>
      <c r="E697" s="24" t="str">
        <f>IFERROR(VLOOKUP(F697, 'api-register-id'!B:F, 5, FALSE), "Not found path.")</f>
        <v>APIMX000099</v>
      </c>
      <c r="F697" s="25" t="s">
        <v>1243</v>
      </c>
      <c r="G697" s="26" t="s">
        <v>5068</v>
      </c>
      <c r="H697" s="22" t="s">
        <v>5069</v>
      </c>
      <c r="I697" s="29" t="str">
        <f>IFERROR(VLOOKUP(F697, 'api-register-id'!B:I, 8, FALSE), "Not found path.")</f>
        <v>1.0.1</v>
      </c>
      <c r="J697" s="3" t="s">
        <v>3463</v>
      </c>
      <c r="K697" s="31" t="s">
        <v>48</v>
      </c>
      <c r="L697" s="78" t="s">
        <v>49</v>
      </c>
      <c r="M697" s="3" t="s">
        <v>5039</v>
      </c>
      <c r="N697" s="3" t="str">
        <f t="shared" si="1"/>
        <v>POST /system/payments/paymentExecution/v1/cashAdvance/initiate</v>
      </c>
      <c r="O697" s="32" t="s">
        <v>5070</v>
      </c>
      <c r="P697" s="32"/>
      <c r="Q697" s="61" t="s">
        <v>98</v>
      </c>
      <c r="R697" s="31" t="s">
        <v>56</v>
      </c>
      <c r="S697" s="38" t="str">
        <f t="shared" si="2"/>
        <v>https://github.com/SF-Bancoppel/mx-api-bc-pro-payment-execution</v>
      </c>
      <c r="T697" s="40"/>
      <c r="U697" s="40"/>
      <c r="V697" s="40"/>
      <c r="W697" s="40"/>
      <c r="X697" s="40"/>
      <c r="Y697" s="40"/>
      <c r="Z697" s="40"/>
      <c r="AA697" s="40"/>
      <c r="AB697" s="40"/>
    </row>
    <row r="698" ht="18.75" customHeight="1">
      <c r="A698" s="18" t="str">
        <f t="array" ref="A698">IFERROR(
  INDEX(
    'api-register-id'!A:A,
    MATCH(F698, 'api-register-id'!B:B, 0)
  ),
  "Not found Organization"
)</f>
        <v>SSFF</v>
      </c>
      <c r="B698" s="22" t="str">
        <f>IFERROR(VLOOKUP(F698, 'api-register-id'!B:F, 4, FALSE), "Not found path.")</f>
        <v>mx-api-bc-pro-payment-execution</v>
      </c>
      <c r="C698" s="78" t="s">
        <v>41</v>
      </c>
      <c r="D698" s="78" t="s">
        <v>811</v>
      </c>
      <c r="E698" s="24" t="str">
        <f>IFERROR(VLOOKUP(F698, 'api-register-id'!B:F, 5, FALSE), "Not found path.")</f>
        <v>APIMX000099</v>
      </c>
      <c r="F698" s="25" t="s">
        <v>1243</v>
      </c>
      <c r="G698" s="26" t="s">
        <v>5071</v>
      </c>
      <c r="H698" s="22" t="s">
        <v>5072</v>
      </c>
      <c r="I698" s="29" t="str">
        <f>IFERROR(VLOOKUP(F698, 'api-register-id'!B:I, 8, FALSE), "Not found path.")</f>
        <v>1.0.1</v>
      </c>
      <c r="J698" s="3" t="s">
        <v>3463</v>
      </c>
      <c r="K698" s="31" t="s">
        <v>48</v>
      </c>
      <c r="L698" s="78" t="s">
        <v>49</v>
      </c>
      <c r="M698" s="3" t="s">
        <v>5043</v>
      </c>
      <c r="N698" s="3" t="str">
        <f t="shared" si="1"/>
        <v>POST /system/payments/paymentExecution/v1/deposits/initiate</v>
      </c>
      <c r="O698" s="32" t="s">
        <v>5073</v>
      </c>
      <c r="P698" s="32"/>
      <c r="Q698" s="61" t="s">
        <v>98</v>
      </c>
      <c r="R698" s="31" t="s">
        <v>56</v>
      </c>
      <c r="S698" s="38" t="str">
        <f t="shared" si="2"/>
        <v>https://github.com/SF-Bancoppel/mx-api-bc-pro-payment-execution</v>
      </c>
      <c r="T698" s="40"/>
      <c r="U698" s="40"/>
      <c r="V698" s="40"/>
      <c r="W698" s="40"/>
      <c r="X698" s="40"/>
      <c r="Y698" s="40"/>
      <c r="Z698" s="40"/>
      <c r="AA698" s="40"/>
      <c r="AB698" s="40"/>
    </row>
    <row r="699" ht="18.75" customHeight="1">
      <c r="A699" s="18" t="str">
        <f t="array" ref="A699">IFERROR(
  INDEX(
    'api-register-id'!A:A,
    MATCH(F699, 'api-register-id'!B:B, 0)
  ),
  "Not found Organization"
)</f>
        <v>SSFF</v>
      </c>
      <c r="B699" s="22" t="str">
        <f>IFERROR(VLOOKUP(F699, 'api-register-id'!B:F, 4, FALSE), "Not found path.")</f>
        <v>mx-api-bc-rec-counterparty-risk</v>
      </c>
      <c r="C699" s="78" t="s">
        <v>112</v>
      </c>
      <c r="D699" s="78" t="s">
        <v>1417</v>
      </c>
      <c r="E699" s="24" t="str">
        <f>IFERROR(VLOOKUP(F699, 'api-register-id'!B:F, 5, FALSE), "Not found path.")</f>
        <v>APIMX000119</v>
      </c>
      <c r="F699" s="25" t="s">
        <v>1459</v>
      </c>
      <c r="G699" s="26" t="s">
        <v>5074</v>
      </c>
      <c r="H699" s="22" t="s">
        <v>5075</v>
      </c>
      <c r="I699" s="29" t="str">
        <f>IFERROR(VLOOKUP(F699, 'api-register-id'!B:I, 8, FALSE), "Not found path.")</f>
        <v>1.2.0</v>
      </c>
      <c r="J699" s="3" t="s">
        <v>3950</v>
      </c>
      <c r="K699" s="31" t="s">
        <v>48</v>
      </c>
      <c r="L699" s="78" t="s">
        <v>49</v>
      </c>
      <c r="M699" s="3" t="s">
        <v>5032</v>
      </c>
      <c r="N699" s="3" t="str">
        <f t="shared" si="1"/>
        <v>POST /experience/accountManagement/counterpartyRisk/v1/economicActivityRisk/retrieve</v>
      </c>
      <c r="O699" s="32" t="s">
        <v>5076</v>
      </c>
      <c r="P699" s="32"/>
      <c r="Q699" s="61" t="s">
        <v>98</v>
      </c>
      <c r="R699" s="31" t="s">
        <v>56</v>
      </c>
      <c r="S699" s="38" t="str">
        <f t="shared" si="2"/>
        <v>https://github.com/SF-Bancoppel/mx-api-bc-rec-counterparty-risk</v>
      </c>
      <c r="T699" s="40"/>
      <c r="U699" s="40"/>
      <c r="V699" s="40"/>
      <c r="W699" s="40"/>
      <c r="X699" s="40"/>
      <c r="Y699" s="40"/>
      <c r="Z699" s="40"/>
      <c r="AA699" s="40"/>
      <c r="AB699" s="40"/>
    </row>
    <row r="700" ht="18.75" customHeight="1">
      <c r="A700" s="18" t="str">
        <f t="array" ref="A700">IFERROR(
  INDEX(
    'api-register-id'!A:A,
    MATCH(F700, 'api-register-id'!B:B, 0)
  ),
  "Not found Organization"
)</f>
        <v>SSFF</v>
      </c>
      <c r="B700" s="22" t="str">
        <f>IFERROR(VLOOKUP(F700, 'api-register-id'!B:F, 4, FALSE), "Not found path.")</f>
        <v>mx-api-bc-rec-credit-card</v>
      </c>
      <c r="C700" s="78" t="s">
        <v>112</v>
      </c>
      <c r="D700" s="78" t="s">
        <v>1417</v>
      </c>
      <c r="E700" s="24" t="str">
        <f>IFERROR(VLOOKUP(F700, 'api-register-id'!B:F, 5, FALSE), "Not found path.")</f>
        <v>APIMX000120</v>
      </c>
      <c r="F700" s="25" t="s">
        <v>1471</v>
      </c>
      <c r="G700" s="26" t="s">
        <v>5077</v>
      </c>
      <c r="H700" s="22" t="s">
        <v>5078</v>
      </c>
      <c r="I700" s="29" t="str">
        <f>IFERROR(VLOOKUP(F700, 'api-register-id'!B:I, 8, FALSE), "Not found path.")</f>
        <v>1.14.0</v>
      </c>
      <c r="J700" s="3" t="s">
        <v>3959</v>
      </c>
      <c r="K700" s="31" t="s">
        <v>48</v>
      </c>
      <c r="L700" s="78" t="s">
        <v>49</v>
      </c>
      <c r="M700" s="3" t="s">
        <v>573</v>
      </c>
      <c r="N700" s="3" t="str">
        <f t="shared" si="1"/>
        <v>POST /experience/cards/creditCard/v1/creditCardApplication/initiate</v>
      </c>
      <c r="O700" s="32" t="s">
        <v>5079</v>
      </c>
      <c r="P700" s="32"/>
      <c r="Q700" s="61" t="s">
        <v>98</v>
      </c>
      <c r="R700" s="31" t="s">
        <v>56</v>
      </c>
      <c r="S700" s="38" t="str">
        <f t="shared" si="2"/>
        <v>https://github.com/SF-Bancoppel/mx-api-bc-rec-credit-card</v>
      </c>
      <c r="T700" s="40"/>
      <c r="U700" s="40"/>
      <c r="V700" s="40"/>
      <c r="W700" s="40"/>
      <c r="X700" s="40"/>
      <c r="Y700" s="40"/>
      <c r="Z700" s="40"/>
      <c r="AA700" s="40"/>
      <c r="AB700" s="40"/>
    </row>
    <row r="701" ht="18.75" customHeight="1">
      <c r="A701" s="18" t="str">
        <f t="array" ref="A701">IFERROR(
  INDEX(
    'api-register-id'!A:A,
    MATCH(F701, 'api-register-id'!B:B, 0)
  ),
  "Not found Organization"
)</f>
        <v>SSFF</v>
      </c>
      <c r="B701" s="22" t="str">
        <f>IFERROR(VLOOKUP(F701, 'api-register-id'!B:F, 4, FALSE), "Not found path.")</f>
        <v>mx-api-bc-rec-credit-card</v>
      </c>
      <c r="C701" s="78" t="s">
        <v>112</v>
      </c>
      <c r="D701" s="78" t="s">
        <v>1417</v>
      </c>
      <c r="E701" s="24" t="str">
        <f>IFERROR(VLOOKUP(F701, 'api-register-id'!B:F, 5, FALSE), "Not found path.")</f>
        <v>APIMX000120</v>
      </c>
      <c r="F701" s="25" t="s">
        <v>1471</v>
      </c>
      <c r="G701" s="26" t="s">
        <v>5080</v>
      </c>
      <c r="H701" s="22" t="s">
        <v>5081</v>
      </c>
      <c r="I701" s="29" t="str">
        <f>IFERROR(VLOOKUP(F701, 'api-register-id'!B:I, 8, FALSE), "Not found path.")</f>
        <v>1.14.0</v>
      </c>
      <c r="J701" s="3" t="s">
        <v>3959</v>
      </c>
      <c r="K701" s="31" t="s">
        <v>48</v>
      </c>
      <c r="L701" s="78" t="s">
        <v>428</v>
      </c>
      <c r="M701" s="3" t="s">
        <v>589</v>
      </c>
      <c r="N701" s="3" t="str">
        <f t="shared" si="1"/>
        <v>PATCH /experience/cards/creditCard/v1/creditCardApplication/update</v>
      </c>
      <c r="O701" s="32" t="s">
        <v>590</v>
      </c>
      <c r="P701" s="32"/>
      <c r="Q701" s="61" t="s">
        <v>98</v>
      </c>
      <c r="R701" s="31" t="s">
        <v>56</v>
      </c>
      <c r="S701" s="38" t="str">
        <f t="shared" si="2"/>
        <v>https://github.com/SF-Bancoppel/mx-api-bc-rec-credit-card</v>
      </c>
      <c r="T701" s="40"/>
      <c r="U701" s="40"/>
      <c r="V701" s="40"/>
      <c r="W701" s="40"/>
      <c r="X701" s="40"/>
      <c r="Y701" s="40"/>
      <c r="Z701" s="40"/>
      <c r="AA701" s="40"/>
      <c r="AB701" s="40"/>
    </row>
    <row r="702" ht="18.75" customHeight="1">
      <c r="A702" s="18" t="str">
        <f t="array" ref="A702">IFERROR(
  INDEX(
    'api-register-id'!A:A,
    MATCH(F702, 'api-register-id'!B:B, 0)
  ),
  "Not found Organization"
)</f>
        <v>SSFF</v>
      </c>
      <c r="B702" s="22" t="str">
        <f>IFERROR(VLOOKUP(F702, 'api-register-id'!B:F, 4, FALSE), "Not found path.")</f>
        <v>mx-api-bc-rec-operations-and-execution</v>
      </c>
      <c r="C702" s="78" t="s">
        <v>112</v>
      </c>
      <c r="D702" s="78" t="s">
        <v>1417</v>
      </c>
      <c r="E702" s="24" t="str">
        <f>IFERROR(VLOOKUP(F702, 'api-register-id'!B:F, 5, FALSE), "Not found path.")</f>
        <v>APIMX000137</v>
      </c>
      <c r="F702" s="25" t="s">
        <v>1649</v>
      </c>
      <c r="G702" s="26" t="s">
        <v>5082</v>
      </c>
      <c r="H702" s="22" t="s">
        <v>5083</v>
      </c>
      <c r="I702" s="29" t="str">
        <f>IFERROR(VLOOKUP(F702, 'api-register-id'!B:I, 8, FALSE), "Not found path.")</f>
        <v>1.3.1</v>
      </c>
      <c r="J702" s="3" t="s">
        <v>4726</v>
      </c>
      <c r="K702" s="31" t="s">
        <v>48</v>
      </c>
      <c r="L702" s="78" t="s">
        <v>49</v>
      </c>
      <c r="M702" s="3" t="s">
        <v>561</v>
      </c>
      <c r="N702" s="3" t="str">
        <f t="shared" si="1"/>
        <v>POST /experience/operationsAndExecution/v1/creditCardApplication/retrieve</v>
      </c>
      <c r="O702" s="32" t="s">
        <v>5084</v>
      </c>
      <c r="P702" s="32"/>
      <c r="Q702" s="61" t="s">
        <v>5085</v>
      </c>
      <c r="R702" s="31" t="s">
        <v>56</v>
      </c>
      <c r="S702" s="38" t="str">
        <f t="shared" si="2"/>
        <v>https://github.com/SF-Bancoppel/mx-api-bc-rec-operations-and-execution</v>
      </c>
      <c r="T702" s="40"/>
      <c r="U702" s="40"/>
      <c r="V702" s="40"/>
      <c r="W702" s="40"/>
      <c r="X702" s="40"/>
      <c r="Y702" s="40"/>
      <c r="Z702" s="40"/>
      <c r="AA702" s="40"/>
      <c r="AB702" s="40"/>
    </row>
    <row r="703" ht="18.75" customHeight="1">
      <c r="A703" s="18" t="str">
        <f t="array" ref="A703">IFERROR(
  INDEX(
    'api-register-id'!A:A,
    MATCH(F703, 'api-register-id'!B:B, 0)
  ),
  "Not found Organization"
)</f>
        <v>SSFF</v>
      </c>
      <c r="B703" s="22" t="str">
        <f>IFERROR(VLOOKUP(F703, 'api-register-id'!B:F, 4, FALSE), "Not found path.")</f>
        <v>mx-api-bc-rec-party-reference-data-directory</v>
      </c>
      <c r="C703" s="78" t="s">
        <v>112</v>
      </c>
      <c r="D703" s="78" t="s">
        <v>1417</v>
      </c>
      <c r="E703" s="24" t="str">
        <f>IFERROR(VLOOKUP(F703, 'api-register-id'!B:F, 5, FALSE), "Not found path.")</f>
        <v>APIMX000140</v>
      </c>
      <c r="F703" s="25" t="s">
        <v>1677</v>
      </c>
      <c r="G703" s="26" t="s">
        <v>5086</v>
      </c>
      <c r="H703" s="22" t="s">
        <v>5087</v>
      </c>
      <c r="I703" s="29" t="str">
        <f>IFERROR(VLOOKUP(F703, 'api-register-id'!B:I, 8, FALSE), "Not found path.")</f>
        <v>1.0.0</v>
      </c>
      <c r="J703" s="3" t="s">
        <v>4550</v>
      </c>
      <c r="K703" s="31" t="s">
        <v>48</v>
      </c>
      <c r="L703" s="78" t="s">
        <v>49</v>
      </c>
      <c r="M703" s="3" t="s">
        <v>4289</v>
      </c>
      <c r="N703" s="3" t="str">
        <f t="shared" si="1"/>
        <v>POST /experience/customerManagement/partyReferenceDataDirectory/v1/incomeProfile/initiate</v>
      </c>
      <c r="O703" s="32" t="s">
        <v>5088</v>
      </c>
      <c r="P703" s="32"/>
      <c r="Q703" s="61" t="s">
        <v>98</v>
      </c>
      <c r="R703" s="31" t="s">
        <v>56</v>
      </c>
      <c r="S703" s="38" t="str">
        <f t="shared" si="2"/>
        <v>https://github.com/SF-Bancoppel/mx-api-bc-rec-party-reference-data-directory</v>
      </c>
      <c r="T703" s="40"/>
      <c r="U703" s="40"/>
      <c r="V703" s="40"/>
      <c r="W703" s="40"/>
      <c r="X703" s="40"/>
      <c r="Y703" s="40"/>
      <c r="Z703" s="40"/>
      <c r="AA703" s="40"/>
      <c r="AB703" s="40"/>
    </row>
    <row r="704" ht="18.75" customHeight="1">
      <c r="A704" s="18" t="str">
        <f t="array" ref="A704">IFERROR(
  INDEX(
    'api-register-id'!A:A,
    MATCH(F704, 'api-register-id'!B:B, 0)
  ),
  "Not found Organization"
)</f>
        <v>SSFF</v>
      </c>
      <c r="B704" s="22" t="str">
        <f>IFERROR(VLOOKUP(F704, 'api-register-id'!B:F, 4, FALSE), "Not found path.")</f>
        <v>mx-api-bc-rec-payment-execution</v>
      </c>
      <c r="C704" s="78" t="s">
        <v>112</v>
      </c>
      <c r="D704" s="78" t="s">
        <v>1417</v>
      </c>
      <c r="E704" s="24" t="str">
        <f>IFERROR(VLOOKUP(F704, 'api-register-id'!B:F, 5, FALSE), "Not found path.")</f>
        <v>APIMX000141</v>
      </c>
      <c r="F704" s="25" t="s">
        <v>1688</v>
      </c>
      <c r="G704" s="26" t="s">
        <v>5089</v>
      </c>
      <c r="H704" s="22" t="s">
        <v>5090</v>
      </c>
      <c r="I704" s="29" t="str">
        <f>IFERROR(VLOOKUP(F704, 'api-register-id'!B:I, 8, FALSE), "Not found path.")</f>
        <v>1.2.0</v>
      </c>
      <c r="J704" s="3" t="s">
        <v>4829</v>
      </c>
      <c r="K704" s="31" t="s">
        <v>48</v>
      </c>
      <c r="L704" s="78" t="s">
        <v>49</v>
      </c>
      <c r="M704" s="3" t="s">
        <v>5039</v>
      </c>
      <c r="N704" s="3" t="str">
        <f t="shared" si="1"/>
        <v>POST /experience/payments/paymentExecution/v1/cashAdvance/initiate</v>
      </c>
      <c r="O704" s="32" t="s">
        <v>5091</v>
      </c>
      <c r="P704" s="32"/>
      <c r="Q704" s="61" t="s">
        <v>98</v>
      </c>
      <c r="R704" s="31" t="s">
        <v>56</v>
      </c>
      <c r="S704" s="38" t="str">
        <f t="shared" si="2"/>
        <v>https://github.com/SF-Bancoppel/mx-api-bc-rec-payment-execution</v>
      </c>
      <c r="T704" s="40"/>
      <c r="U704" s="40"/>
      <c r="V704" s="40"/>
      <c r="W704" s="40"/>
      <c r="X704" s="40"/>
      <c r="Y704" s="40"/>
      <c r="Z704" s="40"/>
      <c r="AA704" s="40"/>
      <c r="AB704" s="40"/>
    </row>
    <row r="705" ht="18.75" customHeight="1">
      <c r="A705" s="18" t="str">
        <f t="array" ref="A705">IFERROR(
  INDEX(
    'api-register-id'!A:A,
    MATCH(F705, 'api-register-id'!B:B, 0)
  ),
  "Not found Organization"
)</f>
        <v>SSFF</v>
      </c>
      <c r="B705" s="22" t="str">
        <f>IFERROR(VLOOKUP(F705, 'api-register-id'!B:F, 4, FALSE), "Not found path.")</f>
        <v>mx-api-bc-rec-payment-execution</v>
      </c>
      <c r="C705" s="78" t="s">
        <v>112</v>
      </c>
      <c r="D705" s="78" t="s">
        <v>1417</v>
      </c>
      <c r="E705" s="24" t="str">
        <f>IFERROR(VLOOKUP(F705, 'api-register-id'!B:F, 5, FALSE), "Not found path.")</f>
        <v>APIMX000141</v>
      </c>
      <c r="F705" s="25" t="s">
        <v>1688</v>
      </c>
      <c r="G705" s="26" t="s">
        <v>5092</v>
      </c>
      <c r="H705" s="22" t="s">
        <v>5093</v>
      </c>
      <c r="I705" s="29" t="str">
        <f>IFERROR(VLOOKUP(F705, 'api-register-id'!B:I, 8, FALSE), "Not found path.")</f>
        <v>1.2.0</v>
      </c>
      <c r="J705" s="3" t="s">
        <v>4829</v>
      </c>
      <c r="K705" s="31" t="s">
        <v>48</v>
      </c>
      <c r="L705" s="78" t="s">
        <v>49</v>
      </c>
      <c r="M705" s="3" t="s">
        <v>5043</v>
      </c>
      <c r="N705" s="3" t="str">
        <f t="shared" si="1"/>
        <v>POST /experience/payments/paymentExecution/v1/deposits/initiate</v>
      </c>
      <c r="O705" s="32" t="s">
        <v>5094</v>
      </c>
      <c r="P705" s="32"/>
      <c r="Q705" s="61" t="s">
        <v>98</v>
      </c>
      <c r="R705" s="31" t="s">
        <v>56</v>
      </c>
      <c r="S705" s="38" t="str">
        <f t="shared" si="2"/>
        <v>https://github.com/SF-Bancoppel/mx-api-bc-rec-payment-execution</v>
      </c>
      <c r="T705" s="40"/>
      <c r="U705" s="40"/>
      <c r="V705" s="40"/>
      <c r="W705" s="40"/>
      <c r="X705" s="40"/>
      <c r="Y705" s="40"/>
      <c r="Z705" s="40"/>
      <c r="AA705" s="40"/>
      <c r="AB705" s="40"/>
    </row>
    <row r="706" ht="18.75" customHeight="1">
      <c r="A706" s="18" t="str">
        <f t="array" ref="A706">IFERROR(
  INDEX(
    'api-register-id'!A:A,
    MATCH(F706, 'api-register-id'!B:B, 0)
  ),
  "Not found Organization"
)</f>
        <v>SSFF</v>
      </c>
      <c r="B706" s="22" t="str">
        <f>IFERROR(VLOOKUP(F706, 'api-register-id'!B:F, 4, FALSE), "Not found path.")</f>
        <v>mx-api-bc-dom-document-services</v>
      </c>
      <c r="C706" s="78" t="s">
        <v>41</v>
      </c>
      <c r="D706" s="78" t="s">
        <v>119</v>
      </c>
      <c r="E706" s="24" t="str">
        <f>IFERROR(VLOOKUP(F706, 'api-register-id'!B:F, 5, FALSE), "Not found path.")</f>
        <v>APIMX000028</v>
      </c>
      <c r="F706" s="25" t="s">
        <v>462</v>
      </c>
      <c r="G706" s="26" t="s">
        <v>5095</v>
      </c>
      <c r="H706" s="22" t="s">
        <v>5096</v>
      </c>
      <c r="I706" s="29" t="str">
        <f>IFERROR(VLOOKUP(F706, 'api-register-id'!B:I, 8, FALSE), "Not found path.")</f>
        <v>1.7.0</v>
      </c>
      <c r="J706" s="3" t="s">
        <v>1028</v>
      </c>
      <c r="K706" s="31" t="s">
        <v>48</v>
      </c>
      <c r="L706" s="78" t="s">
        <v>49</v>
      </c>
      <c r="M706" s="3" t="s">
        <v>5097</v>
      </c>
      <c r="N706" s="3" t="str">
        <f t="shared" si="1"/>
        <v>POST /documentManagementAndArchive/documentServices/v1/documentTemplate/retrieve</v>
      </c>
      <c r="O706" s="32" t="s">
        <v>5098</v>
      </c>
      <c r="P706" s="32"/>
      <c r="Q706" s="61" t="s">
        <v>5099</v>
      </c>
      <c r="R706" s="31" t="s">
        <v>56</v>
      </c>
      <c r="S706" s="38" t="str">
        <f t="shared" si="2"/>
        <v>https://github.com/SF-Bancoppel/mx-api-bc-dom-document-services</v>
      </c>
      <c r="T706" s="40"/>
      <c r="U706" s="40"/>
      <c r="V706" s="40"/>
      <c r="W706" s="40"/>
      <c r="X706" s="40"/>
      <c r="Y706" s="40"/>
      <c r="Z706" s="40"/>
      <c r="AA706" s="40"/>
      <c r="AB706" s="40"/>
    </row>
    <row r="707" ht="18.75" customHeight="1">
      <c r="A707" s="18" t="str">
        <f t="array" ref="A707">IFERROR(
  INDEX(
    'api-register-id'!A:A,
    MATCH(F707, 'api-register-id'!B:B, 0)
  ),
  "Not found Organization"
)</f>
        <v>SSFF</v>
      </c>
      <c r="B707" s="22" t="str">
        <f>IFERROR(VLOOKUP(F707, 'api-register-id'!B:F, 4, FALSE), "Not found path.")</f>
        <v>mx-api-bc-dom-party-lifecycle-management</v>
      </c>
      <c r="C707" s="78" t="s">
        <v>41</v>
      </c>
      <c r="D707" s="78" t="s">
        <v>119</v>
      </c>
      <c r="E707" s="24" t="str">
        <f>IFERROR(VLOOKUP(F707, 'api-register-id'!B:F, 5, FALSE), "Not found path.")</f>
        <v>APIMX000040</v>
      </c>
      <c r="F707" s="25" t="s">
        <v>624</v>
      </c>
      <c r="G707" s="26" t="s">
        <v>5100</v>
      </c>
      <c r="H707" s="22" t="s">
        <v>5101</v>
      </c>
      <c r="I707" s="29" t="str">
        <f>IFERROR(VLOOKUP(F707, 'api-register-id'!B:I, 8, FALSE), "Not found path.")</f>
        <v>2.2.2</v>
      </c>
      <c r="J707" s="3" t="s">
        <v>1315</v>
      </c>
      <c r="K707" s="31" t="s">
        <v>48</v>
      </c>
      <c r="L707" s="78" t="s">
        <v>49</v>
      </c>
      <c r="M707" s="3" t="s">
        <v>3386</v>
      </c>
      <c r="N707" s="3" t="str">
        <f t="shared" si="1"/>
        <v>POST /sales/partyLifecycleManagement/v1/customerRelationshipInvolvement/initiate</v>
      </c>
      <c r="O707" s="32" t="s">
        <v>4255</v>
      </c>
      <c r="P707" s="32"/>
      <c r="Q707" s="61" t="s">
        <v>5102</v>
      </c>
      <c r="R707" s="31" t="s">
        <v>56</v>
      </c>
      <c r="S707" s="38" t="str">
        <f t="shared" si="2"/>
        <v>https://github.com/SF-Bancoppel/mx-api-bc-dom-party-lifecycle-management</v>
      </c>
      <c r="T707" s="40"/>
      <c r="U707" s="40"/>
      <c r="V707" s="40"/>
      <c r="W707" s="40"/>
      <c r="X707" s="40"/>
      <c r="Y707" s="40"/>
      <c r="Z707" s="40"/>
      <c r="AA707" s="40"/>
      <c r="AB707" s="40"/>
    </row>
    <row r="708" ht="18.75" customHeight="1">
      <c r="A708" s="18" t="str">
        <f t="array" ref="A708">IFERROR(
  INDEX(
    'api-register-id'!A:A,
    MATCH(F708, 'api-register-id'!B:B, 0)
  ),
  "Not found Organization"
)</f>
        <v>SSFF</v>
      </c>
      <c r="B708" s="22" t="str">
        <f>IFERROR(VLOOKUP(F708, 'api-register-id'!B:F, 4, FALSE), "Not found path.")</f>
        <v>mx-api-bc-dom-party-lifecycle-management</v>
      </c>
      <c r="C708" s="78" t="s">
        <v>41</v>
      </c>
      <c r="D708" s="78" t="s">
        <v>119</v>
      </c>
      <c r="E708" s="24" t="str">
        <f>IFERROR(VLOOKUP(F708, 'api-register-id'!B:F, 5, FALSE), "Not found path.")</f>
        <v>APIMX000040</v>
      </c>
      <c r="F708" s="25" t="s">
        <v>624</v>
      </c>
      <c r="G708" s="26" t="s">
        <v>5103</v>
      </c>
      <c r="H708" s="22" t="s">
        <v>1575</v>
      </c>
      <c r="I708" s="29" t="str">
        <f>IFERROR(VLOOKUP(F708, 'api-register-id'!B:I, 8, FALSE), "Not found path.")</f>
        <v>2.2.2</v>
      </c>
      <c r="J708" s="3" t="s">
        <v>1315</v>
      </c>
      <c r="K708" s="31" t="s">
        <v>48</v>
      </c>
      <c r="L708" s="78" t="s">
        <v>428</v>
      </c>
      <c r="M708" s="3" t="s">
        <v>3373</v>
      </c>
      <c r="N708" s="3" t="str">
        <f t="shared" si="1"/>
        <v>PATCH /sales/partyLifecycleManagement/v1/personProfile/{sessionDialogueIdentification}/update</v>
      </c>
      <c r="O708" s="32" t="s">
        <v>4242</v>
      </c>
      <c r="P708" s="32" t="s">
        <v>900</v>
      </c>
      <c r="Q708" s="61" t="s">
        <v>5104</v>
      </c>
      <c r="R708" s="31" t="s">
        <v>56</v>
      </c>
      <c r="S708" s="38" t="str">
        <f t="shared" si="2"/>
        <v>https://github.com/SF-Bancoppel/mx-api-bc-dom-party-lifecycle-management</v>
      </c>
      <c r="T708" s="40"/>
      <c r="U708" s="40"/>
      <c r="V708" s="40"/>
      <c r="W708" s="40"/>
      <c r="X708" s="40"/>
      <c r="Y708" s="40"/>
      <c r="Z708" s="40"/>
      <c r="AA708" s="40"/>
      <c r="AB708" s="40"/>
    </row>
    <row r="709" ht="18.75" customHeight="1">
      <c r="A709" s="18" t="str">
        <f t="array" ref="A709">IFERROR(
  INDEX(
    'api-register-id'!A:A,
    MATCH(F709, 'api-register-id'!B:B, 0)
  ),
  "Not found Organization"
)</f>
        <v>SSFF</v>
      </c>
      <c r="B709" s="22" t="str">
        <f>IFERROR(VLOOKUP(F709, 'api-register-id'!B:F, 4, FALSE), "Not found path.")</f>
        <v>mx-api-bc-dom-party-lifecycle-management</v>
      </c>
      <c r="C709" s="78" t="s">
        <v>41</v>
      </c>
      <c r="D709" s="78" t="s">
        <v>119</v>
      </c>
      <c r="E709" s="24" t="str">
        <f>IFERROR(VLOOKUP(F709, 'api-register-id'!B:F, 5, FALSE), "Not found path.")</f>
        <v>APIMX000040</v>
      </c>
      <c r="F709" s="25" t="s">
        <v>624</v>
      </c>
      <c r="G709" s="26" t="s">
        <v>5105</v>
      </c>
      <c r="H709" s="22" t="s">
        <v>5106</v>
      </c>
      <c r="I709" s="29" t="str">
        <f>IFERROR(VLOOKUP(F709, 'api-register-id'!B:I, 8, FALSE), "Not found path.")</f>
        <v>2.2.2</v>
      </c>
      <c r="J709" s="3" t="s">
        <v>1315</v>
      </c>
      <c r="K709" s="31" t="s">
        <v>48</v>
      </c>
      <c r="L709" s="78" t="s">
        <v>49</v>
      </c>
      <c r="M709" s="3" t="s">
        <v>4248</v>
      </c>
      <c r="N709" s="3" t="str">
        <f t="shared" si="1"/>
        <v>POST /sales/partyLifecycleManagement/v1/familyProfile/initiate</v>
      </c>
      <c r="O709" s="32" t="s">
        <v>4249</v>
      </c>
      <c r="P709" s="32"/>
      <c r="Q709" s="61" t="s">
        <v>5107</v>
      </c>
      <c r="R709" s="31" t="s">
        <v>56</v>
      </c>
      <c r="S709" s="38" t="str">
        <f t="shared" si="2"/>
        <v>https://github.com/SF-Bancoppel/mx-api-bc-dom-party-lifecycle-management</v>
      </c>
      <c r="T709" s="40"/>
      <c r="U709" s="40"/>
      <c r="V709" s="40"/>
      <c r="W709" s="40"/>
      <c r="X709" s="40"/>
      <c r="Y709" s="40"/>
      <c r="Z709" s="40"/>
      <c r="AA709" s="40"/>
      <c r="AB709" s="40"/>
    </row>
    <row r="710" ht="18.75" customHeight="1">
      <c r="A710" s="18" t="str">
        <f t="array" ref="A710">IFERROR(
  INDEX(
    'api-register-id'!A:A,
    MATCH(F710, 'api-register-id'!B:B, 0)
  ),
  "Not found Organization"
)</f>
        <v>SSFF</v>
      </c>
      <c r="B710" s="22" t="str">
        <f>IFERROR(VLOOKUP(F710, 'api-register-id'!B:F, 4, FALSE), "Not found path.")</f>
        <v>mx-api-bc-dom-party-lifecycle-management</v>
      </c>
      <c r="C710" s="78" t="s">
        <v>41</v>
      </c>
      <c r="D710" s="78" t="s">
        <v>119</v>
      </c>
      <c r="E710" s="24" t="str">
        <f>IFERROR(VLOOKUP(F710, 'api-register-id'!B:F, 5, FALSE), "Not found path.")</f>
        <v>APIMX000040</v>
      </c>
      <c r="F710" s="25" t="s">
        <v>624</v>
      </c>
      <c r="G710" s="26" t="s">
        <v>5108</v>
      </c>
      <c r="H710" s="22" t="s">
        <v>5109</v>
      </c>
      <c r="I710" s="29" t="str">
        <f>IFERROR(VLOOKUP(F710, 'api-register-id'!B:I, 8, FALSE), "Not found path.")</f>
        <v>2.2.2</v>
      </c>
      <c r="J710" s="3" t="s">
        <v>1315</v>
      </c>
      <c r="K710" s="31" t="s">
        <v>48</v>
      </c>
      <c r="L710" s="78" t="s">
        <v>49</v>
      </c>
      <c r="M710" s="3" t="s">
        <v>5110</v>
      </c>
      <c r="N710" s="3" t="str">
        <f t="shared" si="1"/>
        <v>POST /sales/partyLifecycleManagement/v1/familyProfile/retrieve</v>
      </c>
      <c r="O710" s="32" t="s">
        <v>5111</v>
      </c>
      <c r="P710" s="32"/>
      <c r="Q710" s="61" t="s">
        <v>98</v>
      </c>
      <c r="R710" s="31" t="s">
        <v>56</v>
      </c>
      <c r="S710" s="38" t="str">
        <f t="shared" si="2"/>
        <v>https://github.com/SF-Bancoppel/mx-api-bc-dom-party-lifecycle-management</v>
      </c>
      <c r="T710" s="40"/>
      <c r="U710" s="40"/>
      <c r="V710" s="40"/>
      <c r="W710" s="40"/>
      <c r="X710" s="40"/>
      <c r="Y710" s="40"/>
      <c r="Z710" s="40"/>
      <c r="AA710" s="40"/>
      <c r="AB710" s="40"/>
    </row>
    <row r="711" ht="18.75" customHeight="1">
      <c r="A711" s="18" t="str">
        <f t="array" ref="A711">IFERROR(
  INDEX(
    'api-register-id'!A:A,
    MATCH(F711, 'api-register-id'!B:B, 0)
  ),
  "Not found Organization"
)</f>
        <v>SSFF</v>
      </c>
      <c r="B711" s="22" t="str">
        <f>IFERROR(VLOOKUP(F711, 'api-register-id'!B:F, 4, FALSE), "Not found path.")</f>
        <v>mx-api-bc-dom-party-lifecycle-management</v>
      </c>
      <c r="C711" s="78" t="s">
        <v>41</v>
      </c>
      <c r="D711" s="78" t="s">
        <v>119</v>
      </c>
      <c r="E711" s="24" t="str">
        <f>IFERROR(VLOOKUP(F711, 'api-register-id'!B:F, 5, FALSE), "Not found path.")</f>
        <v>APIMX000040</v>
      </c>
      <c r="F711" s="25" t="s">
        <v>624</v>
      </c>
      <c r="G711" s="26" t="s">
        <v>5112</v>
      </c>
      <c r="H711" s="22" t="s">
        <v>5113</v>
      </c>
      <c r="I711" s="29" t="str">
        <f>IFERROR(VLOOKUP(F711, 'api-register-id'!B:I, 8, FALSE), "Not found path.")</f>
        <v>2.2.2</v>
      </c>
      <c r="J711" s="3" t="s">
        <v>1315</v>
      </c>
      <c r="K711" s="31" t="s">
        <v>48</v>
      </c>
      <c r="L711" s="78" t="s">
        <v>49</v>
      </c>
      <c r="M711" s="3" t="s">
        <v>5114</v>
      </c>
      <c r="N711" s="3" t="str">
        <f t="shared" si="1"/>
        <v>POST /sales/partyLifecycleManagement/v1/personProfile/retrieve</v>
      </c>
      <c r="O711" s="32" t="s">
        <v>5111</v>
      </c>
      <c r="P711" s="32"/>
      <c r="Q711" s="61" t="s">
        <v>98</v>
      </c>
      <c r="R711" s="31" t="s">
        <v>56</v>
      </c>
      <c r="S711" s="38" t="str">
        <f t="shared" si="2"/>
        <v>https://github.com/SF-Bancoppel/mx-api-bc-dom-party-lifecycle-management</v>
      </c>
      <c r="T711" s="40"/>
      <c r="U711" s="40"/>
      <c r="V711" s="40"/>
      <c r="W711" s="40"/>
      <c r="X711" s="40"/>
      <c r="Y711" s="40"/>
      <c r="Z711" s="40"/>
      <c r="AA711" s="40"/>
      <c r="AB711" s="40"/>
    </row>
    <row r="712" ht="18.75" customHeight="1">
      <c r="A712" s="18" t="str">
        <f t="array" ref="A712">IFERROR(
  INDEX(
    'api-register-id'!A:A,
    MATCH(F712, 'api-register-id'!B:B, 0)
  ),
  "Not found Organization"
)</f>
        <v>SSFF</v>
      </c>
      <c r="B712" s="22" t="str">
        <f>IFERROR(VLOOKUP(F712, 'api-register-id'!B:F, 4, FALSE), "Not found path.")</f>
        <v>mx-api-bc-dom-party-lifecycle-management</v>
      </c>
      <c r="C712" s="78" t="s">
        <v>41</v>
      </c>
      <c r="D712" s="78" t="s">
        <v>119</v>
      </c>
      <c r="E712" s="24" t="str">
        <f>IFERROR(VLOOKUP(F712, 'api-register-id'!B:F, 5, FALSE), "Not found path.")</f>
        <v>APIMX000040</v>
      </c>
      <c r="F712" s="25" t="s">
        <v>624</v>
      </c>
      <c r="G712" s="26" t="s">
        <v>5115</v>
      </c>
      <c r="H712" s="22" t="s">
        <v>5116</v>
      </c>
      <c r="I712" s="29" t="str">
        <f>IFERROR(VLOOKUP(F712, 'api-register-id'!B:I, 8, FALSE), "Not found path.")</f>
        <v>2.2.2</v>
      </c>
      <c r="J712" s="3" t="s">
        <v>1315</v>
      </c>
      <c r="K712" s="31" t="s">
        <v>48</v>
      </c>
      <c r="L712" s="78" t="s">
        <v>49</v>
      </c>
      <c r="M712" s="3" t="s">
        <v>3336</v>
      </c>
      <c r="N712" s="3" t="str">
        <f t="shared" si="1"/>
        <v>POST /sales/partyLifecycleManagement/v1/contactPoint/create</v>
      </c>
      <c r="O712" s="32" t="s">
        <v>4211</v>
      </c>
      <c r="P712" s="32"/>
      <c r="Q712" s="61" t="s">
        <v>5117</v>
      </c>
      <c r="R712" s="31" t="s">
        <v>56</v>
      </c>
      <c r="S712" s="38" t="str">
        <f t="shared" si="2"/>
        <v>https://github.com/SF-Bancoppel/mx-api-bc-dom-party-lifecycle-management</v>
      </c>
      <c r="T712" s="40"/>
      <c r="U712" s="40"/>
      <c r="V712" s="40"/>
      <c r="W712" s="40"/>
      <c r="X712" s="40"/>
      <c r="Y712" s="40"/>
      <c r="Z712" s="40"/>
      <c r="AA712" s="40"/>
      <c r="AB712" s="40"/>
    </row>
    <row r="713" ht="18.75" customHeight="1">
      <c r="A713" s="18" t="str">
        <f t="array" ref="A713">IFERROR(
  INDEX(
    'api-register-id'!A:A,
    MATCH(F713, 'api-register-id'!B:B, 0)
  ),
  "Not found Organization"
)</f>
        <v>SSFF</v>
      </c>
      <c r="B713" s="22" t="str">
        <f>IFERROR(VLOOKUP(F713, 'api-register-id'!B:F, 4, FALSE), "Not found path.")</f>
        <v>mx-api-bc-pro-document-services</v>
      </c>
      <c r="C713" s="78" t="s">
        <v>41</v>
      </c>
      <c r="D713" s="78" t="s">
        <v>811</v>
      </c>
      <c r="E713" s="24" t="str">
        <f>IFERROR(VLOOKUP(F713, 'api-register-id'!B:F, 5, FALSE), "Not found path.")</f>
        <v>APIMX000084</v>
      </c>
      <c r="F713" s="25" t="s">
        <v>1088</v>
      </c>
      <c r="G713" s="26" t="s">
        <v>5118</v>
      </c>
      <c r="H713" s="22" t="s">
        <v>5119</v>
      </c>
      <c r="I713" s="29" t="str">
        <f>IFERROR(VLOOKUP(F713, 'api-register-id'!B:I, 8, FALSE), "Not found path.")</f>
        <v>1.7.0</v>
      </c>
      <c r="J713" s="3" t="s">
        <v>2950</v>
      </c>
      <c r="K713" s="31" t="s">
        <v>48</v>
      </c>
      <c r="L713" s="78" t="s">
        <v>49</v>
      </c>
      <c r="M713" s="3" t="s">
        <v>5097</v>
      </c>
      <c r="N713" s="3" t="str">
        <f t="shared" si="1"/>
        <v>POST /system/documentManagementAndArchive/documentServices/v1/documentTemplate/retrieve</v>
      </c>
      <c r="O713" s="32" t="s">
        <v>5120</v>
      </c>
      <c r="P713" s="32"/>
      <c r="Q713" s="61" t="s">
        <v>5121</v>
      </c>
      <c r="R713" s="31" t="s">
        <v>56</v>
      </c>
      <c r="S713" s="38" t="str">
        <f t="shared" si="2"/>
        <v>https://github.com/SF-Bancoppel/mx-api-bc-pro-document-services</v>
      </c>
      <c r="T713" s="40"/>
      <c r="U713" s="40"/>
      <c r="V713" s="40"/>
      <c r="W713" s="40"/>
      <c r="X713" s="40"/>
      <c r="Y713" s="40"/>
      <c r="Z713" s="40"/>
      <c r="AA713" s="40"/>
      <c r="AB713" s="40"/>
    </row>
    <row r="714" ht="18.75" customHeight="1">
      <c r="A714" s="18" t="str">
        <f t="array" ref="A714">IFERROR(
  INDEX(
    'api-register-id'!A:A,
    MATCH(F714, 'api-register-id'!B:B, 0)
  ),
  "Not found Organization"
)</f>
        <v>SSFF</v>
      </c>
      <c r="B714" s="22" t="str">
        <f>IFERROR(VLOOKUP(F714, 'api-register-id'!B:F, 4, FALSE), "Not found path.")</f>
        <v>mx-api-bc-pro-party-lifecycle-management</v>
      </c>
      <c r="C714" s="78" t="s">
        <v>41</v>
      </c>
      <c r="D714" s="78" t="s">
        <v>811</v>
      </c>
      <c r="E714" s="24" t="str">
        <f>IFERROR(VLOOKUP(F714, 'api-register-id'!B:F, 5, FALSE), "Not found path.")</f>
        <v>APIMX000096</v>
      </c>
      <c r="F714" s="25" t="s">
        <v>1214</v>
      </c>
      <c r="G714" s="26" t="s">
        <v>5122</v>
      </c>
      <c r="H714" s="22" t="s">
        <v>5123</v>
      </c>
      <c r="I714" s="29" t="str">
        <f>IFERROR(VLOOKUP(F714, 'api-register-id'!B:I, 8, FALSE), "Not found path.")</f>
        <v>2.3.2</v>
      </c>
      <c r="J714" s="3" t="s">
        <v>3197</v>
      </c>
      <c r="K714" s="31" t="s">
        <v>48</v>
      </c>
      <c r="L714" s="78" t="s">
        <v>49</v>
      </c>
      <c r="M714" s="3" t="s">
        <v>5124</v>
      </c>
      <c r="N714" s="3" t="str">
        <f t="shared" si="1"/>
        <v>POST /system/sales/partyLifecycleManagement/v1/documentTrace/create</v>
      </c>
      <c r="O714" s="32" t="s">
        <v>5125</v>
      </c>
      <c r="P714" s="32"/>
      <c r="Q714" s="61" t="s">
        <v>98</v>
      </c>
      <c r="R714" s="31" t="s">
        <v>56</v>
      </c>
      <c r="S714" s="38" t="str">
        <f t="shared" si="2"/>
        <v>https://github.com/SF-Bancoppel/mx-api-bc-pro-party-lifecycle-management</v>
      </c>
      <c r="T714" s="40"/>
      <c r="U714" s="40"/>
      <c r="V714" s="40"/>
      <c r="W714" s="40"/>
      <c r="X714" s="40"/>
      <c r="Y714" s="40"/>
      <c r="Z714" s="40"/>
      <c r="AA714" s="40"/>
      <c r="AB714" s="40"/>
    </row>
    <row r="715" ht="18.75" customHeight="1">
      <c r="A715" s="18" t="str">
        <f t="array" ref="A715">IFERROR(
  INDEX(
    'api-register-id'!A:A,
    MATCH(F715, 'api-register-id'!B:B, 0)
  ),
  "Not found Organization"
)</f>
        <v>SSFF</v>
      </c>
      <c r="B715" s="22" t="str">
        <f>IFERROR(VLOOKUP(F715, 'api-register-id'!B:F, 4, FALSE), "Not found path.")</f>
        <v>mx-api-bc-pro-party-lifecycle-management</v>
      </c>
      <c r="C715" s="78" t="s">
        <v>41</v>
      </c>
      <c r="D715" s="78" t="s">
        <v>811</v>
      </c>
      <c r="E715" s="24" t="str">
        <f>IFERROR(VLOOKUP(F715, 'api-register-id'!B:F, 5, FALSE), "Not found path.")</f>
        <v>APIMX000096</v>
      </c>
      <c r="F715" s="25" t="s">
        <v>1214</v>
      </c>
      <c r="G715" s="26" t="s">
        <v>5126</v>
      </c>
      <c r="H715" s="22" t="s">
        <v>5127</v>
      </c>
      <c r="I715" s="29" t="str">
        <f>IFERROR(VLOOKUP(F715, 'api-register-id'!B:I, 8, FALSE), "Not found path.")</f>
        <v>2.3.2</v>
      </c>
      <c r="J715" s="3" t="s">
        <v>3197</v>
      </c>
      <c r="K715" s="31" t="s">
        <v>48</v>
      </c>
      <c r="L715" s="78" t="s">
        <v>49</v>
      </c>
      <c r="M715" s="3" t="s">
        <v>5110</v>
      </c>
      <c r="N715" s="3" t="str">
        <f t="shared" si="1"/>
        <v>POST /system/sales/partyLifecycleManagement/v1/familyProfile/retrieve</v>
      </c>
      <c r="O715" s="32" t="s">
        <v>5111</v>
      </c>
      <c r="P715" s="32"/>
      <c r="Q715" s="61" t="s">
        <v>98</v>
      </c>
      <c r="R715" s="31" t="s">
        <v>56</v>
      </c>
      <c r="S715" s="38" t="str">
        <f t="shared" si="2"/>
        <v>https://github.com/SF-Bancoppel/mx-api-bc-pro-party-lifecycle-management</v>
      </c>
      <c r="T715" s="40"/>
      <c r="U715" s="40"/>
      <c r="V715" s="40"/>
      <c r="W715" s="40"/>
      <c r="X715" s="40"/>
      <c r="Y715" s="40"/>
      <c r="Z715" s="40"/>
      <c r="AA715" s="40"/>
      <c r="AB715" s="40"/>
    </row>
    <row r="716" ht="18.75" customHeight="1">
      <c r="A716" s="18" t="str">
        <f t="array" ref="A716">IFERROR(
  INDEX(
    'api-register-id'!A:A,
    MATCH(F716, 'api-register-id'!B:B, 0)
  ),
  "Not found Organization"
)</f>
        <v>SSFF</v>
      </c>
      <c r="B716" s="22" t="str">
        <f>IFERROR(VLOOKUP(F716, 'api-register-id'!B:F, 4, FALSE), "Not found path.")</f>
        <v>mx-api-bc-pro-party-lifecycle-management</v>
      </c>
      <c r="C716" s="78" t="s">
        <v>41</v>
      </c>
      <c r="D716" s="78" t="s">
        <v>811</v>
      </c>
      <c r="E716" s="24" t="str">
        <f>IFERROR(VLOOKUP(F716, 'api-register-id'!B:F, 5, FALSE), "Not found path.")</f>
        <v>APIMX000096</v>
      </c>
      <c r="F716" s="25" t="s">
        <v>1214</v>
      </c>
      <c r="G716" s="26" t="s">
        <v>5128</v>
      </c>
      <c r="H716" s="22" t="s">
        <v>5129</v>
      </c>
      <c r="I716" s="29" t="str">
        <f>IFERROR(VLOOKUP(F716, 'api-register-id'!B:I, 8, FALSE), "Not found path.")</f>
        <v>2.3.2</v>
      </c>
      <c r="J716" s="3" t="s">
        <v>3197</v>
      </c>
      <c r="K716" s="31" t="s">
        <v>48</v>
      </c>
      <c r="L716" s="78" t="s">
        <v>49</v>
      </c>
      <c r="M716" s="3" t="s">
        <v>5114</v>
      </c>
      <c r="N716" s="3" t="str">
        <f t="shared" si="1"/>
        <v>POST /system/sales/partyLifecycleManagement/v1/personProfile/retrieve</v>
      </c>
      <c r="O716" s="32" t="s">
        <v>5111</v>
      </c>
      <c r="P716" s="32"/>
      <c r="Q716" s="61" t="s">
        <v>98</v>
      </c>
      <c r="R716" s="31" t="s">
        <v>56</v>
      </c>
      <c r="S716" s="38" t="str">
        <f t="shared" si="2"/>
        <v>https://github.com/SF-Bancoppel/mx-api-bc-pro-party-lifecycle-management</v>
      </c>
      <c r="T716" s="40"/>
      <c r="U716" s="40"/>
      <c r="V716" s="40"/>
      <c r="W716" s="40"/>
      <c r="X716" s="40"/>
      <c r="Y716" s="40"/>
      <c r="Z716" s="40"/>
      <c r="AA716" s="40"/>
      <c r="AB716" s="40"/>
    </row>
    <row r="717" ht="18.75" customHeight="1">
      <c r="A717" s="18" t="str">
        <f t="array" ref="A717">IFERROR(
  INDEX(
    'api-register-id'!A:A,
    MATCH(F717, 'api-register-id'!B:B, 0)
  ),
  "Not found Organization"
)</f>
        <v>SSFF</v>
      </c>
      <c r="B717" s="22" t="str">
        <f>IFERROR(VLOOKUP(F717, 'api-register-id'!B:F, 4, FALSE), "Not found path.")</f>
        <v>mx-api-bc-rec-utility</v>
      </c>
      <c r="C717" s="78" t="s">
        <v>112</v>
      </c>
      <c r="D717" s="78" t="s">
        <v>1417</v>
      </c>
      <c r="E717" s="24" t="str">
        <f>IFERROR(VLOOKUP(F717, 'api-register-id'!B:F, 5, FALSE), "Not found path.")</f>
        <v>APIMX000152</v>
      </c>
      <c r="F717" s="25" t="s">
        <v>1805</v>
      </c>
      <c r="G717" s="26" t="s">
        <v>5130</v>
      </c>
      <c r="H717" s="22" t="s">
        <v>5131</v>
      </c>
      <c r="I717" s="29" t="str">
        <f>IFERROR(VLOOKUP(F717, 'api-register-id'!B:I, 8, FALSE), "Not found path.")</f>
        <v>1.1.0</v>
      </c>
      <c r="J717" s="3" t="s">
        <v>4957</v>
      </c>
      <c r="K717" s="31" t="s">
        <v>48</v>
      </c>
      <c r="L717" s="78" t="s">
        <v>108</v>
      </c>
      <c r="M717" s="3" t="s">
        <v>4615</v>
      </c>
      <c r="N717" s="3" t="str">
        <f t="shared" si="1"/>
        <v>GET /experience/utility/utility/v1/serviceParameter/{companyReference}/retrieve</v>
      </c>
      <c r="O717" s="32" t="s">
        <v>4616</v>
      </c>
      <c r="P717" s="32"/>
      <c r="Q717" s="61" t="s">
        <v>98</v>
      </c>
      <c r="R717" s="31" t="s">
        <v>56</v>
      </c>
      <c r="S717" s="38" t="str">
        <f t="shared" si="2"/>
        <v>https://github.com/SF-Bancoppel/mx-api-bc-rec-utility</v>
      </c>
      <c r="T717" s="40"/>
      <c r="U717" s="40"/>
      <c r="V717" s="40"/>
      <c r="W717" s="40"/>
      <c r="X717" s="40"/>
      <c r="Y717" s="40"/>
      <c r="Z717" s="40"/>
      <c r="AA717" s="40"/>
      <c r="AB717" s="40"/>
    </row>
    <row r="718" ht="18.75" customHeight="1">
      <c r="A718" s="18" t="str">
        <f t="array" ref="A718">IFERROR(
  INDEX(
    'api-register-id'!A:A,
    MATCH(F718, 'api-register-id'!B:B, 0)
  ),
  "Not found Organization"
)</f>
        <v>SSFF</v>
      </c>
      <c r="B718" s="22" t="str">
        <f>IFERROR(VLOOKUP(F718, 'api-register-id'!B:F, 4, FALSE), "Not found path.")</f>
        <v>mx-api-cpp-dom-party-retail-reference-data-directory</v>
      </c>
      <c r="C718" s="78" t="s">
        <v>41</v>
      </c>
      <c r="D718" s="78" t="s">
        <v>119</v>
      </c>
      <c r="E718" s="24" t="str">
        <f>IFERROR(VLOOKUP(F718, 'api-register-id'!B:F, 5, FALSE), "Not found path.")</f>
        <v>APIMX000042</v>
      </c>
      <c r="F718" s="25" t="s">
        <v>649</v>
      </c>
      <c r="G718" s="26" t="s">
        <v>5132</v>
      </c>
      <c r="H718" s="22" t="s">
        <v>5133</v>
      </c>
      <c r="I718" s="29" t="str">
        <f>IFERROR(VLOOKUP(F718, 'api-register-id'!B:I, 8, FALSE), "Not found path.")</f>
        <v>1.1.0</v>
      </c>
      <c r="J718" s="3" t="s">
        <v>1593</v>
      </c>
      <c r="K718" s="31" t="s">
        <v>48</v>
      </c>
      <c r="L718" s="78" t="s">
        <v>49</v>
      </c>
      <c r="M718" s="3" t="s">
        <v>5134</v>
      </c>
      <c r="N718" s="3" t="str">
        <f t="shared" si="1"/>
        <v>POST /partyReference/partyRetailReferenceDataDirectory/v1/creditProfile/retrieve</v>
      </c>
      <c r="O718" s="32" t="s">
        <v>5135</v>
      </c>
      <c r="P718" s="32"/>
      <c r="Q718" s="61" t="s">
        <v>5136</v>
      </c>
      <c r="R718" s="31" t="s">
        <v>56</v>
      </c>
      <c r="S718" s="38" t="str">
        <f t="shared" si="2"/>
        <v>https://github.com/SF-Bancoppel/mx-api-cpp-dom-party-retail-reference-data-directory</v>
      </c>
      <c r="T718" s="40"/>
      <c r="U718" s="40"/>
      <c r="V718" s="40"/>
      <c r="W718" s="40"/>
      <c r="X718" s="40"/>
      <c r="Y718" s="40"/>
      <c r="Z718" s="40"/>
      <c r="AA718" s="40"/>
      <c r="AB718" s="40"/>
    </row>
    <row r="719" ht="18.75" customHeight="1">
      <c r="A719" s="18" t="str">
        <f t="array" ref="A719">IFERROR(
  INDEX(
    'api-register-id'!A:A,
    MATCH(F719, 'api-register-id'!B:B, 0)
  ),
  "Not found Organization"
)</f>
        <v>SSFF</v>
      </c>
      <c r="B719" s="22" t="str">
        <f>IFERROR(VLOOKUP(F719, 'api-register-id'!B:F, 4, FALSE), "Not found path.")</f>
        <v>mx-api-cpp-dom-party-retail-reference-data-directory</v>
      </c>
      <c r="C719" s="78" t="s">
        <v>41</v>
      </c>
      <c r="D719" s="78" t="s">
        <v>119</v>
      </c>
      <c r="E719" s="24" t="str">
        <f>IFERROR(VLOOKUP(F719, 'api-register-id'!B:F, 5, FALSE), "Not found path.")</f>
        <v>APIMX000042</v>
      </c>
      <c r="F719" s="25" t="s">
        <v>649</v>
      </c>
      <c r="G719" s="26" t="s">
        <v>5137</v>
      </c>
      <c r="H719" s="22" t="s">
        <v>5138</v>
      </c>
      <c r="I719" s="29" t="str">
        <f>IFERROR(VLOOKUP(F719, 'api-register-id'!B:I, 8, FALSE), "Not found path.")</f>
        <v>1.1.0</v>
      </c>
      <c r="J719" s="3" t="s">
        <v>1593</v>
      </c>
      <c r="K719" s="31" t="s">
        <v>48</v>
      </c>
      <c r="L719" s="78" t="s">
        <v>49</v>
      </c>
      <c r="M719" s="3" t="s">
        <v>5139</v>
      </c>
      <c r="N719" s="3" t="str">
        <f t="shared" si="1"/>
        <v>POST /partyReference/partyRetailReferenceDataDirectory/v1/creditProfile/initiate</v>
      </c>
      <c r="O719" s="32" t="s">
        <v>5140</v>
      </c>
      <c r="P719" s="32"/>
      <c r="Q719" s="61" t="s">
        <v>5141</v>
      </c>
      <c r="R719" s="31" t="s">
        <v>56</v>
      </c>
      <c r="S719" s="38" t="str">
        <f t="shared" si="2"/>
        <v>https://github.com/SF-Bancoppel/mx-api-cpp-dom-party-retail-reference-data-directory</v>
      </c>
      <c r="T719" s="40"/>
      <c r="U719" s="40"/>
      <c r="V719" s="40"/>
      <c r="W719" s="40"/>
      <c r="X719" s="40"/>
      <c r="Y719" s="40"/>
      <c r="Z719" s="40"/>
      <c r="AA719" s="40"/>
      <c r="AB719" s="40"/>
    </row>
    <row r="720" ht="18.75" customHeight="1">
      <c r="A720" s="18" t="str">
        <f t="array" ref="A720">IFERROR(
  INDEX(
    'api-register-id'!A:A,
    MATCH(F720, 'api-register-id'!B:B, 0)
  ),
  "Not found Organization"
)</f>
        <v>SSFF</v>
      </c>
      <c r="B720" s="22" t="str">
        <f>IFERROR(VLOOKUP(F720, 'api-register-id'!B:F, 4, FALSE), "Not found path.")</f>
        <v>mx-api-cpp-pro-party-retail-reference-data-directory</v>
      </c>
      <c r="C720" s="78" t="s">
        <v>41</v>
      </c>
      <c r="D720" s="78" t="s">
        <v>811</v>
      </c>
      <c r="E720" s="24" t="str">
        <f>IFERROR(VLOOKUP(F720, 'api-register-id'!B:F, 5, FALSE), "Not found path.")</f>
        <v>APIMX000098</v>
      </c>
      <c r="F720" s="25" t="s">
        <v>1234</v>
      </c>
      <c r="G720" s="26" t="s">
        <v>5142</v>
      </c>
      <c r="H720" s="22" t="s">
        <v>5143</v>
      </c>
      <c r="I720" s="29" t="str">
        <f>IFERROR(VLOOKUP(F720, 'api-register-id'!B:I, 8, FALSE), "Not found path.")</f>
        <v>1.1.1</v>
      </c>
      <c r="J720" s="3" t="s">
        <v>4408</v>
      </c>
      <c r="K720" s="31" t="s">
        <v>48</v>
      </c>
      <c r="L720" s="78" t="s">
        <v>49</v>
      </c>
      <c r="M720" s="3" t="s">
        <v>5134</v>
      </c>
      <c r="N720" s="3" t="str">
        <f t="shared" si="1"/>
        <v>POST /system/partyReference/partyRetailReferenceDataDirectory/v1/creditProfile/retrieve</v>
      </c>
      <c r="O720" s="32" t="s">
        <v>5144</v>
      </c>
      <c r="P720" s="32"/>
      <c r="Q720" s="61" t="s">
        <v>5145</v>
      </c>
      <c r="R720" s="31" t="s">
        <v>56</v>
      </c>
      <c r="S720" s="38" t="str">
        <f t="shared" si="2"/>
        <v>https://github.com/SF-Bancoppel/mx-api-cpp-pro-party-retail-reference-data-directory</v>
      </c>
      <c r="T720" s="40"/>
      <c r="U720" s="40"/>
      <c r="V720" s="40"/>
      <c r="W720" s="40"/>
      <c r="X720" s="40"/>
      <c r="Y720" s="40"/>
      <c r="Z720" s="40"/>
      <c r="AA720" s="40"/>
      <c r="AB720" s="40"/>
    </row>
    <row r="721" ht="18.75" customHeight="1">
      <c r="A721" s="18" t="str">
        <f t="array" ref="A721">IFERROR(
  INDEX(
    'api-register-id'!A:A,
    MATCH(F721, 'api-register-id'!B:B, 0)
  ),
  "Not found Organization"
)</f>
        <v>SSFF</v>
      </c>
      <c r="B721" s="22" t="str">
        <f>IFERROR(VLOOKUP(F721, 'api-register-id'!B:F, 4, FALSE), "Not found path.")</f>
        <v>mx-api-cpp-pro-party-retail-reference-data-directory</v>
      </c>
      <c r="C721" s="78" t="s">
        <v>41</v>
      </c>
      <c r="D721" s="78" t="s">
        <v>811</v>
      </c>
      <c r="E721" s="24" t="str">
        <f>IFERROR(VLOOKUP(F721, 'api-register-id'!B:F, 5, FALSE), "Not found path.")</f>
        <v>APIMX000098</v>
      </c>
      <c r="F721" s="25" t="s">
        <v>1234</v>
      </c>
      <c r="G721" s="26" t="s">
        <v>5146</v>
      </c>
      <c r="H721" s="22" t="s">
        <v>5147</v>
      </c>
      <c r="I721" s="29" t="str">
        <f>IFERROR(VLOOKUP(F721, 'api-register-id'!B:I, 8, FALSE), "Not found path.")</f>
        <v>1.1.1</v>
      </c>
      <c r="J721" s="3" t="s">
        <v>4408</v>
      </c>
      <c r="K721" s="31" t="s">
        <v>48</v>
      </c>
      <c r="L721" s="78" t="s">
        <v>49</v>
      </c>
      <c r="M721" s="3" t="s">
        <v>5139</v>
      </c>
      <c r="N721" s="3" t="str">
        <f t="shared" si="1"/>
        <v>POST /system/partyReference/partyRetailReferenceDataDirectory/v1/creditProfile/initiate</v>
      </c>
      <c r="O721" s="32" t="s">
        <v>5066</v>
      </c>
      <c r="P721" s="32"/>
      <c r="Q721" s="61" t="s">
        <v>5148</v>
      </c>
      <c r="R721" s="31" t="s">
        <v>56</v>
      </c>
      <c r="S721" s="38" t="str">
        <f t="shared" si="2"/>
        <v>https://github.com/SF-Bancoppel/mx-api-cpp-pro-party-retail-reference-data-directory</v>
      </c>
      <c r="T721" s="40"/>
      <c r="U721" s="40"/>
      <c r="V721" s="40"/>
      <c r="W721" s="40"/>
      <c r="X721" s="40"/>
      <c r="Y721" s="40"/>
      <c r="Z721" s="40"/>
      <c r="AA721" s="40"/>
      <c r="AB721" s="40"/>
    </row>
    <row r="722" ht="18.75" customHeight="1">
      <c r="A722" s="18" t="str">
        <f t="array" ref="A722">IFERROR(
  INDEX(
    'api-register-id'!A:A,
    MATCH(F722, 'api-register-id'!B:B, 0)
  ),
  "Not found Organization"
)</f>
        <v>SSFF</v>
      </c>
      <c r="B722" s="22" t="str">
        <f>IFERROR(VLOOKUP(F722, 'api-register-id'!B:F, 4, FALSE), "Not found path.")</f>
        <v>mx-api-bc-dom-product-directory</v>
      </c>
      <c r="C722" s="78" t="s">
        <v>41</v>
      </c>
      <c r="D722" s="78" t="s">
        <v>119</v>
      </c>
      <c r="E722" s="24" t="str">
        <f>IFERROR(VLOOKUP(F722, 'api-register-id'!B:F, 5, FALSE), "Not found path.")</f>
        <v>APIMX000048</v>
      </c>
      <c r="F722" s="25" t="s">
        <v>709</v>
      </c>
      <c r="G722" s="26" t="s">
        <v>5149</v>
      </c>
      <c r="H722" s="22" t="s">
        <v>5150</v>
      </c>
      <c r="I722" s="29" t="str">
        <f>IFERROR(VLOOKUP(F722, 'api-register-id'!B:I, 8, FALSE), "Not found path.")</f>
        <v>1.0.0</v>
      </c>
      <c r="J722" s="3" t="s">
        <v>1731</v>
      </c>
      <c r="K722" s="31" t="s">
        <v>48</v>
      </c>
      <c r="L722" s="78" t="s">
        <v>108</v>
      </c>
      <c r="M722" s="3" t="s">
        <v>5151</v>
      </c>
      <c r="N722" s="3" t="str">
        <f t="shared" si="1"/>
        <v>GET /productManagement/productDirectory/v1/productInstanceRecord/retrieve</v>
      </c>
      <c r="O722" s="32" t="s">
        <v>5152</v>
      </c>
      <c r="P722" s="32"/>
      <c r="Q722" s="61" t="s">
        <v>5153</v>
      </c>
      <c r="R722" s="31" t="s">
        <v>56</v>
      </c>
      <c r="S722" s="38" t="str">
        <f t="shared" si="2"/>
        <v>https://github.com/SF-Bancoppel/mx-api-bc-dom-product-directory</v>
      </c>
      <c r="T722" s="40"/>
      <c r="U722" s="40"/>
      <c r="V722" s="40"/>
      <c r="W722" s="40"/>
      <c r="X722" s="40"/>
      <c r="Y722" s="40"/>
      <c r="Z722" s="40"/>
      <c r="AA722" s="40"/>
      <c r="AB722" s="40"/>
    </row>
    <row r="723" ht="18.75" customHeight="1">
      <c r="A723" s="18" t="str">
        <f t="array" ref="A723">IFERROR(
  INDEX(
    'api-register-id'!A:A,
    MATCH(F723, 'api-register-id'!B:B, 0)
  ),
  "Not found Organization"
)</f>
        <v>SSFF</v>
      </c>
      <c r="B723" s="22" t="str">
        <f>IFERROR(VLOOKUP(F723, 'api-register-id'!B:F, 4, FALSE), "Not found path.")</f>
        <v>mx-api-bc-pro-product-directory</v>
      </c>
      <c r="C723" s="78" t="s">
        <v>41</v>
      </c>
      <c r="D723" s="78" t="s">
        <v>811</v>
      </c>
      <c r="E723" s="24" t="str">
        <f>IFERROR(VLOOKUP(F723, 'api-register-id'!B:F, 5, FALSE), "Not found path.")</f>
        <v>APIMX000104</v>
      </c>
      <c r="F723" s="25" t="s">
        <v>1299</v>
      </c>
      <c r="G723" s="26" t="s">
        <v>5154</v>
      </c>
      <c r="H723" s="22" t="s">
        <v>5155</v>
      </c>
      <c r="I723" s="29" t="str">
        <f>IFERROR(VLOOKUP(F723, 'api-register-id'!B:I, 8, FALSE), "Not found path.")</f>
        <v>1.0.0</v>
      </c>
      <c r="J723" s="3" t="s">
        <v>4461</v>
      </c>
      <c r="K723" s="31" t="s">
        <v>48</v>
      </c>
      <c r="L723" s="78" t="s">
        <v>108</v>
      </c>
      <c r="M723" s="3" t="s">
        <v>5151</v>
      </c>
      <c r="N723" s="3" t="str">
        <f t="shared" si="1"/>
        <v>GET /system/productManagement/productDirectory/v1/productInstanceRecord/retrieve</v>
      </c>
      <c r="O723" s="32" t="s">
        <v>5152</v>
      </c>
      <c r="P723" s="32"/>
      <c r="Q723" s="61" t="s">
        <v>5156</v>
      </c>
      <c r="R723" s="31" t="s">
        <v>56</v>
      </c>
      <c r="S723" s="38" t="str">
        <f t="shared" si="2"/>
        <v>https://github.com/SF-Bancoppel/mx-api-bc-pro-product-directory</v>
      </c>
      <c r="T723" s="40"/>
      <c r="U723" s="40"/>
      <c r="V723" s="40"/>
      <c r="W723" s="40"/>
      <c r="X723" s="40"/>
      <c r="Y723" s="40"/>
      <c r="Z723" s="40"/>
      <c r="AA723" s="40"/>
      <c r="AB723" s="40"/>
    </row>
    <row r="724" ht="18.75" customHeight="1">
      <c r="A724" s="18" t="str">
        <f t="array" ref="A724">IFERROR(
  INDEX(
    'api-register-id'!A:A,
    MATCH(F724, 'api-register-id'!B:B, 0)
  ),
  "Not found Organization"
)</f>
        <v>SSFF</v>
      </c>
      <c r="B724" s="22" t="str">
        <f>IFERROR(VLOOKUP(F724, 'api-register-id'!B:F, 4, FALSE), "Not found path.")</f>
        <v>mx-api-bc-rec-party-lifecycle-management</v>
      </c>
      <c r="C724" s="78" t="s">
        <v>112</v>
      </c>
      <c r="D724" s="78" t="s">
        <v>1417</v>
      </c>
      <c r="E724" s="24" t="str">
        <f>IFERROR(VLOOKUP(F724, 'api-register-id'!B:F, 5, FALSE), "Not found path.")</f>
        <v>APIMX000139</v>
      </c>
      <c r="F724" s="25" t="s">
        <v>1667</v>
      </c>
      <c r="G724" s="26" t="s">
        <v>5157</v>
      </c>
      <c r="H724" s="22" t="s">
        <v>5158</v>
      </c>
      <c r="I724" s="29" t="str">
        <f>IFERROR(VLOOKUP(F724, 'api-register-id'!B:I, 8, FALSE), "Not found path.")</f>
        <v>2.1.1</v>
      </c>
      <c r="J724" s="3" t="s">
        <v>4543</v>
      </c>
      <c r="K724" s="31" t="s">
        <v>48</v>
      </c>
      <c r="L724" s="78" t="s">
        <v>49</v>
      </c>
      <c r="M724" s="3" t="s">
        <v>3386</v>
      </c>
      <c r="N724" s="3" t="str">
        <f t="shared" si="1"/>
        <v>POST /experience/sales/partyLifecycleManagement/v1/customerRelationshipInvolvement/initiate</v>
      </c>
      <c r="O724" s="32" t="s">
        <v>4255</v>
      </c>
      <c r="P724" s="32"/>
      <c r="Q724" s="61" t="s">
        <v>98</v>
      </c>
      <c r="R724" s="31" t="s">
        <v>56</v>
      </c>
      <c r="S724" s="38" t="str">
        <f t="shared" si="2"/>
        <v>https://github.com/SF-Bancoppel/mx-api-bc-rec-party-lifecycle-management</v>
      </c>
      <c r="T724" s="40"/>
      <c r="U724" s="40"/>
      <c r="V724" s="40"/>
      <c r="W724" s="40"/>
      <c r="X724" s="40"/>
      <c r="Y724" s="40"/>
      <c r="Z724" s="40"/>
      <c r="AA724" s="40"/>
      <c r="AB724" s="40"/>
    </row>
    <row r="725" ht="18.75" customHeight="1">
      <c r="A725" s="18" t="str">
        <f t="array" ref="A725">IFERROR(
  INDEX(
    'api-register-id'!A:A,
    MATCH(F725, 'api-register-id'!B:B, 0)
  ),
  "Not found Organization"
)</f>
        <v>SSFF</v>
      </c>
      <c r="B725" s="22" t="str">
        <f>IFERROR(VLOOKUP(F725, 'api-register-id'!B:F, 4, FALSE), "Not found path.")</f>
        <v>mx-api-bc-rec-party-lifecycle-management</v>
      </c>
      <c r="C725" s="78" t="s">
        <v>112</v>
      </c>
      <c r="D725" s="78" t="s">
        <v>1417</v>
      </c>
      <c r="E725" s="24" t="str">
        <f>IFERROR(VLOOKUP(F725, 'api-register-id'!B:F, 5, FALSE), "Not found path.")</f>
        <v>APIMX000139</v>
      </c>
      <c r="F725" s="25" t="s">
        <v>1667</v>
      </c>
      <c r="G725" s="26" t="s">
        <v>5159</v>
      </c>
      <c r="H725" s="22" t="s">
        <v>5160</v>
      </c>
      <c r="I725" s="29" t="str">
        <f>IFERROR(VLOOKUP(F725, 'api-register-id'!B:I, 8, FALSE), "Not found path.")</f>
        <v>2.1.1</v>
      </c>
      <c r="J725" s="3" t="s">
        <v>4543</v>
      </c>
      <c r="K725" s="31" t="s">
        <v>48</v>
      </c>
      <c r="L725" s="78" t="s">
        <v>49</v>
      </c>
      <c r="M725" s="3" t="s">
        <v>4248</v>
      </c>
      <c r="N725" s="3" t="str">
        <f t="shared" si="1"/>
        <v>POST /experience/sales/partyLifecycleManagement/v1/familyProfile/initiate</v>
      </c>
      <c r="O725" s="32" t="s">
        <v>5161</v>
      </c>
      <c r="P725" s="32"/>
      <c r="Q725" s="61" t="s">
        <v>5162</v>
      </c>
      <c r="R725" s="31" t="s">
        <v>56</v>
      </c>
      <c r="S725" s="38" t="str">
        <f t="shared" si="2"/>
        <v>https://github.com/SF-Bancoppel/mx-api-bc-rec-party-lifecycle-management</v>
      </c>
      <c r="T725" s="40"/>
      <c r="U725" s="40"/>
      <c r="V725" s="40"/>
      <c r="W725" s="40"/>
      <c r="X725" s="40"/>
      <c r="Y725" s="40"/>
      <c r="Z725" s="40"/>
      <c r="AA725" s="40"/>
      <c r="AB725" s="40"/>
    </row>
    <row r="726" ht="18.75" customHeight="1">
      <c r="A726" s="18" t="str">
        <f t="array" ref="A726">IFERROR(
  INDEX(
    'api-register-id'!A:A,
    MATCH(F726, 'api-register-id'!B:B, 0)
  ),
  "Not found Organization"
)</f>
        <v>SSFF</v>
      </c>
      <c r="B726" s="22" t="str">
        <f>IFERROR(VLOOKUP(F726, 'api-register-id'!B:F, 4, FALSE), "Not found path.")</f>
        <v>mx-api-bc-rec-party-lifecycle-management</v>
      </c>
      <c r="C726" s="78" t="s">
        <v>112</v>
      </c>
      <c r="D726" s="78" t="s">
        <v>1417</v>
      </c>
      <c r="E726" s="24" t="str">
        <f>IFERROR(VLOOKUP(F726, 'api-register-id'!B:F, 5, FALSE), "Not found path.")</f>
        <v>APIMX000139</v>
      </c>
      <c r="F726" s="25" t="s">
        <v>1667</v>
      </c>
      <c r="G726" s="26" t="s">
        <v>5163</v>
      </c>
      <c r="H726" s="22" t="s">
        <v>5164</v>
      </c>
      <c r="I726" s="29" t="str">
        <f>IFERROR(VLOOKUP(F726, 'api-register-id'!B:I, 8, FALSE), "Not found path.")</f>
        <v>2.1.1</v>
      </c>
      <c r="J726" s="3" t="s">
        <v>4543</v>
      </c>
      <c r="K726" s="31" t="s">
        <v>48</v>
      </c>
      <c r="L726" s="78" t="s">
        <v>49</v>
      </c>
      <c r="M726" s="3" t="s">
        <v>3336</v>
      </c>
      <c r="N726" s="3" t="str">
        <f t="shared" si="1"/>
        <v>POST /experience/sales/partyLifecycleManagement/v1/contactPoint/create</v>
      </c>
      <c r="O726" s="32" t="s">
        <v>5165</v>
      </c>
      <c r="P726" s="32"/>
      <c r="Q726" s="61" t="s">
        <v>98</v>
      </c>
      <c r="R726" s="31" t="s">
        <v>56</v>
      </c>
      <c r="S726" s="38" t="str">
        <f t="shared" si="2"/>
        <v>https://github.com/SF-Bancoppel/mx-api-bc-rec-party-lifecycle-management</v>
      </c>
      <c r="T726" s="40"/>
      <c r="U726" s="40"/>
      <c r="V726" s="40"/>
      <c r="W726" s="40"/>
      <c r="X726" s="40"/>
      <c r="Y726" s="40"/>
      <c r="Z726" s="40"/>
      <c r="AA726" s="40"/>
      <c r="AB726" s="40"/>
    </row>
    <row r="727" ht="18.75" customHeight="1">
      <c r="A727" s="18" t="str">
        <f t="array" ref="A727">IFERROR(
  INDEX(
    'api-register-id'!A:A,
    MATCH(F727, 'api-register-id'!B:B, 0)
  ),
  "Not found Organization"
)</f>
        <v>SSFF</v>
      </c>
      <c r="B727" s="22" t="str">
        <f>IFERROR(VLOOKUP(F727, 'api-register-id'!B:F, 4, FALSE), "Not found path.")</f>
        <v>mx-api-bc-rec-product-directory</v>
      </c>
      <c r="C727" s="78" t="s">
        <v>112</v>
      </c>
      <c r="D727" s="78" t="s">
        <v>1417</v>
      </c>
      <c r="E727" s="24" t="str">
        <f>IFERROR(VLOOKUP(F727, 'api-register-id'!B:F, 5, FALSE), "Not found path.")</f>
        <v>APIMX000145</v>
      </c>
      <c r="F727" s="25" t="s">
        <v>1734</v>
      </c>
      <c r="G727" s="26" t="s">
        <v>5166</v>
      </c>
      <c r="H727" s="22" t="s">
        <v>5167</v>
      </c>
      <c r="I727" s="29" t="str">
        <f>IFERROR(VLOOKUP(F727, 'api-register-id'!B:I, 8, FALSE), "Not found path.")</f>
        <v>1.0.0</v>
      </c>
      <c r="J727" s="3" t="s">
        <v>4859</v>
      </c>
      <c r="K727" s="31" t="s">
        <v>48</v>
      </c>
      <c r="L727" s="78" t="s">
        <v>108</v>
      </c>
      <c r="M727" s="3" t="s">
        <v>5151</v>
      </c>
      <c r="N727" s="3" t="str">
        <f t="shared" si="1"/>
        <v>GET /experience/productManagement/productDirectory/v1/productInstanceRecord/retrieve</v>
      </c>
      <c r="O727" s="32" t="s">
        <v>5152</v>
      </c>
      <c r="P727" s="32"/>
      <c r="Q727" s="61" t="s">
        <v>5168</v>
      </c>
      <c r="R727" s="31" t="s">
        <v>56</v>
      </c>
      <c r="S727" s="38" t="str">
        <f t="shared" si="2"/>
        <v>https://github.com/SF-Bancoppel/mx-api-bc-rec-product-directory</v>
      </c>
      <c r="T727" s="40"/>
      <c r="U727" s="66"/>
      <c r="V727" s="66"/>
      <c r="W727" s="66"/>
      <c r="X727" s="66"/>
      <c r="Y727" s="66"/>
      <c r="Z727" s="66"/>
      <c r="AA727" s="66"/>
      <c r="AB727" s="66"/>
    </row>
    <row r="728" ht="18.75" customHeight="1">
      <c r="A728" s="18" t="str">
        <f t="array" ref="A728">IFERROR(
  INDEX(
    'api-register-id'!A:A,
    MATCH(F728, 'api-register-id'!B:B, 0)
  ),
  "Not found Organization"
)</f>
        <v>SSFF</v>
      </c>
      <c r="B728" s="22" t="str">
        <f>IFERROR(VLOOKUP(F728, 'api-register-id'!B:F, 4, FALSE), "Not found path.")</f>
        <v>mx-api-bc-bus-business-support</v>
      </c>
      <c r="C728" s="78" t="s">
        <v>41</v>
      </c>
      <c r="D728" s="78" t="s">
        <v>42</v>
      </c>
      <c r="E728" s="24" t="str">
        <f>IFERROR(VLOOKUP(F728, 'api-register-id'!B:F, 5, FALSE), "Not found path.")</f>
        <v>APIMX000001</v>
      </c>
      <c r="F728" s="25" t="s">
        <v>43</v>
      </c>
      <c r="G728" s="26" t="s">
        <v>5169</v>
      </c>
      <c r="H728" s="22" t="s">
        <v>5170</v>
      </c>
      <c r="I728" s="29" t="str">
        <f>IFERROR(VLOOKUP(F728, 'api-register-id'!B:I, 8, FALSE), "Not found path.")</f>
        <v>1.3.0</v>
      </c>
      <c r="J728" s="3" t="s">
        <v>47</v>
      </c>
      <c r="K728" s="31" t="s">
        <v>48</v>
      </c>
      <c r="L728" s="78" t="s">
        <v>49</v>
      </c>
      <c r="M728" s="3" t="s">
        <v>5171</v>
      </c>
      <c r="N728" s="3" t="str">
        <f t="shared" si="1"/>
        <v>POST /businessSupport/v1/customerNotification/retrieve</v>
      </c>
      <c r="O728" s="32" t="s">
        <v>5172</v>
      </c>
      <c r="P728" s="32"/>
      <c r="Q728" s="61" t="s">
        <v>5173</v>
      </c>
      <c r="R728" s="31" t="s">
        <v>56</v>
      </c>
      <c r="S728" s="38" t="str">
        <f t="shared" si="2"/>
        <v>https://github.com/SF-Bancoppel/mx-api-bc-bus-business-support</v>
      </c>
      <c r="T728" s="40"/>
      <c r="U728" s="40"/>
      <c r="V728" s="40"/>
      <c r="W728" s="40"/>
      <c r="X728" s="40"/>
      <c r="Y728" s="40"/>
      <c r="Z728" s="40"/>
      <c r="AA728" s="40"/>
      <c r="AB728" s="40"/>
    </row>
    <row r="729" ht="18.75" customHeight="1">
      <c r="A729" s="18" t="str">
        <f t="array" ref="A729">IFERROR(
  INDEX(
    'api-register-id'!A:A,
    MATCH(F729, 'api-register-id'!B:B, 0)
  ),
  "Not found Organization"
)</f>
        <v>SSFF</v>
      </c>
      <c r="B729" s="22" t="str">
        <f>IFERROR(VLOOKUP(F729, 'api-register-id'!B:F, 4, FALSE), "Not found path.")</f>
        <v>mx-api-bc-bus-reference-data</v>
      </c>
      <c r="C729" s="78" t="s">
        <v>41</v>
      </c>
      <c r="D729" s="78" t="s">
        <v>42</v>
      </c>
      <c r="E729" s="24" t="str">
        <f>IFERROR(VLOOKUP(F729, 'api-register-id'!B:F, 5, FALSE), "Not found path.")</f>
        <v>APIMX000003</v>
      </c>
      <c r="F729" s="25" t="s">
        <v>86</v>
      </c>
      <c r="G729" s="26" t="s">
        <v>5174</v>
      </c>
      <c r="H729" s="22" t="s">
        <v>5175</v>
      </c>
      <c r="I729" s="29" t="str">
        <f>IFERROR(VLOOKUP(F729, 'api-register-id'!B:I, 8, FALSE), "Not found path.")</f>
        <v>1.7.0</v>
      </c>
      <c r="J729" s="3" t="s">
        <v>274</v>
      </c>
      <c r="K729" s="31" t="s">
        <v>48</v>
      </c>
      <c r="L729" s="78" t="s">
        <v>49</v>
      </c>
      <c r="M729" s="3" t="s">
        <v>3386</v>
      </c>
      <c r="N729" s="3" t="str">
        <f t="shared" si="1"/>
        <v>POST /referenceData/v1/customerRelationshipInvolvement/initiate</v>
      </c>
      <c r="O729" s="32" t="s">
        <v>5176</v>
      </c>
      <c r="P729" s="32"/>
      <c r="Q729" s="61" t="s">
        <v>5177</v>
      </c>
      <c r="R729" s="31" t="s">
        <v>56</v>
      </c>
      <c r="S729" s="38" t="str">
        <f t="shared" si="2"/>
        <v>https://github.com/SF-Bancoppel/mx-api-bc-bus-reference-data</v>
      </c>
      <c r="T729" s="40"/>
      <c r="U729" s="40"/>
      <c r="V729" s="40"/>
      <c r="W729" s="40"/>
      <c r="X729" s="40"/>
      <c r="Y729" s="40"/>
      <c r="Z729" s="40"/>
      <c r="AA729" s="40"/>
      <c r="AB729" s="40"/>
    </row>
    <row r="730" ht="18.75" customHeight="1">
      <c r="A730" s="18" t="str">
        <f t="array" ref="A730">IFERROR(
  INDEX(
    'api-register-id'!A:A,
    MATCH(F730, 'api-register-id'!B:B, 0)
  ),
  "Not found Organization"
)</f>
        <v>SSFF</v>
      </c>
      <c r="B730" s="22" t="str">
        <f>IFERROR(VLOOKUP(F730, 'api-register-id'!B:F, 4, FALSE), "Not found path.")</f>
        <v>mx-api-bc-dom-counterparty-risk</v>
      </c>
      <c r="C730" s="78" t="s">
        <v>41</v>
      </c>
      <c r="D730" s="78" t="s">
        <v>119</v>
      </c>
      <c r="E730" s="24" t="str">
        <f>IFERROR(VLOOKUP(F730, 'api-register-id'!B:F, 5, FALSE), "Not found path.")</f>
        <v>APIMX000011</v>
      </c>
      <c r="F730" s="25" t="s">
        <v>202</v>
      </c>
      <c r="G730" s="26" t="s">
        <v>5178</v>
      </c>
      <c r="H730" s="22" t="s">
        <v>5179</v>
      </c>
      <c r="I730" s="29" t="str">
        <f>IFERROR(VLOOKUP(F730, 'api-register-id'!B:I, 8, FALSE), "Not found path.")</f>
        <v>1.2.0</v>
      </c>
      <c r="J730" s="3" t="s">
        <v>531</v>
      </c>
      <c r="K730" s="31" t="s">
        <v>48</v>
      </c>
      <c r="L730" s="78" t="s">
        <v>49</v>
      </c>
      <c r="M730" s="3" t="s">
        <v>5180</v>
      </c>
      <c r="N730" s="3" t="str">
        <f t="shared" si="1"/>
        <v>POST /accountManagement/counterpartyRisk/v1/customerSpecialConditions/evaluate</v>
      </c>
      <c r="O730" s="32" t="s">
        <v>5181</v>
      </c>
      <c r="P730" s="32"/>
      <c r="Q730" s="61" t="s">
        <v>5182</v>
      </c>
      <c r="R730" s="31" t="s">
        <v>56</v>
      </c>
      <c r="S730" s="38" t="str">
        <f t="shared" si="2"/>
        <v>https://github.com/SF-Bancoppel/mx-api-bc-dom-counterparty-risk</v>
      </c>
      <c r="T730" s="40"/>
      <c r="U730" s="40"/>
      <c r="V730" s="40"/>
      <c r="W730" s="40"/>
      <c r="X730" s="40"/>
      <c r="Y730" s="40"/>
      <c r="Z730" s="40"/>
      <c r="AA730" s="40"/>
      <c r="AB730" s="40"/>
    </row>
    <row r="731" ht="18.75" customHeight="1">
      <c r="A731" s="18" t="str">
        <f t="array" ref="A731">IFERROR(
  INDEX(
    'api-register-id'!A:A,
    MATCH(F731, 'api-register-id'!B:B, 0)
  ),
  "Not found Organization"
)</f>
        <v>SSFF</v>
      </c>
      <c r="B731" s="22" t="str">
        <f>IFERROR(VLOOKUP(F731, 'api-register-id'!B:F, 4, FALSE), "Not found path.")</f>
        <v>mx-api-bc-dom-counterparty-risk</v>
      </c>
      <c r="C731" s="78" t="s">
        <v>41</v>
      </c>
      <c r="D731" s="78" t="s">
        <v>119</v>
      </c>
      <c r="E731" s="24" t="str">
        <f>IFERROR(VLOOKUP(F731, 'api-register-id'!B:F, 5, FALSE), "Not found path.")</f>
        <v>APIMX000011</v>
      </c>
      <c r="F731" s="25" t="s">
        <v>202</v>
      </c>
      <c r="G731" s="26" t="s">
        <v>5183</v>
      </c>
      <c r="H731" s="22" t="s">
        <v>5184</v>
      </c>
      <c r="I731" s="29" t="str">
        <f>IFERROR(VLOOKUP(F731, 'api-register-id'!B:I, 8, FALSE), "Not found path.")</f>
        <v>1.2.0</v>
      </c>
      <c r="J731" s="3" t="s">
        <v>531</v>
      </c>
      <c r="K731" s="31" t="s">
        <v>48</v>
      </c>
      <c r="L731" s="78" t="s">
        <v>49</v>
      </c>
      <c r="M731" s="3" t="s">
        <v>5185</v>
      </c>
      <c r="N731" s="3" t="str">
        <f t="shared" si="1"/>
        <v>POST /accountManagement/counterpartyRisk/v1/customerCreditRating/initiate</v>
      </c>
      <c r="O731" s="32" t="s">
        <v>5186</v>
      </c>
      <c r="P731" s="32"/>
      <c r="Q731" s="61" t="s">
        <v>5187</v>
      </c>
      <c r="R731" s="31" t="s">
        <v>56</v>
      </c>
      <c r="S731" s="38" t="str">
        <f t="shared" si="2"/>
        <v>https://github.com/SF-Bancoppel/mx-api-bc-dom-counterparty-risk</v>
      </c>
      <c r="T731" s="40"/>
      <c r="U731" s="40"/>
      <c r="V731" s="40"/>
      <c r="W731" s="40"/>
      <c r="X731" s="40"/>
      <c r="Y731" s="40"/>
      <c r="Z731" s="40"/>
      <c r="AA731" s="40"/>
      <c r="AB731" s="40"/>
    </row>
    <row r="732" ht="18.75" customHeight="1">
      <c r="A732" s="18" t="str">
        <f t="array" ref="A732">IFERROR(
  INDEX(
    'api-register-id'!A:A,
    MATCH(F732, 'api-register-id'!B:B, 0)
  ),
  "Not found Organization"
)</f>
        <v>SSFF</v>
      </c>
      <c r="B732" s="22" t="str">
        <f>IFERROR(VLOOKUP(F732, 'api-register-id'!B:F, 4, FALSE), "Not found path.")</f>
        <v>mx-api-bc-dom-counterparty-risk</v>
      </c>
      <c r="C732" s="78" t="s">
        <v>41</v>
      </c>
      <c r="D732" s="78" t="s">
        <v>119</v>
      </c>
      <c r="E732" s="24" t="str">
        <f>IFERROR(VLOOKUP(F732, 'api-register-id'!B:F, 5, FALSE), "Not found path.")</f>
        <v>APIMX000011</v>
      </c>
      <c r="F732" s="25" t="s">
        <v>202</v>
      </c>
      <c r="G732" s="26" t="s">
        <v>5188</v>
      </c>
      <c r="H732" s="22" t="s">
        <v>5189</v>
      </c>
      <c r="I732" s="29" t="str">
        <f>IFERROR(VLOOKUP(F732, 'api-register-id'!B:I, 8, FALSE), "Not found path.")</f>
        <v>1.2.0</v>
      </c>
      <c r="J732" s="3" t="s">
        <v>531</v>
      </c>
      <c r="K732" s="31" t="s">
        <v>48</v>
      </c>
      <c r="L732" s="78" t="s">
        <v>61</v>
      </c>
      <c r="M732" s="3" t="s">
        <v>5190</v>
      </c>
      <c r="N732" s="3" t="str">
        <f t="shared" si="1"/>
        <v>PUT /accountManagement/counterpartyRisk/v1/customerCreditRating/capture</v>
      </c>
      <c r="O732" s="32" t="s">
        <v>5191</v>
      </c>
      <c r="P732" s="32"/>
      <c r="Q732" s="61" t="s">
        <v>5192</v>
      </c>
      <c r="R732" s="31" t="s">
        <v>56</v>
      </c>
      <c r="S732" s="38" t="str">
        <f t="shared" si="2"/>
        <v>https://github.com/SF-Bancoppel/mx-api-bc-dom-counterparty-risk</v>
      </c>
      <c r="T732" s="40"/>
      <c r="U732" s="40"/>
      <c r="V732" s="40"/>
      <c r="W732" s="40"/>
      <c r="X732" s="40"/>
      <c r="Y732" s="40"/>
      <c r="Z732" s="40"/>
      <c r="AA732" s="40"/>
      <c r="AB732" s="40"/>
    </row>
    <row r="733" ht="18.75" customHeight="1">
      <c r="A733" s="18" t="str">
        <f t="array" ref="A733">IFERROR(
  INDEX(
    'api-register-id'!A:A,
    MATCH(F733, 'api-register-id'!B:B, 0)
  ),
  "Not found Organization"
)</f>
        <v>SSFF</v>
      </c>
      <c r="B733" s="22" t="str">
        <f>IFERROR(VLOOKUP(F733, 'api-register-id'!B:F, 4, FALSE), "Not found path.")</f>
        <v>mx-api-bc-dom-credit-card</v>
      </c>
      <c r="C733" s="78" t="s">
        <v>41</v>
      </c>
      <c r="D733" s="78" t="s">
        <v>119</v>
      </c>
      <c r="E733" s="24" t="str">
        <f>IFERROR(VLOOKUP(F733, 'api-register-id'!B:F, 5, FALSE), "Not found path.")</f>
        <v>APIMX000012</v>
      </c>
      <c r="F733" s="25" t="s">
        <v>218</v>
      </c>
      <c r="G733" s="26" t="s">
        <v>5193</v>
      </c>
      <c r="H733" s="22" t="s">
        <v>5194</v>
      </c>
      <c r="I733" s="29" t="str">
        <f>IFERROR(VLOOKUP(F733, 'api-register-id'!B:I, 8, FALSE), "Not found path.")</f>
        <v>1.31.0</v>
      </c>
      <c r="J733" s="3" t="s">
        <v>560</v>
      </c>
      <c r="K733" s="31" t="s">
        <v>48</v>
      </c>
      <c r="L733" s="78" t="s">
        <v>49</v>
      </c>
      <c r="M733" s="3" t="s">
        <v>5195</v>
      </c>
      <c r="N733" s="3" t="str">
        <f t="shared" si="1"/>
        <v>POST /cards/creditCard/v1/creditCardApplication/register</v>
      </c>
      <c r="O733" s="32" t="s">
        <v>562</v>
      </c>
      <c r="P733" s="32"/>
      <c r="Q733" s="61" t="s">
        <v>5196</v>
      </c>
      <c r="R733" s="31" t="s">
        <v>56</v>
      </c>
      <c r="S733" s="38" t="str">
        <f t="shared" si="2"/>
        <v>https://github.com/SF-Bancoppel/mx-api-bc-dom-credit-card</v>
      </c>
      <c r="T733" s="40"/>
      <c r="U733" s="40"/>
      <c r="V733" s="40"/>
      <c r="W733" s="40"/>
      <c r="X733" s="40"/>
      <c r="Y733" s="40"/>
      <c r="Z733" s="40"/>
      <c r="AA733" s="40"/>
      <c r="AB733" s="40"/>
    </row>
    <row r="734" ht="18.75" customHeight="1">
      <c r="A734" s="18" t="str">
        <f t="array" ref="A734">IFERROR(
  INDEX(
    'api-register-id'!A:A,
    MATCH(F734, 'api-register-id'!B:B, 0)
  ),
  "Not found Organization"
)</f>
        <v>SSFF</v>
      </c>
      <c r="B734" s="22" t="str">
        <f>IFERROR(VLOOKUP(F734, 'api-register-id'!B:F, 4, FALSE), "Not found path.")</f>
        <v>mx-api-bc-dom-customer-relationship-management</v>
      </c>
      <c r="C734" s="78" t="s">
        <v>41</v>
      </c>
      <c r="D734" s="78" t="s">
        <v>119</v>
      </c>
      <c r="E734" s="24" t="str">
        <f>IFERROR(VLOOKUP(F734, 'api-register-id'!B:F, 5, FALSE), "Not found path.")</f>
        <v>APIMX000024</v>
      </c>
      <c r="F734" s="25" t="s">
        <v>403</v>
      </c>
      <c r="G734" s="26" t="s">
        <v>5197</v>
      </c>
      <c r="H734" s="22" t="s">
        <v>5198</v>
      </c>
      <c r="I734" s="29" t="str">
        <f>IFERROR(VLOOKUP(F734, 'api-register-id'!B:I, 8, FALSE), "Not found path.")</f>
        <v>1.1.0</v>
      </c>
      <c r="J734" s="3" t="s">
        <v>5199</v>
      </c>
      <c r="K734" s="31" t="s">
        <v>48</v>
      </c>
      <c r="L734" s="78" t="s">
        <v>49</v>
      </c>
      <c r="M734" s="3" t="s">
        <v>5171</v>
      </c>
      <c r="N734" s="3" t="str">
        <f t="shared" si="1"/>
        <v>POST /customerManagement/customerRelationshipManagement/v1/customerNotification/retrieve</v>
      </c>
      <c r="O734" s="32" t="s">
        <v>5200</v>
      </c>
      <c r="P734" s="32"/>
      <c r="Q734" s="61" t="s">
        <v>5201</v>
      </c>
      <c r="R734" s="31" t="s">
        <v>56</v>
      </c>
      <c r="S734" s="38" t="str">
        <f t="shared" si="2"/>
        <v>https://github.com/SF-Bancoppel/mx-api-bc-dom-customer-relationship-management</v>
      </c>
      <c r="T734" s="40"/>
      <c r="U734" s="40"/>
      <c r="V734" s="40"/>
      <c r="W734" s="40"/>
      <c r="X734" s="40"/>
      <c r="Y734" s="40"/>
      <c r="Z734" s="40"/>
      <c r="AA734" s="40"/>
      <c r="AB734" s="40"/>
    </row>
    <row r="735" ht="18.75" customHeight="1">
      <c r="A735" s="18" t="str">
        <f t="array" ref="A735">IFERROR(
  INDEX(
    'api-register-id'!A:A,
    MATCH(F735, 'api-register-id'!B:B, 0)
  ),
  "Not found Organization"
)</f>
        <v>SSFF</v>
      </c>
      <c r="B735" s="22" t="str">
        <f>IFERROR(VLOOKUP(F735, 'api-register-id'!B:F, 4, FALSE), "Not found path.")</f>
        <v>mx-api-bc-dom-customer-relationship-management</v>
      </c>
      <c r="C735" s="78" t="s">
        <v>41</v>
      </c>
      <c r="D735" s="78" t="s">
        <v>119</v>
      </c>
      <c r="E735" s="24" t="str">
        <f>IFERROR(VLOOKUP(F735, 'api-register-id'!B:F, 5, FALSE), "Not found path.")</f>
        <v>APIMX000024</v>
      </c>
      <c r="F735" s="25" t="s">
        <v>403</v>
      </c>
      <c r="G735" s="26" t="s">
        <v>5202</v>
      </c>
      <c r="H735" s="22" t="s">
        <v>5203</v>
      </c>
      <c r="I735" s="29" t="str">
        <f>IFERROR(VLOOKUP(F735, 'api-register-id'!B:I, 8, FALSE), "Not found path.")</f>
        <v>1.1.0</v>
      </c>
      <c r="J735" s="3" t="s">
        <v>5199</v>
      </c>
      <c r="K735" s="31" t="s">
        <v>48</v>
      </c>
      <c r="L735" s="78" t="s">
        <v>49</v>
      </c>
      <c r="M735" s="3" t="s">
        <v>5204</v>
      </c>
      <c r="N735" s="3" t="str">
        <f t="shared" si="1"/>
        <v>POST /customerManagement/customerRelationshipManagement/v1/customerApplicationNotification/retrieve</v>
      </c>
      <c r="O735" s="32" t="s">
        <v>5205</v>
      </c>
      <c r="P735" s="32"/>
      <c r="Q735" s="61" t="s">
        <v>5206</v>
      </c>
      <c r="R735" s="31" t="s">
        <v>56</v>
      </c>
      <c r="S735" s="38" t="str">
        <f t="shared" si="2"/>
        <v>https://github.com/SF-Bancoppel/mx-api-bc-dom-customer-relationship-management</v>
      </c>
      <c r="T735" s="40"/>
      <c r="U735" s="40"/>
      <c r="V735" s="40"/>
      <c r="W735" s="40"/>
      <c r="X735" s="40"/>
      <c r="Y735" s="40"/>
      <c r="Z735" s="40"/>
      <c r="AA735" s="40"/>
      <c r="AB735" s="40"/>
    </row>
    <row r="736" ht="18.75" customHeight="1">
      <c r="A736" s="18" t="str">
        <f t="array" ref="A736">IFERROR(
  INDEX(
    'api-register-id'!A:A,
    MATCH(F736, 'api-register-id'!B:B, 0)
  ),
  "Not found Organization"
)</f>
        <v>SSFF</v>
      </c>
      <c r="B736" s="22" t="str">
        <f>IFERROR(VLOOKUP(F736, 'api-register-id'!B:F, 4, FALSE), "Not found path.")</f>
        <v>mx-api-bc-dom-party-reference-data-directory</v>
      </c>
      <c r="C736" s="78" t="s">
        <v>41</v>
      </c>
      <c r="D736" s="78" t="s">
        <v>119</v>
      </c>
      <c r="E736" s="24" t="str">
        <f>IFERROR(VLOOKUP(F736, 'api-register-id'!B:F, 5, FALSE), "Not found path.")</f>
        <v>APIMX000041</v>
      </c>
      <c r="F736" s="25" t="s">
        <v>637</v>
      </c>
      <c r="G736" s="26" t="s">
        <v>5207</v>
      </c>
      <c r="H736" s="22" t="s">
        <v>5208</v>
      </c>
      <c r="I736" s="29" t="str">
        <f>IFERROR(VLOOKUP(F736, 'api-register-id'!B:I, 8, FALSE), "Not found path.")</f>
        <v>1.7.2</v>
      </c>
      <c r="J736" s="3" t="s">
        <v>1504</v>
      </c>
      <c r="K736" s="31" t="s">
        <v>48</v>
      </c>
      <c r="L736" s="78" t="s">
        <v>49</v>
      </c>
      <c r="M736" s="3" t="s">
        <v>3386</v>
      </c>
      <c r="N736" s="3" t="str">
        <f t="shared" si="1"/>
        <v>POST /customerManagement/partyReferenceDataDirectory/v1/customerRelationshipInvolvement/initiate</v>
      </c>
      <c r="O736" s="32" t="s">
        <v>5176</v>
      </c>
      <c r="P736" s="32"/>
      <c r="Q736" s="61" t="s">
        <v>5209</v>
      </c>
      <c r="R736" s="31" t="s">
        <v>56</v>
      </c>
      <c r="S736" s="38" t="str">
        <f t="shared" si="2"/>
        <v>https://github.com/SF-Bancoppel/mx-api-bc-dom-party-reference-data-directory</v>
      </c>
      <c r="T736" s="40"/>
      <c r="U736" s="40"/>
      <c r="V736" s="40"/>
      <c r="W736" s="40"/>
      <c r="X736" s="40"/>
      <c r="Y736" s="40"/>
      <c r="Z736" s="40"/>
      <c r="AA736" s="40"/>
      <c r="AB736" s="40"/>
    </row>
    <row r="737" ht="18.75" customHeight="1">
      <c r="A737" s="18" t="str">
        <f t="array" ref="A737">IFERROR(
  INDEX(
    'api-register-id'!A:A,
    MATCH(F737, 'api-register-id'!B:B, 0)
  ),
  "Not found Organization"
)</f>
        <v>SSFF</v>
      </c>
      <c r="B737" s="22" t="str">
        <f>IFERROR(VLOOKUP(F737, 'api-register-id'!B:F, 4, FALSE), "Not found path.")</f>
        <v>mx-api-bc-dom-party-reference-data-directory</v>
      </c>
      <c r="C737" s="78" t="s">
        <v>41</v>
      </c>
      <c r="D737" s="78" t="s">
        <v>119</v>
      </c>
      <c r="E737" s="24" t="str">
        <f>IFERROR(VLOOKUP(F737, 'api-register-id'!B:F, 5, FALSE), "Not found path.")</f>
        <v>APIMX000041</v>
      </c>
      <c r="F737" s="25" t="s">
        <v>637</v>
      </c>
      <c r="G737" s="26" t="s">
        <v>5210</v>
      </c>
      <c r="H737" s="22" t="s">
        <v>5211</v>
      </c>
      <c r="I737" s="29" t="str">
        <f>IFERROR(VLOOKUP(F737, 'api-register-id'!B:I, 8, FALSE), "Not found path.")</f>
        <v>1.7.2</v>
      </c>
      <c r="J737" s="3" t="s">
        <v>1504</v>
      </c>
      <c r="K737" s="31" t="s">
        <v>48</v>
      </c>
      <c r="L737" s="78" t="s">
        <v>61</v>
      </c>
      <c r="M737" s="3" t="s">
        <v>5212</v>
      </c>
      <c r="N737" s="3" t="str">
        <f t="shared" si="1"/>
        <v>PUT /customerManagement/partyReferenceDataDirectory/v1/customerRelationshipInvolvement/update</v>
      </c>
      <c r="O737" s="32" t="s">
        <v>5213</v>
      </c>
      <c r="P737" s="32"/>
      <c r="Q737" s="61" t="s">
        <v>5214</v>
      </c>
      <c r="R737" s="31" t="s">
        <v>56</v>
      </c>
      <c r="S737" s="38" t="str">
        <f t="shared" si="2"/>
        <v>https://github.com/SF-Bancoppel/mx-api-bc-dom-party-reference-data-directory</v>
      </c>
      <c r="T737" s="40"/>
      <c r="U737" s="66"/>
      <c r="V737" s="66"/>
      <c r="W737" s="66"/>
      <c r="X737" s="66"/>
      <c r="Y737" s="66"/>
      <c r="Z737" s="66"/>
      <c r="AA737" s="66"/>
      <c r="AB737" s="66"/>
    </row>
    <row r="738" ht="18.75" customHeight="1">
      <c r="A738" s="18" t="str">
        <f t="array" ref="A738">IFERROR(
  INDEX(
    'api-register-id'!A:A,
    MATCH(F738, 'api-register-id'!B:B, 0)
  ),
  "Not found Organization"
)</f>
        <v>SSFF</v>
      </c>
      <c r="B738" s="22" t="str">
        <f>IFERROR(VLOOKUP(F738, 'api-register-id'!B:F, 4, FALSE), "Not found path.")</f>
        <v>mx-api-bc-dom-party-reference-data-directory</v>
      </c>
      <c r="C738" s="78" t="s">
        <v>41</v>
      </c>
      <c r="D738" s="78" t="s">
        <v>119</v>
      </c>
      <c r="E738" s="24" t="str">
        <f>IFERROR(VLOOKUP(F738, 'api-register-id'!B:F, 5, FALSE), "Not found path.")</f>
        <v>APIMX000041</v>
      </c>
      <c r="F738" s="25" t="s">
        <v>637</v>
      </c>
      <c r="G738" s="26" t="s">
        <v>5215</v>
      </c>
      <c r="H738" s="22" t="s">
        <v>5216</v>
      </c>
      <c r="I738" s="29" t="str">
        <f>IFERROR(VLOOKUP(F738, 'api-register-id'!B:I, 8, FALSE), "Not found path.")</f>
        <v>1.7.2</v>
      </c>
      <c r="J738" s="3" t="s">
        <v>1504</v>
      </c>
      <c r="K738" s="31" t="s">
        <v>48</v>
      </c>
      <c r="L738" s="78" t="s">
        <v>49</v>
      </c>
      <c r="M738" s="3" t="s">
        <v>5217</v>
      </c>
      <c r="N738" s="3" t="str">
        <f t="shared" si="1"/>
        <v>POST /customerManagement/partyReferenceDataDirectory/v1/customerRelationshipInvolvement/retrieve</v>
      </c>
      <c r="O738" s="32" t="s">
        <v>5218</v>
      </c>
      <c r="P738" s="32"/>
      <c r="Q738" s="61" t="s">
        <v>5219</v>
      </c>
      <c r="R738" s="31" t="s">
        <v>56</v>
      </c>
      <c r="S738" s="38" t="str">
        <f t="shared" si="2"/>
        <v>https://github.com/SF-Bancoppel/mx-api-bc-dom-party-reference-data-directory</v>
      </c>
      <c r="T738" s="40"/>
      <c r="U738" s="40"/>
      <c r="V738" s="40"/>
      <c r="W738" s="40"/>
      <c r="X738" s="40"/>
      <c r="Y738" s="40"/>
      <c r="Z738" s="40"/>
      <c r="AA738" s="40"/>
      <c r="AB738" s="40"/>
    </row>
    <row r="739" ht="18.75" customHeight="1">
      <c r="A739" s="18" t="str">
        <f t="array" ref="A739">IFERROR(
  INDEX(
    'api-register-id'!A:A,
    MATCH(F739, 'api-register-id'!B:B, 0)
  ),
  "Not found Organization"
)</f>
        <v>SSFF</v>
      </c>
      <c r="B739" s="22" t="str">
        <f>IFERROR(VLOOKUP(F739, 'api-register-id'!B:F, 4, FALSE), "Not found path.")</f>
        <v>mx-api-bc-dom-party-reference-data-directory</v>
      </c>
      <c r="C739" s="78" t="s">
        <v>41</v>
      </c>
      <c r="D739" s="78" t="s">
        <v>119</v>
      </c>
      <c r="E739" s="24" t="str">
        <f>IFERROR(VLOOKUP(F739, 'api-register-id'!B:F, 5, FALSE), "Not found path.")</f>
        <v>APIMX000041</v>
      </c>
      <c r="F739" s="25" t="s">
        <v>637</v>
      </c>
      <c r="G739" s="26" t="s">
        <v>5220</v>
      </c>
      <c r="H739" s="22" t="s">
        <v>5221</v>
      </c>
      <c r="I739" s="29" t="str">
        <f>IFERROR(VLOOKUP(F739, 'api-register-id'!B:I, 8, FALSE), "Not found path.")</f>
        <v>1.7.2</v>
      </c>
      <c r="J739" s="3" t="s">
        <v>1504</v>
      </c>
      <c r="K739" s="31" t="s">
        <v>48</v>
      </c>
      <c r="L739" s="78" t="s">
        <v>428</v>
      </c>
      <c r="M739" s="3" t="s">
        <v>5222</v>
      </c>
      <c r="N739" s="3" t="str">
        <f t="shared" si="1"/>
        <v>PATCH /customerManagement/partyReferenceDataDirectory/v1/identification/capture</v>
      </c>
      <c r="O739" s="32" t="s">
        <v>5223</v>
      </c>
      <c r="P739" s="32"/>
      <c r="Q739" s="61" t="s">
        <v>5224</v>
      </c>
      <c r="R739" s="31" t="s">
        <v>56</v>
      </c>
      <c r="S739" s="38" t="str">
        <f t="shared" si="2"/>
        <v>https://github.com/SF-Bancoppel/mx-api-bc-dom-party-reference-data-directory</v>
      </c>
      <c r="T739" s="40"/>
      <c r="U739" s="40"/>
      <c r="V739" s="40"/>
      <c r="W739" s="40"/>
      <c r="X739" s="40"/>
      <c r="Y739" s="40"/>
      <c r="Z739" s="40"/>
      <c r="AA739" s="40"/>
      <c r="AB739" s="40"/>
    </row>
    <row r="740" ht="18.75" customHeight="1">
      <c r="A740" s="18" t="str">
        <f t="array" ref="A740">IFERROR(
  INDEX(
    'api-register-id'!A:A,
    MATCH(F740, 'api-register-id'!B:B, 0)
  ),
  "Not found Organization"
)</f>
        <v>SSFF</v>
      </c>
      <c r="B740" s="22" t="str">
        <f>IFERROR(VLOOKUP(F740, 'api-register-id'!B:F, 4, FALSE), "Not found path.")</f>
        <v>mx-api-bc-pro-counterparty-risk</v>
      </c>
      <c r="C740" s="78" t="s">
        <v>41</v>
      </c>
      <c r="D740" s="78" t="s">
        <v>811</v>
      </c>
      <c r="E740" s="24" t="str">
        <f>IFERROR(VLOOKUP(F740, 'api-register-id'!B:F, 5, FALSE), "Not found path.")</f>
        <v>APIMX000067</v>
      </c>
      <c r="F740" s="25" t="s">
        <v>905</v>
      </c>
      <c r="G740" s="26" t="s">
        <v>5225</v>
      </c>
      <c r="H740" s="22" t="s">
        <v>5226</v>
      </c>
      <c r="I740" s="29" t="str">
        <f>IFERROR(VLOOKUP(F740, 'api-register-id'!B:I, 8, FALSE), "Not found path.")</f>
        <v>1.2.0</v>
      </c>
      <c r="J740" s="3" t="s">
        <v>2249</v>
      </c>
      <c r="K740" s="31" t="s">
        <v>48</v>
      </c>
      <c r="L740" s="78" t="s">
        <v>49</v>
      </c>
      <c r="M740" s="3" t="s">
        <v>5180</v>
      </c>
      <c r="N740" s="3" t="str">
        <f t="shared" si="1"/>
        <v>POST /system/accountManagement/counterpartyRisk/v1/customerSpecialConditions/evaluate</v>
      </c>
      <c r="O740" s="32" t="s">
        <v>5181</v>
      </c>
      <c r="P740" s="32"/>
      <c r="Q740" s="61" t="s">
        <v>5227</v>
      </c>
      <c r="R740" s="31" t="s">
        <v>56</v>
      </c>
      <c r="S740" s="38" t="str">
        <f t="shared" si="2"/>
        <v>https://github.com/SF-Bancoppel/mx-api-bc-pro-counterparty-risk</v>
      </c>
      <c r="T740" s="40"/>
      <c r="U740" s="40"/>
      <c r="V740" s="40"/>
      <c r="W740" s="40"/>
      <c r="X740" s="40"/>
      <c r="Y740" s="40"/>
      <c r="Z740" s="40"/>
      <c r="AA740" s="40"/>
      <c r="AB740" s="40"/>
    </row>
    <row r="741" ht="18.75" customHeight="1">
      <c r="A741" s="18" t="str">
        <f t="array" ref="A741">IFERROR(
  INDEX(
    'api-register-id'!A:A,
    MATCH(F741, 'api-register-id'!B:B, 0)
  ),
  "Not found Organization"
)</f>
        <v>SSFF</v>
      </c>
      <c r="B741" s="22" t="str">
        <f>IFERROR(VLOOKUP(F741, 'api-register-id'!B:F, 4, FALSE), "Not found path.")</f>
        <v>mx-api-bc-pro-counterparty-risk</v>
      </c>
      <c r="C741" s="78" t="s">
        <v>41</v>
      </c>
      <c r="D741" s="78" t="s">
        <v>811</v>
      </c>
      <c r="E741" s="24" t="str">
        <f>IFERROR(VLOOKUP(F741, 'api-register-id'!B:F, 5, FALSE), "Not found path.")</f>
        <v>APIMX000067</v>
      </c>
      <c r="F741" s="25" t="s">
        <v>905</v>
      </c>
      <c r="G741" s="26" t="s">
        <v>5228</v>
      </c>
      <c r="H741" s="22" t="s">
        <v>5229</v>
      </c>
      <c r="I741" s="29" t="str">
        <f>IFERROR(VLOOKUP(F741, 'api-register-id'!B:I, 8, FALSE), "Not found path.")</f>
        <v>1.2.0</v>
      </c>
      <c r="J741" s="3" t="s">
        <v>2249</v>
      </c>
      <c r="K741" s="31" t="s">
        <v>48</v>
      </c>
      <c r="L741" s="78" t="s">
        <v>49</v>
      </c>
      <c r="M741" s="3" t="s">
        <v>5185</v>
      </c>
      <c r="N741" s="3" t="str">
        <f t="shared" si="1"/>
        <v>POST /system/accountManagement/counterpartyRisk/v1/customerCreditRating/initiate</v>
      </c>
      <c r="O741" s="32" t="s">
        <v>5186</v>
      </c>
      <c r="P741" s="32"/>
      <c r="Q741" s="61" t="s">
        <v>5230</v>
      </c>
      <c r="R741" s="31" t="s">
        <v>56</v>
      </c>
      <c r="S741" s="38" t="str">
        <f t="shared" si="2"/>
        <v>https://github.com/SF-Bancoppel/mx-api-bc-pro-counterparty-risk</v>
      </c>
      <c r="T741" s="40"/>
      <c r="U741" s="40"/>
      <c r="V741" s="40"/>
      <c r="W741" s="40"/>
      <c r="X741" s="40"/>
      <c r="Y741" s="40"/>
      <c r="Z741" s="40"/>
      <c r="AA741" s="40"/>
      <c r="AB741" s="40"/>
    </row>
    <row r="742" ht="18.75" customHeight="1">
      <c r="A742" s="18" t="str">
        <f t="array" ref="A742">IFERROR(
  INDEX(
    'api-register-id'!A:A,
    MATCH(F742, 'api-register-id'!B:B, 0)
  ),
  "Not found Organization"
)</f>
        <v>SSFF</v>
      </c>
      <c r="B742" s="22" t="str">
        <f>IFERROR(VLOOKUP(F742, 'api-register-id'!B:F, 4, FALSE), "Not found path.")</f>
        <v>mx-api-bc-pro-counterparty-risk</v>
      </c>
      <c r="C742" s="78" t="s">
        <v>41</v>
      </c>
      <c r="D742" s="78" t="s">
        <v>811</v>
      </c>
      <c r="E742" s="24" t="str">
        <f>IFERROR(VLOOKUP(F742, 'api-register-id'!B:F, 5, FALSE), "Not found path.")</f>
        <v>APIMX000067</v>
      </c>
      <c r="F742" s="25" t="s">
        <v>905</v>
      </c>
      <c r="G742" s="26" t="s">
        <v>5231</v>
      </c>
      <c r="H742" s="22" t="s">
        <v>5232</v>
      </c>
      <c r="I742" s="29" t="str">
        <f>IFERROR(VLOOKUP(F742, 'api-register-id'!B:I, 8, FALSE), "Not found path.")</f>
        <v>1.2.0</v>
      </c>
      <c r="J742" s="3" t="s">
        <v>2249</v>
      </c>
      <c r="K742" s="31" t="s">
        <v>48</v>
      </c>
      <c r="L742" s="78" t="s">
        <v>61</v>
      </c>
      <c r="M742" s="3" t="s">
        <v>5190</v>
      </c>
      <c r="N742" s="3" t="str">
        <f t="shared" si="1"/>
        <v>PUT /system/accountManagement/counterpartyRisk/v1/customerCreditRating/capture</v>
      </c>
      <c r="O742" s="32" t="s">
        <v>5191</v>
      </c>
      <c r="P742" s="32" t="s">
        <v>652</v>
      </c>
      <c r="Q742" s="61" t="s">
        <v>5233</v>
      </c>
      <c r="R742" s="31" t="s">
        <v>56</v>
      </c>
      <c r="S742" s="38" t="str">
        <f t="shared" si="2"/>
        <v>https://github.com/SF-Bancoppel/mx-api-bc-pro-counterparty-risk</v>
      </c>
      <c r="T742" s="40"/>
      <c r="U742" s="40"/>
      <c r="V742" s="40"/>
      <c r="W742" s="40"/>
      <c r="X742" s="40"/>
      <c r="Y742" s="40"/>
      <c r="Z742" s="40"/>
      <c r="AA742" s="40"/>
      <c r="AB742" s="40"/>
    </row>
    <row r="743" ht="18.75" customHeight="1">
      <c r="A743" s="18" t="str">
        <f t="array" ref="A743">IFERROR(
  INDEX(
    'api-register-id'!A:A,
    MATCH(F743, 'api-register-id'!B:B, 0)
  ),
  "Not found Organization"
)</f>
        <v>SSFF</v>
      </c>
      <c r="B743" s="22" t="str">
        <f>IFERROR(VLOOKUP(F743, 'api-register-id'!B:F, 4, FALSE), "Not found path.")</f>
        <v>mx-api-bc-pro-credit-card</v>
      </c>
      <c r="C743" s="78" t="s">
        <v>41</v>
      </c>
      <c r="D743" s="78" t="s">
        <v>811</v>
      </c>
      <c r="E743" s="24" t="str">
        <f>IFERROR(VLOOKUP(F743, 'api-register-id'!B:F, 5, FALSE), "Not found path.")</f>
        <v>APIMX000068</v>
      </c>
      <c r="F743" s="25" t="s">
        <v>913</v>
      </c>
      <c r="G743" s="26" t="s">
        <v>5234</v>
      </c>
      <c r="H743" s="22" t="s">
        <v>5235</v>
      </c>
      <c r="I743" s="29" t="str">
        <f>IFERROR(VLOOKUP(F743, 'api-register-id'!B:I, 8, FALSE), "Not found path.")</f>
        <v>1.31.0</v>
      </c>
      <c r="J743" s="3" t="s">
        <v>2376</v>
      </c>
      <c r="K743" s="31" t="s">
        <v>48</v>
      </c>
      <c r="L743" s="78" t="s">
        <v>49</v>
      </c>
      <c r="M743" s="3" t="s">
        <v>5195</v>
      </c>
      <c r="N743" s="3" t="str">
        <f t="shared" si="1"/>
        <v>POST /system/cards/creditCard/v1/creditCardApplication/register</v>
      </c>
      <c r="O743" s="32" t="s">
        <v>562</v>
      </c>
      <c r="P743" s="32"/>
      <c r="Q743" s="61" t="s">
        <v>5236</v>
      </c>
      <c r="R743" s="31" t="s">
        <v>56</v>
      </c>
      <c r="S743" s="38" t="str">
        <f t="shared" si="2"/>
        <v>https://github.com/SF-Bancoppel/mx-api-bc-pro-credit-card</v>
      </c>
      <c r="T743" s="40"/>
      <c r="U743" s="40"/>
      <c r="V743" s="40"/>
      <c r="W743" s="40"/>
      <c r="X743" s="40"/>
      <c r="Y743" s="40"/>
      <c r="Z743" s="40"/>
      <c r="AA743" s="40"/>
      <c r="AB743" s="40"/>
    </row>
    <row r="744" ht="18.75" customHeight="1">
      <c r="A744" s="18" t="str">
        <f t="array" ref="A744">IFERROR(
  INDEX(
    'api-register-id'!A:A,
    MATCH(F744, 'api-register-id'!B:B, 0)
  ),
  "Not found Organization"
)</f>
        <v>SSFF</v>
      </c>
      <c r="B744" s="22" t="str">
        <f>IFERROR(VLOOKUP(F744, 'api-register-id'!B:F, 4, FALSE), "Not found path.")</f>
        <v>mx-api-bc-pro-customer-relationship-management</v>
      </c>
      <c r="C744" s="78" t="s">
        <v>41</v>
      </c>
      <c r="D744" s="78" t="s">
        <v>811</v>
      </c>
      <c r="E744" s="24" t="str">
        <f>IFERROR(VLOOKUP(F744, 'api-register-id'!B:F, 5, FALSE), "Not found path.")</f>
        <v>APIMX000080</v>
      </c>
      <c r="F744" s="25" t="s">
        <v>1044</v>
      </c>
      <c r="G744" s="26" t="s">
        <v>5237</v>
      </c>
      <c r="H744" s="22" t="s">
        <v>5238</v>
      </c>
      <c r="I744" s="29" t="str">
        <f>IFERROR(VLOOKUP(F744, 'api-register-id'!B:I, 8, FALSE), "Not found path.")</f>
        <v>1.0.0</v>
      </c>
      <c r="J744" s="3" t="s">
        <v>5239</v>
      </c>
      <c r="K744" s="31" t="s">
        <v>48</v>
      </c>
      <c r="L744" s="78" t="s">
        <v>49</v>
      </c>
      <c r="M744" s="3" t="s">
        <v>5171</v>
      </c>
      <c r="N744" s="3" t="str">
        <f t="shared" si="1"/>
        <v>POST /system/customerManagement/customerRelationshipManagement/v1/customerNotification/retrieve</v>
      </c>
      <c r="O744" s="32" t="s">
        <v>5200</v>
      </c>
      <c r="P744" s="32"/>
      <c r="Q744" s="61" t="s">
        <v>5240</v>
      </c>
      <c r="R744" s="31" t="s">
        <v>56</v>
      </c>
      <c r="S744" s="38" t="str">
        <f t="shared" si="2"/>
        <v>https://github.com/SF-Bancoppel/mx-api-bc-pro-customer-relationship-management</v>
      </c>
      <c r="T744" s="40"/>
      <c r="U744" s="40"/>
      <c r="V744" s="40"/>
      <c r="W744" s="40"/>
      <c r="X744" s="40"/>
      <c r="Y744" s="40"/>
      <c r="Z744" s="40"/>
      <c r="AA744" s="40"/>
      <c r="AB744" s="40"/>
    </row>
    <row r="745" ht="18.75" customHeight="1">
      <c r="A745" s="18" t="str">
        <f t="array" ref="A745">IFERROR(
  INDEX(
    'api-register-id'!A:A,
    MATCH(F745, 'api-register-id'!B:B, 0)
  ),
  "Not found Organization"
)</f>
        <v>SSFF</v>
      </c>
      <c r="B745" s="22" t="str">
        <f>IFERROR(VLOOKUP(F745, 'api-register-id'!B:F, 4, FALSE), "Not found path.")</f>
        <v>mx-api-bc-pro-customer-relationship-management</v>
      </c>
      <c r="C745" s="78" t="s">
        <v>41</v>
      </c>
      <c r="D745" s="78" t="s">
        <v>811</v>
      </c>
      <c r="E745" s="24" t="str">
        <f>IFERROR(VLOOKUP(F745, 'api-register-id'!B:F, 5, FALSE), "Not found path.")</f>
        <v>APIMX000080</v>
      </c>
      <c r="F745" s="25" t="s">
        <v>1044</v>
      </c>
      <c r="G745" s="26" t="s">
        <v>5241</v>
      </c>
      <c r="H745" s="22" t="s">
        <v>5242</v>
      </c>
      <c r="I745" s="29" t="str">
        <f>IFERROR(VLOOKUP(F745, 'api-register-id'!B:I, 8, FALSE), "Not found path.")</f>
        <v>1.0.0</v>
      </c>
      <c r="J745" s="3" t="s">
        <v>5239</v>
      </c>
      <c r="K745" s="31" t="s">
        <v>48</v>
      </c>
      <c r="L745" s="78" t="s">
        <v>49</v>
      </c>
      <c r="M745" s="3" t="s">
        <v>5204</v>
      </c>
      <c r="N745" s="3" t="str">
        <f t="shared" si="1"/>
        <v>POST /system/customerManagement/customerRelationshipManagement/v1/customerApplicationNotification/retrieve</v>
      </c>
      <c r="O745" s="32" t="s">
        <v>5205</v>
      </c>
      <c r="P745" s="32"/>
      <c r="Q745" s="61" t="s">
        <v>5243</v>
      </c>
      <c r="R745" s="31" t="s">
        <v>56</v>
      </c>
      <c r="S745" s="38" t="str">
        <f t="shared" si="2"/>
        <v>https://github.com/SF-Bancoppel/mx-api-bc-pro-customer-relationship-management</v>
      </c>
      <c r="T745" s="40"/>
      <c r="U745" s="40"/>
      <c r="V745" s="40"/>
      <c r="W745" s="40"/>
      <c r="X745" s="40"/>
      <c r="Y745" s="40"/>
      <c r="Z745" s="40"/>
      <c r="AA745" s="40"/>
      <c r="AB745" s="40"/>
    </row>
    <row r="746" ht="18.75" customHeight="1">
      <c r="A746" s="18" t="str">
        <f t="array" ref="A746">IFERROR(
  INDEX(
    'api-register-id'!A:A,
    MATCH(F746, 'api-register-id'!B:B, 0)
  ),
  "Not found Organization"
)</f>
        <v>SSFF</v>
      </c>
      <c r="B746" s="22" t="str">
        <f>IFERROR(VLOOKUP(F746, 'api-register-id'!B:F, 4, FALSE), "Not found path.")</f>
        <v>mx-api-bc-pro-party-reference-data-directory</v>
      </c>
      <c r="C746" s="78" t="s">
        <v>41</v>
      </c>
      <c r="D746" s="78" t="s">
        <v>811</v>
      </c>
      <c r="E746" s="24" t="str">
        <f>IFERROR(VLOOKUP(F746, 'api-register-id'!B:F, 5, FALSE), "Not found path.")</f>
        <v>APIMX000097</v>
      </c>
      <c r="F746" s="25" t="s">
        <v>1222</v>
      </c>
      <c r="G746" s="26" t="s">
        <v>5244</v>
      </c>
      <c r="H746" s="22" t="s">
        <v>5245</v>
      </c>
      <c r="I746" s="29" t="str">
        <f>IFERROR(VLOOKUP(F746, 'api-register-id'!B:I, 8, FALSE), "Not found path.")</f>
        <v>1.8.1</v>
      </c>
      <c r="J746" s="3" t="s">
        <v>3395</v>
      </c>
      <c r="K746" s="31" t="s">
        <v>48</v>
      </c>
      <c r="L746" s="78" t="s">
        <v>49</v>
      </c>
      <c r="M746" s="3" t="s">
        <v>3386</v>
      </c>
      <c r="N746" s="3" t="str">
        <f t="shared" si="1"/>
        <v>POST /system/customerManagement/partyReferenceDataDirectory/v1/customerRelationshipInvolvement/initiate</v>
      </c>
      <c r="O746" s="32" t="s">
        <v>5176</v>
      </c>
      <c r="P746" s="32"/>
      <c r="Q746" s="61" t="s">
        <v>5246</v>
      </c>
      <c r="R746" s="31" t="s">
        <v>56</v>
      </c>
      <c r="S746" s="38" t="str">
        <f t="shared" si="2"/>
        <v>https://github.com/SF-Bancoppel/mx-api-bc-pro-party-reference-data-directory</v>
      </c>
      <c r="T746" s="40"/>
      <c r="U746" s="40"/>
      <c r="V746" s="40"/>
      <c r="W746" s="40"/>
      <c r="X746" s="40"/>
      <c r="Y746" s="40"/>
      <c r="Z746" s="40"/>
      <c r="AA746" s="40"/>
      <c r="AB746" s="40"/>
    </row>
    <row r="747" ht="18.75" customHeight="1">
      <c r="A747" s="18" t="str">
        <f t="array" ref="A747">IFERROR(
  INDEX(
    'api-register-id'!A:A,
    MATCH(F747, 'api-register-id'!B:B, 0)
  ),
  "Not found Organization"
)</f>
        <v>SSFF</v>
      </c>
      <c r="B747" s="22" t="str">
        <f>IFERROR(VLOOKUP(F747, 'api-register-id'!B:F, 4, FALSE), "Not found path.")</f>
        <v>mx-api-bc-pro-party-reference-data-directory</v>
      </c>
      <c r="C747" s="78" t="s">
        <v>41</v>
      </c>
      <c r="D747" s="78" t="s">
        <v>811</v>
      </c>
      <c r="E747" s="24" t="str">
        <f>IFERROR(VLOOKUP(F747, 'api-register-id'!B:F, 5, FALSE), "Not found path.")</f>
        <v>APIMX000097</v>
      </c>
      <c r="F747" s="25" t="s">
        <v>1222</v>
      </c>
      <c r="G747" s="26" t="s">
        <v>5247</v>
      </c>
      <c r="H747" s="22" t="s">
        <v>5248</v>
      </c>
      <c r="I747" s="29" t="str">
        <f>IFERROR(VLOOKUP(F747, 'api-register-id'!B:I, 8, FALSE), "Not found path.")</f>
        <v>1.8.1</v>
      </c>
      <c r="J747" s="3" t="s">
        <v>3395</v>
      </c>
      <c r="K747" s="31" t="s">
        <v>48</v>
      </c>
      <c r="L747" s="78" t="s">
        <v>61</v>
      </c>
      <c r="M747" s="3" t="s">
        <v>5212</v>
      </c>
      <c r="N747" s="3" t="str">
        <f t="shared" si="1"/>
        <v>PUT /system/customerManagement/partyReferenceDataDirectory/v1/customerRelationshipInvolvement/update</v>
      </c>
      <c r="O747" s="32" t="s">
        <v>5213</v>
      </c>
      <c r="P747" s="32"/>
      <c r="Q747" s="61" t="s">
        <v>5249</v>
      </c>
      <c r="R747" s="31" t="s">
        <v>56</v>
      </c>
      <c r="S747" s="38" t="str">
        <f t="shared" si="2"/>
        <v>https://github.com/SF-Bancoppel/mx-api-bc-pro-party-reference-data-directory</v>
      </c>
      <c r="T747" s="40"/>
      <c r="U747" s="40"/>
      <c r="V747" s="40"/>
      <c r="W747" s="40"/>
      <c r="X747" s="40"/>
      <c r="Y747" s="40"/>
      <c r="Z747" s="40"/>
      <c r="AA747" s="40"/>
      <c r="AB747" s="40"/>
    </row>
    <row r="748" ht="18.75" customHeight="1">
      <c r="A748" s="18" t="str">
        <f t="array" ref="A748">IFERROR(
  INDEX(
    'api-register-id'!A:A,
    MATCH(F748, 'api-register-id'!B:B, 0)
  ),
  "Not found Organization"
)</f>
        <v>SSFF</v>
      </c>
      <c r="B748" s="22" t="str">
        <f>IFERROR(VLOOKUP(F748, 'api-register-id'!B:F, 4, FALSE), "Not found path.")</f>
        <v>mx-api-bc-pro-party-reference-data-directory</v>
      </c>
      <c r="C748" s="78" t="s">
        <v>41</v>
      </c>
      <c r="D748" s="78" t="s">
        <v>811</v>
      </c>
      <c r="E748" s="24" t="str">
        <f>IFERROR(VLOOKUP(F748, 'api-register-id'!B:F, 5, FALSE), "Not found path.")</f>
        <v>APIMX000097</v>
      </c>
      <c r="F748" s="25" t="s">
        <v>1222</v>
      </c>
      <c r="G748" s="26" t="s">
        <v>5250</v>
      </c>
      <c r="H748" s="22" t="s">
        <v>5251</v>
      </c>
      <c r="I748" s="29" t="str">
        <f>IFERROR(VLOOKUP(F748, 'api-register-id'!B:I, 8, FALSE), "Not found path.")</f>
        <v>1.8.1</v>
      </c>
      <c r="J748" s="3" t="s">
        <v>3395</v>
      </c>
      <c r="K748" s="31" t="s">
        <v>48</v>
      </c>
      <c r="L748" s="78" t="s">
        <v>49</v>
      </c>
      <c r="M748" s="3" t="s">
        <v>5217</v>
      </c>
      <c r="N748" s="3" t="str">
        <f t="shared" si="1"/>
        <v>POST /system/customerManagement/partyReferenceDataDirectory/v1/customerRelationshipInvolvement/retrieve</v>
      </c>
      <c r="O748" s="32" t="s">
        <v>5252</v>
      </c>
      <c r="P748" s="32"/>
      <c r="Q748" s="61" t="s">
        <v>5253</v>
      </c>
      <c r="R748" s="31" t="s">
        <v>56</v>
      </c>
      <c r="S748" s="38" t="str">
        <f t="shared" si="2"/>
        <v>https://github.com/SF-Bancoppel/mx-api-bc-pro-party-reference-data-directory</v>
      </c>
      <c r="T748" s="40"/>
      <c r="U748" s="40"/>
      <c r="V748" s="40"/>
      <c r="W748" s="40"/>
      <c r="X748" s="40"/>
      <c r="Y748" s="40"/>
      <c r="Z748" s="40"/>
      <c r="AA748" s="40"/>
      <c r="AB748" s="40"/>
    </row>
    <row r="749" ht="18.75" customHeight="1">
      <c r="A749" s="18" t="str">
        <f t="array" ref="A749">IFERROR(
  INDEX(
    'api-register-id'!A:A,
    MATCH(F749, 'api-register-id'!B:B, 0)
  ),
  "Not found Organization"
)</f>
        <v>SSFF</v>
      </c>
      <c r="B749" s="22" t="str">
        <f>IFERROR(VLOOKUP(F749, 'api-register-id'!B:F, 4, FALSE), "Not found path.")</f>
        <v>mx-api-bc-pro-party-reference-data-directory</v>
      </c>
      <c r="C749" s="78" t="s">
        <v>41</v>
      </c>
      <c r="D749" s="78" t="s">
        <v>811</v>
      </c>
      <c r="E749" s="24" t="str">
        <f>IFERROR(VLOOKUP(F749, 'api-register-id'!B:F, 5, FALSE), "Not found path.")</f>
        <v>APIMX000097</v>
      </c>
      <c r="F749" s="25" t="s">
        <v>1222</v>
      </c>
      <c r="G749" s="26" t="s">
        <v>5254</v>
      </c>
      <c r="H749" s="22" t="s">
        <v>5255</v>
      </c>
      <c r="I749" s="29" t="str">
        <f>IFERROR(VLOOKUP(F749, 'api-register-id'!B:I, 8, FALSE), "Not found path.")</f>
        <v>1.8.1</v>
      </c>
      <c r="J749" s="3" t="s">
        <v>3395</v>
      </c>
      <c r="K749" s="31" t="s">
        <v>48</v>
      </c>
      <c r="L749" s="78" t="s">
        <v>428</v>
      </c>
      <c r="M749" s="3" t="s">
        <v>5222</v>
      </c>
      <c r="N749" s="3" t="str">
        <f t="shared" si="1"/>
        <v>PATCH /system/customerManagement/partyReferenceDataDirectory/v1/identification/capture</v>
      </c>
      <c r="O749" s="32" t="s">
        <v>5223</v>
      </c>
      <c r="P749" s="32"/>
      <c r="Q749" s="61" t="s">
        <v>5256</v>
      </c>
      <c r="R749" s="31" t="s">
        <v>56</v>
      </c>
      <c r="S749" s="38" t="str">
        <f t="shared" si="2"/>
        <v>https://github.com/SF-Bancoppel/mx-api-bc-pro-party-reference-data-directory</v>
      </c>
      <c r="T749" s="40"/>
      <c r="U749" s="40"/>
      <c r="V749" s="40"/>
      <c r="W749" s="40"/>
      <c r="X749" s="40"/>
      <c r="Y749" s="40"/>
      <c r="Z749" s="40"/>
      <c r="AA749" s="40"/>
      <c r="AB749" s="40"/>
    </row>
    <row r="750" ht="18.75" hidden="1" customHeight="1">
      <c r="A750" s="18" t="str">
        <f t="array" ref="A750">IFERROR(
  INDEX(
    'api-register-id'!A:A,
    MATCH(F750, 'api-register-id'!B:B, 0)
  ),
  "Not found Organization"
)</f>
        <v>SSFF</v>
      </c>
      <c r="B750" s="22" t="str">
        <f>IFERROR(VLOOKUP(F750, 'api-register-id'!B:F, 4, FALSE), "Not found path.")</f>
        <v>mx-api-bc-rec-business-support</v>
      </c>
      <c r="C750" s="78" t="s">
        <v>112</v>
      </c>
      <c r="D750" s="78" t="s">
        <v>1417</v>
      </c>
      <c r="E750" s="24" t="str">
        <f>IFERROR(VLOOKUP(F750, 'api-register-id'!B:F, 5, FALSE), "Not found path.")</f>
        <v>APIMX000116</v>
      </c>
      <c r="F750" s="25" t="s">
        <v>1426</v>
      </c>
      <c r="G750" s="26" t="s">
        <v>5257</v>
      </c>
      <c r="H750" s="22" t="s">
        <v>5258</v>
      </c>
      <c r="I750" s="29" t="str">
        <f>IFERROR(VLOOKUP(F750, 'api-register-id'!B:I, 8, FALSE), "Not found path.")</f>
        <v>1.3.0</v>
      </c>
      <c r="J750" s="3" t="s">
        <v>3904</v>
      </c>
      <c r="K750" s="31" t="s">
        <v>48</v>
      </c>
      <c r="L750" s="78" t="s">
        <v>49</v>
      </c>
      <c r="M750" s="3" t="s">
        <v>5171</v>
      </c>
      <c r="N750" s="3" t="str">
        <f t="shared" si="1"/>
        <v>POST /experience/businessSupport/v1/customerNotification/retrieve</v>
      </c>
      <c r="O750" s="32" t="s">
        <v>5172</v>
      </c>
      <c r="P750" s="32"/>
      <c r="Q750" s="36" t="s">
        <v>4624</v>
      </c>
      <c r="R750" s="31" t="s">
        <v>56</v>
      </c>
      <c r="S750" s="38" t="str">
        <f t="shared" si="2"/>
        <v>https://github.com/SF-Bancoppel/mx-api-bc-rec-business-support</v>
      </c>
      <c r="T750" s="40"/>
      <c r="U750" s="40"/>
      <c r="V750" s="40"/>
      <c r="W750" s="40"/>
      <c r="X750" s="40"/>
      <c r="Y750" s="40"/>
      <c r="Z750" s="40"/>
      <c r="AA750" s="40"/>
      <c r="AB750" s="40"/>
    </row>
    <row r="751" ht="18.75" customHeight="1">
      <c r="A751" s="18" t="str">
        <f t="array" ref="A751">IFERROR(
  INDEX(
    'api-register-id'!A:A,
    MATCH(F751, 'api-register-id'!B:B, 0)
  ),
  "Not found Organization"
)</f>
        <v>SSFF</v>
      </c>
      <c r="B751" s="22" t="str">
        <f>IFERROR(VLOOKUP(F751, 'api-register-id'!B:F, 4, FALSE), "Not found path.")</f>
        <v>mx-api-bc-rec-counterparty-risk</v>
      </c>
      <c r="C751" s="78" t="s">
        <v>112</v>
      </c>
      <c r="D751" s="78" t="s">
        <v>1417</v>
      </c>
      <c r="E751" s="24" t="str">
        <f>IFERROR(VLOOKUP(F751, 'api-register-id'!B:F, 5, FALSE), "Not found path.")</f>
        <v>APIMX000119</v>
      </c>
      <c r="F751" s="25" t="s">
        <v>1459</v>
      </c>
      <c r="G751" s="26" t="s">
        <v>5259</v>
      </c>
      <c r="H751" s="22" t="s">
        <v>5260</v>
      </c>
      <c r="I751" s="29" t="str">
        <f>IFERROR(VLOOKUP(F751, 'api-register-id'!B:I, 8, FALSE), "Not found path.")</f>
        <v>1.2.0</v>
      </c>
      <c r="J751" s="3" t="s">
        <v>3950</v>
      </c>
      <c r="K751" s="31" t="s">
        <v>48</v>
      </c>
      <c r="L751" s="78" t="s">
        <v>49</v>
      </c>
      <c r="M751" s="3" t="s">
        <v>5185</v>
      </c>
      <c r="N751" s="3" t="str">
        <f t="shared" si="1"/>
        <v>POST /experience/accountManagement/counterpartyRisk/v1/customerCreditRating/initiate</v>
      </c>
      <c r="O751" s="32" t="s">
        <v>5186</v>
      </c>
      <c r="P751" s="32"/>
      <c r="Q751" s="61" t="s">
        <v>98</v>
      </c>
      <c r="R751" s="31" t="s">
        <v>56</v>
      </c>
      <c r="S751" s="38" t="str">
        <f t="shared" si="2"/>
        <v>https://github.com/SF-Bancoppel/mx-api-bc-rec-counterparty-risk</v>
      </c>
      <c r="T751" s="40"/>
      <c r="U751" s="40"/>
      <c r="V751" s="40"/>
      <c r="W751" s="40"/>
      <c r="X751" s="40"/>
      <c r="Y751" s="40"/>
      <c r="Z751" s="40"/>
      <c r="AA751" s="40"/>
      <c r="AB751" s="40"/>
    </row>
    <row r="752" ht="18.75" customHeight="1">
      <c r="A752" s="18" t="str">
        <f t="array" ref="A752">IFERROR(
  INDEX(
    'api-register-id'!A:A,
    MATCH(F752, 'api-register-id'!B:B, 0)
  ),
  "Not found Organization"
)</f>
        <v>SSFF</v>
      </c>
      <c r="B752" s="22" t="str">
        <f>IFERROR(VLOOKUP(F752, 'api-register-id'!B:F, 4, FALSE), "Not found path.")</f>
        <v>mx-api-bc-rec-counterparty-risk</v>
      </c>
      <c r="C752" s="78" t="s">
        <v>112</v>
      </c>
      <c r="D752" s="78" t="s">
        <v>1417</v>
      </c>
      <c r="E752" s="24" t="str">
        <f>IFERROR(VLOOKUP(F752, 'api-register-id'!B:F, 5, FALSE), "Not found path.")</f>
        <v>APIMX000119</v>
      </c>
      <c r="F752" s="25" t="s">
        <v>1459</v>
      </c>
      <c r="G752" s="26" t="s">
        <v>5261</v>
      </c>
      <c r="H752" s="22" t="s">
        <v>5262</v>
      </c>
      <c r="I752" s="29" t="str">
        <f>IFERROR(VLOOKUP(F752, 'api-register-id'!B:I, 8, FALSE), "Not found path.")</f>
        <v>1.2.0</v>
      </c>
      <c r="J752" s="3" t="s">
        <v>3950</v>
      </c>
      <c r="K752" s="31" t="s">
        <v>48</v>
      </c>
      <c r="L752" s="78" t="s">
        <v>61</v>
      </c>
      <c r="M752" s="3" t="s">
        <v>5190</v>
      </c>
      <c r="N752" s="3" t="str">
        <f t="shared" si="1"/>
        <v>PUT /experience/accountManagement/counterpartyRisk/v1/customerCreditRating/capture</v>
      </c>
      <c r="O752" s="32" t="s">
        <v>5191</v>
      </c>
      <c r="P752" s="32"/>
      <c r="Q752" s="61" t="s">
        <v>98</v>
      </c>
      <c r="R752" s="31" t="s">
        <v>56</v>
      </c>
      <c r="S752" s="38" t="str">
        <f t="shared" si="2"/>
        <v>https://github.com/SF-Bancoppel/mx-api-bc-rec-counterparty-risk</v>
      </c>
      <c r="T752" s="40"/>
      <c r="U752" s="40"/>
      <c r="V752" s="40"/>
      <c r="W752" s="40"/>
      <c r="X752" s="40"/>
      <c r="Y752" s="40"/>
      <c r="Z752" s="40"/>
      <c r="AA752" s="40"/>
      <c r="AB752" s="40"/>
    </row>
    <row r="753" ht="18.75" customHeight="1">
      <c r="A753" s="18" t="str">
        <f t="array" ref="A753">IFERROR(
  INDEX(
    'api-register-id'!A:A,
    MATCH(F753, 'api-register-id'!B:B, 0)
  ),
  "Not found Organization"
)</f>
        <v>SSFF</v>
      </c>
      <c r="B753" s="22" t="str">
        <f>IFERROR(VLOOKUP(F753, 'api-register-id'!B:F, 4, FALSE), "Not found path.")</f>
        <v>mx-api-bc-rec-credit-card</v>
      </c>
      <c r="C753" s="78" t="s">
        <v>112</v>
      </c>
      <c r="D753" s="78" t="s">
        <v>1417</v>
      </c>
      <c r="E753" s="24" t="str">
        <f>IFERROR(VLOOKUP(F753, 'api-register-id'!B:F, 5, FALSE), "Not found path.")</f>
        <v>APIMX000120</v>
      </c>
      <c r="F753" s="25" t="s">
        <v>1471</v>
      </c>
      <c r="G753" s="26" t="s">
        <v>5263</v>
      </c>
      <c r="H753" s="22" t="s">
        <v>5264</v>
      </c>
      <c r="I753" s="29" t="str">
        <f>IFERROR(VLOOKUP(F753, 'api-register-id'!B:I, 8, FALSE), "Not found path.")</f>
        <v>1.14.0</v>
      </c>
      <c r="J753" s="3" t="s">
        <v>3959</v>
      </c>
      <c r="K753" s="31" t="s">
        <v>48</v>
      </c>
      <c r="L753" s="78" t="s">
        <v>49</v>
      </c>
      <c r="M753" s="3" t="s">
        <v>5195</v>
      </c>
      <c r="N753" s="3" t="str">
        <f t="shared" si="1"/>
        <v>POST /experience/cards/creditCard/v1/creditCardApplication/register</v>
      </c>
      <c r="O753" s="32" t="s">
        <v>562</v>
      </c>
      <c r="P753" s="32"/>
      <c r="Q753" s="61" t="s">
        <v>98</v>
      </c>
      <c r="R753" s="31" t="s">
        <v>56</v>
      </c>
      <c r="S753" s="38" t="str">
        <f t="shared" si="2"/>
        <v>https://github.com/SF-Bancoppel/mx-api-bc-rec-credit-card</v>
      </c>
      <c r="T753" s="40"/>
      <c r="U753" s="40"/>
      <c r="V753" s="40"/>
      <c r="W753" s="40"/>
      <c r="X753" s="40"/>
      <c r="Y753" s="40"/>
      <c r="Z753" s="40"/>
      <c r="AA753" s="40"/>
      <c r="AB753" s="40"/>
    </row>
    <row r="754" ht="18.75" customHeight="1">
      <c r="A754" s="18" t="str">
        <f t="array" ref="A754">IFERROR(
  INDEX(
    'api-register-id'!A:A,
    MATCH(F754, 'api-register-id'!B:B, 0)
  ),
  "Not found Organization"
)</f>
        <v>SSFF</v>
      </c>
      <c r="B754" s="22" t="str">
        <f>IFERROR(VLOOKUP(F754, 'api-register-id'!B:F, 4, FALSE), "Not found path.")</f>
        <v>mx-api-bc-rec-party-reference-data-directory</v>
      </c>
      <c r="C754" s="78" t="s">
        <v>112</v>
      </c>
      <c r="D754" s="78" t="s">
        <v>1417</v>
      </c>
      <c r="E754" s="24" t="str">
        <f>IFERROR(VLOOKUP(F754, 'api-register-id'!B:F, 5, FALSE), "Not found path.")</f>
        <v>APIMX000140</v>
      </c>
      <c r="F754" s="25" t="s">
        <v>1677</v>
      </c>
      <c r="G754" s="26" t="s">
        <v>5265</v>
      </c>
      <c r="H754" s="22" t="s">
        <v>5266</v>
      </c>
      <c r="I754" s="29" t="str">
        <f>IFERROR(VLOOKUP(F754, 'api-register-id'!B:I, 8, FALSE), "Not found path.")</f>
        <v>1.0.0</v>
      </c>
      <c r="J754" s="3" t="s">
        <v>4550</v>
      </c>
      <c r="K754" s="31" t="s">
        <v>48</v>
      </c>
      <c r="L754" s="78" t="s">
        <v>49</v>
      </c>
      <c r="M754" s="3" t="s">
        <v>5217</v>
      </c>
      <c r="N754" s="3" t="str">
        <f t="shared" si="1"/>
        <v>POST /experience/customerManagement/partyReferenceDataDirectory/v1/customerRelationshipInvolvement/retrieve</v>
      </c>
      <c r="O754" s="32" t="s">
        <v>5252</v>
      </c>
      <c r="P754" s="32"/>
      <c r="Q754" s="61" t="s">
        <v>98</v>
      </c>
      <c r="R754" s="31" t="s">
        <v>56</v>
      </c>
      <c r="S754" s="38" t="str">
        <f t="shared" si="2"/>
        <v>https://github.com/SF-Bancoppel/mx-api-bc-rec-party-reference-data-directory</v>
      </c>
      <c r="T754" s="40"/>
      <c r="U754" s="40"/>
      <c r="V754" s="40"/>
      <c r="W754" s="40"/>
      <c r="X754" s="40"/>
      <c r="Y754" s="40"/>
      <c r="Z754" s="40"/>
      <c r="AA754" s="40"/>
      <c r="AB754" s="40"/>
    </row>
    <row r="755" ht="18.75" customHeight="1">
      <c r="A755" s="18" t="str">
        <f t="array" ref="A755">IFERROR(
  INDEX(
    'api-register-id'!A:A,
    MATCH(F755, 'api-register-id'!B:B, 0)
  ),
  "Not found Organization"
)</f>
        <v>SSFF</v>
      </c>
      <c r="B755" s="22" t="str">
        <f>IFERROR(VLOOKUP(F755, 'api-register-id'!B:F, 4, FALSE), "Not found path.")</f>
        <v>mx-api-bc-rec-reference-data</v>
      </c>
      <c r="C755" s="78" t="s">
        <v>112</v>
      </c>
      <c r="D755" s="78" t="s">
        <v>1417</v>
      </c>
      <c r="E755" s="24" t="str">
        <f>IFERROR(VLOOKUP(F755, 'api-register-id'!B:F, 5, FALSE), "Not found path.")</f>
        <v>APIMX000146</v>
      </c>
      <c r="F755" s="25" t="s">
        <v>1744</v>
      </c>
      <c r="G755" s="26" t="s">
        <v>5267</v>
      </c>
      <c r="H755" s="22" t="s">
        <v>5268</v>
      </c>
      <c r="I755" s="29" t="str">
        <f>IFERROR(VLOOKUP(F755, 'api-register-id'!B:I, 8, FALSE), "Not found path.")</f>
        <v>1.6.0</v>
      </c>
      <c r="J755" s="3" t="s">
        <v>4448</v>
      </c>
      <c r="K755" s="31" t="s">
        <v>48</v>
      </c>
      <c r="L755" s="78" t="s">
        <v>49</v>
      </c>
      <c r="M755" s="3" t="s">
        <v>3386</v>
      </c>
      <c r="N755" s="3" t="str">
        <f t="shared" si="1"/>
        <v>POST /experience/referenceData/v1/customerRelationshipInvolvement/initiate</v>
      </c>
      <c r="O755" s="32" t="s">
        <v>5176</v>
      </c>
      <c r="P755" s="32"/>
      <c r="Q755" s="61" t="s">
        <v>98</v>
      </c>
      <c r="R755" s="31" t="s">
        <v>56</v>
      </c>
      <c r="S755" s="38" t="str">
        <f t="shared" si="2"/>
        <v>https://github.com/SF-Bancoppel/mx-api-bc-rec-reference-data</v>
      </c>
      <c r="T755" s="40"/>
      <c r="U755" s="40"/>
      <c r="V755" s="40"/>
      <c r="W755" s="40"/>
      <c r="X755" s="40"/>
      <c r="Y755" s="40"/>
      <c r="Z755" s="40"/>
      <c r="AA755" s="40"/>
      <c r="AB755" s="40"/>
    </row>
    <row r="756" ht="18.75" customHeight="1">
      <c r="A756" s="18" t="str">
        <f t="array" ref="A756">IFERROR(
  INDEX(
    'api-register-id'!A:A,
    MATCH(F756, 'api-register-id'!B:B, 0)
  ),
  "Not found Organization"
)</f>
        <v>SSFF</v>
      </c>
      <c r="B756" s="22" t="str">
        <f>IFERROR(VLOOKUP(F756, 'api-register-id'!B:F, 4, FALSE), "Not found path.")</f>
        <v>mx-api-bc-dom-transaction-engine</v>
      </c>
      <c r="C756" s="78" t="s">
        <v>41</v>
      </c>
      <c r="D756" s="78" t="s">
        <v>119</v>
      </c>
      <c r="E756" s="24" t="str">
        <f>IFERROR(VLOOKUP(F756, 'api-register-id'!B:F, 5, FALSE), "Not found path.")</f>
        <v>APIMX000057</v>
      </c>
      <c r="F756" s="25" t="s">
        <v>792</v>
      </c>
      <c r="G756" s="26" t="s">
        <v>5269</v>
      </c>
      <c r="H756" s="22" t="s">
        <v>5270</v>
      </c>
      <c r="I756" s="29" t="str">
        <f>IFERROR(VLOOKUP(F756, 'api-register-id'!B:I, 8, FALSE), "Not found path.")</f>
        <v>1.0.0</v>
      </c>
      <c r="J756" s="3" t="s">
        <v>1938</v>
      </c>
      <c r="K756" s="31" t="s">
        <v>48</v>
      </c>
      <c r="L756" s="78" t="s">
        <v>49</v>
      </c>
      <c r="M756" s="3" t="s">
        <v>5271</v>
      </c>
      <c r="N756" s="3" t="str">
        <f t="shared" si="1"/>
        <v>POST /accountManagement/transactionEngine/v1/settlementTransaction/register</v>
      </c>
      <c r="O756" s="32" t="s">
        <v>5272</v>
      </c>
      <c r="P756" s="32"/>
      <c r="Q756" s="61" t="s">
        <v>5273</v>
      </c>
      <c r="R756" s="31" t="s">
        <v>56</v>
      </c>
      <c r="S756" s="38" t="str">
        <f t="shared" si="2"/>
        <v>https://github.com/SF-Bancoppel/mx-api-bc-dom-transaction-engine</v>
      </c>
      <c r="T756" s="40"/>
      <c r="U756" s="40"/>
      <c r="V756" s="40"/>
      <c r="W756" s="40"/>
      <c r="X756" s="40"/>
      <c r="Y756" s="40"/>
      <c r="Z756" s="40"/>
      <c r="AA756" s="40"/>
      <c r="AB756" s="40"/>
    </row>
    <row r="757" ht="18.75" customHeight="1">
      <c r="A757" s="18" t="str">
        <f t="array" ref="A757">IFERROR(
  INDEX(
    'api-register-id'!A:A,
    MATCH(F757, 'api-register-id'!B:B, 0)
  ),
  "Not found Organization"
)</f>
        <v>SSFF</v>
      </c>
      <c r="B757" s="22" t="str">
        <f>IFERROR(VLOOKUP(F757, 'api-register-id'!B:F, 4, FALSE), "Not found path.")</f>
        <v>mx-api-bc-pro-transaction-engine</v>
      </c>
      <c r="C757" s="78" t="s">
        <v>41</v>
      </c>
      <c r="D757" s="78" t="s">
        <v>811</v>
      </c>
      <c r="E757" s="24" t="str">
        <f>IFERROR(VLOOKUP(F757, 'api-register-id'!B:F, 5, FALSE), "Not found path.")</f>
        <v>APIMX000113</v>
      </c>
      <c r="F757" s="25" t="s">
        <v>1396</v>
      </c>
      <c r="G757" s="26" t="s">
        <v>5274</v>
      </c>
      <c r="H757" s="22" t="s">
        <v>5275</v>
      </c>
      <c r="I757" s="29" t="str">
        <f>IFERROR(VLOOKUP(F757, 'api-register-id'!B:I, 8, FALSE), "Not found path.")</f>
        <v>1.0.0</v>
      </c>
      <c r="J757" s="3" t="s">
        <v>5276</v>
      </c>
      <c r="K757" s="31" t="s">
        <v>48</v>
      </c>
      <c r="L757" s="78" t="s">
        <v>49</v>
      </c>
      <c r="M757" s="3" t="s">
        <v>5271</v>
      </c>
      <c r="N757" s="3" t="str">
        <f t="shared" si="1"/>
        <v>POST /system/accountManagement/transactionEngine/v1/settlementTransaction/register</v>
      </c>
      <c r="O757" s="32" t="s">
        <v>5272</v>
      </c>
      <c r="P757" s="32"/>
      <c r="Q757" s="61" t="s">
        <v>5277</v>
      </c>
      <c r="R757" s="31" t="s">
        <v>56</v>
      </c>
      <c r="S757" s="38" t="str">
        <f t="shared" si="2"/>
        <v>https://github.com/SF-Bancoppel/mx-api-bc-pro-transaction-engine</v>
      </c>
      <c r="T757" s="40"/>
      <c r="U757" s="40"/>
      <c r="V757" s="40"/>
      <c r="W757" s="40"/>
      <c r="X757" s="40"/>
      <c r="Y757" s="40"/>
      <c r="Z757" s="40"/>
      <c r="AA757" s="40"/>
      <c r="AB757" s="40"/>
    </row>
    <row r="758" ht="18.75" customHeight="1">
      <c r="A758" s="18" t="str">
        <f t="array" ref="A758">IFERROR(
  INDEX(
    'api-register-id'!A:A,
    MATCH(F758, 'api-register-id'!B:B, 0)
  ),
  "Not found Organization"
)</f>
        <v>SSFF</v>
      </c>
      <c r="B758" s="22" t="str">
        <f>IFERROR(VLOOKUP(F758, 'api-register-id'!B:F, 4, FALSE), "Not found path.")</f>
        <v>mx-api-bc-rec-transaction-engine</v>
      </c>
      <c r="C758" s="78" t="s">
        <v>112</v>
      </c>
      <c r="D758" s="78" t="s">
        <v>1417</v>
      </c>
      <c r="E758" s="24" t="str">
        <f>IFERROR(VLOOKUP(F758, 'api-register-id'!B:F, 5, FALSE), "Not found path.")</f>
        <v>APIMX000151</v>
      </c>
      <c r="F758" s="25" t="s">
        <v>1794</v>
      </c>
      <c r="G758" s="26" t="s">
        <v>5278</v>
      </c>
      <c r="H758" s="22" t="s">
        <v>5279</v>
      </c>
      <c r="I758" s="29" t="str">
        <f>IFERROR(VLOOKUP(F758, 'api-register-id'!B:I, 8, FALSE), "Not found path.")</f>
        <v>1.0.0</v>
      </c>
      <c r="J758" s="3" t="s">
        <v>5280</v>
      </c>
      <c r="K758" s="31" t="s">
        <v>48</v>
      </c>
      <c r="L758" s="78" t="s">
        <v>49</v>
      </c>
      <c r="M758" s="3" t="s">
        <v>5271</v>
      </c>
      <c r="N758" s="3" t="str">
        <f t="shared" si="1"/>
        <v>POST /experience/accountManagement/transactionEngine/v1/settlementTransaction/register</v>
      </c>
      <c r="O758" s="32" t="s">
        <v>5272</v>
      </c>
      <c r="P758" s="32"/>
      <c r="Q758" s="61" t="s">
        <v>98</v>
      </c>
      <c r="R758" s="31" t="s">
        <v>56</v>
      </c>
      <c r="S758" s="38" t="str">
        <f t="shared" si="2"/>
        <v>https://github.com/SF-Bancoppel/mx-api-bc-rec-transaction-engine</v>
      </c>
      <c r="T758" s="40"/>
      <c r="U758" s="40"/>
      <c r="V758" s="40"/>
      <c r="W758" s="40"/>
      <c r="X758" s="40"/>
      <c r="Y758" s="40"/>
      <c r="Z758" s="40"/>
      <c r="AA758" s="40"/>
      <c r="AB758" s="40"/>
    </row>
    <row r="759" ht="18.75" customHeight="1">
      <c r="A759" s="18" t="str">
        <f t="array" ref="A759">IFERROR(
  INDEX(
    'api-register-id'!A:A,
    MATCH(F759, 'api-register-id'!B:B, 0)
  ),
  "Not found Organization"
)</f>
        <v>SSFF</v>
      </c>
      <c r="B759" s="22" t="str">
        <f>IFERROR(VLOOKUP(F759, 'api-register-id'!B:F, 4, FALSE), "Not found path.")</f>
        <v>mx-api-bc-bus-sales-and-service</v>
      </c>
      <c r="C759" s="78" t="s">
        <v>41</v>
      </c>
      <c r="D759" s="78" t="s">
        <v>42</v>
      </c>
      <c r="E759" s="24" t="str">
        <f>IFERROR(VLOOKUP(F759, 'api-register-id'!B:F, 5, FALSE), "Not found path.")</f>
        <v>APIMX000004</v>
      </c>
      <c r="F759" s="25" t="s">
        <v>101</v>
      </c>
      <c r="G759" s="26" t="s">
        <v>5281</v>
      </c>
      <c r="H759" s="22" t="s">
        <v>5282</v>
      </c>
      <c r="I759" s="29" t="str">
        <f>IFERROR(VLOOKUP(F759, 'api-register-id'!B:I, 8, FALSE), "Not found path.")</f>
        <v>1.12.0</v>
      </c>
      <c r="J759" s="3" t="s">
        <v>352</v>
      </c>
      <c r="K759" s="31" t="s">
        <v>48</v>
      </c>
      <c r="L759" s="78" t="s">
        <v>49</v>
      </c>
      <c r="M759" s="3" t="s">
        <v>5283</v>
      </c>
      <c r="N759" s="3" t="str">
        <f t="shared" si="1"/>
        <v>POST /salesAndService/v1/onBoardingDocumentContract/initiate</v>
      </c>
      <c r="O759" s="32" t="s">
        <v>5284</v>
      </c>
      <c r="P759" s="32"/>
      <c r="Q759" s="61" t="s">
        <v>5285</v>
      </c>
      <c r="R759" s="31" t="s">
        <v>56</v>
      </c>
      <c r="S759" s="38" t="str">
        <f t="shared" si="2"/>
        <v>https://github.com/SF-Bancoppel/mx-api-bc-bus-sales-and-service</v>
      </c>
      <c r="T759" s="40"/>
      <c r="U759" s="40"/>
      <c r="V759" s="40"/>
      <c r="W759" s="40"/>
      <c r="X759" s="40"/>
      <c r="Y759" s="40"/>
      <c r="Z759" s="40"/>
      <c r="AA759" s="40"/>
      <c r="AB759" s="40"/>
    </row>
    <row r="760" ht="18.75" customHeight="1">
      <c r="A760" s="18" t="str">
        <f t="array" ref="A760">IFERROR(
  INDEX(
    'api-register-id'!A:A,
    MATCH(F760, 'api-register-id'!B:B, 0)
  ),
  "Not found Organization"
)</f>
        <v>SSFF</v>
      </c>
      <c r="B760" s="22" t="str">
        <f>IFERROR(VLOOKUP(F760, 'api-register-id'!B:F, 4, FALSE), "Not found path.")</f>
        <v>mx-api-bc-bus-sales-and-service</v>
      </c>
      <c r="C760" s="78" t="s">
        <v>41</v>
      </c>
      <c r="D760" s="78" t="s">
        <v>42</v>
      </c>
      <c r="E760" s="24" t="str">
        <f>IFERROR(VLOOKUP(F760, 'api-register-id'!B:F, 5, FALSE), "Not found path.")</f>
        <v>APIMX000004</v>
      </c>
      <c r="F760" s="25" t="s">
        <v>101</v>
      </c>
      <c r="G760" s="26" t="s">
        <v>5286</v>
      </c>
      <c r="H760" s="22" t="s">
        <v>5287</v>
      </c>
      <c r="I760" s="29" t="str">
        <f>IFERROR(VLOOKUP(F760, 'api-register-id'!B:I, 8, FALSE), "Not found path.")</f>
        <v>1.12.0</v>
      </c>
      <c r="J760" s="3" t="s">
        <v>352</v>
      </c>
      <c r="K760" s="31" t="s">
        <v>48</v>
      </c>
      <c r="L760" s="78" t="s">
        <v>49</v>
      </c>
      <c r="M760" s="3" t="s">
        <v>5288</v>
      </c>
      <c r="N760" s="3" t="str">
        <f t="shared" si="1"/>
        <v>POST /salesAndService/v1/onBoardingDocumentTrace/retrieve</v>
      </c>
      <c r="O760" s="32" t="s">
        <v>5289</v>
      </c>
      <c r="P760" s="32"/>
      <c r="Q760" s="36" t="s">
        <v>5290</v>
      </c>
      <c r="R760" s="31" t="s">
        <v>56</v>
      </c>
      <c r="S760" s="38" t="str">
        <f t="shared" si="2"/>
        <v>https://github.com/SF-Bancoppel/mx-api-bc-bus-sales-and-service</v>
      </c>
      <c r="T760" s="40"/>
      <c r="U760" s="40"/>
      <c r="V760" s="40"/>
      <c r="W760" s="40"/>
      <c r="X760" s="40"/>
      <c r="Y760" s="40"/>
      <c r="Z760" s="40"/>
      <c r="AA760" s="40"/>
      <c r="AB760" s="40"/>
    </row>
    <row r="761" ht="18.75" customHeight="1">
      <c r="A761" s="18" t="str">
        <f t="array" ref="A761">IFERROR(
  INDEX(
    'api-register-id'!A:A,
    MATCH(F761, 'api-register-id'!B:B, 0)
  ),
  "Not found Organization"
)</f>
        <v>SSFF</v>
      </c>
      <c r="B761" s="22" t="str">
        <f>IFERROR(VLOOKUP(F761, 'api-register-id'!B:F, 4, FALSE), "Not found path.")</f>
        <v>mx-api-bc-dom-party-lifecycle-management</v>
      </c>
      <c r="C761" s="78" t="s">
        <v>41</v>
      </c>
      <c r="D761" s="78" t="s">
        <v>119</v>
      </c>
      <c r="E761" s="24" t="str">
        <f>IFERROR(VLOOKUP(F761, 'api-register-id'!B:F, 5, FALSE), "Not found path.")</f>
        <v>APIMX000040</v>
      </c>
      <c r="F761" s="25" t="s">
        <v>624</v>
      </c>
      <c r="G761" s="26" t="s">
        <v>5291</v>
      </c>
      <c r="H761" s="22" t="s">
        <v>5292</v>
      </c>
      <c r="I761" s="29" t="str">
        <f>IFERROR(VLOOKUP(F761, 'api-register-id'!B:I, 8, FALSE), "Not found path.")</f>
        <v>2.2.2</v>
      </c>
      <c r="J761" s="3" t="s">
        <v>1315</v>
      </c>
      <c r="K761" s="31" t="s">
        <v>48</v>
      </c>
      <c r="L761" s="78" t="s">
        <v>49</v>
      </c>
      <c r="M761" s="3" t="s">
        <v>5293</v>
      </c>
      <c r="N761" s="3" t="str">
        <f t="shared" si="1"/>
        <v>POST /sales/partyLifecycleManagement/v1/documentation/create</v>
      </c>
      <c r="O761" s="32" t="s">
        <v>5294</v>
      </c>
      <c r="P761" s="32"/>
      <c r="Q761" s="61" t="s">
        <v>5295</v>
      </c>
      <c r="R761" s="31" t="s">
        <v>56</v>
      </c>
      <c r="S761" s="38" t="str">
        <f t="shared" si="2"/>
        <v>https://github.com/SF-Bancoppel/mx-api-bc-dom-party-lifecycle-management</v>
      </c>
      <c r="T761" s="40"/>
      <c r="U761" s="40"/>
      <c r="V761" s="40"/>
      <c r="W761" s="40"/>
      <c r="X761" s="40"/>
      <c r="Y761" s="40"/>
      <c r="Z761" s="40"/>
      <c r="AA761" s="40"/>
      <c r="AB761" s="40"/>
    </row>
    <row r="762" ht="18.75" customHeight="1">
      <c r="A762" s="18" t="str">
        <f t="array" ref="A762">IFERROR(
  INDEX(
    'api-register-id'!A:A,
    MATCH(F762, 'api-register-id'!B:B, 0)
  ),
  "Not found Organization"
)</f>
        <v>SSFF</v>
      </c>
      <c r="B762" s="22" t="str">
        <f>IFERROR(VLOOKUP(F762, 'api-register-id'!B:F, 4, FALSE), "Not found path.")</f>
        <v>mx-api-bc-dom-party-lifecycle-management</v>
      </c>
      <c r="C762" s="78" t="s">
        <v>41</v>
      </c>
      <c r="D762" s="78" t="s">
        <v>119</v>
      </c>
      <c r="E762" s="24" t="str">
        <f>IFERROR(VLOOKUP(F762, 'api-register-id'!B:F, 5, FALSE), "Not found path.")</f>
        <v>APIMX000040</v>
      </c>
      <c r="F762" s="25" t="s">
        <v>624</v>
      </c>
      <c r="G762" s="26" t="s">
        <v>5296</v>
      </c>
      <c r="H762" s="22" t="s">
        <v>5297</v>
      </c>
      <c r="I762" s="29" t="str">
        <f>IFERROR(VLOOKUP(F762, 'api-register-id'!B:I, 8, FALSE), "Not found path.")</f>
        <v>2.2.2</v>
      </c>
      <c r="J762" s="3" t="s">
        <v>1315</v>
      </c>
      <c r="K762" s="31" t="s">
        <v>48</v>
      </c>
      <c r="L762" s="78" t="s">
        <v>49</v>
      </c>
      <c r="M762" s="3" t="s">
        <v>5124</v>
      </c>
      <c r="N762" s="3" t="str">
        <f t="shared" si="1"/>
        <v>POST /sales/partyLifecycleManagement/v1/documentTrace/create</v>
      </c>
      <c r="O762" s="32" t="s">
        <v>5125</v>
      </c>
      <c r="P762" s="32"/>
      <c r="Q762" s="61" t="s">
        <v>98</v>
      </c>
      <c r="R762" s="31" t="s">
        <v>56</v>
      </c>
      <c r="S762" s="38" t="str">
        <f t="shared" si="2"/>
        <v>https://github.com/SF-Bancoppel/mx-api-bc-dom-party-lifecycle-management</v>
      </c>
      <c r="T762" s="40"/>
      <c r="U762" s="40"/>
      <c r="V762" s="40"/>
      <c r="W762" s="40"/>
      <c r="X762" s="40"/>
      <c r="Y762" s="40"/>
      <c r="Z762" s="40"/>
      <c r="AA762" s="40"/>
      <c r="AB762" s="40"/>
    </row>
    <row r="763" ht="18.75" customHeight="1">
      <c r="A763" s="18" t="str">
        <f t="array" ref="A763">IFERROR(
  INDEX(
    'api-register-id'!A:A,
    MATCH(F763, 'api-register-id'!B:B, 0)
  ),
  "Not found Organization"
)</f>
        <v>SSFF</v>
      </c>
      <c r="B763" s="22" t="str">
        <f>IFERROR(VLOOKUP(F763, 'api-register-id'!B:F, 4, FALSE), "Not found path.")</f>
        <v>mx-api-bc-dom-party-lifecycle-management</v>
      </c>
      <c r="C763" s="78" t="s">
        <v>41</v>
      </c>
      <c r="D763" s="78" t="s">
        <v>119</v>
      </c>
      <c r="E763" s="24" t="str">
        <f>IFERROR(VLOOKUP(F763, 'api-register-id'!B:F, 5, FALSE), "Not found path.")</f>
        <v>APIMX000040</v>
      </c>
      <c r="F763" s="25" t="s">
        <v>624</v>
      </c>
      <c r="G763" s="26" t="s">
        <v>5298</v>
      </c>
      <c r="H763" s="22" t="s">
        <v>5299</v>
      </c>
      <c r="I763" s="29" t="str">
        <f>IFERROR(VLOOKUP(F763, 'api-register-id'!B:I, 8, FALSE), "Not found path.")</f>
        <v>2.2.2</v>
      </c>
      <c r="J763" s="3" t="s">
        <v>1315</v>
      </c>
      <c r="K763" s="31" t="s">
        <v>48</v>
      </c>
      <c r="L763" s="78" t="s">
        <v>61</v>
      </c>
      <c r="M763" s="3" t="s">
        <v>5300</v>
      </c>
      <c r="N763" s="3" t="str">
        <f t="shared" si="1"/>
        <v>PUT /sales/partyLifecycleManagement/v1/documentation/exchange</v>
      </c>
      <c r="O763" s="32" t="s">
        <v>5301</v>
      </c>
      <c r="P763" s="32"/>
      <c r="Q763" s="61" t="s">
        <v>98</v>
      </c>
      <c r="R763" s="31" t="s">
        <v>56</v>
      </c>
      <c r="S763" s="38" t="str">
        <f t="shared" si="2"/>
        <v>https://github.com/SF-Bancoppel/mx-api-bc-dom-party-lifecycle-management</v>
      </c>
      <c r="T763" s="40"/>
      <c r="U763" s="40"/>
      <c r="V763" s="40"/>
      <c r="W763" s="40"/>
      <c r="X763" s="40"/>
      <c r="Y763" s="40"/>
      <c r="Z763" s="40"/>
      <c r="AA763" s="40"/>
      <c r="AB763" s="40"/>
    </row>
    <row r="764" ht="18.75" customHeight="1">
      <c r="A764" s="18" t="str">
        <f t="array" ref="A764">IFERROR(
  INDEX(
    'api-register-id'!A:A,
    MATCH(F764, 'api-register-id'!B:B, 0)
  ),
  "Not found Organization"
)</f>
        <v>SSFF</v>
      </c>
      <c r="B764" s="22" t="str">
        <f>IFERROR(VLOOKUP(F764, 'api-register-id'!B:F, 4, FALSE), "Not found path.")</f>
        <v>mx-api-bc-pro-party-lifecycle-management</v>
      </c>
      <c r="C764" s="78" t="s">
        <v>41</v>
      </c>
      <c r="D764" s="78" t="s">
        <v>811</v>
      </c>
      <c r="E764" s="24" t="str">
        <f>IFERROR(VLOOKUP(F764, 'api-register-id'!B:F, 5, FALSE), "Not found path.")</f>
        <v>APIMX000096</v>
      </c>
      <c r="F764" s="25" t="s">
        <v>1214</v>
      </c>
      <c r="G764" s="26" t="s">
        <v>5302</v>
      </c>
      <c r="H764" s="22" t="s">
        <v>5303</v>
      </c>
      <c r="I764" s="29" t="str">
        <f>IFERROR(VLOOKUP(F764, 'api-register-id'!B:I, 8, FALSE), "Not found path.")</f>
        <v>2.3.2</v>
      </c>
      <c r="J764" s="3" t="s">
        <v>3197</v>
      </c>
      <c r="K764" s="31" t="s">
        <v>48</v>
      </c>
      <c r="L764" s="78" t="s">
        <v>49</v>
      </c>
      <c r="M764" s="3" t="s">
        <v>5293</v>
      </c>
      <c r="N764" s="3" t="str">
        <f t="shared" si="1"/>
        <v>POST /system/sales/partyLifecycleManagement/v1/documentation/create</v>
      </c>
      <c r="O764" s="32" t="s">
        <v>5294</v>
      </c>
      <c r="P764" s="32"/>
      <c r="Q764" s="61" t="s">
        <v>5304</v>
      </c>
      <c r="R764" s="31" t="s">
        <v>56</v>
      </c>
      <c r="S764" s="38" t="str">
        <f t="shared" si="2"/>
        <v>https://github.com/SF-Bancoppel/mx-api-bc-pro-party-lifecycle-management</v>
      </c>
      <c r="T764" s="40"/>
      <c r="U764" s="40"/>
      <c r="V764" s="40"/>
      <c r="W764" s="40"/>
      <c r="X764" s="40"/>
      <c r="Y764" s="40"/>
      <c r="Z764" s="40"/>
      <c r="AA764" s="40"/>
      <c r="AB764" s="40"/>
    </row>
    <row r="765" ht="18.75" customHeight="1">
      <c r="A765" s="18" t="str">
        <f t="array" ref="A765">IFERROR(
  INDEX(
    'api-register-id'!A:A,
    MATCH(F765, 'api-register-id'!B:B, 0)
  ),
  "Not found Organization"
)</f>
        <v>SSFF</v>
      </c>
      <c r="B765" s="22" t="str">
        <f>IFERROR(VLOOKUP(F765, 'api-register-id'!B:F, 4, FALSE), "Not found path.")</f>
        <v>mx-api-bc-pro-party-lifecycle-management</v>
      </c>
      <c r="C765" s="78" t="s">
        <v>41</v>
      </c>
      <c r="D765" s="78" t="s">
        <v>811</v>
      </c>
      <c r="E765" s="24" t="str">
        <f>IFERROR(VLOOKUP(F765, 'api-register-id'!B:F, 5, FALSE), "Not found path.")</f>
        <v>APIMX000096</v>
      </c>
      <c r="F765" s="25" t="s">
        <v>1214</v>
      </c>
      <c r="G765" s="26" t="s">
        <v>5305</v>
      </c>
      <c r="H765" s="22" t="s">
        <v>5306</v>
      </c>
      <c r="I765" s="29" t="str">
        <f>IFERROR(VLOOKUP(F765, 'api-register-id'!B:I, 8, FALSE), "Not found path.")</f>
        <v>2.3.2</v>
      </c>
      <c r="J765" s="3" t="s">
        <v>3197</v>
      </c>
      <c r="K765" s="31" t="s">
        <v>48</v>
      </c>
      <c r="L765" s="78" t="s">
        <v>61</v>
      </c>
      <c r="M765" s="3" t="s">
        <v>5300</v>
      </c>
      <c r="N765" s="3" t="str">
        <f t="shared" si="1"/>
        <v>PUT /system/sales/partyLifecycleManagement/v1/documentation/exchange</v>
      </c>
      <c r="O765" s="32" t="s">
        <v>5307</v>
      </c>
      <c r="P765" s="32"/>
      <c r="Q765" s="61" t="s">
        <v>5308</v>
      </c>
      <c r="R765" s="31" t="s">
        <v>56</v>
      </c>
      <c r="S765" s="38" t="str">
        <f t="shared" si="2"/>
        <v>https://github.com/SF-Bancoppel/mx-api-bc-pro-party-lifecycle-management</v>
      </c>
      <c r="T765" s="40"/>
      <c r="U765" s="40"/>
      <c r="V765" s="40"/>
      <c r="W765" s="40"/>
      <c r="X765" s="40"/>
      <c r="Y765" s="40"/>
      <c r="Z765" s="40"/>
      <c r="AA765" s="40"/>
      <c r="AB765" s="40"/>
    </row>
    <row r="766" ht="18.75" customHeight="1">
      <c r="A766" s="18" t="str">
        <f t="array" ref="A766">IFERROR(
  INDEX(
    'api-register-id'!A:A,
    MATCH(F766, 'api-register-id'!B:B, 0)
  ),
  "Not found Organization"
)</f>
        <v>SSFF</v>
      </c>
      <c r="B766" s="22" t="str">
        <f>IFERROR(VLOOKUP(F766, 'api-register-id'!B:F, 4, FALSE), "Not found path.")</f>
        <v>mx-api-bc-rec-sales-and-service</v>
      </c>
      <c r="C766" s="78" t="s">
        <v>112</v>
      </c>
      <c r="D766" s="78" t="s">
        <v>1417</v>
      </c>
      <c r="E766" s="24" t="str">
        <f>IFERROR(VLOOKUP(F766, 'api-register-id'!B:F, 5, FALSE), "Not found path.")</f>
        <v>APIMX000148</v>
      </c>
      <c r="F766" s="25" t="s">
        <v>1764</v>
      </c>
      <c r="G766" s="26" t="s">
        <v>5309</v>
      </c>
      <c r="H766" s="22" t="s">
        <v>5310</v>
      </c>
      <c r="I766" s="29" t="str">
        <f>IFERROR(VLOOKUP(F766, 'api-register-id'!B:I, 8, FALSE), "Not found path.")</f>
        <v>1.13.0</v>
      </c>
      <c r="J766" s="3" t="s">
        <v>4891</v>
      </c>
      <c r="K766" s="31" t="s">
        <v>48</v>
      </c>
      <c r="L766" s="78" t="s">
        <v>49</v>
      </c>
      <c r="M766" s="3" t="s">
        <v>5283</v>
      </c>
      <c r="N766" s="3" t="str">
        <f t="shared" si="1"/>
        <v>POST /experience/salesAndService/v1/onBoardingDocumentContract/initiate</v>
      </c>
      <c r="O766" s="32" t="s">
        <v>5311</v>
      </c>
      <c r="P766" s="32"/>
      <c r="Q766" s="61" t="s">
        <v>5312</v>
      </c>
      <c r="R766" s="31" t="s">
        <v>56</v>
      </c>
      <c r="S766" s="38" t="str">
        <f t="shared" si="2"/>
        <v>https://github.com/SF-Bancoppel/mx-api-bc-rec-sales-and-service</v>
      </c>
      <c r="T766" s="40"/>
      <c r="U766" s="40"/>
      <c r="V766" s="40"/>
      <c r="W766" s="40"/>
      <c r="X766" s="40"/>
      <c r="Y766" s="40"/>
      <c r="Z766" s="40"/>
      <c r="AA766" s="40"/>
      <c r="AB766" s="40"/>
    </row>
    <row r="767" ht="18.75" customHeight="1">
      <c r="A767" s="18" t="str">
        <f t="array" ref="A767">IFERROR(
  INDEX(
    'api-register-id'!A:A,
    MATCH(F767, 'api-register-id'!B:B, 0)
  ),
  "Not found Organization"
)</f>
        <v>SSFF</v>
      </c>
      <c r="B767" s="22" t="str">
        <f>IFERROR(VLOOKUP(F767, 'api-register-id'!B:F, 4, FALSE), "Not found path.")</f>
        <v>mx-api-bc-bus-reference-data</v>
      </c>
      <c r="C767" s="78" t="s">
        <v>41</v>
      </c>
      <c r="D767" s="78" t="s">
        <v>42</v>
      </c>
      <c r="E767" s="24" t="str">
        <f>IFERROR(VLOOKUP(F767, 'api-register-id'!B:F, 5, FALSE), "Not found path.")</f>
        <v>APIMX000003</v>
      </c>
      <c r="F767" s="25" t="s">
        <v>86</v>
      </c>
      <c r="G767" s="26" t="s">
        <v>5313</v>
      </c>
      <c r="H767" s="22" t="s">
        <v>5314</v>
      </c>
      <c r="I767" s="29" t="str">
        <f>IFERROR(VLOOKUP(F767, 'api-register-id'!B:I, 8, FALSE), "Not found path.")</f>
        <v>1.7.0</v>
      </c>
      <c r="J767" s="3" t="s">
        <v>274</v>
      </c>
      <c r="K767" s="31" t="s">
        <v>48</v>
      </c>
      <c r="L767" s="78" t="s">
        <v>49</v>
      </c>
      <c r="M767" s="3" t="s">
        <v>5315</v>
      </c>
      <c r="N767" s="3" t="str">
        <f t="shared" si="1"/>
        <v>POST /referenceData/v1/customerLocationReference/register</v>
      </c>
      <c r="O767" s="32" t="s">
        <v>5316</v>
      </c>
      <c r="P767" s="32"/>
      <c r="Q767" s="61" t="s">
        <v>5317</v>
      </c>
      <c r="R767" s="31" t="s">
        <v>56</v>
      </c>
      <c r="S767" s="38" t="str">
        <f t="shared" si="2"/>
        <v>https://github.com/SF-Bancoppel/mx-api-bc-bus-reference-data</v>
      </c>
      <c r="T767" s="40"/>
      <c r="U767" s="40"/>
      <c r="V767" s="40"/>
      <c r="W767" s="40"/>
      <c r="X767" s="40"/>
      <c r="Y767" s="40"/>
      <c r="Z767" s="40"/>
      <c r="AA767" s="40"/>
      <c r="AB767" s="40"/>
    </row>
    <row r="768" ht="18.75" customHeight="1">
      <c r="A768" s="18" t="str">
        <f t="array" ref="A768">IFERROR(
  INDEX(
    'api-register-id'!A:A,
    MATCH(F768, 'api-register-id'!B:B, 0)
  ),
  "Not found Organization"
)</f>
        <v>SSFF</v>
      </c>
      <c r="B768" s="22" t="str">
        <f>IFERROR(VLOOKUP(F768, 'api-register-id'!B:F, 4, FALSE), "Not found path.")</f>
        <v>mx-api-bc-dom-counterparty-risk</v>
      </c>
      <c r="C768" s="78" t="s">
        <v>41</v>
      </c>
      <c r="D768" s="78" t="s">
        <v>119</v>
      </c>
      <c r="E768" s="24" t="str">
        <f>IFERROR(VLOOKUP(F768, 'api-register-id'!B:F, 5, FALSE), "Not found path.")</f>
        <v>APIMX000011</v>
      </c>
      <c r="F768" s="25" t="s">
        <v>202</v>
      </c>
      <c r="G768" s="26" t="s">
        <v>5318</v>
      </c>
      <c r="H768" s="22" t="s">
        <v>5319</v>
      </c>
      <c r="I768" s="29" t="str">
        <f>IFERROR(VLOOKUP(F768, 'api-register-id'!B:I, 8, FALSE), "Not found path.")</f>
        <v>1.2.0</v>
      </c>
      <c r="J768" s="3" t="s">
        <v>531</v>
      </c>
      <c r="K768" s="31" t="s">
        <v>48</v>
      </c>
      <c r="L768" s="78" t="s">
        <v>428</v>
      </c>
      <c r="M768" s="3" t="s">
        <v>5320</v>
      </c>
      <c r="N768" s="3" t="str">
        <f t="shared" si="1"/>
        <v>PATCH /accountManagement/counterpartyRisk/v1/customerCreditRating/execute</v>
      </c>
      <c r="O768" s="32" t="s">
        <v>5321</v>
      </c>
      <c r="P768" s="32"/>
      <c r="Q768" s="61" t="s">
        <v>5322</v>
      </c>
      <c r="R768" s="31" t="s">
        <v>56</v>
      </c>
      <c r="S768" s="38" t="str">
        <f t="shared" si="2"/>
        <v>https://github.com/SF-Bancoppel/mx-api-bc-dom-counterparty-risk</v>
      </c>
      <c r="T768" s="40"/>
      <c r="U768" s="40"/>
      <c r="V768" s="40"/>
      <c r="W768" s="40"/>
      <c r="X768" s="40"/>
      <c r="Y768" s="40"/>
      <c r="Z768" s="40"/>
      <c r="AA768" s="40"/>
      <c r="AB768" s="40"/>
    </row>
    <row r="769" ht="18.75" customHeight="1">
      <c r="A769" s="18" t="str">
        <f t="array" ref="A769">IFERROR(
  INDEX(
    'api-register-id'!A:A,
    MATCH(F769, 'api-register-id'!B:B, 0)
  ),
  "Not found Organization"
)</f>
        <v>SSFF</v>
      </c>
      <c r="B769" s="22" t="str">
        <f>IFERROR(VLOOKUP(F769, 'api-register-id'!B:F, 4, FALSE), "Not found path.")</f>
        <v>mx-api-bc-dom-customer-credit-rating</v>
      </c>
      <c r="C769" s="78" t="s">
        <v>41</v>
      </c>
      <c r="D769" s="78" t="s">
        <v>119</v>
      </c>
      <c r="E769" s="24" t="str">
        <f>IFERROR(VLOOKUP(F769, 'api-register-id'!B:F, 5, FALSE), "Not found path.")</f>
        <v>APIMX000019</v>
      </c>
      <c r="F769" s="25" t="s">
        <v>325</v>
      </c>
      <c r="G769" s="26" t="s">
        <v>5323</v>
      </c>
      <c r="H769" s="22" t="s">
        <v>5324</v>
      </c>
      <c r="I769" s="29" t="str">
        <f>IFERROR(VLOOKUP(F769, 'api-register-id'!B:I, 8, FALSE), "Not found path.")</f>
        <v>1.5.1</v>
      </c>
      <c r="J769" s="3" t="s">
        <v>5325</v>
      </c>
      <c r="K769" s="31" t="s">
        <v>48</v>
      </c>
      <c r="L769" s="78" t="s">
        <v>49</v>
      </c>
      <c r="M769" s="3" t="s">
        <v>5326</v>
      </c>
      <c r="N769" s="3" t="str">
        <f t="shared" si="1"/>
        <v>POST /customerManagement/customerCreditRating/v1/customerCreditRatingState/initiate</v>
      </c>
      <c r="O769" s="32" t="s">
        <v>5327</v>
      </c>
      <c r="P769" s="32"/>
      <c r="Q769" s="61" t="s">
        <v>5328</v>
      </c>
      <c r="R769" s="31" t="s">
        <v>56</v>
      </c>
      <c r="S769" s="38" t="str">
        <f t="shared" si="2"/>
        <v>https://github.com/SF-Bancoppel/mx-api-bc-dom-customer-credit-rating</v>
      </c>
      <c r="T769" s="40"/>
      <c r="U769" s="40"/>
      <c r="V769" s="40"/>
      <c r="W769" s="40"/>
      <c r="X769" s="40"/>
      <c r="Y769" s="40"/>
      <c r="Z769" s="40"/>
      <c r="AA769" s="40"/>
      <c r="AB769" s="40"/>
    </row>
    <row r="770" ht="18.75" customHeight="1">
      <c r="A770" s="18" t="str">
        <f t="array" ref="A770">IFERROR(
  INDEX(
    'api-register-id'!A:A,
    MATCH(F770, 'api-register-id'!B:B, 0)
  ),
  "Not found Organization"
)</f>
        <v>SSFF</v>
      </c>
      <c r="B770" s="22" t="str">
        <f>IFERROR(VLOOKUP(F770, 'api-register-id'!B:F, 4, FALSE), "Not found path.")</f>
        <v>mx-api-bc-dom-location-data-management</v>
      </c>
      <c r="C770" s="78" t="s">
        <v>41</v>
      </c>
      <c r="D770" s="78" t="s">
        <v>119</v>
      </c>
      <c r="E770" s="24" t="str">
        <f>IFERROR(VLOOKUP(F770, 'api-register-id'!B:F, 5, FALSE), "Not found path.")</f>
        <v>APIMX000038</v>
      </c>
      <c r="F770" s="25" t="s">
        <v>603</v>
      </c>
      <c r="G770" s="26" t="s">
        <v>5329</v>
      </c>
      <c r="H770" s="22" t="s">
        <v>5330</v>
      </c>
      <c r="I770" s="29" t="str">
        <f>IFERROR(VLOOKUP(F770, 'api-register-id'!B:I, 8, FALSE), "Not found path.")</f>
        <v>1.2.1</v>
      </c>
      <c r="J770" s="3" t="s">
        <v>1261</v>
      </c>
      <c r="K770" s="31" t="s">
        <v>48</v>
      </c>
      <c r="L770" s="78" t="s">
        <v>49</v>
      </c>
      <c r="M770" s="3" t="s">
        <v>5331</v>
      </c>
      <c r="N770" s="3" t="str">
        <f t="shared" si="1"/>
        <v>POST /marketData/locationDataManagement/v1/state/retrieve</v>
      </c>
      <c r="O770" s="32" t="s">
        <v>5332</v>
      </c>
      <c r="P770" s="32"/>
      <c r="Q770" s="61" t="s">
        <v>5333</v>
      </c>
      <c r="R770" s="31" t="s">
        <v>56</v>
      </c>
      <c r="S770" s="38" t="str">
        <f t="shared" si="2"/>
        <v>https://github.com/SF-Bancoppel/mx-api-bc-dom-location-data-management</v>
      </c>
      <c r="T770" s="40"/>
      <c r="U770" s="40"/>
      <c r="V770" s="40"/>
      <c r="W770" s="40"/>
      <c r="X770" s="40"/>
      <c r="Y770" s="40"/>
      <c r="Z770" s="40"/>
      <c r="AA770" s="40"/>
      <c r="AB770" s="40"/>
    </row>
    <row r="771" ht="18.75" customHeight="1">
      <c r="A771" s="18" t="str">
        <f t="array" ref="A771">IFERROR(
  INDEX(
    'api-register-id'!A:A,
    MATCH(F771, 'api-register-id'!B:B, 0)
  ),
  "Not found Organization"
)</f>
        <v>SSFF</v>
      </c>
      <c r="B771" s="22" t="str">
        <f>IFERROR(VLOOKUP(F771, 'api-register-id'!B:F, 4, FALSE), "Not found path.")</f>
        <v>mx-api-bc-dom-location-data-management</v>
      </c>
      <c r="C771" s="78" t="s">
        <v>41</v>
      </c>
      <c r="D771" s="78" t="s">
        <v>119</v>
      </c>
      <c r="E771" s="24" t="str">
        <f>IFERROR(VLOOKUP(F771, 'api-register-id'!B:F, 5, FALSE), "Not found path.")</f>
        <v>APIMX000038</v>
      </c>
      <c r="F771" s="25" t="s">
        <v>603</v>
      </c>
      <c r="G771" s="26" t="s">
        <v>5334</v>
      </c>
      <c r="H771" s="22" t="s">
        <v>5335</v>
      </c>
      <c r="I771" s="29" t="str">
        <f>IFERROR(VLOOKUP(F771, 'api-register-id'!B:I, 8, FALSE), "Not found path.")</f>
        <v>1.2.1</v>
      </c>
      <c r="J771" s="3" t="s">
        <v>1261</v>
      </c>
      <c r="K771" s="31" t="s">
        <v>48</v>
      </c>
      <c r="L771" s="78" t="s">
        <v>49</v>
      </c>
      <c r="M771" s="3" t="s">
        <v>5336</v>
      </c>
      <c r="N771" s="3" t="str">
        <f t="shared" si="1"/>
        <v>POST /marketData/locationDataManagement/v1/city/retrieve</v>
      </c>
      <c r="O771" s="32" t="s">
        <v>5337</v>
      </c>
      <c r="P771" s="32"/>
      <c r="Q771" s="61" t="s">
        <v>5338</v>
      </c>
      <c r="R771" s="31" t="s">
        <v>56</v>
      </c>
      <c r="S771" s="38" t="str">
        <f t="shared" si="2"/>
        <v>https://github.com/SF-Bancoppel/mx-api-bc-dom-location-data-management</v>
      </c>
      <c r="T771" s="40"/>
      <c r="U771" s="40"/>
      <c r="V771" s="40"/>
      <c r="W771" s="40"/>
      <c r="X771" s="40"/>
      <c r="Y771" s="40"/>
      <c r="Z771" s="40"/>
      <c r="AA771" s="40"/>
      <c r="AB771" s="40"/>
    </row>
    <row r="772" ht="18.75" customHeight="1">
      <c r="A772" s="18" t="str">
        <f t="array" ref="A772">IFERROR(
  INDEX(
    'api-register-id'!A:A,
    MATCH(F772, 'api-register-id'!B:B, 0)
  ),
  "Not found Organization"
)</f>
        <v>SSFF</v>
      </c>
      <c r="B772" s="22" t="str">
        <f>IFERROR(VLOOKUP(F772, 'api-register-id'!B:F, 4, FALSE), "Not found path.")</f>
        <v>mx-api-bc-dom-location-data-management</v>
      </c>
      <c r="C772" s="78" t="s">
        <v>41</v>
      </c>
      <c r="D772" s="78" t="s">
        <v>119</v>
      </c>
      <c r="E772" s="24" t="str">
        <f>IFERROR(VLOOKUP(F772, 'api-register-id'!B:F, 5, FALSE), "Not found path.")</f>
        <v>APIMX000038</v>
      </c>
      <c r="F772" s="25" t="s">
        <v>603</v>
      </c>
      <c r="G772" s="26" t="s">
        <v>5339</v>
      </c>
      <c r="H772" s="22" t="s">
        <v>5340</v>
      </c>
      <c r="I772" s="29" t="str">
        <f>IFERROR(VLOOKUP(F772, 'api-register-id'!B:I, 8, FALSE), "Not found path.")</f>
        <v>1.2.1</v>
      </c>
      <c r="J772" s="3" t="s">
        <v>1261</v>
      </c>
      <c r="K772" s="31" t="s">
        <v>48</v>
      </c>
      <c r="L772" s="78" t="s">
        <v>49</v>
      </c>
      <c r="M772" s="3" t="s">
        <v>5341</v>
      </c>
      <c r="N772" s="3" t="str">
        <f t="shared" si="1"/>
        <v>POST /marketData/locationDataManagement/v1/country/retrieve</v>
      </c>
      <c r="O772" s="32" t="s">
        <v>5332</v>
      </c>
      <c r="P772" s="32"/>
      <c r="Q772" s="61" t="s">
        <v>5342</v>
      </c>
      <c r="R772" s="31" t="s">
        <v>56</v>
      </c>
      <c r="S772" s="38" t="str">
        <f t="shared" si="2"/>
        <v>https://github.com/SF-Bancoppel/mx-api-bc-dom-location-data-management</v>
      </c>
      <c r="T772" s="40"/>
      <c r="U772" s="40"/>
      <c r="V772" s="40"/>
      <c r="W772" s="40"/>
      <c r="X772" s="40"/>
      <c r="Y772" s="40"/>
      <c r="Z772" s="40"/>
      <c r="AA772" s="40"/>
      <c r="AB772" s="40"/>
    </row>
    <row r="773" ht="18.75" customHeight="1">
      <c r="A773" s="18" t="str">
        <f t="array" ref="A773">IFERROR(
  INDEX(
    'api-register-id'!A:A,
    MATCH(F773, 'api-register-id'!B:B, 0)
  ),
  "Not found Organization"
)</f>
        <v>SSFF</v>
      </c>
      <c r="B773" s="22" t="str">
        <f>IFERROR(VLOOKUP(F773, 'api-register-id'!B:F, 4, FALSE), "Not found path.")</f>
        <v>mx-api-bc-dom-location-data-management</v>
      </c>
      <c r="C773" s="78" t="s">
        <v>41</v>
      </c>
      <c r="D773" s="78" t="s">
        <v>119</v>
      </c>
      <c r="E773" s="24" t="str">
        <f>IFERROR(VLOOKUP(F773, 'api-register-id'!B:F, 5, FALSE), "Not found path.")</f>
        <v>APIMX000038</v>
      </c>
      <c r="F773" s="25" t="s">
        <v>603</v>
      </c>
      <c r="G773" s="26" t="s">
        <v>5343</v>
      </c>
      <c r="H773" s="22" t="s">
        <v>1460</v>
      </c>
      <c r="I773" s="29" t="str">
        <f>IFERROR(VLOOKUP(F773, 'api-register-id'!B:I, 8, FALSE), "Not found path.")</f>
        <v>1.2.1</v>
      </c>
      <c r="J773" s="3" t="s">
        <v>1261</v>
      </c>
      <c r="K773" s="31" t="s">
        <v>48</v>
      </c>
      <c r="L773" s="78" t="s">
        <v>428</v>
      </c>
      <c r="M773" s="3" t="s">
        <v>5344</v>
      </c>
      <c r="N773" s="3" t="str">
        <f t="shared" si="1"/>
        <v>PATCH /marketData/locationDataManagement/v1/location/update</v>
      </c>
      <c r="O773" s="32" t="s">
        <v>5345</v>
      </c>
      <c r="P773" s="32"/>
      <c r="Q773" s="61" t="s">
        <v>5346</v>
      </c>
      <c r="R773" s="31" t="s">
        <v>56</v>
      </c>
      <c r="S773" s="38" t="str">
        <f t="shared" si="2"/>
        <v>https://github.com/SF-Bancoppel/mx-api-bc-dom-location-data-management</v>
      </c>
      <c r="T773" s="40"/>
      <c r="U773" s="40"/>
      <c r="V773" s="40"/>
      <c r="W773" s="40"/>
      <c r="X773" s="40"/>
      <c r="Y773" s="40"/>
      <c r="Z773" s="40"/>
      <c r="AA773" s="40"/>
      <c r="AB773" s="40"/>
    </row>
    <row r="774" ht="18.75" customHeight="1">
      <c r="A774" s="18" t="str">
        <f t="array" ref="A774">IFERROR(
  INDEX(
    'api-register-id'!A:A,
    MATCH(F774, 'api-register-id'!B:B, 0)
  ),
  "Not found Organization"
)</f>
        <v>SSFF</v>
      </c>
      <c r="B774" s="22" t="str">
        <f>IFERROR(VLOOKUP(F774, 'api-register-id'!B:F, 4, FALSE), "Not found path.")</f>
        <v>mx-api-bc-dom-party-lifecycle-management</v>
      </c>
      <c r="C774" s="78" t="s">
        <v>41</v>
      </c>
      <c r="D774" s="78" t="s">
        <v>119</v>
      </c>
      <c r="E774" s="24" t="str">
        <f>IFERROR(VLOOKUP(F774, 'api-register-id'!B:F, 5, FALSE), "Not found path.")</f>
        <v>APIMX000040</v>
      </c>
      <c r="F774" s="25" t="s">
        <v>624</v>
      </c>
      <c r="G774" s="26" t="s">
        <v>5347</v>
      </c>
      <c r="H774" s="22" t="s">
        <v>5348</v>
      </c>
      <c r="I774" s="29" t="str">
        <f>IFERROR(VLOOKUP(F774, 'api-register-id'!B:I, 8, FALSE), "Not found path.")</f>
        <v>2.2.2</v>
      </c>
      <c r="J774" s="3" t="s">
        <v>1315</v>
      </c>
      <c r="K774" s="31" t="s">
        <v>48</v>
      </c>
      <c r="L774" s="78" t="s">
        <v>49</v>
      </c>
      <c r="M774" s="3" t="s">
        <v>5349</v>
      </c>
      <c r="N774" s="3" t="str">
        <f t="shared" si="1"/>
        <v>POST /sales/partyLifecycleManagement/v1/incomeProfile/retrieve</v>
      </c>
      <c r="O774" s="32" t="s">
        <v>5350</v>
      </c>
      <c r="P774" s="32"/>
      <c r="Q774" s="61" t="s">
        <v>5351</v>
      </c>
      <c r="R774" s="31" t="s">
        <v>56</v>
      </c>
      <c r="S774" s="38" t="str">
        <f t="shared" si="2"/>
        <v>https://github.com/SF-Bancoppel/mx-api-bc-dom-party-lifecycle-management</v>
      </c>
      <c r="T774" s="40"/>
      <c r="U774" s="40"/>
      <c r="V774" s="40"/>
      <c r="W774" s="40"/>
      <c r="X774" s="40"/>
      <c r="Y774" s="40"/>
      <c r="Z774" s="40"/>
      <c r="AA774" s="40"/>
      <c r="AB774" s="40"/>
    </row>
    <row r="775" ht="18.75" customHeight="1">
      <c r="A775" s="18" t="str">
        <f t="array" ref="A775">IFERROR(
  INDEX(
    'api-register-id'!A:A,
    MATCH(F775, 'api-register-id'!B:B, 0)
  ),
  "Not found Organization"
)</f>
        <v>SSFF</v>
      </c>
      <c r="B775" s="22" t="str">
        <f>IFERROR(VLOOKUP(F775, 'api-register-id'!B:F, 4, FALSE), "Not found path.")</f>
        <v>mx-api-bc-dom-party-reference-data-directory</v>
      </c>
      <c r="C775" s="78" t="s">
        <v>41</v>
      </c>
      <c r="D775" s="78" t="s">
        <v>119</v>
      </c>
      <c r="E775" s="24" t="str">
        <f>IFERROR(VLOOKUP(F775, 'api-register-id'!B:F, 5, FALSE), "Not found path.")</f>
        <v>APIMX000041</v>
      </c>
      <c r="F775" s="25" t="s">
        <v>637</v>
      </c>
      <c r="G775" s="26" t="s">
        <v>5352</v>
      </c>
      <c r="H775" s="22" t="s">
        <v>5353</v>
      </c>
      <c r="I775" s="29" t="str">
        <f>IFERROR(VLOOKUP(F775, 'api-register-id'!B:I, 8, FALSE), "Not found path.")</f>
        <v>1.7.2</v>
      </c>
      <c r="J775" s="3" t="s">
        <v>1504</v>
      </c>
      <c r="K775" s="31" t="s">
        <v>48</v>
      </c>
      <c r="L775" s="78" t="s">
        <v>49</v>
      </c>
      <c r="M775" s="3" t="s">
        <v>5354</v>
      </c>
      <c r="N775" s="3" t="str">
        <f t="shared" si="1"/>
        <v>POST /customerManagement/partyReferenceDataDirectory/v1/networkType/retrieve</v>
      </c>
      <c r="O775" s="32" t="s">
        <v>5355</v>
      </c>
      <c r="P775" s="32"/>
      <c r="Q775" s="61" t="s">
        <v>5356</v>
      </c>
      <c r="R775" s="31" t="s">
        <v>56</v>
      </c>
      <c r="S775" s="38" t="str">
        <f t="shared" si="2"/>
        <v>https://github.com/SF-Bancoppel/mx-api-bc-dom-party-reference-data-directory</v>
      </c>
      <c r="T775" s="40"/>
      <c r="U775" s="40"/>
      <c r="V775" s="40"/>
      <c r="W775" s="40"/>
      <c r="X775" s="40"/>
      <c r="Y775" s="40"/>
      <c r="Z775" s="40"/>
      <c r="AA775" s="40"/>
      <c r="AB775" s="40"/>
    </row>
    <row r="776" ht="18.75" customHeight="1">
      <c r="A776" s="18" t="str">
        <f t="array" ref="A776">IFERROR(
  INDEX(
    'api-register-id'!A:A,
    MATCH(F776, 'api-register-id'!B:B, 0)
  ),
  "Not found Organization"
)</f>
        <v>SSFF</v>
      </c>
      <c r="B776" s="22" t="str">
        <f>IFERROR(VLOOKUP(F776, 'api-register-id'!B:F, 4, FALSE), "Not found path.")</f>
        <v>mx-api-bc-pro-counterparty-risk</v>
      </c>
      <c r="C776" s="78" t="s">
        <v>41</v>
      </c>
      <c r="D776" s="78" t="s">
        <v>811</v>
      </c>
      <c r="E776" s="24" t="str">
        <f>IFERROR(VLOOKUP(F776, 'api-register-id'!B:F, 5, FALSE), "Not found path.")</f>
        <v>APIMX000067</v>
      </c>
      <c r="F776" s="25" t="s">
        <v>905</v>
      </c>
      <c r="G776" s="26" t="s">
        <v>5357</v>
      </c>
      <c r="H776" s="22" t="s">
        <v>5358</v>
      </c>
      <c r="I776" s="29" t="str">
        <f>IFERROR(VLOOKUP(F776, 'api-register-id'!B:I, 8, FALSE), "Not found path.")</f>
        <v>1.2.0</v>
      </c>
      <c r="J776" s="3" t="s">
        <v>2249</v>
      </c>
      <c r="K776" s="31" t="s">
        <v>48</v>
      </c>
      <c r="L776" s="78" t="s">
        <v>428</v>
      </c>
      <c r="M776" s="3" t="s">
        <v>5320</v>
      </c>
      <c r="N776" s="3" t="str">
        <f t="shared" si="1"/>
        <v>PATCH /system/accountManagement/counterpartyRisk/v1/customerCreditRating/execute</v>
      </c>
      <c r="O776" s="32" t="s">
        <v>5321</v>
      </c>
      <c r="P776" s="32"/>
      <c r="Q776" s="61" t="s">
        <v>5359</v>
      </c>
      <c r="R776" s="31" t="s">
        <v>56</v>
      </c>
      <c r="S776" s="38" t="str">
        <f t="shared" si="2"/>
        <v>https://github.com/SF-Bancoppel/mx-api-bc-pro-counterparty-risk</v>
      </c>
      <c r="T776" s="40"/>
      <c r="U776" s="40"/>
      <c r="V776" s="40"/>
      <c r="W776" s="40"/>
      <c r="X776" s="40"/>
      <c r="Y776" s="40"/>
      <c r="Z776" s="40"/>
      <c r="AA776" s="40"/>
      <c r="AB776" s="40"/>
    </row>
    <row r="777" ht="18.75" customHeight="1">
      <c r="A777" s="18" t="str">
        <f t="array" ref="A777">IFERROR(
  INDEX(
    'api-register-id'!A:A,
    MATCH(F777, 'api-register-id'!B:B, 0)
  ),
  "Not found Organization"
)</f>
        <v>SSFF</v>
      </c>
      <c r="B777" s="22" t="str">
        <f>IFERROR(VLOOKUP(F777, 'api-register-id'!B:F, 4, FALSE), "Not found path.")</f>
        <v>mx-api-bc-pro-location-data-management</v>
      </c>
      <c r="C777" s="78" t="s">
        <v>41</v>
      </c>
      <c r="D777" s="78" t="s">
        <v>811</v>
      </c>
      <c r="E777" s="24" t="str">
        <f>IFERROR(VLOOKUP(F777, 'api-register-id'!B:F, 5, FALSE), "Not found path.")</f>
        <v>APIMX000094</v>
      </c>
      <c r="F777" s="25" t="s">
        <v>1198</v>
      </c>
      <c r="G777" s="26" t="s">
        <v>5360</v>
      </c>
      <c r="H777" s="22" t="s">
        <v>5361</v>
      </c>
      <c r="I777" s="29" t="str">
        <f>IFERROR(VLOOKUP(F777, 'api-register-id'!B:I, 8, FALSE), "Not found path.")</f>
        <v>1.3.1</v>
      </c>
      <c r="J777" s="3" t="s">
        <v>3154</v>
      </c>
      <c r="K777" s="31" t="s">
        <v>48</v>
      </c>
      <c r="L777" s="78" t="s">
        <v>49</v>
      </c>
      <c r="M777" s="3" t="s">
        <v>5331</v>
      </c>
      <c r="N777" s="3" t="str">
        <f t="shared" si="1"/>
        <v>POST /system/marketData/locationDataManagement/v1/state/retrieve</v>
      </c>
      <c r="O777" s="32" t="s">
        <v>5362</v>
      </c>
      <c r="P777" s="32"/>
      <c r="Q777" s="61" t="s">
        <v>5363</v>
      </c>
      <c r="R777" s="31" t="s">
        <v>56</v>
      </c>
      <c r="S777" s="38" t="str">
        <f t="shared" si="2"/>
        <v>https://github.com/SF-Bancoppel/mx-api-bc-pro-location-data-management</v>
      </c>
      <c r="T777" s="40"/>
      <c r="U777" s="40"/>
      <c r="V777" s="40"/>
      <c r="W777" s="40"/>
      <c r="X777" s="40"/>
      <c r="Y777" s="40"/>
      <c r="Z777" s="40"/>
      <c r="AA777" s="40"/>
      <c r="AB777" s="40"/>
    </row>
    <row r="778" ht="18.75" customHeight="1">
      <c r="A778" s="18" t="str">
        <f t="array" ref="A778">IFERROR(
  INDEX(
    'api-register-id'!A:A,
    MATCH(F778, 'api-register-id'!B:B, 0)
  ),
  "Not found Organization"
)</f>
        <v>SSFF</v>
      </c>
      <c r="B778" s="22" t="str">
        <f>IFERROR(VLOOKUP(F778, 'api-register-id'!B:F, 4, FALSE), "Not found path.")</f>
        <v>mx-api-bc-pro-location-data-management</v>
      </c>
      <c r="C778" s="78" t="s">
        <v>41</v>
      </c>
      <c r="D778" s="78" t="s">
        <v>811</v>
      </c>
      <c r="E778" s="24" t="str">
        <f>IFERROR(VLOOKUP(F778, 'api-register-id'!B:F, 5, FALSE), "Not found path.")</f>
        <v>APIMX000094</v>
      </c>
      <c r="F778" s="25" t="s">
        <v>1198</v>
      </c>
      <c r="G778" s="26" t="s">
        <v>5364</v>
      </c>
      <c r="H778" s="22" t="s">
        <v>5365</v>
      </c>
      <c r="I778" s="29" t="str">
        <f>IFERROR(VLOOKUP(F778, 'api-register-id'!B:I, 8, FALSE), "Not found path.")</f>
        <v>1.3.1</v>
      </c>
      <c r="J778" s="3" t="s">
        <v>3154</v>
      </c>
      <c r="K778" s="31" t="s">
        <v>48</v>
      </c>
      <c r="L778" s="78" t="s">
        <v>49</v>
      </c>
      <c r="M778" s="3" t="s">
        <v>5336</v>
      </c>
      <c r="N778" s="3" t="str">
        <f t="shared" si="1"/>
        <v>POST /system/marketData/locationDataManagement/v1/city/retrieve</v>
      </c>
      <c r="O778" s="32" t="s">
        <v>5366</v>
      </c>
      <c r="P778" s="32"/>
      <c r="Q778" s="61" t="s">
        <v>5367</v>
      </c>
      <c r="R778" s="31" t="s">
        <v>56</v>
      </c>
      <c r="S778" s="38" t="str">
        <f t="shared" si="2"/>
        <v>https://github.com/SF-Bancoppel/mx-api-bc-pro-location-data-management</v>
      </c>
      <c r="T778" s="40"/>
      <c r="U778" s="40"/>
      <c r="V778" s="40"/>
      <c r="W778" s="40"/>
      <c r="X778" s="40"/>
      <c r="Y778" s="40"/>
      <c r="Z778" s="40"/>
      <c r="AA778" s="40"/>
      <c r="AB778" s="40"/>
    </row>
    <row r="779" ht="18.75" customHeight="1">
      <c r="A779" s="18" t="str">
        <f t="array" ref="A779">IFERROR(
  INDEX(
    'api-register-id'!A:A,
    MATCH(F779, 'api-register-id'!B:B, 0)
  ),
  "Not found Organization"
)</f>
        <v>SSFF</v>
      </c>
      <c r="B779" s="22" t="str">
        <f>IFERROR(VLOOKUP(F779, 'api-register-id'!B:F, 4, FALSE), "Not found path.")</f>
        <v>mx-api-bc-pro-location-data-management</v>
      </c>
      <c r="C779" s="78" t="s">
        <v>41</v>
      </c>
      <c r="D779" s="78" t="s">
        <v>811</v>
      </c>
      <c r="E779" s="24" t="str">
        <f>IFERROR(VLOOKUP(F779, 'api-register-id'!B:F, 5, FALSE), "Not found path.")</f>
        <v>APIMX000094</v>
      </c>
      <c r="F779" s="25" t="s">
        <v>1198</v>
      </c>
      <c r="G779" s="26" t="s">
        <v>5368</v>
      </c>
      <c r="H779" s="22" t="s">
        <v>5369</v>
      </c>
      <c r="I779" s="29" t="str">
        <f>IFERROR(VLOOKUP(F779, 'api-register-id'!B:I, 8, FALSE), "Not found path.")</f>
        <v>1.3.1</v>
      </c>
      <c r="J779" s="3" t="s">
        <v>3154</v>
      </c>
      <c r="K779" s="31" t="s">
        <v>48</v>
      </c>
      <c r="L779" s="78" t="s">
        <v>49</v>
      </c>
      <c r="M779" s="3" t="s">
        <v>5341</v>
      </c>
      <c r="N779" s="3" t="str">
        <f t="shared" si="1"/>
        <v>POST /system/marketData/locationDataManagement/v1/country/retrieve</v>
      </c>
      <c r="O779" s="32" t="s">
        <v>5362</v>
      </c>
      <c r="P779" s="32"/>
      <c r="Q779" s="61" t="s">
        <v>5370</v>
      </c>
      <c r="R779" s="31" t="s">
        <v>56</v>
      </c>
      <c r="S779" s="38" t="str">
        <f t="shared" si="2"/>
        <v>https://github.com/SF-Bancoppel/mx-api-bc-pro-location-data-management</v>
      </c>
      <c r="T779" s="40"/>
      <c r="U779" s="40"/>
      <c r="V779" s="40"/>
      <c r="W779" s="40"/>
      <c r="X779" s="40"/>
      <c r="Y779" s="40"/>
      <c r="Z779" s="40"/>
      <c r="AA779" s="40"/>
      <c r="AB779" s="40"/>
    </row>
    <row r="780" ht="18.75" customHeight="1">
      <c r="A780" s="18" t="str">
        <f t="array" ref="A780">IFERROR(
  INDEX(
    'api-register-id'!A:A,
    MATCH(F780, 'api-register-id'!B:B, 0)
  ),
  "Not found Organization"
)</f>
        <v>SSFF</v>
      </c>
      <c r="B780" s="22" t="str">
        <f>IFERROR(VLOOKUP(F780, 'api-register-id'!B:F, 4, FALSE), "Not found path.")</f>
        <v>mx-api-bc-pro-location-data-management</v>
      </c>
      <c r="C780" s="78" t="s">
        <v>41</v>
      </c>
      <c r="D780" s="78" t="s">
        <v>811</v>
      </c>
      <c r="E780" s="24" t="str">
        <f>IFERROR(VLOOKUP(F780, 'api-register-id'!B:F, 5, FALSE), "Not found path.")</f>
        <v>APIMX000094</v>
      </c>
      <c r="F780" s="25" t="s">
        <v>1198</v>
      </c>
      <c r="G780" s="26" t="s">
        <v>5371</v>
      </c>
      <c r="H780" s="22" t="s">
        <v>3311</v>
      </c>
      <c r="I780" s="29" t="str">
        <f>IFERROR(VLOOKUP(F780, 'api-register-id'!B:I, 8, FALSE), "Not found path.")</f>
        <v>1.3.1</v>
      </c>
      <c r="J780" s="3" t="s">
        <v>3154</v>
      </c>
      <c r="K780" s="31" t="s">
        <v>48</v>
      </c>
      <c r="L780" s="78" t="s">
        <v>428</v>
      </c>
      <c r="M780" s="3" t="s">
        <v>5344</v>
      </c>
      <c r="N780" s="3" t="str">
        <f t="shared" si="1"/>
        <v>PATCH /system/marketData/locationDataManagement/v1/location/update</v>
      </c>
      <c r="O780" s="32" t="s">
        <v>5372</v>
      </c>
      <c r="P780" s="32"/>
      <c r="Q780" s="61" t="s">
        <v>5373</v>
      </c>
      <c r="R780" s="31" t="s">
        <v>56</v>
      </c>
      <c r="S780" s="38" t="str">
        <f t="shared" si="2"/>
        <v>https://github.com/SF-Bancoppel/mx-api-bc-pro-location-data-management</v>
      </c>
      <c r="T780" s="40"/>
      <c r="U780" s="40"/>
      <c r="V780" s="40"/>
      <c r="W780" s="40"/>
      <c r="X780" s="40"/>
      <c r="Y780" s="40"/>
      <c r="Z780" s="40"/>
      <c r="AA780" s="40"/>
      <c r="AB780" s="40"/>
    </row>
    <row r="781" ht="18.75" customHeight="1">
      <c r="A781" s="18" t="str">
        <f t="array" ref="A781">IFERROR(
  INDEX(
    'api-register-id'!A:A,
    MATCH(F781, 'api-register-id'!B:B, 0)
  ),
  "Not found Organization"
)</f>
        <v>SSFF</v>
      </c>
      <c r="B781" s="22" t="str">
        <f>IFERROR(VLOOKUP(F781, 'api-register-id'!B:F, 4, FALSE), "Not found path.")</f>
        <v>mx-api-bc-pro-party-lifecycle-management</v>
      </c>
      <c r="C781" s="78" t="s">
        <v>41</v>
      </c>
      <c r="D781" s="78" t="s">
        <v>811</v>
      </c>
      <c r="E781" s="24" t="str">
        <f>IFERROR(VLOOKUP(F781, 'api-register-id'!B:F, 5, FALSE), "Not found path.")</f>
        <v>APIMX000096</v>
      </c>
      <c r="F781" s="25" t="s">
        <v>1214</v>
      </c>
      <c r="G781" s="26" t="s">
        <v>5374</v>
      </c>
      <c r="H781" s="22" t="s">
        <v>5375</v>
      </c>
      <c r="I781" s="29" t="str">
        <f>IFERROR(VLOOKUP(F781, 'api-register-id'!B:I, 8, FALSE), "Not found path.")</f>
        <v>2.3.2</v>
      </c>
      <c r="J781" s="3" t="s">
        <v>3197</v>
      </c>
      <c r="K781" s="31" t="s">
        <v>48</v>
      </c>
      <c r="L781" s="78" t="s">
        <v>49</v>
      </c>
      <c r="M781" s="3" t="s">
        <v>5349</v>
      </c>
      <c r="N781" s="3" t="str">
        <f t="shared" si="1"/>
        <v>POST /system/sales/partyLifecycleManagement/v1/incomeProfile/retrieve</v>
      </c>
      <c r="O781" s="32" t="s">
        <v>5350</v>
      </c>
      <c r="P781" s="32"/>
      <c r="Q781" s="61" t="s">
        <v>5376</v>
      </c>
      <c r="R781" s="31" t="s">
        <v>56</v>
      </c>
      <c r="S781" s="38" t="str">
        <f t="shared" si="2"/>
        <v>https://github.com/SF-Bancoppel/mx-api-bc-pro-party-lifecycle-management</v>
      </c>
      <c r="T781" s="40"/>
      <c r="U781" s="40"/>
      <c r="V781" s="40"/>
      <c r="W781" s="40"/>
      <c r="X781" s="40"/>
      <c r="Y781" s="40"/>
      <c r="Z781" s="40"/>
      <c r="AA781" s="40"/>
      <c r="AB781" s="40"/>
    </row>
    <row r="782" ht="18.75" customHeight="1">
      <c r="A782" s="18" t="str">
        <f t="array" ref="A782">IFERROR(
  INDEX(
    'api-register-id'!A:A,
    MATCH(F782, 'api-register-id'!B:B, 0)
  ),
  "Not found Organization"
)</f>
        <v>SSFF</v>
      </c>
      <c r="B782" s="22" t="str">
        <f>IFERROR(VLOOKUP(F782, 'api-register-id'!B:F, 4, FALSE), "Not found path.")</f>
        <v>mx-api-bc-pro-party-reference-data-directory</v>
      </c>
      <c r="C782" s="78" t="s">
        <v>41</v>
      </c>
      <c r="D782" s="78" t="s">
        <v>811</v>
      </c>
      <c r="E782" s="24" t="str">
        <f>IFERROR(VLOOKUP(F782, 'api-register-id'!B:F, 5, FALSE), "Not found path.")</f>
        <v>APIMX000097</v>
      </c>
      <c r="F782" s="25" t="s">
        <v>1222</v>
      </c>
      <c r="G782" s="26" t="s">
        <v>5377</v>
      </c>
      <c r="H782" s="22" t="s">
        <v>5378</v>
      </c>
      <c r="I782" s="29" t="str">
        <f>IFERROR(VLOOKUP(F782, 'api-register-id'!B:I, 8, FALSE), "Not found path.")</f>
        <v>1.8.1</v>
      </c>
      <c r="J782" s="3" t="s">
        <v>3395</v>
      </c>
      <c r="K782" s="31" t="s">
        <v>48</v>
      </c>
      <c r="L782" s="78" t="s">
        <v>49</v>
      </c>
      <c r="M782" s="3" t="s">
        <v>5354</v>
      </c>
      <c r="N782" s="3" t="str">
        <f t="shared" si="1"/>
        <v>POST /system/customerManagement/partyReferenceDataDirectory/v1/networkType/retrieve</v>
      </c>
      <c r="O782" s="32" t="s">
        <v>5355</v>
      </c>
      <c r="P782" s="32"/>
      <c r="Q782" s="61" t="s">
        <v>5379</v>
      </c>
      <c r="R782" s="31" t="s">
        <v>56</v>
      </c>
      <c r="S782" s="38" t="str">
        <f t="shared" si="2"/>
        <v>https://github.com/SF-Bancoppel/mx-api-bc-pro-party-reference-data-directory</v>
      </c>
      <c r="T782" s="40"/>
      <c r="U782" s="40"/>
      <c r="V782" s="40"/>
      <c r="W782" s="40"/>
      <c r="X782" s="40"/>
      <c r="Y782" s="40"/>
      <c r="Z782" s="40"/>
      <c r="AA782" s="40"/>
      <c r="AB782" s="40"/>
    </row>
    <row r="783" ht="18.75" customHeight="1">
      <c r="A783" s="18" t="str">
        <f t="array" ref="A783">IFERROR(
  INDEX(
    'api-register-id'!A:A,
    MATCH(F783, 'api-register-id'!B:B, 0)
  ),
  "Not found Organization"
)</f>
        <v>SSFF</v>
      </c>
      <c r="B783" s="22" t="str">
        <f>IFERROR(VLOOKUP(F783, 'api-register-id'!B:F, 4, FALSE), "Not found path.")</f>
        <v>mx-api-bc-rec-counterparty-risk</v>
      </c>
      <c r="C783" s="78" t="s">
        <v>112</v>
      </c>
      <c r="D783" s="78" t="s">
        <v>1417</v>
      </c>
      <c r="E783" s="24" t="str">
        <f>IFERROR(VLOOKUP(F783, 'api-register-id'!B:F, 5, FALSE), "Not found path.")</f>
        <v>APIMX000119</v>
      </c>
      <c r="F783" s="25" t="s">
        <v>1459</v>
      </c>
      <c r="G783" s="26" t="s">
        <v>5380</v>
      </c>
      <c r="H783" s="22" t="s">
        <v>5381</v>
      </c>
      <c r="I783" s="29" t="str">
        <f>IFERROR(VLOOKUP(F783, 'api-register-id'!B:I, 8, FALSE), "Not found path.")</f>
        <v>1.2.0</v>
      </c>
      <c r="J783" s="3" t="s">
        <v>3950</v>
      </c>
      <c r="K783" s="31" t="s">
        <v>48</v>
      </c>
      <c r="L783" s="78" t="s">
        <v>428</v>
      </c>
      <c r="M783" s="3" t="s">
        <v>5320</v>
      </c>
      <c r="N783" s="3" t="str">
        <f t="shared" si="1"/>
        <v>PATCH /experience/accountManagement/counterpartyRisk/v1/customerCreditRating/execute</v>
      </c>
      <c r="O783" s="32" t="s">
        <v>5321</v>
      </c>
      <c r="P783" s="32"/>
      <c r="Q783" s="61" t="s">
        <v>5382</v>
      </c>
      <c r="R783" s="31" t="s">
        <v>56</v>
      </c>
      <c r="S783" s="38" t="str">
        <f t="shared" si="2"/>
        <v>https://github.com/SF-Bancoppel/mx-api-bc-rec-counterparty-risk</v>
      </c>
      <c r="T783" s="40"/>
      <c r="U783" s="40"/>
      <c r="V783" s="40"/>
      <c r="W783" s="40"/>
      <c r="X783" s="40"/>
      <c r="Y783" s="40"/>
      <c r="Z783" s="40"/>
      <c r="AA783" s="40"/>
      <c r="AB783" s="40"/>
    </row>
    <row r="784" ht="18.75" customHeight="1">
      <c r="A784" s="18" t="str">
        <f t="array" ref="A784">IFERROR(
  INDEX(
    'api-register-id'!A:A,
    MATCH(F784, 'api-register-id'!B:B, 0)
  ),
  "Not found Organization"
)</f>
        <v>SSFF</v>
      </c>
      <c r="B784" s="22" t="str">
        <f>IFERROR(VLOOKUP(F784, 'api-register-id'!B:F, 4, FALSE), "Not found path.")</f>
        <v>mx-api-bc-rec-customer-credit-rating</v>
      </c>
      <c r="C784" s="78" t="s">
        <v>112</v>
      </c>
      <c r="D784" s="78" t="s">
        <v>1417</v>
      </c>
      <c r="E784" s="24" t="str">
        <f>IFERROR(VLOOKUP(F784, 'api-register-id'!B:F, 5, FALSE), "Not found path.")</f>
        <v>APIMX000126</v>
      </c>
      <c r="F784" s="25" t="s">
        <v>1537</v>
      </c>
      <c r="G784" s="26" t="s">
        <v>5383</v>
      </c>
      <c r="H784" s="22" t="s">
        <v>5384</v>
      </c>
      <c r="I784" s="29" t="str">
        <f>IFERROR(VLOOKUP(F784, 'api-register-id'!B:I, 8, FALSE), "Not found path.")</f>
        <v>1.5.0</v>
      </c>
      <c r="J784" s="3" t="s">
        <v>5385</v>
      </c>
      <c r="K784" s="31" t="s">
        <v>48</v>
      </c>
      <c r="L784" s="78" t="s">
        <v>49</v>
      </c>
      <c r="M784" s="3" t="s">
        <v>5326</v>
      </c>
      <c r="N784" s="3" t="str">
        <f t="shared" si="1"/>
        <v>POST /experience/customerManagement/customerCreditRating/v1/customerCreditRatingState/initiate</v>
      </c>
      <c r="O784" s="32" t="s">
        <v>5327</v>
      </c>
      <c r="P784" s="32"/>
      <c r="Q784" s="61" t="s">
        <v>98</v>
      </c>
      <c r="R784" s="31" t="s">
        <v>56</v>
      </c>
      <c r="S784" s="38" t="str">
        <f t="shared" si="2"/>
        <v>https://github.com/SF-Bancoppel/mx-api-bc-rec-customer-credit-rating</v>
      </c>
      <c r="T784" s="40"/>
      <c r="U784" s="40"/>
      <c r="V784" s="40"/>
      <c r="W784" s="40"/>
      <c r="X784" s="40"/>
      <c r="Y784" s="40"/>
      <c r="Z784" s="40"/>
      <c r="AA784" s="40"/>
      <c r="AB784" s="40"/>
    </row>
    <row r="785" ht="18.75" customHeight="1">
      <c r="A785" s="18" t="str">
        <f t="array" ref="A785">IFERROR(
  INDEX(
    'api-register-id'!A:A,
    MATCH(F785, 'api-register-id'!B:B, 0)
  ),
  "Not found Organization"
)</f>
        <v>SSFF</v>
      </c>
      <c r="B785" s="22" t="str">
        <f>IFERROR(VLOOKUP(F785, 'api-register-id'!B:F, 4, FALSE), "Not found path.")</f>
        <v>mx-api-bc-rec-party-lifecycle-management</v>
      </c>
      <c r="C785" s="78" t="s">
        <v>112</v>
      </c>
      <c r="D785" s="78" t="s">
        <v>1417</v>
      </c>
      <c r="E785" s="24" t="str">
        <f>IFERROR(VLOOKUP(F785, 'api-register-id'!B:F, 5, FALSE), "Not found path.")</f>
        <v>APIMX000139</v>
      </c>
      <c r="F785" s="25" t="s">
        <v>1667</v>
      </c>
      <c r="G785" s="26" t="s">
        <v>5386</v>
      </c>
      <c r="H785" s="22" t="s">
        <v>5387</v>
      </c>
      <c r="I785" s="29" t="str">
        <f>IFERROR(VLOOKUP(F785, 'api-register-id'!B:I, 8, FALSE), "Not found path.")</f>
        <v>2.1.1</v>
      </c>
      <c r="J785" s="3" t="s">
        <v>4543</v>
      </c>
      <c r="K785" s="31" t="s">
        <v>48</v>
      </c>
      <c r="L785" s="78" t="s">
        <v>428</v>
      </c>
      <c r="M785" s="3" t="s">
        <v>415</v>
      </c>
      <c r="N785" s="3" t="str">
        <f t="shared" si="1"/>
        <v>PATCH /experience/sales/partyLifecycleManagement/v1/personProfile/update</v>
      </c>
      <c r="O785" s="32" t="s">
        <v>5388</v>
      </c>
      <c r="P785" s="32"/>
      <c r="Q785" s="61" t="s">
        <v>5389</v>
      </c>
      <c r="R785" s="31" t="s">
        <v>56</v>
      </c>
      <c r="S785" s="38" t="str">
        <f t="shared" si="2"/>
        <v>https://github.com/SF-Bancoppel/mx-api-bc-rec-party-lifecycle-management</v>
      </c>
      <c r="T785" s="40"/>
      <c r="U785" s="40"/>
      <c r="V785" s="40"/>
      <c r="W785" s="40"/>
      <c r="X785" s="40"/>
      <c r="Y785" s="40"/>
      <c r="Z785" s="40"/>
      <c r="AA785" s="40"/>
      <c r="AB785" s="40"/>
    </row>
    <row r="786" ht="18.75" customHeight="1">
      <c r="A786" s="18" t="str">
        <f t="array" ref="A786">IFERROR(
  INDEX(
    'api-register-id'!A:A,
    MATCH(F786, 'api-register-id'!B:B, 0)
  ),
  "Not found Organization"
)</f>
        <v>SSFF</v>
      </c>
      <c r="B786" s="22" t="str">
        <f>IFERROR(VLOOKUP(F786, 'api-register-id'!B:F, 4, FALSE), "Not found path.")</f>
        <v>mx-api-bc-rec-party-lifecycle-management</v>
      </c>
      <c r="C786" s="78" t="s">
        <v>112</v>
      </c>
      <c r="D786" s="78" t="s">
        <v>1417</v>
      </c>
      <c r="E786" s="24" t="str">
        <f>IFERROR(VLOOKUP(F786, 'api-register-id'!B:F, 5, FALSE), "Not found path.")</f>
        <v>APIMX000139</v>
      </c>
      <c r="F786" s="25" t="s">
        <v>1667</v>
      </c>
      <c r="G786" s="26" t="s">
        <v>5390</v>
      </c>
      <c r="H786" s="22" t="s">
        <v>5391</v>
      </c>
      <c r="I786" s="29" t="str">
        <f>IFERROR(VLOOKUP(F786, 'api-register-id'!B:I, 8, FALSE), "Not found path.")</f>
        <v>2.1.1</v>
      </c>
      <c r="J786" s="3" t="s">
        <v>4543</v>
      </c>
      <c r="K786" s="31" t="s">
        <v>48</v>
      </c>
      <c r="L786" s="78" t="s">
        <v>49</v>
      </c>
      <c r="M786" s="3" t="s">
        <v>5349</v>
      </c>
      <c r="N786" s="3" t="str">
        <f t="shared" si="1"/>
        <v>POST /experience/sales/partyLifecycleManagement/v1/incomeProfile/retrieve</v>
      </c>
      <c r="O786" s="32" t="s">
        <v>5350</v>
      </c>
      <c r="P786" s="32"/>
      <c r="Q786" s="61" t="s">
        <v>5392</v>
      </c>
      <c r="R786" s="31" t="s">
        <v>56</v>
      </c>
      <c r="S786" s="38" t="str">
        <f t="shared" si="2"/>
        <v>https://github.com/SF-Bancoppel/mx-api-bc-rec-party-lifecycle-management</v>
      </c>
      <c r="T786" s="40"/>
      <c r="U786" s="40"/>
      <c r="V786" s="40"/>
      <c r="W786" s="40"/>
      <c r="X786" s="40"/>
      <c r="Y786" s="40"/>
      <c r="Z786" s="40"/>
      <c r="AA786" s="40"/>
      <c r="AB786" s="40"/>
    </row>
    <row r="787" ht="18.75" customHeight="1">
      <c r="A787" s="18" t="str">
        <f t="array" ref="A787">IFERROR(
  INDEX(
    'api-register-id'!A:A,
    MATCH(F787, 'api-register-id'!B:B, 0)
  ),
  "Not found Organization"
)</f>
        <v>SSFF</v>
      </c>
      <c r="B787" s="22" t="str">
        <f>IFERROR(VLOOKUP(F787, 'api-register-id'!B:F, 4, FALSE), "Not found path.")</f>
        <v>mx-api-bc-rec-reference-data</v>
      </c>
      <c r="C787" s="78" t="s">
        <v>112</v>
      </c>
      <c r="D787" s="78" t="s">
        <v>1417</v>
      </c>
      <c r="E787" s="24" t="str">
        <f>IFERROR(VLOOKUP(F787, 'api-register-id'!B:F, 5, FALSE), "Not found path.")</f>
        <v>APIMX000146</v>
      </c>
      <c r="F787" s="25" t="s">
        <v>1744</v>
      </c>
      <c r="G787" s="26" t="s">
        <v>5393</v>
      </c>
      <c r="H787" s="22" t="s">
        <v>5394</v>
      </c>
      <c r="I787" s="29" t="str">
        <f>IFERROR(VLOOKUP(F787, 'api-register-id'!B:I, 8, FALSE), "Not found path.")</f>
        <v>1.6.0</v>
      </c>
      <c r="J787" s="3" t="s">
        <v>4448</v>
      </c>
      <c r="K787" s="31" t="s">
        <v>48</v>
      </c>
      <c r="L787" s="78" t="s">
        <v>49</v>
      </c>
      <c r="M787" s="3" t="s">
        <v>5315</v>
      </c>
      <c r="N787" s="3" t="str">
        <f t="shared" si="1"/>
        <v>POST /experience/referenceData/v1/customerLocationReference/register</v>
      </c>
      <c r="O787" s="32" t="s">
        <v>5316</v>
      </c>
      <c r="P787" s="32"/>
      <c r="Q787" s="61" t="s">
        <v>98</v>
      </c>
      <c r="R787" s="31" t="s">
        <v>56</v>
      </c>
      <c r="S787" s="38" t="str">
        <f t="shared" si="2"/>
        <v>https://github.com/SF-Bancoppel/mx-api-bc-rec-reference-data</v>
      </c>
      <c r="T787" s="40"/>
      <c r="U787" s="40"/>
      <c r="V787" s="40"/>
      <c r="W787" s="40"/>
      <c r="X787" s="40"/>
      <c r="Y787" s="40"/>
      <c r="Z787" s="40"/>
      <c r="AA787" s="40"/>
      <c r="AB787" s="40"/>
    </row>
    <row r="788" ht="18.75" customHeight="1">
      <c r="A788" s="18" t="str">
        <f t="array" ref="A788">IFERROR(
  INDEX(
    'api-register-id'!A:A,
    MATCH(F788, 'api-register-id'!B:B, 0)
  ),
  "Not found Organization"
)</f>
        <v>SSFF</v>
      </c>
      <c r="B788" s="22" t="str">
        <f>IFERROR(VLOOKUP(F788, 'api-register-id'!B:F, 4, FALSE), "Not found path.")</f>
        <v>mx-api-bc-bus-operations-and-execution</v>
      </c>
      <c r="C788" s="78" t="s">
        <v>41</v>
      </c>
      <c r="D788" s="78" t="s">
        <v>42</v>
      </c>
      <c r="E788" s="24" t="str">
        <f>IFERROR(VLOOKUP(F788, 'api-register-id'!B:F, 5, FALSE), "Not found path.")</f>
        <v>APIMX000002</v>
      </c>
      <c r="F788" s="25" t="s">
        <v>72</v>
      </c>
      <c r="G788" s="26" t="s">
        <v>5395</v>
      </c>
      <c r="H788" s="22" t="s">
        <v>5396</v>
      </c>
      <c r="I788" s="29" t="str">
        <f>IFERROR(VLOOKUP(F788, 'api-register-id'!B:I, 8, FALSE), "Not found path.")</f>
        <v>1.16.1</v>
      </c>
      <c r="J788" s="3" t="s">
        <v>93</v>
      </c>
      <c r="K788" s="31" t="s">
        <v>48</v>
      </c>
      <c r="L788" s="78" t="s">
        <v>428</v>
      </c>
      <c r="M788" s="3" t="s">
        <v>726</v>
      </c>
      <c r="N788" s="3" t="str">
        <f t="shared" si="1"/>
        <v>PATCH /operationsAndExecution/v1/paymentCard/update</v>
      </c>
      <c r="O788" s="32" t="s">
        <v>728</v>
      </c>
      <c r="P788" s="32" t="s">
        <v>652</v>
      </c>
      <c r="Q788" s="61" t="s">
        <v>5397</v>
      </c>
      <c r="R788" s="31" t="s">
        <v>56</v>
      </c>
      <c r="S788" s="38" t="str">
        <f t="shared" si="2"/>
        <v>https://github.com/SF-Bancoppel/mx-api-bc-bus-operations-and-execution</v>
      </c>
      <c r="T788" s="40"/>
      <c r="U788" s="40"/>
      <c r="V788" s="40"/>
      <c r="W788" s="40"/>
      <c r="X788" s="40"/>
      <c r="Y788" s="40"/>
      <c r="Z788" s="40"/>
      <c r="AA788" s="40"/>
      <c r="AB788" s="40"/>
    </row>
    <row r="789" ht="18.75" customHeight="1">
      <c r="A789" s="18" t="str">
        <f t="array" ref="A789">IFERROR(
  INDEX(
    'api-register-id'!A:A,
    MATCH(F789, 'api-register-id'!B:B, 0)
  ),
  "Not found Organization"
)</f>
        <v>SSFF</v>
      </c>
      <c r="B789" s="22" t="str">
        <f>IFERROR(VLOOKUP(F789, 'api-register-id'!B:F, 4, FALSE), "Not found path.")</f>
        <v>mx-api-bc-bus-sales-and-service</v>
      </c>
      <c r="C789" s="78" t="s">
        <v>41</v>
      </c>
      <c r="D789" s="78" t="s">
        <v>42</v>
      </c>
      <c r="E789" s="24" t="str">
        <f>IFERROR(VLOOKUP(F789, 'api-register-id'!B:F, 5, FALSE), "Not found path.")</f>
        <v>APIMX000004</v>
      </c>
      <c r="F789" s="25" t="s">
        <v>101</v>
      </c>
      <c r="G789" s="26" t="s">
        <v>5398</v>
      </c>
      <c r="H789" s="22" t="s">
        <v>5399</v>
      </c>
      <c r="I789" s="29" t="str">
        <f>IFERROR(VLOOKUP(F789, 'api-register-id'!B:I, 8, FALSE), "Not found path.")</f>
        <v>1.12.0</v>
      </c>
      <c r="J789" s="3" t="s">
        <v>352</v>
      </c>
      <c r="K789" s="31" t="s">
        <v>48</v>
      </c>
      <c r="L789" s="78" t="s">
        <v>49</v>
      </c>
      <c r="M789" s="3" t="s">
        <v>5400</v>
      </c>
      <c r="N789" s="3" t="str">
        <f t="shared" si="1"/>
        <v>POST /salesAndService/v1/cardManagement/retrieve</v>
      </c>
      <c r="O789" s="32" t="s">
        <v>5401</v>
      </c>
      <c r="P789" s="32" t="s">
        <v>652</v>
      </c>
      <c r="Q789" s="61" t="s">
        <v>5402</v>
      </c>
      <c r="R789" s="31" t="s">
        <v>56</v>
      </c>
      <c r="S789" s="38" t="str">
        <f t="shared" si="2"/>
        <v>https://github.com/SF-Bancoppel/mx-api-bc-bus-sales-and-service</v>
      </c>
      <c r="T789" s="40"/>
      <c r="U789" s="40"/>
      <c r="V789" s="40"/>
      <c r="W789" s="40"/>
      <c r="X789" s="40"/>
      <c r="Y789" s="40"/>
      <c r="Z789" s="40"/>
      <c r="AA789" s="40"/>
      <c r="AB789" s="40"/>
    </row>
    <row r="790" ht="18.75" customHeight="1">
      <c r="A790" s="18" t="str">
        <f t="array" ref="A790">IFERROR(
  INDEX(
    'api-register-id'!A:A,
    MATCH(F790, 'api-register-id'!B:B, 0)
  ),
  "Not found Organization"
)</f>
        <v>SSFF</v>
      </c>
      <c r="B790" s="22" t="str">
        <f>IFERROR(VLOOKUP(F790, 'api-register-id'!B:F, 4, FALSE), "Not found path.")</f>
        <v>mx-api-bc-dom-credit-card</v>
      </c>
      <c r="C790" s="78" t="s">
        <v>41</v>
      </c>
      <c r="D790" s="78" t="s">
        <v>119</v>
      </c>
      <c r="E790" s="24" t="str">
        <f>IFERROR(VLOOKUP(F790, 'api-register-id'!B:F, 5, FALSE), "Not found path.")</f>
        <v>APIMX000012</v>
      </c>
      <c r="F790" s="25" t="s">
        <v>218</v>
      </c>
      <c r="G790" s="26" t="s">
        <v>5403</v>
      </c>
      <c r="H790" s="22" t="s">
        <v>5404</v>
      </c>
      <c r="I790" s="29" t="str">
        <f>IFERROR(VLOOKUP(F790, 'api-register-id'!B:I, 8, FALSE), "Not found path.")</f>
        <v>1.31.0</v>
      </c>
      <c r="J790" s="3" t="s">
        <v>560</v>
      </c>
      <c r="K790" s="31" t="s">
        <v>48</v>
      </c>
      <c r="L790" s="78" t="s">
        <v>428</v>
      </c>
      <c r="M790" s="3" t="s">
        <v>5405</v>
      </c>
      <c r="N790" s="3" t="str">
        <f t="shared" si="1"/>
        <v>PATCH /cards/creditCard/v1/paymentCardIndicator/update</v>
      </c>
      <c r="O790" s="32" t="s">
        <v>5406</v>
      </c>
      <c r="P790" s="32" t="s">
        <v>652</v>
      </c>
      <c r="Q790" s="61" t="s">
        <v>98</v>
      </c>
      <c r="R790" s="31" t="s">
        <v>56</v>
      </c>
      <c r="S790" s="38" t="str">
        <f t="shared" si="2"/>
        <v>https://github.com/SF-Bancoppel/mx-api-bc-dom-credit-card</v>
      </c>
      <c r="T790" s="40"/>
      <c r="U790" s="40"/>
      <c r="V790" s="40"/>
      <c r="W790" s="40"/>
      <c r="X790" s="40"/>
      <c r="Y790" s="40"/>
      <c r="Z790" s="40"/>
      <c r="AA790" s="40"/>
      <c r="AB790" s="40"/>
    </row>
    <row r="791" ht="18.75" customHeight="1">
      <c r="A791" s="18" t="str">
        <f t="array" ref="A791">IFERROR(
  INDEX(
    'api-register-id'!A:A,
    MATCH(F791, 'api-register-id'!B:B, 0)
  ),
  "Not found Organization"
)</f>
        <v>SSFF</v>
      </c>
      <c r="B791" s="22" t="str">
        <f>IFERROR(VLOOKUP(F791, 'api-register-id'!B:F, 4, FALSE), "Not found path.")</f>
        <v>mx-api-bc-dom-credit-card</v>
      </c>
      <c r="C791" s="78" t="s">
        <v>41</v>
      </c>
      <c r="D791" s="78" t="s">
        <v>119</v>
      </c>
      <c r="E791" s="24" t="str">
        <f>IFERROR(VLOOKUP(F791, 'api-register-id'!B:F, 5, FALSE), "Not found path.")</f>
        <v>APIMX000012</v>
      </c>
      <c r="F791" s="25" t="s">
        <v>218</v>
      </c>
      <c r="G791" s="26" t="s">
        <v>5407</v>
      </c>
      <c r="H791" s="22" t="s">
        <v>5408</v>
      </c>
      <c r="I791" s="29" t="str">
        <f>IFERROR(VLOOKUP(F791, 'api-register-id'!B:I, 8, FALSE), "Not found path.")</f>
        <v>1.31.0</v>
      </c>
      <c r="J791" s="3" t="s">
        <v>560</v>
      </c>
      <c r="K791" s="31" t="s">
        <v>48</v>
      </c>
      <c r="L791" s="78" t="s">
        <v>49</v>
      </c>
      <c r="M791" s="3" t="s">
        <v>5409</v>
      </c>
      <c r="N791" s="3" t="str">
        <f t="shared" si="1"/>
        <v>POST /cards/creditCard/v1/paymentCardIndicator/initiate</v>
      </c>
      <c r="O791" s="32" t="s">
        <v>5410</v>
      </c>
      <c r="P791" s="32" t="s">
        <v>652</v>
      </c>
      <c r="Q791" s="61" t="s">
        <v>98</v>
      </c>
      <c r="R791" s="31" t="s">
        <v>56</v>
      </c>
      <c r="S791" s="38" t="str">
        <f t="shared" si="2"/>
        <v>https://github.com/SF-Bancoppel/mx-api-bc-dom-credit-card</v>
      </c>
      <c r="T791" s="40"/>
      <c r="U791" s="40"/>
      <c r="V791" s="40"/>
      <c r="W791" s="40"/>
      <c r="X791" s="40"/>
      <c r="Y791" s="40"/>
      <c r="Z791" s="40"/>
      <c r="AA791" s="40"/>
      <c r="AB791" s="40"/>
    </row>
    <row r="792" ht="18.75" customHeight="1">
      <c r="A792" s="18" t="str">
        <f t="array" ref="A792">IFERROR(
  INDEX(
    'api-register-id'!A:A,
    MATCH(F792, 'api-register-id'!B:B, 0)
  ),
  "Not found Organization"
)</f>
        <v>SSFF</v>
      </c>
      <c r="B792" s="22" t="str">
        <f>IFERROR(VLOOKUP(F792, 'api-register-id'!B:F, 4, FALSE), "Not found path.")</f>
        <v>mx-api-bc-dom-customer-products-and-services</v>
      </c>
      <c r="C792" s="78" t="s">
        <v>41</v>
      </c>
      <c r="D792" s="78" t="s">
        <v>119</v>
      </c>
      <c r="E792" s="24" t="str">
        <f>IFERROR(VLOOKUP(F792, 'api-register-id'!B:F, 5, FALSE), "Not found path.")</f>
        <v>APIMX000023</v>
      </c>
      <c r="F792" s="25" t="s">
        <v>943</v>
      </c>
      <c r="G792" s="26" t="s">
        <v>5411</v>
      </c>
      <c r="H792" s="22" t="s">
        <v>5412</v>
      </c>
      <c r="I792" s="29" t="str">
        <f>IFERROR(VLOOKUP(F792, 'api-register-id'!B:I, 8, FALSE), "Not found path.")</f>
        <v>1.2.1</v>
      </c>
      <c r="J792" s="3" t="s">
        <v>947</v>
      </c>
      <c r="K792" s="31" t="s">
        <v>48</v>
      </c>
      <c r="L792" s="78" t="s">
        <v>49</v>
      </c>
      <c r="M792" s="3" t="s">
        <v>5413</v>
      </c>
      <c r="N792" s="3" t="str">
        <f t="shared" si="1"/>
        <v>POST /customerManagement/customerProductsAndServices/v1/cardProduct/retrieve</v>
      </c>
      <c r="O792" s="32" t="s">
        <v>5414</v>
      </c>
      <c r="P792" s="32"/>
      <c r="Q792" s="61" t="s">
        <v>98</v>
      </c>
      <c r="R792" s="31" t="s">
        <v>56</v>
      </c>
      <c r="S792" s="38" t="str">
        <f t="shared" si="2"/>
        <v>https://github.com/SF-Bancoppel/mx-api-bc-dom-customer-products-and-services</v>
      </c>
      <c r="T792" s="40"/>
      <c r="U792" s="40"/>
      <c r="V792" s="40"/>
      <c r="W792" s="40"/>
      <c r="X792" s="40"/>
      <c r="Y792" s="40"/>
      <c r="Z792" s="40"/>
      <c r="AA792" s="40"/>
      <c r="AB792" s="40"/>
    </row>
    <row r="793" ht="18.75" customHeight="1">
      <c r="A793" s="18" t="str">
        <f t="array" ref="A793">IFERROR(
  INDEX(
    'api-register-id'!A:A,
    MATCH(F793, 'api-register-id'!B:B, 0)
  ),
  "Not found Organization"
)</f>
        <v>SSFF</v>
      </c>
      <c r="B793" s="22" t="str">
        <f>IFERROR(VLOOKUP(F793, 'api-register-id'!B:F, 4, FALSE), "Not found path.")</f>
        <v>mx-api-bc-dom-issued-device-administration</v>
      </c>
      <c r="C793" s="78" t="s">
        <v>41</v>
      </c>
      <c r="D793" s="78" t="s">
        <v>119</v>
      </c>
      <c r="E793" s="24" t="str">
        <f>IFERROR(VLOOKUP(F793, 'api-register-id'!B:F, 5, FALSE), "Not found path.")</f>
        <v>APIMX000034</v>
      </c>
      <c r="F793" s="25" t="s">
        <v>551</v>
      </c>
      <c r="G793" s="26" t="s">
        <v>5415</v>
      </c>
      <c r="H793" s="22" t="s">
        <v>5416</v>
      </c>
      <c r="I793" s="29" t="str">
        <f>IFERROR(VLOOKUP(F793, 'api-register-id'!B:I, 8, FALSE), "Not found path.")</f>
        <v>1.2.1</v>
      </c>
      <c r="J793" s="3" t="s">
        <v>1102</v>
      </c>
      <c r="K793" s="31" t="s">
        <v>48</v>
      </c>
      <c r="L793" s="78" t="s">
        <v>49</v>
      </c>
      <c r="M793" s="3" t="s">
        <v>4435</v>
      </c>
      <c r="N793" s="3" t="str">
        <f t="shared" si="1"/>
        <v>POST /operationalServices/issuedDeviceAdministration/v1/reporting/register</v>
      </c>
      <c r="O793" s="32" t="s">
        <v>4437</v>
      </c>
      <c r="P793" s="32" t="s">
        <v>652</v>
      </c>
      <c r="Q793" s="61" t="s">
        <v>98</v>
      </c>
      <c r="R793" s="31" t="s">
        <v>56</v>
      </c>
      <c r="S793" s="38" t="str">
        <f t="shared" si="2"/>
        <v>https://github.com/SF-Bancoppel/mx-api-bc-dom-issued-device-administration</v>
      </c>
      <c r="T793" s="40"/>
      <c r="U793" s="40"/>
      <c r="V793" s="40"/>
      <c r="W793" s="40"/>
      <c r="X793" s="40"/>
      <c r="Y793" s="40"/>
      <c r="Z793" s="40"/>
      <c r="AA793" s="40"/>
      <c r="AB793" s="40"/>
    </row>
    <row r="794" ht="18.75" customHeight="1">
      <c r="A794" s="18" t="str">
        <f t="array" ref="A794">IFERROR(
  INDEX(
    'api-register-id'!A:A,
    MATCH(F794, 'api-register-id'!B:B, 0)
  ),
  "Not found Organization"
)</f>
        <v>SSFF</v>
      </c>
      <c r="B794" s="22" t="str">
        <f>IFERROR(VLOOKUP(F794, 'api-register-id'!B:F, 4, FALSE), "Not found path.")</f>
        <v>mx-api-bc-dom-issued-device-administration</v>
      </c>
      <c r="C794" s="78" t="s">
        <v>41</v>
      </c>
      <c r="D794" s="78" t="s">
        <v>119</v>
      </c>
      <c r="E794" s="24" t="str">
        <f>IFERROR(VLOOKUP(F794, 'api-register-id'!B:F, 5, FALSE), "Not found path.")</f>
        <v>APIMX000034</v>
      </c>
      <c r="F794" s="25" t="s">
        <v>551</v>
      </c>
      <c r="G794" s="26" t="s">
        <v>5417</v>
      </c>
      <c r="H794" s="22" t="s">
        <v>5418</v>
      </c>
      <c r="I794" s="29" t="str">
        <f>IFERROR(VLOOKUP(F794, 'api-register-id'!B:I, 8, FALSE), "Not found path.")</f>
        <v>1.2.1</v>
      </c>
      <c r="J794" s="3" t="s">
        <v>1102</v>
      </c>
      <c r="K794" s="31" t="s">
        <v>48</v>
      </c>
      <c r="L794" s="78" t="s">
        <v>49</v>
      </c>
      <c r="M794" s="3" t="s">
        <v>4439</v>
      </c>
      <c r="N794" s="3" t="str">
        <f t="shared" si="1"/>
        <v>POST /operationalServices/issuedDeviceAdministration/v1/issuedDeviceAllocation/register</v>
      </c>
      <c r="O794" s="32" t="s">
        <v>4441</v>
      </c>
      <c r="P794" s="32" t="s">
        <v>652</v>
      </c>
      <c r="Q794" s="61" t="s">
        <v>98</v>
      </c>
      <c r="R794" s="31" t="s">
        <v>56</v>
      </c>
      <c r="S794" s="38" t="str">
        <f t="shared" si="2"/>
        <v>https://github.com/SF-Bancoppel/mx-api-bc-dom-issued-device-administration</v>
      </c>
      <c r="T794" s="40"/>
      <c r="U794" s="40"/>
      <c r="V794" s="40"/>
      <c r="W794" s="40"/>
      <c r="X794" s="40"/>
      <c r="Y794" s="40"/>
      <c r="Z794" s="40"/>
      <c r="AA794" s="40"/>
      <c r="AB794" s="40"/>
    </row>
    <row r="795" ht="18.75" customHeight="1">
      <c r="A795" s="18" t="str">
        <f t="array" ref="A795">IFERROR(
  INDEX(
    'api-register-id'!A:A,
    MATCH(F795, 'api-register-id'!B:B, 0)
  ),
  "Not found Organization"
)</f>
        <v>SSFF</v>
      </c>
      <c r="B795" s="22" t="str">
        <f>IFERROR(VLOOKUP(F795, 'api-register-id'!B:F, 4, FALSE), "Not found path.")</f>
        <v>mx-api-bc-dom-issued-device-tracking</v>
      </c>
      <c r="C795" s="78" t="s">
        <v>41</v>
      </c>
      <c r="D795" s="78" t="s">
        <v>119</v>
      </c>
      <c r="E795" s="24" t="str">
        <f>IFERROR(VLOOKUP(F795, 'api-register-id'!B:F, 5, FALSE), "Not found path.")</f>
        <v>APIMX000035</v>
      </c>
      <c r="F795" s="25" t="s">
        <v>565</v>
      </c>
      <c r="G795" s="26" t="s">
        <v>5419</v>
      </c>
      <c r="H795" s="22" t="s">
        <v>5420</v>
      </c>
      <c r="I795" s="29" t="str">
        <f>IFERROR(VLOOKUP(F795, 'api-register-id'!B:I, 8, FALSE), "Not found path.")</f>
        <v>1.1.0</v>
      </c>
      <c r="J795" s="3" t="s">
        <v>4987</v>
      </c>
      <c r="K795" s="31" t="s">
        <v>48</v>
      </c>
      <c r="L795" s="78" t="s">
        <v>428</v>
      </c>
      <c r="M795" s="3" t="s">
        <v>5421</v>
      </c>
      <c r="N795" s="3" t="str">
        <f t="shared" si="1"/>
        <v>PATCH /operationalServices/issuedDeviceTracking/v1/issuedDeviceState/update</v>
      </c>
      <c r="O795" s="32" t="s">
        <v>1850</v>
      </c>
      <c r="P795" s="32" t="s">
        <v>652</v>
      </c>
      <c r="Q795" s="61" t="s">
        <v>98</v>
      </c>
      <c r="R795" s="31" t="s">
        <v>56</v>
      </c>
      <c r="S795" s="38" t="str">
        <f t="shared" si="2"/>
        <v>https://github.com/SF-Bancoppel/mx-api-bc-dom-issued-device-tracking</v>
      </c>
      <c r="T795" s="40"/>
      <c r="U795" s="40"/>
      <c r="V795" s="40"/>
      <c r="W795" s="40"/>
      <c r="X795" s="40"/>
      <c r="Y795" s="40"/>
      <c r="Z795" s="40"/>
      <c r="AA795" s="40"/>
      <c r="AB795" s="40"/>
    </row>
    <row r="796" ht="18.75" customHeight="1">
      <c r="A796" s="18" t="str">
        <f t="array" ref="A796">IFERROR(
  INDEX(
    'api-register-id'!A:A,
    MATCH(F796, 'api-register-id'!B:B, 0)
  ),
  "Not found Organization"
)</f>
        <v>SSFF</v>
      </c>
      <c r="B796" s="22" t="str">
        <f>IFERROR(VLOOKUP(F796, 'api-register-id'!B:F, 4, FALSE), "Not found path.")</f>
        <v>mx-api-bc-dom-party-authentication</v>
      </c>
      <c r="C796" s="78" t="s">
        <v>41</v>
      </c>
      <c r="D796" s="78" t="s">
        <v>119</v>
      </c>
      <c r="E796" s="24" t="str">
        <f>IFERROR(VLOOKUP(F796, 'api-register-id'!B:F, 5, FALSE), "Not found path.")</f>
        <v>APIMX000039</v>
      </c>
      <c r="F796" s="25" t="s">
        <v>615</v>
      </c>
      <c r="G796" s="26" t="s">
        <v>5422</v>
      </c>
      <c r="H796" s="22" t="s">
        <v>5423</v>
      </c>
      <c r="I796" s="29" t="str">
        <f>IFERROR(VLOOKUP(F796, 'api-register-id'!B:I, 8, FALSE), "Not found path.")</f>
        <v>1.1.0</v>
      </c>
      <c r="J796" s="3" t="s">
        <v>1295</v>
      </c>
      <c r="K796" s="31" t="s">
        <v>48</v>
      </c>
      <c r="L796" s="78" t="s">
        <v>49</v>
      </c>
      <c r="M796" s="3" t="s">
        <v>4444</v>
      </c>
      <c r="N796" s="3" t="str">
        <f t="shared" si="1"/>
        <v>POST /crossChannel/partyAuthentication/v1/token/evaluate</v>
      </c>
      <c r="O796" s="32" t="s">
        <v>5424</v>
      </c>
      <c r="P796" s="32" t="s">
        <v>652</v>
      </c>
      <c r="Q796" s="61" t="s">
        <v>98</v>
      </c>
      <c r="R796" s="31" t="s">
        <v>56</v>
      </c>
      <c r="S796" s="38" t="str">
        <f t="shared" si="2"/>
        <v>https://github.com/SF-Bancoppel/mx-api-bc-dom-party-authentication</v>
      </c>
      <c r="T796" s="40"/>
      <c r="U796" s="40"/>
      <c r="V796" s="40"/>
      <c r="W796" s="40"/>
      <c r="X796" s="40"/>
      <c r="Y796" s="40"/>
      <c r="Z796" s="40"/>
      <c r="AA796" s="40"/>
      <c r="AB796" s="40"/>
    </row>
    <row r="797" ht="18.75" customHeight="1">
      <c r="A797" s="18" t="str">
        <f t="array" ref="A797">IFERROR(
  INDEX(
    'api-register-id'!A:A,
    MATCH(F797, 'api-register-id'!B:B, 0)
  ),
  "Not found Organization"
)</f>
        <v>SSFF</v>
      </c>
      <c r="B797" s="22" t="str">
        <f>IFERROR(VLOOKUP(F797, 'api-register-id'!B:F, 4, FALSE), "Not found path.")</f>
        <v>mx-api-bc-pro-credit-card</v>
      </c>
      <c r="C797" s="78" t="s">
        <v>41</v>
      </c>
      <c r="D797" s="78" t="s">
        <v>811</v>
      </c>
      <c r="E797" s="24" t="str">
        <f>IFERROR(VLOOKUP(F797, 'api-register-id'!B:F, 5, FALSE), "Not found path.")</f>
        <v>APIMX000068</v>
      </c>
      <c r="F797" s="25" t="s">
        <v>913</v>
      </c>
      <c r="G797" s="26" t="s">
        <v>5425</v>
      </c>
      <c r="H797" s="22" t="s">
        <v>5426</v>
      </c>
      <c r="I797" s="29" t="str">
        <f>IFERROR(VLOOKUP(F797, 'api-register-id'!B:I, 8, FALSE), "Not found path.")</f>
        <v>1.31.0</v>
      </c>
      <c r="J797" s="3" t="s">
        <v>2376</v>
      </c>
      <c r="K797" s="31" t="s">
        <v>48</v>
      </c>
      <c r="L797" s="78" t="s">
        <v>428</v>
      </c>
      <c r="M797" s="3" t="s">
        <v>5405</v>
      </c>
      <c r="N797" s="3" t="str">
        <f t="shared" si="1"/>
        <v>PATCH /system/cards/creditCard/v1/paymentCardIndicator/update</v>
      </c>
      <c r="O797" s="32" t="s">
        <v>5427</v>
      </c>
      <c r="P797" s="32" t="s">
        <v>652</v>
      </c>
      <c r="Q797" s="61" t="s">
        <v>98</v>
      </c>
      <c r="R797" s="31" t="s">
        <v>56</v>
      </c>
      <c r="S797" s="38" t="str">
        <f t="shared" si="2"/>
        <v>https://github.com/SF-Bancoppel/mx-api-bc-pro-credit-card</v>
      </c>
      <c r="T797" s="40"/>
      <c r="U797" s="40"/>
      <c r="V797" s="40"/>
      <c r="W797" s="40"/>
      <c r="X797" s="40"/>
      <c r="Y797" s="40"/>
      <c r="Z797" s="40"/>
      <c r="AA797" s="40"/>
      <c r="AB797" s="40"/>
    </row>
    <row r="798" ht="18.75" customHeight="1">
      <c r="A798" s="18" t="str">
        <f t="array" ref="A798">IFERROR(
  INDEX(
    'api-register-id'!A:A,
    MATCH(F798, 'api-register-id'!B:B, 0)
  ),
  "Not found Organization"
)</f>
        <v>SSFF</v>
      </c>
      <c r="B798" s="22" t="str">
        <f>IFERROR(VLOOKUP(F798, 'api-register-id'!B:F, 4, FALSE), "Not found path.")</f>
        <v>mx-api-bc-pro-credit-card</v>
      </c>
      <c r="C798" s="78" t="s">
        <v>41</v>
      </c>
      <c r="D798" s="78" t="s">
        <v>811</v>
      </c>
      <c r="E798" s="24" t="str">
        <f>IFERROR(VLOOKUP(F798, 'api-register-id'!B:F, 5, FALSE), "Not found path.")</f>
        <v>APIMX000068</v>
      </c>
      <c r="F798" s="25" t="s">
        <v>913</v>
      </c>
      <c r="G798" s="26" t="s">
        <v>5428</v>
      </c>
      <c r="H798" s="22" t="s">
        <v>5429</v>
      </c>
      <c r="I798" s="29" t="str">
        <f>IFERROR(VLOOKUP(F798, 'api-register-id'!B:I, 8, FALSE), "Not found path.")</f>
        <v>1.31.0</v>
      </c>
      <c r="J798" s="3" t="s">
        <v>2376</v>
      </c>
      <c r="K798" s="31" t="s">
        <v>48</v>
      </c>
      <c r="L798" s="78" t="s">
        <v>49</v>
      </c>
      <c r="M798" s="3" t="s">
        <v>5409</v>
      </c>
      <c r="N798" s="3" t="str">
        <f t="shared" si="1"/>
        <v>POST /system/cards/creditCard/v1/paymentCardIndicator/initiate</v>
      </c>
      <c r="O798" s="32" t="s">
        <v>5430</v>
      </c>
      <c r="P798" s="32" t="s">
        <v>652</v>
      </c>
      <c r="Q798" s="61" t="s">
        <v>98</v>
      </c>
      <c r="R798" s="31" t="s">
        <v>56</v>
      </c>
      <c r="S798" s="38" t="str">
        <f t="shared" si="2"/>
        <v>https://github.com/SF-Bancoppel/mx-api-bc-pro-credit-card</v>
      </c>
      <c r="T798" s="40"/>
      <c r="U798" s="40"/>
      <c r="V798" s="40"/>
      <c r="W798" s="40"/>
      <c r="X798" s="40"/>
      <c r="Y798" s="40"/>
      <c r="Z798" s="40"/>
      <c r="AA798" s="40"/>
      <c r="AB798" s="40"/>
    </row>
    <row r="799" ht="18.75" customHeight="1">
      <c r="A799" s="18" t="str">
        <f t="array" ref="A799">IFERROR(
  INDEX(
    'api-register-id'!A:A,
    MATCH(F799, 'api-register-id'!B:B, 0)
  ),
  "Not found Organization"
)</f>
        <v>SSFF</v>
      </c>
      <c r="B799" s="22" t="str">
        <f>IFERROR(VLOOKUP(F799, 'api-register-id'!B:F, 4, FALSE), "Not found path.")</f>
        <v>mx-api-bc-pro-customer-products-and-services</v>
      </c>
      <c r="C799" s="78" t="s">
        <v>41</v>
      </c>
      <c r="D799" s="78" t="s">
        <v>811</v>
      </c>
      <c r="E799" s="24" t="str">
        <f>IFERROR(VLOOKUP(F799, 'api-register-id'!B:F, 5, FALSE), "Not found path.")</f>
        <v>APIMX000079</v>
      </c>
      <c r="F799" s="25" t="s">
        <v>2867</v>
      </c>
      <c r="G799" s="26" t="s">
        <v>5431</v>
      </c>
      <c r="H799" s="22" t="s">
        <v>5432</v>
      </c>
      <c r="I799" s="29" t="str">
        <f>IFERROR(VLOOKUP(F799, 'api-register-id'!B:I, 8, FALSE), "Not found path.")</f>
        <v>1.2.0</v>
      </c>
      <c r="J799" s="3" t="s">
        <v>2869</v>
      </c>
      <c r="K799" s="31" t="s">
        <v>48</v>
      </c>
      <c r="L799" s="78" t="s">
        <v>49</v>
      </c>
      <c r="M799" s="3" t="s">
        <v>5413</v>
      </c>
      <c r="N799" s="3" t="str">
        <f t="shared" si="1"/>
        <v>POST /system/customerManagement/customerProductsAndServices/v1/cardProduct/retrieve</v>
      </c>
      <c r="O799" s="32" t="s">
        <v>5414</v>
      </c>
      <c r="P799" s="32" t="s">
        <v>652</v>
      </c>
      <c r="Q799" s="61" t="s">
        <v>98</v>
      </c>
      <c r="R799" s="31" t="s">
        <v>56</v>
      </c>
      <c r="S799" s="38" t="str">
        <f t="shared" si="2"/>
        <v>https://github.com/SF-Bancoppel/mx-api-bc-pro-customer-products-and-services</v>
      </c>
      <c r="T799" s="40"/>
      <c r="U799" s="40"/>
      <c r="V799" s="40"/>
      <c r="W799" s="40"/>
      <c r="X799" s="40"/>
      <c r="Y799" s="40"/>
      <c r="Z799" s="40"/>
      <c r="AA799" s="40"/>
      <c r="AB799" s="40"/>
    </row>
    <row r="800" ht="18.75" customHeight="1">
      <c r="A800" s="18" t="str">
        <f t="array" ref="A800">IFERROR(
  INDEX(
    'api-register-id'!A:A,
    MATCH(F800, 'api-register-id'!B:B, 0)
  ),
  "Not found Organization"
)</f>
        <v>SSFF</v>
      </c>
      <c r="B800" s="22" t="str">
        <f>IFERROR(VLOOKUP(F800, 'api-register-id'!B:F, 4, FALSE), "Not found path.")</f>
        <v>mx-api-bc-pro-issued-device-administration</v>
      </c>
      <c r="C800" s="78" t="s">
        <v>41</v>
      </c>
      <c r="D800" s="78" t="s">
        <v>811</v>
      </c>
      <c r="E800" s="24" t="str">
        <f>IFERROR(VLOOKUP(F800, 'api-register-id'!B:F, 5, FALSE), "Not found path.")</f>
        <v>APIMX000090</v>
      </c>
      <c r="F800" s="25" t="s">
        <v>1155</v>
      </c>
      <c r="G800" s="26" t="s">
        <v>5433</v>
      </c>
      <c r="H800" s="22" t="s">
        <v>5434</v>
      </c>
      <c r="I800" s="29" t="str">
        <f>IFERROR(VLOOKUP(F800, 'api-register-id'!B:I, 8, FALSE), "Not found path.")</f>
        <v>1.3.0</v>
      </c>
      <c r="J800" s="3" t="s">
        <v>3022</v>
      </c>
      <c r="K800" s="31" t="s">
        <v>48</v>
      </c>
      <c r="L800" s="78" t="s">
        <v>49</v>
      </c>
      <c r="M800" s="3" t="s">
        <v>4435</v>
      </c>
      <c r="N800" s="3" t="str">
        <f t="shared" si="1"/>
        <v>POST /system/operationalServices/issuedDeviceAdministration/v1/reporting/register</v>
      </c>
      <c r="O800" s="32" t="s">
        <v>4437</v>
      </c>
      <c r="P800" s="32" t="s">
        <v>652</v>
      </c>
      <c r="Q800" s="61" t="s">
        <v>98</v>
      </c>
      <c r="R800" s="31" t="s">
        <v>56</v>
      </c>
      <c r="S800" s="38" t="str">
        <f t="shared" si="2"/>
        <v>https://github.com/SF-Bancoppel/mx-api-bc-pro-issued-device-administration</v>
      </c>
      <c r="T800" s="40"/>
      <c r="U800" s="40"/>
      <c r="V800" s="40"/>
      <c r="W800" s="40"/>
      <c r="X800" s="40"/>
      <c r="Y800" s="40"/>
      <c r="Z800" s="40"/>
      <c r="AA800" s="40"/>
      <c r="AB800" s="40"/>
    </row>
    <row r="801" ht="18.75" customHeight="1">
      <c r="A801" s="18" t="str">
        <f t="array" ref="A801">IFERROR(
  INDEX(
    'api-register-id'!A:A,
    MATCH(F801, 'api-register-id'!B:B, 0)
  ),
  "Not found Organization"
)</f>
        <v>SSFF</v>
      </c>
      <c r="B801" s="22" t="str">
        <f>IFERROR(VLOOKUP(F801, 'api-register-id'!B:F, 4, FALSE), "Not found path.")</f>
        <v>mx-api-bc-pro-issued-device-administration</v>
      </c>
      <c r="C801" s="78" t="s">
        <v>41</v>
      </c>
      <c r="D801" s="78" t="s">
        <v>811</v>
      </c>
      <c r="E801" s="24" t="str">
        <f>IFERROR(VLOOKUP(F801, 'api-register-id'!B:F, 5, FALSE), "Not found path.")</f>
        <v>APIMX000090</v>
      </c>
      <c r="F801" s="25" t="s">
        <v>1155</v>
      </c>
      <c r="G801" s="26" t="s">
        <v>5435</v>
      </c>
      <c r="H801" s="22" t="s">
        <v>5436</v>
      </c>
      <c r="I801" s="29" t="str">
        <f>IFERROR(VLOOKUP(F801, 'api-register-id'!B:I, 8, FALSE), "Not found path.")</f>
        <v>1.3.0</v>
      </c>
      <c r="J801" s="3" t="s">
        <v>3022</v>
      </c>
      <c r="K801" s="31" t="s">
        <v>48</v>
      </c>
      <c r="L801" s="78" t="s">
        <v>49</v>
      </c>
      <c r="M801" s="3" t="s">
        <v>4439</v>
      </c>
      <c r="N801" s="3" t="str">
        <f t="shared" si="1"/>
        <v>POST /system/operationalServices/issuedDeviceAdministration/v1/issuedDeviceAllocation/register</v>
      </c>
      <c r="O801" s="32" t="s">
        <v>4441</v>
      </c>
      <c r="P801" s="32" t="s">
        <v>652</v>
      </c>
      <c r="Q801" s="61" t="s">
        <v>98</v>
      </c>
      <c r="R801" s="31" t="s">
        <v>56</v>
      </c>
      <c r="S801" s="38" t="str">
        <f t="shared" si="2"/>
        <v>https://github.com/SF-Bancoppel/mx-api-bc-pro-issued-device-administration</v>
      </c>
      <c r="T801" s="40"/>
      <c r="U801" s="40"/>
      <c r="V801" s="40"/>
      <c r="W801" s="40"/>
      <c r="X801" s="40"/>
      <c r="Y801" s="40"/>
      <c r="Z801" s="40"/>
      <c r="AA801" s="40"/>
      <c r="AB801" s="40"/>
    </row>
    <row r="802" ht="18.75" customHeight="1">
      <c r="A802" s="18" t="str">
        <f t="array" ref="A802">IFERROR(
  INDEX(
    'api-register-id'!A:A,
    MATCH(F802, 'api-register-id'!B:B, 0)
  ),
  "Not found Organization"
)</f>
        <v>SSFF</v>
      </c>
      <c r="B802" s="22" t="str">
        <f>IFERROR(VLOOKUP(F802, 'api-register-id'!B:F, 4, FALSE), "Not found path.")</f>
        <v>mx-api-bc-pro-issued-device-tracking</v>
      </c>
      <c r="C802" s="78" t="s">
        <v>41</v>
      </c>
      <c r="D802" s="78" t="s">
        <v>811</v>
      </c>
      <c r="E802" s="24" t="str">
        <f>IFERROR(VLOOKUP(F802, 'api-register-id'!B:F, 5, FALSE), "Not found path.")</f>
        <v>APIMX000091</v>
      </c>
      <c r="F802" s="25" t="s">
        <v>1167</v>
      </c>
      <c r="G802" s="26" t="s">
        <v>5437</v>
      </c>
      <c r="H802" s="22" t="s">
        <v>5438</v>
      </c>
      <c r="I802" s="29" t="str">
        <f>IFERROR(VLOOKUP(F802, 'api-register-id'!B:I, 8, FALSE), "Not found path.")</f>
        <v>1.1.0</v>
      </c>
      <c r="J802" s="3" t="s">
        <v>5003</v>
      </c>
      <c r="K802" s="31" t="s">
        <v>48</v>
      </c>
      <c r="L802" s="78" t="s">
        <v>428</v>
      </c>
      <c r="M802" s="3" t="s">
        <v>5421</v>
      </c>
      <c r="N802" s="3" t="str">
        <f t="shared" si="1"/>
        <v>PATCH /system/operationalServices/issuedDeviceTracking/v1/issuedDeviceState/update</v>
      </c>
      <c r="O802" s="32" t="s">
        <v>1850</v>
      </c>
      <c r="P802" s="32" t="s">
        <v>652</v>
      </c>
      <c r="Q802" s="61" t="s">
        <v>98</v>
      </c>
      <c r="R802" s="31" t="s">
        <v>56</v>
      </c>
      <c r="S802" s="38" t="str">
        <f t="shared" si="2"/>
        <v>https://github.com/SF-Bancoppel/mx-api-bc-pro-issued-device-tracking</v>
      </c>
      <c r="T802" s="40"/>
      <c r="U802" s="40"/>
      <c r="V802" s="40"/>
      <c r="W802" s="40"/>
      <c r="X802" s="40"/>
      <c r="Y802" s="40"/>
      <c r="Z802" s="40"/>
      <c r="AA802" s="40"/>
      <c r="AB802" s="40"/>
    </row>
    <row r="803" ht="18.75" customHeight="1">
      <c r="A803" s="18" t="str">
        <f t="array" ref="A803">IFERROR(
  INDEX(
    'api-register-id'!A:A,
    MATCH(F803, 'api-register-id'!B:B, 0)
  ),
  "Not found Organization"
)</f>
        <v>SSFF</v>
      </c>
      <c r="B803" s="22" t="str">
        <f>IFERROR(VLOOKUP(F803, 'api-register-id'!B:F, 4, FALSE), "Not found path.")</f>
        <v>mx-api-bc-pro-party-authentication</v>
      </c>
      <c r="C803" s="78" t="s">
        <v>41</v>
      </c>
      <c r="D803" s="78" t="s">
        <v>811</v>
      </c>
      <c r="E803" s="24" t="str">
        <f>IFERROR(VLOOKUP(F803, 'api-register-id'!B:F, 5, FALSE), "Not found path.")</f>
        <v>APIMX000095</v>
      </c>
      <c r="F803" s="25" t="s">
        <v>1204</v>
      </c>
      <c r="G803" s="26" t="s">
        <v>5439</v>
      </c>
      <c r="H803" s="22" t="s">
        <v>5440</v>
      </c>
      <c r="I803" s="29" t="str">
        <f>IFERROR(VLOOKUP(F803, 'api-register-id'!B:I, 8, FALSE), "Not found path.")</f>
        <v>1.1.0</v>
      </c>
      <c r="J803" s="3" t="s">
        <v>3179</v>
      </c>
      <c r="K803" s="31" t="s">
        <v>48</v>
      </c>
      <c r="L803" s="78" t="s">
        <v>49</v>
      </c>
      <c r="M803" s="3" t="s">
        <v>4444</v>
      </c>
      <c r="N803" s="3" t="str">
        <f t="shared" si="1"/>
        <v>POST /system/crossChannel/partyAuthentication/v1/token/evaluate</v>
      </c>
      <c r="O803" s="32" t="s">
        <v>5441</v>
      </c>
      <c r="P803" s="32" t="s">
        <v>652</v>
      </c>
      <c r="Q803" s="61" t="s">
        <v>98</v>
      </c>
      <c r="R803" s="31" t="s">
        <v>56</v>
      </c>
      <c r="S803" s="38" t="str">
        <f t="shared" si="2"/>
        <v>https://github.com/SF-Bancoppel/mx-api-bc-pro-party-authentication</v>
      </c>
      <c r="T803" s="40"/>
      <c r="U803" s="40"/>
      <c r="V803" s="40"/>
      <c r="W803" s="40"/>
      <c r="X803" s="40"/>
      <c r="Y803" s="40"/>
      <c r="Z803" s="40"/>
      <c r="AA803" s="40"/>
      <c r="AB803" s="40"/>
    </row>
    <row r="804" ht="18.75" customHeight="1">
      <c r="A804" s="18" t="str">
        <f t="array" ref="A804">IFERROR(
  INDEX(
    'api-register-id'!A:A,
    MATCH(F804, 'api-register-id'!B:B, 0)
  ),
  "Not found Organization"
)</f>
        <v>SSFF</v>
      </c>
      <c r="B804" s="22" t="str">
        <f>IFERROR(VLOOKUP(F804, 'api-register-id'!B:F, 4, FALSE), "Not found path.")</f>
        <v>mx-api-bc-rec-operations-and-execution</v>
      </c>
      <c r="C804" s="78" t="s">
        <v>112</v>
      </c>
      <c r="D804" s="78" t="s">
        <v>1417</v>
      </c>
      <c r="E804" s="24" t="str">
        <f>IFERROR(VLOOKUP(F804, 'api-register-id'!B:F, 5, FALSE), "Not found path.")</f>
        <v>APIMX000137</v>
      </c>
      <c r="F804" s="25" t="s">
        <v>1649</v>
      </c>
      <c r="G804" s="26" t="s">
        <v>5442</v>
      </c>
      <c r="H804" s="22" t="s">
        <v>5443</v>
      </c>
      <c r="I804" s="29" t="str">
        <f>IFERROR(VLOOKUP(F804, 'api-register-id'!B:I, 8, FALSE), "Not found path.")</f>
        <v>1.3.1</v>
      </c>
      <c r="J804" s="3" t="s">
        <v>4726</v>
      </c>
      <c r="K804" s="31" t="s">
        <v>48</v>
      </c>
      <c r="L804" s="78" t="s">
        <v>428</v>
      </c>
      <c r="M804" s="3" t="s">
        <v>726</v>
      </c>
      <c r="N804" s="3" t="str">
        <f t="shared" si="1"/>
        <v>PATCH /experience/operationsAndExecution/v1/paymentCard/update</v>
      </c>
      <c r="O804" s="32" t="s">
        <v>728</v>
      </c>
      <c r="P804" s="32" t="s">
        <v>652</v>
      </c>
      <c r="Q804" s="61" t="s">
        <v>5444</v>
      </c>
      <c r="R804" s="31" t="s">
        <v>56</v>
      </c>
      <c r="S804" s="38" t="str">
        <f t="shared" si="2"/>
        <v>https://github.com/SF-Bancoppel/mx-api-bc-rec-operations-and-execution</v>
      </c>
      <c r="T804" s="40"/>
      <c r="U804" s="40"/>
      <c r="V804" s="40"/>
      <c r="W804" s="40"/>
      <c r="X804" s="40"/>
      <c r="Y804" s="40"/>
      <c r="Z804" s="40"/>
      <c r="AA804" s="40"/>
      <c r="AB804" s="40"/>
    </row>
    <row r="805" ht="18.75" customHeight="1">
      <c r="A805" s="18" t="str">
        <f t="array" ref="A805">IFERROR(
  INDEX(
    'api-register-id'!A:A,
    MATCH(F805, 'api-register-id'!B:B, 0)
  ),
  "Not found Organization"
)</f>
        <v>SSFF</v>
      </c>
      <c r="B805" s="22" t="str">
        <f>IFERROR(VLOOKUP(F805, 'api-register-id'!B:F, 4, FALSE), "Not found path.")</f>
        <v>mx-api-bc-rec-operations-and-execution</v>
      </c>
      <c r="C805" s="78" t="s">
        <v>112</v>
      </c>
      <c r="D805" s="78" t="s">
        <v>1417</v>
      </c>
      <c r="E805" s="24" t="str">
        <f>IFERROR(VLOOKUP(F805, 'api-register-id'!B:F, 5, FALSE), "Not found path.")</f>
        <v>APIMX000137</v>
      </c>
      <c r="F805" s="25" t="s">
        <v>1649</v>
      </c>
      <c r="G805" s="26" t="s">
        <v>5445</v>
      </c>
      <c r="H805" s="22" t="s">
        <v>5446</v>
      </c>
      <c r="I805" s="29" t="str">
        <f>IFERROR(VLOOKUP(F805, 'api-register-id'!B:I, 8, FALSE), "Not found path.")</f>
        <v>1.3.1</v>
      </c>
      <c r="J805" s="3" t="s">
        <v>4726</v>
      </c>
      <c r="K805" s="31" t="s">
        <v>48</v>
      </c>
      <c r="L805" s="78" t="s">
        <v>49</v>
      </c>
      <c r="M805" s="3" t="s">
        <v>821</v>
      </c>
      <c r="N805" s="3" t="str">
        <f t="shared" si="1"/>
        <v>POST /experience/operationsAndExecution/v1/creditCardStatement/retrieve</v>
      </c>
      <c r="O805" s="32" t="s">
        <v>823</v>
      </c>
      <c r="P805" s="32" t="s">
        <v>652</v>
      </c>
      <c r="Q805" s="61" t="s">
        <v>5447</v>
      </c>
      <c r="R805" s="31" t="s">
        <v>56</v>
      </c>
      <c r="S805" s="38" t="str">
        <f t="shared" si="2"/>
        <v>https://github.com/SF-Bancoppel/mx-api-bc-rec-operations-and-execution</v>
      </c>
      <c r="T805" s="40"/>
      <c r="U805" s="40"/>
      <c r="V805" s="40"/>
      <c r="W805" s="40"/>
      <c r="X805" s="40"/>
      <c r="Y805" s="40"/>
      <c r="Z805" s="40"/>
      <c r="AA805" s="40"/>
      <c r="AB805" s="40"/>
    </row>
    <row r="806" ht="18.75" customHeight="1">
      <c r="A806" s="18" t="str">
        <f t="array" ref="A806">IFERROR(
  INDEX(
    'api-register-id'!A:A,
    MATCH(F806, 'api-register-id'!B:B, 0)
  ),
  "Not found Organization"
)</f>
        <v>SSFF</v>
      </c>
      <c r="B806" s="22" t="str">
        <f>IFERROR(VLOOKUP(F806, 'api-register-id'!B:F, 4, FALSE), "Not found path.")</f>
        <v>mx-api-bc-rec-sales-and-service</v>
      </c>
      <c r="C806" s="78" t="s">
        <v>112</v>
      </c>
      <c r="D806" s="78" t="s">
        <v>1417</v>
      </c>
      <c r="E806" s="24" t="str">
        <f>IFERROR(VLOOKUP(F806, 'api-register-id'!B:F, 5, FALSE), "Not found path.")</f>
        <v>APIMX000148</v>
      </c>
      <c r="F806" s="25" t="s">
        <v>1764</v>
      </c>
      <c r="G806" s="26" t="s">
        <v>5448</v>
      </c>
      <c r="H806" s="22" t="s">
        <v>5449</v>
      </c>
      <c r="I806" s="29" t="str">
        <f>IFERROR(VLOOKUP(F806, 'api-register-id'!B:I, 8, FALSE), "Not found path.")</f>
        <v>1.13.0</v>
      </c>
      <c r="J806" s="3" t="s">
        <v>4891</v>
      </c>
      <c r="K806" s="31" t="s">
        <v>48</v>
      </c>
      <c r="L806" s="78" t="s">
        <v>49</v>
      </c>
      <c r="M806" s="3" t="s">
        <v>5400</v>
      </c>
      <c r="N806" s="3" t="str">
        <f t="shared" si="1"/>
        <v>POST /experience/salesAndService/v1/cardManagement/retrieve</v>
      </c>
      <c r="O806" s="32" t="s">
        <v>5401</v>
      </c>
      <c r="P806" s="32" t="s">
        <v>652</v>
      </c>
      <c r="Q806" s="61" t="s">
        <v>5450</v>
      </c>
      <c r="R806" s="31" t="s">
        <v>56</v>
      </c>
      <c r="S806" s="38" t="str">
        <f t="shared" si="2"/>
        <v>https://github.com/SF-Bancoppel/mx-api-bc-rec-sales-and-service</v>
      </c>
      <c r="T806" s="40"/>
      <c r="U806" s="40"/>
      <c r="V806" s="40"/>
      <c r="W806" s="40"/>
      <c r="X806" s="40"/>
      <c r="Y806" s="40"/>
      <c r="Z806" s="40"/>
      <c r="AA806" s="40"/>
      <c r="AB806" s="40"/>
    </row>
    <row r="807" ht="18.75" customHeight="1">
      <c r="A807" s="18" t="str">
        <f t="array" ref="A807">IFERROR(
  INDEX(
    'api-register-id'!A:A,
    MATCH(F807, 'api-register-id'!B:B, 0)
  ),
  "Not found Organization"
)</f>
        <v>SSFF</v>
      </c>
      <c r="B807" s="22" t="str">
        <f>IFERROR(VLOOKUP(F807, 'api-register-id'!B:F, 4, FALSE), "Not found path.")</f>
        <v>mx-api-bc-bus-operations-and-execution</v>
      </c>
      <c r="C807" s="78" t="s">
        <v>41</v>
      </c>
      <c r="D807" s="78" t="s">
        <v>42</v>
      </c>
      <c r="E807" s="24" t="str">
        <f>IFERROR(VLOOKUP(F807, 'api-register-id'!B:F, 5, FALSE), "Not found path.")</f>
        <v>APIMX000002</v>
      </c>
      <c r="F807" s="25" t="s">
        <v>72</v>
      </c>
      <c r="G807" s="26" t="s">
        <v>5451</v>
      </c>
      <c r="H807" s="22" t="s">
        <v>5452</v>
      </c>
      <c r="I807" s="29" t="str">
        <f>IFERROR(VLOOKUP(F807, 'api-register-id'!B:I, 8, FALSE), "Not found path.")</f>
        <v>1.16.1</v>
      </c>
      <c r="J807" s="3" t="s">
        <v>93</v>
      </c>
      <c r="K807" s="31" t="s">
        <v>48</v>
      </c>
      <c r="L807" s="78" t="s">
        <v>49</v>
      </c>
      <c r="M807" s="3" t="s">
        <v>1116</v>
      </c>
      <c r="N807" s="3" t="str">
        <f t="shared" si="1"/>
        <v>POST /operationsAndExecution/v1/tokenAssignment/initiate</v>
      </c>
      <c r="O807" s="32" t="s">
        <v>5453</v>
      </c>
      <c r="P807" s="32"/>
      <c r="Q807" s="61" t="s">
        <v>98</v>
      </c>
      <c r="R807" s="31" t="s">
        <v>56</v>
      </c>
      <c r="S807" s="38" t="str">
        <f t="shared" si="2"/>
        <v>https://github.com/SF-Bancoppel/mx-api-bc-bus-operations-and-execution</v>
      </c>
      <c r="T807" s="40"/>
      <c r="U807" s="40"/>
      <c r="V807" s="40"/>
      <c r="W807" s="40"/>
      <c r="X807" s="40"/>
      <c r="Y807" s="40"/>
      <c r="Z807" s="40"/>
      <c r="AA807" s="40"/>
      <c r="AB807" s="40"/>
    </row>
    <row r="808" ht="18.75" customHeight="1">
      <c r="A808" s="18" t="str">
        <f t="array" ref="A808">IFERROR(
  INDEX(
    'api-register-id'!A:A,
    MATCH(F808, 'api-register-id'!B:B, 0)
  ),
  "Not found Organization"
)</f>
        <v>SSFF</v>
      </c>
      <c r="B808" s="22" t="str">
        <f>IFERROR(VLOOKUP(F808, 'api-register-id'!B:F, 4, FALSE), "Not found path.")</f>
        <v>mx-api-bc-dom-document-services</v>
      </c>
      <c r="C808" s="78" t="s">
        <v>41</v>
      </c>
      <c r="D808" s="78" t="s">
        <v>119</v>
      </c>
      <c r="E808" s="24" t="str">
        <f>IFERROR(VLOOKUP(F808, 'api-register-id'!B:F, 5, FALSE), "Not found path.")</f>
        <v>APIMX000028</v>
      </c>
      <c r="F808" s="25" t="s">
        <v>462</v>
      </c>
      <c r="G808" s="26" t="s">
        <v>5454</v>
      </c>
      <c r="H808" s="22" t="s">
        <v>5455</v>
      </c>
      <c r="I808" s="29" t="str">
        <f>IFERROR(VLOOKUP(F808, 'api-register-id'!B:I, 8, FALSE), "Not found path.")</f>
        <v>1.7.0</v>
      </c>
      <c r="J808" s="3" t="s">
        <v>1028</v>
      </c>
      <c r="K808" s="31" t="s">
        <v>48</v>
      </c>
      <c r="L808" s="78" t="s">
        <v>49</v>
      </c>
      <c r="M808" s="3" t="s">
        <v>5456</v>
      </c>
      <c r="N808" s="3" t="str">
        <f t="shared" si="1"/>
        <v>POST /documentManagementAndArchive/documentServices/v1/documentServiceProcedure/activate</v>
      </c>
      <c r="O808" s="32" t="s">
        <v>5457</v>
      </c>
      <c r="P808" s="32"/>
      <c r="Q808" s="61" t="s">
        <v>5458</v>
      </c>
      <c r="R808" s="31" t="s">
        <v>56</v>
      </c>
      <c r="S808" s="38" t="str">
        <f t="shared" si="2"/>
        <v>https://github.com/SF-Bancoppel/mx-api-bc-dom-document-services</v>
      </c>
      <c r="T808" s="40"/>
      <c r="U808" s="40"/>
      <c r="V808" s="40"/>
      <c r="W808" s="40"/>
      <c r="X808" s="40"/>
      <c r="Y808" s="40"/>
      <c r="Z808" s="40"/>
      <c r="AA808" s="40"/>
      <c r="AB808" s="40"/>
    </row>
    <row r="809" ht="18.75" customHeight="1">
      <c r="A809" s="18" t="str">
        <f t="array" ref="A809">IFERROR(
  INDEX(
    'api-register-id'!A:A,
    MATCH(F809, 'api-register-id'!B:B, 0)
  ),
  "Not found Organization"
)</f>
        <v>SSFF</v>
      </c>
      <c r="B809" s="22" t="str">
        <f>IFERROR(VLOOKUP(F809, 'api-register-id'!B:F, 4, FALSE), "Not found path.")</f>
        <v>mx-api-bc-dom-document-services</v>
      </c>
      <c r="C809" s="78" t="s">
        <v>41</v>
      </c>
      <c r="D809" s="78" t="s">
        <v>119</v>
      </c>
      <c r="E809" s="24" t="str">
        <f>IFERROR(VLOOKUP(F809, 'api-register-id'!B:F, 5, FALSE), "Not found path.")</f>
        <v>APIMX000028</v>
      </c>
      <c r="F809" s="25" t="s">
        <v>462</v>
      </c>
      <c r="G809" s="26" t="s">
        <v>5459</v>
      </c>
      <c r="H809" s="22" t="s">
        <v>5460</v>
      </c>
      <c r="I809" s="29" t="str">
        <f>IFERROR(VLOOKUP(F809, 'api-register-id'!B:I, 8, FALSE), "Not found path.")</f>
        <v>1.7.0</v>
      </c>
      <c r="J809" s="3" t="s">
        <v>1028</v>
      </c>
      <c r="K809" s="31" t="s">
        <v>48</v>
      </c>
      <c r="L809" s="78" t="s">
        <v>49</v>
      </c>
      <c r="M809" s="3" t="s">
        <v>5461</v>
      </c>
      <c r="N809" s="3" t="str">
        <f t="shared" si="1"/>
        <v>POST /documentManagementAndArchive/documentServices/v1/documentServiceProcedure/retrieve</v>
      </c>
      <c r="O809" s="32" t="s">
        <v>5462</v>
      </c>
      <c r="P809" s="32"/>
      <c r="Q809" s="61" t="s">
        <v>5463</v>
      </c>
      <c r="R809" s="31" t="s">
        <v>56</v>
      </c>
      <c r="S809" s="38" t="str">
        <f t="shared" si="2"/>
        <v>https://github.com/SF-Bancoppel/mx-api-bc-dom-document-services</v>
      </c>
      <c r="T809" s="40"/>
      <c r="U809" s="40"/>
      <c r="V809" s="40"/>
      <c r="W809" s="40"/>
      <c r="X809" s="40"/>
      <c r="Y809" s="40"/>
      <c r="Z809" s="40"/>
      <c r="AA809" s="40"/>
      <c r="AB809" s="40"/>
    </row>
    <row r="810" ht="18.75" customHeight="1">
      <c r="A810" s="18" t="str">
        <f t="array" ref="A810">IFERROR(
  INDEX(
    'api-register-id'!A:A,
    MATCH(F810, 'api-register-id'!B:B, 0)
  ),
  "Not found Organization"
)</f>
        <v>SSFF</v>
      </c>
      <c r="B810" s="22" t="str">
        <f>IFERROR(VLOOKUP(F810, 'api-register-id'!B:F, 4, FALSE), "Not found path.")</f>
        <v>mx-api-bc-dom-issued-device-administration</v>
      </c>
      <c r="C810" s="78" t="s">
        <v>41</v>
      </c>
      <c r="D810" s="78" t="s">
        <v>119</v>
      </c>
      <c r="E810" s="24" t="str">
        <f>IFERROR(VLOOKUP(F810, 'api-register-id'!B:F, 5, FALSE), "Not found path.")</f>
        <v>APIMX000034</v>
      </c>
      <c r="F810" s="25" t="s">
        <v>551</v>
      </c>
      <c r="G810" s="26" t="s">
        <v>5464</v>
      </c>
      <c r="H810" s="22" t="s">
        <v>5465</v>
      </c>
      <c r="I810" s="29" t="str">
        <f>IFERROR(VLOOKUP(F810, 'api-register-id'!B:I, 8, FALSE), "Not found path.")</f>
        <v>1.2.1</v>
      </c>
      <c r="J810" s="3" t="s">
        <v>1102</v>
      </c>
      <c r="K810" s="31" t="s">
        <v>48</v>
      </c>
      <c r="L810" s="78" t="s">
        <v>61</v>
      </c>
      <c r="M810" s="3" t="s">
        <v>5466</v>
      </c>
      <c r="N810" s="3" t="str">
        <f t="shared" si="1"/>
        <v>PUT /operationalServices/issuedDeviceAdministration/v1/tokenAssignment/update</v>
      </c>
      <c r="O810" s="32" t="s">
        <v>5467</v>
      </c>
      <c r="P810" s="32"/>
      <c r="Q810" s="61" t="s">
        <v>5468</v>
      </c>
      <c r="R810" s="31" t="s">
        <v>56</v>
      </c>
      <c r="S810" s="38" t="str">
        <f t="shared" si="2"/>
        <v>https://github.com/SF-Bancoppel/mx-api-bc-dom-issued-device-administration</v>
      </c>
      <c r="T810" s="40"/>
      <c r="U810" s="40"/>
      <c r="V810" s="40"/>
      <c r="W810" s="40"/>
      <c r="X810" s="40"/>
      <c r="Y810" s="40"/>
      <c r="Z810" s="40"/>
      <c r="AA810" s="40"/>
      <c r="AB810" s="40"/>
    </row>
    <row r="811" ht="18.75" customHeight="1">
      <c r="A811" s="18" t="str">
        <f t="array" ref="A811">IFERROR(
  INDEX(
    'api-register-id'!A:A,
    MATCH(F811, 'api-register-id'!B:B, 0)
  ),
  "Not found Organization"
)</f>
        <v>SSFF</v>
      </c>
      <c r="B811" s="22" t="str">
        <f>IFERROR(VLOOKUP(F811, 'api-register-id'!B:F, 4, FALSE), "Not found path.")</f>
        <v>mx-api-bc-dom-party-lifecycle-management</v>
      </c>
      <c r="C811" s="78" t="s">
        <v>41</v>
      </c>
      <c r="D811" s="78" t="s">
        <v>119</v>
      </c>
      <c r="E811" s="24" t="str">
        <f>IFERROR(VLOOKUP(F811, 'api-register-id'!B:F, 5, FALSE), "Not found path.")</f>
        <v>APIMX000040</v>
      </c>
      <c r="F811" s="25" t="s">
        <v>624</v>
      </c>
      <c r="G811" s="26" t="s">
        <v>5469</v>
      </c>
      <c r="H811" s="22" t="s">
        <v>5470</v>
      </c>
      <c r="I811" s="29" t="str">
        <f>IFERROR(VLOOKUP(F811, 'api-register-id'!B:I, 8, FALSE), "Not found path.")</f>
        <v>2.2.2</v>
      </c>
      <c r="J811" s="3" t="s">
        <v>1315</v>
      </c>
      <c r="K811" s="31" t="s">
        <v>48</v>
      </c>
      <c r="L811" s="78" t="s">
        <v>49</v>
      </c>
      <c r="M811" s="3" t="s">
        <v>1555</v>
      </c>
      <c r="N811" s="3" t="str">
        <f t="shared" si="1"/>
        <v>POST /sales/partyLifecycleManagement/v1/contactPoint/retrieve</v>
      </c>
      <c r="O811" s="32" t="s">
        <v>5471</v>
      </c>
      <c r="P811" s="32"/>
      <c r="Q811" s="61" t="s">
        <v>98</v>
      </c>
      <c r="R811" s="31" t="s">
        <v>56</v>
      </c>
      <c r="S811" s="38" t="str">
        <f t="shared" si="2"/>
        <v>https://github.com/SF-Bancoppel/mx-api-bc-dom-party-lifecycle-management</v>
      </c>
      <c r="T811" s="40"/>
      <c r="U811" s="40"/>
      <c r="V811" s="40"/>
      <c r="W811" s="40"/>
      <c r="X811" s="40"/>
      <c r="Y811" s="40"/>
      <c r="Z811" s="40"/>
      <c r="AA811" s="40"/>
      <c r="AB811" s="40"/>
    </row>
    <row r="812" ht="18.75" customHeight="1">
      <c r="A812" s="18" t="str">
        <f t="array" ref="A812">IFERROR(
  INDEX(
    'api-register-id'!A:A,
    MATCH(F812, 'api-register-id'!B:B, 0)
  ),
  "Not found Organization"
)</f>
        <v>SSFF</v>
      </c>
      <c r="B812" s="22" t="str">
        <f>IFERROR(VLOOKUP(F812, 'api-register-id'!B:F, 4, FALSE), "Not found path.")</f>
        <v>mx-api-bc-pro-document-services</v>
      </c>
      <c r="C812" s="78" t="s">
        <v>41</v>
      </c>
      <c r="D812" s="78" t="s">
        <v>811</v>
      </c>
      <c r="E812" s="24" t="str">
        <f>IFERROR(VLOOKUP(F812, 'api-register-id'!B:F, 5, FALSE), "Not found path.")</f>
        <v>APIMX000084</v>
      </c>
      <c r="F812" s="25" t="s">
        <v>1088</v>
      </c>
      <c r="G812" s="26" t="s">
        <v>5472</v>
      </c>
      <c r="H812" s="22" t="s">
        <v>5473</v>
      </c>
      <c r="I812" s="29" t="str">
        <f>IFERROR(VLOOKUP(F812, 'api-register-id'!B:I, 8, FALSE), "Not found path.")</f>
        <v>1.7.0</v>
      </c>
      <c r="J812" s="3" t="s">
        <v>2950</v>
      </c>
      <c r="K812" s="31" t="s">
        <v>48</v>
      </c>
      <c r="L812" s="78" t="s">
        <v>49</v>
      </c>
      <c r="M812" s="3" t="s">
        <v>5456</v>
      </c>
      <c r="N812" s="3" t="str">
        <f t="shared" si="1"/>
        <v>POST /system/documentManagementAndArchive/documentServices/v1/documentServiceProcedure/activate</v>
      </c>
      <c r="O812" s="32" t="s">
        <v>5457</v>
      </c>
      <c r="P812" s="32"/>
      <c r="Q812" s="61" t="s">
        <v>5474</v>
      </c>
      <c r="R812" s="31" t="s">
        <v>56</v>
      </c>
      <c r="S812" s="38" t="str">
        <f t="shared" si="2"/>
        <v>https://github.com/SF-Bancoppel/mx-api-bc-pro-document-services</v>
      </c>
      <c r="T812" s="40"/>
      <c r="U812" s="40"/>
      <c r="V812" s="40"/>
      <c r="W812" s="40"/>
      <c r="X812" s="40"/>
      <c r="Y812" s="40"/>
      <c r="Z812" s="40"/>
      <c r="AA812" s="40"/>
      <c r="AB812" s="40"/>
    </row>
    <row r="813" ht="18.75" customHeight="1">
      <c r="A813" s="18" t="str">
        <f t="array" ref="A813">IFERROR(
  INDEX(
    'api-register-id'!A:A,
    MATCH(F813, 'api-register-id'!B:B, 0)
  ),
  "Not found Organization"
)</f>
        <v>SSFF</v>
      </c>
      <c r="B813" s="22" t="str">
        <f>IFERROR(VLOOKUP(F813, 'api-register-id'!B:F, 4, FALSE), "Not found path.")</f>
        <v>mx-api-bc-pro-document-services</v>
      </c>
      <c r="C813" s="78" t="s">
        <v>41</v>
      </c>
      <c r="D813" s="78" t="s">
        <v>811</v>
      </c>
      <c r="E813" s="24" t="str">
        <f>IFERROR(VLOOKUP(F813, 'api-register-id'!B:F, 5, FALSE), "Not found path.")</f>
        <v>APIMX000084</v>
      </c>
      <c r="F813" s="25" t="s">
        <v>1088</v>
      </c>
      <c r="G813" s="26" t="s">
        <v>5475</v>
      </c>
      <c r="H813" s="22" t="s">
        <v>5476</v>
      </c>
      <c r="I813" s="29" t="str">
        <f>IFERROR(VLOOKUP(F813, 'api-register-id'!B:I, 8, FALSE), "Not found path.")</f>
        <v>1.7.0</v>
      </c>
      <c r="J813" s="3" t="s">
        <v>2950</v>
      </c>
      <c r="K813" s="31" t="s">
        <v>48</v>
      </c>
      <c r="L813" s="78" t="s">
        <v>49</v>
      </c>
      <c r="M813" s="3" t="s">
        <v>5461</v>
      </c>
      <c r="N813" s="3" t="str">
        <f t="shared" si="1"/>
        <v>POST /system/documentManagementAndArchive/documentServices/v1/documentServiceProcedure/retrieve</v>
      </c>
      <c r="O813" s="32" t="s">
        <v>5477</v>
      </c>
      <c r="P813" s="32"/>
      <c r="Q813" s="61" t="s">
        <v>5478</v>
      </c>
      <c r="R813" s="31" t="s">
        <v>56</v>
      </c>
      <c r="S813" s="38" t="str">
        <f t="shared" si="2"/>
        <v>https://github.com/SF-Bancoppel/mx-api-bc-pro-document-services</v>
      </c>
      <c r="T813" s="40"/>
      <c r="U813" s="40"/>
      <c r="V813" s="40"/>
      <c r="W813" s="40"/>
      <c r="X813" s="40"/>
      <c r="Y813" s="40"/>
      <c r="Z813" s="40"/>
      <c r="AA813" s="40"/>
      <c r="AB813" s="40"/>
    </row>
    <row r="814" ht="18.75" customHeight="1">
      <c r="A814" s="18" t="str">
        <f t="array" ref="A814">IFERROR(
  INDEX(
    'api-register-id'!A:A,
    MATCH(F814, 'api-register-id'!B:B, 0)
  ),
  "Not found Organization"
)</f>
        <v>SSFF</v>
      </c>
      <c r="B814" s="22" t="str">
        <f>IFERROR(VLOOKUP(F814, 'api-register-id'!B:F, 4, FALSE), "Not found path.")</f>
        <v>mx-api-bc-pro-issued-device-administration</v>
      </c>
      <c r="C814" s="78" t="s">
        <v>41</v>
      </c>
      <c r="D814" s="78" t="s">
        <v>811</v>
      </c>
      <c r="E814" s="24" t="str">
        <f>IFERROR(VLOOKUP(F814, 'api-register-id'!B:F, 5, FALSE), "Not found path.")</f>
        <v>APIMX000090</v>
      </c>
      <c r="F814" s="25" t="s">
        <v>1155</v>
      </c>
      <c r="G814" s="26" t="s">
        <v>5479</v>
      </c>
      <c r="H814" s="22" t="s">
        <v>5480</v>
      </c>
      <c r="I814" s="29" t="str">
        <f>IFERROR(VLOOKUP(F814, 'api-register-id'!B:I, 8, FALSE), "Not found path.")</f>
        <v>1.3.0</v>
      </c>
      <c r="J814" s="3" t="s">
        <v>3022</v>
      </c>
      <c r="K814" s="31" t="s">
        <v>48</v>
      </c>
      <c r="L814" s="78" t="s">
        <v>61</v>
      </c>
      <c r="M814" s="3" t="s">
        <v>5466</v>
      </c>
      <c r="N814" s="3" t="str">
        <f t="shared" si="1"/>
        <v>PUT /system/operationalServices/issuedDeviceAdministration/v1/tokenAssignment/update</v>
      </c>
      <c r="O814" s="32" t="s">
        <v>5481</v>
      </c>
      <c r="P814" s="32"/>
      <c r="Q814" s="61" t="s">
        <v>5482</v>
      </c>
      <c r="R814" s="31" t="s">
        <v>56</v>
      </c>
      <c r="S814" s="38" t="str">
        <f t="shared" si="2"/>
        <v>https://github.com/SF-Bancoppel/mx-api-bc-pro-issued-device-administration</v>
      </c>
      <c r="T814" s="40"/>
      <c r="U814" s="40"/>
      <c r="V814" s="40"/>
      <c r="W814" s="40"/>
      <c r="X814" s="40"/>
      <c r="Y814" s="40"/>
      <c r="Z814" s="40"/>
      <c r="AA814" s="40"/>
      <c r="AB814" s="40"/>
    </row>
    <row r="815" ht="18.75" customHeight="1">
      <c r="A815" s="18" t="str">
        <f t="array" ref="A815">IFERROR(
  INDEX(
    'api-register-id'!A:A,
    MATCH(F815, 'api-register-id'!B:B, 0)
  ),
  "Not found Organization"
)</f>
        <v>SSFF</v>
      </c>
      <c r="B815" s="22" t="str">
        <f>IFERROR(VLOOKUP(F815, 'api-register-id'!B:F, 4, FALSE), "Not found path.")</f>
        <v>mx-api-bc-pro-party-lifecycle-management</v>
      </c>
      <c r="C815" s="78" t="s">
        <v>41</v>
      </c>
      <c r="D815" s="78" t="s">
        <v>811</v>
      </c>
      <c r="E815" s="24" t="str">
        <f>IFERROR(VLOOKUP(F815, 'api-register-id'!B:F, 5, FALSE), "Not found path.")</f>
        <v>APIMX000096</v>
      </c>
      <c r="F815" s="25" t="s">
        <v>1214</v>
      </c>
      <c r="G815" s="26" t="s">
        <v>5483</v>
      </c>
      <c r="H815" s="22" t="s">
        <v>5484</v>
      </c>
      <c r="I815" s="29" t="str">
        <f>IFERROR(VLOOKUP(F815, 'api-register-id'!B:I, 8, FALSE), "Not found path.")</f>
        <v>2.3.2</v>
      </c>
      <c r="J815" s="3" t="s">
        <v>3197</v>
      </c>
      <c r="K815" s="31" t="s">
        <v>48</v>
      </c>
      <c r="L815" s="78" t="s">
        <v>49</v>
      </c>
      <c r="M815" s="3" t="s">
        <v>1555</v>
      </c>
      <c r="N815" s="3" t="str">
        <f t="shared" si="1"/>
        <v>POST /system/sales/partyLifecycleManagement/v1/contactPoint/retrieve</v>
      </c>
      <c r="O815" s="32" t="s">
        <v>5471</v>
      </c>
      <c r="P815" s="32"/>
      <c r="Q815" s="61" t="s">
        <v>5485</v>
      </c>
      <c r="R815" s="31" t="s">
        <v>56</v>
      </c>
      <c r="S815" s="38" t="str">
        <f t="shared" si="2"/>
        <v>https://github.com/SF-Bancoppel/mx-api-bc-pro-party-lifecycle-management</v>
      </c>
      <c r="T815" s="40"/>
      <c r="U815" s="40"/>
      <c r="V815" s="40"/>
      <c r="W815" s="40"/>
      <c r="X815" s="40"/>
      <c r="Y815" s="40"/>
      <c r="Z815" s="40"/>
      <c r="AA815" s="40"/>
      <c r="AB815" s="40"/>
    </row>
    <row r="816" ht="18.75" customHeight="1">
      <c r="A816" s="18" t="str">
        <f t="array" ref="A816">IFERROR(
  INDEX(
    'api-register-id'!A:A,
    MATCH(F816, 'api-register-id'!B:B, 0)
  ),
  "Not found Organization"
)</f>
        <v>SSFF</v>
      </c>
      <c r="B816" s="22" t="str">
        <f>IFERROR(VLOOKUP(F816, 'api-register-id'!B:F, 4, FALSE), "Not found path.")</f>
        <v>mx-api-bc-rec-document-services</v>
      </c>
      <c r="C816" s="78" t="s">
        <v>112</v>
      </c>
      <c r="D816" s="78" t="s">
        <v>1417</v>
      </c>
      <c r="E816" s="24" t="str">
        <f>IFERROR(VLOOKUP(F816, 'api-register-id'!B:F, 5, FALSE), "Not found path.")</f>
        <v>APIMX000132</v>
      </c>
      <c r="F816" s="25" t="s">
        <v>1596</v>
      </c>
      <c r="G816" s="26" t="s">
        <v>5486</v>
      </c>
      <c r="H816" s="22" t="s">
        <v>5487</v>
      </c>
      <c r="I816" s="29" t="str">
        <f>IFERROR(VLOOKUP(F816, 'api-register-id'!B:I, 8, FALSE), "Not found path.")</f>
        <v>1.4.1</v>
      </c>
      <c r="J816" s="3" t="s">
        <v>3841</v>
      </c>
      <c r="K816" s="31" t="s">
        <v>48</v>
      </c>
      <c r="L816" s="78" t="s">
        <v>49</v>
      </c>
      <c r="M816" s="3" t="s">
        <v>5456</v>
      </c>
      <c r="N816" s="3" t="str">
        <f t="shared" si="1"/>
        <v>POST /experience/documentManagementAndArchive/documentServices/v1/documentServiceProcedure/activate</v>
      </c>
      <c r="O816" s="32" t="s">
        <v>5457</v>
      </c>
      <c r="P816" s="32"/>
      <c r="Q816" s="61" t="s">
        <v>5488</v>
      </c>
      <c r="R816" s="31" t="s">
        <v>56</v>
      </c>
      <c r="S816" s="38" t="str">
        <f t="shared" si="2"/>
        <v>https://github.com/SF-Bancoppel/mx-api-bc-rec-document-services</v>
      </c>
      <c r="T816" s="40"/>
      <c r="U816" s="40"/>
      <c r="V816" s="40"/>
      <c r="W816" s="40"/>
      <c r="X816" s="40"/>
      <c r="Y816" s="40"/>
      <c r="Z816" s="40"/>
      <c r="AA816" s="40"/>
      <c r="AB816" s="40"/>
    </row>
    <row r="817" ht="18.75" customHeight="1">
      <c r="A817" s="18" t="str">
        <f t="array" ref="A817">IFERROR(
  INDEX(
    'api-register-id'!A:A,
    MATCH(F817, 'api-register-id'!B:B, 0)
  ),
  "Not found Organization"
)</f>
        <v>SSFF</v>
      </c>
      <c r="B817" s="22" t="str">
        <f>IFERROR(VLOOKUP(F817, 'api-register-id'!B:F, 4, FALSE), "Not found path.")</f>
        <v>mx-api-bc-rec-document-services</v>
      </c>
      <c r="C817" s="78" t="s">
        <v>112</v>
      </c>
      <c r="D817" s="78" t="s">
        <v>1417</v>
      </c>
      <c r="E817" s="24" t="str">
        <f>IFERROR(VLOOKUP(F817, 'api-register-id'!B:F, 5, FALSE), "Not found path.")</f>
        <v>APIMX000132</v>
      </c>
      <c r="F817" s="25" t="s">
        <v>1596</v>
      </c>
      <c r="G817" s="26" t="s">
        <v>5489</v>
      </c>
      <c r="H817" s="22" t="s">
        <v>5490</v>
      </c>
      <c r="I817" s="29" t="str">
        <f>IFERROR(VLOOKUP(F817, 'api-register-id'!B:I, 8, FALSE), "Not found path.")</f>
        <v>1.4.1</v>
      </c>
      <c r="J817" s="3" t="s">
        <v>3841</v>
      </c>
      <c r="K817" s="31" t="s">
        <v>48</v>
      </c>
      <c r="L817" s="78" t="s">
        <v>49</v>
      </c>
      <c r="M817" s="3" t="s">
        <v>5461</v>
      </c>
      <c r="N817" s="3" t="str">
        <f t="shared" si="1"/>
        <v>POST /experience/documentManagementAndArchive/documentServices/v1/documentServiceProcedure/retrieve</v>
      </c>
      <c r="O817" s="32" t="s">
        <v>2952</v>
      </c>
      <c r="P817" s="32"/>
      <c r="Q817" s="61" t="s">
        <v>98</v>
      </c>
      <c r="R817" s="31" t="s">
        <v>56</v>
      </c>
      <c r="S817" s="38" t="str">
        <f t="shared" si="2"/>
        <v>https://github.com/SF-Bancoppel/mx-api-bc-rec-document-services</v>
      </c>
      <c r="T817" s="40"/>
      <c r="U817" s="40"/>
      <c r="V817" s="40"/>
      <c r="W817" s="40"/>
      <c r="X817" s="40"/>
      <c r="Y817" s="40"/>
      <c r="Z817" s="40"/>
      <c r="AA817" s="40"/>
      <c r="AB817" s="40"/>
    </row>
    <row r="818" ht="18.75" customHeight="1">
      <c r="A818" s="18" t="str">
        <f t="array" ref="A818">IFERROR(
  INDEX(
    'api-register-id'!A:A,
    MATCH(F818, 'api-register-id'!B:B, 0)
  ),
  "Not found Organization"
)</f>
        <v>SSFF</v>
      </c>
      <c r="B818" s="22" t="str">
        <f>IFERROR(VLOOKUP(F818, 'api-register-id'!B:F, 4, FALSE), "Not found path.")</f>
        <v>mx-api-bc-rec-operations-and-execution</v>
      </c>
      <c r="C818" s="78" t="s">
        <v>112</v>
      </c>
      <c r="D818" s="78" t="s">
        <v>1417</v>
      </c>
      <c r="E818" s="24" t="str">
        <f>IFERROR(VLOOKUP(F818, 'api-register-id'!B:F, 5, FALSE), "Not found path.")</f>
        <v>APIMX000137</v>
      </c>
      <c r="F818" s="25" t="s">
        <v>1649</v>
      </c>
      <c r="G818" s="26" t="s">
        <v>5491</v>
      </c>
      <c r="H818" s="22" t="s">
        <v>5492</v>
      </c>
      <c r="I818" s="29" t="str">
        <f>IFERROR(VLOOKUP(F818, 'api-register-id'!B:I, 8, FALSE), "Not found path.")</f>
        <v>1.3.1</v>
      </c>
      <c r="J818" s="3" t="s">
        <v>4726</v>
      </c>
      <c r="K818" s="31" t="s">
        <v>48</v>
      </c>
      <c r="L818" s="78" t="s">
        <v>49</v>
      </c>
      <c r="M818" s="3" t="s">
        <v>1116</v>
      </c>
      <c r="N818" s="3" t="str">
        <f t="shared" si="1"/>
        <v>POST /experience/operationsAndExecution/v1/tokenAssignment/initiate</v>
      </c>
      <c r="O818" s="32" t="s">
        <v>5453</v>
      </c>
      <c r="P818" s="32"/>
      <c r="Q818" s="61" t="s">
        <v>98</v>
      </c>
      <c r="R818" s="31" t="s">
        <v>56</v>
      </c>
      <c r="S818" s="38" t="str">
        <f t="shared" si="2"/>
        <v>https://github.com/SF-Bancoppel/mx-api-bc-rec-operations-and-execution</v>
      </c>
      <c r="T818" s="40"/>
      <c r="U818" s="40"/>
      <c r="V818" s="40"/>
      <c r="W818" s="40"/>
      <c r="X818" s="40"/>
      <c r="Y818" s="40"/>
      <c r="Z818" s="40"/>
      <c r="AA818" s="40"/>
      <c r="AB818" s="40"/>
    </row>
    <row r="819" ht="18.75" customHeight="1">
      <c r="A819" s="79" t="str">
        <f t="array" ref="A819">IFERROR(
  INDEX(
    'api-register-id'!A:A,
    MATCH(F819, 'api-register-id'!B:B, 0)
  ),
  "Not found Organization"
)</f>
        <v>SSFF</v>
      </c>
      <c r="B819" s="65" t="str">
        <f>IFERROR(VLOOKUP(F819, 'api-register-id'!B:F, 4, FALSE), "Not found path.")</f>
        <v>mx-api-bc-bus-business-support</v>
      </c>
      <c r="C819" s="184" t="s">
        <v>41</v>
      </c>
      <c r="D819" s="184" t="s">
        <v>42</v>
      </c>
      <c r="E819" s="81" t="str">
        <f>IFERROR(VLOOKUP(F819, 'api-register-id'!B:F, 5, FALSE), "Not found path.")</f>
        <v>APIMX000001</v>
      </c>
      <c r="F819" s="82" t="s">
        <v>43</v>
      </c>
      <c r="G819" s="83" t="s">
        <v>5493</v>
      </c>
      <c r="H819" s="65" t="s">
        <v>5494</v>
      </c>
      <c r="I819" s="84" t="str">
        <f>IFERROR(VLOOKUP(F819, 'api-register-id'!B:I, 8, FALSE), "Not found path.")</f>
        <v>1.3.0</v>
      </c>
      <c r="J819" s="85" t="s">
        <v>47</v>
      </c>
      <c r="K819" s="81" t="s">
        <v>48</v>
      </c>
      <c r="L819" s="184" t="s">
        <v>49</v>
      </c>
      <c r="M819" s="85" t="s">
        <v>5461</v>
      </c>
      <c r="N819" s="85" t="str">
        <f t="shared" si="1"/>
        <v>POST /businessSupport/v1/documentServiceProcedure/retrieve</v>
      </c>
      <c r="O819" s="86" t="s">
        <v>5495</v>
      </c>
      <c r="P819" s="86"/>
      <c r="Q819" s="87" t="s">
        <v>98</v>
      </c>
      <c r="R819" s="81" t="s">
        <v>56</v>
      </c>
      <c r="S819" s="88" t="str">
        <f t="shared" si="2"/>
        <v>https://github.com/SF-Bancoppel/mx-api-bc-bus-business-support</v>
      </c>
      <c r="T819" s="66"/>
      <c r="U819" s="40"/>
      <c r="V819" s="40"/>
      <c r="W819" s="40"/>
      <c r="X819" s="40"/>
      <c r="Y819" s="40"/>
      <c r="Z819" s="40"/>
      <c r="AA819" s="40"/>
      <c r="AB819" s="40"/>
    </row>
    <row r="820" ht="18.75" customHeight="1">
      <c r="A820" s="18" t="str">
        <f t="array" ref="A820">IFERROR(
  INDEX(
    'api-register-id'!A:A,
    MATCH(F820, 'api-register-id'!B:B, 0)
  ),
  "Not found Organization"
)</f>
        <v>SSFF</v>
      </c>
      <c r="B820" s="22" t="str">
        <f>IFERROR(VLOOKUP(F820, 'api-register-id'!B:F, 4, FALSE), "Not found path.")</f>
        <v>mx-api-bc-bus-operations-and-execution</v>
      </c>
      <c r="C820" s="78" t="s">
        <v>41</v>
      </c>
      <c r="D820" s="78" t="s">
        <v>42</v>
      </c>
      <c r="E820" s="24" t="str">
        <f>IFERROR(VLOOKUP(F820, 'api-register-id'!B:F, 5, FALSE), "Not found path.")</f>
        <v>APIMX000002</v>
      </c>
      <c r="F820" s="25" t="s">
        <v>72</v>
      </c>
      <c r="G820" s="26" t="s">
        <v>5496</v>
      </c>
      <c r="H820" s="22" t="s">
        <v>5497</v>
      </c>
      <c r="I820" s="29" t="str">
        <f>IFERROR(VLOOKUP(F820, 'api-register-id'!B:I, 8, FALSE), "Not found path.")</f>
        <v>1.16.1</v>
      </c>
      <c r="J820" s="3" t="s">
        <v>93</v>
      </c>
      <c r="K820" s="31" t="s">
        <v>48</v>
      </c>
      <c r="L820" s="78" t="s">
        <v>49</v>
      </c>
      <c r="M820" s="198" t="s">
        <v>5498</v>
      </c>
      <c r="N820" s="3" t="str">
        <f t="shared" si="1"/>
        <v>POST /operationsAndExecution/v1/accountStatementPeriod/retrieve</v>
      </c>
      <c r="O820" s="32" t="s">
        <v>5499</v>
      </c>
      <c r="P820" s="32"/>
      <c r="Q820" s="61" t="s">
        <v>5500</v>
      </c>
      <c r="R820" s="31" t="s">
        <v>56</v>
      </c>
      <c r="S820" s="38" t="str">
        <f t="shared" si="2"/>
        <v>https://github.com/SF-Bancoppel/mx-api-bc-bus-operations-and-execution</v>
      </c>
      <c r="T820" s="40"/>
      <c r="U820" s="40"/>
      <c r="V820" s="40"/>
      <c r="W820" s="40"/>
      <c r="X820" s="40"/>
      <c r="Y820" s="40"/>
      <c r="Z820" s="40"/>
      <c r="AA820" s="40"/>
      <c r="AB820" s="40"/>
    </row>
    <row r="821" ht="18.75" customHeight="1">
      <c r="A821" s="18" t="str">
        <f t="array" ref="A821">IFERROR(
  INDEX(
    'api-register-id'!A:A,
    MATCH(F821, 'api-register-id'!B:B, 0)
  ),
  "Not found Organization"
)</f>
        <v>SSFF</v>
      </c>
      <c r="B821" s="22" t="str">
        <f>IFERROR(VLOOKUP(F821, 'api-register-id'!B:F, 4, FALSE), "Not found path.")</f>
        <v>mx-api-bc-bus-operations-and-execution</v>
      </c>
      <c r="C821" s="78" t="s">
        <v>41</v>
      </c>
      <c r="D821" s="78" t="s">
        <v>42</v>
      </c>
      <c r="E821" s="24" t="str">
        <f>IFERROR(VLOOKUP(F821, 'api-register-id'!B:F, 5, FALSE), "Not found path.")</f>
        <v>APIMX000002</v>
      </c>
      <c r="F821" s="25" t="s">
        <v>72</v>
      </c>
      <c r="G821" s="26" t="s">
        <v>5501</v>
      </c>
      <c r="H821" s="22" t="s">
        <v>5502</v>
      </c>
      <c r="I821" s="29" t="str">
        <f>IFERROR(VLOOKUP(F821, 'api-register-id'!B:I, 8, FALSE), "Not found path.")</f>
        <v>1.16.1</v>
      </c>
      <c r="J821" s="3" t="s">
        <v>93</v>
      </c>
      <c r="K821" s="31" t="s">
        <v>48</v>
      </c>
      <c r="L821" s="78" t="s">
        <v>49</v>
      </c>
      <c r="M821" s="3" t="s">
        <v>821</v>
      </c>
      <c r="N821" s="3" t="str">
        <f t="shared" si="1"/>
        <v>POST /operationsAndExecution/v1/creditCardStatement/retrieve</v>
      </c>
      <c r="O821" s="32" t="s">
        <v>823</v>
      </c>
      <c r="P821" s="32"/>
      <c r="Q821" s="61" t="s">
        <v>5500</v>
      </c>
      <c r="R821" s="31" t="s">
        <v>56</v>
      </c>
      <c r="S821" s="38" t="str">
        <f t="shared" si="2"/>
        <v>https://github.com/SF-Bancoppel/mx-api-bc-bus-operations-and-execution</v>
      </c>
      <c r="T821" s="40"/>
      <c r="U821" s="40"/>
      <c r="V821" s="40"/>
      <c r="W821" s="40"/>
      <c r="X821" s="40"/>
      <c r="Y821" s="40"/>
      <c r="Z821" s="40"/>
      <c r="AA821" s="40"/>
      <c r="AB821" s="40"/>
    </row>
    <row r="822" ht="18.75" customHeight="1">
      <c r="A822" s="18" t="str">
        <f t="array" ref="A822">IFERROR(
  INDEX(
    'api-register-id'!A:A,
    MATCH(F822, 'api-register-id'!B:B, 0)
  ),
  "Not found Organization"
)</f>
        <v>SSFF</v>
      </c>
      <c r="B822" s="22" t="str">
        <f>IFERROR(VLOOKUP(F822, 'api-register-id'!B:F, 4, FALSE), "Not found path.")</f>
        <v>mx-api-bc-bus-operations-and-execution</v>
      </c>
      <c r="C822" s="78" t="s">
        <v>41</v>
      </c>
      <c r="D822" s="78" t="s">
        <v>42</v>
      </c>
      <c r="E822" s="24" t="str">
        <f>IFERROR(VLOOKUP(F822, 'api-register-id'!B:F, 5, FALSE), "Not found path.")</f>
        <v>APIMX000002</v>
      </c>
      <c r="F822" s="25" t="s">
        <v>72</v>
      </c>
      <c r="G822" s="26" t="s">
        <v>5503</v>
      </c>
      <c r="H822" s="22" t="s">
        <v>5504</v>
      </c>
      <c r="I822" s="29" t="str">
        <f>IFERROR(VLOOKUP(F822, 'api-register-id'!B:I, 8, FALSE), "Not found path.")</f>
        <v>1.16.1</v>
      </c>
      <c r="J822" s="3" t="s">
        <v>93</v>
      </c>
      <c r="K822" s="31" t="s">
        <v>48</v>
      </c>
      <c r="L822" s="78" t="s">
        <v>61</v>
      </c>
      <c r="M822" s="3" t="s">
        <v>589</v>
      </c>
      <c r="N822" s="3" t="str">
        <f t="shared" si="1"/>
        <v>PUT /operationsAndExecution/v1/creditCardApplication/update</v>
      </c>
      <c r="O822" s="32" t="s">
        <v>5505</v>
      </c>
      <c r="P822" s="32"/>
      <c r="Q822" s="61" t="s">
        <v>5506</v>
      </c>
      <c r="R822" s="31" t="s">
        <v>56</v>
      </c>
      <c r="S822" s="38" t="str">
        <f t="shared" si="2"/>
        <v>https://github.com/SF-Bancoppel/mx-api-bc-bus-operations-and-execution</v>
      </c>
      <c r="T822" s="40"/>
      <c r="U822" s="40"/>
      <c r="V822" s="40"/>
      <c r="W822" s="40"/>
      <c r="X822" s="40"/>
      <c r="Y822" s="40"/>
      <c r="Z822" s="40"/>
      <c r="AA822" s="40"/>
      <c r="AB822" s="40"/>
    </row>
    <row r="823" ht="18.75" customHeight="1">
      <c r="A823" s="18" t="str">
        <f t="array" ref="A823">IFERROR(
  INDEX(
    'api-register-id'!A:A,
    MATCH(F823, 'api-register-id'!B:B, 0)
  ),
  "Not found Organization"
)</f>
        <v>SSFF</v>
      </c>
      <c r="B823" s="22" t="str">
        <f>IFERROR(VLOOKUP(F823, 'api-register-id'!B:F, 4, FALSE), "Not found path.")</f>
        <v>mx-api-bc-bus-operations-and-execution</v>
      </c>
      <c r="C823" s="78" t="s">
        <v>41</v>
      </c>
      <c r="D823" s="78" t="s">
        <v>42</v>
      </c>
      <c r="E823" s="24" t="str">
        <f>IFERROR(VLOOKUP(F823, 'api-register-id'!B:F, 5, FALSE), "Not found path.")</f>
        <v>APIMX000002</v>
      </c>
      <c r="F823" s="25" t="s">
        <v>72</v>
      </c>
      <c r="G823" s="26" t="s">
        <v>5507</v>
      </c>
      <c r="H823" s="22" t="s">
        <v>5508</v>
      </c>
      <c r="I823" s="29" t="str">
        <f>IFERROR(VLOOKUP(F823, 'api-register-id'!B:I, 8, FALSE), "Not found path.")</f>
        <v>1.16.1</v>
      </c>
      <c r="J823" s="3" t="s">
        <v>93</v>
      </c>
      <c r="K823" s="31" t="s">
        <v>48</v>
      </c>
      <c r="L823" s="78" t="s">
        <v>49</v>
      </c>
      <c r="M823" s="3" t="s">
        <v>5509</v>
      </c>
      <c r="N823" s="3" t="str">
        <f t="shared" si="1"/>
        <v>POST /operationsAndExecution/v1/accountTransaction/retrieve</v>
      </c>
      <c r="O823" s="32" t="s">
        <v>5510</v>
      </c>
      <c r="P823" s="32"/>
      <c r="Q823" s="61" t="s">
        <v>5511</v>
      </c>
      <c r="R823" s="31" t="s">
        <v>56</v>
      </c>
      <c r="S823" s="38" t="str">
        <f t="shared" si="2"/>
        <v>https://github.com/SF-Bancoppel/mx-api-bc-bus-operations-and-execution</v>
      </c>
      <c r="T823" s="40"/>
      <c r="U823" s="40"/>
      <c r="V823" s="40"/>
      <c r="W823" s="40"/>
      <c r="X823" s="40"/>
      <c r="Y823" s="40"/>
      <c r="Z823" s="40"/>
      <c r="AA823" s="40"/>
      <c r="AB823" s="40"/>
    </row>
    <row r="824" ht="18.75" customHeight="1">
      <c r="A824" s="18" t="str">
        <f t="array" ref="A824">IFERROR(
  INDEX(
    'api-register-id'!A:A,
    MATCH(F824, 'api-register-id'!B:B, 0)
  ),
  "Not found Organization"
)</f>
        <v>SSFF</v>
      </c>
      <c r="B824" s="22" t="str">
        <f>IFERROR(VLOOKUP(F824, 'api-register-id'!B:F, 4, FALSE), "Not found path.")</f>
        <v>mx-api-bc-bus-sales-and-service</v>
      </c>
      <c r="C824" s="78" t="s">
        <v>41</v>
      </c>
      <c r="D824" s="78" t="s">
        <v>42</v>
      </c>
      <c r="E824" s="24" t="str">
        <f>IFERROR(VLOOKUP(F824, 'api-register-id'!B:F, 5, FALSE), "Not found path.")</f>
        <v>APIMX000004</v>
      </c>
      <c r="F824" s="25" t="s">
        <v>101</v>
      </c>
      <c r="G824" s="26" t="s">
        <v>5512</v>
      </c>
      <c r="H824" s="22" t="s">
        <v>5513</v>
      </c>
      <c r="I824" s="29" t="str">
        <f>IFERROR(VLOOKUP(F824, 'api-register-id'!B:I, 8, FALSE), "Not found path.")</f>
        <v>1.12.0</v>
      </c>
      <c r="J824" s="3" t="s">
        <v>352</v>
      </c>
      <c r="K824" s="31" t="s">
        <v>48</v>
      </c>
      <c r="L824" s="78" t="s">
        <v>49</v>
      </c>
      <c r="M824" s="3" t="s">
        <v>5514</v>
      </c>
      <c r="N824" s="3" t="str">
        <f t="shared" si="1"/>
        <v>POST /salesAndService/v1/onBoardingDocumentTrace/register</v>
      </c>
      <c r="O824" s="32" t="s">
        <v>5515</v>
      </c>
      <c r="P824" s="32"/>
      <c r="Q824" s="36" t="s">
        <v>5516</v>
      </c>
      <c r="R824" s="31" t="s">
        <v>56</v>
      </c>
      <c r="S824" s="38" t="str">
        <f t="shared" si="2"/>
        <v>https://github.com/SF-Bancoppel/mx-api-bc-bus-sales-and-service</v>
      </c>
      <c r="T824" s="40"/>
      <c r="U824" s="40"/>
      <c r="V824" s="40"/>
      <c r="W824" s="40"/>
      <c r="X824" s="40"/>
      <c r="Y824" s="40"/>
      <c r="Z824" s="40"/>
      <c r="AA824" s="40"/>
      <c r="AB824" s="40"/>
    </row>
    <row r="825" ht="18.75" customHeight="1">
      <c r="A825" s="18" t="str">
        <f t="array" ref="A825">IFERROR(
  INDEX(
    'api-register-id'!A:A,
    MATCH(F825, 'api-register-id'!B:B, 0)
  ),
  "Not found Organization"
)</f>
        <v>SSFF</v>
      </c>
      <c r="B825" s="22" t="str">
        <f>IFERROR(VLOOKUP(F825, 'api-register-id'!B:F, 4, FALSE), "Not found path.")</f>
        <v>mx-api-bc-bus-sales-and-service</v>
      </c>
      <c r="C825" s="78" t="s">
        <v>41</v>
      </c>
      <c r="D825" s="78" t="s">
        <v>42</v>
      </c>
      <c r="E825" s="24" t="str">
        <f>IFERROR(VLOOKUP(F825, 'api-register-id'!B:F, 5, FALSE), "Not found path.")</f>
        <v>APIMX000004</v>
      </c>
      <c r="F825" s="25" t="s">
        <v>101</v>
      </c>
      <c r="G825" s="26" t="s">
        <v>5517</v>
      </c>
      <c r="H825" s="22" t="s">
        <v>5518</v>
      </c>
      <c r="I825" s="29" t="str">
        <f>IFERROR(VLOOKUP(F825, 'api-register-id'!B:I, 8, FALSE), "Not found path.")</f>
        <v>1.12.0</v>
      </c>
      <c r="J825" s="3" t="s">
        <v>352</v>
      </c>
      <c r="K825" s="31" t="s">
        <v>48</v>
      </c>
      <c r="L825" s="78" t="s">
        <v>49</v>
      </c>
      <c r="M825" s="3" t="s">
        <v>5519</v>
      </c>
      <c r="N825" s="3" t="str">
        <f t="shared" si="1"/>
        <v>POST /salesAndService/v1/onBoardingDocumentContract/register</v>
      </c>
      <c r="O825" s="32" t="s">
        <v>5520</v>
      </c>
      <c r="P825" s="32"/>
      <c r="Q825" s="36" t="s">
        <v>5521</v>
      </c>
      <c r="R825" s="31" t="s">
        <v>56</v>
      </c>
      <c r="S825" s="38" t="str">
        <f t="shared" si="2"/>
        <v>https://github.com/SF-Bancoppel/mx-api-bc-bus-sales-and-service</v>
      </c>
      <c r="T825" s="40"/>
      <c r="U825" s="40"/>
      <c r="V825" s="40"/>
      <c r="W825" s="40"/>
      <c r="X825" s="40"/>
      <c r="Y825" s="40"/>
      <c r="Z825" s="40"/>
      <c r="AA825" s="40"/>
      <c r="AB825" s="40"/>
    </row>
    <row r="826" ht="18.75" customHeight="1">
      <c r="A826" s="18" t="str">
        <f t="array" ref="A826">IFERROR(
  INDEX(
    'api-register-id'!A:A,
    MATCH(F826, 'api-register-id'!B:B, 0)
  ),
  "Not found Organization"
)</f>
        <v>SSFF</v>
      </c>
      <c r="B826" s="22" t="str">
        <f>IFERROR(VLOOKUP(F826, 'api-register-id'!B:F, 4, FALSE), "Not found path.")</f>
        <v>mx-api-bc-bus-sales-and-service</v>
      </c>
      <c r="C826" s="78" t="s">
        <v>41</v>
      </c>
      <c r="D826" s="78" t="s">
        <v>42</v>
      </c>
      <c r="E826" s="24" t="str">
        <f>IFERROR(VLOOKUP(F826, 'api-register-id'!B:F, 5, FALSE), "Not found path.")</f>
        <v>APIMX000004</v>
      </c>
      <c r="F826" s="25" t="s">
        <v>101</v>
      </c>
      <c r="G826" s="26" t="s">
        <v>5522</v>
      </c>
      <c r="H826" s="22" t="s">
        <v>5523</v>
      </c>
      <c r="I826" s="29" t="str">
        <f>IFERROR(VLOOKUP(F826, 'api-register-id'!B:I, 8, FALSE), "Not found path.")</f>
        <v>1.12.0</v>
      </c>
      <c r="J826" s="3" t="s">
        <v>352</v>
      </c>
      <c r="K826" s="31" t="s">
        <v>48</v>
      </c>
      <c r="L826" s="78" t="s">
        <v>49</v>
      </c>
      <c r="M826" s="3" t="s">
        <v>5524</v>
      </c>
      <c r="N826" s="3" t="str">
        <f t="shared" si="1"/>
        <v>POST /salesAndService/v1/onBoardingDocumentation/register</v>
      </c>
      <c r="O826" s="32" t="s">
        <v>5525</v>
      </c>
      <c r="P826" s="32"/>
      <c r="Q826" s="61" t="s">
        <v>5526</v>
      </c>
      <c r="R826" s="31" t="s">
        <v>56</v>
      </c>
      <c r="S826" s="38" t="str">
        <f t="shared" si="2"/>
        <v>https://github.com/SF-Bancoppel/mx-api-bc-bus-sales-and-service</v>
      </c>
      <c r="T826" s="40"/>
      <c r="U826" s="40"/>
      <c r="V826" s="40"/>
      <c r="W826" s="40"/>
      <c r="X826" s="40"/>
      <c r="Y826" s="40"/>
      <c r="Z826" s="40"/>
      <c r="AA826" s="40"/>
      <c r="AB826" s="40"/>
    </row>
    <row r="827" ht="18.75" customHeight="1">
      <c r="A827" s="18" t="str">
        <f t="array" ref="A827">IFERROR(
  INDEX(
    'api-register-id'!A:A,
    MATCH(F827, 'api-register-id'!B:B, 0)
  ),
  "Not found Organization"
)</f>
        <v>SSFF</v>
      </c>
      <c r="B827" s="22" t="str">
        <f>IFERROR(VLOOKUP(F827, 'api-register-id'!B:F, 4, FALSE), "Not found path.")</f>
        <v>mx-api-bc-bus-sales-and-service</v>
      </c>
      <c r="C827" s="78" t="s">
        <v>41</v>
      </c>
      <c r="D827" s="78" t="s">
        <v>42</v>
      </c>
      <c r="E827" s="24" t="str">
        <f>IFERROR(VLOOKUP(F827, 'api-register-id'!B:F, 5, FALSE), "Not found path.")</f>
        <v>APIMX000004</v>
      </c>
      <c r="F827" s="25" t="s">
        <v>101</v>
      </c>
      <c r="G827" s="26" t="s">
        <v>5527</v>
      </c>
      <c r="H827" s="22" t="s">
        <v>5528</v>
      </c>
      <c r="I827" s="29" t="str">
        <f>IFERROR(VLOOKUP(F827, 'api-register-id'!B:I, 8, FALSE), "Not found path.")</f>
        <v>1.12.0</v>
      </c>
      <c r="J827" s="3" t="s">
        <v>352</v>
      </c>
      <c r="K827" s="31" t="s">
        <v>48</v>
      </c>
      <c r="L827" s="78" t="s">
        <v>49</v>
      </c>
      <c r="M827" s="3" t="s">
        <v>5529</v>
      </c>
      <c r="N827" s="3" t="str">
        <f t="shared" si="1"/>
        <v>POST /salesAndService/v1/onBoardingCreditCard/register</v>
      </c>
      <c r="O827" s="32" t="s">
        <v>5530</v>
      </c>
      <c r="P827" s="32"/>
      <c r="Q827" s="61" t="s">
        <v>5531</v>
      </c>
      <c r="R827" s="31" t="s">
        <v>56</v>
      </c>
      <c r="S827" s="38" t="str">
        <f t="shared" si="2"/>
        <v>https://github.com/SF-Bancoppel/mx-api-bc-bus-sales-and-service</v>
      </c>
      <c r="T827" s="40"/>
      <c r="U827" s="40"/>
      <c r="V827" s="40"/>
      <c r="W827" s="40"/>
      <c r="X827" s="40"/>
      <c r="Y827" s="40"/>
      <c r="Z827" s="40"/>
      <c r="AA827" s="40"/>
      <c r="AB827" s="40"/>
    </row>
    <row r="828" ht="18.75" customHeight="1">
      <c r="A828" s="18" t="str">
        <f t="array" ref="A828">IFERROR(
  INDEX(
    'api-register-id'!A:A,
    MATCH(F828, 'api-register-id'!B:B, 0)
  ),
  "Not found Organization"
)</f>
        <v>SSFF</v>
      </c>
      <c r="B828" s="22" t="str">
        <f>IFERROR(VLOOKUP(F828, 'api-register-id'!B:F, 4, FALSE), "Not found path.")</f>
        <v>mx-api-bc-dom-credit-card</v>
      </c>
      <c r="C828" s="78" t="s">
        <v>41</v>
      </c>
      <c r="D828" s="78" t="s">
        <v>119</v>
      </c>
      <c r="E828" s="24" t="str">
        <f>IFERROR(VLOOKUP(F828, 'api-register-id'!B:F, 5, FALSE), "Not found path.")</f>
        <v>APIMX000012</v>
      </c>
      <c r="F828" s="25" t="s">
        <v>218</v>
      </c>
      <c r="G828" s="26" t="s">
        <v>5532</v>
      </c>
      <c r="H828" s="22" t="s">
        <v>5533</v>
      </c>
      <c r="I828" s="29" t="str">
        <f>IFERROR(VLOOKUP(F828, 'api-register-id'!B:I, 8, FALSE), "Not found path.")</f>
        <v>1.31.0</v>
      </c>
      <c r="J828" s="3" t="s">
        <v>560</v>
      </c>
      <c r="K828" s="31" t="s">
        <v>48</v>
      </c>
      <c r="L828" s="78" t="s">
        <v>49</v>
      </c>
      <c r="M828" s="3" t="s">
        <v>5534</v>
      </c>
      <c r="N828" s="3" t="str">
        <f t="shared" si="1"/>
        <v>POST /cards/creditCard/v1/creditCardApplication/notify</v>
      </c>
      <c r="O828" s="32" t="s">
        <v>5535</v>
      </c>
      <c r="P828" s="32" t="s">
        <v>652</v>
      </c>
      <c r="Q828" s="61" t="s">
        <v>5536</v>
      </c>
      <c r="R828" s="31" t="s">
        <v>56</v>
      </c>
      <c r="S828" s="38" t="str">
        <f t="shared" si="2"/>
        <v>https://github.com/SF-Bancoppel/mx-api-bc-dom-credit-card</v>
      </c>
      <c r="T828" s="40"/>
      <c r="U828" s="40"/>
      <c r="V828" s="40"/>
      <c r="W828" s="40"/>
      <c r="X828" s="40"/>
      <c r="Y828" s="40"/>
      <c r="Z828" s="40"/>
      <c r="AA828" s="40"/>
      <c r="AB828" s="40"/>
    </row>
    <row r="829" ht="18.75" customHeight="1">
      <c r="A829" s="18" t="str">
        <f t="array" ref="A829">IFERROR(
  INDEX(
    'api-register-id'!A:A,
    MATCH(F829, 'api-register-id'!B:B, 0)
  ),
  "Not found Organization"
)</f>
        <v>SSFF</v>
      </c>
      <c r="B829" s="22" t="str">
        <f>IFERROR(VLOOKUP(F829, 'api-register-id'!B:F, 4, FALSE), "Not found path.")</f>
        <v>mx-api-bc-dom-credit-card</v>
      </c>
      <c r="C829" s="78" t="s">
        <v>41</v>
      </c>
      <c r="D829" s="78" t="s">
        <v>119</v>
      </c>
      <c r="E829" s="24" t="str">
        <f>IFERROR(VLOOKUP(F829, 'api-register-id'!B:F, 5, FALSE), "Not found path.")</f>
        <v>APIMX000012</v>
      </c>
      <c r="F829" s="25" t="s">
        <v>218</v>
      </c>
      <c r="G829" s="26" t="s">
        <v>5537</v>
      </c>
      <c r="H829" s="22" t="s">
        <v>5538</v>
      </c>
      <c r="I829" s="29" t="str">
        <f>IFERROR(VLOOKUP(F829, 'api-register-id'!B:I, 8, FALSE), "Not found path.")</f>
        <v>1.31.0</v>
      </c>
      <c r="J829" s="3" t="s">
        <v>560</v>
      </c>
      <c r="K829" s="31" t="s">
        <v>48</v>
      </c>
      <c r="L829" s="78" t="s">
        <v>108</v>
      </c>
      <c r="M829" s="3" t="s">
        <v>5539</v>
      </c>
      <c r="N829" s="3" t="str">
        <f t="shared" si="1"/>
        <v>GET /cards/creditCard/v1/totalCost/retrieve</v>
      </c>
      <c r="O829" s="32" t="s">
        <v>5540</v>
      </c>
      <c r="P829" s="32"/>
      <c r="Q829" s="61" t="s">
        <v>5541</v>
      </c>
      <c r="R829" s="31" t="s">
        <v>56</v>
      </c>
      <c r="S829" s="38" t="str">
        <f t="shared" si="2"/>
        <v>https://github.com/SF-Bancoppel/mx-api-bc-dom-credit-card</v>
      </c>
      <c r="T829" s="40"/>
      <c r="U829" s="40"/>
      <c r="V829" s="40"/>
      <c r="W829" s="40"/>
      <c r="X829" s="40"/>
      <c r="Y829" s="40"/>
      <c r="Z829" s="40"/>
      <c r="AA829" s="40"/>
      <c r="AB829" s="40"/>
    </row>
    <row r="830" ht="18.75" customHeight="1">
      <c r="A830" s="18" t="str">
        <f t="array" ref="A830">IFERROR(
  INDEX(
    'api-register-id'!A:A,
    MATCH(F830, 'api-register-id'!B:B, 0)
  ),
  "Not found Organization"
)</f>
        <v>SSFF</v>
      </c>
      <c r="B830" s="22" t="str">
        <f>IFERROR(VLOOKUP(F830, 'api-register-id'!B:F, 4, FALSE), "Not found path.")</f>
        <v>mx-api-bc-dom-credit-card</v>
      </c>
      <c r="C830" s="78" t="s">
        <v>41</v>
      </c>
      <c r="D830" s="78" t="s">
        <v>119</v>
      </c>
      <c r="E830" s="24" t="str">
        <f>IFERROR(VLOOKUP(F830, 'api-register-id'!B:F, 5, FALSE), "Not found path.")</f>
        <v>APIMX000012</v>
      </c>
      <c r="F830" s="25" t="s">
        <v>218</v>
      </c>
      <c r="G830" s="26" t="s">
        <v>5542</v>
      </c>
      <c r="H830" s="22" t="s">
        <v>5543</v>
      </c>
      <c r="I830" s="29" t="str">
        <f>IFERROR(VLOOKUP(F830, 'api-register-id'!B:I, 8, FALSE), "Not found path.")</f>
        <v>1.31.0</v>
      </c>
      <c r="J830" s="3" t="s">
        <v>560</v>
      </c>
      <c r="K830" s="31" t="s">
        <v>48</v>
      </c>
      <c r="L830" s="78" t="s">
        <v>49</v>
      </c>
      <c r="M830" s="3" t="s">
        <v>5544</v>
      </c>
      <c r="N830" s="3" t="str">
        <f t="shared" si="1"/>
        <v>POST /cards/creditCard/v1/creditCardAllocation/initiate</v>
      </c>
      <c r="O830" s="32" t="s">
        <v>5545</v>
      </c>
      <c r="P830" s="32"/>
      <c r="Q830" s="61" t="s">
        <v>98</v>
      </c>
      <c r="R830" s="31" t="s">
        <v>56</v>
      </c>
      <c r="S830" s="38" t="str">
        <f t="shared" si="2"/>
        <v>https://github.com/SF-Bancoppel/mx-api-bc-dom-credit-card</v>
      </c>
      <c r="T830" s="40"/>
      <c r="U830" s="40"/>
      <c r="V830" s="40"/>
      <c r="W830" s="40"/>
      <c r="X830" s="40"/>
      <c r="Y830" s="40"/>
      <c r="Z830" s="40"/>
      <c r="AA830" s="40"/>
      <c r="AB830" s="40"/>
    </row>
    <row r="831" ht="18.75" customHeight="1">
      <c r="A831" s="18" t="str">
        <f t="array" ref="A831">IFERROR(
  INDEX(
    'api-register-id'!A:A,
    MATCH(F831, 'api-register-id'!B:B, 0)
  ),
  "Not found Organization"
)</f>
        <v>SSFF</v>
      </c>
      <c r="B831" s="22" t="str">
        <f>IFERROR(VLOOKUP(F831, 'api-register-id'!B:F, 4, FALSE), "Not found path.")</f>
        <v>mx-api-bc-dom-credit-card</v>
      </c>
      <c r="C831" s="78" t="s">
        <v>41</v>
      </c>
      <c r="D831" s="78" t="s">
        <v>119</v>
      </c>
      <c r="E831" s="24" t="str">
        <f>IFERROR(VLOOKUP(F831, 'api-register-id'!B:F, 5, FALSE), "Not found path.")</f>
        <v>APIMX000012</v>
      </c>
      <c r="F831" s="25" t="s">
        <v>218</v>
      </c>
      <c r="G831" s="26" t="s">
        <v>5546</v>
      </c>
      <c r="H831" s="22" t="s">
        <v>5547</v>
      </c>
      <c r="I831" s="29" t="str">
        <f>IFERROR(VLOOKUP(F831, 'api-register-id'!B:I, 8, FALSE), "Not found path.")</f>
        <v>1.31.0</v>
      </c>
      <c r="J831" s="3" t="s">
        <v>560</v>
      </c>
      <c r="K831" s="31" t="s">
        <v>48</v>
      </c>
      <c r="L831" s="78" t="s">
        <v>49</v>
      </c>
      <c r="M831" s="3" t="s">
        <v>5498</v>
      </c>
      <c r="N831" s="3" t="str">
        <f t="shared" si="1"/>
        <v>POST /cards/creditCard/v1/accountStatementPeriod/retrieve</v>
      </c>
      <c r="O831" s="32" t="s">
        <v>4301</v>
      </c>
      <c r="P831" s="32"/>
      <c r="Q831" s="61" t="s">
        <v>5548</v>
      </c>
      <c r="R831" s="31" t="s">
        <v>56</v>
      </c>
      <c r="S831" s="38" t="str">
        <f t="shared" si="2"/>
        <v>https://github.com/SF-Bancoppel/mx-api-bc-dom-credit-card</v>
      </c>
      <c r="T831" s="40"/>
      <c r="U831" s="40"/>
      <c r="V831" s="40"/>
      <c r="W831" s="40"/>
      <c r="X831" s="40"/>
      <c r="Y831" s="40"/>
      <c r="Z831" s="40"/>
      <c r="AA831" s="40"/>
      <c r="AB831" s="40"/>
    </row>
    <row r="832" ht="18.75" customHeight="1">
      <c r="A832" s="18" t="str">
        <f t="array" ref="A832">IFERROR(
  INDEX(
    'api-register-id'!A:A,
    MATCH(F832, 'api-register-id'!B:B, 0)
  ),
  "Not found Organization"
)</f>
        <v>SSFF</v>
      </c>
      <c r="B832" s="22" t="str">
        <f>IFERROR(VLOOKUP(F832, 'api-register-id'!B:F, 4, FALSE), "Not found path.")</f>
        <v>mx-api-bc-dom-credit-card</v>
      </c>
      <c r="C832" s="78" t="s">
        <v>41</v>
      </c>
      <c r="D832" s="78" t="s">
        <v>119</v>
      </c>
      <c r="E832" s="24" t="str">
        <f>IFERROR(VLOOKUP(F832, 'api-register-id'!B:F, 5, FALSE), "Not found path.")</f>
        <v>APIMX000012</v>
      </c>
      <c r="F832" s="25" t="s">
        <v>218</v>
      </c>
      <c r="G832" s="26" t="s">
        <v>5549</v>
      </c>
      <c r="H832" s="22" t="s">
        <v>5550</v>
      </c>
      <c r="I832" s="29" t="str">
        <f>IFERROR(VLOOKUP(F832, 'api-register-id'!B:I, 8, FALSE), "Not found path.")</f>
        <v>1.31.0</v>
      </c>
      <c r="J832" s="3" t="s">
        <v>560</v>
      </c>
      <c r="K832" s="31" t="s">
        <v>48</v>
      </c>
      <c r="L832" s="78" t="s">
        <v>49</v>
      </c>
      <c r="M832" s="3" t="s">
        <v>4430</v>
      </c>
      <c r="N832" s="3" t="str">
        <f t="shared" si="1"/>
        <v>POST /cards/creditCard/v1/repayment/retrieve</v>
      </c>
      <c r="O832" s="32" t="s">
        <v>4432</v>
      </c>
      <c r="P832" s="32"/>
      <c r="Q832" s="61" t="s">
        <v>5551</v>
      </c>
      <c r="R832" s="31" t="s">
        <v>56</v>
      </c>
      <c r="S832" s="38" t="str">
        <f t="shared" si="2"/>
        <v>https://github.com/SF-Bancoppel/mx-api-bc-dom-credit-card</v>
      </c>
      <c r="T832" s="40"/>
      <c r="U832" s="40"/>
      <c r="V832" s="40"/>
      <c r="W832" s="40"/>
      <c r="X832" s="40"/>
      <c r="Y832" s="40"/>
      <c r="Z832" s="40"/>
      <c r="AA832" s="40"/>
      <c r="AB832" s="40"/>
    </row>
    <row r="833" ht="18.75" customHeight="1">
      <c r="A833" s="18" t="str">
        <f t="array" ref="A833">IFERROR(
  INDEX(
    'api-register-id'!A:A,
    MATCH(F833, 'api-register-id'!B:B, 0)
  ),
  "Not found Organization"
)</f>
        <v>SSFF</v>
      </c>
      <c r="B833" s="22" t="str">
        <f>IFERROR(VLOOKUP(F833, 'api-register-id'!B:F, 4, FALSE), "Not found path.")</f>
        <v>mx-api-bc-dom-credit-card</v>
      </c>
      <c r="C833" s="78" t="s">
        <v>41</v>
      </c>
      <c r="D833" s="78" t="s">
        <v>119</v>
      </c>
      <c r="E833" s="24" t="str">
        <f>IFERROR(VLOOKUP(F833, 'api-register-id'!B:F, 5, FALSE), "Not found path.")</f>
        <v>APIMX000012</v>
      </c>
      <c r="F833" s="25" t="s">
        <v>218</v>
      </c>
      <c r="G833" s="26" t="s">
        <v>5552</v>
      </c>
      <c r="H833" s="22" t="s">
        <v>5553</v>
      </c>
      <c r="I833" s="29" t="str">
        <f>IFERROR(VLOOKUP(F833, 'api-register-id'!B:I, 8, FALSE), "Not found path.")</f>
        <v>1.31.0</v>
      </c>
      <c r="J833" s="3" t="s">
        <v>560</v>
      </c>
      <c r="K833" s="31" t="s">
        <v>48</v>
      </c>
      <c r="L833" s="78" t="s">
        <v>49</v>
      </c>
      <c r="M833" s="3" t="s">
        <v>5554</v>
      </c>
      <c r="N833" s="3" t="str">
        <f t="shared" si="1"/>
        <v>POST /cards/creditCard/v1/cardPaymentArrangement/retrieve</v>
      </c>
      <c r="O833" s="32" t="s">
        <v>5555</v>
      </c>
      <c r="P833" s="32"/>
      <c r="Q833" s="61" t="s">
        <v>98</v>
      </c>
      <c r="R833" s="31" t="s">
        <v>56</v>
      </c>
      <c r="S833" s="38" t="str">
        <f t="shared" si="2"/>
        <v>https://github.com/SF-Bancoppel/mx-api-bc-dom-credit-card</v>
      </c>
      <c r="T833" s="40"/>
      <c r="U833" s="40"/>
      <c r="V833" s="40"/>
      <c r="W833" s="40"/>
      <c r="X833" s="40"/>
      <c r="Y833" s="40"/>
      <c r="Z833" s="40"/>
      <c r="AA833" s="40"/>
      <c r="AB833" s="40"/>
    </row>
    <row r="834" ht="18.75" customHeight="1">
      <c r="A834" s="18" t="str">
        <f t="array" ref="A834">IFERROR(
  INDEX(
    'api-register-id'!A:A,
    MATCH(F834, 'api-register-id'!B:B, 0)
  ),
  "Not found Organization"
)</f>
        <v>SSFF</v>
      </c>
      <c r="B834" s="22" t="str">
        <f>IFERROR(VLOOKUP(F834, 'api-register-id'!B:F, 4, FALSE), "Not found path.")</f>
        <v>mx-api-bc-dom-customer-position</v>
      </c>
      <c r="C834" s="78" t="s">
        <v>41</v>
      </c>
      <c r="D834" s="78" t="s">
        <v>119</v>
      </c>
      <c r="E834" s="24" t="str">
        <f>IFERROR(VLOOKUP(F834, 'api-register-id'!B:F, 5, FALSE), "Not found path.")</f>
        <v>APIMX000021</v>
      </c>
      <c r="F834" s="25" t="s">
        <v>358</v>
      </c>
      <c r="G834" s="26" t="s">
        <v>5556</v>
      </c>
      <c r="H834" s="22" t="s">
        <v>5557</v>
      </c>
      <c r="I834" s="29" t="str">
        <f>IFERROR(VLOOKUP(F834, 'api-register-id'!B:I, 8, FALSE), "Not found path.")</f>
        <v>1.3.0</v>
      </c>
      <c r="J834" s="3" t="s">
        <v>932</v>
      </c>
      <c r="K834" s="31" t="s">
        <v>48</v>
      </c>
      <c r="L834" s="78" t="s">
        <v>49</v>
      </c>
      <c r="M834" s="3" t="s">
        <v>5558</v>
      </c>
      <c r="N834" s="3" t="str">
        <f t="shared" si="1"/>
        <v>POST /accountManagement/customerPosition/v1/accountInformation/retrieve</v>
      </c>
      <c r="O834" s="32" t="s">
        <v>5559</v>
      </c>
      <c r="P834" s="32"/>
      <c r="Q834" s="61" t="s">
        <v>98</v>
      </c>
      <c r="R834" s="31" t="s">
        <v>56</v>
      </c>
      <c r="S834" s="38" t="str">
        <f t="shared" si="2"/>
        <v>https://github.com/SF-Bancoppel/mx-api-bc-dom-customer-position</v>
      </c>
      <c r="T834" s="40"/>
      <c r="U834" s="40"/>
      <c r="V834" s="40"/>
      <c r="W834" s="40"/>
      <c r="X834" s="40"/>
      <c r="Y834" s="40"/>
      <c r="Z834" s="40"/>
      <c r="AA834" s="40"/>
      <c r="AB834" s="40"/>
    </row>
    <row r="835" ht="18.75" customHeight="1">
      <c r="A835" s="18" t="str">
        <f t="array" ref="A835">IFERROR(
  INDEX(
    'api-register-id'!A:A,
    MATCH(F835, 'api-register-id'!B:B, 0)
  ),
  "Not found Organization"
)</f>
        <v>SSFF</v>
      </c>
      <c r="B835" s="22" t="str">
        <f>IFERROR(VLOOKUP(F835, 'api-register-id'!B:F, 4, FALSE), "Not found path.")</f>
        <v>mx-api-bc-dom-loan</v>
      </c>
      <c r="C835" s="78" t="s">
        <v>41</v>
      </c>
      <c r="D835" s="78" t="s">
        <v>119</v>
      </c>
      <c r="E835" s="24" t="str">
        <f>IFERROR(VLOOKUP(F835, 'api-register-id'!B:F, 5, FALSE), "Not found path.")</f>
        <v>APIMX000037</v>
      </c>
      <c r="F835" s="25" t="s">
        <v>592</v>
      </c>
      <c r="G835" s="26" t="s">
        <v>5560</v>
      </c>
      <c r="H835" s="22" t="s">
        <v>5561</v>
      </c>
      <c r="I835" s="29" t="str">
        <f>IFERROR(VLOOKUP(F835, 'api-register-id'!B:I, 8, FALSE), "Not found path.")</f>
        <v>1.2.0</v>
      </c>
      <c r="J835" s="3" t="s">
        <v>1205</v>
      </c>
      <c r="K835" s="31" t="s">
        <v>48</v>
      </c>
      <c r="L835" s="78" t="s">
        <v>49</v>
      </c>
      <c r="M835" s="3" t="s">
        <v>5562</v>
      </c>
      <c r="N835" s="3" t="str">
        <f t="shared" si="1"/>
        <v>POST /loansAndDeposits/loan/v1/loanTransaction/retrieve</v>
      </c>
      <c r="O835" s="32" t="s">
        <v>5563</v>
      </c>
      <c r="P835" s="32"/>
      <c r="Q835" s="61" t="s">
        <v>98</v>
      </c>
      <c r="R835" s="31" t="s">
        <v>56</v>
      </c>
      <c r="S835" s="38" t="str">
        <f t="shared" si="2"/>
        <v>https://github.com/SF-Bancoppel/mx-api-bc-dom-loan</v>
      </c>
      <c r="T835" s="40"/>
      <c r="U835" s="40"/>
      <c r="V835" s="40"/>
      <c r="W835" s="40"/>
      <c r="X835" s="40"/>
      <c r="Y835" s="40"/>
      <c r="Z835" s="40"/>
      <c r="AA835" s="40"/>
      <c r="AB835" s="40"/>
    </row>
    <row r="836" ht="18.75" customHeight="1">
      <c r="A836" s="18" t="str">
        <f t="array" ref="A836">IFERROR(
  INDEX(
    'api-register-id'!A:A,
    MATCH(F836, 'api-register-id'!B:B, 0)
  ),
  "Not found Organization"
)</f>
        <v>SSFF</v>
      </c>
      <c r="B836" s="22" t="str">
        <f>IFERROR(VLOOKUP(F836, 'api-register-id'!B:F, 4, FALSE), "Not found path.")</f>
        <v>mx-api-bc-pro-credit-card</v>
      </c>
      <c r="C836" s="78" t="s">
        <v>41</v>
      </c>
      <c r="D836" s="78" t="s">
        <v>811</v>
      </c>
      <c r="E836" s="24" t="str">
        <f>IFERROR(VLOOKUP(F836, 'api-register-id'!B:F, 5, FALSE), "Not found path.")</f>
        <v>APIMX000068</v>
      </c>
      <c r="F836" s="25" t="s">
        <v>913</v>
      </c>
      <c r="G836" s="26" t="s">
        <v>5564</v>
      </c>
      <c r="H836" s="22" t="s">
        <v>5565</v>
      </c>
      <c r="I836" s="29" t="str">
        <f>IFERROR(VLOOKUP(F836, 'api-register-id'!B:I, 8, FALSE), "Not found path.")</f>
        <v>1.31.0</v>
      </c>
      <c r="J836" s="3" t="s">
        <v>2376</v>
      </c>
      <c r="K836" s="31" t="s">
        <v>48</v>
      </c>
      <c r="L836" s="78" t="s">
        <v>49</v>
      </c>
      <c r="M836" s="3" t="s">
        <v>5534</v>
      </c>
      <c r="N836" s="3" t="str">
        <f t="shared" si="1"/>
        <v>POST /system/cards/creditCard/v1/creditCardApplication/notify</v>
      </c>
      <c r="O836" s="32" t="s">
        <v>5566</v>
      </c>
      <c r="P836" s="32" t="s">
        <v>652</v>
      </c>
      <c r="Q836" s="61" t="s">
        <v>5567</v>
      </c>
      <c r="R836" s="31" t="s">
        <v>56</v>
      </c>
      <c r="S836" s="38" t="str">
        <f t="shared" si="2"/>
        <v>https://github.com/SF-Bancoppel/mx-api-bc-pro-credit-card</v>
      </c>
      <c r="T836" s="40"/>
      <c r="U836" s="40"/>
      <c r="V836" s="40"/>
      <c r="W836" s="40"/>
      <c r="X836" s="40"/>
      <c r="Y836" s="40"/>
      <c r="Z836" s="40"/>
      <c r="AA836" s="40"/>
      <c r="AB836" s="40"/>
    </row>
    <row r="837" ht="18.75" customHeight="1">
      <c r="A837" s="18" t="str">
        <f t="array" ref="A837">IFERROR(
  INDEX(
    'api-register-id'!A:A,
    MATCH(F837, 'api-register-id'!B:B, 0)
  ),
  "Not found Organization"
)</f>
        <v>SSFF</v>
      </c>
      <c r="B837" s="22" t="str">
        <f>IFERROR(VLOOKUP(F837, 'api-register-id'!B:F, 4, FALSE), "Not found path.")</f>
        <v>mx-api-bc-pro-credit-card</v>
      </c>
      <c r="C837" s="78" t="s">
        <v>41</v>
      </c>
      <c r="D837" s="78" t="s">
        <v>811</v>
      </c>
      <c r="E837" s="24" t="str">
        <f>IFERROR(VLOOKUP(F837, 'api-register-id'!B:F, 5, FALSE), "Not found path.")</f>
        <v>APIMX000068</v>
      </c>
      <c r="F837" s="25" t="s">
        <v>913</v>
      </c>
      <c r="G837" s="26" t="s">
        <v>5568</v>
      </c>
      <c r="H837" s="22" t="s">
        <v>5569</v>
      </c>
      <c r="I837" s="29" t="str">
        <f>IFERROR(VLOOKUP(F837, 'api-register-id'!B:I, 8, FALSE), "Not found path.")</f>
        <v>1.31.0</v>
      </c>
      <c r="J837" s="3" t="s">
        <v>2376</v>
      </c>
      <c r="K837" s="31" t="s">
        <v>48</v>
      </c>
      <c r="L837" s="78" t="s">
        <v>49</v>
      </c>
      <c r="M837" s="3" t="s">
        <v>5544</v>
      </c>
      <c r="N837" s="3" t="str">
        <f t="shared" si="1"/>
        <v>POST /system/cards/creditCard/v1/creditCardAllocation/initiate</v>
      </c>
      <c r="O837" s="32" t="s">
        <v>5545</v>
      </c>
      <c r="P837" s="32"/>
      <c r="Q837" s="61" t="s">
        <v>98</v>
      </c>
      <c r="R837" s="31" t="s">
        <v>56</v>
      </c>
      <c r="S837" s="38" t="str">
        <f t="shared" si="2"/>
        <v>https://github.com/SF-Bancoppel/mx-api-bc-pro-credit-card</v>
      </c>
      <c r="T837" s="40"/>
      <c r="U837" s="40"/>
      <c r="V837" s="40"/>
      <c r="W837" s="40"/>
      <c r="X837" s="40"/>
      <c r="Y837" s="40"/>
      <c r="Z837" s="40"/>
      <c r="AA837" s="40"/>
      <c r="AB837" s="40"/>
    </row>
    <row r="838" ht="18.75" customHeight="1">
      <c r="A838" s="18" t="str">
        <f t="array" ref="A838">IFERROR(
  INDEX(
    'api-register-id'!A:A,
    MATCH(F838, 'api-register-id'!B:B, 0)
  ),
  "Not found Organization"
)</f>
        <v>SSFF</v>
      </c>
      <c r="B838" s="22" t="str">
        <f>IFERROR(VLOOKUP(F838, 'api-register-id'!B:F, 4, FALSE), "Not found path.")</f>
        <v>mx-api-bc-pro-credit-card</v>
      </c>
      <c r="C838" s="78" t="s">
        <v>41</v>
      </c>
      <c r="D838" s="78" t="s">
        <v>811</v>
      </c>
      <c r="E838" s="24" t="str">
        <f>IFERROR(VLOOKUP(F838, 'api-register-id'!B:F, 5, FALSE), "Not found path.")</f>
        <v>APIMX000068</v>
      </c>
      <c r="F838" s="25" t="s">
        <v>913</v>
      </c>
      <c r="G838" s="26" t="s">
        <v>5570</v>
      </c>
      <c r="H838" s="22" t="s">
        <v>5571</v>
      </c>
      <c r="I838" s="29" t="str">
        <f>IFERROR(VLOOKUP(F838, 'api-register-id'!B:I, 8, FALSE), "Not found path.")</f>
        <v>1.31.0</v>
      </c>
      <c r="J838" s="3" t="s">
        <v>2376</v>
      </c>
      <c r="K838" s="31" t="s">
        <v>48</v>
      </c>
      <c r="L838" s="78" t="s">
        <v>108</v>
      </c>
      <c r="M838" s="3" t="s">
        <v>5539</v>
      </c>
      <c r="N838" s="3" t="str">
        <f t="shared" si="1"/>
        <v>GET /system/cards/creditCard/v1/totalCost/retrieve</v>
      </c>
      <c r="O838" s="32" t="s">
        <v>5572</v>
      </c>
      <c r="P838" s="32"/>
      <c r="Q838" s="61" t="s">
        <v>5573</v>
      </c>
      <c r="R838" s="31" t="s">
        <v>56</v>
      </c>
      <c r="S838" s="38" t="str">
        <f t="shared" si="2"/>
        <v>https://github.com/SF-Bancoppel/mx-api-bc-pro-credit-card</v>
      </c>
      <c r="T838" s="40"/>
      <c r="U838" s="40"/>
      <c r="V838" s="40"/>
      <c r="W838" s="40"/>
      <c r="X838" s="40"/>
      <c r="Y838" s="40"/>
      <c r="Z838" s="40"/>
      <c r="AA838" s="40"/>
      <c r="AB838" s="40"/>
    </row>
    <row r="839" ht="18.75" customHeight="1">
      <c r="A839" s="18" t="str">
        <f t="array" ref="A839">IFERROR(
  INDEX(
    'api-register-id'!A:A,
    MATCH(F839, 'api-register-id'!B:B, 0)
  ),
  "Not found Organization"
)</f>
        <v>SSFF</v>
      </c>
      <c r="B839" s="22" t="str">
        <f>IFERROR(VLOOKUP(F839, 'api-register-id'!B:F, 4, FALSE), "Not found path.")</f>
        <v>mx-api-bc-pro-credit-card</v>
      </c>
      <c r="C839" s="78" t="s">
        <v>41</v>
      </c>
      <c r="D839" s="78" t="s">
        <v>811</v>
      </c>
      <c r="E839" s="24" t="str">
        <f>IFERROR(VLOOKUP(F839, 'api-register-id'!B:F, 5, FALSE), "Not found path.")</f>
        <v>APIMX000068</v>
      </c>
      <c r="F839" s="25" t="s">
        <v>913</v>
      </c>
      <c r="G839" s="26" t="s">
        <v>5574</v>
      </c>
      <c r="H839" s="22" t="s">
        <v>5575</v>
      </c>
      <c r="I839" s="29" t="str">
        <f>IFERROR(VLOOKUP(F839, 'api-register-id'!B:I, 8, FALSE), "Not found path.")</f>
        <v>1.31.0</v>
      </c>
      <c r="J839" s="3" t="s">
        <v>2376</v>
      </c>
      <c r="K839" s="31" t="s">
        <v>48</v>
      </c>
      <c r="L839" s="78" t="s">
        <v>49</v>
      </c>
      <c r="M839" s="3" t="s">
        <v>5498</v>
      </c>
      <c r="N839" s="3" t="str">
        <f t="shared" si="1"/>
        <v>POST /system/cards/creditCard/v1/accountStatementPeriod/retrieve</v>
      </c>
      <c r="O839" s="32" t="s">
        <v>4301</v>
      </c>
      <c r="P839" s="32"/>
      <c r="Q839" s="61" t="s">
        <v>5576</v>
      </c>
      <c r="R839" s="31" t="s">
        <v>56</v>
      </c>
      <c r="S839" s="38" t="str">
        <f t="shared" si="2"/>
        <v>https://github.com/SF-Bancoppel/mx-api-bc-pro-credit-card</v>
      </c>
      <c r="T839" s="40"/>
      <c r="U839" s="40"/>
      <c r="V839" s="40"/>
      <c r="W839" s="40"/>
      <c r="X839" s="40"/>
      <c r="Y839" s="40"/>
      <c r="Z839" s="40"/>
      <c r="AA839" s="40"/>
      <c r="AB839" s="40"/>
    </row>
    <row r="840" ht="18.75" customHeight="1">
      <c r="A840" s="18" t="str">
        <f t="array" ref="A840">IFERROR(
  INDEX(
    'api-register-id'!A:A,
    MATCH(F840, 'api-register-id'!B:B, 0)
  ),
  "Not found Organization"
)</f>
        <v>SSFF</v>
      </c>
      <c r="B840" s="22" t="str">
        <f>IFERROR(VLOOKUP(F840, 'api-register-id'!B:F, 4, FALSE), "Not found path.")</f>
        <v>mx-api-bc-pro-credit-card</v>
      </c>
      <c r="C840" s="78" t="s">
        <v>41</v>
      </c>
      <c r="D840" s="78" t="s">
        <v>811</v>
      </c>
      <c r="E840" s="24" t="str">
        <f>IFERROR(VLOOKUP(F840, 'api-register-id'!B:F, 5, FALSE), "Not found path.")</f>
        <v>APIMX000068</v>
      </c>
      <c r="F840" s="25" t="s">
        <v>913</v>
      </c>
      <c r="G840" s="26" t="s">
        <v>5577</v>
      </c>
      <c r="H840" s="22" t="s">
        <v>5578</v>
      </c>
      <c r="I840" s="29" t="str">
        <f>IFERROR(VLOOKUP(F840, 'api-register-id'!B:I, 8, FALSE), "Not found path.")</f>
        <v>1.31.0</v>
      </c>
      <c r="J840" s="3" t="s">
        <v>2376</v>
      </c>
      <c r="K840" s="31" t="s">
        <v>48</v>
      </c>
      <c r="L840" s="78" t="s">
        <v>49</v>
      </c>
      <c r="M840" s="3" t="s">
        <v>4430</v>
      </c>
      <c r="N840" s="3" t="str">
        <f t="shared" si="1"/>
        <v>POST /system/cards/creditCard/v1/repayment/retrieve</v>
      </c>
      <c r="O840" s="32" t="s">
        <v>4432</v>
      </c>
      <c r="P840" s="32"/>
      <c r="Q840" s="61" t="s">
        <v>5579</v>
      </c>
      <c r="R840" s="31" t="s">
        <v>56</v>
      </c>
      <c r="S840" s="38" t="str">
        <f t="shared" si="2"/>
        <v>https://github.com/SF-Bancoppel/mx-api-bc-pro-credit-card</v>
      </c>
      <c r="T840" s="40"/>
      <c r="U840" s="40"/>
      <c r="V840" s="40"/>
      <c r="W840" s="40"/>
      <c r="X840" s="40"/>
      <c r="Y840" s="40"/>
      <c r="Z840" s="40"/>
      <c r="AA840" s="40"/>
      <c r="AB840" s="40"/>
    </row>
    <row r="841" ht="18.75" customHeight="1">
      <c r="A841" s="18" t="str">
        <f t="array" ref="A841">IFERROR(
  INDEX(
    'api-register-id'!A:A,
    MATCH(F841, 'api-register-id'!B:B, 0)
  ),
  "Not found Organization"
)</f>
        <v>SSFF</v>
      </c>
      <c r="B841" s="22" t="str">
        <f>IFERROR(VLOOKUP(F841, 'api-register-id'!B:F, 4, FALSE), "Not found path.")</f>
        <v>mx-api-bc-pro-credit-card</v>
      </c>
      <c r="C841" s="78" t="s">
        <v>41</v>
      </c>
      <c r="D841" s="78" t="s">
        <v>811</v>
      </c>
      <c r="E841" s="24" t="str">
        <f>IFERROR(VLOOKUP(F841, 'api-register-id'!B:F, 5, FALSE), "Not found path.")</f>
        <v>APIMX000068</v>
      </c>
      <c r="F841" s="25" t="s">
        <v>913</v>
      </c>
      <c r="G841" s="26" t="s">
        <v>5580</v>
      </c>
      <c r="H841" s="22" t="s">
        <v>5581</v>
      </c>
      <c r="I841" s="29" t="str">
        <f>IFERROR(VLOOKUP(F841, 'api-register-id'!B:I, 8, FALSE), "Not found path.")</f>
        <v>1.31.0</v>
      </c>
      <c r="J841" s="3" t="s">
        <v>2376</v>
      </c>
      <c r="K841" s="31" t="s">
        <v>48</v>
      </c>
      <c r="L841" s="78" t="s">
        <v>49</v>
      </c>
      <c r="M841" s="3" t="s">
        <v>5554</v>
      </c>
      <c r="N841" s="3" t="str">
        <f t="shared" si="1"/>
        <v>POST /system/cards/creditCard/v1/cardPaymentArrangement/retrieve</v>
      </c>
      <c r="O841" s="32" t="s">
        <v>5555</v>
      </c>
      <c r="P841" s="32"/>
      <c r="Q841" s="61" t="s">
        <v>98</v>
      </c>
      <c r="R841" s="31" t="s">
        <v>56</v>
      </c>
      <c r="S841" s="38" t="str">
        <f t="shared" si="2"/>
        <v>https://github.com/SF-Bancoppel/mx-api-bc-pro-credit-card</v>
      </c>
      <c r="T841" s="40"/>
      <c r="U841" s="40"/>
      <c r="V841" s="40"/>
      <c r="W841" s="40"/>
      <c r="X841" s="40"/>
      <c r="Y841" s="40"/>
      <c r="Z841" s="40"/>
      <c r="AA841" s="40"/>
      <c r="AB841" s="40"/>
    </row>
    <row r="842" ht="18.75" customHeight="1">
      <c r="A842" s="18" t="str">
        <f t="array" ref="A842">IFERROR(
  INDEX(
    'api-register-id'!A:A,
    MATCH(F842, 'api-register-id'!B:B, 0)
  ),
  "Not found Organization"
)</f>
        <v>SSFF</v>
      </c>
      <c r="B842" s="22" t="str">
        <f>IFERROR(VLOOKUP(F842, 'api-register-id'!B:F, 4, FALSE), "Not found path.")</f>
        <v>mx-api-bc-pro-customer-position</v>
      </c>
      <c r="C842" s="78" t="s">
        <v>41</v>
      </c>
      <c r="D842" s="78" t="s">
        <v>811</v>
      </c>
      <c r="E842" s="24" t="str">
        <f>IFERROR(VLOOKUP(F842, 'api-register-id'!B:F, 5, FALSE), "Not found path.")</f>
        <v>APIMX000077</v>
      </c>
      <c r="F842" s="25" t="s">
        <v>1012</v>
      </c>
      <c r="G842" s="26" t="s">
        <v>5582</v>
      </c>
      <c r="H842" s="22" t="s">
        <v>5583</v>
      </c>
      <c r="I842" s="29" t="str">
        <f>IFERROR(VLOOKUP(F842, 'api-register-id'!B:I, 8, FALSE), "Not found path.")</f>
        <v>1.3.0</v>
      </c>
      <c r="J842" s="3" t="s">
        <v>2836</v>
      </c>
      <c r="K842" s="31" t="s">
        <v>48</v>
      </c>
      <c r="L842" s="78" t="s">
        <v>49</v>
      </c>
      <c r="M842" s="3" t="s">
        <v>5558</v>
      </c>
      <c r="N842" s="3" t="str">
        <f t="shared" si="1"/>
        <v>POST /system/accountManagement/customerPosition/v1/accountInformation/retrieve</v>
      </c>
      <c r="O842" s="32" t="s">
        <v>5559</v>
      </c>
      <c r="P842" s="32"/>
      <c r="Q842" s="61" t="s">
        <v>98</v>
      </c>
      <c r="R842" s="31" t="s">
        <v>56</v>
      </c>
      <c r="S842" s="38" t="str">
        <f t="shared" si="2"/>
        <v>https://github.com/SF-Bancoppel/mx-api-bc-pro-customer-position</v>
      </c>
      <c r="T842" s="40"/>
      <c r="U842" s="40"/>
      <c r="V842" s="40"/>
      <c r="W842" s="40"/>
      <c r="X842" s="40"/>
      <c r="Y842" s="40"/>
      <c r="Z842" s="40"/>
      <c r="AA842" s="40"/>
      <c r="AB842" s="40"/>
    </row>
    <row r="843" ht="18.75" customHeight="1">
      <c r="A843" s="18" t="str">
        <f t="array" ref="A843">IFERROR(
  INDEX(
    'api-register-id'!A:A,
    MATCH(F843, 'api-register-id'!B:B, 0)
  ),
  "Not found Organization"
)</f>
        <v>SSFF</v>
      </c>
      <c r="B843" s="22" t="str">
        <f>IFERROR(VLOOKUP(F843, 'api-register-id'!B:F, 4, FALSE), "Not found path.")</f>
        <v>mx-api-bc-pro-loan</v>
      </c>
      <c r="C843" s="78" t="s">
        <v>41</v>
      </c>
      <c r="D843" s="78" t="s">
        <v>811</v>
      </c>
      <c r="E843" s="24" t="str">
        <f>IFERROR(VLOOKUP(F843, 'api-register-id'!B:F, 5, FALSE), "Not found path.")</f>
        <v>APIMX000093</v>
      </c>
      <c r="F843" s="25" t="s">
        <v>1186</v>
      </c>
      <c r="G843" s="26" t="s">
        <v>5584</v>
      </c>
      <c r="H843" s="22" t="s">
        <v>5585</v>
      </c>
      <c r="I843" s="29" t="str">
        <f>IFERROR(VLOOKUP(F843, 'api-register-id'!B:I, 8, FALSE), "Not found path.")</f>
        <v>2.2.0</v>
      </c>
      <c r="J843" s="3" t="s">
        <v>3110</v>
      </c>
      <c r="K843" s="31" t="s">
        <v>48</v>
      </c>
      <c r="L843" s="78" t="s">
        <v>49</v>
      </c>
      <c r="M843" s="3" t="s">
        <v>5562</v>
      </c>
      <c r="N843" s="3" t="str">
        <f t="shared" si="1"/>
        <v>POST /system/loansAndDeposits/loan/v1/loanTransaction/retrieve</v>
      </c>
      <c r="O843" s="32" t="s">
        <v>5563</v>
      </c>
      <c r="P843" s="32"/>
      <c r="Q843" s="61" t="s">
        <v>98</v>
      </c>
      <c r="R843" s="31" t="s">
        <v>56</v>
      </c>
      <c r="S843" s="38" t="str">
        <f t="shared" si="2"/>
        <v>https://github.com/SF-Bancoppel/mx-api-bc-pro-loan</v>
      </c>
      <c r="T843" s="40"/>
      <c r="U843" s="40"/>
      <c r="V843" s="40"/>
      <c r="W843" s="40"/>
      <c r="X843" s="40"/>
      <c r="Y843" s="40"/>
      <c r="Z843" s="40"/>
      <c r="AA843" s="40"/>
      <c r="AB843" s="40"/>
    </row>
    <row r="844" ht="18.75" hidden="1" customHeight="1">
      <c r="A844" s="18" t="str">
        <f t="array" ref="A844">IFERROR(
  INDEX(
    'api-register-id'!A:A,
    MATCH(F844, 'api-register-id'!B:B, 0)
  ),
  "Not found Organization"
)</f>
        <v>SSFF</v>
      </c>
      <c r="B844" s="22" t="str">
        <f>IFERROR(VLOOKUP(F844, 'api-register-id'!B:F, 4, FALSE), "Not found path.")</f>
        <v>mx-api-bc-rec-business-support</v>
      </c>
      <c r="C844" s="78" t="s">
        <v>112</v>
      </c>
      <c r="D844" s="78" t="s">
        <v>1417</v>
      </c>
      <c r="E844" s="24" t="str">
        <f>IFERROR(VLOOKUP(F844, 'api-register-id'!B:F, 5, FALSE), "Not found path.")</f>
        <v>APIMX000116</v>
      </c>
      <c r="F844" s="25" t="s">
        <v>1426</v>
      </c>
      <c r="G844" s="26" t="s">
        <v>5586</v>
      </c>
      <c r="H844" s="22" t="s">
        <v>5490</v>
      </c>
      <c r="I844" s="29" t="str">
        <f>IFERROR(VLOOKUP(F844, 'api-register-id'!B:I, 8, FALSE), "Not found path.")</f>
        <v>1.3.0</v>
      </c>
      <c r="J844" s="3" t="s">
        <v>3904</v>
      </c>
      <c r="K844" s="31" t="s">
        <v>48</v>
      </c>
      <c r="L844" s="78" t="s">
        <v>49</v>
      </c>
      <c r="M844" s="3" t="s">
        <v>5461</v>
      </c>
      <c r="N844" s="3" t="str">
        <f t="shared" si="1"/>
        <v>POST /experience/businessSupport/v1/documentServiceProcedure/retrieve</v>
      </c>
      <c r="O844" s="32" t="s">
        <v>5172</v>
      </c>
      <c r="P844" s="61" t="s">
        <v>5587</v>
      </c>
      <c r="Q844" s="61" t="s">
        <v>5588</v>
      </c>
      <c r="R844" s="31" t="s">
        <v>56</v>
      </c>
      <c r="S844" s="38" t="str">
        <f t="shared" si="2"/>
        <v>https://github.com/SF-Bancoppel/mx-api-bc-rec-business-support</v>
      </c>
      <c r="T844" s="40"/>
      <c r="U844" s="40"/>
      <c r="V844" s="40"/>
      <c r="W844" s="40"/>
      <c r="X844" s="40"/>
      <c r="Y844" s="40"/>
      <c r="Z844" s="40"/>
      <c r="AA844" s="40"/>
      <c r="AB844" s="40"/>
    </row>
    <row r="845" ht="18.75" customHeight="1">
      <c r="A845" s="18" t="str">
        <f t="array" ref="A845">IFERROR(
  INDEX(
    'api-register-id'!A:A,
    MATCH(F845, 'api-register-id'!B:B, 0)
  ),
  "Not found Organization"
)</f>
        <v>SSFF</v>
      </c>
      <c r="B845" s="22" t="str">
        <f>IFERROR(VLOOKUP(F845, 'api-register-id'!B:F, 4, FALSE), "Not found path.")</f>
        <v>mx-api-bc-rec-credit-card</v>
      </c>
      <c r="C845" s="78" t="s">
        <v>112</v>
      </c>
      <c r="D845" s="78" t="s">
        <v>1417</v>
      </c>
      <c r="E845" s="24" t="str">
        <f>IFERROR(VLOOKUP(F845, 'api-register-id'!B:F, 5, FALSE), "Not found path.")</f>
        <v>APIMX000120</v>
      </c>
      <c r="F845" s="25" t="s">
        <v>1471</v>
      </c>
      <c r="G845" s="26" t="s">
        <v>5589</v>
      </c>
      <c r="H845" s="22" t="s">
        <v>5590</v>
      </c>
      <c r="I845" s="29" t="str">
        <f>IFERROR(VLOOKUP(F845, 'api-register-id'!B:I, 8, FALSE), "Not found path.")</f>
        <v>1.14.0</v>
      </c>
      <c r="J845" s="3" t="s">
        <v>3959</v>
      </c>
      <c r="K845" s="31" t="s">
        <v>48</v>
      </c>
      <c r="L845" s="78" t="s">
        <v>49</v>
      </c>
      <c r="M845" s="3" t="s">
        <v>5544</v>
      </c>
      <c r="N845" s="3" t="str">
        <f t="shared" si="1"/>
        <v>POST /experience/cards/creditCard/v1/creditCardAllocation/initiate</v>
      </c>
      <c r="O845" s="32" t="s">
        <v>5545</v>
      </c>
      <c r="P845" s="32"/>
      <c r="Q845" s="61" t="s">
        <v>98</v>
      </c>
      <c r="R845" s="31" t="s">
        <v>56</v>
      </c>
      <c r="S845" s="38" t="str">
        <f t="shared" si="2"/>
        <v>https://github.com/SF-Bancoppel/mx-api-bc-rec-credit-card</v>
      </c>
      <c r="T845" s="40"/>
      <c r="U845" s="40"/>
      <c r="V845" s="40"/>
      <c r="W845" s="40"/>
      <c r="X845" s="40"/>
      <c r="Y845" s="40"/>
      <c r="Z845" s="40"/>
      <c r="AA845" s="40"/>
      <c r="AB845" s="40"/>
    </row>
    <row r="846" ht="18.75" customHeight="1">
      <c r="A846" s="18" t="str">
        <f t="array" ref="A846">IFERROR(
  INDEX(
    'api-register-id'!A:A,
    MATCH(F846, 'api-register-id'!B:B, 0)
  ),
  "Not found Organization"
)</f>
        <v>SSFF</v>
      </c>
      <c r="B846" s="22" t="str">
        <f>IFERROR(VLOOKUP(F846, 'api-register-id'!B:F, 4, FALSE), "Not found path.")</f>
        <v>mx-api-bc-rec-operations-and-execution</v>
      </c>
      <c r="C846" s="78" t="s">
        <v>112</v>
      </c>
      <c r="D846" s="78" t="s">
        <v>1417</v>
      </c>
      <c r="E846" s="24" t="str">
        <f>IFERROR(VLOOKUP(F846, 'api-register-id'!B:F, 5, FALSE), "Not found path.")</f>
        <v>APIMX000137</v>
      </c>
      <c r="F846" s="25" t="s">
        <v>1649</v>
      </c>
      <c r="G846" s="26" t="s">
        <v>5591</v>
      </c>
      <c r="H846" s="22" t="s">
        <v>5592</v>
      </c>
      <c r="I846" s="29" t="str">
        <f>IFERROR(VLOOKUP(F846, 'api-register-id'!B:I, 8, FALSE), "Not found path.")</f>
        <v>1.3.1</v>
      </c>
      <c r="J846" s="3" t="s">
        <v>4726</v>
      </c>
      <c r="K846" s="31" t="s">
        <v>48</v>
      </c>
      <c r="L846" s="78" t="s">
        <v>61</v>
      </c>
      <c r="M846" s="3" t="s">
        <v>589</v>
      </c>
      <c r="N846" s="3" t="str">
        <f t="shared" si="1"/>
        <v>PUT /experience/operationsAndExecution/v1/creditCardApplication/update</v>
      </c>
      <c r="O846" s="32" t="s">
        <v>5593</v>
      </c>
      <c r="P846" s="32"/>
      <c r="Q846" s="61" t="s">
        <v>5594</v>
      </c>
      <c r="R846" s="31" t="s">
        <v>56</v>
      </c>
      <c r="S846" s="38" t="str">
        <f t="shared" si="2"/>
        <v>https://github.com/SF-Bancoppel/mx-api-bc-rec-operations-and-execution</v>
      </c>
      <c r="T846" s="40"/>
      <c r="U846" s="40"/>
      <c r="V846" s="40"/>
      <c r="W846" s="40"/>
      <c r="X846" s="40"/>
      <c r="Y846" s="40"/>
      <c r="Z846" s="40"/>
      <c r="AA846" s="40"/>
      <c r="AB846" s="40"/>
    </row>
    <row r="847" ht="18.75" customHeight="1">
      <c r="A847" s="18" t="str">
        <f t="array" ref="A847">IFERROR(
  INDEX(
    'api-register-id'!A:A,
    MATCH(F847, 'api-register-id'!B:B, 0)
  ),
  "Not found Organization"
)</f>
        <v>SSFF</v>
      </c>
      <c r="B847" s="22" t="str">
        <f>IFERROR(VLOOKUP(F847, 'api-register-id'!B:F, 4, FALSE), "Not found path.")</f>
        <v>mx-api-bc-rec-operations-and-execution</v>
      </c>
      <c r="C847" s="78" t="s">
        <v>112</v>
      </c>
      <c r="D847" s="78" t="s">
        <v>1417</v>
      </c>
      <c r="E847" s="24" t="str">
        <f>IFERROR(VLOOKUP(F847, 'api-register-id'!B:F, 5, FALSE), "Not found path.")</f>
        <v>APIMX000137</v>
      </c>
      <c r="F847" s="25" t="s">
        <v>1649</v>
      </c>
      <c r="G847" s="26" t="s">
        <v>5595</v>
      </c>
      <c r="H847" s="22" t="s">
        <v>5596</v>
      </c>
      <c r="I847" s="29" t="str">
        <f>IFERROR(VLOOKUP(F847, 'api-register-id'!B:I, 8, FALSE), "Not found path.")</f>
        <v>1.3.1</v>
      </c>
      <c r="J847" s="3" t="s">
        <v>4726</v>
      </c>
      <c r="K847" s="31" t="s">
        <v>48</v>
      </c>
      <c r="L847" s="78" t="s">
        <v>49</v>
      </c>
      <c r="M847" s="3" t="s">
        <v>573</v>
      </c>
      <c r="N847" s="3" t="str">
        <f t="shared" si="1"/>
        <v>POST /experience/operationsAndExecution/v1/creditCardApplication/initiate</v>
      </c>
      <c r="O847" s="32" t="s">
        <v>5597</v>
      </c>
      <c r="P847" s="32"/>
      <c r="Q847" s="61" t="s">
        <v>98</v>
      </c>
      <c r="R847" s="31" t="s">
        <v>56</v>
      </c>
      <c r="S847" s="38" t="str">
        <f t="shared" si="2"/>
        <v>https://github.com/SF-Bancoppel/mx-api-bc-rec-operations-and-execution</v>
      </c>
      <c r="T847" s="40"/>
      <c r="U847" s="40"/>
      <c r="V847" s="40"/>
      <c r="W847" s="40"/>
      <c r="X847" s="40"/>
      <c r="Y847" s="40"/>
      <c r="Z847" s="40"/>
      <c r="AA847" s="40"/>
      <c r="AB847" s="40"/>
    </row>
    <row r="848" ht="18.75" customHeight="1">
      <c r="A848" s="18" t="str">
        <f t="array" ref="A848">IFERROR(
  INDEX(
    'api-register-id'!A:A,
    MATCH(F848, 'api-register-id'!B:B, 0)
  ),
  "Not found Organization"
)</f>
        <v>SSFF</v>
      </c>
      <c r="B848" s="22" t="str">
        <f>IFERROR(VLOOKUP(F848, 'api-register-id'!B:F, 4, FALSE), "Not found path.")</f>
        <v>mx-api-bc-rec-operations-and-execution</v>
      </c>
      <c r="C848" s="78" t="s">
        <v>112</v>
      </c>
      <c r="D848" s="78" t="s">
        <v>1417</v>
      </c>
      <c r="E848" s="24" t="str">
        <f>IFERROR(VLOOKUP(F848, 'api-register-id'!B:F, 5, FALSE), "Not found path.")</f>
        <v>APIMX000137</v>
      </c>
      <c r="F848" s="25" t="s">
        <v>1649</v>
      </c>
      <c r="G848" s="26" t="s">
        <v>5598</v>
      </c>
      <c r="H848" s="22" t="s">
        <v>5599</v>
      </c>
      <c r="I848" s="29" t="str">
        <f>IFERROR(VLOOKUP(F848, 'api-register-id'!B:I, 8, FALSE), "Not found path.")</f>
        <v>1.3.1</v>
      </c>
      <c r="J848" s="3" t="s">
        <v>4726</v>
      </c>
      <c r="K848" s="31" t="s">
        <v>48</v>
      </c>
      <c r="L848" s="78" t="s">
        <v>49</v>
      </c>
      <c r="M848" s="3" t="s">
        <v>5509</v>
      </c>
      <c r="N848" s="3" t="str">
        <f t="shared" si="1"/>
        <v>POST /experience/operationsAndExecution/v1/accountTransaction/retrieve</v>
      </c>
      <c r="O848" s="32" t="s">
        <v>5510</v>
      </c>
      <c r="P848" s="32"/>
      <c r="Q848" s="61" t="s">
        <v>5600</v>
      </c>
      <c r="R848" s="31" t="s">
        <v>56</v>
      </c>
      <c r="S848" s="38" t="str">
        <f t="shared" si="2"/>
        <v>https://github.com/SF-Bancoppel/mx-api-bc-rec-operations-and-execution</v>
      </c>
      <c r="T848" s="40"/>
      <c r="U848" s="40"/>
      <c r="V848" s="40"/>
      <c r="W848" s="40"/>
      <c r="X848" s="40"/>
      <c r="Y848" s="40"/>
      <c r="Z848" s="40"/>
      <c r="AA848" s="40"/>
      <c r="AB848" s="40"/>
    </row>
    <row r="849" ht="18.75" customHeight="1">
      <c r="A849" s="18" t="str">
        <f t="array" ref="A849">IFERROR(
  INDEX(
    'api-register-id'!A:A,
    MATCH(F849, 'api-register-id'!B:B, 0)
  ),
  "Not found Organization"
)</f>
        <v>SSFF</v>
      </c>
      <c r="B849" s="22" t="str">
        <f>IFERROR(VLOOKUP(F849, 'api-register-id'!B:F, 4, FALSE), "Not found path.")</f>
        <v>mx-api-bc-rec-operations-and-execution</v>
      </c>
      <c r="C849" s="78" t="s">
        <v>112</v>
      </c>
      <c r="D849" s="78" t="s">
        <v>1417</v>
      </c>
      <c r="E849" s="24" t="str">
        <f>IFERROR(VLOOKUP(F849, 'api-register-id'!B:F, 5, FALSE), "Not found path.")</f>
        <v>APIMX000137</v>
      </c>
      <c r="F849" s="25" t="s">
        <v>1649</v>
      </c>
      <c r="G849" s="26" t="s">
        <v>5601</v>
      </c>
      <c r="H849" s="22" t="s">
        <v>5602</v>
      </c>
      <c r="I849" s="29" t="str">
        <f>IFERROR(VLOOKUP(F849, 'api-register-id'!B:I, 8, FALSE), "Not found path.")</f>
        <v>1.3.1</v>
      </c>
      <c r="J849" s="3" t="s">
        <v>4726</v>
      </c>
      <c r="K849" s="31" t="s">
        <v>48</v>
      </c>
      <c r="L849" s="78" t="s">
        <v>49</v>
      </c>
      <c r="M849" s="3" t="s">
        <v>5498</v>
      </c>
      <c r="N849" s="3" t="str">
        <f t="shared" si="1"/>
        <v>POST /experience/operationsAndExecution/v1/accountStatementPeriod/retrieve</v>
      </c>
      <c r="O849" s="32" t="s">
        <v>5499</v>
      </c>
      <c r="P849" s="32"/>
      <c r="Q849" s="61" t="s">
        <v>5603</v>
      </c>
      <c r="R849" s="31" t="s">
        <v>56</v>
      </c>
      <c r="S849" s="38" t="str">
        <f t="shared" si="2"/>
        <v>https://github.com/SF-Bancoppel/mx-api-bc-rec-operations-and-execution</v>
      </c>
      <c r="T849" s="40"/>
      <c r="U849" s="40"/>
      <c r="V849" s="40"/>
      <c r="W849" s="40"/>
      <c r="X849" s="40"/>
      <c r="Y849" s="40"/>
      <c r="Z849" s="40"/>
      <c r="AA849" s="40"/>
      <c r="AB849" s="40"/>
    </row>
    <row r="850" ht="18.75" customHeight="1">
      <c r="A850" s="18" t="str">
        <f t="array" ref="A850">IFERROR(
  INDEX(
    'api-register-id'!A:A,
    MATCH(F850, 'api-register-id'!B:B, 0)
  ),
  "Not found Organization"
)</f>
        <v>SSFF</v>
      </c>
      <c r="B850" s="22" t="str">
        <f>IFERROR(VLOOKUP(F850, 'api-register-id'!B:F, 4, FALSE), "Not found path.")</f>
        <v>mx-api-bc-rec-operations-and-execution</v>
      </c>
      <c r="C850" s="78" t="s">
        <v>112</v>
      </c>
      <c r="D850" s="78" t="s">
        <v>1417</v>
      </c>
      <c r="E850" s="24" t="str">
        <f>IFERROR(VLOOKUP(F850, 'api-register-id'!B:F, 5, FALSE), "Not found path.")</f>
        <v>APIMX000137</v>
      </c>
      <c r="F850" s="25" t="s">
        <v>1649</v>
      </c>
      <c r="G850" s="26" t="s">
        <v>5604</v>
      </c>
      <c r="H850" s="22" t="s">
        <v>5605</v>
      </c>
      <c r="I850" s="29" t="str">
        <f>IFERROR(VLOOKUP(F850, 'api-register-id'!B:I, 8, FALSE), "Not found path.")</f>
        <v>1.3.1</v>
      </c>
      <c r="J850" s="3" t="s">
        <v>4726</v>
      </c>
      <c r="K850" s="31" t="s">
        <v>48</v>
      </c>
      <c r="L850" s="78" t="s">
        <v>49</v>
      </c>
      <c r="M850" s="3" t="s">
        <v>714</v>
      </c>
      <c r="N850" s="3" t="str">
        <f t="shared" si="1"/>
        <v>POST /experience/operationsAndExecution/v1/creditCardPosition/retrieve</v>
      </c>
      <c r="O850" s="32" t="s">
        <v>4279</v>
      </c>
      <c r="P850" s="32"/>
      <c r="Q850" s="61" t="s">
        <v>5606</v>
      </c>
      <c r="R850" s="31" t="s">
        <v>56</v>
      </c>
      <c r="S850" s="38" t="str">
        <f t="shared" si="2"/>
        <v>https://github.com/SF-Bancoppel/mx-api-bc-rec-operations-and-execution</v>
      </c>
      <c r="T850" s="40"/>
      <c r="U850" s="40"/>
      <c r="V850" s="40"/>
      <c r="W850" s="40"/>
      <c r="X850" s="40"/>
      <c r="Y850" s="40"/>
      <c r="Z850" s="40"/>
      <c r="AA850" s="40"/>
      <c r="AB850" s="40"/>
    </row>
    <row r="851" ht="18.75" customHeight="1">
      <c r="A851" s="18" t="str">
        <f t="array" ref="A851">IFERROR(
  INDEX(
    'api-register-id'!A:A,
    MATCH(F851, 'api-register-id'!B:B, 0)
  ),
  "Not found Organization"
)</f>
        <v>SSFF</v>
      </c>
      <c r="B851" s="22" t="str">
        <f>IFERROR(VLOOKUP(F851, 'api-register-id'!B:F, 4, FALSE), "Not found path.")</f>
        <v>mx-api-bc-rec-sales-and-service</v>
      </c>
      <c r="C851" s="78" t="s">
        <v>112</v>
      </c>
      <c r="D851" s="78" t="s">
        <v>1417</v>
      </c>
      <c r="E851" s="24" t="str">
        <f>IFERROR(VLOOKUP(F851, 'api-register-id'!B:F, 5, FALSE), "Not found path.")</f>
        <v>APIMX000148</v>
      </c>
      <c r="F851" s="25" t="s">
        <v>1764</v>
      </c>
      <c r="G851" s="26" t="s">
        <v>5607</v>
      </c>
      <c r="H851" s="22" t="s">
        <v>5608</v>
      </c>
      <c r="I851" s="29" t="str">
        <f>IFERROR(VLOOKUP(F851, 'api-register-id'!B:I, 8, FALSE), "Not found path.")</f>
        <v>1.13.0</v>
      </c>
      <c r="J851" s="3" t="s">
        <v>4891</v>
      </c>
      <c r="K851" s="31" t="s">
        <v>48</v>
      </c>
      <c r="L851" s="78" t="s">
        <v>49</v>
      </c>
      <c r="M851" s="3" t="s">
        <v>5514</v>
      </c>
      <c r="N851" s="3" t="str">
        <f t="shared" si="1"/>
        <v>POST /experience/salesAndService/v1/onBoardingDocumentTrace/register</v>
      </c>
      <c r="O851" s="32" t="s">
        <v>5609</v>
      </c>
      <c r="P851" s="32"/>
      <c r="Q851" s="61" t="s">
        <v>98</v>
      </c>
      <c r="R851" s="31" t="s">
        <v>56</v>
      </c>
      <c r="S851" s="38" t="str">
        <f t="shared" si="2"/>
        <v>https://github.com/SF-Bancoppel/mx-api-bc-rec-sales-and-service</v>
      </c>
      <c r="T851" s="40"/>
      <c r="U851" s="40"/>
      <c r="V851" s="40"/>
      <c r="W851" s="40"/>
      <c r="X851" s="40"/>
      <c r="Y851" s="40"/>
      <c r="Z851" s="40"/>
      <c r="AA851" s="40"/>
      <c r="AB851" s="40"/>
    </row>
    <row r="852" ht="18.75" customHeight="1">
      <c r="A852" s="18" t="str">
        <f t="array" ref="A852">IFERROR(
  INDEX(
    'api-register-id'!A:A,
    MATCH(F852, 'api-register-id'!B:B, 0)
  ),
  "Not found Organization"
)</f>
        <v>SSFF</v>
      </c>
      <c r="B852" s="22" t="str">
        <f>IFERROR(VLOOKUP(F852, 'api-register-id'!B:F, 4, FALSE), "Not found path.")</f>
        <v>mx-api-bc-rec-sales-and-service</v>
      </c>
      <c r="C852" s="78" t="s">
        <v>112</v>
      </c>
      <c r="D852" s="78" t="s">
        <v>1417</v>
      </c>
      <c r="E852" s="24" t="str">
        <f>IFERROR(VLOOKUP(F852, 'api-register-id'!B:F, 5, FALSE), "Not found path.")</f>
        <v>APIMX000148</v>
      </c>
      <c r="F852" s="25" t="s">
        <v>1764</v>
      </c>
      <c r="G852" s="26" t="s">
        <v>5610</v>
      </c>
      <c r="H852" s="22" t="s">
        <v>5611</v>
      </c>
      <c r="I852" s="29" t="str">
        <f>IFERROR(VLOOKUP(F852, 'api-register-id'!B:I, 8, FALSE), "Not found path.")</f>
        <v>1.13.0</v>
      </c>
      <c r="J852" s="3" t="s">
        <v>4891</v>
      </c>
      <c r="K852" s="31" t="s">
        <v>48</v>
      </c>
      <c r="L852" s="78" t="s">
        <v>49</v>
      </c>
      <c r="M852" s="3" t="s">
        <v>5519</v>
      </c>
      <c r="N852" s="3" t="str">
        <f t="shared" si="1"/>
        <v>POST /experience/salesAndService/v1/onBoardingDocumentContract/register</v>
      </c>
      <c r="O852" s="32" t="s">
        <v>5612</v>
      </c>
      <c r="P852" s="32"/>
      <c r="Q852" s="61" t="s">
        <v>98</v>
      </c>
      <c r="R852" s="31" t="s">
        <v>56</v>
      </c>
      <c r="S852" s="38" t="str">
        <f t="shared" si="2"/>
        <v>https://github.com/SF-Bancoppel/mx-api-bc-rec-sales-and-service</v>
      </c>
      <c r="T852" s="40"/>
      <c r="U852" s="40"/>
      <c r="V852" s="40"/>
      <c r="W852" s="40"/>
      <c r="X852" s="40"/>
      <c r="Y852" s="40"/>
      <c r="Z852" s="40"/>
      <c r="AA852" s="40"/>
      <c r="AB852" s="40"/>
    </row>
    <row r="853" ht="18.75" customHeight="1">
      <c r="A853" s="18" t="str">
        <f t="array" ref="A853">IFERROR(
  INDEX(
    'api-register-id'!A:A,
    MATCH(F853, 'api-register-id'!B:B, 0)
  ),
  "Not found Organization"
)</f>
        <v>SSFF</v>
      </c>
      <c r="B853" s="22" t="str">
        <f>IFERROR(VLOOKUP(F853, 'api-register-id'!B:F, 4, FALSE), "Not found path.")</f>
        <v>mx-api-bc-rec-sales-and-service</v>
      </c>
      <c r="C853" s="78" t="s">
        <v>112</v>
      </c>
      <c r="D853" s="78" t="s">
        <v>1417</v>
      </c>
      <c r="E853" s="24" t="str">
        <f>IFERROR(VLOOKUP(F853, 'api-register-id'!B:F, 5, FALSE), "Not found path.")</f>
        <v>APIMX000148</v>
      </c>
      <c r="F853" s="25" t="s">
        <v>1764</v>
      </c>
      <c r="G853" s="26" t="s">
        <v>5613</v>
      </c>
      <c r="H853" s="199" t="s">
        <v>5614</v>
      </c>
      <c r="I853" s="29" t="str">
        <f>IFERROR(VLOOKUP(F853, 'api-register-id'!B:I, 8, FALSE), "Not found path.")</f>
        <v>1.13.0</v>
      </c>
      <c r="J853" s="3" t="s">
        <v>4891</v>
      </c>
      <c r="K853" s="31" t="s">
        <v>48</v>
      </c>
      <c r="L853" s="78" t="s">
        <v>49</v>
      </c>
      <c r="M853" s="3" t="s">
        <v>5524</v>
      </c>
      <c r="N853" s="3" t="str">
        <f t="shared" si="1"/>
        <v>POST /experience/salesAndService/v1/onBoardingDocumentation/register</v>
      </c>
      <c r="O853" s="32" t="s">
        <v>5615</v>
      </c>
      <c r="P853" s="32"/>
      <c r="Q853" s="61" t="s">
        <v>98</v>
      </c>
      <c r="R853" s="31" t="s">
        <v>56</v>
      </c>
      <c r="S853" s="38" t="str">
        <f t="shared" si="2"/>
        <v>https://github.com/SF-Bancoppel/mx-api-bc-rec-sales-and-service</v>
      </c>
      <c r="T853" s="40"/>
      <c r="U853" s="40"/>
      <c r="V853" s="40"/>
      <c r="W853" s="40"/>
      <c r="X853" s="40"/>
      <c r="Y853" s="40"/>
      <c r="Z853" s="40"/>
      <c r="AA853" s="40"/>
      <c r="AB853" s="40"/>
    </row>
    <row r="854" ht="18.75" customHeight="1">
      <c r="A854" s="18" t="str">
        <f t="array" ref="A854">IFERROR(
  INDEX(
    'api-register-id'!A:A,
    MATCH(F854, 'api-register-id'!B:B, 0)
  ),
  "Not found Organization"
)</f>
        <v>SSFF</v>
      </c>
      <c r="B854" s="22" t="str">
        <f>IFERROR(VLOOKUP(F854, 'api-register-id'!B:F, 4, FALSE), "Not found path.")</f>
        <v>mx-api-bc-rec-sales-and-service</v>
      </c>
      <c r="C854" s="78" t="s">
        <v>112</v>
      </c>
      <c r="D854" s="78" t="s">
        <v>1417</v>
      </c>
      <c r="E854" s="24" t="str">
        <f>IFERROR(VLOOKUP(F854, 'api-register-id'!B:F, 5, FALSE), "Not found path.")</f>
        <v>APIMX000148</v>
      </c>
      <c r="F854" s="25" t="s">
        <v>1764</v>
      </c>
      <c r="G854" s="26" t="s">
        <v>5616</v>
      </c>
      <c r="H854" s="22" t="s">
        <v>5617</v>
      </c>
      <c r="I854" s="29" t="str">
        <f>IFERROR(VLOOKUP(F854, 'api-register-id'!B:I, 8, FALSE), "Not found path.")</f>
        <v>1.13.0</v>
      </c>
      <c r="J854" s="3" t="s">
        <v>4891</v>
      </c>
      <c r="K854" s="31" t="s">
        <v>48</v>
      </c>
      <c r="L854" s="78" t="s">
        <v>49</v>
      </c>
      <c r="M854" s="3" t="s">
        <v>5529</v>
      </c>
      <c r="N854" s="3" t="str">
        <f t="shared" si="1"/>
        <v>POST /experience/salesAndService/v1/onBoardingCreditCard/register</v>
      </c>
      <c r="O854" s="32" t="s">
        <v>5618</v>
      </c>
      <c r="P854" s="32"/>
      <c r="Q854" s="61" t="s">
        <v>5619</v>
      </c>
      <c r="R854" s="31" t="s">
        <v>56</v>
      </c>
      <c r="S854" s="38" t="str">
        <f t="shared" si="2"/>
        <v>https://github.com/SF-Bancoppel/mx-api-bc-rec-sales-and-service</v>
      </c>
      <c r="T854" s="40"/>
      <c r="U854" s="40"/>
      <c r="V854" s="40"/>
      <c r="W854" s="40"/>
      <c r="X854" s="40"/>
      <c r="Y854" s="40"/>
      <c r="Z854" s="40"/>
      <c r="AA854" s="40"/>
      <c r="AB854" s="40"/>
    </row>
    <row r="855" ht="18.75" customHeight="1">
      <c r="A855" s="18" t="str">
        <f t="array" ref="A855">IFERROR(
  INDEX(
    'api-register-id'!A:A,
    MATCH(F855, 'api-register-id'!B:B, 0)
  ),
  "Not found Organization"
)</f>
        <v>SSFF</v>
      </c>
      <c r="B855" s="22" t="str">
        <f>IFERROR(VLOOKUP(F855, 'api-register-id'!B:F, 4, FALSE), "Not found path.")</f>
        <v>mx-api-bc-bus-reference-data</v>
      </c>
      <c r="C855" s="78" t="s">
        <v>41</v>
      </c>
      <c r="D855" s="78" t="s">
        <v>42</v>
      </c>
      <c r="E855" s="24" t="str">
        <f>IFERROR(VLOOKUP(F855, 'api-register-id'!B:F, 5, FALSE), "Not found path.")</f>
        <v>APIMX000003</v>
      </c>
      <c r="F855" s="25" t="s">
        <v>86</v>
      </c>
      <c r="G855" s="26" t="s">
        <v>5620</v>
      </c>
      <c r="H855" s="22" t="s">
        <v>4288</v>
      </c>
      <c r="I855" s="29" t="str">
        <f>IFERROR(VLOOKUP(F855, 'api-register-id'!B:I, 8, FALSE), "Not found path.")</f>
        <v>1.7.0</v>
      </c>
      <c r="J855" s="3" t="s">
        <v>274</v>
      </c>
      <c r="K855" s="31" t="s">
        <v>48</v>
      </c>
      <c r="L855" s="78" t="s">
        <v>49</v>
      </c>
      <c r="M855" s="3" t="s">
        <v>4289</v>
      </c>
      <c r="N855" s="3" t="str">
        <f t="shared" si="1"/>
        <v>POST /referenceData/v1/incomeProfile/initiate</v>
      </c>
      <c r="O855" s="32" t="s">
        <v>4291</v>
      </c>
      <c r="P855" s="32"/>
      <c r="Q855" s="61" t="s">
        <v>5621</v>
      </c>
      <c r="R855" s="31" t="s">
        <v>56</v>
      </c>
      <c r="S855" s="38" t="str">
        <f t="shared" si="2"/>
        <v>https://github.com/SF-Bancoppel/mx-api-bc-bus-reference-data</v>
      </c>
      <c r="T855" s="40"/>
      <c r="U855" s="40"/>
      <c r="V855" s="40"/>
      <c r="W855" s="40"/>
      <c r="X855" s="40"/>
      <c r="Y855" s="40"/>
      <c r="Z855" s="40"/>
      <c r="AA855" s="40"/>
      <c r="AB855" s="40"/>
    </row>
    <row r="856" ht="18.75" customHeight="1">
      <c r="A856" s="18" t="str">
        <f t="array" ref="A856">IFERROR(
  INDEX(
    'api-register-id'!A:A,
    MATCH(F856, 'api-register-id'!B:B, 0)
  ),
  "Not found Organization"
)</f>
        <v>SSFF</v>
      </c>
      <c r="B856" s="22" t="str">
        <f>IFERROR(VLOOKUP(F856, 'api-register-id'!B:F, 4, FALSE), "Not found path.")</f>
        <v>mx-api-bc-dom-customer-credit-rating</v>
      </c>
      <c r="C856" s="78" t="s">
        <v>41</v>
      </c>
      <c r="D856" s="78" t="s">
        <v>119</v>
      </c>
      <c r="E856" s="24" t="str">
        <f>IFERROR(VLOOKUP(F856, 'api-register-id'!B:F, 5, FALSE), "Not found path.")</f>
        <v>APIMX000019</v>
      </c>
      <c r="F856" s="25" t="s">
        <v>325</v>
      </c>
      <c r="G856" s="26" t="s">
        <v>5622</v>
      </c>
      <c r="H856" s="22" t="s">
        <v>5623</v>
      </c>
      <c r="I856" s="29" t="str">
        <f>IFERROR(VLOOKUP(F856, 'api-register-id'!B:I, 8, FALSE), "Not found path.")</f>
        <v>1.5.1</v>
      </c>
      <c r="J856" s="3" t="s">
        <v>5325</v>
      </c>
      <c r="K856" s="31" t="s">
        <v>48</v>
      </c>
      <c r="L856" s="78" t="s">
        <v>49</v>
      </c>
      <c r="M856" s="3" t="s">
        <v>5624</v>
      </c>
      <c r="N856" s="3" t="str">
        <f t="shared" si="1"/>
        <v>POST /customerManagement/customerCreditRating/v1/internalCustomerCreditRating/evaluate</v>
      </c>
      <c r="O856" s="32" t="s">
        <v>5625</v>
      </c>
      <c r="P856" s="32"/>
      <c r="Q856" s="61" t="s">
        <v>5626</v>
      </c>
      <c r="R856" s="31" t="s">
        <v>56</v>
      </c>
      <c r="S856" s="38" t="str">
        <f t="shared" si="2"/>
        <v>https://github.com/SF-Bancoppel/mx-api-bc-dom-customer-credit-rating</v>
      </c>
      <c r="T856" s="40"/>
      <c r="U856" s="40"/>
      <c r="V856" s="40"/>
      <c r="W856" s="40"/>
      <c r="X856" s="40"/>
      <c r="Y856" s="40"/>
      <c r="Z856" s="40"/>
      <c r="AA856" s="40"/>
      <c r="AB856" s="40"/>
    </row>
    <row r="857" ht="18.75" customHeight="1">
      <c r="A857" s="18" t="str">
        <f t="array" ref="A857">IFERROR(
  INDEX(
    'api-register-id'!A:A,
    MATCH(F857, 'api-register-id'!B:B, 0)
  ),
  "Not found Organization"
)</f>
        <v>SSFF</v>
      </c>
      <c r="B857" s="22" t="str">
        <f>IFERROR(VLOOKUP(F857, 'api-register-id'!B:F, 4, FALSE), "Not found path.")</f>
        <v>mx-api-bc-dom-customer-credit-rating</v>
      </c>
      <c r="C857" s="78" t="s">
        <v>41</v>
      </c>
      <c r="D857" s="78" t="s">
        <v>119</v>
      </c>
      <c r="E857" s="24" t="str">
        <f>IFERROR(VLOOKUP(F857, 'api-register-id'!B:F, 5, FALSE), "Not found path.")</f>
        <v>APIMX000019</v>
      </c>
      <c r="F857" s="25" t="s">
        <v>325</v>
      </c>
      <c r="G857" s="26" t="s">
        <v>5627</v>
      </c>
      <c r="H857" s="22" t="s">
        <v>5628</v>
      </c>
      <c r="I857" s="29" t="str">
        <f>IFERROR(VLOOKUP(F857, 'api-register-id'!B:I, 8, FALSE), "Not found path.")</f>
        <v>1.5.1</v>
      </c>
      <c r="J857" s="3" t="s">
        <v>5325</v>
      </c>
      <c r="K857" s="31" t="s">
        <v>48</v>
      </c>
      <c r="L857" s="78" t="s">
        <v>49</v>
      </c>
      <c r="M857" s="3" t="s">
        <v>5629</v>
      </c>
      <c r="N857" s="3" t="str">
        <f t="shared" si="1"/>
        <v>POST /customerManagement/customerCreditRating/v1/internalReporting/initiate</v>
      </c>
      <c r="O857" s="32" t="s">
        <v>5630</v>
      </c>
      <c r="P857" s="32"/>
      <c r="Q857" s="61" t="s">
        <v>5631</v>
      </c>
      <c r="R857" s="31" t="s">
        <v>56</v>
      </c>
      <c r="S857" s="38" t="str">
        <f t="shared" si="2"/>
        <v>https://github.com/SF-Bancoppel/mx-api-bc-dom-customer-credit-rating</v>
      </c>
      <c r="T857" s="40"/>
      <c r="U857" s="40"/>
      <c r="V857" s="40"/>
      <c r="W857" s="40"/>
      <c r="X857" s="40"/>
      <c r="Y857" s="40"/>
      <c r="Z857" s="40"/>
      <c r="AA857" s="40"/>
      <c r="AB857" s="40"/>
    </row>
    <row r="858" ht="18.75" customHeight="1">
      <c r="A858" s="18" t="str">
        <f t="array" ref="A858">IFERROR(
  INDEX(
    'api-register-id'!A:A,
    MATCH(F858, 'api-register-id'!B:B, 0)
  ),
  "Not found Organization"
)</f>
        <v>SSFF</v>
      </c>
      <c r="B858" s="22" t="str">
        <f>IFERROR(VLOOKUP(F858, 'api-register-id'!B:F, 4, FALSE), "Not found path.")</f>
        <v>mx-api-bc-dom-customer-credit-rating</v>
      </c>
      <c r="C858" s="78" t="s">
        <v>41</v>
      </c>
      <c r="D858" s="78" t="s">
        <v>119</v>
      </c>
      <c r="E858" s="24" t="str">
        <f>IFERROR(VLOOKUP(F858, 'api-register-id'!B:F, 5, FALSE), "Not found path.")</f>
        <v>APIMX000019</v>
      </c>
      <c r="F858" s="25" t="s">
        <v>325</v>
      </c>
      <c r="G858" s="26" t="s">
        <v>5632</v>
      </c>
      <c r="H858" s="22" t="s">
        <v>5633</v>
      </c>
      <c r="I858" s="29" t="str">
        <f>IFERROR(VLOOKUP(F858, 'api-register-id'!B:I, 8, FALSE), "Not found path.")</f>
        <v>1.5.1</v>
      </c>
      <c r="J858" s="3" t="s">
        <v>5325</v>
      </c>
      <c r="K858" s="31" t="s">
        <v>48</v>
      </c>
      <c r="L858" s="78" t="s">
        <v>49</v>
      </c>
      <c r="M858" s="3" t="s">
        <v>5634</v>
      </c>
      <c r="N858" s="3" t="str">
        <f t="shared" si="1"/>
        <v>POST /customerManagement/customerCreditRating/v1/internalCustomerCreditRating/initiate</v>
      </c>
      <c r="O858" s="32" t="s">
        <v>5635</v>
      </c>
      <c r="P858" s="32"/>
      <c r="Q858" s="61" t="s">
        <v>5636</v>
      </c>
      <c r="R858" s="31" t="s">
        <v>56</v>
      </c>
      <c r="S858" s="38" t="str">
        <f t="shared" si="2"/>
        <v>https://github.com/SF-Bancoppel/mx-api-bc-dom-customer-credit-rating</v>
      </c>
      <c r="T858" s="40"/>
      <c r="U858" s="40"/>
      <c r="V858" s="40"/>
      <c r="W858" s="40"/>
      <c r="X858" s="40"/>
      <c r="Y858" s="40"/>
      <c r="Z858" s="40"/>
      <c r="AA858" s="40"/>
      <c r="AB858" s="40"/>
    </row>
    <row r="859" ht="18.75" customHeight="1">
      <c r="A859" s="18" t="str">
        <f t="array" ref="A859">IFERROR(
  INDEX(
    'api-register-id'!A:A,
    MATCH(F859, 'api-register-id'!B:B, 0)
  ),
  "Not found Organization"
)</f>
        <v>SSFF</v>
      </c>
      <c r="B859" s="22" t="str">
        <f>IFERROR(VLOOKUP(F859, 'api-register-id'!B:F, 4, FALSE), "Not found path.")</f>
        <v>mx-api-bc-dom-location-data-management</v>
      </c>
      <c r="C859" s="78" t="s">
        <v>41</v>
      </c>
      <c r="D859" s="78" t="s">
        <v>119</v>
      </c>
      <c r="E859" s="24" t="str">
        <f>IFERROR(VLOOKUP(F859, 'api-register-id'!B:F, 5, FALSE), "Not found path.")</f>
        <v>APIMX000038</v>
      </c>
      <c r="F859" s="25" t="s">
        <v>603</v>
      </c>
      <c r="G859" s="26" t="s">
        <v>5637</v>
      </c>
      <c r="H859" s="22" t="s">
        <v>1485</v>
      </c>
      <c r="I859" s="29" t="str">
        <f>IFERROR(VLOOKUP(F859, 'api-register-id'!B:I, 8, FALSE), "Not found path.")</f>
        <v>1.2.1</v>
      </c>
      <c r="J859" s="3" t="s">
        <v>1261</v>
      </c>
      <c r="K859" s="31" t="s">
        <v>48</v>
      </c>
      <c r="L859" s="78" t="s">
        <v>49</v>
      </c>
      <c r="M859" s="3" t="s">
        <v>1488</v>
      </c>
      <c r="N859" s="3" t="str">
        <f t="shared" si="1"/>
        <v>POST /marketData/locationDataManagement/v1/location/retrieve</v>
      </c>
      <c r="O859" s="32" t="s">
        <v>4308</v>
      </c>
      <c r="P859" s="32"/>
      <c r="Q859" s="61" t="s">
        <v>5638</v>
      </c>
      <c r="R859" s="31" t="s">
        <v>56</v>
      </c>
      <c r="S859" s="38" t="str">
        <f t="shared" si="2"/>
        <v>https://github.com/SF-Bancoppel/mx-api-bc-dom-location-data-management</v>
      </c>
      <c r="T859" s="40"/>
      <c r="U859" s="40"/>
      <c r="V859" s="40"/>
      <c r="W859" s="40"/>
      <c r="X859" s="40"/>
      <c r="Y859" s="40"/>
      <c r="Z859" s="40"/>
      <c r="AA859" s="40"/>
      <c r="AB859" s="40"/>
    </row>
    <row r="860" ht="18.75" customHeight="1">
      <c r="A860" s="18" t="str">
        <f t="array" ref="A860">IFERROR(
  INDEX(
    'api-register-id'!A:A,
    MATCH(F860, 'api-register-id'!B:B, 0)
  ),
  "Not found Organization"
)</f>
        <v>SSFF</v>
      </c>
      <c r="B860" s="22" t="str">
        <f>IFERROR(VLOOKUP(F860, 'api-register-id'!B:F, 4, FALSE), "Not found path.")</f>
        <v>mx-api-bc-dom-location-data-management</v>
      </c>
      <c r="C860" s="78" t="s">
        <v>41</v>
      </c>
      <c r="D860" s="78" t="s">
        <v>119</v>
      </c>
      <c r="E860" s="24" t="str">
        <f>IFERROR(VLOOKUP(F860, 'api-register-id'!B:F, 5, FALSE), "Not found path.")</f>
        <v>APIMX000038</v>
      </c>
      <c r="F860" s="25" t="s">
        <v>603</v>
      </c>
      <c r="G860" s="26" t="s">
        <v>5639</v>
      </c>
      <c r="H860" s="22" t="s">
        <v>4311</v>
      </c>
      <c r="I860" s="29" t="str">
        <f>IFERROR(VLOOKUP(F860, 'api-register-id'!B:I, 8, FALSE), "Not found path.")</f>
        <v>1.2.1</v>
      </c>
      <c r="J860" s="3" t="s">
        <v>1261</v>
      </c>
      <c r="K860" s="31" t="s">
        <v>48</v>
      </c>
      <c r="L860" s="78" t="s">
        <v>49</v>
      </c>
      <c r="M860" s="3" t="s">
        <v>4313</v>
      </c>
      <c r="N860" s="3" t="str">
        <f t="shared" si="1"/>
        <v>POST /marketData/locationDataManagement/v1/customerRelationshipInvolvementLocation/register</v>
      </c>
      <c r="O860" s="32" t="s">
        <v>5640</v>
      </c>
      <c r="P860" s="32"/>
      <c r="Q860" s="61" t="s">
        <v>5641</v>
      </c>
      <c r="R860" s="31" t="s">
        <v>56</v>
      </c>
      <c r="S860" s="38" t="str">
        <f t="shared" si="2"/>
        <v>https://github.com/SF-Bancoppel/mx-api-bc-dom-location-data-management</v>
      </c>
      <c r="T860" s="40"/>
      <c r="U860" s="40"/>
      <c r="V860" s="40"/>
      <c r="W860" s="40"/>
      <c r="X860" s="40"/>
      <c r="Y860" s="40"/>
      <c r="Z860" s="40"/>
      <c r="AA860" s="40"/>
      <c r="AB860" s="40"/>
    </row>
    <row r="861" ht="18.75" customHeight="1">
      <c r="A861" s="18" t="str">
        <f t="array" ref="A861">IFERROR(
  INDEX(
    'api-register-id'!A:A,
    MATCH(F861, 'api-register-id'!B:B, 0)
  ),
  "Not found Organization"
)</f>
        <v>SSFF</v>
      </c>
      <c r="B861" s="22" t="str">
        <f>IFERROR(VLOOKUP(F861, 'api-register-id'!B:F, 4, FALSE), "Not found path.")</f>
        <v>mx-api-bc-dom-party-reference-data-directory</v>
      </c>
      <c r="C861" s="78" t="s">
        <v>41</v>
      </c>
      <c r="D861" s="78" t="s">
        <v>119</v>
      </c>
      <c r="E861" s="24" t="str">
        <f>IFERROR(VLOOKUP(F861, 'api-register-id'!B:F, 5, FALSE), "Not found path.")</f>
        <v>APIMX000041</v>
      </c>
      <c r="F861" s="25" t="s">
        <v>637</v>
      </c>
      <c r="G861" s="26" t="s">
        <v>5642</v>
      </c>
      <c r="H861" s="22" t="s">
        <v>4322</v>
      </c>
      <c r="I861" s="29" t="str">
        <f>IFERROR(VLOOKUP(F861, 'api-register-id'!B:I, 8, FALSE), "Not found path.")</f>
        <v>1.7.2</v>
      </c>
      <c r="J861" s="3" t="s">
        <v>1504</v>
      </c>
      <c r="K861" s="31" t="s">
        <v>48</v>
      </c>
      <c r="L861" s="78" t="s">
        <v>61</v>
      </c>
      <c r="M861" s="3" t="s">
        <v>4323</v>
      </c>
      <c r="N861" s="3" t="str">
        <f t="shared" si="1"/>
        <v>PUT /customerManagement/partyReferenceDataDirectory/v1/incomeProfile/update</v>
      </c>
      <c r="O861" s="32" t="s">
        <v>5643</v>
      </c>
      <c r="P861" s="32"/>
      <c r="Q861" s="61" t="s">
        <v>5644</v>
      </c>
      <c r="R861" s="31" t="s">
        <v>56</v>
      </c>
      <c r="S861" s="38" t="str">
        <f t="shared" si="2"/>
        <v>https://github.com/SF-Bancoppel/mx-api-bc-dom-party-reference-data-directory</v>
      </c>
      <c r="T861" s="40"/>
      <c r="U861" s="40"/>
      <c r="V861" s="40"/>
      <c r="W861" s="40"/>
      <c r="X861" s="40"/>
      <c r="Y861" s="40"/>
      <c r="Z861" s="40"/>
      <c r="AA861" s="40"/>
      <c r="AB861" s="40"/>
    </row>
    <row r="862" ht="18.75" customHeight="1">
      <c r="A862" s="18" t="str">
        <f t="array" ref="A862">IFERROR(
  INDEX(
    'api-register-id'!A:A,
    MATCH(F862, 'api-register-id'!B:B, 0)
  ),
  "Not found Organization"
)</f>
        <v>SSFF</v>
      </c>
      <c r="B862" s="22" t="str">
        <f>IFERROR(VLOOKUP(F862, 'api-register-id'!B:F, 4, FALSE), "Not found path.")</f>
        <v>mx-api-bc-pro-customer-credit-rating</v>
      </c>
      <c r="C862" s="78" t="s">
        <v>41</v>
      </c>
      <c r="D862" s="78" t="s">
        <v>811</v>
      </c>
      <c r="E862" s="24" t="str">
        <f>IFERROR(VLOOKUP(F862, 'api-register-id'!B:F, 5, FALSE), "Not found path.")</f>
        <v>APIMX000075</v>
      </c>
      <c r="F862" s="25" t="s">
        <v>986</v>
      </c>
      <c r="G862" s="26" t="s">
        <v>5645</v>
      </c>
      <c r="H862" s="22" t="s">
        <v>5646</v>
      </c>
      <c r="I862" s="29" t="str">
        <f>IFERROR(VLOOKUP(F862, 'api-register-id'!B:I, 8, FALSE), "Not found path.")</f>
        <v>1.3.1</v>
      </c>
      <c r="J862" s="3" t="s">
        <v>5647</v>
      </c>
      <c r="K862" s="31" t="s">
        <v>48</v>
      </c>
      <c r="L862" s="78" t="s">
        <v>49</v>
      </c>
      <c r="M862" s="3" t="s">
        <v>5624</v>
      </c>
      <c r="N862" s="3" t="str">
        <f t="shared" si="1"/>
        <v>POST /system/customerManagement/customerCreditRating/v1/internalCustomerCreditRating/evaluate</v>
      </c>
      <c r="O862" s="32" t="s">
        <v>5648</v>
      </c>
      <c r="P862" s="32"/>
      <c r="Q862" s="61" t="s">
        <v>5649</v>
      </c>
      <c r="R862" s="31" t="s">
        <v>56</v>
      </c>
      <c r="S862" s="38" t="str">
        <f t="shared" si="2"/>
        <v>https://github.com/SF-Bancoppel/mx-api-bc-pro-customer-credit-rating</v>
      </c>
      <c r="T862" s="40"/>
      <c r="U862" s="40"/>
      <c r="V862" s="40"/>
      <c r="W862" s="40"/>
      <c r="X862" s="40"/>
      <c r="Y862" s="40"/>
      <c r="Z862" s="40"/>
      <c r="AA862" s="40"/>
      <c r="AB862" s="40"/>
    </row>
    <row r="863" ht="18.75" customHeight="1">
      <c r="A863" s="18" t="str">
        <f t="array" ref="A863">IFERROR(
  INDEX(
    'api-register-id'!A:A,
    MATCH(F863, 'api-register-id'!B:B, 0)
  ),
  "Not found Organization"
)</f>
        <v>SSFF</v>
      </c>
      <c r="B863" s="22" t="str">
        <f>IFERROR(VLOOKUP(F863, 'api-register-id'!B:F, 4, FALSE), "Not found path.")</f>
        <v>mx-api-bc-pro-customer-credit-rating</v>
      </c>
      <c r="C863" s="78" t="s">
        <v>41</v>
      </c>
      <c r="D863" s="78" t="s">
        <v>811</v>
      </c>
      <c r="E863" s="24" t="str">
        <f>IFERROR(VLOOKUP(F863, 'api-register-id'!B:F, 5, FALSE), "Not found path.")</f>
        <v>APIMX000075</v>
      </c>
      <c r="F863" s="25" t="s">
        <v>986</v>
      </c>
      <c r="G863" s="26" t="s">
        <v>5650</v>
      </c>
      <c r="H863" s="22" t="s">
        <v>5651</v>
      </c>
      <c r="I863" s="29" t="str">
        <f>IFERROR(VLOOKUP(F863, 'api-register-id'!B:I, 8, FALSE), "Not found path.")</f>
        <v>1.3.1</v>
      </c>
      <c r="J863" s="3" t="s">
        <v>5647</v>
      </c>
      <c r="K863" s="31" t="s">
        <v>48</v>
      </c>
      <c r="L863" s="78" t="s">
        <v>49</v>
      </c>
      <c r="M863" s="3" t="s">
        <v>5629</v>
      </c>
      <c r="N863" s="3" t="str">
        <f t="shared" si="1"/>
        <v>POST /system/customerManagement/customerCreditRating/v1/internalReporting/initiate</v>
      </c>
      <c r="O863" s="32" t="s">
        <v>5630</v>
      </c>
      <c r="P863" s="32"/>
      <c r="Q863" s="61" t="s">
        <v>5652</v>
      </c>
      <c r="R863" s="31" t="s">
        <v>56</v>
      </c>
      <c r="S863" s="38" t="str">
        <f t="shared" si="2"/>
        <v>https://github.com/SF-Bancoppel/mx-api-bc-pro-customer-credit-rating</v>
      </c>
      <c r="T863" s="40"/>
      <c r="U863" s="40"/>
      <c r="V863" s="40"/>
      <c r="W863" s="40"/>
      <c r="X863" s="40"/>
      <c r="Y863" s="40"/>
      <c r="Z863" s="40"/>
      <c r="AA863" s="40"/>
      <c r="AB863" s="40"/>
    </row>
    <row r="864" ht="18.75" customHeight="1">
      <c r="A864" s="18" t="str">
        <f t="array" ref="A864">IFERROR(
  INDEX(
    'api-register-id'!A:A,
    MATCH(F864, 'api-register-id'!B:B, 0)
  ),
  "Not found Organization"
)</f>
        <v>SSFF</v>
      </c>
      <c r="B864" s="22" t="str">
        <f>IFERROR(VLOOKUP(F864, 'api-register-id'!B:F, 4, FALSE), "Not found path.")</f>
        <v>mx-api-bc-pro-customer-credit-rating</v>
      </c>
      <c r="C864" s="78" t="s">
        <v>41</v>
      </c>
      <c r="D864" s="78" t="s">
        <v>811</v>
      </c>
      <c r="E864" s="24" t="str">
        <f>IFERROR(VLOOKUP(F864, 'api-register-id'!B:F, 5, FALSE), "Not found path.")</f>
        <v>APIMX000075</v>
      </c>
      <c r="F864" s="25" t="s">
        <v>986</v>
      </c>
      <c r="G864" s="26" t="s">
        <v>5653</v>
      </c>
      <c r="H864" s="22" t="s">
        <v>5654</v>
      </c>
      <c r="I864" s="29" t="str">
        <f>IFERROR(VLOOKUP(F864, 'api-register-id'!B:I, 8, FALSE), "Not found path.")</f>
        <v>1.3.1</v>
      </c>
      <c r="J864" s="3" t="s">
        <v>5647</v>
      </c>
      <c r="K864" s="31" t="s">
        <v>48</v>
      </c>
      <c r="L864" s="78" t="s">
        <v>49</v>
      </c>
      <c r="M864" s="3" t="s">
        <v>5634</v>
      </c>
      <c r="N864" s="3" t="str">
        <f t="shared" si="1"/>
        <v>POST /system/customerManagement/customerCreditRating/v1/internalCustomerCreditRating/initiate</v>
      </c>
      <c r="O864" s="32" t="s">
        <v>5655</v>
      </c>
      <c r="P864" s="32"/>
      <c r="Q864" s="61" t="s">
        <v>5656</v>
      </c>
      <c r="R864" s="31" t="s">
        <v>56</v>
      </c>
      <c r="S864" s="38" t="str">
        <f t="shared" si="2"/>
        <v>https://github.com/SF-Bancoppel/mx-api-bc-pro-customer-credit-rating</v>
      </c>
      <c r="T864" s="40"/>
      <c r="U864" s="40"/>
      <c r="V864" s="40"/>
      <c r="W864" s="40"/>
      <c r="X864" s="40"/>
      <c r="Y864" s="40"/>
      <c r="Z864" s="40"/>
      <c r="AA864" s="40"/>
      <c r="AB864" s="40"/>
    </row>
    <row r="865" ht="18.75" customHeight="1">
      <c r="A865" s="18" t="str">
        <f t="array" ref="A865">IFERROR(
  INDEX(
    'api-register-id'!A:A,
    MATCH(F865, 'api-register-id'!B:B, 0)
  ),
  "Not found Organization"
)</f>
        <v>SSFF</v>
      </c>
      <c r="B865" s="22" t="str">
        <f>IFERROR(VLOOKUP(F865, 'api-register-id'!B:F, 4, FALSE), "Not found path.")</f>
        <v>mx-api-bc-pro-location-data-management</v>
      </c>
      <c r="C865" s="78" t="s">
        <v>41</v>
      </c>
      <c r="D865" s="78" t="s">
        <v>811</v>
      </c>
      <c r="E865" s="24" t="str">
        <f>IFERROR(VLOOKUP(F865, 'api-register-id'!B:F, 5, FALSE), "Not found path.")</f>
        <v>APIMX000094</v>
      </c>
      <c r="F865" s="25" t="s">
        <v>1198</v>
      </c>
      <c r="G865" s="26" t="s">
        <v>5657</v>
      </c>
      <c r="H865" s="22" t="s">
        <v>3361</v>
      </c>
      <c r="I865" s="29" t="str">
        <f>IFERROR(VLOOKUP(F865, 'api-register-id'!B:I, 8, FALSE), "Not found path.")</f>
        <v>1.3.1</v>
      </c>
      <c r="J865" s="3" t="s">
        <v>3154</v>
      </c>
      <c r="K865" s="31" t="s">
        <v>48</v>
      </c>
      <c r="L865" s="78" t="s">
        <v>49</v>
      </c>
      <c r="M865" s="3" t="s">
        <v>1488</v>
      </c>
      <c r="N865" s="3" t="str">
        <f t="shared" si="1"/>
        <v>POST /system/marketData/locationDataManagement/v1/location/retrieve</v>
      </c>
      <c r="O865" s="32" t="s">
        <v>4308</v>
      </c>
      <c r="P865" s="32"/>
      <c r="Q865" s="61" t="s">
        <v>5658</v>
      </c>
      <c r="R865" s="31" t="s">
        <v>56</v>
      </c>
      <c r="S865" s="38" t="str">
        <f t="shared" si="2"/>
        <v>https://github.com/SF-Bancoppel/mx-api-bc-pro-location-data-management</v>
      </c>
      <c r="T865" s="40"/>
      <c r="U865" s="40"/>
      <c r="V865" s="40"/>
      <c r="W865" s="40"/>
      <c r="X865" s="40"/>
      <c r="Y865" s="40"/>
      <c r="Z865" s="40"/>
      <c r="AA865" s="40"/>
      <c r="AB865" s="40"/>
    </row>
    <row r="866" ht="18.75" customHeight="1">
      <c r="A866" s="18" t="str">
        <f t="array" ref="A866">IFERROR(
  INDEX(
    'api-register-id'!A:A,
    MATCH(F866, 'api-register-id'!B:B, 0)
  ),
  "Not found Organization"
)</f>
        <v>SSFF</v>
      </c>
      <c r="B866" s="22" t="str">
        <f>IFERROR(VLOOKUP(F866, 'api-register-id'!B:F, 4, FALSE), "Not found path.")</f>
        <v>mx-api-bc-pro-location-data-management</v>
      </c>
      <c r="C866" s="78" t="s">
        <v>41</v>
      </c>
      <c r="D866" s="78" t="s">
        <v>811</v>
      </c>
      <c r="E866" s="24" t="str">
        <f>IFERROR(VLOOKUP(F866, 'api-register-id'!B:F, 5, FALSE), "Not found path.")</f>
        <v>APIMX000094</v>
      </c>
      <c r="F866" s="25" t="s">
        <v>1198</v>
      </c>
      <c r="G866" s="26" t="s">
        <v>5659</v>
      </c>
      <c r="H866" s="22" t="s">
        <v>4342</v>
      </c>
      <c r="I866" s="29" t="str">
        <f>IFERROR(VLOOKUP(F866, 'api-register-id'!B:I, 8, FALSE), "Not found path.")</f>
        <v>1.3.1</v>
      </c>
      <c r="J866" s="3" t="s">
        <v>3154</v>
      </c>
      <c r="K866" s="31" t="s">
        <v>48</v>
      </c>
      <c r="L866" s="78" t="s">
        <v>49</v>
      </c>
      <c r="M866" s="3" t="s">
        <v>4313</v>
      </c>
      <c r="N866" s="3" t="str">
        <f t="shared" si="1"/>
        <v>POST /system/marketData/locationDataManagement/v1/customerRelationshipInvolvementLocation/register</v>
      </c>
      <c r="O866" s="32" t="s">
        <v>5640</v>
      </c>
      <c r="P866" s="32"/>
      <c r="Q866" s="61" t="s">
        <v>5660</v>
      </c>
      <c r="R866" s="31" t="s">
        <v>56</v>
      </c>
      <c r="S866" s="38" t="str">
        <f t="shared" si="2"/>
        <v>https://github.com/SF-Bancoppel/mx-api-bc-pro-location-data-management</v>
      </c>
      <c r="T866" s="40"/>
      <c r="U866" s="40"/>
      <c r="V866" s="40"/>
      <c r="W866" s="40"/>
      <c r="X866" s="40"/>
      <c r="Y866" s="40"/>
      <c r="Z866" s="40"/>
      <c r="AA866" s="40"/>
      <c r="AB866" s="40"/>
    </row>
    <row r="867" ht="18.75" customHeight="1">
      <c r="A867" s="18" t="str">
        <f t="array" ref="A867">IFERROR(
  INDEX(
    'api-register-id'!A:A,
    MATCH(F867, 'api-register-id'!B:B, 0)
  ),
  "Not found Organization"
)</f>
        <v>SSFF</v>
      </c>
      <c r="B867" s="22" t="str">
        <f>IFERROR(VLOOKUP(F867, 'api-register-id'!B:F, 4, FALSE), "Not found path.")</f>
        <v>mx-api-bc-pro-party-reference-data-directory</v>
      </c>
      <c r="C867" s="78" t="s">
        <v>41</v>
      </c>
      <c r="D867" s="78" t="s">
        <v>811</v>
      </c>
      <c r="E867" s="24" t="str">
        <f>IFERROR(VLOOKUP(F867, 'api-register-id'!B:F, 5, FALSE), "Not found path.")</f>
        <v>APIMX000097</v>
      </c>
      <c r="F867" s="25" t="s">
        <v>1222</v>
      </c>
      <c r="G867" s="26" t="s">
        <v>5661</v>
      </c>
      <c r="H867" s="22" t="s">
        <v>4347</v>
      </c>
      <c r="I867" s="29" t="str">
        <f>IFERROR(VLOOKUP(F867, 'api-register-id'!B:I, 8, FALSE), "Not found path.")</f>
        <v>1.8.1</v>
      </c>
      <c r="J867" s="3" t="s">
        <v>3395</v>
      </c>
      <c r="K867" s="31" t="s">
        <v>48</v>
      </c>
      <c r="L867" s="78" t="s">
        <v>61</v>
      </c>
      <c r="M867" s="3" t="s">
        <v>4323</v>
      </c>
      <c r="N867" s="3" t="str">
        <f t="shared" si="1"/>
        <v>PUT /system/customerManagement/partyReferenceDataDirectory/v1/incomeProfile/update</v>
      </c>
      <c r="O867" s="32" t="s">
        <v>5662</v>
      </c>
      <c r="P867" s="32"/>
      <c r="Q867" s="61" t="s">
        <v>5663</v>
      </c>
      <c r="R867" s="31" t="s">
        <v>56</v>
      </c>
      <c r="S867" s="38" t="str">
        <f t="shared" si="2"/>
        <v>https://github.com/SF-Bancoppel/mx-api-bc-pro-party-reference-data-directory</v>
      </c>
      <c r="T867" s="40"/>
      <c r="U867" s="40"/>
      <c r="V867" s="40"/>
      <c r="W867" s="40"/>
      <c r="X867" s="40"/>
      <c r="Y867" s="40"/>
      <c r="Z867" s="40"/>
      <c r="AA867" s="40"/>
      <c r="AB867" s="40"/>
    </row>
    <row r="868" ht="18.75" customHeight="1">
      <c r="A868" s="18" t="str">
        <f t="array" ref="A868">IFERROR(
  INDEX(
    'api-register-id'!A:A,
    MATCH(F868, 'api-register-id'!B:B, 0)
  ),
  "Not found Organization"
)</f>
        <v>SSFF</v>
      </c>
      <c r="B868" s="22" t="str">
        <f>IFERROR(VLOOKUP(F868, 'api-register-id'!B:F, 4, FALSE), "Not found path.")</f>
        <v>mx-api-bc-rec-customer-credit-rating</v>
      </c>
      <c r="C868" s="23" t="s">
        <v>112</v>
      </c>
      <c r="D868" s="78" t="s">
        <v>1417</v>
      </c>
      <c r="E868" s="24" t="str">
        <f>IFERROR(VLOOKUP(F868, 'api-register-id'!B:F, 5, FALSE), "Not found path.")</f>
        <v>APIMX000126</v>
      </c>
      <c r="F868" s="25" t="s">
        <v>1537</v>
      </c>
      <c r="G868" s="26" t="s">
        <v>5664</v>
      </c>
      <c r="H868" s="22" t="s">
        <v>5665</v>
      </c>
      <c r="I868" s="29" t="str">
        <f>IFERROR(VLOOKUP(F868, 'api-register-id'!B:I, 8, FALSE), "Not found path.")</f>
        <v>1.5.0</v>
      </c>
      <c r="J868" s="3" t="s">
        <v>5385</v>
      </c>
      <c r="K868" s="31" t="s">
        <v>48</v>
      </c>
      <c r="L868" s="78" t="s">
        <v>49</v>
      </c>
      <c r="M868" s="3" t="s">
        <v>5624</v>
      </c>
      <c r="N868" s="3" t="str">
        <f t="shared" si="1"/>
        <v>POST /experience/customerManagement/customerCreditRating/v1/internalCustomerCreditRating/evaluate</v>
      </c>
      <c r="O868" s="32" t="s">
        <v>5666</v>
      </c>
      <c r="P868" s="32"/>
      <c r="Q868" s="61" t="s">
        <v>98</v>
      </c>
      <c r="R868" s="31" t="s">
        <v>56</v>
      </c>
      <c r="S868" s="38" t="str">
        <f t="shared" si="2"/>
        <v>https://github.com/SF-Bancoppel/mx-api-bc-rec-customer-credit-rating</v>
      </c>
      <c r="T868" s="40"/>
      <c r="U868" s="40"/>
      <c r="V868" s="40"/>
      <c r="W868" s="40"/>
      <c r="X868" s="40"/>
      <c r="Y868" s="40"/>
      <c r="Z868" s="40"/>
      <c r="AA868" s="40"/>
      <c r="AB868" s="40"/>
    </row>
    <row r="869" ht="18.75" customHeight="1">
      <c r="A869" s="18" t="str">
        <f t="array" ref="A869">IFERROR(
  INDEX(
    'api-register-id'!A:A,
    MATCH(F869, 'api-register-id'!B:B, 0)
  ),
  "Not found Organization"
)</f>
        <v>SSFF</v>
      </c>
      <c r="B869" s="22" t="str">
        <f>IFERROR(VLOOKUP(F869, 'api-register-id'!B:F, 4, FALSE), "Not found path.")</f>
        <v>mx-api-bc-rec-customer-credit-rating</v>
      </c>
      <c r="C869" s="23" t="s">
        <v>112</v>
      </c>
      <c r="D869" s="78" t="s">
        <v>1417</v>
      </c>
      <c r="E869" s="24" t="str">
        <f>IFERROR(VLOOKUP(F869, 'api-register-id'!B:F, 5, FALSE), "Not found path.")</f>
        <v>APIMX000126</v>
      </c>
      <c r="F869" s="25" t="s">
        <v>1537</v>
      </c>
      <c r="G869" s="26" t="s">
        <v>5667</v>
      </c>
      <c r="H869" s="22" t="s">
        <v>5668</v>
      </c>
      <c r="I869" s="29" t="str">
        <f>IFERROR(VLOOKUP(F869, 'api-register-id'!B:I, 8, FALSE), "Not found path.")</f>
        <v>1.5.0</v>
      </c>
      <c r="J869" s="3" t="s">
        <v>5385</v>
      </c>
      <c r="K869" s="31" t="s">
        <v>48</v>
      </c>
      <c r="L869" s="78" t="s">
        <v>49</v>
      </c>
      <c r="M869" s="3" t="s">
        <v>5629</v>
      </c>
      <c r="N869" s="3" t="str">
        <f t="shared" si="1"/>
        <v>POST /experience/customerManagement/customerCreditRating/v1/internalReporting/initiate</v>
      </c>
      <c r="O869" s="32" t="s">
        <v>5669</v>
      </c>
      <c r="P869" s="32"/>
      <c r="Q869" s="61" t="s">
        <v>98</v>
      </c>
      <c r="R869" s="31" t="s">
        <v>56</v>
      </c>
      <c r="S869" s="38" t="str">
        <f t="shared" si="2"/>
        <v>https://github.com/SF-Bancoppel/mx-api-bc-rec-customer-credit-rating</v>
      </c>
      <c r="T869" s="40"/>
      <c r="U869" s="40"/>
      <c r="V869" s="40"/>
      <c r="W869" s="40"/>
      <c r="X869" s="40"/>
      <c r="Y869" s="40"/>
      <c r="Z869" s="40"/>
      <c r="AA869" s="40"/>
      <c r="AB869" s="40"/>
    </row>
    <row r="870" ht="18.75" customHeight="1">
      <c r="A870" s="18" t="str">
        <f t="array" ref="A870">IFERROR(
  INDEX(
    'api-register-id'!A:A,
    MATCH(F870, 'api-register-id'!B:B, 0)
  ),
  "Not found Organization"
)</f>
        <v>SSFF</v>
      </c>
      <c r="B870" s="22" t="str">
        <f>IFERROR(VLOOKUP(F870, 'api-register-id'!B:F, 4, FALSE), "Not found path.")</f>
        <v>mx-api-bc-rec-customer-credit-rating</v>
      </c>
      <c r="C870" s="23" t="s">
        <v>112</v>
      </c>
      <c r="D870" s="78" t="s">
        <v>1417</v>
      </c>
      <c r="E870" s="24" t="str">
        <f>IFERROR(VLOOKUP(F870, 'api-register-id'!B:F, 5, FALSE), "Not found path.")</f>
        <v>APIMX000126</v>
      </c>
      <c r="F870" s="25" t="s">
        <v>1537</v>
      </c>
      <c r="G870" s="26" t="s">
        <v>5670</v>
      </c>
      <c r="H870" s="22" t="s">
        <v>5671</v>
      </c>
      <c r="I870" s="29" t="str">
        <f>IFERROR(VLOOKUP(F870, 'api-register-id'!B:I, 8, FALSE), "Not found path.")</f>
        <v>1.5.0</v>
      </c>
      <c r="J870" s="3" t="s">
        <v>5385</v>
      </c>
      <c r="K870" s="31" t="s">
        <v>48</v>
      </c>
      <c r="L870" s="78" t="s">
        <v>49</v>
      </c>
      <c r="M870" s="3" t="s">
        <v>5634</v>
      </c>
      <c r="N870" s="3" t="str">
        <f t="shared" si="1"/>
        <v>POST /experience/customerManagement/customerCreditRating/v1/internalCustomerCreditRating/initiate</v>
      </c>
      <c r="O870" s="32" t="s">
        <v>5672</v>
      </c>
      <c r="P870" s="32"/>
      <c r="Q870" s="61" t="s">
        <v>98</v>
      </c>
      <c r="R870" s="31" t="s">
        <v>56</v>
      </c>
      <c r="S870" s="38" t="str">
        <f t="shared" si="2"/>
        <v>https://github.com/SF-Bancoppel/mx-api-bc-rec-customer-credit-rating</v>
      </c>
      <c r="T870" s="40"/>
      <c r="U870" s="40"/>
      <c r="V870" s="40"/>
      <c r="W870" s="40"/>
      <c r="X870" s="40"/>
      <c r="Y870" s="40"/>
      <c r="Z870" s="40"/>
      <c r="AA870" s="40"/>
      <c r="AB870" s="40"/>
    </row>
    <row r="871" ht="18.75" customHeight="1">
      <c r="A871" s="18" t="str">
        <f t="array" ref="A871">IFERROR(
  INDEX(
    'api-register-id'!A:A,
    MATCH(F871, 'api-register-id'!B:B, 0)
  ),
  "Not found Organization"
)</f>
        <v>SSFF</v>
      </c>
      <c r="B871" s="22" t="str">
        <f>IFERROR(VLOOKUP(F871, 'api-register-id'!B:F, 4, FALSE), "Not found path.")</f>
        <v>mx-api-bc-rec-reference-data</v>
      </c>
      <c r="C871" s="23" t="s">
        <v>112</v>
      </c>
      <c r="D871" s="78" t="s">
        <v>1417</v>
      </c>
      <c r="E871" s="24" t="str">
        <f>IFERROR(VLOOKUP(F871, 'api-register-id'!B:F, 5, FALSE), "Not found path.")</f>
        <v>APIMX000146</v>
      </c>
      <c r="F871" s="25" t="s">
        <v>1744</v>
      </c>
      <c r="G871" s="26" t="s">
        <v>5673</v>
      </c>
      <c r="H871" s="22" t="s">
        <v>4447</v>
      </c>
      <c r="I871" s="29" t="str">
        <f>IFERROR(VLOOKUP(F871, 'api-register-id'!B:I, 8, FALSE), "Not found path.")</f>
        <v>1.6.0</v>
      </c>
      <c r="J871" s="3" t="s">
        <v>4448</v>
      </c>
      <c r="K871" s="31" t="s">
        <v>48</v>
      </c>
      <c r="L871" s="78" t="s">
        <v>49</v>
      </c>
      <c r="M871" s="3" t="s">
        <v>4289</v>
      </c>
      <c r="N871" s="3" t="str">
        <f t="shared" si="1"/>
        <v>POST /experience/referenceData/v1/incomeProfile/initiate</v>
      </c>
      <c r="O871" s="32" t="s">
        <v>5674</v>
      </c>
      <c r="P871" s="32"/>
      <c r="Q871" s="61" t="s">
        <v>98</v>
      </c>
      <c r="R871" s="31" t="s">
        <v>56</v>
      </c>
      <c r="S871" s="38" t="str">
        <f t="shared" si="2"/>
        <v>https://github.com/SF-Bancoppel/mx-api-bc-rec-reference-data</v>
      </c>
      <c r="T871" s="40"/>
      <c r="U871" s="40"/>
      <c r="V871" s="40"/>
      <c r="W871" s="40"/>
      <c r="X871" s="40"/>
      <c r="Y871" s="40"/>
      <c r="Z871" s="40"/>
      <c r="AA871" s="40"/>
      <c r="AB871" s="40"/>
    </row>
    <row r="872" ht="18.75" customHeight="1">
      <c r="A872" s="18" t="str">
        <f t="array" ref="A872">IFERROR(
  INDEX(
    'api-register-id'!A:A,
    MATCH(F872, 'api-register-id'!B:B, 0)
  ),
  "Not found Organization"
)</f>
        <v>SSFF</v>
      </c>
      <c r="B872" s="22" t="str">
        <f>IFERROR(VLOOKUP(F872, 'api-register-id'!B:F, 4, FALSE), "Not found path.")</f>
        <v>mx-api-bc-bus-operations-and-execution</v>
      </c>
      <c r="C872" s="78" t="s">
        <v>41</v>
      </c>
      <c r="D872" s="78" t="s">
        <v>42</v>
      </c>
      <c r="E872" s="24" t="str">
        <f>IFERROR(VLOOKUP(F872, 'api-register-id'!B:F, 5, FALSE), "Not found path.")</f>
        <v>APIMX000002</v>
      </c>
      <c r="F872" s="25" t="s">
        <v>72</v>
      </c>
      <c r="G872" s="26" t="s">
        <v>5675</v>
      </c>
      <c r="H872" s="22" t="s">
        <v>5676</v>
      </c>
      <c r="I872" s="29" t="str">
        <f>IFERROR(VLOOKUP(F872, 'api-register-id'!B:I, 8, FALSE), "Not found path.")</f>
        <v>1.16.1</v>
      </c>
      <c r="J872" s="3" t="s">
        <v>93</v>
      </c>
      <c r="K872" s="31" t="s">
        <v>48</v>
      </c>
      <c r="L872" s="78" t="s">
        <v>49</v>
      </c>
      <c r="M872" s="3" t="s">
        <v>714</v>
      </c>
      <c r="N872" s="3" t="str">
        <f t="shared" si="1"/>
        <v>POST /operationsAndExecution/v1/creditCardPosition/retrieve</v>
      </c>
      <c r="O872" s="32" t="s">
        <v>4279</v>
      </c>
      <c r="P872" s="32"/>
      <c r="Q872" s="61" t="s">
        <v>5677</v>
      </c>
      <c r="R872" s="31" t="s">
        <v>56</v>
      </c>
      <c r="S872" s="38" t="str">
        <f t="shared" si="2"/>
        <v>https://github.com/SF-Bancoppel/mx-api-bc-bus-operations-and-execution</v>
      </c>
      <c r="T872" s="40"/>
      <c r="U872" s="40"/>
      <c r="V872" s="40"/>
      <c r="W872" s="40"/>
      <c r="X872" s="40"/>
      <c r="Y872" s="40"/>
      <c r="Z872" s="40"/>
      <c r="AA872" s="40"/>
      <c r="AB872" s="40"/>
    </row>
    <row r="873" ht="18.75" customHeight="1">
      <c r="A873" s="18" t="str">
        <f t="array" ref="A873">IFERROR(
  INDEX(
    'api-register-id'!A:A,
    MATCH(F873, 'api-register-id'!B:B, 0)
  ),
  "Not found Organization"
)</f>
        <v>SSFF</v>
      </c>
      <c r="B873" s="22" t="str">
        <f>IFERROR(VLOOKUP(F873, 'api-register-id'!B:F, 4, FALSE), "Not found path.")</f>
        <v>mx-api-bc-bus-sales-and-service</v>
      </c>
      <c r="C873" s="78" t="s">
        <v>41</v>
      </c>
      <c r="D873" s="78" t="s">
        <v>42</v>
      </c>
      <c r="E873" s="24" t="str">
        <f>IFERROR(VLOOKUP(F873, 'api-register-id'!B:F, 5, FALSE), "Not found path.")</f>
        <v>APIMX000004</v>
      </c>
      <c r="F873" s="25" t="s">
        <v>101</v>
      </c>
      <c r="G873" s="26" t="s">
        <v>5678</v>
      </c>
      <c r="H873" s="22" t="s">
        <v>464</v>
      </c>
      <c r="I873" s="29" t="str">
        <f>IFERROR(VLOOKUP(F873, 'api-register-id'!B:I, 8, FALSE), "Not found path.")</f>
        <v>1.12.0</v>
      </c>
      <c r="J873" s="3" t="s">
        <v>352</v>
      </c>
      <c r="K873" s="31" t="s">
        <v>48</v>
      </c>
      <c r="L873" s="78" t="s">
        <v>428</v>
      </c>
      <c r="M873" s="3" t="s">
        <v>5679</v>
      </c>
      <c r="N873" s="3" t="str">
        <f t="shared" si="1"/>
        <v>PATCH /salesAndService/v1/onBoardingPartyLocation/update</v>
      </c>
      <c r="O873" s="32" t="s">
        <v>430</v>
      </c>
      <c r="P873" s="32"/>
      <c r="Q873" s="61" t="s">
        <v>5680</v>
      </c>
      <c r="R873" s="31" t="s">
        <v>56</v>
      </c>
      <c r="S873" s="38" t="str">
        <f t="shared" si="2"/>
        <v>https://github.com/SF-Bancoppel/mx-api-bc-bus-sales-and-service</v>
      </c>
      <c r="T873" s="40"/>
      <c r="U873" s="40"/>
      <c r="V873" s="40"/>
      <c r="W873" s="40"/>
      <c r="X873" s="40"/>
      <c r="Y873" s="40"/>
      <c r="Z873" s="40"/>
      <c r="AA873" s="40"/>
      <c r="AB873" s="40"/>
    </row>
    <row r="874" ht="18.75" customHeight="1">
      <c r="A874" s="18" t="str">
        <f t="array" ref="A874">IFERROR(
  INDEX(
    'api-register-id'!A:A,
    MATCH(F874, 'api-register-id'!B:B, 0)
  ),
  "Not found Organization"
)</f>
        <v>SSFF</v>
      </c>
      <c r="B874" s="22" t="str">
        <f>IFERROR(VLOOKUP(F874, 'api-register-id'!B:F, 4, FALSE), "Not found path.")</f>
        <v>mx-api-bc-dom-credit-card</v>
      </c>
      <c r="C874" s="78" t="s">
        <v>41</v>
      </c>
      <c r="D874" s="78" t="s">
        <v>119</v>
      </c>
      <c r="E874" s="24" t="str">
        <f>IFERROR(VLOOKUP(F874, 'api-register-id'!B:F, 5, FALSE), "Not found path.")</f>
        <v>APIMX000012</v>
      </c>
      <c r="F874" s="25" t="s">
        <v>218</v>
      </c>
      <c r="G874" s="26" t="s">
        <v>5681</v>
      </c>
      <c r="H874" s="22" t="s">
        <v>4296</v>
      </c>
      <c r="I874" s="29" t="str">
        <f>IFERROR(VLOOKUP(F874, 'api-register-id'!B:I, 8, FALSE), "Not found path.")</f>
        <v>1.31.0</v>
      </c>
      <c r="J874" s="3" t="s">
        <v>560</v>
      </c>
      <c r="K874" s="31" t="s">
        <v>48</v>
      </c>
      <c r="L874" s="78" t="s">
        <v>49</v>
      </c>
      <c r="M874" s="3" t="s">
        <v>4298</v>
      </c>
      <c r="N874" s="3" t="str">
        <f t="shared" si="1"/>
        <v>POST /cards/creditCard/v1/reporting/retrieve</v>
      </c>
      <c r="O874" s="32" t="s">
        <v>4301</v>
      </c>
      <c r="P874" s="32"/>
      <c r="Q874" s="61" t="s">
        <v>98</v>
      </c>
      <c r="R874" s="31" t="s">
        <v>56</v>
      </c>
      <c r="S874" s="38" t="str">
        <f t="shared" si="2"/>
        <v>https://github.com/SF-Bancoppel/mx-api-bc-dom-credit-card</v>
      </c>
      <c r="T874" s="40"/>
      <c r="U874" s="40"/>
      <c r="V874" s="40"/>
      <c r="W874" s="40"/>
      <c r="X874" s="40"/>
      <c r="Y874" s="40"/>
      <c r="Z874" s="40"/>
      <c r="AA874" s="40"/>
      <c r="AB874" s="40"/>
    </row>
    <row r="875" ht="18.75" customHeight="1">
      <c r="A875" s="18" t="str">
        <f t="array" ref="A875">IFERROR(
  INDEX(
    'api-register-id'!A:A,
    MATCH(F875, 'api-register-id'!B:B, 0)
  ),
  "Not found Organization"
)</f>
        <v>SSFF</v>
      </c>
      <c r="B875" s="22" t="str">
        <f>IFERROR(VLOOKUP(F875, 'api-register-id'!B:F, 4, FALSE), "Not found path.")</f>
        <v>mx-api-bc-dom-credit-card</v>
      </c>
      <c r="C875" s="78" t="s">
        <v>41</v>
      </c>
      <c r="D875" s="78" t="s">
        <v>119</v>
      </c>
      <c r="E875" s="24" t="str">
        <f>IFERROR(VLOOKUP(F875, 'api-register-id'!B:F, 5, FALSE), "Not found path.")</f>
        <v>APIMX000012</v>
      </c>
      <c r="F875" s="25" t="s">
        <v>218</v>
      </c>
      <c r="G875" s="26" t="s">
        <v>5682</v>
      </c>
      <c r="H875" s="22" t="s">
        <v>5683</v>
      </c>
      <c r="I875" s="29" t="str">
        <f>IFERROR(VLOOKUP(F875, 'api-register-id'!B:I, 8, FALSE), "Not found path.")</f>
        <v>1.31.0</v>
      </c>
      <c r="J875" s="3" t="s">
        <v>560</v>
      </c>
      <c r="K875" s="31" t="s">
        <v>48</v>
      </c>
      <c r="L875" s="78" t="s">
        <v>49</v>
      </c>
      <c r="M875" s="3" t="s">
        <v>190</v>
      </c>
      <c r="N875" s="3" t="str">
        <f t="shared" si="1"/>
        <v>POST /cards/creditCard/v1/creditCardCashProvision/retrieve</v>
      </c>
      <c r="O875" s="32" t="s">
        <v>5684</v>
      </c>
      <c r="P875" s="32"/>
      <c r="Q875" s="61" t="s">
        <v>5685</v>
      </c>
      <c r="R875" s="31" t="s">
        <v>56</v>
      </c>
      <c r="S875" s="38" t="str">
        <f t="shared" si="2"/>
        <v>https://github.com/SF-Bancoppel/mx-api-bc-dom-credit-card</v>
      </c>
      <c r="T875" s="40"/>
      <c r="U875" s="40"/>
      <c r="V875" s="40"/>
      <c r="W875" s="40"/>
      <c r="X875" s="40"/>
      <c r="Y875" s="40"/>
      <c r="Z875" s="40"/>
      <c r="AA875" s="40"/>
      <c r="AB875" s="40"/>
    </row>
    <row r="876" ht="18.75" customHeight="1">
      <c r="A876" s="18" t="str">
        <f t="array" ref="A876">IFERROR(
  INDEX(
    'api-register-id'!A:A,
    MATCH(F876, 'api-register-id'!B:B, 0)
  ),
  "Not found Organization"
)</f>
        <v>SSFF</v>
      </c>
      <c r="B876" s="22" t="str">
        <f>IFERROR(VLOOKUP(F876, 'api-register-id'!B:F, 4, FALSE), "Not found path.")</f>
        <v>mx-api-bc-dom-credit-card</v>
      </c>
      <c r="C876" s="78" t="s">
        <v>41</v>
      </c>
      <c r="D876" s="78" t="s">
        <v>119</v>
      </c>
      <c r="E876" s="24" t="str">
        <f>IFERROR(VLOOKUP(F876, 'api-register-id'!B:F, 5, FALSE), "Not found path.")</f>
        <v>APIMX000012</v>
      </c>
      <c r="F876" s="25" t="s">
        <v>218</v>
      </c>
      <c r="G876" s="26" t="s">
        <v>5686</v>
      </c>
      <c r="H876" s="22" t="s">
        <v>5687</v>
      </c>
      <c r="I876" s="29" t="str">
        <f>IFERROR(VLOOKUP(F876, 'api-register-id'!B:I, 8, FALSE), "Not found path.")</f>
        <v>1.31.0</v>
      </c>
      <c r="J876" s="3" t="s">
        <v>560</v>
      </c>
      <c r="K876" s="31" t="s">
        <v>48</v>
      </c>
      <c r="L876" s="78" t="s">
        <v>49</v>
      </c>
      <c r="M876" s="3" t="s">
        <v>5688</v>
      </c>
      <c r="N876" s="3" t="str">
        <f t="shared" si="1"/>
        <v>POST /cards/creditCard/v1/cashAdvanceFees/retrieve</v>
      </c>
      <c r="O876" s="32" t="s">
        <v>5689</v>
      </c>
      <c r="P876" s="32"/>
      <c r="Q876" s="61" t="s">
        <v>5690</v>
      </c>
      <c r="R876" s="31" t="s">
        <v>56</v>
      </c>
      <c r="S876" s="38" t="str">
        <f t="shared" si="2"/>
        <v>https://github.com/SF-Bancoppel/mx-api-bc-dom-credit-card</v>
      </c>
      <c r="T876" s="40"/>
      <c r="U876" s="40"/>
      <c r="V876" s="40"/>
      <c r="W876" s="40"/>
      <c r="X876" s="40"/>
      <c r="Y876" s="40"/>
      <c r="Z876" s="40"/>
      <c r="AA876" s="40"/>
      <c r="AB876" s="40"/>
    </row>
    <row r="877" ht="18.75" customHeight="1">
      <c r="A877" s="18" t="str">
        <f t="array" ref="A877">IFERROR(
  INDEX(
    'api-register-id'!A:A,
    MATCH(F877, 'api-register-id'!B:B, 0)
  ),
  "Not found Organization"
)</f>
        <v>SSFF</v>
      </c>
      <c r="B877" s="22" t="str">
        <f>IFERROR(VLOOKUP(F877, 'api-register-id'!B:F, 4, FALSE), "Not found path.")</f>
        <v>mx-api-bc-dom-credit-card</v>
      </c>
      <c r="C877" s="78" t="s">
        <v>41</v>
      </c>
      <c r="D877" s="78" t="s">
        <v>119</v>
      </c>
      <c r="E877" s="24" t="str">
        <f>IFERROR(VLOOKUP(F877, 'api-register-id'!B:F, 5, FALSE), "Not found path.")</f>
        <v>APIMX000012</v>
      </c>
      <c r="F877" s="25" t="s">
        <v>218</v>
      </c>
      <c r="G877" s="26" t="s">
        <v>5691</v>
      </c>
      <c r="H877" s="22" t="s">
        <v>5692</v>
      </c>
      <c r="I877" s="29" t="str">
        <f>IFERROR(VLOOKUP(F877, 'api-register-id'!B:I, 8, FALSE), "Not found path.")</f>
        <v>1.31.0</v>
      </c>
      <c r="J877" s="3" t="s">
        <v>560</v>
      </c>
      <c r="K877" s="31" t="s">
        <v>48</v>
      </c>
      <c r="L877" s="78" t="s">
        <v>49</v>
      </c>
      <c r="M877" s="3" t="s">
        <v>5693</v>
      </c>
      <c r="N877" s="3" t="str">
        <f t="shared" si="1"/>
        <v>POST /cards/creditCard/v1/creditCardDebitStatus/retrieve</v>
      </c>
      <c r="O877" s="32" t="s">
        <v>5694</v>
      </c>
      <c r="P877" s="32"/>
      <c r="Q877" s="61" t="s">
        <v>5695</v>
      </c>
      <c r="R877" s="31" t="s">
        <v>56</v>
      </c>
      <c r="S877" s="38" t="str">
        <f t="shared" si="2"/>
        <v>https://github.com/SF-Bancoppel/mx-api-bc-dom-credit-card</v>
      </c>
      <c r="T877" s="40"/>
      <c r="U877" s="40"/>
      <c r="V877" s="40"/>
      <c r="W877" s="40"/>
      <c r="X877" s="40"/>
      <c r="Y877" s="40"/>
      <c r="Z877" s="40"/>
      <c r="AA877" s="40"/>
      <c r="AB877" s="40"/>
    </row>
    <row r="878" ht="18.75" customHeight="1">
      <c r="A878" s="18" t="str">
        <f t="array" ref="A878">IFERROR(
  INDEX(
    'api-register-id'!A:A,
    MATCH(F878, 'api-register-id'!B:B, 0)
  ),
  "Not found Organization"
)</f>
        <v>SSFF</v>
      </c>
      <c r="B878" s="22" t="str">
        <f>IFERROR(VLOOKUP(F878, 'api-register-id'!B:F, 4, FALSE), "Not found path.")</f>
        <v>mx-api-bc-dom-customer-access-entitlement</v>
      </c>
      <c r="C878" s="78" t="s">
        <v>41</v>
      </c>
      <c r="D878" s="78" t="s">
        <v>119</v>
      </c>
      <c r="E878" s="24" t="str">
        <f>IFERROR(VLOOKUP(F878, 'api-register-id'!B:F, 5, FALSE), "Not found path.")</f>
        <v>APIMX000017</v>
      </c>
      <c r="F878" s="25" t="s">
        <v>294</v>
      </c>
      <c r="G878" s="26" t="s">
        <v>5696</v>
      </c>
      <c r="H878" s="22" t="s">
        <v>4492</v>
      </c>
      <c r="I878" s="29" t="str">
        <f>IFERROR(VLOOKUP(F878, 'api-register-id'!B:I, 8, FALSE), "Not found path.")</f>
        <v>1.1.1</v>
      </c>
      <c r="J878" s="3" t="s">
        <v>853</v>
      </c>
      <c r="K878" s="31" t="s">
        <v>48</v>
      </c>
      <c r="L878" s="78" t="s">
        <v>49</v>
      </c>
      <c r="M878" s="3" t="s">
        <v>5697</v>
      </c>
      <c r="N878" s="3" t="str">
        <f t="shared" si="1"/>
        <v>POST /customerManagement/customerAccessEntitlement/v1/accessArrangement/activate</v>
      </c>
      <c r="O878" s="32" t="s">
        <v>5698</v>
      </c>
      <c r="P878" s="32"/>
      <c r="Q878" s="61" t="s">
        <v>5699</v>
      </c>
      <c r="R878" s="31" t="s">
        <v>56</v>
      </c>
      <c r="S878" s="38" t="str">
        <f t="shared" si="2"/>
        <v>https://github.com/SF-Bancoppel/mx-api-bc-dom-customer-access-entitlement</v>
      </c>
      <c r="T878" s="40"/>
      <c r="U878" s="40"/>
      <c r="V878" s="40"/>
      <c r="W878" s="40"/>
      <c r="X878" s="40"/>
      <c r="Y878" s="40"/>
      <c r="Z878" s="40"/>
      <c r="AA878" s="40"/>
      <c r="AB878" s="40"/>
    </row>
    <row r="879" ht="18.75" customHeight="1">
      <c r="A879" s="18" t="str">
        <f t="array" ref="A879">IFERROR(
  INDEX(
    'api-register-id'!A:A,
    MATCH(F879, 'api-register-id'!B:B, 0)
  ),
  "Not found Organization"
)</f>
        <v>SSFF</v>
      </c>
      <c r="B879" s="22" t="str">
        <f>IFERROR(VLOOKUP(F879, 'api-register-id'!B:F, 4, FALSE), "Not found path.")</f>
        <v>mx-api-bc-dom-customer-agreement</v>
      </c>
      <c r="C879" s="78" t="s">
        <v>41</v>
      </c>
      <c r="D879" s="78" t="s">
        <v>119</v>
      </c>
      <c r="E879" s="24" t="str">
        <f>IFERROR(VLOOKUP(F879, 'api-register-id'!B:F, 5, FALSE), "Not found path.")</f>
        <v>APIMX000018</v>
      </c>
      <c r="F879" s="25" t="s">
        <v>311</v>
      </c>
      <c r="G879" s="26" t="s">
        <v>5700</v>
      </c>
      <c r="H879" s="22" t="s">
        <v>5701</v>
      </c>
      <c r="I879" s="29" t="str">
        <f>IFERROR(VLOOKUP(F879, 'api-register-id'!B:I, 8, FALSE), "Not found path.")</f>
        <v>1.3.0</v>
      </c>
      <c r="J879" s="3" t="s">
        <v>868</v>
      </c>
      <c r="K879" s="31" t="s">
        <v>48</v>
      </c>
      <c r="L879" s="78" t="s">
        <v>49</v>
      </c>
      <c r="M879" s="3" t="s">
        <v>5702</v>
      </c>
      <c r="N879" s="3" t="str">
        <f t="shared" si="1"/>
        <v>POST /customerManagement/customerAgreement/v1/digitalServiceNumber/activate</v>
      </c>
      <c r="O879" s="32" t="s">
        <v>5703</v>
      </c>
      <c r="P879" s="32"/>
      <c r="Q879" s="61" t="s">
        <v>5704</v>
      </c>
      <c r="R879" s="31" t="s">
        <v>56</v>
      </c>
      <c r="S879" s="38" t="str">
        <f t="shared" si="2"/>
        <v>https://github.com/SF-Bancoppel/mx-api-bc-dom-customer-agreement</v>
      </c>
      <c r="T879" s="40"/>
      <c r="U879" s="40"/>
      <c r="V879" s="40"/>
      <c r="W879" s="40"/>
      <c r="X879" s="40"/>
      <c r="Y879" s="40"/>
      <c r="Z879" s="40"/>
      <c r="AA879" s="40"/>
      <c r="AB879" s="40"/>
    </row>
    <row r="880" ht="18.75" customHeight="1">
      <c r="A880" s="18" t="str">
        <f t="array" ref="A880">IFERROR(
  INDEX(
    'api-register-id'!A:A,
    MATCH(F880, 'api-register-id'!B:B, 0)
  ),
  "Not found Organization"
)</f>
        <v>SSFF</v>
      </c>
      <c r="B880" s="22" t="str">
        <f>IFERROR(VLOOKUP(F880, 'api-register-id'!B:F, 4, FALSE), "Not found path.")</f>
        <v>mx-api-bc-dom-customer-credit-rating</v>
      </c>
      <c r="C880" s="78" t="s">
        <v>41</v>
      </c>
      <c r="D880" s="78" t="s">
        <v>119</v>
      </c>
      <c r="E880" s="24" t="str">
        <f>IFERROR(VLOOKUP(F880, 'api-register-id'!B:F, 5, FALSE), "Not found path.")</f>
        <v>APIMX000019</v>
      </c>
      <c r="F880" s="25" t="s">
        <v>325</v>
      </c>
      <c r="G880" s="26" t="s">
        <v>5705</v>
      </c>
      <c r="H880" s="22" t="s">
        <v>5706</v>
      </c>
      <c r="I880" s="29" t="str">
        <f>IFERROR(VLOOKUP(F880, 'api-register-id'!B:I, 8, FALSE), "Not found path.")</f>
        <v>1.5.1</v>
      </c>
      <c r="J880" s="3" t="s">
        <v>5325</v>
      </c>
      <c r="K880" s="31" t="s">
        <v>48</v>
      </c>
      <c r="L880" s="78" t="s">
        <v>49</v>
      </c>
      <c r="M880" s="3" t="s">
        <v>5707</v>
      </c>
      <c r="N880" s="3" t="str">
        <f t="shared" si="1"/>
        <v>POST /customerManagement/customerCreditRating/v1/internalReporting/retrieve</v>
      </c>
      <c r="O880" s="32" t="s">
        <v>5708</v>
      </c>
      <c r="P880" s="32"/>
      <c r="Q880" s="61" t="s">
        <v>5709</v>
      </c>
      <c r="R880" s="31" t="s">
        <v>56</v>
      </c>
      <c r="S880" s="38" t="str">
        <f t="shared" si="2"/>
        <v>https://github.com/SF-Bancoppel/mx-api-bc-dom-customer-credit-rating</v>
      </c>
      <c r="T880" s="40"/>
      <c r="U880" s="40"/>
      <c r="V880" s="40"/>
      <c r="W880" s="40"/>
      <c r="X880" s="40"/>
      <c r="Y880" s="40"/>
      <c r="Z880" s="40"/>
      <c r="AA880" s="40"/>
      <c r="AB880" s="40"/>
    </row>
    <row r="881" ht="18.75" customHeight="1">
      <c r="A881" s="18" t="str">
        <f t="array" ref="A881">IFERROR(
  INDEX(
    'api-register-id'!A:A,
    MATCH(F881, 'api-register-id'!B:B, 0)
  ),
  "Not found Organization"
)</f>
        <v>SSFF</v>
      </c>
      <c r="B881" s="22" t="str">
        <f>IFERROR(VLOOKUP(F881, 'api-register-id'!B:F, 4, FALSE), "Not found path.")</f>
        <v>mx-api-bc-dom-customer-credit-rating</v>
      </c>
      <c r="C881" s="78" t="s">
        <v>41</v>
      </c>
      <c r="D881" s="78" t="s">
        <v>119</v>
      </c>
      <c r="E881" s="24" t="str">
        <f>IFERROR(VLOOKUP(F881, 'api-register-id'!B:F, 5, FALSE), "Not found path.")</f>
        <v>APIMX000019</v>
      </c>
      <c r="F881" s="25" t="s">
        <v>325</v>
      </c>
      <c r="G881" s="26" t="s">
        <v>5710</v>
      </c>
      <c r="H881" s="22" t="s">
        <v>5711</v>
      </c>
      <c r="I881" s="29" t="str">
        <f>IFERROR(VLOOKUP(F881, 'api-register-id'!B:I, 8, FALSE), "Not found path.")</f>
        <v>1.5.1</v>
      </c>
      <c r="J881" s="3" t="s">
        <v>5325</v>
      </c>
      <c r="K881" s="31" t="s">
        <v>48</v>
      </c>
      <c r="L881" s="78" t="s">
        <v>49</v>
      </c>
      <c r="M881" s="3" t="s">
        <v>5712</v>
      </c>
      <c r="N881" s="3" t="str">
        <f t="shared" si="1"/>
        <v>POST /customerManagement/customerCreditRating/v1/internalReporting/create</v>
      </c>
      <c r="O881" s="32" t="s">
        <v>5713</v>
      </c>
      <c r="P881" s="32"/>
      <c r="Q881" s="61" t="s">
        <v>5714</v>
      </c>
      <c r="R881" s="31" t="s">
        <v>56</v>
      </c>
      <c r="S881" s="38" t="str">
        <f t="shared" si="2"/>
        <v>https://github.com/SF-Bancoppel/mx-api-bc-dom-customer-credit-rating</v>
      </c>
      <c r="T881" s="40"/>
      <c r="U881" s="40"/>
      <c r="V881" s="40"/>
      <c r="W881" s="40"/>
      <c r="X881" s="40"/>
      <c r="Y881" s="40"/>
      <c r="Z881" s="40"/>
      <c r="AA881" s="40"/>
      <c r="AB881" s="40"/>
    </row>
    <row r="882" ht="18.75" customHeight="1">
      <c r="A882" s="18" t="str">
        <f t="array" ref="A882">IFERROR(
  INDEX(
    'api-register-id'!A:A,
    MATCH(F882, 'api-register-id'!B:B, 0)
  ),
  "Not found Organization"
)</f>
        <v>SSFF</v>
      </c>
      <c r="B882" s="22" t="str">
        <f>IFERROR(VLOOKUP(F882, 'api-register-id'!B:F, 4, FALSE), "Not found path.")</f>
        <v>mx-api-bc-dom-customer-position</v>
      </c>
      <c r="C882" s="78" t="s">
        <v>41</v>
      </c>
      <c r="D882" s="78" t="s">
        <v>119</v>
      </c>
      <c r="E882" s="24" t="str">
        <f>IFERROR(VLOOKUP(F882, 'api-register-id'!B:F, 5, FALSE), "Not found path.")</f>
        <v>APIMX000021</v>
      </c>
      <c r="F882" s="25" t="s">
        <v>358</v>
      </c>
      <c r="G882" s="26" t="s">
        <v>5715</v>
      </c>
      <c r="H882" s="22" t="s">
        <v>5716</v>
      </c>
      <c r="I882" s="29" t="str">
        <f>IFERROR(VLOOKUP(F882, 'api-register-id'!B:I, 8, FALSE), "Not found path.")</f>
        <v>1.3.0</v>
      </c>
      <c r="J882" s="3" t="s">
        <v>932</v>
      </c>
      <c r="K882" s="31" t="s">
        <v>48</v>
      </c>
      <c r="L882" s="78" t="s">
        <v>49</v>
      </c>
      <c r="M882" s="3" t="s">
        <v>5717</v>
      </c>
      <c r="N882" s="3" t="str">
        <f t="shared" si="1"/>
        <v>POST /accountManagement/customerPosition/v1/accountCurrentBalance/retrieve</v>
      </c>
      <c r="O882" s="32" t="s">
        <v>5718</v>
      </c>
      <c r="P882" s="32"/>
      <c r="Q882" s="61" t="s">
        <v>5719</v>
      </c>
      <c r="R882" s="31" t="s">
        <v>56</v>
      </c>
      <c r="S882" s="38" t="str">
        <f t="shared" si="2"/>
        <v>https://github.com/SF-Bancoppel/mx-api-bc-dom-customer-position</v>
      </c>
      <c r="T882" s="40"/>
      <c r="U882" s="40"/>
      <c r="V882" s="40"/>
      <c r="W882" s="40"/>
      <c r="X882" s="40"/>
      <c r="Y882" s="40"/>
      <c r="Z882" s="40"/>
      <c r="AA882" s="40"/>
      <c r="AB882" s="40"/>
    </row>
    <row r="883" ht="18.75" customHeight="1">
      <c r="A883" s="18" t="str">
        <f t="array" ref="A883">IFERROR(
  INDEX(
    'api-register-id'!A:A,
    MATCH(F883, 'api-register-id'!B:B, 0)
  ),
  "Not found Organization"
)</f>
        <v>SSFF</v>
      </c>
      <c r="B883" s="22" t="str">
        <f>IFERROR(VLOOKUP(F883, 'api-register-id'!B:F, 4, FALSE), "Not found path.")</f>
        <v>mx-api-bc-dom-customer-position</v>
      </c>
      <c r="C883" s="78" t="s">
        <v>41</v>
      </c>
      <c r="D883" s="78" t="s">
        <v>119</v>
      </c>
      <c r="E883" s="24" t="str">
        <f>IFERROR(VLOOKUP(F883, 'api-register-id'!B:F, 5, FALSE), "Not found path.")</f>
        <v>APIMX000021</v>
      </c>
      <c r="F883" s="25" t="s">
        <v>358</v>
      </c>
      <c r="G883" s="26" t="s">
        <v>5720</v>
      </c>
      <c r="H883" s="22" t="s">
        <v>5721</v>
      </c>
      <c r="I883" s="29" t="str">
        <f>IFERROR(VLOOKUP(F883, 'api-register-id'!B:I, 8, FALSE), "Not found path.")</f>
        <v>1.3.0</v>
      </c>
      <c r="J883" s="3" t="s">
        <v>932</v>
      </c>
      <c r="K883" s="31" t="s">
        <v>48</v>
      </c>
      <c r="L883" s="78" t="s">
        <v>49</v>
      </c>
      <c r="M883" s="3" t="s">
        <v>5722</v>
      </c>
      <c r="N883" s="3" t="str">
        <f t="shared" si="1"/>
        <v>POST /accountManagement/customerPosition/v1/accountDelinquentBalance/retrieve</v>
      </c>
      <c r="O883" s="32" t="s">
        <v>5723</v>
      </c>
      <c r="P883" s="32"/>
      <c r="Q883" s="61" t="s">
        <v>5724</v>
      </c>
      <c r="R883" s="31" t="s">
        <v>56</v>
      </c>
      <c r="S883" s="38" t="str">
        <f t="shared" si="2"/>
        <v>https://github.com/SF-Bancoppel/mx-api-bc-dom-customer-position</v>
      </c>
      <c r="T883" s="40"/>
      <c r="U883" s="40"/>
      <c r="V883" s="40"/>
      <c r="W883" s="40"/>
      <c r="X883" s="40"/>
      <c r="Y883" s="40"/>
      <c r="Z883" s="40"/>
      <c r="AA883" s="40"/>
      <c r="AB883" s="40"/>
    </row>
    <row r="884" ht="18.75" customHeight="1">
      <c r="A884" s="18" t="str">
        <f t="array" ref="A884">IFERROR(
  INDEX(
    'api-register-id'!A:A,
    MATCH(F884, 'api-register-id'!B:B, 0)
  ),
  "Not found Organization"
)</f>
        <v>SSFF</v>
      </c>
      <c r="B884" s="22" t="str">
        <f>IFERROR(VLOOKUP(F884, 'api-register-id'!B:F, 4, FALSE), "Not found path.")</f>
        <v>mx-api-bc-dom-customer-position</v>
      </c>
      <c r="C884" s="78" t="s">
        <v>41</v>
      </c>
      <c r="D884" s="78" t="s">
        <v>119</v>
      </c>
      <c r="E884" s="24" t="str">
        <f>IFERROR(VLOOKUP(F884, 'api-register-id'!B:F, 5, FALSE), "Not found path.")</f>
        <v>APIMX000021</v>
      </c>
      <c r="F884" s="25" t="s">
        <v>358</v>
      </c>
      <c r="G884" s="26" t="s">
        <v>5725</v>
      </c>
      <c r="H884" s="22" t="s">
        <v>5726</v>
      </c>
      <c r="I884" s="29" t="str">
        <f>IFERROR(VLOOKUP(F884, 'api-register-id'!B:I, 8, FALSE), "Not found path.")</f>
        <v>1.3.0</v>
      </c>
      <c r="J884" s="3" t="s">
        <v>932</v>
      </c>
      <c r="K884" s="31" t="s">
        <v>48</v>
      </c>
      <c r="L884" s="78" t="s">
        <v>49</v>
      </c>
      <c r="M884" s="3" t="s">
        <v>5727</v>
      </c>
      <c r="N884" s="3" t="str">
        <f t="shared" si="1"/>
        <v>POST /accountManagement/customerPosition/v1/retainedBalanceDetail/retrieve</v>
      </c>
      <c r="O884" s="32" t="s">
        <v>5728</v>
      </c>
      <c r="P884" s="32"/>
      <c r="Q884" s="61" t="s">
        <v>5729</v>
      </c>
      <c r="R884" s="31" t="s">
        <v>56</v>
      </c>
      <c r="S884" s="38" t="str">
        <f t="shared" si="2"/>
        <v>https://github.com/SF-Bancoppel/mx-api-bc-dom-customer-position</v>
      </c>
      <c r="T884" s="40"/>
      <c r="U884" s="40"/>
      <c r="V884" s="40"/>
      <c r="W884" s="40"/>
      <c r="X884" s="40"/>
      <c r="Y884" s="40"/>
      <c r="Z884" s="40"/>
      <c r="AA884" s="40"/>
      <c r="AB884" s="40"/>
    </row>
    <row r="885" ht="18.75" customHeight="1">
      <c r="A885" s="18" t="str">
        <f t="array" ref="A885">IFERROR(
  INDEX(
    'api-register-id'!A:A,
    MATCH(F885, 'api-register-id'!B:B, 0)
  ),
  "Not found Organization"
)</f>
        <v>SSFF</v>
      </c>
      <c r="B885" s="22" t="str">
        <f>IFERROR(VLOOKUP(F885, 'api-register-id'!B:F, 4, FALSE), "Not found path.")</f>
        <v>mx-api-bc-dom-customer-products-and-services</v>
      </c>
      <c r="C885" s="78" t="s">
        <v>41</v>
      </c>
      <c r="D885" s="78" t="s">
        <v>119</v>
      </c>
      <c r="E885" s="24" t="str">
        <f>IFERROR(VLOOKUP(F885, 'api-register-id'!B:F, 5, FALSE), "Not found path.")</f>
        <v>APIMX000023</v>
      </c>
      <c r="F885" s="25" t="s">
        <v>943</v>
      </c>
      <c r="G885" s="26" t="s">
        <v>5730</v>
      </c>
      <c r="H885" s="22" t="s">
        <v>5731</v>
      </c>
      <c r="I885" s="29" t="str">
        <f>IFERROR(VLOOKUP(F885, 'api-register-id'!B:I, 8, FALSE), "Not found path.")</f>
        <v>1.2.1</v>
      </c>
      <c r="J885" s="3" t="s">
        <v>947</v>
      </c>
      <c r="K885" s="31" t="s">
        <v>48</v>
      </c>
      <c r="L885" s="78" t="s">
        <v>49</v>
      </c>
      <c r="M885" s="3" t="s">
        <v>5732</v>
      </c>
      <c r="N885" s="3" t="str">
        <f t="shared" si="1"/>
        <v>POST /customerManagement/customerProductsAndServices/v1/accountStatus/retrieve</v>
      </c>
      <c r="O885" s="32" t="s">
        <v>5733</v>
      </c>
      <c r="P885" s="32"/>
      <c r="Q885" s="61" t="s">
        <v>5734</v>
      </c>
      <c r="R885" s="31" t="s">
        <v>56</v>
      </c>
      <c r="S885" s="38" t="str">
        <f t="shared" si="2"/>
        <v>https://github.com/SF-Bancoppel/mx-api-bc-dom-customer-products-and-services</v>
      </c>
      <c r="T885" s="40"/>
      <c r="U885" s="40"/>
      <c r="V885" s="40"/>
      <c r="W885" s="40"/>
      <c r="X885" s="40"/>
      <c r="Y885" s="40"/>
      <c r="Z885" s="40"/>
      <c r="AA885" s="40"/>
      <c r="AB885" s="40"/>
    </row>
    <row r="886" ht="18.75" customHeight="1">
      <c r="A886" s="18" t="str">
        <f t="array" ref="A886">IFERROR(
  INDEX(
    'api-register-id'!A:A,
    MATCH(F886, 'api-register-id'!B:B, 0)
  ),
  "Not found Organization"
)</f>
        <v>SSFF</v>
      </c>
      <c r="B886" s="22" t="str">
        <f>IFERROR(VLOOKUP(F886, 'api-register-id'!B:F, 4, FALSE), "Not found path.")</f>
        <v>mx-api-bc-dom-customer-products-and-services</v>
      </c>
      <c r="C886" s="78" t="s">
        <v>41</v>
      </c>
      <c r="D886" s="78" t="s">
        <v>119</v>
      </c>
      <c r="E886" s="24" t="str">
        <f>IFERROR(VLOOKUP(F886, 'api-register-id'!B:F, 5, FALSE), "Not found path.")</f>
        <v>APIMX000023</v>
      </c>
      <c r="F886" s="25" t="s">
        <v>943</v>
      </c>
      <c r="G886" s="26" t="s">
        <v>5735</v>
      </c>
      <c r="H886" s="22" t="s">
        <v>5736</v>
      </c>
      <c r="I886" s="29" t="str">
        <f>IFERROR(VLOOKUP(F886, 'api-register-id'!B:I, 8, FALSE), "Not found path.")</f>
        <v>1.2.1</v>
      </c>
      <c r="J886" s="3" t="s">
        <v>947</v>
      </c>
      <c r="K886" s="31" t="s">
        <v>48</v>
      </c>
      <c r="L886" s="78" t="s">
        <v>49</v>
      </c>
      <c r="M886" s="3" t="s">
        <v>5737</v>
      </c>
      <c r="N886" s="3" t="str">
        <f t="shared" si="1"/>
        <v>POST /customerManagement/customerProductsAndServices/v1/bankingProduct/retrieve</v>
      </c>
      <c r="O886" s="32" t="s">
        <v>5738</v>
      </c>
      <c r="P886" s="32"/>
      <c r="Q886" s="61" t="s">
        <v>5739</v>
      </c>
      <c r="R886" s="31" t="s">
        <v>56</v>
      </c>
      <c r="S886" s="38" t="str">
        <f t="shared" si="2"/>
        <v>https://github.com/SF-Bancoppel/mx-api-bc-dom-customer-products-and-services</v>
      </c>
      <c r="T886" s="40"/>
      <c r="U886" s="40"/>
      <c r="V886" s="40"/>
      <c r="W886" s="40"/>
      <c r="X886" s="40"/>
      <c r="Y886" s="40"/>
      <c r="Z886" s="40"/>
      <c r="AA886" s="40"/>
      <c r="AB886" s="40"/>
    </row>
    <row r="887" ht="18.75" customHeight="1">
      <c r="A887" s="18" t="str">
        <f t="array" ref="A887">IFERROR(
  INDEX(
    'api-register-id'!A:A,
    MATCH(F887, 'api-register-id'!B:B, 0)
  ),
  "Not found Organization"
)</f>
        <v>SSFF</v>
      </c>
      <c r="B887" s="22" t="str">
        <f>IFERROR(VLOOKUP(F887, 'api-register-id'!B:F, 4, FALSE), "Not found path.")</f>
        <v>mx-api-bc-dom-customer-products-and-services</v>
      </c>
      <c r="C887" s="78" t="s">
        <v>41</v>
      </c>
      <c r="D887" s="78" t="s">
        <v>119</v>
      </c>
      <c r="E887" s="24" t="str">
        <f>IFERROR(VLOOKUP(F887, 'api-register-id'!B:F, 5, FALSE), "Not found path.")</f>
        <v>APIMX000023</v>
      </c>
      <c r="F887" s="25" t="s">
        <v>943</v>
      </c>
      <c r="G887" s="26" t="s">
        <v>5740</v>
      </c>
      <c r="H887" s="22" t="s">
        <v>5741</v>
      </c>
      <c r="I887" s="29" t="str">
        <f>IFERROR(VLOOKUP(F887, 'api-register-id'!B:I, 8, FALSE), "Not found path.")</f>
        <v>1.2.1</v>
      </c>
      <c r="J887" s="3" t="s">
        <v>947</v>
      </c>
      <c r="K887" s="31" t="s">
        <v>48</v>
      </c>
      <c r="L887" s="78" t="s">
        <v>49</v>
      </c>
      <c r="M887" s="3" t="s">
        <v>5742</v>
      </c>
      <c r="N887" s="3" t="str">
        <f t="shared" si="1"/>
        <v>POST /customerManagement/customerProductsAndServices/v1/creditAccount/retrieve</v>
      </c>
      <c r="O887" s="32" t="s">
        <v>5743</v>
      </c>
      <c r="P887" s="32"/>
      <c r="Q887" s="61" t="s">
        <v>5744</v>
      </c>
      <c r="R887" s="31" t="s">
        <v>56</v>
      </c>
      <c r="S887" s="38" t="str">
        <f t="shared" si="2"/>
        <v>https://github.com/SF-Bancoppel/mx-api-bc-dom-customer-products-and-services</v>
      </c>
      <c r="T887" s="40"/>
      <c r="U887" s="40"/>
      <c r="V887" s="40"/>
      <c r="W887" s="40"/>
      <c r="X887" s="40"/>
      <c r="Y887" s="40"/>
      <c r="Z887" s="40"/>
      <c r="AA887" s="40"/>
      <c r="AB887" s="40"/>
    </row>
    <row r="888" ht="18.75" customHeight="1">
      <c r="A888" s="18" t="str">
        <f t="array" ref="A888">IFERROR(
  INDEX(
    'api-register-id'!A:A,
    MATCH(F888, 'api-register-id'!B:B, 0)
  ),
  "Not found Organization"
)</f>
        <v>SSFF</v>
      </c>
      <c r="B888" s="22" t="str">
        <f>IFERROR(VLOOKUP(F888, 'api-register-id'!B:F, 4, FALSE), "Not found path.")</f>
        <v>mx-api-bc-dom-customer-products-and-services</v>
      </c>
      <c r="C888" s="78" t="s">
        <v>41</v>
      </c>
      <c r="D888" s="78" t="s">
        <v>119</v>
      </c>
      <c r="E888" s="24" t="str">
        <f>IFERROR(VLOOKUP(F888, 'api-register-id'!B:F, 5, FALSE), "Not found path.")</f>
        <v>APIMX000023</v>
      </c>
      <c r="F888" s="25" t="s">
        <v>943</v>
      </c>
      <c r="G888" s="26" t="s">
        <v>5745</v>
      </c>
      <c r="H888" s="22" t="s">
        <v>5746</v>
      </c>
      <c r="I888" s="29" t="str">
        <f>IFERROR(VLOOKUP(F888, 'api-register-id'!B:I, 8, FALSE), "Not found path.")</f>
        <v>1.2.1</v>
      </c>
      <c r="J888" s="3" t="s">
        <v>947</v>
      </c>
      <c r="K888" s="31" t="s">
        <v>48</v>
      </c>
      <c r="L888" s="78" t="s">
        <v>49</v>
      </c>
      <c r="M888" s="3" t="s">
        <v>5747</v>
      </c>
      <c r="N888" s="3" t="str">
        <f t="shared" si="1"/>
        <v>POST /customerManagement/customerProductsAndServices/v1/customerAccountReport/retrieve</v>
      </c>
      <c r="O888" s="32" t="s">
        <v>5748</v>
      </c>
      <c r="P888" s="32"/>
      <c r="Q888" s="61" t="s">
        <v>5749</v>
      </c>
      <c r="R888" s="31" t="s">
        <v>56</v>
      </c>
      <c r="S888" s="38" t="str">
        <f t="shared" si="2"/>
        <v>https://github.com/SF-Bancoppel/mx-api-bc-dom-customer-products-and-services</v>
      </c>
      <c r="T888" s="40"/>
      <c r="U888" s="40"/>
      <c r="V888" s="40"/>
      <c r="W888" s="40"/>
      <c r="X888" s="40"/>
      <c r="Y888" s="40"/>
      <c r="Z888" s="40"/>
      <c r="AA888" s="40"/>
      <c r="AB888" s="40"/>
    </row>
    <row r="889" ht="18.75" customHeight="1">
      <c r="A889" s="18" t="str">
        <f t="array" ref="A889">IFERROR(
  INDEX(
    'api-register-id'!A:A,
    MATCH(F889, 'api-register-id'!B:B, 0)
  ),
  "Not found Organization"
)</f>
        <v>SSFF</v>
      </c>
      <c r="B889" s="22" t="str">
        <f>IFERROR(VLOOKUP(F889, 'api-register-id'!B:F, 4, FALSE), "Not found path.")</f>
        <v>mx-api-bc-dom-customer-products-and-services</v>
      </c>
      <c r="C889" s="78" t="s">
        <v>41</v>
      </c>
      <c r="D889" s="78" t="s">
        <v>119</v>
      </c>
      <c r="E889" s="24" t="str">
        <f>IFERROR(VLOOKUP(F889, 'api-register-id'!B:F, 5, FALSE), "Not found path.")</f>
        <v>APIMX000023</v>
      </c>
      <c r="F889" s="25" t="s">
        <v>943</v>
      </c>
      <c r="G889" s="26" t="s">
        <v>5750</v>
      </c>
      <c r="H889" s="22" t="s">
        <v>5751</v>
      </c>
      <c r="I889" s="29" t="str">
        <f>IFERROR(VLOOKUP(F889, 'api-register-id'!B:I, 8, FALSE), "Not found path.")</f>
        <v>1.2.1</v>
      </c>
      <c r="J889" s="3" t="s">
        <v>947</v>
      </c>
      <c r="K889" s="31" t="s">
        <v>48</v>
      </c>
      <c r="L889" s="78" t="s">
        <v>49</v>
      </c>
      <c r="M889" s="3" t="s">
        <v>5752</v>
      </c>
      <c r="N889" s="3" t="str">
        <f t="shared" si="1"/>
        <v>POST /customerManagement/customerProductsAndServices/v1/productInformationCollection/retrieve</v>
      </c>
      <c r="O889" s="32" t="s">
        <v>5753</v>
      </c>
      <c r="P889" s="32"/>
      <c r="Q889" s="61" t="s">
        <v>5754</v>
      </c>
      <c r="R889" s="31" t="s">
        <v>56</v>
      </c>
      <c r="S889" s="38" t="str">
        <f t="shared" si="2"/>
        <v>https://github.com/SF-Bancoppel/mx-api-bc-dom-customer-products-and-services</v>
      </c>
      <c r="T889" s="40"/>
      <c r="U889" s="40"/>
      <c r="V889" s="40"/>
      <c r="W889" s="40"/>
      <c r="X889" s="40"/>
      <c r="Y889" s="40"/>
      <c r="Z889" s="40"/>
      <c r="AA889" s="40"/>
      <c r="AB889" s="40"/>
    </row>
    <row r="890" ht="18.75" customHeight="1">
      <c r="A890" s="18" t="str">
        <f t="array" ref="A890">IFERROR(
  INDEX(
    'api-register-id'!A:A,
    MATCH(F890, 'api-register-id'!B:B, 0)
  ),
  "Not found Organization"
)</f>
        <v>SSFF</v>
      </c>
      <c r="B890" s="22" t="str">
        <f>IFERROR(VLOOKUP(F890, 'api-register-id'!B:F, 4, FALSE), "Not found path.")</f>
        <v>mx-api-bc-dom-customer-products-and-services</v>
      </c>
      <c r="C890" s="78" t="s">
        <v>41</v>
      </c>
      <c r="D890" s="78" t="s">
        <v>119</v>
      </c>
      <c r="E890" s="24" t="str">
        <f>IFERROR(VLOOKUP(F890, 'api-register-id'!B:F, 5, FALSE), "Not found path.")</f>
        <v>APIMX000023</v>
      </c>
      <c r="F890" s="25" t="s">
        <v>943</v>
      </c>
      <c r="G890" s="26" t="s">
        <v>5755</v>
      </c>
      <c r="H890" s="22" t="s">
        <v>5756</v>
      </c>
      <c r="I890" s="29" t="str">
        <f>IFERROR(VLOOKUP(F890, 'api-register-id'!B:I, 8, FALSE), "Not found path.")</f>
        <v>1.2.1</v>
      </c>
      <c r="J890" s="3" t="s">
        <v>947</v>
      </c>
      <c r="K890" s="31" t="s">
        <v>48</v>
      </c>
      <c r="L890" s="78" t="s">
        <v>49</v>
      </c>
      <c r="M890" s="3" t="s">
        <v>5757</v>
      </c>
      <c r="N890" s="3" t="str">
        <f t="shared" si="1"/>
        <v>POST /customerManagement/customerProductsAndServices/v1/customerProductSummary/retrieve</v>
      </c>
      <c r="O890" s="32" t="s">
        <v>5758</v>
      </c>
      <c r="P890" s="32"/>
      <c r="Q890" s="61" t="s">
        <v>5759</v>
      </c>
      <c r="R890" s="31" t="s">
        <v>56</v>
      </c>
      <c r="S890" s="38" t="str">
        <f t="shared" si="2"/>
        <v>https://github.com/SF-Bancoppel/mx-api-bc-dom-customer-products-and-services</v>
      </c>
      <c r="T890" s="40"/>
      <c r="U890" s="40"/>
      <c r="V890" s="40"/>
      <c r="W890" s="40"/>
      <c r="X890" s="40"/>
      <c r="Y890" s="40"/>
      <c r="Z890" s="40"/>
      <c r="AA890" s="40"/>
      <c r="AB890" s="40"/>
    </row>
    <row r="891" ht="18.75" customHeight="1">
      <c r="A891" s="18" t="str">
        <f t="array" ref="A891">IFERROR(
  INDEX(
    'api-register-id'!A:A,
    MATCH(F891, 'api-register-id'!B:B, 0)
  ),
  "Not found Organization"
)</f>
        <v>SSFF</v>
      </c>
      <c r="B891" s="22" t="str">
        <f>IFERROR(VLOOKUP(F891, 'api-register-id'!B:F, 4, FALSE), "Not found path.")</f>
        <v>mx-api-bc-dom-customer-products-and-services</v>
      </c>
      <c r="C891" s="78" t="s">
        <v>41</v>
      </c>
      <c r="D891" s="78" t="s">
        <v>119</v>
      </c>
      <c r="E891" s="24" t="str">
        <f>IFERROR(VLOOKUP(F891, 'api-register-id'!B:F, 5, FALSE), "Not found path.")</f>
        <v>APIMX000023</v>
      </c>
      <c r="F891" s="25" t="s">
        <v>943</v>
      </c>
      <c r="G891" s="26" t="s">
        <v>5760</v>
      </c>
      <c r="H891" s="22" t="s">
        <v>5761</v>
      </c>
      <c r="I891" s="29" t="str">
        <f>IFERROR(VLOOKUP(F891, 'api-register-id'!B:I, 8, FALSE), "Not found path.")</f>
        <v>1.2.1</v>
      </c>
      <c r="J891" s="3" t="s">
        <v>947</v>
      </c>
      <c r="K891" s="31" t="s">
        <v>48</v>
      </c>
      <c r="L891" s="78" t="s">
        <v>49</v>
      </c>
      <c r="M891" s="3" t="s">
        <v>5762</v>
      </c>
      <c r="N891" s="3" t="str">
        <f t="shared" si="1"/>
        <v>POST /customerManagement/customerProductsAndServices/v1/customerCreditProducts/retrieve</v>
      </c>
      <c r="O891" s="32" t="s">
        <v>5763</v>
      </c>
      <c r="P891" s="32"/>
      <c r="Q891" s="61" t="s">
        <v>5764</v>
      </c>
      <c r="R891" s="31" t="s">
        <v>56</v>
      </c>
      <c r="S891" s="38" t="str">
        <f t="shared" si="2"/>
        <v>https://github.com/SF-Bancoppel/mx-api-bc-dom-customer-products-and-services</v>
      </c>
      <c r="T891" s="40"/>
      <c r="U891" s="40"/>
      <c r="V891" s="40"/>
      <c r="W891" s="40"/>
      <c r="X891" s="40"/>
      <c r="Y891" s="40"/>
      <c r="Z891" s="40"/>
      <c r="AA891" s="40"/>
      <c r="AB891" s="40"/>
    </row>
    <row r="892" ht="18.75" customHeight="1">
      <c r="A892" s="18" t="str">
        <f t="array" ref="A892">IFERROR(
  INDEX(
    'api-register-id'!A:A,
    MATCH(F892, 'api-register-id'!B:B, 0)
  ),
  "Not found Organization"
)</f>
        <v>SSFF</v>
      </c>
      <c r="B892" s="22" t="str">
        <f>IFERROR(VLOOKUP(F892, 'api-register-id'!B:F, 4, FALSE), "Not found path.")</f>
        <v>mx-api-bc-dom-document-services</v>
      </c>
      <c r="C892" s="78" t="s">
        <v>41</v>
      </c>
      <c r="D892" s="78" t="s">
        <v>119</v>
      </c>
      <c r="E892" s="24" t="str">
        <f>IFERROR(VLOOKUP(F892, 'api-register-id'!B:F, 5, FALSE), "Not found path.")</f>
        <v>APIMX000028</v>
      </c>
      <c r="F892" s="25" t="s">
        <v>462</v>
      </c>
      <c r="G892" s="26" t="s">
        <v>5765</v>
      </c>
      <c r="H892" s="22" t="s">
        <v>4495</v>
      </c>
      <c r="I892" s="29" t="str">
        <f>IFERROR(VLOOKUP(F892, 'api-register-id'!B:I, 8, FALSE), "Not found path.")</f>
        <v>1.7.0</v>
      </c>
      <c r="J892" s="3" t="s">
        <v>1028</v>
      </c>
      <c r="K892" s="31" t="s">
        <v>48</v>
      </c>
      <c r="L892" s="78" t="s">
        <v>49</v>
      </c>
      <c r="M892" s="3" t="s">
        <v>5766</v>
      </c>
      <c r="N892" s="3" t="str">
        <f t="shared" si="1"/>
        <v>POST /documentManagementAndArchive/documentServices/v1/documentService/retrieve</v>
      </c>
      <c r="O892" s="32" t="s">
        <v>5767</v>
      </c>
      <c r="P892" s="32"/>
      <c r="Q892" s="61" t="s">
        <v>5768</v>
      </c>
      <c r="R892" s="31" t="s">
        <v>56</v>
      </c>
      <c r="S892" s="38" t="str">
        <f t="shared" si="2"/>
        <v>https://github.com/SF-Bancoppel/mx-api-bc-dom-document-services</v>
      </c>
      <c r="T892" s="40"/>
      <c r="U892" s="40"/>
      <c r="V892" s="40"/>
      <c r="W892" s="40"/>
      <c r="X892" s="40"/>
      <c r="Y892" s="40"/>
      <c r="Z892" s="40"/>
      <c r="AA892" s="40"/>
      <c r="AB892" s="40"/>
    </row>
    <row r="893" ht="18.75" customHeight="1">
      <c r="A893" s="18" t="str">
        <f t="array" ref="A893">IFERROR(
  INDEX(
    'api-register-id'!A:A,
    MATCH(F893, 'api-register-id'!B:B, 0)
  ),
  "Not found Organization"
)</f>
        <v>SSFF</v>
      </c>
      <c r="B893" s="22" t="str">
        <f>IFERROR(VLOOKUP(F893, 'api-register-id'!B:F, 4, FALSE), "Not found path.")</f>
        <v>mx-api-bc-dom-document-services</v>
      </c>
      <c r="C893" s="78" t="s">
        <v>41</v>
      </c>
      <c r="D893" s="78" t="s">
        <v>119</v>
      </c>
      <c r="E893" s="24" t="str">
        <f>IFERROR(VLOOKUP(F893, 'api-register-id'!B:F, 5, FALSE), "Not found path.")</f>
        <v>APIMX000028</v>
      </c>
      <c r="F893" s="25" t="s">
        <v>462</v>
      </c>
      <c r="G893" s="26" t="s">
        <v>5769</v>
      </c>
      <c r="H893" s="22" t="s">
        <v>4496</v>
      </c>
      <c r="I893" s="29" t="str">
        <f>IFERROR(VLOOKUP(F893, 'api-register-id'!B:I, 8, FALSE), "Not found path.")</f>
        <v>1.7.0</v>
      </c>
      <c r="J893" s="3" t="s">
        <v>1028</v>
      </c>
      <c r="K893" s="31" t="s">
        <v>48</v>
      </c>
      <c r="L893" s="78" t="s">
        <v>49</v>
      </c>
      <c r="M893" s="3" t="s">
        <v>5770</v>
      </c>
      <c r="N893" s="3" t="str">
        <f t="shared" si="1"/>
        <v>POST /documentManagementAndArchive/documentServices/v1/documentService/initiate</v>
      </c>
      <c r="O893" s="32" t="s">
        <v>5771</v>
      </c>
      <c r="P893" s="32"/>
      <c r="Q893" s="61" t="s">
        <v>5772</v>
      </c>
      <c r="R893" s="31" t="s">
        <v>56</v>
      </c>
      <c r="S893" s="38" t="str">
        <f t="shared" si="2"/>
        <v>https://github.com/SF-Bancoppel/mx-api-bc-dom-document-services</v>
      </c>
      <c r="T893" s="40"/>
      <c r="U893" s="40"/>
      <c r="V893" s="40"/>
      <c r="W893" s="40"/>
      <c r="X893" s="40"/>
      <c r="Y893" s="40"/>
      <c r="Z893" s="40"/>
      <c r="AA893" s="40"/>
      <c r="AB893" s="40"/>
    </row>
    <row r="894" ht="18.75" customHeight="1">
      <c r="A894" s="18" t="str">
        <f t="array" ref="A894">IFERROR(
  INDEX(
    'api-register-id'!A:A,
    MATCH(F894, 'api-register-id'!B:B, 0)
  ),
  "Not found Organization"
)</f>
        <v>SSFF</v>
      </c>
      <c r="B894" s="22" t="str">
        <f>IFERROR(VLOOKUP(F894, 'api-register-id'!B:F, 4, FALSE), "Not found path.")</f>
        <v>mx-api-bc-dom-document-services</v>
      </c>
      <c r="C894" s="78" t="s">
        <v>41</v>
      </c>
      <c r="D894" s="78" t="s">
        <v>119</v>
      </c>
      <c r="E894" s="24" t="str">
        <f>IFERROR(VLOOKUP(F894, 'api-register-id'!B:F, 5, FALSE), "Not found path.")</f>
        <v>APIMX000028</v>
      </c>
      <c r="F894" s="25" t="s">
        <v>462</v>
      </c>
      <c r="G894" s="26" t="s">
        <v>5773</v>
      </c>
      <c r="H894" s="22" t="s">
        <v>4497</v>
      </c>
      <c r="I894" s="29" t="str">
        <f>IFERROR(VLOOKUP(F894, 'api-register-id'!B:I, 8, FALSE), "Not found path.")</f>
        <v>1.7.0</v>
      </c>
      <c r="J894" s="3" t="s">
        <v>1028</v>
      </c>
      <c r="K894" s="31" t="s">
        <v>48</v>
      </c>
      <c r="L894" s="78" t="s">
        <v>428</v>
      </c>
      <c r="M894" s="3" t="s">
        <v>5774</v>
      </c>
      <c r="N894" s="3" t="str">
        <f t="shared" si="1"/>
        <v>PATCH /documentManagementAndArchive/documentServices/v1/documentService/update</v>
      </c>
      <c r="O894" s="32" t="s">
        <v>5775</v>
      </c>
      <c r="P894" s="32"/>
      <c r="Q894" s="61" t="s">
        <v>5776</v>
      </c>
      <c r="R894" s="31" t="s">
        <v>56</v>
      </c>
      <c r="S894" s="38" t="str">
        <f t="shared" si="2"/>
        <v>https://github.com/SF-Bancoppel/mx-api-bc-dom-document-services</v>
      </c>
      <c r="T894" s="40"/>
      <c r="U894" s="40"/>
      <c r="V894" s="40"/>
      <c r="W894" s="40"/>
      <c r="X894" s="40"/>
      <c r="Y894" s="40"/>
      <c r="Z894" s="40"/>
      <c r="AA894" s="40"/>
      <c r="AB894" s="40"/>
    </row>
    <row r="895" ht="18.75" customHeight="1">
      <c r="A895" s="18" t="str">
        <f t="array" ref="A895">IFERROR(
  INDEX(
    'api-register-id'!A:A,
    MATCH(F895, 'api-register-id'!B:B, 0)
  ),
  "Not found Organization"
)</f>
        <v>SSFF</v>
      </c>
      <c r="B895" s="22" t="str">
        <f>IFERROR(VLOOKUP(F895, 'api-register-id'!B:F, 4, FALSE), "Not found path.")</f>
        <v>mx-api-bc-dom-party-lifecycle-management</v>
      </c>
      <c r="C895" s="78" t="s">
        <v>41</v>
      </c>
      <c r="D895" s="78" t="s">
        <v>119</v>
      </c>
      <c r="E895" s="24" t="str">
        <f>IFERROR(VLOOKUP(F895, 'api-register-id'!B:F, 5, FALSE), "Not found path.")</f>
        <v>APIMX000040</v>
      </c>
      <c r="F895" s="25" t="s">
        <v>624</v>
      </c>
      <c r="G895" s="26" t="s">
        <v>5777</v>
      </c>
      <c r="H895" s="22" t="s">
        <v>5778</v>
      </c>
      <c r="I895" s="29" t="str">
        <f>IFERROR(VLOOKUP(F895, 'api-register-id'!B:I, 8, FALSE), "Not found path.")</f>
        <v>2.2.2</v>
      </c>
      <c r="J895" s="3" t="s">
        <v>1315</v>
      </c>
      <c r="K895" s="31" t="s">
        <v>48</v>
      </c>
      <c r="L895" s="78" t="s">
        <v>428</v>
      </c>
      <c r="M895" s="3" t="s">
        <v>5779</v>
      </c>
      <c r="N895" s="3" t="str">
        <f t="shared" si="1"/>
        <v>PATCH /sales/partyLifecycleManagement/v1/familyProfile/update</v>
      </c>
      <c r="O895" s="32" t="s">
        <v>5780</v>
      </c>
      <c r="P895" s="32"/>
      <c r="Q895" s="61" t="s">
        <v>5781</v>
      </c>
      <c r="R895" s="31" t="s">
        <v>56</v>
      </c>
      <c r="S895" s="38" t="str">
        <f t="shared" si="2"/>
        <v>https://github.com/SF-Bancoppel/mx-api-bc-dom-party-lifecycle-management</v>
      </c>
      <c r="T895" s="40"/>
      <c r="U895" s="40"/>
      <c r="V895" s="40"/>
      <c r="W895" s="40"/>
      <c r="X895" s="40"/>
      <c r="Y895" s="40"/>
      <c r="Z895" s="40"/>
      <c r="AA895" s="40"/>
      <c r="AB895" s="40"/>
    </row>
    <row r="896" ht="18.75" customHeight="1">
      <c r="A896" s="18" t="str">
        <f t="array" ref="A896">IFERROR(
  INDEX(
    'api-register-id'!A:A,
    MATCH(F896, 'api-register-id'!B:B, 0)
  ),
  "Not found Organization"
)</f>
        <v>SSFF</v>
      </c>
      <c r="B896" s="22" t="str">
        <f>IFERROR(VLOOKUP(F896, 'api-register-id'!B:F, 4, FALSE), "Not found path.")</f>
        <v>mx-api-bc-dom-party-lifecycle-management</v>
      </c>
      <c r="C896" s="78" t="s">
        <v>41</v>
      </c>
      <c r="D896" s="78" t="s">
        <v>119</v>
      </c>
      <c r="E896" s="24" t="str">
        <f>IFERROR(VLOOKUP(F896, 'api-register-id'!B:F, 5, FALSE), "Not found path.")</f>
        <v>APIMX000040</v>
      </c>
      <c r="F896" s="25" t="s">
        <v>624</v>
      </c>
      <c r="G896" s="26" t="s">
        <v>5782</v>
      </c>
      <c r="H896" s="22" t="s">
        <v>4498</v>
      </c>
      <c r="I896" s="29" t="str">
        <f>IFERROR(VLOOKUP(F896, 'api-register-id'!B:I, 8, FALSE), "Not found path.")</f>
        <v>2.2.2</v>
      </c>
      <c r="J896" s="3" t="s">
        <v>1315</v>
      </c>
      <c r="K896" s="31" t="s">
        <v>48</v>
      </c>
      <c r="L896" s="78" t="s">
        <v>49</v>
      </c>
      <c r="M896" s="3" t="s">
        <v>5783</v>
      </c>
      <c r="N896" s="3" t="str">
        <f t="shared" si="1"/>
        <v>POST /sales/partyLifecycleManagement/v1/housingUnit/retrieve</v>
      </c>
      <c r="O896" s="32" t="s">
        <v>5784</v>
      </c>
      <c r="P896" s="32"/>
      <c r="Q896" s="61" t="s">
        <v>5785</v>
      </c>
      <c r="R896" s="31" t="s">
        <v>56</v>
      </c>
      <c r="S896" s="38" t="str">
        <f t="shared" si="2"/>
        <v>https://github.com/SF-Bancoppel/mx-api-bc-dom-party-lifecycle-management</v>
      </c>
      <c r="T896" s="40"/>
      <c r="U896" s="40"/>
      <c r="V896" s="40"/>
      <c r="W896" s="40"/>
      <c r="X896" s="40"/>
      <c r="Y896" s="40"/>
      <c r="Z896" s="40"/>
      <c r="AA896" s="40"/>
      <c r="AB896" s="40"/>
    </row>
    <row r="897" ht="18.75" customHeight="1">
      <c r="A897" s="18" t="str">
        <f t="array" ref="A897">IFERROR(
  INDEX(
    'api-register-id'!A:A,
    MATCH(F897, 'api-register-id'!B:B, 0)
  ),
  "Not found Organization"
)</f>
        <v>SSFF</v>
      </c>
      <c r="B897" s="22" t="str">
        <f>IFERROR(VLOOKUP(F897, 'api-register-id'!B:F, 4, FALSE), "Not found path.")</f>
        <v>mx-api-bc-dom-party-reference-data-directory</v>
      </c>
      <c r="C897" s="78" t="s">
        <v>41</v>
      </c>
      <c r="D897" s="78" t="s">
        <v>119</v>
      </c>
      <c r="E897" s="24" t="str">
        <f>IFERROR(VLOOKUP(F897, 'api-register-id'!B:F, 5, FALSE), "Not found path.")</f>
        <v>APIMX000041</v>
      </c>
      <c r="F897" s="25" t="s">
        <v>637</v>
      </c>
      <c r="G897" s="26" t="s">
        <v>5786</v>
      </c>
      <c r="H897" s="22" t="s">
        <v>5787</v>
      </c>
      <c r="I897" s="29" t="str">
        <f>IFERROR(VLOOKUP(F897, 'api-register-id'!B:I, 8, FALSE), "Not found path.")</f>
        <v>1.7.2</v>
      </c>
      <c r="J897" s="3" t="s">
        <v>1504</v>
      </c>
      <c r="K897" s="31" t="s">
        <v>48</v>
      </c>
      <c r="L897" s="78" t="s">
        <v>61</v>
      </c>
      <c r="M897" s="3" t="s">
        <v>5788</v>
      </c>
      <c r="N897" s="3" t="str">
        <f t="shared" si="1"/>
        <v>PUT /customerManagement/partyReferenceDataDirectory/v1/partyReferenceDataDirectoryEntry/update</v>
      </c>
      <c r="O897" s="32" t="s">
        <v>5789</v>
      </c>
      <c r="P897" s="32"/>
      <c r="Q897" s="61" t="s">
        <v>98</v>
      </c>
      <c r="R897" s="31" t="s">
        <v>56</v>
      </c>
      <c r="S897" s="38" t="str">
        <f t="shared" si="2"/>
        <v>https://github.com/SF-Bancoppel/mx-api-bc-dom-party-reference-data-directory</v>
      </c>
      <c r="T897" s="40"/>
      <c r="U897" s="40"/>
      <c r="V897" s="40"/>
      <c r="W897" s="40"/>
      <c r="X897" s="40"/>
      <c r="Y897" s="40"/>
      <c r="Z897" s="40"/>
      <c r="AA897" s="40"/>
      <c r="AB897" s="40"/>
    </row>
    <row r="898" ht="18.75" customHeight="1">
      <c r="A898" s="18" t="str">
        <f t="array" ref="A898">IFERROR(
  INDEX(
    'api-register-id'!A:A,
    MATCH(F898, 'api-register-id'!B:B, 0)
  ),
  "Not found Organization"
)</f>
        <v>SSFF</v>
      </c>
      <c r="B898" s="22" t="str">
        <f>IFERROR(VLOOKUP(F898, 'api-register-id'!B:F, 4, FALSE), "Not found path.")</f>
        <v>mx-api-cpp-dom-party-retail-reference-data-directory</v>
      </c>
      <c r="C898" s="78" t="s">
        <v>41</v>
      </c>
      <c r="D898" s="78" t="s">
        <v>119</v>
      </c>
      <c r="E898" s="24" t="str">
        <f>IFERROR(VLOOKUP(F898, 'api-register-id'!B:F, 5, FALSE), "Not found path.")</f>
        <v>APIMX000042</v>
      </c>
      <c r="F898" s="25" t="s">
        <v>649</v>
      </c>
      <c r="G898" s="26" t="s">
        <v>5790</v>
      </c>
      <c r="H898" s="22" t="s">
        <v>5791</v>
      </c>
      <c r="I898" s="29" t="str">
        <f>IFERROR(VLOOKUP(F898, 'api-register-id'!B:I, 8, FALSE), "Not found path.")</f>
        <v>1.1.0</v>
      </c>
      <c r="J898" s="3" t="s">
        <v>1593</v>
      </c>
      <c r="K898" s="31" t="s">
        <v>48</v>
      </c>
      <c r="L898" s="78" t="s">
        <v>49</v>
      </c>
      <c r="M898" s="3" t="s">
        <v>5792</v>
      </c>
      <c r="N898" s="3" t="str">
        <f t="shared" si="1"/>
        <v>POST /partyReference/partyRetailReferenceDataDirectory/v1/creditProfile/evaluate</v>
      </c>
      <c r="O898" s="32" t="s">
        <v>5793</v>
      </c>
      <c r="P898" s="32"/>
      <c r="Q898" s="61" t="s">
        <v>5794</v>
      </c>
      <c r="R898" s="31" t="s">
        <v>56</v>
      </c>
      <c r="S898" s="38" t="str">
        <f t="shared" si="2"/>
        <v>https://github.com/SF-Bancoppel/mx-api-cpp-dom-party-retail-reference-data-directory</v>
      </c>
      <c r="T898" s="40"/>
      <c r="U898" s="40"/>
      <c r="V898" s="40"/>
      <c r="W898" s="40"/>
      <c r="X898" s="40"/>
      <c r="Y898" s="40"/>
      <c r="Z898" s="40"/>
      <c r="AA898" s="40"/>
      <c r="AB898" s="40"/>
    </row>
    <row r="899" ht="18.75" customHeight="1">
      <c r="A899" s="18" t="str">
        <f t="array" ref="A899">IFERROR(
  INDEX(
    'api-register-id'!A:A,
    MATCH(F899, 'api-register-id'!B:B, 0)
  ),
  "Not found Organization"
)</f>
        <v>SSFF</v>
      </c>
      <c r="B899" s="22" t="str">
        <f>IFERROR(VLOOKUP(F899, 'api-register-id'!B:F, 4, FALSE), "Not found path.")</f>
        <v>mx-api-bc-dom-position-keeping</v>
      </c>
      <c r="C899" s="78" t="s">
        <v>41</v>
      </c>
      <c r="D899" s="78" t="s">
        <v>119</v>
      </c>
      <c r="E899" s="24" t="str">
        <f>IFERROR(VLOOKUP(F899, 'api-register-id'!B:F, 5, FALSE), "Not found path.")</f>
        <v>APIMX000047</v>
      </c>
      <c r="F899" s="25" t="s">
        <v>702</v>
      </c>
      <c r="G899" s="26" t="s">
        <v>5795</v>
      </c>
      <c r="H899" s="22" t="s">
        <v>5796</v>
      </c>
      <c r="I899" s="29" t="str">
        <f>IFERROR(VLOOKUP(F899, 'api-register-id'!B:I, 8, FALSE), "Not found path.")</f>
        <v>1.1.0</v>
      </c>
      <c r="J899" s="3" t="s">
        <v>1719</v>
      </c>
      <c r="K899" s="31" t="s">
        <v>48</v>
      </c>
      <c r="L899" s="78" t="s">
        <v>49</v>
      </c>
      <c r="M899" s="3" t="s">
        <v>5797</v>
      </c>
      <c r="N899" s="3" t="str">
        <f t="shared" si="1"/>
        <v>POST /accountManagement/positionKeeping/v1/customerPositionReport/retrieve</v>
      </c>
      <c r="O899" s="32" t="s">
        <v>5798</v>
      </c>
      <c r="P899" s="32"/>
      <c r="Q899" s="61" t="s">
        <v>5799</v>
      </c>
      <c r="R899" s="31" t="s">
        <v>56</v>
      </c>
      <c r="S899" s="38" t="str">
        <f t="shared" si="2"/>
        <v>https://github.com/SF-Bancoppel/mx-api-bc-dom-position-keeping</v>
      </c>
      <c r="T899" s="40"/>
      <c r="U899" s="40"/>
      <c r="V899" s="40"/>
      <c r="W899" s="40"/>
      <c r="X899" s="40"/>
      <c r="Y899" s="40"/>
      <c r="Z899" s="40"/>
      <c r="AA899" s="40"/>
      <c r="AB899" s="40"/>
    </row>
    <row r="900" ht="18.75" customHeight="1">
      <c r="A900" s="18" t="str">
        <f t="array" ref="A900">IFERROR(
  INDEX(
    'api-register-id'!A:A,
    MATCH(F900, 'api-register-id'!B:B, 0)
  ),
  "Not found Organization"
)</f>
        <v>SSFF</v>
      </c>
      <c r="B900" s="22" t="str">
        <f>IFERROR(VLOOKUP(F900, 'api-register-id'!B:F, 4, FALSE), "Not found path.")</f>
        <v>mx-api-bc-dom-utility</v>
      </c>
      <c r="C900" s="78" t="s">
        <v>41</v>
      </c>
      <c r="D900" s="78" t="s">
        <v>119</v>
      </c>
      <c r="E900" s="24" t="str">
        <f>IFERROR(VLOOKUP(F900, 'api-register-id'!B:F, 5, FALSE), "Not found path.")</f>
        <v>APIMX000058</v>
      </c>
      <c r="F900" s="25" t="s">
        <v>802</v>
      </c>
      <c r="G900" s="26" t="s">
        <v>5800</v>
      </c>
      <c r="H900" s="22" t="s">
        <v>5801</v>
      </c>
      <c r="I900" s="29" t="str">
        <f>IFERROR(VLOOKUP(F900, 'api-register-id'!B:I, 8, FALSE), "Not found path.")</f>
        <v>1.1.0</v>
      </c>
      <c r="J900" s="3" t="s">
        <v>1949</v>
      </c>
      <c r="K900" s="31" t="s">
        <v>48</v>
      </c>
      <c r="L900" s="78" t="s">
        <v>49</v>
      </c>
      <c r="M900" s="3" t="s">
        <v>5802</v>
      </c>
      <c r="N900" s="3" t="str">
        <f t="shared" si="1"/>
        <v>POST /utility/utility/v1/checkPoint/retrieve</v>
      </c>
      <c r="O900" s="32" t="s">
        <v>5803</v>
      </c>
      <c r="P900" s="32"/>
      <c r="Q900" s="61" t="s">
        <v>5804</v>
      </c>
      <c r="R900" s="31" t="s">
        <v>56</v>
      </c>
      <c r="S900" s="38" t="str">
        <f t="shared" si="2"/>
        <v>https://github.com/SF-Bancoppel/mx-api-bc-dom-utility</v>
      </c>
      <c r="T900" s="40"/>
      <c r="U900" s="40"/>
      <c r="V900" s="40"/>
      <c r="W900" s="40"/>
      <c r="X900" s="40"/>
      <c r="Y900" s="40"/>
      <c r="Z900" s="40"/>
      <c r="AA900" s="40"/>
      <c r="AB900" s="40"/>
    </row>
    <row r="901" ht="18.75" customHeight="1">
      <c r="A901" s="18" t="str">
        <f t="array" ref="A901">IFERROR(
  INDEX(
    'api-register-id'!A:A,
    MATCH(F901, 'api-register-id'!B:B, 0)
  ),
  "Not found Organization"
)</f>
        <v>SSFF</v>
      </c>
      <c r="B901" s="22" t="str">
        <f>IFERROR(VLOOKUP(F901, 'api-register-id'!B:F, 4, FALSE), "Not found path.")</f>
        <v>mx-api-bc-dom-utility</v>
      </c>
      <c r="C901" s="78" t="s">
        <v>41</v>
      </c>
      <c r="D901" s="78" t="s">
        <v>119</v>
      </c>
      <c r="E901" s="24" t="str">
        <f>IFERROR(VLOOKUP(F901, 'api-register-id'!B:F, 5, FALSE), "Not found path.")</f>
        <v>APIMX000058</v>
      </c>
      <c r="F901" s="25" t="s">
        <v>802</v>
      </c>
      <c r="G901" s="26" t="s">
        <v>5805</v>
      </c>
      <c r="H901" s="22" t="s">
        <v>5806</v>
      </c>
      <c r="I901" s="29" t="str">
        <f>IFERROR(VLOOKUP(F901, 'api-register-id'!B:I, 8, FALSE), "Not found path.")</f>
        <v>1.1.0</v>
      </c>
      <c r="J901" s="3" t="s">
        <v>1949</v>
      </c>
      <c r="K901" s="31" t="s">
        <v>48</v>
      </c>
      <c r="L901" s="78" t="s">
        <v>428</v>
      </c>
      <c r="M901" s="3" t="s">
        <v>5807</v>
      </c>
      <c r="N901" s="3" t="str">
        <f t="shared" si="1"/>
        <v>PATCH /utility/utility/v1/checkPoint/update</v>
      </c>
      <c r="O901" s="32" t="s">
        <v>5808</v>
      </c>
      <c r="P901" s="32"/>
      <c r="Q901" s="61" t="s">
        <v>5804</v>
      </c>
      <c r="R901" s="31" t="s">
        <v>56</v>
      </c>
      <c r="S901" s="38" t="str">
        <f t="shared" si="2"/>
        <v>https://github.com/SF-Bancoppel/mx-api-bc-dom-utility</v>
      </c>
      <c r="T901" s="40"/>
      <c r="U901" s="40"/>
      <c r="V901" s="40"/>
      <c r="W901" s="40"/>
      <c r="X901" s="40"/>
      <c r="Y901" s="40"/>
      <c r="Z901" s="40"/>
      <c r="AA901" s="40"/>
      <c r="AB901" s="40"/>
    </row>
    <row r="902" ht="18.75" customHeight="1">
      <c r="A902" s="18" t="str">
        <f t="array" ref="A902">IFERROR(
  INDEX(
    'api-register-id'!A:A,
    MATCH(F902, 'api-register-id'!B:B, 0)
  ),
  "Not found Organization"
)</f>
        <v>SSFF</v>
      </c>
      <c r="B902" s="22" t="str">
        <f>IFERROR(VLOOKUP(F902, 'api-register-id'!B:F, 4, FALSE), "Not found path.")</f>
        <v>mx-api-bc-dom-utility</v>
      </c>
      <c r="C902" s="78" t="s">
        <v>41</v>
      </c>
      <c r="D902" s="78" t="s">
        <v>119</v>
      </c>
      <c r="E902" s="24" t="str">
        <f>IFERROR(VLOOKUP(F902, 'api-register-id'!B:F, 5, FALSE), "Not found path.")</f>
        <v>APIMX000058</v>
      </c>
      <c r="F902" s="25" t="s">
        <v>802</v>
      </c>
      <c r="G902" s="26" t="s">
        <v>5809</v>
      </c>
      <c r="H902" s="22" t="s">
        <v>5810</v>
      </c>
      <c r="I902" s="29" t="str">
        <f>IFERROR(VLOOKUP(F902, 'api-register-id'!B:I, 8, FALSE), "Not found path.")</f>
        <v>1.1.0</v>
      </c>
      <c r="J902" s="3" t="s">
        <v>1949</v>
      </c>
      <c r="K902" s="31" t="s">
        <v>48</v>
      </c>
      <c r="L902" s="78" t="s">
        <v>49</v>
      </c>
      <c r="M902" s="3" t="s">
        <v>5811</v>
      </c>
      <c r="N902" s="3" t="str">
        <f t="shared" si="1"/>
        <v>POST /utility/utility/v1/checkPoint/initiate</v>
      </c>
      <c r="O902" s="32" t="s">
        <v>5812</v>
      </c>
      <c r="P902" s="32"/>
      <c r="Q902" s="61" t="s">
        <v>5813</v>
      </c>
      <c r="R902" s="31" t="s">
        <v>56</v>
      </c>
      <c r="S902" s="38" t="str">
        <f t="shared" si="2"/>
        <v>https://github.com/SF-Bancoppel/mx-api-bc-dom-utility</v>
      </c>
      <c r="T902" s="40"/>
      <c r="U902" s="40"/>
      <c r="V902" s="40"/>
      <c r="W902" s="40"/>
      <c r="X902" s="40"/>
      <c r="Y902" s="40"/>
      <c r="Z902" s="40"/>
      <c r="AA902" s="40"/>
      <c r="AB902" s="40"/>
    </row>
    <row r="903" ht="18.75" customHeight="1">
      <c r="A903" s="18" t="str">
        <f t="array" ref="A903">IFERROR(
  INDEX(
    'api-register-id'!A:A,
    MATCH(F903, 'api-register-id'!B:B, 0)
  ),
  "Not found Organization"
)</f>
        <v>SSFF</v>
      </c>
      <c r="B903" s="22" t="str">
        <f>IFERROR(VLOOKUP(F903, 'api-register-id'!B:F, 4, FALSE), "Not found path.")</f>
        <v>mx-api-bc-pro-credit-card</v>
      </c>
      <c r="C903" s="78" t="s">
        <v>41</v>
      </c>
      <c r="D903" s="78" t="s">
        <v>811</v>
      </c>
      <c r="E903" s="24" t="str">
        <f>IFERROR(VLOOKUP(F903, 'api-register-id'!B:F, 5, FALSE), "Not found path.")</f>
        <v>APIMX000068</v>
      </c>
      <c r="F903" s="25" t="s">
        <v>913</v>
      </c>
      <c r="G903" s="26" t="s">
        <v>5814</v>
      </c>
      <c r="H903" s="22" t="s">
        <v>4328</v>
      </c>
      <c r="I903" s="29" t="str">
        <f>IFERROR(VLOOKUP(F903, 'api-register-id'!B:I, 8, FALSE), "Not found path.")</f>
        <v>1.31.0</v>
      </c>
      <c r="J903" s="3" t="s">
        <v>2376</v>
      </c>
      <c r="K903" s="31" t="s">
        <v>48</v>
      </c>
      <c r="L903" s="78" t="s">
        <v>49</v>
      </c>
      <c r="M903" s="3" t="s">
        <v>4298</v>
      </c>
      <c r="N903" s="3" t="str">
        <f t="shared" si="1"/>
        <v>POST /system/cards/creditCard/v1/reporting/retrieve</v>
      </c>
      <c r="O903" s="32" t="s">
        <v>4301</v>
      </c>
      <c r="P903" s="32"/>
      <c r="Q903" s="61" t="s">
        <v>98</v>
      </c>
      <c r="R903" s="31" t="s">
        <v>56</v>
      </c>
      <c r="S903" s="38" t="str">
        <f t="shared" si="2"/>
        <v>https://github.com/SF-Bancoppel/mx-api-bc-pro-credit-card</v>
      </c>
      <c r="T903" s="40"/>
      <c r="U903" s="40"/>
      <c r="V903" s="40"/>
      <c r="W903" s="40"/>
      <c r="X903" s="40"/>
      <c r="Y903" s="40"/>
      <c r="Z903" s="40"/>
      <c r="AA903" s="40"/>
      <c r="AB903" s="40"/>
    </row>
    <row r="904" ht="18.75" customHeight="1">
      <c r="A904" s="18" t="str">
        <f t="array" ref="A904">IFERROR(
  INDEX(
    'api-register-id'!A:A,
    MATCH(F904, 'api-register-id'!B:B, 0)
  ),
  "Not found Organization"
)</f>
        <v>SSFF</v>
      </c>
      <c r="B904" s="22" t="str">
        <f>IFERROR(VLOOKUP(F904, 'api-register-id'!B:F, 4, FALSE), "Not found path.")</f>
        <v>mx-api-bc-pro-credit-card</v>
      </c>
      <c r="C904" s="78" t="s">
        <v>41</v>
      </c>
      <c r="D904" s="78" t="s">
        <v>811</v>
      </c>
      <c r="E904" s="24" t="str">
        <f>IFERROR(VLOOKUP(F904, 'api-register-id'!B:F, 5, FALSE), "Not found path.")</f>
        <v>APIMX000068</v>
      </c>
      <c r="F904" s="25" t="s">
        <v>913</v>
      </c>
      <c r="G904" s="26" t="s">
        <v>5815</v>
      </c>
      <c r="H904" s="22" t="s">
        <v>5816</v>
      </c>
      <c r="I904" s="29" t="str">
        <f>IFERROR(VLOOKUP(F904, 'api-register-id'!B:I, 8, FALSE), "Not found path.")</f>
        <v>1.31.0</v>
      </c>
      <c r="J904" s="3" t="s">
        <v>2376</v>
      </c>
      <c r="K904" s="31" t="s">
        <v>48</v>
      </c>
      <c r="L904" s="78" t="s">
        <v>49</v>
      </c>
      <c r="M904" s="3" t="s">
        <v>190</v>
      </c>
      <c r="N904" s="3" t="str">
        <f t="shared" si="1"/>
        <v>POST /system/cards/creditCard/v1/creditCardCashProvision/retrieve</v>
      </c>
      <c r="O904" s="32" t="s">
        <v>5684</v>
      </c>
      <c r="P904" s="32"/>
      <c r="Q904" s="61" t="s">
        <v>5817</v>
      </c>
      <c r="R904" s="31" t="s">
        <v>56</v>
      </c>
      <c r="S904" s="38" t="str">
        <f t="shared" si="2"/>
        <v>https://github.com/SF-Bancoppel/mx-api-bc-pro-credit-card</v>
      </c>
      <c r="T904" s="40"/>
      <c r="U904" s="40"/>
      <c r="V904" s="40"/>
      <c r="W904" s="40"/>
      <c r="X904" s="40"/>
      <c r="Y904" s="40"/>
      <c r="Z904" s="40"/>
      <c r="AA904" s="40"/>
      <c r="AB904" s="40"/>
    </row>
    <row r="905" ht="18.75" customHeight="1">
      <c r="A905" s="18" t="str">
        <f t="array" ref="A905">IFERROR(
  INDEX(
    'api-register-id'!A:A,
    MATCH(F905, 'api-register-id'!B:B, 0)
  ),
  "Not found Organization"
)</f>
        <v>SSFF</v>
      </c>
      <c r="B905" s="22" t="str">
        <f>IFERROR(VLOOKUP(F905, 'api-register-id'!B:F, 4, FALSE), "Not found path.")</f>
        <v>mx-api-bc-pro-credit-card</v>
      </c>
      <c r="C905" s="78" t="s">
        <v>41</v>
      </c>
      <c r="D905" s="78" t="s">
        <v>811</v>
      </c>
      <c r="E905" s="24" t="str">
        <f>IFERROR(VLOOKUP(F905, 'api-register-id'!B:F, 5, FALSE), "Not found path.")</f>
        <v>APIMX000068</v>
      </c>
      <c r="F905" s="25" t="s">
        <v>913</v>
      </c>
      <c r="G905" s="26" t="s">
        <v>5818</v>
      </c>
      <c r="H905" s="22" t="s">
        <v>5819</v>
      </c>
      <c r="I905" s="29" t="str">
        <f>IFERROR(VLOOKUP(F905, 'api-register-id'!B:I, 8, FALSE), "Not found path.")</f>
        <v>1.31.0</v>
      </c>
      <c r="J905" s="3" t="s">
        <v>2376</v>
      </c>
      <c r="K905" s="31" t="s">
        <v>48</v>
      </c>
      <c r="L905" s="78" t="s">
        <v>49</v>
      </c>
      <c r="M905" s="3" t="s">
        <v>5688</v>
      </c>
      <c r="N905" s="3" t="str">
        <f t="shared" si="1"/>
        <v>POST /system/cards/creditCard/v1/cashAdvanceFees/retrieve</v>
      </c>
      <c r="O905" s="32" t="s">
        <v>5689</v>
      </c>
      <c r="P905" s="32"/>
      <c r="Q905" s="61" t="s">
        <v>98</v>
      </c>
      <c r="R905" s="31" t="s">
        <v>56</v>
      </c>
      <c r="S905" s="38" t="str">
        <f t="shared" si="2"/>
        <v>https://github.com/SF-Bancoppel/mx-api-bc-pro-credit-card</v>
      </c>
      <c r="T905" s="40"/>
      <c r="U905" s="40"/>
      <c r="V905" s="40"/>
      <c r="W905" s="40"/>
      <c r="X905" s="40"/>
      <c r="Y905" s="40"/>
      <c r="Z905" s="40"/>
      <c r="AA905" s="40"/>
      <c r="AB905" s="40"/>
    </row>
    <row r="906" ht="18.75" customHeight="1">
      <c r="A906" s="18" t="str">
        <f t="array" ref="A906">IFERROR(
  INDEX(
    'api-register-id'!A:A,
    MATCH(F906, 'api-register-id'!B:B, 0)
  ),
  "Not found Organization"
)</f>
        <v>SSFF</v>
      </c>
      <c r="B906" s="22" t="str">
        <f>IFERROR(VLOOKUP(F906, 'api-register-id'!B:F, 4, FALSE), "Not found path.")</f>
        <v>mx-api-bc-pro-credit-card</v>
      </c>
      <c r="C906" s="78" t="s">
        <v>41</v>
      </c>
      <c r="D906" s="78" t="s">
        <v>811</v>
      </c>
      <c r="E906" s="24" t="str">
        <f>IFERROR(VLOOKUP(F906, 'api-register-id'!B:F, 5, FALSE), "Not found path.")</f>
        <v>APIMX000068</v>
      </c>
      <c r="F906" s="25" t="s">
        <v>913</v>
      </c>
      <c r="G906" s="26" t="s">
        <v>5820</v>
      </c>
      <c r="H906" s="22" t="s">
        <v>5821</v>
      </c>
      <c r="I906" s="29" t="str">
        <f>IFERROR(VLOOKUP(F906, 'api-register-id'!B:I, 8, FALSE), "Not found path.")</f>
        <v>1.31.0</v>
      </c>
      <c r="J906" s="3" t="s">
        <v>2376</v>
      </c>
      <c r="K906" s="31" t="s">
        <v>48</v>
      </c>
      <c r="L906" s="78" t="s">
        <v>49</v>
      </c>
      <c r="M906" s="3" t="s">
        <v>5693</v>
      </c>
      <c r="N906" s="3" t="str">
        <f t="shared" si="1"/>
        <v>POST /system/cards/creditCard/v1/creditCardDebitStatus/retrieve</v>
      </c>
      <c r="O906" s="32" t="s">
        <v>5694</v>
      </c>
      <c r="P906" s="32"/>
      <c r="Q906" s="61" t="s">
        <v>5822</v>
      </c>
      <c r="R906" s="31" t="s">
        <v>56</v>
      </c>
      <c r="S906" s="38" t="str">
        <f t="shared" si="2"/>
        <v>https://github.com/SF-Bancoppel/mx-api-bc-pro-credit-card</v>
      </c>
      <c r="T906" s="40"/>
      <c r="U906" s="40"/>
      <c r="V906" s="40"/>
      <c r="W906" s="40"/>
      <c r="X906" s="40"/>
      <c r="Y906" s="40"/>
      <c r="Z906" s="40"/>
      <c r="AA906" s="40"/>
      <c r="AB906" s="40"/>
    </row>
    <row r="907" ht="18.75" customHeight="1">
      <c r="A907" s="18" t="str">
        <f t="array" ref="A907">IFERROR(
  INDEX(
    'api-register-id'!A:A,
    MATCH(F907, 'api-register-id'!B:B, 0)
  ),
  "Not found Organization"
)</f>
        <v>SSFF</v>
      </c>
      <c r="B907" s="22" t="str">
        <f>IFERROR(VLOOKUP(F907, 'api-register-id'!B:F, 4, FALSE), "Not found path.")</f>
        <v>mx-api-bc-pro-customer-access-entitlement</v>
      </c>
      <c r="C907" s="78" t="s">
        <v>41</v>
      </c>
      <c r="D907" s="78" t="s">
        <v>811</v>
      </c>
      <c r="E907" s="24" t="str">
        <f>IFERROR(VLOOKUP(F907, 'api-register-id'!B:F, 5, FALSE), "Not found path.")</f>
        <v>APIMX000073</v>
      </c>
      <c r="F907" s="25" t="s">
        <v>968</v>
      </c>
      <c r="G907" s="26" t="s">
        <v>5823</v>
      </c>
      <c r="H907" s="22" t="s">
        <v>4499</v>
      </c>
      <c r="I907" s="29" t="str">
        <f>IFERROR(VLOOKUP(F907, 'api-register-id'!B:I, 8, FALSE), "Not found path.")</f>
        <v>1.2.0</v>
      </c>
      <c r="J907" s="3" t="s">
        <v>2763</v>
      </c>
      <c r="K907" s="31" t="s">
        <v>48</v>
      </c>
      <c r="L907" s="78" t="s">
        <v>49</v>
      </c>
      <c r="M907" s="3" t="s">
        <v>5697</v>
      </c>
      <c r="N907" s="3" t="str">
        <f t="shared" si="1"/>
        <v>POST /system/customerManagement/customerAccessEntitlement/v1/accessArrangement/activate</v>
      </c>
      <c r="O907" s="32" t="s">
        <v>5824</v>
      </c>
      <c r="P907" s="32"/>
      <c r="Q907" s="61" t="s">
        <v>5825</v>
      </c>
      <c r="R907" s="31" t="s">
        <v>56</v>
      </c>
      <c r="S907" s="38" t="str">
        <f t="shared" si="2"/>
        <v>https://github.com/SF-Bancoppel/mx-api-bc-pro-customer-access-entitlement</v>
      </c>
      <c r="T907" s="40"/>
      <c r="U907" s="40"/>
      <c r="V907" s="40"/>
      <c r="W907" s="40"/>
      <c r="X907" s="40"/>
      <c r="Y907" s="40"/>
      <c r="Z907" s="40"/>
      <c r="AA907" s="40"/>
      <c r="AB907" s="40"/>
    </row>
    <row r="908" ht="18.75" customHeight="1">
      <c r="A908" s="18" t="str">
        <f t="array" ref="A908">IFERROR(
  INDEX(
    'api-register-id'!A:A,
    MATCH(F908, 'api-register-id'!B:B, 0)
  ),
  "Not found Organization"
)</f>
        <v>SSFF</v>
      </c>
      <c r="B908" s="22" t="str">
        <f>IFERROR(VLOOKUP(F908, 'api-register-id'!B:F, 4, FALSE), "Not found path.")</f>
        <v>mx-api-bc-pro-customer-agreement</v>
      </c>
      <c r="C908" s="78" t="s">
        <v>41</v>
      </c>
      <c r="D908" s="78" t="s">
        <v>811</v>
      </c>
      <c r="E908" s="24" t="str">
        <f>IFERROR(VLOOKUP(F908, 'api-register-id'!B:F, 5, FALSE), "Not found path.")</f>
        <v>APIMX000074</v>
      </c>
      <c r="F908" s="25" t="s">
        <v>977</v>
      </c>
      <c r="G908" s="26" t="s">
        <v>5826</v>
      </c>
      <c r="H908" s="22" t="s">
        <v>5827</v>
      </c>
      <c r="I908" s="29" t="str">
        <f>IFERROR(VLOOKUP(F908, 'api-register-id'!B:I, 8, FALSE), "Not found path.")</f>
        <v>1.3.0</v>
      </c>
      <c r="J908" s="3" t="s">
        <v>2769</v>
      </c>
      <c r="K908" s="31" t="s">
        <v>48</v>
      </c>
      <c r="L908" s="78" t="s">
        <v>49</v>
      </c>
      <c r="M908" s="3" t="s">
        <v>5702</v>
      </c>
      <c r="N908" s="3" t="str">
        <f t="shared" si="1"/>
        <v>POST /system/customerManagement/customerAgreement/v1/digitalServiceNumber/activate</v>
      </c>
      <c r="O908" s="32" t="s">
        <v>5828</v>
      </c>
      <c r="P908" s="32"/>
      <c r="Q908" s="61" t="s">
        <v>5829</v>
      </c>
      <c r="R908" s="31" t="s">
        <v>56</v>
      </c>
      <c r="S908" s="38" t="str">
        <f t="shared" si="2"/>
        <v>https://github.com/SF-Bancoppel/mx-api-bc-pro-customer-agreement</v>
      </c>
      <c r="T908" s="40"/>
      <c r="U908" s="40"/>
      <c r="V908" s="40"/>
      <c r="W908" s="40"/>
      <c r="X908" s="40"/>
      <c r="Y908" s="40"/>
      <c r="Z908" s="40"/>
      <c r="AA908" s="40"/>
      <c r="AB908" s="40"/>
    </row>
    <row r="909" ht="18.75" customHeight="1">
      <c r="A909" s="18" t="str">
        <f t="array" ref="A909">IFERROR(
  INDEX(
    'api-register-id'!A:A,
    MATCH(F909, 'api-register-id'!B:B, 0)
  ),
  "Not found Organization"
)</f>
        <v>SSFF</v>
      </c>
      <c r="B909" s="22" t="str">
        <f>IFERROR(VLOOKUP(F909, 'api-register-id'!B:F, 4, FALSE), "Not found path.")</f>
        <v>mx-api-bc-pro-customer-credit-rating</v>
      </c>
      <c r="C909" s="78" t="s">
        <v>41</v>
      </c>
      <c r="D909" s="78" t="s">
        <v>811</v>
      </c>
      <c r="E909" s="24" t="str">
        <f>IFERROR(VLOOKUP(F909, 'api-register-id'!B:F, 5, FALSE), "Not found path.")</f>
        <v>APIMX000075</v>
      </c>
      <c r="F909" s="25" t="s">
        <v>986</v>
      </c>
      <c r="G909" s="26" t="s">
        <v>5830</v>
      </c>
      <c r="H909" s="22" t="s">
        <v>5831</v>
      </c>
      <c r="I909" s="29" t="str">
        <f>IFERROR(VLOOKUP(F909, 'api-register-id'!B:I, 8, FALSE), "Not found path.")</f>
        <v>1.3.1</v>
      </c>
      <c r="J909" s="3" t="s">
        <v>5647</v>
      </c>
      <c r="K909" s="31" t="s">
        <v>48</v>
      </c>
      <c r="L909" s="78" t="s">
        <v>49</v>
      </c>
      <c r="M909" s="3" t="s">
        <v>5707</v>
      </c>
      <c r="N909" s="3" t="str">
        <f t="shared" si="1"/>
        <v>POST /system/customerManagement/customerCreditRating/v1/internalReporting/retrieve</v>
      </c>
      <c r="O909" s="32" t="s">
        <v>5708</v>
      </c>
      <c r="P909" s="32"/>
      <c r="Q909" s="61" t="s">
        <v>5832</v>
      </c>
      <c r="R909" s="31" t="s">
        <v>56</v>
      </c>
      <c r="S909" s="38" t="str">
        <f t="shared" si="2"/>
        <v>https://github.com/SF-Bancoppel/mx-api-bc-pro-customer-credit-rating</v>
      </c>
      <c r="T909" s="40"/>
      <c r="U909" s="40"/>
      <c r="V909" s="40"/>
      <c r="W909" s="40"/>
      <c r="X909" s="40"/>
      <c r="Y909" s="40"/>
      <c r="Z909" s="40"/>
      <c r="AA909" s="40"/>
      <c r="AB909" s="40"/>
    </row>
    <row r="910" ht="18.75" customHeight="1">
      <c r="A910" s="18" t="str">
        <f t="array" ref="A910">IFERROR(
  INDEX(
    'api-register-id'!A:A,
    MATCH(F910, 'api-register-id'!B:B, 0)
  ),
  "Not found Organization"
)</f>
        <v>SSFF</v>
      </c>
      <c r="B910" s="22" t="str">
        <f>IFERROR(VLOOKUP(F910, 'api-register-id'!B:F, 4, FALSE), "Not found path.")</f>
        <v>mx-api-bc-pro-customer-credit-rating</v>
      </c>
      <c r="C910" s="78" t="s">
        <v>41</v>
      </c>
      <c r="D910" s="78" t="s">
        <v>811</v>
      </c>
      <c r="E910" s="24" t="str">
        <f>IFERROR(VLOOKUP(F910, 'api-register-id'!B:F, 5, FALSE), "Not found path.")</f>
        <v>APIMX000075</v>
      </c>
      <c r="F910" s="25" t="s">
        <v>986</v>
      </c>
      <c r="G910" s="26" t="s">
        <v>5833</v>
      </c>
      <c r="H910" s="22" t="s">
        <v>5834</v>
      </c>
      <c r="I910" s="29" t="str">
        <f>IFERROR(VLOOKUP(F910, 'api-register-id'!B:I, 8, FALSE), "Not found path.")</f>
        <v>1.3.1</v>
      </c>
      <c r="J910" s="3" t="s">
        <v>5647</v>
      </c>
      <c r="K910" s="31" t="s">
        <v>48</v>
      </c>
      <c r="L910" s="78" t="s">
        <v>49</v>
      </c>
      <c r="M910" s="3" t="s">
        <v>5712</v>
      </c>
      <c r="N910" s="3" t="str">
        <f t="shared" si="1"/>
        <v>POST /system/customerManagement/customerCreditRating/v1/internalReporting/create</v>
      </c>
      <c r="O910" s="32" t="s">
        <v>5835</v>
      </c>
      <c r="P910" s="32"/>
      <c r="Q910" s="61" t="s">
        <v>5836</v>
      </c>
      <c r="R910" s="31" t="s">
        <v>56</v>
      </c>
      <c r="S910" s="38" t="str">
        <f t="shared" si="2"/>
        <v>https://github.com/SF-Bancoppel/mx-api-bc-pro-customer-credit-rating</v>
      </c>
      <c r="T910" s="40"/>
      <c r="U910" s="40"/>
      <c r="V910" s="40"/>
      <c r="W910" s="40"/>
      <c r="X910" s="40"/>
      <c r="Y910" s="40"/>
      <c r="Z910" s="40"/>
      <c r="AA910" s="40"/>
      <c r="AB910" s="40"/>
    </row>
    <row r="911" ht="18.75" customHeight="1">
      <c r="A911" s="18" t="str">
        <f t="array" ref="A911">IFERROR(
  INDEX(
    'api-register-id'!A:A,
    MATCH(F911, 'api-register-id'!B:B, 0)
  ),
  "Not found Organization"
)</f>
        <v>SSFF</v>
      </c>
      <c r="B911" s="22" t="str">
        <f>IFERROR(VLOOKUP(F911, 'api-register-id'!B:F, 4, FALSE), "Not found path.")</f>
        <v>mx-api-bc-pro-customer-position</v>
      </c>
      <c r="C911" s="78" t="s">
        <v>41</v>
      </c>
      <c r="D911" s="78" t="s">
        <v>811</v>
      </c>
      <c r="E911" s="24" t="str">
        <f>IFERROR(VLOOKUP(F911, 'api-register-id'!B:F, 5, FALSE), "Not found path.")</f>
        <v>APIMX000077</v>
      </c>
      <c r="F911" s="25" t="s">
        <v>1012</v>
      </c>
      <c r="G911" s="26" t="s">
        <v>5837</v>
      </c>
      <c r="H911" s="22" t="s">
        <v>5838</v>
      </c>
      <c r="I911" s="29" t="str">
        <f>IFERROR(VLOOKUP(F911, 'api-register-id'!B:I, 8, FALSE), "Not found path.")</f>
        <v>1.3.0</v>
      </c>
      <c r="J911" s="3" t="s">
        <v>2836</v>
      </c>
      <c r="K911" s="31" t="s">
        <v>48</v>
      </c>
      <c r="L911" s="78" t="s">
        <v>49</v>
      </c>
      <c r="M911" s="3" t="s">
        <v>5717</v>
      </c>
      <c r="N911" s="3" t="str">
        <f t="shared" si="1"/>
        <v>POST /system/accountManagement/customerPosition/v1/accountCurrentBalance/retrieve</v>
      </c>
      <c r="O911" s="32" t="s">
        <v>5839</v>
      </c>
      <c r="P911" s="32"/>
      <c r="Q911" s="61" t="s">
        <v>5840</v>
      </c>
      <c r="R911" s="31" t="s">
        <v>56</v>
      </c>
      <c r="S911" s="38" t="str">
        <f t="shared" si="2"/>
        <v>https://github.com/SF-Bancoppel/mx-api-bc-pro-customer-position</v>
      </c>
      <c r="T911" s="40"/>
      <c r="U911" s="40"/>
      <c r="V911" s="40"/>
      <c r="W911" s="40"/>
      <c r="X911" s="40"/>
      <c r="Y911" s="40"/>
      <c r="Z911" s="40"/>
      <c r="AA911" s="40"/>
      <c r="AB911" s="40"/>
    </row>
    <row r="912" ht="18.75" customHeight="1">
      <c r="A912" s="18" t="str">
        <f t="array" ref="A912">IFERROR(
  INDEX(
    'api-register-id'!A:A,
    MATCH(F912, 'api-register-id'!B:B, 0)
  ),
  "Not found Organization"
)</f>
        <v>SSFF</v>
      </c>
      <c r="B912" s="22" t="str">
        <f>IFERROR(VLOOKUP(F912, 'api-register-id'!B:F, 4, FALSE), "Not found path.")</f>
        <v>mx-api-bc-pro-customer-position</v>
      </c>
      <c r="C912" s="78" t="s">
        <v>41</v>
      </c>
      <c r="D912" s="78" t="s">
        <v>811</v>
      </c>
      <c r="E912" s="24" t="str">
        <f>IFERROR(VLOOKUP(F912, 'api-register-id'!B:F, 5, FALSE), "Not found path.")</f>
        <v>APIMX000077</v>
      </c>
      <c r="F912" s="25" t="s">
        <v>1012</v>
      </c>
      <c r="G912" s="26" t="s">
        <v>5841</v>
      </c>
      <c r="H912" s="22" t="s">
        <v>5842</v>
      </c>
      <c r="I912" s="29" t="str">
        <f>IFERROR(VLOOKUP(F912, 'api-register-id'!B:I, 8, FALSE), "Not found path.")</f>
        <v>1.3.0</v>
      </c>
      <c r="J912" s="3" t="s">
        <v>2836</v>
      </c>
      <c r="K912" s="31" t="s">
        <v>48</v>
      </c>
      <c r="L912" s="78" t="s">
        <v>49</v>
      </c>
      <c r="M912" s="3" t="s">
        <v>5722</v>
      </c>
      <c r="N912" s="3" t="str">
        <f t="shared" si="1"/>
        <v>POST /system/accountManagement/customerPosition/v1/accountDelinquentBalance/retrieve</v>
      </c>
      <c r="O912" s="32" t="s">
        <v>5843</v>
      </c>
      <c r="P912" s="32"/>
      <c r="Q912" s="61" t="s">
        <v>5844</v>
      </c>
      <c r="R912" s="31" t="s">
        <v>56</v>
      </c>
      <c r="S912" s="38" t="str">
        <f t="shared" si="2"/>
        <v>https://github.com/SF-Bancoppel/mx-api-bc-pro-customer-position</v>
      </c>
      <c r="T912" s="40"/>
      <c r="U912" s="40"/>
      <c r="V912" s="40"/>
      <c r="W912" s="40"/>
      <c r="X912" s="40"/>
      <c r="Y912" s="40"/>
      <c r="Z912" s="40"/>
      <c r="AA912" s="40"/>
      <c r="AB912" s="40"/>
    </row>
    <row r="913" ht="18.75" customHeight="1">
      <c r="A913" s="18" t="str">
        <f t="array" ref="A913">IFERROR(
  INDEX(
    'api-register-id'!A:A,
    MATCH(F913, 'api-register-id'!B:B, 0)
  ),
  "Not found Organization"
)</f>
        <v>SSFF</v>
      </c>
      <c r="B913" s="22" t="str">
        <f>IFERROR(VLOOKUP(F913, 'api-register-id'!B:F, 4, FALSE), "Not found path.")</f>
        <v>mx-api-bc-pro-customer-position</v>
      </c>
      <c r="C913" s="78" t="s">
        <v>41</v>
      </c>
      <c r="D913" s="78" t="s">
        <v>811</v>
      </c>
      <c r="E913" s="24" t="str">
        <f>IFERROR(VLOOKUP(F913, 'api-register-id'!B:F, 5, FALSE), "Not found path.")</f>
        <v>APIMX000077</v>
      </c>
      <c r="F913" s="25" t="s">
        <v>1012</v>
      </c>
      <c r="G913" s="26" t="s">
        <v>5845</v>
      </c>
      <c r="H913" s="22" t="s">
        <v>5846</v>
      </c>
      <c r="I913" s="29" t="str">
        <f>IFERROR(VLOOKUP(F913, 'api-register-id'!B:I, 8, FALSE), "Not found path.")</f>
        <v>1.3.0</v>
      </c>
      <c r="J913" s="3" t="s">
        <v>2836</v>
      </c>
      <c r="K913" s="31" t="s">
        <v>48</v>
      </c>
      <c r="L913" s="78" t="s">
        <v>49</v>
      </c>
      <c r="M913" s="3" t="s">
        <v>5727</v>
      </c>
      <c r="N913" s="3" t="str">
        <f t="shared" si="1"/>
        <v>POST /system/accountManagement/customerPosition/v1/retainedBalanceDetail/retrieve</v>
      </c>
      <c r="O913" s="32" t="s">
        <v>5847</v>
      </c>
      <c r="P913" s="32"/>
      <c r="Q913" s="61" t="s">
        <v>5848</v>
      </c>
      <c r="R913" s="31" t="s">
        <v>56</v>
      </c>
      <c r="S913" s="38" t="str">
        <f t="shared" si="2"/>
        <v>https://github.com/SF-Bancoppel/mx-api-bc-pro-customer-position</v>
      </c>
      <c r="T913" s="40"/>
      <c r="U913" s="40"/>
      <c r="V913" s="40"/>
      <c r="W913" s="40"/>
      <c r="X913" s="40"/>
      <c r="Y913" s="40"/>
      <c r="Z913" s="40"/>
      <c r="AA913" s="40"/>
      <c r="AB913" s="40"/>
    </row>
    <row r="914" ht="18.75" customHeight="1">
      <c r="A914" s="18" t="str">
        <f t="array" ref="A914">IFERROR(
  INDEX(
    'api-register-id'!A:A,
    MATCH(F914, 'api-register-id'!B:B, 0)
  ),
  "Not found Organization"
)</f>
        <v>SSFF</v>
      </c>
      <c r="B914" s="22" t="str">
        <f>IFERROR(VLOOKUP(F914, 'api-register-id'!B:F, 4, FALSE), "Not found path.")</f>
        <v>mx-api-bc-pro-customer-products-and-services</v>
      </c>
      <c r="C914" s="78" t="s">
        <v>41</v>
      </c>
      <c r="D914" s="78" t="s">
        <v>811</v>
      </c>
      <c r="E914" s="24" t="str">
        <f>IFERROR(VLOOKUP(F914, 'api-register-id'!B:F, 5, FALSE), "Not found path.")</f>
        <v>APIMX000079</v>
      </c>
      <c r="F914" s="25" t="s">
        <v>2867</v>
      </c>
      <c r="G914" s="26" t="s">
        <v>5849</v>
      </c>
      <c r="H914" s="22" t="s">
        <v>5850</v>
      </c>
      <c r="I914" s="29" t="str">
        <f>IFERROR(VLOOKUP(F914, 'api-register-id'!B:I, 8, FALSE), "Not found path.")</f>
        <v>1.2.0</v>
      </c>
      <c r="J914" s="3" t="s">
        <v>2869</v>
      </c>
      <c r="K914" s="31" t="s">
        <v>48</v>
      </c>
      <c r="L914" s="78" t="s">
        <v>49</v>
      </c>
      <c r="M914" s="3" t="s">
        <v>5737</v>
      </c>
      <c r="N914" s="3" t="str">
        <f t="shared" si="1"/>
        <v>POST /system/customerManagement/customerProductsAndServices/v1/bankingProduct/retrieve</v>
      </c>
      <c r="O914" s="32" t="s">
        <v>5851</v>
      </c>
      <c r="P914" s="32"/>
      <c r="Q914" s="61" t="s">
        <v>5852</v>
      </c>
      <c r="R914" s="31" t="s">
        <v>56</v>
      </c>
      <c r="S914" s="38" t="str">
        <f t="shared" si="2"/>
        <v>https://github.com/SF-Bancoppel/mx-api-bc-pro-customer-products-and-services</v>
      </c>
      <c r="T914" s="40"/>
      <c r="U914" s="40"/>
      <c r="V914" s="40"/>
      <c r="W914" s="40"/>
      <c r="X914" s="40"/>
      <c r="Y914" s="40"/>
      <c r="Z914" s="40"/>
      <c r="AA914" s="40"/>
      <c r="AB914" s="40"/>
    </row>
    <row r="915" ht="18.75" customHeight="1">
      <c r="A915" s="18" t="str">
        <f t="array" ref="A915">IFERROR(
  INDEX(
    'api-register-id'!A:A,
    MATCH(F915, 'api-register-id'!B:B, 0)
  ),
  "Not found Organization"
)</f>
        <v>SSFF</v>
      </c>
      <c r="B915" s="22" t="str">
        <f>IFERROR(VLOOKUP(F915, 'api-register-id'!B:F, 4, FALSE), "Not found path.")</f>
        <v>mx-api-bc-pro-customer-products-and-services</v>
      </c>
      <c r="C915" s="78" t="s">
        <v>41</v>
      </c>
      <c r="D915" s="78" t="s">
        <v>811</v>
      </c>
      <c r="E915" s="24" t="str">
        <f>IFERROR(VLOOKUP(F915, 'api-register-id'!B:F, 5, FALSE), "Not found path.")</f>
        <v>APIMX000079</v>
      </c>
      <c r="F915" s="25" t="s">
        <v>2867</v>
      </c>
      <c r="G915" s="26" t="s">
        <v>5853</v>
      </c>
      <c r="H915" s="22" t="s">
        <v>5854</v>
      </c>
      <c r="I915" s="29" t="str">
        <f>IFERROR(VLOOKUP(F915, 'api-register-id'!B:I, 8, FALSE), "Not found path.")</f>
        <v>1.2.0</v>
      </c>
      <c r="J915" s="3" t="s">
        <v>2869</v>
      </c>
      <c r="K915" s="31" t="s">
        <v>48</v>
      </c>
      <c r="L915" s="78" t="s">
        <v>49</v>
      </c>
      <c r="M915" s="3" t="s">
        <v>5742</v>
      </c>
      <c r="N915" s="3" t="str">
        <f t="shared" si="1"/>
        <v>POST /system/customerManagement/customerProductsAndServices/v1/creditAccount/retrieve</v>
      </c>
      <c r="O915" s="32" t="s">
        <v>5855</v>
      </c>
      <c r="P915" s="32"/>
      <c r="Q915" s="61" t="s">
        <v>5856</v>
      </c>
      <c r="R915" s="31" t="s">
        <v>56</v>
      </c>
      <c r="S915" s="38" t="str">
        <f t="shared" si="2"/>
        <v>https://github.com/SF-Bancoppel/mx-api-bc-pro-customer-products-and-services</v>
      </c>
      <c r="T915" s="40"/>
      <c r="U915" s="40"/>
      <c r="V915" s="40"/>
      <c r="W915" s="40"/>
      <c r="X915" s="40"/>
      <c r="Y915" s="40"/>
      <c r="Z915" s="40"/>
      <c r="AA915" s="40"/>
      <c r="AB915" s="40"/>
    </row>
    <row r="916" ht="18.75" customHeight="1">
      <c r="A916" s="18" t="str">
        <f t="array" ref="A916">IFERROR(
  INDEX(
    'api-register-id'!A:A,
    MATCH(F916, 'api-register-id'!B:B, 0)
  ),
  "Not found Organization"
)</f>
        <v>SSFF</v>
      </c>
      <c r="B916" s="22" t="str">
        <f>IFERROR(VLOOKUP(F916, 'api-register-id'!B:F, 4, FALSE), "Not found path.")</f>
        <v>mx-api-bc-pro-customer-products-and-services</v>
      </c>
      <c r="C916" s="78" t="s">
        <v>41</v>
      </c>
      <c r="D916" s="78" t="s">
        <v>811</v>
      </c>
      <c r="E916" s="24" t="str">
        <f>IFERROR(VLOOKUP(F916, 'api-register-id'!B:F, 5, FALSE), "Not found path.")</f>
        <v>APIMX000079</v>
      </c>
      <c r="F916" s="25" t="s">
        <v>2867</v>
      </c>
      <c r="G916" s="26" t="s">
        <v>5857</v>
      </c>
      <c r="H916" s="22" t="s">
        <v>5858</v>
      </c>
      <c r="I916" s="29" t="str">
        <f>IFERROR(VLOOKUP(F916, 'api-register-id'!B:I, 8, FALSE), "Not found path.")</f>
        <v>1.2.0</v>
      </c>
      <c r="J916" s="3" t="s">
        <v>2869</v>
      </c>
      <c r="K916" s="31" t="s">
        <v>48</v>
      </c>
      <c r="L916" s="78" t="s">
        <v>49</v>
      </c>
      <c r="M916" s="3" t="s">
        <v>5732</v>
      </c>
      <c r="N916" s="3" t="str">
        <f t="shared" si="1"/>
        <v>POST /system/customerManagement/customerProductsAndServices/v1/accountStatus/retrieve</v>
      </c>
      <c r="O916" s="32" t="s">
        <v>5733</v>
      </c>
      <c r="P916" s="32"/>
      <c r="Q916" s="61" t="s">
        <v>5859</v>
      </c>
      <c r="R916" s="31" t="s">
        <v>56</v>
      </c>
      <c r="S916" s="38" t="str">
        <f t="shared" si="2"/>
        <v>https://github.com/SF-Bancoppel/mx-api-bc-pro-customer-products-and-services</v>
      </c>
      <c r="T916" s="40"/>
      <c r="U916" s="40"/>
      <c r="V916" s="40"/>
      <c r="W916" s="40"/>
      <c r="X916" s="40"/>
      <c r="Y916" s="40"/>
      <c r="Z916" s="40"/>
      <c r="AA916" s="40"/>
      <c r="AB916" s="40"/>
    </row>
    <row r="917" ht="18.75" customHeight="1">
      <c r="A917" s="18" t="str">
        <f t="array" ref="A917">IFERROR(
  INDEX(
    'api-register-id'!A:A,
    MATCH(F917, 'api-register-id'!B:B, 0)
  ),
  "Not found Organization"
)</f>
        <v>SSFF</v>
      </c>
      <c r="B917" s="22" t="str">
        <f>IFERROR(VLOOKUP(F917, 'api-register-id'!B:F, 4, FALSE), "Not found path.")</f>
        <v>mx-api-bc-pro-customer-products-and-services</v>
      </c>
      <c r="C917" s="78" t="s">
        <v>41</v>
      </c>
      <c r="D917" s="78" t="s">
        <v>811</v>
      </c>
      <c r="E917" s="24" t="str">
        <f>IFERROR(VLOOKUP(F917, 'api-register-id'!B:F, 5, FALSE), "Not found path.")</f>
        <v>APIMX000079</v>
      </c>
      <c r="F917" s="25" t="s">
        <v>2867</v>
      </c>
      <c r="G917" s="26" t="s">
        <v>5860</v>
      </c>
      <c r="H917" s="22" t="s">
        <v>5861</v>
      </c>
      <c r="I917" s="29" t="str">
        <f>IFERROR(VLOOKUP(F917, 'api-register-id'!B:I, 8, FALSE), "Not found path.")</f>
        <v>1.2.0</v>
      </c>
      <c r="J917" s="3" t="s">
        <v>2869</v>
      </c>
      <c r="K917" s="31" t="s">
        <v>48</v>
      </c>
      <c r="L917" s="78" t="s">
        <v>49</v>
      </c>
      <c r="M917" s="3" t="s">
        <v>5747</v>
      </c>
      <c r="N917" s="3" t="str">
        <f t="shared" si="1"/>
        <v>POST /system/customerManagement/customerProductsAndServices/v1/customerAccountReport/retrieve</v>
      </c>
      <c r="O917" s="32" t="s">
        <v>5748</v>
      </c>
      <c r="P917" s="32"/>
      <c r="Q917" s="61" t="s">
        <v>5862</v>
      </c>
      <c r="R917" s="31" t="s">
        <v>56</v>
      </c>
      <c r="S917" s="38" t="str">
        <f t="shared" si="2"/>
        <v>https://github.com/SF-Bancoppel/mx-api-bc-pro-customer-products-and-services</v>
      </c>
      <c r="T917" s="40"/>
      <c r="U917" s="40"/>
      <c r="V917" s="40"/>
      <c r="W917" s="40"/>
      <c r="X917" s="40"/>
      <c r="Y917" s="40"/>
      <c r="Z917" s="40"/>
      <c r="AA917" s="40"/>
      <c r="AB917" s="40"/>
    </row>
    <row r="918" ht="18.75" customHeight="1">
      <c r="A918" s="18" t="str">
        <f t="array" ref="A918">IFERROR(
  INDEX(
    'api-register-id'!A:A,
    MATCH(F918, 'api-register-id'!B:B, 0)
  ),
  "Not found Organization"
)</f>
        <v>SSFF</v>
      </c>
      <c r="B918" s="22" t="str">
        <f>IFERROR(VLOOKUP(F918, 'api-register-id'!B:F, 4, FALSE), "Not found path.")</f>
        <v>mx-api-bc-pro-customer-products-and-services</v>
      </c>
      <c r="C918" s="78" t="s">
        <v>41</v>
      </c>
      <c r="D918" s="78" t="s">
        <v>811</v>
      </c>
      <c r="E918" s="24" t="str">
        <f>IFERROR(VLOOKUP(F918, 'api-register-id'!B:F, 5, FALSE), "Not found path.")</f>
        <v>APIMX000079</v>
      </c>
      <c r="F918" s="25" t="s">
        <v>2867</v>
      </c>
      <c r="G918" s="26" t="s">
        <v>5863</v>
      </c>
      <c r="H918" s="22" t="s">
        <v>5864</v>
      </c>
      <c r="I918" s="29" t="str">
        <f>IFERROR(VLOOKUP(F918, 'api-register-id'!B:I, 8, FALSE), "Not found path.")</f>
        <v>1.2.0</v>
      </c>
      <c r="J918" s="3" t="s">
        <v>2869</v>
      </c>
      <c r="K918" s="31" t="s">
        <v>48</v>
      </c>
      <c r="L918" s="78" t="s">
        <v>49</v>
      </c>
      <c r="M918" s="3" t="s">
        <v>5752</v>
      </c>
      <c r="N918" s="3" t="str">
        <f t="shared" si="1"/>
        <v>POST /system/customerManagement/customerProductsAndServices/v1/productInformationCollection/retrieve</v>
      </c>
      <c r="O918" s="32" t="s">
        <v>5753</v>
      </c>
      <c r="P918" s="32"/>
      <c r="Q918" s="61" t="s">
        <v>5865</v>
      </c>
      <c r="R918" s="31" t="s">
        <v>56</v>
      </c>
      <c r="S918" s="38" t="str">
        <f t="shared" si="2"/>
        <v>https://github.com/SF-Bancoppel/mx-api-bc-pro-customer-products-and-services</v>
      </c>
      <c r="T918" s="40"/>
      <c r="U918" s="40"/>
      <c r="V918" s="40"/>
      <c r="W918" s="40"/>
      <c r="X918" s="40"/>
      <c r="Y918" s="40"/>
      <c r="Z918" s="40"/>
      <c r="AA918" s="40"/>
      <c r="AB918" s="40"/>
    </row>
    <row r="919" ht="18.75" customHeight="1">
      <c r="A919" s="18" t="str">
        <f t="array" ref="A919">IFERROR(
  INDEX(
    'api-register-id'!A:A,
    MATCH(F919, 'api-register-id'!B:B, 0)
  ),
  "Not found Organization"
)</f>
        <v>SSFF</v>
      </c>
      <c r="B919" s="22" t="str">
        <f>IFERROR(VLOOKUP(F919, 'api-register-id'!B:F, 4, FALSE), "Not found path.")</f>
        <v>mx-api-bc-pro-customer-products-and-services</v>
      </c>
      <c r="C919" s="78" t="s">
        <v>41</v>
      </c>
      <c r="D919" s="78" t="s">
        <v>811</v>
      </c>
      <c r="E919" s="24" t="str">
        <f>IFERROR(VLOOKUP(F919, 'api-register-id'!B:F, 5, FALSE), "Not found path.")</f>
        <v>APIMX000079</v>
      </c>
      <c r="F919" s="25" t="s">
        <v>2867</v>
      </c>
      <c r="G919" s="26" t="s">
        <v>5866</v>
      </c>
      <c r="H919" s="22" t="s">
        <v>5867</v>
      </c>
      <c r="I919" s="29" t="str">
        <f>IFERROR(VLOOKUP(F919, 'api-register-id'!B:I, 8, FALSE), "Not found path.")</f>
        <v>1.2.0</v>
      </c>
      <c r="J919" s="3" t="s">
        <v>2869</v>
      </c>
      <c r="K919" s="31" t="s">
        <v>48</v>
      </c>
      <c r="L919" s="78" t="s">
        <v>49</v>
      </c>
      <c r="M919" s="3" t="s">
        <v>5757</v>
      </c>
      <c r="N919" s="3" t="str">
        <f t="shared" si="1"/>
        <v>POST /system/customerManagement/customerProductsAndServices/v1/customerProductSummary/retrieve</v>
      </c>
      <c r="O919" s="32" t="s">
        <v>5758</v>
      </c>
      <c r="P919" s="32"/>
      <c r="Q919" s="61" t="s">
        <v>5868</v>
      </c>
      <c r="R919" s="31" t="s">
        <v>56</v>
      </c>
      <c r="S919" s="38" t="str">
        <f t="shared" si="2"/>
        <v>https://github.com/SF-Bancoppel/mx-api-bc-pro-customer-products-and-services</v>
      </c>
      <c r="T919" s="40"/>
      <c r="U919" s="40"/>
      <c r="V919" s="40"/>
      <c r="W919" s="40"/>
      <c r="X919" s="40"/>
      <c r="Y919" s="40"/>
      <c r="Z919" s="40"/>
      <c r="AA919" s="40"/>
      <c r="AB919" s="40"/>
    </row>
    <row r="920" ht="18.75" customHeight="1">
      <c r="A920" s="18" t="str">
        <f t="array" ref="A920">IFERROR(
  INDEX(
    'api-register-id'!A:A,
    MATCH(F920, 'api-register-id'!B:B, 0)
  ),
  "Not found Organization"
)</f>
        <v>SSFF</v>
      </c>
      <c r="B920" s="22" t="str">
        <f>IFERROR(VLOOKUP(F920, 'api-register-id'!B:F, 4, FALSE), "Not found path.")</f>
        <v>mx-api-bc-pro-customer-products-and-services</v>
      </c>
      <c r="C920" s="78" t="s">
        <v>41</v>
      </c>
      <c r="D920" s="78" t="s">
        <v>811</v>
      </c>
      <c r="E920" s="24" t="str">
        <f>IFERROR(VLOOKUP(F920, 'api-register-id'!B:F, 5, FALSE), "Not found path.")</f>
        <v>APIMX000079</v>
      </c>
      <c r="F920" s="25" t="s">
        <v>2867</v>
      </c>
      <c r="G920" s="26" t="s">
        <v>5869</v>
      </c>
      <c r="H920" s="22" t="s">
        <v>5870</v>
      </c>
      <c r="I920" s="29" t="str">
        <f>IFERROR(VLOOKUP(F920, 'api-register-id'!B:I, 8, FALSE), "Not found path.")</f>
        <v>1.2.0</v>
      </c>
      <c r="J920" s="3" t="s">
        <v>2869</v>
      </c>
      <c r="K920" s="31" t="s">
        <v>48</v>
      </c>
      <c r="L920" s="78" t="s">
        <v>49</v>
      </c>
      <c r="M920" s="3" t="s">
        <v>5762</v>
      </c>
      <c r="N920" s="3" t="str">
        <f t="shared" si="1"/>
        <v>POST /system/customerManagement/customerProductsAndServices/v1/customerCreditProducts/retrieve</v>
      </c>
      <c r="O920" s="32" t="s">
        <v>5763</v>
      </c>
      <c r="P920" s="32"/>
      <c r="Q920" s="61" t="s">
        <v>5871</v>
      </c>
      <c r="R920" s="31" t="s">
        <v>56</v>
      </c>
      <c r="S920" s="38" t="str">
        <f t="shared" si="2"/>
        <v>https://github.com/SF-Bancoppel/mx-api-bc-pro-customer-products-and-services</v>
      </c>
      <c r="T920" s="40"/>
      <c r="U920" s="40"/>
      <c r="V920" s="40"/>
      <c r="W920" s="40"/>
      <c r="X920" s="40"/>
      <c r="Y920" s="40"/>
      <c r="Z920" s="40"/>
      <c r="AA920" s="40"/>
      <c r="AB920" s="40"/>
    </row>
    <row r="921" ht="18.75" customHeight="1">
      <c r="A921" s="18" t="str">
        <f t="array" ref="A921">IFERROR(
  INDEX(
    'api-register-id'!A:A,
    MATCH(F921, 'api-register-id'!B:B, 0)
  ),
  "Not found Organization"
)</f>
        <v>SSFF</v>
      </c>
      <c r="B921" s="22" t="str">
        <f>IFERROR(VLOOKUP(F921, 'api-register-id'!B:F, 4, FALSE), "Not found path.")</f>
        <v>mx-api-bc-pro-document-services</v>
      </c>
      <c r="C921" s="78" t="s">
        <v>41</v>
      </c>
      <c r="D921" s="78" t="s">
        <v>811</v>
      </c>
      <c r="E921" s="24" t="str">
        <f>IFERROR(VLOOKUP(F921, 'api-register-id'!B:F, 5, FALSE), "Not found path.")</f>
        <v>APIMX000084</v>
      </c>
      <c r="F921" s="25" t="s">
        <v>1088</v>
      </c>
      <c r="G921" s="26" t="s">
        <v>5872</v>
      </c>
      <c r="H921" s="22" t="s">
        <v>4500</v>
      </c>
      <c r="I921" s="29" t="str">
        <f>IFERROR(VLOOKUP(F921, 'api-register-id'!B:I, 8, FALSE), "Not found path.")</f>
        <v>1.7.0</v>
      </c>
      <c r="J921" s="3" t="s">
        <v>2950</v>
      </c>
      <c r="K921" s="31" t="s">
        <v>48</v>
      </c>
      <c r="L921" s="78" t="s">
        <v>49</v>
      </c>
      <c r="M921" s="3" t="s">
        <v>5766</v>
      </c>
      <c r="N921" s="3" t="str">
        <f t="shared" si="1"/>
        <v>POST /system/documentManagementAndArchive/documentServices/v1/documentService/retrieve</v>
      </c>
      <c r="O921" s="32" t="s">
        <v>5767</v>
      </c>
      <c r="P921" s="32"/>
      <c r="Q921" s="61" t="s">
        <v>5873</v>
      </c>
      <c r="R921" s="31" t="s">
        <v>56</v>
      </c>
      <c r="S921" s="38" t="str">
        <f t="shared" si="2"/>
        <v>https://github.com/SF-Bancoppel/mx-api-bc-pro-document-services</v>
      </c>
      <c r="T921" s="40"/>
      <c r="U921" s="40"/>
      <c r="V921" s="40"/>
      <c r="W921" s="40"/>
      <c r="X921" s="40"/>
      <c r="Y921" s="40"/>
      <c r="Z921" s="40"/>
      <c r="AA921" s="40"/>
      <c r="AB921" s="40"/>
    </row>
    <row r="922" ht="18.75" customHeight="1">
      <c r="A922" s="18" t="str">
        <f t="array" ref="A922">IFERROR(
  INDEX(
    'api-register-id'!A:A,
    MATCH(F922, 'api-register-id'!B:B, 0)
  ),
  "Not found Organization"
)</f>
        <v>SSFF</v>
      </c>
      <c r="B922" s="22" t="str">
        <f>IFERROR(VLOOKUP(F922, 'api-register-id'!B:F, 4, FALSE), "Not found path.")</f>
        <v>mx-api-bc-pro-document-services</v>
      </c>
      <c r="C922" s="78" t="s">
        <v>41</v>
      </c>
      <c r="D922" s="78" t="s">
        <v>811</v>
      </c>
      <c r="E922" s="24" t="str">
        <f>IFERROR(VLOOKUP(F922, 'api-register-id'!B:F, 5, FALSE), "Not found path.")</f>
        <v>APIMX000084</v>
      </c>
      <c r="F922" s="25" t="s">
        <v>1088</v>
      </c>
      <c r="G922" s="26" t="s">
        <v>5874</v>
      </c>
      <c r="H922" s="22" t="s">
        <v>4503</v>
      </c>
      <c r="I922" s="29" t="str">
        <f>IFERROR(VLOOKUP(F922, 'api-register-id'!B:I, 8, FALSE), "Not found path.")</f>
        <v>1.7.0</v>
      </c>
      <c r="J922" s="3" t="s">
        <v>2950</v>
      </c>
      <c r="K922" s="31" t="s">
        <v>48</v>
      </c>
      <c r="L922" s="78" t="s">
        <v>49</v>
      </c>
      <c r="M922" s="3" t="s">
        <v>5770</v>
      </c>
      <c r="N922" s="3" t="str">
        <f t="shared" si="1"/>
        <v>POST /system/documentManagementAndArchive/documentServices/v1/documentService/initiate</v>
      </c>
      <c r="O922" s="32" t="s">
        <v>5771</v>
      </c>
      <c r="P922" s="32"/>
      <c r="Q922" s="61" t="s">
        <v>5875</v>
      </c>
      <c r="R922" s="31" t="s">
        <v>56</v>
      </c>
      <c r="S922" s="38" t="str">
        <f t="shared" si="2"/>
        <v>https://github.com/SF-Bancoppel/mx-api-bc-pro-document-services</v>
      </c>
      <c r="T922" s="40"/>
      <c r="U922" s="40"/>
      <c r="V922" s="40"/>
      <c r="W922" s="40"/>
      <c r="X922" s="40"/>
      <c r="Y922" s="40"/>
      <c r="Z922" s="40"/>
      <c r="AA922" s="40"/>
      <c r="AB922" s="40"/>
    </row>
    <row r="923" ht="18.75" customHeight="1">
      <c r="A923" s="18" t="str">
        <f t="array" ref="A923">IFERROR(
  INDEX(
    'api-register-id'!A:A,
    MATCH(F923, 'api-register-id'!B:B, 0)
  ),
  "Not found Organization"
)</f>
        <v>SSFF</v>
      </c>
      <c r="B923" s="22" t="str">
        <f>IFERROR(VLOOKUP(F923, 'api-register-id'!B:F, 4, FALSE), "Not found path.")</f>
        <v>mx-api-bc-pro-document-services</v>
      </c>
      <c r="C923" s="78" t="s">
        <v>41</v>
      </c>
      <c r="D923" s="78" t="s">
        <v>811</v>
      </c>
      <c r="E923" s="24" t="str">
        <f>IFERROR(VLOOKUP(F923, 'api-register-id'!B:F, 5, FALSE), "Not found path.")</f>
        <v>APIMX000084</v>
      </c>
      <c r="F923" s="25" t="s">
        <v>1088</v>
      </c>
      <c r="G923" s="26" t="s">
        <v>5876</v>
      </c>
      <c r="H923" s="22" t="s">
        <v>4504</v>
      </c>
      <c r="I923" s="29" t="str">
        <f>IFERROR(VLOOKUP(F923, 'api-register-id'!B:I, 8, FALSE), "Not found path.")</f>
        <v>1.7.0</v>
      </c>
      <c r="J923" s="3" t="s">
        <v>2950</v>
      </c>
      <c r="K923" s="31" t="s">
        <v>48</v>
      </c>
      <c r="L923" s="78" t="s">
        <v>428</v>
      </c>
      <c r="M923" s="3" t="s">
        <v>5774</v>
      </c>
      <c r="N923" s="3" t="str">
        <f t="shared" si="1"/>
        <v>PATCH /system/documentManagementAndArchive/documentServices/v1/documentService/update</v>
      </c>
      <c r="O923" s="32" t="s">
        <v>5775</v>
      </c>
      <c r="P923" s="32"/>
      <c r="Q923" s="61" t="s">
        <v>5877</v>
      </c>
      <c r="R923" s="31" t="s">
        <v>56</v>
      </c>
      <c r="S923" s="38" t="str">
        <f t="shared" si="2"/>
        <v>https://github.com/SF-Bancoppel/mx-api-bc-pro-document-services</v>
      </c>
      <c r="T923" s="40"/>
      <c r="U923" s="40"/>
      <c r="V923" s="40"/>
      <c r="W923" s="40"/>
      <c r="X923" s="40"/>
      <c r="Y923" s="40"/>
      <c r="Z923" s="40"/>
      <c r="AA923" s="40"/>
      <c r="AB923" s="40"/>
    </row>
    <row r="924" ht="18.75" customHeight="1">
      <c r="A924" s="18" t="str">
        <f t="array" ref="A924">IFERROR(
  INDEX(
    'api-register-id'!A:A,
    MATCH(F924, 'api-register-id'!B:B, 0)
  ),
  "Not found Organization"
)</f>
        <v>SSFF</v>
      </c>
      <c r="B924" s="22" t="str">
        <f>IFERROR(VLOOKUP(F924, 'api-register-id'!B:F, 4, FALSE), "Not found path.")</f>
        <v>mx-api-bc-pro-party-lifecycle-management</v>
      </c>
      <c r="C924" s="78" t="s">
        <v>41</v>
      </c>
      <c r="D924" s="78" t="s">
        <v>811</v>
      </c>
      <c r="E924" s="24" t="str">
        <f>IFERROR(VLOOKUP(F924, 'api-register-id'!B:F, 5, FALSE), "Not found path.")</f>
        <v>APIMX000096</v>
      </c>
      <c r="F924" s="25" t="s">
        <v>1214</v>
      </c>
      <c r="G924" s="26" t="s">
        <v>5878</v>
      </c>
      <c r="H924" s="22" t="s">
        <v>5879</v>
      </c>
      <c r="I924" s="29" t="str">
        <f>IFERROR(VLOOKUP(F924, 'api-register-id'!B:I, 8, FALSE), "Not found path.")</f>
        <v>2.3.2</v>
      </c>
      <c r="J924" s="3" t="s">
        <v>3197</v>
      </c>
      <c r="K924" s="31" t="s">
        <v>48</v>
      </c>
      <c r="L924" s="78" t="s">
        <v>428</v>
      </c>
      <c r="M924" s="3" t="s">
        <v>5779</v>
      </c>
      <c r="N924" s="3" t="str">
        <f t="shared" si="1"/>
        <v>PATCH /system/sales/partyLifecycleManagement/v1/familyProfile/update</v>
      </c>
      <c r="O924" s="32" t="s">
        <v>5880</v>
      </c>
      <c r="P924" s="32"/>
      <c r="Q924" s="61" t="s">
        <v>5881</v>
      </c>
      <c r="R924" s="31" t="s">
        <v>56</v>
      </c>
      <c r="S924" s="38" t="str">
        <f t="shared" si="2"/>
        <v>https://github.com/SF-Bancoppel/mx-api-bc-pro-party-lifecycle-management</v>
      </c>
      <c r="T924" s="40"/>
      <c r="U924" s="40"/>
      <c r="V924" s="40"/>
      <c r="W924" s="40"/>
      <c r="X924" s="40"/>
      <c r="Y924" s="40"/>
      <c r="Z924" s="40"/>
      <c r="AA924" s="40"/>
      <c r="AB924" s="40"/>
    </row>
    <row r="925" ht="18.75" customHeight="1">
      <c r="A925" s="18" t="str">
        <f t="array" ref="A925">IFERROR(
  INDEX(
    'api-register-id'!A:A,
    MATCH(F925, 'api-register-id'!B:B, 0)
  ),
  "Not found Organization"
)</f>
        <v>SSFF</v>
      </c>
      <c r="B925" s="22" t="str">
        <f>IFERROR(VLOOKUP(F925, 'api-register-id'!B:F, 4, FALSE), "Not found path.")</f>
        <v>mx-api-bc-pro-party-lifecycle-management</v>
      </c>
      <c r="C925" s="78" t="s">
        <v>41</v>
      </c>
      <c r="D925" s="78" t="s">
        <v>811</v>
      </c>
      <c r="E925" s="24" t="str">
        <f>IFERROR(VLOOKUP(F925, 'api-register-id'!B:F, 5, FALSE), "Not found path.")</f>
        <v>APIMX000096</v>
      </c>
      <c r="F925" s="25" t="s">
        <v>1214</v>
      </c>
      <c r="G925" s="26" t="s">
        <v>5882</v>
      </c>
      <c r="H925" s="22" t="s">
        <v>4507</v>
      </c>
      <c r="I925" s="29" t="str">
        <f>IFERROR(VLOOKUP(F925, 'api-register-id'!B:I, 8, FALSE), "Not found path.")</f>
        <v>2.3.2</v>
      </c>
      <c r="J925" s="3" t="s">
        <v>3197</v>
      </c>
      <c r="K925" s="31" t="s">
        <v>48</v>
      </c>
      <c r="L925" s="78" t="s">
        <v>49</v>
      </c>
      <c r="M925" s="3" t="s">
        <v>5783</v>
      </c>
      <c r="N925" s="3" t="str">
        <f t="shared" si="1"/>
        <v>POST /system/sales/partyLifecycleManagement/v1/housingUnit/retrieve</v>
      </c>
      <c r="O925" s="32" t="s">
        <v>5784</v>
      </c>
      <c r="P925" s="32"/>
      <c r="Q925" s="61" t="s">
        <v>5883</v>
      </c>
      <c r="R925" s="31" t="s">
        <v>56</v>
      </c>
      <c r="S925" s="38" t="str">
        <f t="shared" si="2"/>
        <v>https://github.com/SF-Bancoppel/mx-api-bc-pro-party-lifecycle-management</v>
      </c>
      <c r="T925" s="40"/>
      <c r="U925" s="40"/>
      <c r="V925" s="40"/>
      <c r="W925" s="40"/>
      <c r="X925" s="40"/>
      <c r="Y925" s="40"/>
      <c r="Z925" s="40"/>
      <c r="AA925" s="40"/>
      <c r="AB925" s="40"/>
    </row>
    <row r="926" ht="18.75" customHeight="1">
      <c r="A926" s="18" t="str">
        <f t="array" ref="A926">IFERROR(
  INDEX(
    'api-register-id'!A:A,
    MATCH(F926, 'api-register-id'!B:B, 0)
  ),
  "Not found Organization"
)</f>
        <v>SSFF</v>
      </c>
      <c r="B926" s="22" t="str">
        <f>IFERROR(VLOOKUP(F926, 'api-register-id'!B:F, 4, FALSE), "Not found path.")</f>
        <v>mx-api-bc-pro-party-reference-data-directory</v>
      </c>
      <c r="C926" s="78" t="s">
        <v>41</v>
      </c>
      <c r="D926" s="78" t="s">
        <v>811</v>
      </c>
      <c r="E926" s="24" t="str">
        <f>IFERROR(VLOOKUP(F926, 'api-register-id'!B:F, 5, FALSE), "Not found path.")</f>
        <v>APIMX000097</v>
      </c>
      <c r="F926" s="25" t="s">
        <v>1222</v>
      </c>
      <c r="G926" s="26" t="s">
        <v>5884</v>
      </c>
      <c r="H926" s="22" t="s">
        <v>5885</v>
      </c>
      <c r="I926" s="29" t="str">
        <f>IFERROR(VLOOKUP(F926, 'api-register-id'!B:I, 8, FALSE), "Not found path.")</f>
        <v>1.8.1</v>
      </c>
      <c r="J926" s="3" t="s">
        <v>3395</v>
      </c>
      <c r="K926" s="31" t="s">
        <v>48</v>
      </c>
      <c r="L926" s="78" t="s">
        <v>61</v>
      </c>
      <c r="M926" s="3" t="s">
        <v>5788</v>
      </c>
      <c r="N926" s="3" t="str">
        <f t="shared" si="1"/>
        <v>PUT /system/customerManagement/partyReferenceDataDirectory/v1/partyReferenceDataDirectoryEntry/update</v>
      </c>
      <c r="O926" s="32" t="s">
        <v>5789</v>
      </c>
      <c r="P926" s="32"/>
      <c r="Q926" s="61" t="s">
        <v>5886</v>
      </c>
      <c r="R926" s="31" t="s">
        <v>56</v>
      </c>
      <c r="S926" s="38" t="str">
        <f t="shared" si="2"/>
        <v>https://github.com/SF-Bancoppel/mx-api-bc-pro-party-reference-data-directory</v>
      </c>
      <c r="T926" s="40"/>
      <c r="U926" s="40"/>
      <c r="V926" s="40"/>
      <c r="W926" s="40"/>
      <c r="X926" s="40"/>
      <c r="Y926" s="40"/>
      <c r="Z926" s="40"/>
      <c r="AA926" s="40"/>
      <c r="AB926" s="40"/>
    </row>
    <row r="927" ht="18.75" customHeight="1">
      <c r="A927" s="18" t="str">
        <f t="array" ref="A927">IFERROR(
  INDEX(
    'api-register-id'!A:A,
    MATCH(F927, 'api-register-id'!B:B, 0)
  ),
  "Not found Organization"
)</f>
        <v>SSFF</v>
      </c>
      <c r="B927" s="22" t="str">
        <f>IFERROR(VLOOKUP(F927, 'api-register-id'!B:F, 4, FALSE), "Not found path.")</f>
        <v>mx-api-cpp-pro-party-retail-reference-data-directory</v>
      </c>
      <c r="C927" s="78" t="s">
        <v>41</v>
      </c>
      <c r="D927" s="78" t="s">
        <v>811</v>
      </c>
      <c r="E927" s="24" t="str">
        <f>IFERROR(VLOOKUP(F927, 'api-register-id'!B:F, 5, FALSE), "Not found path.")</f>
        <v>APIMX000098</v>
      </c>
      <c r="F927" s="25" t="s">
        <v>1234</v>
      </c>
      <c r="G927" s="26" t="s">
        <v>5887</v>
      </c>
      <c r="H927" s="22" t="s">
        <v>5888</v>
      </c>
      <c r="I927" s="29" t="str">
        <f>IFERROR(VLOOKUP(F927, 'api-register-id'!B:I, 8, FALSE), "Not found path.")</f>
        <v>1.1.1</v>
      </c>
      <c r="J927" s="3" t="s">
        <v>4408</v>
      </c>
      <c r="K927" s="31" t="s">
        <v>48</v>
      </c>
      <c r="L927" s="78" t="s">
        <v>49</v>
      </c>
      <c r="M927" s="3" t="s">
        <v>5792</v>
      </c>
      <c r="N927" s="3" t="str">
        <f t="shared" si="1"/>
        <v>POST /system/partyReference/partyRetailReferenceDataDirectory/v1/creditProfile/evaluate</v>
      </c>
      <c r="O927" s="32" t="s">
        <v>5793</v>
      </c>
      <c r="P927" s="32"/>
      <c r="Q927" s="61" t="s">
        <v>5889</v>
      </c>
      <c r="R927" s="31" t="s">
        <v>56</v>
      </c>
      <c r="S927" s="38" t="str">
        <f t="shared" si="2"/>
        <v>https://github.com/SF-Bancoppel/mx-api-cpp-pro-party-retail-reference-data-directory</v>
      </c>
      <c r="T927" s="40"/>
      <c r="U927" s="40"/>
      <c r="V927" s="40"/>
      <c r="W927" s="40"/>
      <c r="X927" s="40"/>
      <c r="Y927" s="40"/>
      <c r="Z927" s="40"/>
      <c r="AA927" s="40"/>
      <c r="AB927" s="40"/>
    </row>
    <row r="928" ht="18.75" customHeight="1">
      <c r="A928" s="18" t="str">
        <f t="array" ref="A928">IFERROR(
  INDEX(
    'api-register-id'!A:A,
    MATCH(F928, 'api-register-id'!B:B, 0)
  ),
  "Not found Organization"
)</f>
        <v>SSFF</v>
      </c>
      <c r="B928" s="22" t="str">
        <f>IFERROR(VLOOKUP(F928, 'api-register-id'!B:F, 4, FALSE), "Not found path.")</f>
        <v>mx-api-bc-pro-position-keeping</v>
      </c>
      <c r="C928" s="78" t="s">
        <v>41</v>
      </c>
      <c r="D928" s="78" t="s">
        <v>811</v>
      </c>
      <c r="E928" s="24" t="str">
        <f>IFERROR(VLOOKUP(F928, 'api-register-id'!B:F, 5, FALSE), "Not found path.")</f>
        <v>APIMX000103</v>
      </c>
      <c r="F928" s="25" t="s">
        <v>1290</v>
      </c>
      <c r="G928" s="26" t="s">
        <v>5890</v>
      </c>
      <c r="H928" s="22" t="s">
        <v>5891</v>
      </c>
      <c r="I928" s="29" t="str">
        <f>IFERROR(VLOOKUP(F928, 'api-register-id'!B:I, 8, FALSE), "Not found path.")</f>
        <v>1.1.0</v>
      </c>
      <c r="J928" s="3" t="s">
        <v>3565</v>
      </c>
      <c r="K928" s="31" t="s">
        <v>48</v>
      </c>
      <c r="L928" s="78" t="s">
        <v>49</v>
      </c>
      <c r="M928" s="3" t="s">
        <v>5797</v>
      </c>
      <c r="N928" s="3" t="str">
        <f t="shared" si="1"/>
        <v>POST /system/accountManagement/positionKeeping/v1/customerPositionReport/retrieve</v>
      </c>
      <c r="O928" s="32" t="s">
        <v>5798</v>
      </c>
      <c r="P928" s="32"/>
      <c r="Q928" s="61" t="s">
        <v>5892</v>
      </c>
      <c r="R928" s="31" t="s">
        <v>56</v>
      </c>
      <c r="S928" s="38" t="str">
        <f t="shared" si="2"/>
        <v>https://github.com/SF-Bancoppel/mx-api-bc-pro-position-keeping</v>
      </c>
      <c r="T928" s="40"/>
      <c r="U928" s="40"/>
      <c r="V928" s="40"/>
      <c r="W928" s="40"/>
      <c r="X928" s="40"/>
      <c r="Y928" s="40"/>
      <c r="Z928" s="40"/>
      <c r="AA928" s="40"/>
      <c r="AB928" s="40"/>
    </row>
    <row r="929" ht="18.75" customHeight="1">
      <c r="A929" s="18" t="str">
        <f t="array" ref="A929">IFERROR(
  INDEX(
    'api-register-id'!A:A,
    MATCH(F929, 'api-register-id'!B:B, 0)
  ),
  "Not found Organization"
)</f>
        <v>SSFF</v>
      </c>
      <c r="B929" s="22" t="str">
        <f>IFERROR(VLOOKUP(F929, 'api-register-id'!B:F, 4, FALSE), "Not found path.")</f>
        <v>mx-api-bc-pro-utility</v>
      </c>
      <c r="C929" s="78" t="s">
        <v>41</v>
      </c>
      <c r="D929" s="78" t="s">
        <v>811</v>
      </c>
      <c r="E929" s="24" t="str">
        <f>IFERROR(VLOOKUP(F929, 'api-register-id'!B:F, 5, FALSE), "Not found path.")</f>
        <v>APIMX000114</v>
      </c>
      <c r="F929" s="25" t="s">
        <v>1404</v>
      </c>
      <c r="G929" s="26" t="s">
        <v>5893</v>
      </c>
      <c r="H929" s="22" t="s">
        <v>5894</v>
      </c>
      <c r="I929" s="29" t="str">
        <f>IFERROR(VLOOKUP(F929, 'api-register-id'!B:I, 8, FALSE), "Not found path.")</f>
        <v>1.2.0</v>
      </c>
      <c r="J929" s="3" t="s">
        <v>4600</v>
      </c>
      <c r="K929" s="31" t="s">
        <v>48</v>
      </c>
      <c r="L929" s="78" t="s">
        <v>49</v>
      </c>
      <c r="M929" s="3" t="s">
        <v>5802</v>
      </c>
      <c r="N929" s="3" t="str">
        <f t="shared" si="1"/>
        <v>POST /system/utility/utility/v1/checkPoint/retrieve</v>
      </c>
      <c r="O929" s="32" t="s">
        <v>5895</v>
      </c>
      <c r="P929" s="32"/>
      <c r="Q929" s="61" t="s">
        <v>5896</v>
      </c>
      <c r="R929" s="31" t="s">
        <v>56</v>
      </c>
      <c r="S929" s="38" t="str">
        <f t="shared" si="2"/>
        <v>https://github.com/SF-Bancoppel/mx-api-bc-pro-utility</v>
      </c>
      <c r="T929" s="40"/>
      <c r="U929" s="40"/>
      <c r="V929" s="40"/>
      <c r="W929" s="40"/>
      <c r="X929" s="40"/>
      <c r="Y929" s="40"/>
      <c r="Z929" s="40"/>
      <c r="AA929" s="40"/>
      <c r="AB929" s="40"/>
    </row>
    <row r="930" ht="18.75" customHeight="1">
      <c r="A930" s="18" t="str">
        <f t="array" ref="A930">IFERROR(
  INDEX(
    'api-register-id'!A:A,
    MATCH(F930, 'api-register-id'!B:B, 0)
  ),
  "Not found Organization"
)</f>
        <v>SSFF</v>
      </c>
      <c r="B930" s="22" t="str">
        <f>IFERROR(VLOOKUP(F930, 'api-register-id'!B:F, 4, FALSE), "Not found path.")</f>
        <v>mx-api-bc-pro-utility</v>
      </c>
      <c r="C930" s="78" t="s">
        <v>41</v>
      </c>
      <c r="D930" s="78" t="s">
        <v>811</v>
      </c>
      <c r="E930" s="24" t="str">
        <f>IFERROR(VLOOKUP(F930, 'api-register-id'!B:F, 5, FALSE), "Not found path.")</f>
        <v>APIMX000114</v>
      </c>
      <c r="F930" s="25" t="s">
        <v>1404</v>
      </c>
      <c r="G930" s="26" t="s">
        <v>5897</v>
      </c>
      <c r="H930" s="22" t="s">
        <v>5898</v>
      </c>
      <c r="I930" s="29" t="str">
        <f>IFERROR(VLOOKUP(F930, 'api-register-id'!B:I, 8, FALSE), "Not found path.")</f>
        <v>1.2.0</v>
      </c>
      <c r="J930" s="3" t="s">
        <v>4600</v>
      </c>
      <c r="K930" s="31" t="s">
        <v>48</v>
      </c>
      <c r="L930" s="78" t="s">
        <v>428</v>
      </c>
      <c r="M930" s="3" t="s">
        <v>5807</v>
      </c>
      <c r="N930" s="3" t="str">
        <f t="shared" si="1"/>
        <v>PATCH /system/utility/utility/v1/checkPoint/update</v>
      </c>
      <c r="O930" s="32" t="s">
        <v>5899</v>
      </c>
      <c r="P930" s="32"/>
      <c r="Q930" s="61" t="s">
        <v>5900</v>
      </c>
      <c r="R930" s="31" t="s">
        <v>56</v>
      </c>
      <c r="S930" s="38" t="str">
        <f t="shared" si="2"/>
        <v>https://github.com/SF-Bancoppel/mx-api-bc-pro-utility</v>
      </c>
      <c r="T930" s="40"/>
      <c r="U930" s="40"/>
      <c r="V930" s="40"/>
      <c r="W930" s="40"/>
      <c r="X930" s="40"/>
      <c r="Y930" s="40"/>
      <c r="Z930" s="40"/>
      <c r="AA930" s="40"/>
      <c r="AB930" s="40"/>
    </row>
    <row r="931" ht="18.75" customHeight="1">
      <c r="A931" s="18" t="str">
        <f t="array" ref="A931">IFERROR(
  INDEX(
    'api-register-id'!A:A,
    MATCH(F931, 'api-register-id'!B:B, 0)
  ),
  "Not found Organization"
)</f>
        <v>SSFF</v>
      </c>
      <c r="B931" s="22" t="str">
        <f>IFERROR(VLOOKUP(F931, 'api-register-id'!B:F, 4, FALSE), "Not found path.")</f>
        <v>mx-api-bc-pro-utility</v>
      </c>
      <c r="C931" s="78" t="s">
        <v>41</v>
      </c>
      <c r="D931" s="78" t="s">
        <v>811</v>
      </c>
      <c r="E931" s="24" t="str">
        <f>IFERROR(VLOOKUP(F931, 'api-register-id'!B:F, 5, FALSE), "Not found path.")</f>
        <v>APIMX000114</v>
      </c>
      <c r="F931" s="25" t="s">
        <v>1404</v>
      </c>
      <c r="G931" s="26" t="s">
        <v>5901</v>
      </c>
      <c r="H931" s="22" t="s">
        <v>5902</v>
      </c>
      <c r="I931" s="29" t="str">
        <f>IFERROR(VLOOKUP(F931, 'api-register-id'!B:I, 8, FALSE), "Not found path.")</f>
        <v>1.2.0</v>
      </c>
      <c r="J931" s="3" t="s">
        <v>4600</v>
      </c>
      <c r="K931" s="31" t="s">
        <v>48</v>
      </c>
      <c r="L931" s="78" t="s">
        <v>49</v>
      </c>
      <c r="M931" s="3" t="s">
        <v>5811</v>
      </c>
      <c r="N931" s="3" t="str">
        <f t="shared" si="1"/>
        <v>POST /system/utility/utility/v1/checkPoint/initiate</v>
      </c>
      <c r="O931" s="32" t="s">
        <v>5903</v>
      </c>
      <c r="P931" s="32"/>
      <c r="Q931" s="61" t="s">
        <v>5904</v>
      </c>
      <c r="R931" s="31" t="s">
        <v>56</v>
      </c>
      <c r="S931" s="38" t="str">
        <f t="shared" si="2"/>
        <v>https://github.com/SF-Bancoppel/mx-api-bc-pro-utility</v>
      </c>
      <c r="T931" s="40"/>
      <c r="U931" s="40"/>
      <c r="V931" s="40"/>
      <c r="W931" s="40"/>
      <c r="X931" s="40"/>
      <c r="Y931" s="40"/>
      <c r="Z931" s="40"/>
      <c r="AA931" s="40"/>
      <c r="AB931" s="40"/>
    </row>
    <row r="932" ht="18.75" customHeight="1">
      <c r="A932" s="18" t="str">
        <f t="array" ref="A932">IFERROR(
  INDEX(
    'api-register-id'!A:A,
    MATCH(F932, 'api-register-id'!B:B, 0)
  ),
  "Not found Organization"
)</f>
        <v>SSFF</v>
      </c>
      <c r="B932" s="22" t="str">
        <f>IFERROR(VLOOKUP(F932, 'api-register-id'!B:F, 4, FALSE), "Not found path.")</f>
        <v>mx-api-bc-rec-credit-card</v>
      </c>
      <c r="C932" s="23" t="s">
        <v>112</v>
      </c>
      <c r="D932" s="78" t="s">
        <v>1417</v>
      </c>
      <c r="E932" s="24" t="str">
        <f>IFERROR(VLOOKUP(F932, 'api-register-id'!B:F, 5, FALSE), "Not found path.")</f>
        <v>APIMX000120</v>
      </c>
      <c r="F932" s="25" t="s">
        <v>1471</v>
      </c>
      <c r="G932" s="26" t="s">
        <v>5905</v>
      </c>
      <c r="H932" s="22" t="s">
        <v>4355</v>
      </c>
      <c r="I932" s="29" t="str">
        <f>IFERROR(VLOOKUP(F932, 'api-register-id'!B:I, 8, FALSE), "Not found path.")</f>
        <v>1.14.0</v>
      </c>
      <c r="J932" s="3" t="s">
        <v>3959</v>
      </c>
      <c r="K932" s="31" t="s">
        <v>48</v>
      </c>
      <c r="L932" s="78" t="s">
        <v>49</v>
      </c>
      <c r="M932" s="3" t="s">
        <v>4298</v>
      </c>
      <c r="N932" s="3" t="str">
        <f t="shared" si="1"/>
        <v>POST /experience/cards/creditCard/v1/reporting/retrieve</v>
      </c>
      <c r="O932" s="32" t="s">
        <v>4301</v>
      </c>
      <c r="P932" s="32"/>
      <c r="Q932" s="61" t="s">
        <v>98</v>
      </c>
      <c r="R932" s="31" t="s">
        <v>56</v>
      </c>
      <c r="S932" s="38" t="str">
        <f t="shared" si="2"/>
        <v>https://github.com/SF-Bancoppel/mx-api-bc-rec-credit-card</v>
      </c>
      <c r="T932" s="40"/>
      <c r="U932" s="40"/>
      <c r="V932" s="40"/>
      <c r="W932" s="40"/>
      <c r="X932" s="40"/>
      <c r="Y932" s="40"/>
      <c r="Z932" s="40"/>
      <c r="AA932" s="40"/>
      <c r="AB932" s="40"/>
    </row>
    <row r="933" ht="18.75" customHeight="1">
      <c r="A933" s="18" t="str">
        <f t="array" ref="A933">IFERROR(
  INDEX(
    'api-register-id'!A:A,
    MATCH(F933, 'api-register-id'!B:B, 0)
  ),
  "Not found Organization"
)</f>
        <v>SSFF</v>
      </c>
      <c r="B933" s="22" t="str">
        <f>IFERROR(VLOOKUP(F933, 'api-register-id'!B:F, 4, FALSE), "Not found path.")</f>
        <v>mx-api-bc-rec-credit-card</v>
      </c>
      <c r="C933" s="23" t="s">
        <v>112</v>
      </c>
      <c r="D933" s="78" t="s">
        <v>1417</v>
      </c>
      <c r="E933" s="24" t="str">
        <f>IFERROR(VLOOKUP(F933, 'api-register-id'!B:F, 5, FALSE), "Not found path.")</f>
        <v>APIMX000120</v>
      </c>
      <c r="F933" s="25" t="s">
        <v>1471</v>
      </c>
      <c r="G933" s="26" t="s">
        <v>5906</v>
      </c>
      <c r="H933" s="22" t="s">
        <v>4429</v>
      </c>
      <c r="I933" s="29" t="str">
        <f>IFERROR(VLOOKUP(F933, 'api-register-id'!B:I, 8, FALSE), "Not found path.")</f>
        <v>1.14.0</v>
      </c>
      <c r="J933" s="3" t="s">
        <v>3959</v>
      </c>
      <c r="K933" s="31" t="s">
        <v>48</v>
      </c>
      <c r="L933" s="78" t="s">
        <v>49</v>
      </c>
      <c r="M933" s="3" t="s">
        <v>4430</v>
      </c>
      <c r="N933" s="3" t="str">
        <f t="shared" si="1"/>
        <v>POST /experience/cards/creditCard/v1/repayment/retrieve</v>
      </c>
      <c r="O933" s="32" t="s">
        <v>4432</v>
      </c>
      <c r="P933" s="32"/>
      <c r="Q933" s="61" t="s">
        <v>98</v>
      </c>
      <c r="R933" s="31" t="s">
        <v>56</v>
      </c>
      <c r="S933" s="38" t="str">
        <f t="shared" si="2"/>
        <v>https://github.com/SF-Bancoppel/mx-api-bc-rec-credit-card</v>
      </c>
      <c r="T933" s="40"/>
      <c r="U933" s="40"/>
      <c r="V933" s="40"/>
      <c r="W933" s="40"/>
      <c r="X933" s="40"/>
      <c r="Y933" s="40"/>
      <c r="Z933" s="40"/>
      <c r="AA933" s="40"/>
      <c r="AB933" s="40"/>
    </row>
    <row r="934" ht="18.75" customHeight="1">
      <c r="A934" s="18" t="str">
        <f t="array" ref="A934">IFERROR(
  INDEX(
    'api-register-id'!A:A,
    MATCH(F934, 'api-register-id'!B:B, 0)
  ),
  "Not found Organization"
)</f>
        <v>SSFF</v>
      </c>
      <c r="B934" s="22" t="str">
        <f>IFERROR(VLOOKUP(F934, 'api-register-id'!B:F, 4, FALSE), "Not found path.")</f>
        <v>mx-api-bc-rec-document-services</v>
      </c>
      <c r="C934" s="23" t="s">
        <v>112</v>
      </c>
      <c r="D934" s="78" t="s">
        <v>1417</v>
      </c>
      <c r="E934" s="24" t="str">
        <f>IFERROR(VLOOKUP(F934, 'api-register-id'!B:F, 5, FALSE), "Not found path.")</f>
        <v>APIMX000132</v>
      </c>
      <c r="F934" s="25" t="s">
        <v>1596</v>
      </c>
      <c r="G934" s="26" t="s">
        <v>5907</v>
      </c>
      <c r="H934" s="22" t="s">
        <v>4508</v>
      </c>
      <c r="I934" s="29" t="str">
        <f>IFERROR(VLOOKUP(F934, 'api-register-id'!B:I, 8, FALSE), "Not found path.")</f>
        <v>1.4.1</v>
      </c>
      <c r="J934" s="3" t="s">
        <v>3841</v>
      </c>
      <c r="K934" s="31" t="s">
        <v>48</v>
      </c>
      <c r="L934" s="78" t="s">
        <v>49</v>
      </c>
      <c r="M934" s="3" t="s">
        <v>5766</v>
      </c>
      <c r="N934" s="3" t="str">
        <f t="shared" si="1"/>
        <v>POST /experience/documentManagementAndArchive/documentServices/v1/documentService/retrieve</v>
      </c>
      <c r="O934" s="32" t="s">
        <v>5767</v>
      </c>
      <c r="P934" s="32"/>
      <c r="Q934" s="61" t="s">
        <v>5908</v>
      </c>
      <c r="R934" s="31" t="s">
        <v>56</v>
      </c>
      <c r="S934" s="38" t="str">
        <f t="shared" si="2"/>
        <v>https://github.com/SF-Bancoppel/mx-api-bc-rec-document-services</v>
      </c>
      <c r="T934" s="40"/>
      <c r="U934" s="40"/>
      <c r="V934" s="40"/>
      <c r="W934" s="40"/>
      <c r="X934" s="40"/>
      <c r="Y934" s="40"/>
      <c r="Z934" s="40"/>
      <c r="AA934" s="40"/>
      <c r="AB934" s="40"/>
    </row>
    <row r="935" ht="18.75" customHeight="1">
      <c r="A935" s="18" t="str">
        <f t="array" ref="A935">IFERROR(
  INDEX(
    'api-register-id'!A:A,
    MATCH(F935, 'api-register-id'!B:B, 0)
  ),
  "Not found Organization"
)</f>
        <v>SSFF</v>
      </c>
      <c r="B935" s="22" t="str">
        <f>IFERROR(VLOOKUP(F935, 'api-register-id'!B:F, 4, FALSE), "Not found path.")</f>
        <v>mx-api-bc-rec-document-services</v>
      </c>
      <c r="C935" s="23" t="s">
        <v>112</v>
      </c>
      <c r="D935" s="78" t="s">
        <v>1417</v>
      </c>
      <c r="E935" s="24" t="str">
        <f>IFERROR(VLOOKUP(F935, 'api-register-id'!B:F, 5, FALSE), "Not found path.")</f>
        <v>APIMX000132</v>
      </c>
      <c r="F935" s="25" t="s">
        <v>1596</v>
      </c>
      <c r="G935" s="26" t="s">
        <v>5909</v>
      </c>
      <c r="H935" s="22" t="s">
        <v>4509</v>
      </c>
      <c r="I935" s="29" t="str">
        <f>IFERROR(VLOOKUP(F935, 'api-register-id'!B:I, 8, FALSE), "Not found path.")</f>
        <v>1.4.1</v>
      </c>
      <c r="J935" s="3" t="s">
        <v>3841</v>
      </c>
      <c r="K935" s="31" t="s">
        <v>48</v>
      </c>
      <c r="L935" s="78" t="s">
        <v>49</v>
      </c>
      <c r="M935" s="3" t="s">
        <v>5770</v>
      </c>
      <c r="N935" s="3" t="str">
        <f t="shared" si="1"/>
        <v>POST /experience/documentManagementAndArchive/documentServices/v1/documentService/initiate</v>
      </c>
      <c r="O935" s="32" t="s">
        <v>5771</v>
      </c>
      <c r="P935" s="32"/>
      <c r="Q935" s="61" t="s">
        <v>5910</v>
      </c>
      <c r="R935" s="31" t="s">
        <v>56</v>
      </c>
      <c r="S935" s="38" t="str">
        <f t="shared" si="2"/>
        <v>https://github.com/SF-Bancoppel/mx-api-bc-rec-document-services</v>
      </c>
      <c r="T935" s="40"/>
      <c r="U935" s="40"/>
      <c r="V935" s="40"/>
      <c r="W935" s="40"/>
      <c r="X935" s="40"/>
      <c r="Y935" s="40"/>
      <c r="Z935" s="40"/>
      <c r="AA935" s="40"/>
      <c r="AB935" s="40"/>
    </row>
    <row r="936" ht="18.75" customHeight="1">
      <c r="A936" s="18" t="str">
        <f t="array" ref="A936">IFERROR(
  INDEX(
    'api-register-id'!A:A,
    MATCH(F936, 'api-register-id'!B:B, 0)
  ),
  "Not found Organization"
)</f>
        <v>SSFF</v>
      </c>
      <c r="B936" s="22" t="str">
        <f>IFERROR(VLOOKUP(F936, 'api-register-id'!B:F, 4, FALSE), "Not found path.")</f>
        <v>mx-api-bc-rec-document-services</v>
      </c>
      <c r="C936" s="23" t="s">
        <v>112</v>
      </c>
      <c r="D936" s="78" t="s">
        <v>1417</v>
      </c>
      <c r="E936" s="24" t="str">
        <f>IFERROR(VLOOKUP(F936, 'api-register-id'!B:F, 5, FALSE), "Not found path.")</f>
        <v>APIMX000132</v>
      </c>
      <c r="F936" s="25" t="s">
        <v>1596</v>
      </c>
      <c r="G936" s="26" t="s">
        <v>5911</v>
      </c>
      <c r="H936" s="22" t="s">
        <v>4510</v>
      </c>
      <c r="I936" s="29" t="str">
        <f>IFERROR(VLOOKUP(F936, 'api-register-id'!B:I, 8, FALSE), "Not found path.")</f>
        <v>1.4.1</v>
      </c>
      <c r="J936" s="3" t="s">
        <v>3841</v>
      </c>
      <c r="K936" s="31" t="s">
        <v>48</v>
      </c>
      <c r="L936" s="78" t="s">
        <v>428</v>
      </c>
      <c r="M936" s="3" t="s">
        <v>5774</v>
      </c>
      <c r="N936" s="3" t="str">
        <f t="shared" si="1"/>
        <v>PATCH /experience/documentManagementAndArchive/documentServices/v1/documentService/update</v>
      </c>
      <c r="O936" s="32" t="s">
        <v>5775</v>
      </c>
      <c r="P936" s="32"/>
      <c r="Q936" s="61" t="s">
        <v>5912</v>
      </c>
      <c r="R936" s="31" t="s">
        <v>56</v>
      </c>
      <c r="S936" s="38" t="str">
        <f t="shared" si="2"/>
        <v>https://github.com/SF-Bancoppel/mx-api-bc-rec-document-services</v>
      </c>
      <c r="T936" s="40"/>
      <c r="U936" s="40"/>
      <c r="V936" s="40"/>
      <c r="W936" s="40"/>
      <c r="X936" s="40"/>
      <c r="Y936" s="40"/>
      <c r="Z936" s="40"/>
      <c r="AA936" s="40"/>
      <c r="AB936" s="40"/>
    </row>
    <row r="937" ht="18.75" customHeight="1">
      <c r="A937" s="18" t="str">
        <f t="array" ref="A937">IFERROR(
  INDEX(
    'api-register-id'!A:A,
    MATCH(F937, 'api-register-id'!B:B, 0)
  ),
  "Not found Organization"
)</f>
        <v>SSFF</v>
      </c>
      <c r="B937" s="22" t="str">
        <f>IFERROR(VLOOKUP(F937, 'api-register-id'!B:F, 4, FALSE), "Not found path.")</f>
        <v>mx-api-bc-rec-issued-device-administration</v>
      </c>
      <c r="C937" s="23" t="s">
        <v>112</v>
      </c>
      <c r="D937" s="78" t="s">
        <v>1417</v>
      </c>
      <c r="E937" s="24" t="str">
        <f>IFERROR(VLOOKUP(F937, 'api-register-id'!B:F, 5, FALSE), "Not found path.")</f>
        <v>APIMX000133</v>
      </c>
      <c r="F937" s="25" t="s">
        <v>1604</v>
      </c>
      <c r="G937" s="26" t="s">
        <v>5913</v>
      </c>
      <c r="H937" s="22" t="s">
        <v>4433</v>
      </c>
      <c r="I937" s="29" t="str">
        <f>IFERROR(VLOOKUP(F937, 'api-register-id'!B:I, 8, FALSE), "Not found path.")</f>
        <v>1.2.1</v>
      </c>
      <c r="J937" s="3" t="s">
        <v>3849</v>
      </c>
      <c r="K937" s="31" t="s">
        <v>48</v>
      </c>
      <c r="L937" s="78" t="s">
        <v>49</v>
      </c>
      <c r="M937" s="3" t="s">
        <v>4435</v>
      </c>
      <c r="N937" s="3" t="str">
        <f t="shared" si="1"/>
        <v>POST /experience/operationalServices/issuedDeviceAdministration/v1/reporting/register</v>
      </c>
      <c r="O937" s="32" t="s">
        <v>4437</v>
      </c>
      <c r="P937" s="32"/>
      <c r="Q937" s="61" t="s">
        <v>98</v>
      </c>
      <c r="R937" s="31" t="s">
        <v>56</v>
      </c>
      <c r="S937" s="38" t="str">
        <f t="shared" si="2"/>
        <v>https://github.com/SF-Bancoppel/mx-api-bc-rec-issued-device-administration</v>
      </c>
      <c r="T937" s="40"/>
      <c r="U937" s="40"/>
      <c r="V937" s="40"/>
      <c r="W937" s="40"/>
      <c r="X937" s="40"/>
      <c r="Y937" s="40"/>
      <c r="Z937" s="40"/>
      <c r="AA937" s="40"/>
      <c r="AB937" s="40"/>
    </row>
    <row r="938" ht="18.75" customHeight="1">
      <c r="A938" s="18" t="str">
        <f t="array" ref="A938">IFERROR(
  INDEX(
    'api-register-id'!A:A,
    MATCH(F938, 'api-register-id'!B:B, 0)
  ),
  "Not found Organization"
)</f>
        <v>SSFF</v>
      </c>
      <c r="B938" s="22" t="str">
        <f>IFERROR(VLOOKUP(F938, 'api-register-id'!B:F, 4, FALSE), "Not found path.")</f>
        <v>mx-api-bc-rec-issued-device-administration</v>
      </c>
      <c r="C938" s="23" t="s">
        <v>112</v>
      </c>
      <c r="D938" s="78" t="s">
        <v>1417</v>
      </c>
      <c r="E938" s="24" t="str">
        <f>IFERROR(VLOOKUP(F938, 'api-register-id'!B:F, 5, FALSE), "Not found path.")</f>
        <v>APIMX000133</v>
      </c>
      <c r="F938" s="25" t="s">
        <v>1604</v>
      </c>
      <c r="G938" s="26" t="s">
        <v>5914</v>
      </c>
      <c r="H938" s="22" t="s">
        <v>5915</v>
      </c>
      <c r="I938" s="29" t="str">
        <f>IFERROR(VLOOKUP(F938, 'api-register-id'!B:I, 8, FALSE), "Not found path.")</f>
        <v>1.2.1</v>
      </c>
      <c r="J938" s="3" t="s">
        <v>3849</v>
      </c>
      <c r="K938" s="31" t="s">
        <v>48</v>
      </c>
      <c r="L938" s="78" t="s">
        <v>49</v>
      </c>
      <c r="M938" s="3" t="s">
        <v>4439</v>
      </c>
      <c r="N938" s="3" t="str">
        <f t="shared" si="1"/>
        <v>POST /experience/operationalServices/issuedDeviceAdministration/v1/issuedDeviceAllocation/register</v>
      </c>
      <c r="O938" s="32" t="s">
        <v>4441</v>
      </c>
      <c r="P938" s="32"/>
      <c r="Q938" s="61" t="s">
        <v>98</v>
      </c>
      <c r="R938" s="31" t="s">
        <v>56</v>
      </c>
      <c r="S938" s="38" t="str">
        <f t="shared" si="2"/>
        <v>https://github.com/SF-Bancoppel/mx-api-bc-rec-issued-device-administration</v>
      </c>
      <c r="T938" s="40"/>
      <c r="U938" s="40"/>
      <c r="V938" s="40"/>
      <c r="W938" s="40"/>
      <c r="X938" s="40"/>
      <c r="Y938" s="40"/>
      <c r="Z938" s="40"/>
      <c r="AA938" s="40"/>
      <c r="AB938" s="40"/>
    </row>
    <row r="939" ht="18.75" customHeight="1">
      <c r="A939" s="18" t="str">
        <f t="array" ref="A939">IFERROR(
  INDEX(
    'api-register-id'!A:A,
    MATCH(F939, 'api-register-id'!B:B, 0)
  ),
  "Not found Organization"
)</f>
        <v>SSFF</v>
      </c>
      <c r="B939" s="22" t="str">
        <f>IFERROR(VLOOKUP(F939, 'api-register-id'!B:F, 4, FALSE), "Not found path.")</f>
        <v>mx-api-bc-rec-party-authentication</v>
      </c>
      <c r="C939" s="23" t="s">
        <v>112</v>
      </c>
      <c r="D939" s="78" t="s">
        <v>1417</v>
      </c>
      <c r="E939" s="24" t="str">
        <f>IFERROR(VLOOKUP(F939, 'api-register-id'!B:F, 5, FALSE), "Not found path.")</f>
        <v>APIMX000138</v>
      </c>
      <c r="F939" s="25" t="s">
        <v>1658</v>
      </c>
      <c r="G939" s="26" t="s">
        <v>5916</v>
      </c>
      <c r="H939" s="22" t="s">
        <v>4442</v>
      </c>
      <c r="I939" s="29" t="str">
        <f>IFERROR(VLOOKUP(F939, 'api-register-id'!B:I, 8, FALSE), "Not found path.")</f>
        <v>1.1.0</v>
      </c>
      <c r="J939" s="3" t="s">
        <v>4443</v>
      </c>
      <c r="K939" s="31" t="s">
        <v>48</v>
      </c>
      <c r="L939" s="78" t="s">
        <v>49</v>
      </c>
      <c r="M939" s="3" t="s">
        <v>4444</v>
      </c>
      <c r="N939" s="3" t="str">
        <f t="shared" si="1"/>
        <v>POST /experience/crossChannel/partyAuthentication/v1/token/evaluate</v>
      </c>
      <c r="O939" s="32" t="s">
        <v>4446</v>
      </c>
      <c r="P939" s="32"/>
      <c r="Q939" s="61" t="s">
        <v>98</v>
      </c>
      <c r="R939" s="31" t="s">
        <v>56</v>
      </c>
      <c r="S939" s="38" t="str">
        <f t="shared" si="2"/>
        <v>https://github.com/SF-Bancoppel/mx-api-bc-rec-party-authentication</v>
      </c>
      <c r="T939" s="40"/>
      <c r="U939" s="40"/>
      <c r="V939" s="40"/>
      <c r="W939" s="40"/>
      <c r="X939" s="40"/>
      <c r="Y939" s="40"/>
      <c r="Z939" s="40"/>
      <c r="AA939" s="40"/>
      <c r="AB939" s="40"/>
    </row>
    <row r="940" ht="18.75" customHeight="1">
      <c r="A940" s="18" t="str">
        <f t="array" ref="A940">IFERROR(
  INDEX(
    'api-register-id'!A:A,
    MATCH(F940, 'api-register-id'!B:B, 0)
  ),
  "Not found Organization"
)</f>
        <v>SSFF</v>
      </c>
      <c r="B940" s="22" t="str">
        <f>IFERROR(VLOOKUP(F940, 'api-register-id'!B:F, 4, FALSE), "Not found path.")</f>
        <v>mx-api-bc-rec-party-lifecycle-management</v>
      </c>
      <c r="C940" s="23" t="s">
        <v>112</v>
      </c>
      <c r="D940" s="78" t="s">
        <v>1417</v>
      </c>
      <c r="E940" s="24" t="str">
        <f>IFERROR(VLOOKUP(F940, 'api-register-id'!B:F, 5, FALSE), "Not found path.")</f>
        <v>APIMX000139</v>
      </c>
      <c r="F940" s="25" t="s">
        <v>1667</v>
      </c>
      <c r="G940" s="26" t="s">
        <v>5917</v>
      </c>
      <c r="H940" s="22" t="s">
        <v>4515</v>
      </c>
      <c r="I940" s="29" t="str">
        <f>IFERROR(VLOOKUP(F940, 'api-register-id'!B:I, 8, FALSE), "Not found path.")</f>
        <v>2.1.1</v>
      </c>
      <c r="J940" s="3" t="s">
        <v>4543</v>
      </c>
      <c r="K940" s="31" t="s">
        <v>48</v>
      </c>
      <c r="L940" s="78" t="s">
        <v>49</v>
      </c>
      <c r="M940" s="3" t="s">
        <v>5783</v>
      </c>
      <c r="N940" s="3" t="str">
        <f t="shared" si="1"/>
        <v>POST /experience/sales/partyLifecycleManagement/v1/housingUnit/retrieve</v>
      </c>
      <c r="O940" s="32" t="s">
        <v>5784</v>
      </c>
      <c r="P940" s="32"/>
      <c r="Q940" s="61" t="s">
        <v>5918</v>
      </c>
      <c r="R940" s="31" t="s">
        <v>56</v>
      </c>
      <c r="S940" s="38" t="str">
        <f t="shared" si="2"/>
        <v>https://github.com/SF-Bancoppel/mx-api-bc-rec-party-lifecycle-management</v>
      </c>
      <c r="T940" s="40"/>
      <c r="U940" s="40"/>
      <c r="V940" s="40"/>
      <c r="W940" s="40"/>
      <c r="X940" s="40"/>
      <c r="Y940" s="40"/>
      <c r="Z940" s="40"/>
      <c r="AA940" s="40"/>
      <c r="AB940" s="40"/>
    </row>
    <row r="941" ht="18.75" customHeight="1">
      <c r="A941" s="18" t="str">
        <f t="array" ref="A941">IFERROR(
  INDEX(
    'api-register-id'!A:A,
    MATCH(F941, 'api-register-id'!B:B, 0)
  ),
  "Not found Organization"
)</f>
        <v>SSFF</v>
      </c>
      <c r="B941" s="22" t="str">
        <f>IFERROR(VLOOKUP(F941, 'api-register-id'!B:F, 4, FALSE), "Not found path.")</f>
        <v>mx-api-bc-rec-sales-and-service</v>
      </c>
      <c r="C941" s="23" t="s">
        <v>112</v>
      </c>
      <c r="D941" s="78" t="s">
        <v>1417</v>
      </c>
      <c r="E941" s="24" t="str">
        <f>IFERROR(VLOOKUP(F941, 'api-register-id'!B:F, 5, FALSE), "Not found path.")</f>
        <v>APIMX000148</v>
      </c>
      <c r="F941" s="25" t="s">
        <v>1764</v>
      </c>
      <c r="G941" s="26" t="s">
        <v>5919</v>
      </c>
      <c r="H941" s="22" t="s">
        <v>4918</v>
      </c>
      <c r="I941" s="29" t="str">
        <f>IFERROR(VLOOKUP(F941, 'api-register-id'!B:I, 8, FALSE), "Not found path.")</f>
        <v>1.13.0</v>
      </c>
      <c r="J941" s="3" t="s">
        <v>4891</v>
      </c>
      <c r="K941" s="31" t="s">
        <v>48</v>
      </c>
      <c r="L941" s="78" t="s">
        <v>428</v>
      </c>
      <c r="M941" s="3" t="s">
        <v>5679</v>
      </c>
      <c r="N941" s="3" t="str">
        <f t="shared" si="1"/>
        <v>PATCH /experience/salesAndService/v1/onBoardingPartyLocation/update</v>
      </c>
      <c r="O941" s="32" t="s">
        <v>430</v>
      </c>
      <c r="P941" s="32"/>
      <c r="Q941" s="61" t="s">
        <v>5920</v>
      </c>
      <c r="R941" s="31" t="s">
        <v>56</v>
      </c>
      <c r="S941" s="38" t="str">
        <f t="shared" si="2"/>
        <v>https://github.com/SF-Bancoppel/mx-api-bc-rec-sales-and-service</v>
      </c>
      <c r="T941" s="40"/>
      <c r="U941" s="40"/>
      <c r="V941" s="40"/>
      <c r="W941" s="40"/>
      <c r="X941" s="40"/>
      <c r="Y941" s="40"/>
      <c r="Z941" s="40"/>
      <c r="AA941" s="40"/>
      <c r="AB941" s="40"/>
    </row>
    <row r="942" ht="18.75" customHeight="1">
      <c r="A942" s="18" t="str">
        <f t="array" ref="A942">IFERROR(
  INDEX(
    'api-register-id'!A:A,
    MATCH(F942, 'api-register-id'!B:B, 0)
  ),
  "Not found Organization"
)</f>
        <v>SSFF</v>
      </c>
      <c r="B942" s="22" t="str">
        <f>IFERROR(VLOOKUP(F942, 'api-register-id'!B:F, 4, FALSE), "Not found path.")</f>
        <v>mx-api-bc-rec-cards</v>
      </c>
      <c r="C942" s="200" t="s">
        <v>112</v>
      </c>
      <c r="D942" s="200" t="s">
        <v>1417</v>
      </c>
      <c r="E942" s="24" t="str">
        <f>IFERROR(VLOOKUP(F942, 'api-register-id'!B:F, 5, FALSE), "Not found path.")</f>
        <v>APIMX000153</v>
      </c>
      <c r="F942" s="25" t="s">
        <v>1816</v>
      </c>
      <c r="G942" s="26" t="s">
        <v>5921</v>
      </c>
      <c r="H942" s="201" t="s">
        <v>5922</v>
      </c>
      <c r="I942" s="29" t="str">
        <f>IFERROR(VLOOKUP(F942, 'api-register-id'!B:I, 8, FALSE), "Not found path.")</f>
        <v>1.14.3</v>
      </c>
      <c r="J942" s="202" t="s">
        <v>5923</v>
      </c>
      <c r="K942" s="203" t="s">
        <v>48</v>
      </c>
      <c r="L942" s="200" t="s">
        <v>61</v>
      </c>
      <c r="M942" s="202" t="s">
        <v>5924</v>
      </c>
      <c r="N942" s="3" t="str">
        <f t="shared" si="1"/>
        <v>PUT /experience/cards/v1/creditCard/exchange</v>
      </c>
      <c r="O942" s="32" t="s">
        <v>5925</v>
      </c>
      <c r="P942" s="32" t="s">
        <v>5926</v>
      </c>
      <c r="Q942" s="61" t="s">
        <v>5927</v>
      </c>
      <c r="R942" s="31" t="s">
        <v>56</v>
      </c>
      <c r="S942" s="38" t="str">
        <f t="shared" si="2"/>
        <v>https://github.com/SF-Bancoppel/mx-api-bc-rec-cards</v>
      </c>
      <c r="T942" s="40"/>
      <c r="U942" s="40"/>
      <c r="V942" s="40"/>
      <c r="W942" s="40"/>
      <c r="X942" s="40"/>
      <c r="Y942" s="40"/>
      <c r="Z942" s="40"/>
      <c r="AA942" s="40"/>
      <c r="AB942" s="40"/>
    </row>
    <row r="943" ht="18.75" customHeight="1">
      <c r="A943" s="18" t="str">
        <f t="array" ref="A943">IFERROR(
  INDEX(
    'api-register-id'!A:A,
    MATCH(F943, 'api-register-id'!B:B, 0)
  ),
  "Not found Organization"
)</f>
        <v>SSFF</v>
      </c>
      <c r="B943" s="22" t="str">
        <f>IFERROR(VLOOKUP(F943, 'api-register-id'!B:F, 4, FALSE), "Not found path.")</f>
        <v>mx-api-bc-rec-cards</v>
      </c>
      <c r="C943" s="200" t="s">
        <v>112</v>
      </c>
      <c r="D943" s="200" t="s">
        <v>1417</v>
      </c>
      <c r="E943" s="24" t="str">
        <f>IFERROR(VLOOKUP(F943, 'api-register-id'!B:F, 5, FALSE), "Not found path.")</f>
        <v>APIMX000153</v>
      </c>
      <c r="F943" s="25" t="s">
        <v>1816</v>
      </c>
      <c r="G943" s="26" t="s">
        <v>5928</v>
      </c>
      <c r="H943" s="201" t="s">
        <v>4005</v>
      </c>
      <c r="I943" s="29" t="str">
        <f>IFERROR(VLOOKUP(F943, 'api-register-id'!B:I, 8, FALSE), "Not found path.")</f>
        <v>1.14.3</v>
      </c>
      <c r="J943" s="202" t="s">
        <v>5923</v>
      </c>
      <c r="K943" s="203" t="s">
        <v>48</v>
      </c>
      <c r="L943" s="200" t="s">
        <v>49</v>
      </c>
      <c r="M943" s="202" t="s">
        <v>693</v>
      </c>
      <c r="N943" s="3" t="str">
        <f t="shared" si="1"/>
        <v>POST /experience/cards/v1/cardTransaction/retrieve</v>
      </c>
      <c r="O943" s="32" t="s">
        <v>5929</v>
      </c>
      <c r="P943" s="32" t="s">
        <v>5926</v>
      </c>
      <c r="Q943" s="61" t="s">
        <v>5930</v>
      </c>
      <c r="R943" s="31" t="s">
        <v>56</v>
      </c>
      <c r="S943" s="38" t="str">
        <f t="shared" si="2"/>
        <v>https://github.com/SF-Bancoppel/mx-api-bc-rec-cards</v>
      </c>
      <c r="T943" s="40"/>
      <c r="U943" s="40"/>
      <c r="V943" s="40"/>
      <c r="W943" s="40"/>
      <c r="X943" s="40"/>
      <c r="Y943" s="40"/>
      <c r="Z943" s="40"/>
      <c r="AA943" s="40"/>
      <c r="AB943" s="40"/>
    </row>
    <row r="944" ht="18.75" customHeight="1">
      <c r="A944" s="18" t="str">
        <f t="array" ref="A944">IFERROR(
  INDEX(
    'api-register-id'!A:A,
    MATCH(F944, 'api-register-id'!B:B, 0)
  ),
  "Not found Organization"
)</f>
        <v>SSFF</v>
      </c>
      <c r="B944" s="22" t="str">
        <f>IFERROR(VLOOKUP(F944, 'api-register-id'!B:F, 4, FALSE), "Not found path.")</f>
        <v>mx-api-bc-rec-channel-specific</v>
      </c>
      <c r="C944" s="200" t="s">
        <v>112</v>
      </c>
      <c r="D944" s="200" t="s">
        <v>1417</v>
      </c>
      <c r="E944" s="24" t="str">
        <f>IFERROR(VLOOKUP(F944, 'api-register-id'!B:F, 5, FALSE), "Not found path.")</f>
        <v>APIMX000154</v>
      </c>
      <c r="F944" s="25" t="s">
        <v>1839</v>
      </c>
      <c r="G944" s="26" t="s">
        <v>5931</v>
      </c>
      <c r="H944" s="201" t="s">
        <v>5932</v>
      </c>
      <c r="I944" s="29" t="str">
        <f>IFERROR(VLOOKUP(F944, 'api-register-id'!B:I, 8, FALSE), "Not found path.")</f>
        <v>1.2.1</v>
      </c>
      <c r="J944" s="202" t="s">
        <v>5933</v>
      </c>
      <c r="K944" s="203" t="s">
        <v>48</v>
      </c>
      <c r="L944" s="200" t="s">
        <v>49</v>
      </c>
      <c r="M944" s="202" t="s">
        <v>5934</v>
      </c>
      <c r="N944" s="3" t="str">
        <f t="shared" si="1"/>
        <v>POST /experience/channelSpecific/v1/branchTransaction/retrieve</v>
      </c>
      <c r="O944" s="32" t="s">
        <v>5935</v>
      </c>
      <c r="P944" s="32" t="s">
        <v>5936</v>
      </c>
      <c r="Q944" s="61" t="s">
        <v>5937</v>
      </c>
      <c r="R944" s="31" t="s">
        <v>56</v>
      </c>
      <c r="S944" s="38" t="str">
        <f t="shared" si="2"/>
        <v>https://github.com/SF-Bancoppel/mx-api-bc-rec-channel-specific</v>
      </c>
      <c r="T944" s="40"/>
      <c r="U944" s="40"/>
      <c r="V944" s="40"/>
      <c r="W944" s="40"/>
      <c r="X944" s="40"/>
      <c r="Y944" s="40"/>
      <c r="Z944" s="40"/>
      <c r="AA944" s="40"/>
      <c r="AB944" s="40"/>
    </row>
    <row r="945" ht="18.75" customHeight="1">
      <c r="A945" s="18" t="str">
        <f t="array" ref="A945">IFERROR(
  INDEX(
    'api-register-id'!A:A,
    MATCH(F945, 'api-register-id'!B:B, 0)
  ),
  "Not found Organization"
)</f>
        <v>SSFF</v>
      </c>
      <c r="B945" s="22" t="str">
        <f>IFERROR(VLOOKUP(F945, 'api-register-id'!B:F, 4, FALSE), "Not found path.")</f>
        <v>mx-api-bc-rec-servicing</v>
      </c>
      <c r="C945" s="200" t="s">
        <v>112</v>
      </c>
      <c r="D945" s="200" t="s">
        <v>1417</v>
      </c>
      <c r="E945" s="24" t="str">
        <f>IFERROR(VLOOKUP(F945, 'api-register-id'!B:F, 5, FALSE), "Not found path.")</f>
        <v>APIMX000155</v>
      </c>
      <c r="F945" s="25" t="s">
        <v>1865</v>
      </c>
      <c r="G945" s="26" t="s">
        <v>5938</v>
      </c>
      <c r="H945" s="201" t="s">
        <v>5939</v>
      </c>
      <c r="I945" s="29" t="str">
        <f>IFERROR(VLOOKUP(F945, 'api-register-id'!B:I, 8, FALSE), "Not found path.")</f>
        <v>1.1.0</v>
      </c>
      <c r="J945" s="202" t="s">
        <v>5940</v>
      </c>
      <c r="K945" s="203" t="s">
        <v>48</v>
      </c>
      <c r="L945" s="200" t="s">
        <v>428</v>
      </c>
      <c r="M945" s="202" t="s">
        <v>5941</v>
      </c>
      <c r="N945" s="3" t="str">
        <f t="shared" si="1"/>
        <v>PATCH /experience/servicing/v1/chargeBack/update</v>
      </c>
      <c r="O945" s="32" t="s">
        <v>5942</v>
      </c>
      <c r="P945" s="32" t="s">
        <v>5943</v>
      </c>
      <c r="Q945" s="61" t="s">
        <v>5944</v>
      </c>
      <c r="R945" s="31" t="s">
        <v>56</v>
      </c>
      <c r="S945" s="38" t="str">
        <f t="shared" si="2"/>
        <v>https://github.com/SF-Bancoppel/mx-api-bc-rec-servicing</v>
      </c>
      <c r="T945" s="40"/>
      <c r="U945" s="40"/>
      <c r="V945" s="40"/>
      <c r="W945" s="40"/>
      <c r="X945" s="40"/>
      <c r="Y945" s="40"/>
      <c r="Z945" s="40"/>
      <c r="AA945" s="40"/>
      <c r="AB945" s="40"/>
    </row>
    <row r="946" ht="18.75" customHeight="1">
      <c r="A946" s="18" t="str">
        <f t="array" ref="A946">IFERROR(
  INDEX(
    'api-register-id'!A:A,
    MATCH(F946, 'api-register-id'!B:B, 0)
  ),
  "Not found Organization"
)</f>
        <v>SSFF</v>
      </c>
      <c r="B946" s="22" t="str">
        <f>IFERROR(VLOOKUP(F946, 'api-register-id'!B:F, 4, FALSE), "Not found path.")</f>
        <v>mx-api-bc-bus-cards</v>
      </c>
      <c r="C946" s="200" t="s">
        <v>41</v>
      </c>
      <c r="D946" s="200" t="s">
        <v>42</v>
      </c>
      <c r="E946" s="24" t="str">
        <f>IFERROR(VLOOKUP(F946, 'api-register-id'!B:F, 5, FALSE), "Not found path.")</f>
        <v>APIMX000156</v>
      </c>
      <c r="F946" s="1" t="s">
        <v>1895</v>
      </c>
      <c r="G946" s="26" t="s">
        <v>5945</v>
      </c>
      <c r="H946" s="201" t="s">
        <v>5946</v>
      </c>
      <c r="I946" s="29" t="str">
        <f>IFERROR(VLOOKUP(F946, 'api-register-id'!B:I, 8, FALSE), "Not found path.")</f>
        <v>1.14.3</v>
      </c>
      <c r="J946" s="202" t="s">
        <v>5947</v>
      </c>
      <c r="K946" s="203" t="s">
        <v>48</v>
      </c>
      <c r="L946" s="200" t="s">
        <v>428</v>
      </c>
      <c r="M946" s="202" t="s">
        <v>5924</v>
      </c>
      <c r="N946" s="3" t="str">
        <f t="shared" si="1"/>
        <v>PATCH /cards/v1/creditCard/exchange</v>
      </c>
      <c r="O946" s="32" t="s">
        <v>5948</v>
      </c>
      <c r="P946" s="32" t="s">
        <v>900</v>
      </c>
      <c r="Q946" s="61" t="s">
        <v>5949</v>
      </c>
      <c r="R946" s="31" t="s">
        <v>56</v>
      </c>
      <c r="S946" s="38" t="str">
        <f t="shared" si="2"/>
        <v>https://github.com/SF-Bancoppel/mx-api-bc-bus-cards</v>
      </c>
      <c r="T946" s="40"/>
      <c r="U946" s="40"/>
      <c r="V946" s="40"/>
      <c r="W946" s="40"/>
      <c r="X946" s="40"/>
      <c r="Y946" s="40"/>
      <c r="Z946" s="40"/>
      <c r="AA946" s="40"/>
      <c r="AB946" s="40"/>
    </row>
    <row r="947" ht="18.75" customHeight="1">
      <c r="A947" s="18" t="str">
        <f t="array" ref="A947">IFERROR(
  INDEX(
    'api-register-id'!A:A,
    MATCH(F947, 'api-register-id'!B:B, 0)
  ),
  "Not found Organization"
)</f>
        <v>SSFF</v>
      </c>
      <c r="B947" s="22" t="str">
        <f>IFERROR(VLOOKUP(F947, 'api-register-id'!B:F, 4, FALSE), "Not found path.")</f>
        <v>mx-api-bc-bus-cards</v>
      </c>
      <c r="C947" s="200" t="s">
        <v>41</v>
      </c>
      <c r="D947" s="200" t="s">
        <v>42</v>
      </c>
      <c r="E947" s="24" t="str">
        <f>IFERROR(VLOOKUP(F947, 'api-register-id'!B:F, 5, FALSE), "Not found path.")</f>
        <v>APIMX000156</v>
      </c>
      <c r="F947" s="1" t="s">
        <v>1895</v>
      </c>
      <c r="G947" s="26" t="s">
        <v>5950</v>
      </c>
      <c r="H947" s="201" t="s">
        <v>5951</v>
      </c>
      <c r="I947" s="29" t="str">
        <f>IFERROR(VLOOKUP(F947, 'api-register-id'!B:I, 8, FALSE), "Not found path.")</f>
        <v>1.14.3</v>
      </c>
      <c r="J947" s="202" t="s">
        <v>5947</v>
      </c>
      <c r="K947" s="203" t="s">
        <v>48</v>
      </c>
      <c r="L947" s="200" t="s">
        <v>428</v>
      </c>
      <c r="M947" s="202" t="s">
        <v>693</v>
      </c>
      <c r="N947" s="3" t="str">
        <f t="shared" si="1"/>
        <v>PATCH /cards/v1/cardTransaction/retrieve</v>
      </c>
      <c r="O947" s="32" t="s">
        <v>5952</v>
      </c>
      <c r="P947" s="32" t="s">
        <v>900</v>
      </c>
      <c r="Q947" s="61" t="s">
        <v>5953</v>
      </c>
      <c r="R947" s="31" t="s">
        <v>56</v>
      </c>
      <c r="S947" s="38" t="str">
        <f t="shared" si="2"/>
        <v>https://github.com/SF-Bancoppel/mx-api-bc-bus-cards</v>
      </c>
      <c r="T947" s="40"/>
      <c r="U947" s="40"/>
      <c r="V947" s="40"/>
      <c r="W947" s="40"/>
      <c r="X947" s="40"/>
      <c r="Y947" s="40"/>
      <c r="Z947" s="40"/>
      <c r="AA947" s="40"/>
      <c r="AB947" s="40"/>
    </row>
    <row r="948" ht="18.75" customHeight="1">
      <c r="A948" s="18" t="str">
        <f t="array" ref="A948">IFERROR(
  INDEX(
    'api-register-id'!A:A,
    MATCH(F948, 'api-register-id'!B:B, 0)
  ),
  "Not found Organization"
)</f>
        <v>SSFF</v>
      </c>
      <c r="B948" s="22" t="str">
        <f>IFERROR(VLOOKUP(F948, 'api-register-id'!B:F, 4, FALSE), "Not found path.")</f>
        <v>mx-api-bc-bus-channel-specific</v>
      </c>
      <c r="C948" s="200" t="s">
        <v>41</v>
      </c>
      <c r="D948" s="200" t="s">
        <v>42</v>
      </c>
      <c r="E948" s="24" t="str">
        <f>IFERROR(VLOOKUP(F948, 'api-register-id'!B:F, 5, FALSE), "Not found path.")</f>
        <v>APIMX000157</v>
      </c>
      <c r="F948" s="1" t="s">
        <v>1906</v>
      </c>
      <c r="G948" s="26" t="s">
        <v>5954</v>
      </c>
      <c r="H948" s="201" t="s">
        <v>5955</v>
      </c>
      <c r="I948" s="29" t="str">
        <f>IFERROR(VLOOKUP(F948, 'api-register-id'!B:I, 8, FALSE), "Not found path.")</f>
        <v>1.2.1</v>
      </c>
      <c r="J948" s="202" t="s">
        <v>5956</v>
      </c>
      <c r="K948" s="203" t="s">
        <v>48</v>
      </c>
      <c r="L948" s="200" t="s">
        <v>428</v>
      </c>
      <c r="M948" s="202" t="s">
        <v>5934</v>
      </c>
      <c r="N948" s="3" t="str">
        <f t="shared" si="1"/>
        <v>PATCH /channelSpecific/v1/branchTransaction/retrieve</v>
      </c>
      <c r="O948" s="32" t="s">
        <v>5957</v>
      </c>
      <c r="P948" s="32" t="s">
        <v>900</v>
      </c>
      <c r="Q948" s="61" t="s">
        <v>5958</v>
      </c>
      <c r="R948" s="31" t="s">
        <v>56</v>
      </c>
      <c r="S948" s="38" t="str">
        <f t="shared" si="2"/>
        <v>https://github.com/SF-Bancoppel/mx-api-bc-bus-channel-specific</v>
      </c>
      <c r="T948" s="40"/>
      <c r="U948" s="40"/>
      <c r="V948" s="40"/>
      <c r="W948" s="40"/>
      <c r="X948" s="40"/>
      <c r="Y948" s="40"/>
      <c r="Z948" s="40"/>
      <c r="AA948" s="40"/>
      <c r="AB948" s="40"/>
    </row>
    <row r="949" ht="18.75" customHeight="1">
      <c r="A949" s="18" t="str">
        <f t="array" ref="A949">IFERROR(
  INDEX(
    'api-register-id'!A:A,
    MATCH(F949, 'api-register-id'!B:B, 0)
  ),
  "Not found Organization"
)</f>
        <v>SSFF</v>
      </c>
      <c r="B949" s="22" t="str">
        <f>IFERROR(VLOOKUP(F949, 'api-register-id'!B:F, 4, FALSE), "Not found path.")</f>
        <v>mx-api-bc-bus-servicing</v>
      </c>
      <c r="C949" s="200" t="s">
        <v>41</v>
      </c>
      <c r="D949" s="200" t="s">
        <v>42</v>
      </c>
      <c r="E949" s="24" t="str">
        <f>IFERROR(VLOOKUP(F949, 'api-register-id'!B:F, 5, FALSE), "Not found path.")</f>
        <v>APIMX000158</v>
      </c>
      <c r="F949" s="25" t="s">
        <v>1928</v>
      </c>
      <c r="G949" s="26" t="s">
        <v>5959</v>
      </c>
      <c r="H949" s="201" t="s">
        <v>5960</v>
      </c>
      <c r="I949" s="29" t="str">
        <f>IFERROR(VLOOKUP(F949, 'api-register-id'!B:I, 8, FALSE), "Not found path.")</f>
        <v>1.1.1</v>
      </c>
      <c r="J949" s="202" t="s">
        <v>5961</v>
      </c>
      <c r="K949" s="203" t="s">
        <v>48</v>
      </c>
      <c r="L949" s="200" t="s">
        <v>428</v>
      </c>
      <c r="M949" s="202" t="s">
        <v>5941</v>
      </c>
      <c r="N949" s="3" t="str">
        <f t="shared" si="1"/>
        <v>PATCH /servicing/v1/chargeBack/update</v>
      </c>
      <c r="O949" s="32" t="s">
        <v>5962</v>
      </c>
      <c r="P949" s="32" t="s">
        <v>5963</v>
      </c>
      <c r="Q949" s="61" t="s">
        <v>5964</v>
      </c>
      <c r="R949" s="31" t="s">
        <v>56</v>
      </c>
      <c r="S949" s="38" t="str">
        <f t="shared" si="2"/>
        <v>https://github.com/SF-Bancoppel/mx-api-bc-bus-servicing</v>
      </c>
      <c r="T949" s="40"/>
      <c r="U949" s="40"/>
      <c r="V949" s="40"/>
      <c r="W949" s="40"/>
      <c r="X949" s="40"/>
      <c r="Y949" s="40"/>
      <c r="Z949" s="40"/>
      <c r="AA949" s="40"/>
      <c r="AB949" s="40"/>
    </row>
    <row r="950" ht="18.75" customHeight="1">
      <c r="A950" s="18" t="str">
        <f t="array" ref="A950">IFERROR(
  INDEX(
    'api-register-id'!A:A,
    MATCH(F950, 'api-register-id'!B:B, 0)
  ),
  "Not found Organization"
)</f>
        <v>SSFF</v>
      </c>
      <c r="B950" s="22" t="str">
        <f>IFERROR(VLOOKUP(F950, 'api-register-id'!B:F, 4, FALSE), "Not found path.")</f>
        <v>mx-api-bc-dom-branch-location-operations</v>
      </c>
      <c r="C950" s="200" t="s">
        <v>41</v>
      </c>
      <c r="D950" s="200" t="s">
        <v>119</v>
      </c>
      <c r="E950" s="24" t="str">
        <f>IFERROR(VLOOKUP(F950, 'api-register-id'!B:F, 5, FALSE), "Not found path.")</f>
        <v>APIMX000006</v>
      </c>
      <c r="F950" s="25" t="s">
        <v>129</v>
      </c>
      <c r="G950" s="26" t="s">
        <v>5965</v>
      </c>
      <c r="H950" s="201" t="s">
        <v>5966</v>
      </c>
      <c r="I950" s="29" t="str">
        <f>IFERROR(VLOOKUP(F950, 'api-register-id'!B:I, 8, FALSE), "Not found path.")</f>
        <v>1.2.0</v>
      </c>
      <c r="J950" s="202" t="s">
        <v>491</v>
      </c>
      <c r="K950" s="203" t="s">
        <v>48</v>
      </c>
      <c r="L950" s="200" t="s">
        <v>428</v>
      </c>
      <c r="M950" s="202" t="s">
        <v>5934</v>
      </c>
      <c r="N950" s="3" t="str">
        <f t="shared" si="1"/>
        <v>PATCH /channelSpecific/branchLocationOperations/v1/branchTransaction/retrieve</v>
      </c>
      <c r="O950" s="32" t="s">
        <v>5967</v>
      </c>
      <c r="P950" s="32" t="s">
        <v>900</v>
      </c>
      <c r="Q950" s="61" t="s">
        <v>5968</v>
      </c>
      <c r="R950" s="31" t="s">
        <v>56</v>
      </c>
      <c r="S950" s="38" t="str">
        <f t="shared" si="2"/>
        <v>https://github.com/SF-Bancoppel/mx-api-bc-dom-branch-location-operations</v>
      </c>
      <c r="T950" s="40"/>
      <c r="U950" s="40"/>
      <c r="V950" s="40"/>
      <c r="W950" s="40"/>
      <c r="X950" s="40"/>
      <c r="Y950" s="40"/>
      <c r="Z950" s="40"/>
      <c r="AA950" s="40"/>
      <c r="AB950" s="40"/>
    </row>
    <row r="951" ht="18.75" customHeight="1">
      <c r="A951" s="18" t="str">
        <f t="array" ref="A951">IFERROR(
  INDEX(
    'api-register-id'!A:A,
    MATCH(F951, 'api-register-id'!B:B, 0)
  ),
  "Not found Organization"
)</f>
        <v>SSFF</v>
      </c>
      <c r="B951" s="22" t="str">
        <f>IFERROR(VLOOKUP(F951, 'api-register-id'!B:F, 4, FALSE), "Not found path.")</f>
        <v>mx-api-bc-dom-credit-card</v>
      </c>
      <c r="C951" s="200" t="s">
        <v>41</v>
      </c>
      <c r="D951" s="200" t="s">
        <v>119</v>
      </c>
      <c r="E951" s="24" t="str">
        <f>IFERROR(VLOOKUP(F951, 'api-register-id'!B:F, 5, FALSE), "Not found path.")</f>
        <v>APIMX000012</v>
      </c>
      <c r="F951" s="25" t="s">
        <v>218</v>
      </c>
      <c r="G951" s="26" t="s">
        <v>5969</v>
      </c>
      <c r="H951" s="201" t="s">
        <v>5970</v>
      </c>
      <c r="I951" s="29" t="str">
        <f>IFERROR(VLOOKUP(F951, 'api-register-id'!B:I, 8, FALSE), "Not found path.")</f>
        <v>1.31.0</v>
      </c>
      <c r="J951" s="202" t="s">
        <v>560</v>
      </c>
      <c r="K951" s="203" t="s">
        <v>48</v>
      </c>
      <c r="L951" s="200" t="s">
        <v>428</v>
      </c>
      <c r="M951" s="202" t="s">
        <v>5971</v>
      </c>
      <c r="N951" s="3" t="str">
        <f t="shared" si="1"/>
        <v>PATCH /cards/creditCard/v1/issuedDevice/exchange</v>
      </c>
      <c r="O951" s="32" t="s">
        <v>5972</v>
      </c>
      <c r="P951" s="32" t="s">
        <v>900</v>
      </c>
      <c r="Q951" s="61" t="s">
        <v>98</v>
      </c>
      <c r="R951" s="31" t="s">
        <v>56</v>
      </c>
      <c r="S951" s="38" t="str">
        <f t="shared" si="2"/>
        <v>https://github.com/SF-Bancoppel/mx-api-bc-dom-credit-card</v>
      </c>
      <c r="T951" s="40"/>
      <c r="U951" s="40"/>
      <c r="V951" s="40"/>
      <c r="W951" s="40"/>
      <c r="X951" s="40"/>
      <c r="Y951" s="40"/>
      <c r="Z951" s="40"/>
      <c r="AA951" s="40"/>
      <c r="AB951" s="40"/>
    </row>
    <row r="952" ht="18.75" customHeight="1">
      <c r="A952" s="18" t="str">
        <f t="array" ref="A952">IFERROR(
  INDEX(
    'api-register-id'!A:A,
    MATCH(F952, 'api-register-id'!B:B, 0)
  ),
  "Not found Organization"
)</f>
        <v>SSFF</v>
      </c>
      <c r="B952" s="22" t="str">
        <f>IFERROR(VLOOKUP(F952, 'api-register-id'!B:F, 4, FALSE), "Not found path.")</f>
        <v>mx-api-bc-dom-credit-facility</v>
      </c>
      <c r="C952" s="200" t="s">
        <v>41</v>
      </c>
      <c r="D952" s="200" t="s">
        <v>119</v>
      </c>
      <c r="E952" s="24" t="str">
        <f>IFERROR(VLOOKUP(F952, 'api-register-id'!B:F, 5, FALSE), "Not found path.")</f>
        <v>APIMX000014</v>
      </c>
      <c r="F952" s="25" t="s">
        <v>250</v>
      </c>
      <c r="G952" s="26" t="s">
        <v>5973</v>
      </c>
      <c r="H952" s="201" t="s">
        <v>5974</v>
      </c>
      <c r="I952" s="29" t="str">
        <f>IFERROR(VLOOKUP(F952, 'api-register-id'!B:I, 8, FALSE), "Not found path.")</f>
        <v>1.2.1</v>
      </c>
      <c r="J952" s="202" t="s">
        <v>5975</v>
      </c>
      <c r="K952" s="203" t="s">
        <v>48</v>
      </c>
      <c r="L952" s="200" t="s">
        <v>428</v>
      </c>
      <c r="M952" s="202" t="s">
        <v>5976</v>
      </c>
      <c r="N952" s="3" t="str">
        <f t="shared" si="1"/>
        <v>PATCH /tradeBanking/creditFacility/v1/creditLineFacility/exchange</v>
      </c>
      <c r="O952" s="32" t="s">
        <v>5977</v>
      </c>
      <c r="P952" s="32" t="s">
        <v>900</v>
      </c>
      <c r="Q952" s="61" t="s">
        <v>5978</v>
      </c>
      <c r="R952" s="31" t="s">
        <v>56</v>
      </c>
      <c r="S952" s="38" t="str">
        <f t="shared" si="2"/>
        <v>https://github.com/SF-Bancoppel/mx-api-bc-dom-credit-facility</v>
      </c>
      <c r="T952" s="40"/>
      <c r="U952" s="40"/>
      <c r="V952" s="40"/>
      <c r="W952" s="40"/>
      <c r="X952" s="40"/>
      <c r="Y952" s="40"/>
      <c r="Z952" s="40"/>
      <c r="AA952" s="40"/>
      <c r="AB952" s="40"/>
    </row>
    <row r="953" ht="18.75" customHeight="1">
      <c r="A953" s="18" t="str">
        <f t="array" ref="A953">IFERROR(
  INDEX(
    'api-register-id'!A:A,
    MATCH(F953, 'api-register-id'!B:B, 0)
  ),
  "Not found Organization"
)</f>
        <v>SSFF</v>
      </c>
      <c r="B953" s="22" t="str">
        <f>IFERROR(VLOOKUP(F953, 'api-register-id'!B:F, 4, FALSE), "Not found path.")</f>
        <v>mx-api-bc-pro-branch-location-operations</v>
      </c>
      <c r="C953" s="200" t="s">
        <v>41</v>
      </c>
      <c r="D953" s="200" t="s">
        <v>811</v>
      </c>
      <c r="E953" s="24" t="str">
        <f>IFERROR(VLOOKUP(F953, 'api-register-id'!B:F, 5, FALSE), "Not found path.")</f>
        <v>APIMX000060</v>
      </c>
      <c r="F953" s="25" t="s">
        <v>822</v>
      </c>
      <c r="G953" s="26" t="s">
        <v>5979</v>
      </c>
      <c r="H953" s="201" t="s">
        <v>5980</v>
      </c>
      <c r="I953" s="29" t="str">
        <f>IFERROR(VLOOKUP(F953, 'api-register-id'!B:I, 8, FALSE), "Not found path.")</f>
        <v>1.2.0</v>
      </c>
      <c r="J953" s="202" t="s">
        <v>2000</v>
      </c>
      <c r="K953" s="203" t="s">
        <v>48</v>
      </c>
      <c r="L953" s="200" t="s">
        <v>428</v>
      </c>
      <c r="M953" s="202" t="s">
        <v>5934</v>
      </c>
      <c r="N953" s="3" t="str">
        <f t="shared" si="1"/>
        <v>PATCH /system/channelSpecific/branchLocationOperations/v1/branchTransaction/retrieve</v>
      </c>
      <c r="O953" s="32" t="s">
        <v>5981</v>
      </c>
      <c r="P953" s="32" t="s">
        <v>900</v>
      </c>
      <c r="Q953" s="61" t="s">
        <v>5982</v>
      </c>
      <c r="R953" s="31" t="s">
        <v>56</v>
      </c>
      <c r="S953" s="38" t="str">
        <f t="shared" si="2"/>
        <v>https://github.com/SF-Bancoppel/mx-api-bc-pro-branch-location-operations</v>
      </c>
      <c r="T953" s="40"/>
      <c r="U953" s="40"/>
      <c r="V953" s="40"/>
      <c r="W953" s="40"/>
      <c r="X953" s="40"/>
      <c r="Y953" s="40"/>
      <c r="Z953" s="40"/>
      <c r="AA953" s="40"/>
      <c r="AB953" s="40"/>
    </row>
    <row r="954" ht="18.75" customHeight="1">
      <c r="A954" s="18" t="str">
        <f t="array" ref="A954">IFERROR(
  INDEX(
    'api-register-id'!A:A,
    MATCH(F954, 'api-register-id'!B:B, 0)
  ),
  "Not found Organization"
)</f>
        <v>SSFF</v>
      </c>
      <c r="B954" s="22" t="str">
        <f>IFERROR(VLOOKUP(F954, 'api-register-id'!B:F, 4, FALSE), "Not found path.")</f>
        <v>mx-api-bc-pro-credit-card</v>
      </c>
      <c r="C954" s="200" t="s">
        <v>41</v>
      </c>
      <c r="D954" s="200" t="s">
        <v>811</v>
      </c>
      <c r="E954" s="24" t="str">
        <f>IFERROR(VLOOKUP(F954, 'api-register-id'!B:F, 5, FALSE), "Not found path.")</f>
        <v>APIMX000068</v>
      </c>
      <c r="F954" s="25" t="s">
        <v>913</v>
      </c>
      <c r="G954" s="26" t="s">
        <v>5983</v>
      </c>
      <c r="H954" s="201" t="s">
        <v>5984</v>
      </c>
      <c r="I954" s="29" t="str">
        <f>IFERROR(VLOOKUP(F954, 'api-register-id'!B:I, 8, FALSE), "Not found path.")</f>
        <v>1.31.0</v>
      </c>
      <c r="J954" s="202" t="s">
        <v>2376</v>
      </c>
      <c r="K954" s="203" t="s">
        <v>48</v>
      </c>
      <c r="L954" s="200" t="s">
        <v>428</v>
      </c>
      <c r="M954" s="202" t="s">
        <v>5971</v>
      </c>
      <c r="N954" s="3" t="str">
        <f t="shared" si="1"/>
        <v>PATCH /system/cards/creditCard/v1/issuedDevice/exchange</v>
      </c>
      <c r="O954" s="32" t="s">
        <v>5985</v>
      </c>
      <c r="P954" s="32" t="s">
        <v>900</v>
      </c>
      <c r="Q954" s="61" t="s">
        <v>98</v>
      </c>
      <c r="R954" s="31" t="s">
        <v>56</v>
      </c>
      <c r="S954" s="38" t="str">
        <f t="shared" si="2"/>
        <v>https://github.com/SF-Bancoppel/mx-api-bc-pro-credit-card</v>
      </c>
      <c r="T954" s="40"/>
      <c r="U954" s="40"/>
      <c r="V954" s="40"/>
      <c r="W954" s="40"/>
      <c r="X954" s="40"/>
      <c r="Y954" s="40"/>
      <c r="Z954" s="40"/>
      <c r="AA954" s="40"/>
      <c r="AB954" s="40"/>
    </row>
    <row r="955" ht="18.75" customHeight="1">
      <c r="A955" s="18" t="str">
        <f t="array" ref="A955">IFERROR(
  INDEX(
    'api-register-id'!A:A,
    MATCH(F955, 'api-register-id'!B:B, 0)
  ),
  "Not found Organization"
)</f>
        <v>SSFF</v>
      </c>
      <c r="B955" s="22" t="str">
        <f>IFERROR(VLOOKUP(F955, 'api-register-id'!B:F, 4, FALSE), "Not found path.")</f>
        <v>mx-api-bc-pro-credit-facility</v>
      </c>
      <c r="C955" s="200" t="s">
        <v>41</v>
      </c>
      <c r="D955" s="200" t="s">
        <v>811</v>
      </c>
      <c r="E955" s="24" t="str">
        <f>IFERROR(VLOOKUP(F955, 'api-register-id'!B:F, 5, FALSE), "Not found path.")</f>
        <v>APIMX000070</v>
      </c>
      <c r="F955" s="25" t="s">
        <v>934</v>
      </c>
      <c r="G955" s="26" t="s">
        <v>5986</v>
      </c>
      <c r="H955" s="201" t="s">
        <v>5987</v>
      </c>
      <c r="I955" s="29" t="str">
        <f>IFERROR(VLOOKUP(F955, 'api-register-id'!B:I, 8, FALSE), "Not found path.")</f>
        <v>1.2.1</v>
      </c>
      <c r="J955" s="202" t="s">
        <v>5988</v>
      </c>
      <c r="K955" s="203" t="s">
        <v>48</v>
      </c>
      <c r="L955" s="200" t="s">
        <v>428</v>
      </c>
      <c r="M955" s="202" t="s">
        <v>5976</v>
      </c>
      <c r="N955" s="3" t="str">
        <f t="shared" si="1"/>
        <v>PATCH /system/tradeBanking/creditFacility/v1/creditLineFacility/exchange</v>
      </c>
      <c r="O955" s="32" t="s">
        <v>5989</v>
      </c>
      <c r="P955" s="32" t="s">
        <v>900</v>
      </c>
      <c r="Q955" s="61" t="s">
        <v>98</v>
      </c>
      <c r="R955" s="31" t="s">
        <v>56</v>
      </c>
      <c r="S955" s="38" t="str">
        <f t="shared" si="2"/>
        <v>https://github.com/SF-Bancoppel/mx-api-bc-pro-credit-facility</v>
      </c>
      <c r="T955" s="40"/>
      <c r="U955" s="40"/>
      <c r="V955" s="40"/>
      <c r="W955" s="40"/>
      <c r="X955" s="40"/>
      <c r="Y955" s="40"/>
      <c r="Z955" s="40"/>
      <c r="AA955" s="40"/>
      <c r="AB955" s="40"/>
    </row>
    <row r="956" ht="18.75" customHeight="1">
      <c r="A956" s="18" t="str">
        <f t="array" ref="A956">IFERROR(
  INDEX(
    'api-register-id'!A:A,
    MATCH(F956, 'api-register-id'!B:B, 0)
  ),
  "Not found Organization"
)</f>
        <v>SSFF</v>
      </c>
      <c r="B956" s="22" t="str">
        <f>IFERROR(VLOOKUP(F956, 'api-register-id'!B:F, 4, FALSE), "Not found path.")</f>
        <v>mx-api-bc-bus-cross-product-operations</v>
      </c>
      <c r="C956" s="200" t="s">
        <v>41</v>
      </c>
      <c r="D956" s="200" t="s">
        <v>42</v>
      </c>
      <c r="E956" s="24" t="str">
        <f>IFERROR(VLOOKUP(F956, 'api-register-id'!B:F, 5, FALSE), "Not found path.")</f>
        <v>APIMX000159</v>
      </c>
      <c r="F956" s="25" t="s">
        <v>1952</v>
      </c>
      <c r="G956" s="26" t="s">
        <v>5990</v>
      </c>
      <c r="H956" s="22" t="s">
        <v>5991</v>
      </c>
      <c r="I956" s="29" t="str">
        <f>IFERROR(VLOOKUP(F956, 'api-register-id'!B:I, 8, FALSE), "Not found path.")</f>
        <v>1.3.0</v>
      </c>
      <c r="J956" s="3" t="s">
        <v>5992</v>
      </c>
      <c r="K956" s="31" t="s">
        <v>48</v>
      </c>
      <c r="L956" s="200" t="s">
        <v>49</v>
      </c>
      <c r="M956" s="3" t="s">
        <v>5993</v>
      </c>
      <c r="N956" s="3" t="str">
        <f t="shared" si="1"/>
        <v>POST /crossProductOperations/v1/productInformation/retrieve</v>
      </c>
      <c r="O956" s="32" t="s">
        <v>5994</v>
      </c>
      <c r="P956" s="32" t="s">
        <v>5995</v>
      </c>
      <c r="Q956" s="61" t="s">
        <v>5996</v>
      </c>
      <c r="R956" s="31" t="s">
        <v>56</v>
      </c>
      <c r="S956" s="38" t="str">
        <f t="shared" si="2"/>
        <v>https://github.com/SF-Bancoppel/mx-api-bc-bus-cross-product-operations</v>
      </c>
      <c r="T956" s="40"/>
      <c r="U956" s="40"/>
      <c r="V956" s="40"/>
      <c r="W956" s="40"/>
      <c r="X956" s="40"/>
      <c r="Y956" s="40"/>
      <c r="Z956" s="40"/>
      <c r="AA956" s="40"/>
      <c r="AB956" s="40"/>
    </row>
    <row r="957" ht="18.75" customHeight="1">
      <c r="A957" s="18" t="str">
        <f t="array" ref="A957">IFERROR(
  INDEX(
    'api-register-id'!A:A,
    MATCH(F957, 'api-register-id'!B:B, 0)
  ),
  "Not found Organization"
)</f>
        <v>SSFF</v>
      </c>
      <c r="B957" s="22" t="str">
        <f>IFERROR(VLOOKUP(F957, 'api-register-id'!B:F, 4, FALSE), "Not found path.")</f>
        <v>mx-api-bc-bus-cross-product-operations</v>
      </c>
      <c r="C957" s="200" t="s">
        <v>41</v>
      </c>
      <c r="D957" s="200" t="s">
        <v>42</v>
      </c>
      <c r="E957" s="24" t="str">
        <f>IFERROR(VLOOKUP(F957, 'api-register-id'!B:F, 5, FALSE), "Not found path.")</f>
        <v>APIMX000159</v>
      </c>
      <c r="F957" s="25" t="s">
        <v>1952</v>
      </c>
      <c r="G957" s="26" t="s">
        <v>5997</v>
      </c>
      <c r="H957" s="22" t="s">
        <v>5998</v>
      </c>
      <c r="I957" s="29" t="str">
        <f>IFERROR(VLOOKUP(F957, 'api-register-id'!B:I, 8, FALSE), "Not found path.")</f>
        <v>1.3.0</v>
      </c>
      <c r="J957" s="3" t="s">
        <v>5992</v>
      </c>
      <c r="K957" s="31" t="s">
        <v>48</v>
      </c>
      <c r="L957" s="200" t="s">
        <v>61</v>
      </c>
      <c r="M957" s="3" t="s">
        <v>5320</v>
      </c>
      <c r="N957" s="3" t="str">
        <f t="shared" si="1"/>
        <v>PUT /crossProductOperations/v1/customerCreditRating/execute</v>
      </c>
      <c r="O957" s="32" t="s">
        <v>5999</v>
      </c>
      <c r="P957" s="32" t="s">
        <v>5995</v>
      </c>
      <c r="Q957" s="61" t="s">
        <v>6000</v>
      </c>
      <c r="R957" s="31" t="s">
        <v>56</v>
      </c>
      <c r="S957" s="38" t="str">
        <f t="shared" si="2"/>
        <v>https://github.com/SF-Bancoppel/mx-api-bc-bus-cross-product-operations</v>
      </c>
      <c r="T957" s="40"/>
      <c r="U957" s="40"/>
      <c r="V957" s="40"/>
      <c r="W957" s="40"/>
      <c r="X957" s="40"/>
      <c r="Y957" s="40"/>
      <c r="Z957" s="40"/>
      <c r="AA957" s="40"/>
      <c r="AB957" s="40"/>
    </row>
    <row r="958" ht="18.75" customHeight="1">
      <c r="A958" s="18" t="str">
        <f t="array" ref="A958">IFERROR(
  INDEX(
    'api-register-id'!A:A,
    MATCH(F958, 'api-register-id'!B:B, 0)
  ),
  "Not found Organization"
)</f>
        <v>SSFF</v>
      </c>
      <c r="B958" s="22" t="str">
        <f>IFERROR(VLOOKUP(F958, 'api-register-id'!B:F, 4, FALSE), "Not found path.")</f>
        <v>mx-api-bc-bus-cross-product-operations</v>
      </c>
      <c r="C958" s="200" t="s">
        <v>41</v>
      </c>
      <c r="D958" s="200" t="s">
        <v>42</v>
      </c>
      <c r="E958" s="24" t="str">
        <f>IFERROR(VLOOKUP(F958, 'api-register-id'!B:F, 5, FALSE), "Not found path.")</f>
        <v>APIMX000159</v>
      </c>
      <c r="F958" s="25" t="s">
        <v>1952</v>
      </c>
      <c r="G958" s="26" t="s">
        <v>6001</v>
      </c>
      <c r="H958" s="22" t="s">
        <v>6002</v>
      </c>
      <c r="I958" s="29" t="str">
        <f>IFERROR(VLOOKUP(F958, 'api-register-id'!B:I, 8, FALSE), "Not found path.")</f>
        <v>1.3.0</v>
      </c>
      <c r="J958" s="3" t="s">
        <v>5992</v>
      </c>
      <c r="K958" s="31" t="s">
        <v>48</v>
      </c>
      <c r="L958" s="200" t="s">
        <v>49</v>
      </c>
      <c r="M958" s="3" t="s">
        <v>6003</v>
      </c>
      <c r="N958" s="3" t="str">
        <f t="shared" si="1"/>
        <v>POST /crossProductOperations/v1/accountBalanceDetails/create</v>
      </c>
      <c r="O958" s="32" t="s">
        <v>6004</v>
      </c>
      <c r="P958" s="32" t="s">
        <v>5995</v>
      </c>
      <c r="Q958" s="61" t="s">
        <v>6005</v>
      </c>
      <c r="R958" s="31" t="s">
        <v>56</v>
      </c>
      <c r="S958" s="38" t="str">
        <f t="shared" si="2"/>
        <v>https://github.com/SF-Bancoppel/mx-api-bc-bus-cross-product-operations</v>
      </c>
      <c r="T958" s="40"/>
      <c r="U958" s="40"/>
      <c r="V958" s="40"/>
      <c r="W958" s="40"/>
      <c r="X958" s="40"/>
      <c r="Y958" s="40"/>
      <c r="Z958" s="40"/>
      <c r="AA958" s="40"/>
      <c r="AB958" s="40"/>
    </row>
    <row r="959" ht="18.75" customHeight="1">
      <c r="A959" s="18" t="str">
        <f t="array" ref="A959">IFERROR(
  INDEX(
    'api-register-id'!A:A,
    MATCH(F959, 'api-register-id'!B:B, 0)
  ),
  "Not found Organization"
)</f>
        <v>SSFF</v>
      </c>
      <c r="B959" s="22" t="str">
        <f>IFERROR(VLOOKUP(F959, 'api-register-id'!B:F, 4, FALSE), "Not found path.")</f>
        <v>mx-api-bc-rec-cross-product-operations</v>
      </c>
      <c r="C959" s="23" t="s">
        <v>112</v>
      </c>
      <c r="D959" s="200" t="s">
        <v>1417</v>
      </c>
      <c r="E959" s="24" t="str">
        <f>IFERROR(VLOOKUP(F959, 'api-register-id'!B:F, 5, FALSE), "Not found path.")</f>
        <v>APIMX000160</v>
      </c>
      <c r="F959" s="25" t="s">
        <v>1983</v>
      </c>
      <c r="G959" s="26" t="s">
        <v>6006</v>
      </c>
      <c r="H959" s="22" t="s">
        <v>6007</v>
      </c>
      <c r="I959" s="29" t="str">
        <f>IFERROR(VLOOKUP(F959, 'api-register-id'!B:I, 8, FALSE), "Not found path.")</f>
        <v>1.3.0</v>
      </c>
      <c r="J959" s="3" t="s">
        <v>6008</v>
      </c>
      <c r="K959" s="31" t="s">
        <v>48</v>
      </c>
      <c r="L959" s="200" t="s">
        <v>49</v>
      </c>
      <c r="M959" s="3" t="s">
        <v>5993</v>
      </c>
      <c r="N959" s="3" t="str">
        <f t="shared" si="1"/>
        <v>POST /experience/crossProductOperations/v1/productInformation/retrieve</v>
      </c>
      <c r="O959" s="32" t="s">
        <v>5994</v>
      </c>
      <c r="P959" s="32" t="s">
        <v>6009</v>
      </c>
      <c r="Q959" s="61" t="s">
        <v>6010</v>
      </c>
      <c r="R959" s="31" t="s">
        <v>56</v>
      </c>
      <c r="S959" s="38" t="str">
        <f t="shared" si="2"/>
        <v>https://github.com/SF-Bancoppel/mx-api-bc-rec-cross-product-operations</v>
      </c>
      <c r="T959" s="40"/>
      <c r="U959" s="40"/>
      <c r="V959" s="40"/>
      <c r="W959" s="40"/>
      <c r="X959" s="40"/>
      <c r="Y959" s="40"/>
      <c r="Z959" s="40"/>
      <c r="AA959" s="40"/>
      <c r="AB959" s="40"/>
    </row>
    <row r="960" ht="18.75" customHeight="1">
      <c r="A960" s="18" t="str">
        <f t="array" ref="A960">IFERROR(
  INDEX(
    'api-register-id'!A:A,
    MATCH(F960, 'api-register-id'!B:B, 0)
  ),
  "Not found Organization"
)</f>
        <v>SSFF</v>
      </c>
      <c r="B960" s="22" t="str">
        <f>IFERROR(VLOOKUP(F960, 'api-register-id'!B:F, 4, FALSE), "Not found path.")</f>
        <v>mx-api-bc-rec-cross-product-operations</v>
      </c>
      <c r="C960" s="23" t="s">
        <v>112</v>
      </c>
      <c r="D960" s="200" t="s">
        <v>1417</v>
      </c>
      <c r="E960" s="24" t="str">
        <f>IFERROR(VLOOKUP(F960, 'api-register-id'!B:F, 5, FALSE), "Not found path.")</f>
        <v>APIMX000160</v>
      </c>
      <c r="F960" s="25" t="s">
        <v>1983</v>
      </c>
      <c r="G960" s="26" t="s">
        <v>6011</v>
      </c>
      <c r="H960" s="22" t="s">
        <v>6012</v>
      </c>
      <c r="I960" s="29" t="str">
        <f>IFERROR(VLOOKUP(F960, 'api-register-id'!B:I, 8, FALSE), "Not found path.")</f>
        <v>1.3.0</v>
      </c>
      <c r="J960" s="3" t="s">
        <v>6008</v>
      </c>
      <c r="K960" s="31" t="s">
        <v>48</v>
      </c>
      <c r="L960" s="200" t="s">
        <v>61</v>
      </c>
      <c r="M960" s="3" t="s">
        <v>5320</v>
      </c>
      <c r="N960" s="3" t="str">
        <f t="shared" si="1"/>
        <v>PUT /experience/crossProductOperations/v1/customerCreditRating/execute</v>
      </c>
      <c r="O960" s="32" t="s">
        <v>6013</v>
      </c>
      <c r="P960" s="32" t="s">
        <v>6009</v>
      </c>
      <c r="Q960" s="61" t="s">
        <v>6014</v>
      </c>
      <c r="R960" s="31" t="s">
        <v>56</v>
      </c>
      <c r="S960" s="38" t="str">
        <f t="shared" si="2"/>
        <v>https://github.com/SF-Bancoppel/mx-api-bc-rec-cross-product-operations</v>
      </c>
      <c r="T960" s="40"/>
      <c r="U960" s="40"/>
      <c r="V960" s="40"/>
      <c r="W960" s="40"/>
      <c r="X960" s="40"/>
      <c r="Y960" s="40"/>
      <c r="Z960" s="40"/>
      <c r="AA960" s="40"/>
      <c r="AB960" s="40"/>
    </row>
    <row r="961" ht="18.75" customHeight="1">
      <c r="A961" s="18" t="str">
        <f t="array" ref="A961">IFERROR(
  INDEX(
    'api-register-id'!A:A,
    MATCH(F961, 'api-register-id'!B:B, 0)
  ),
  "Not found Organization"
)</f>
        <v>SSFF</v>
      </c>
      <c r="B961" s="22" t="str">
        <f>IFERROR(VLOOKUP(F961, 'api-register-id'!B:F, 4, FALSE), "Not found path.")</f>
        <v>mx-api-bc-rec-cross-product-operations</v>
      </c>
      <c r="C961" s="23" t="s">
        <v>112</v>
      </c>
      <c r="D961" s="200" t="s">
        <v>1417</v>
      </c>
      <c r="E961" s="24" t="str">
        <f>IFERROR(VLOOKUP(F961, 'api-register-id'!B:F, 5, FALSE), "Not found path.")</f>
        <v>APIMX000160</v>
      </c>
      <c r="F961" s="25" t="s">
        <v>1983</v>
      </c>
      <c r="G961" s="26" t="s">
        <v>6015</v>
      </c>
      <c r="H961" s="22" t="s">
        <v>6016</v>
      </c>
      <c r="I961" s="29" t="str">
        <f>IFERROR(VLOOKUP(F961, 'api-register-id'!B:I, 8, FALSE), "Not found path.")</f>
        <v>1.3.0</v>
      </c>
      <c r="J961" s="3" t="s">
        <v>6008</v>
      </c>
      <c r="K961" s="31" t="s">
        <v>48</v>
      </c>
      <c r="L961" s="200" t="s">
        <v>49</v>
      </c>
      <c r="M961" s="3" t="s">
        <v>6003</v>
      </c>
      <c r="N961" s="3" t="str">
        <f t="shared" si="1"/>
        <v>POST /experience/crossProductOperations/v1/accountBalanceDetails/create</v>
      </c>
      <c r="O961" s="32" t="s">
        <v>6017</v>
      </c>
      <c r="P961" s="32" t="s">
        <v>6009</v>
      </c>
      <c r="Q961" s="61" t="s">
        <v>6018</v>
      </c>
      <c r="R961" s="31" t="s">
        <v>56</v>
      </c>
      <c r="S961" s="38" t="str">
        <f t="shared" si="2"/>
        <v>https://github.com/SF-Bancoppel/mx-api-bc-rec-cross-product-operations</v>
      </c>
      <c r="T961" s="40"/>
      <c r="U961" s="40"/>
      <c r="V961" s="40"/>
      <c r="W961" s="40"/>
      <c r="X961" s="40"/>
      <c r="Y961" s="40"/>
      <c r="Z961" s="40"/>
      <c r="AA961" s="40"/>
      <c r="AB961" s="40"/>
    </row>
    <row r="962" ht="18.75" customHeight="1">
      <c r="A962" s="18" t="str">
        <f t="array" ref="A962">IFERROR(
  INDEX(
    'api-register-id'!A:A,
    MATCH(F962, 'api-register-id'!B:B, 0)
  ),
  "Not found Organization"
)</f>
        <v>SSFF</v>
      </c>
      <c r="B962" s="22" t="str">
        <f>IFERROR(VLOOKUP(F962, 'api-register-id'!B:F, 4, FALSE), "Not found path.")</f>
        <v>mx-api-bc-bus-cards</v>
      </c>
      <c r="C962" s="200" t="s">
        <v>41</v>
      </c>
      <c r="D962" s="200" t="s">
        <v>42</v>
      </c>
      <c r="E962" s="24" t="str">
        <f>IFERROR(VLOOKUP(F962, 'api-register-id'!B:F, 5, FALSE), "Not found path.")</f>
        <v>APIMX000156</v>
      </c>
      <c r="F962" s="25" t="s">
        <v>1895</v>
      </c>
      <c r="G962" s="26" t="s">
        <v>6019</v>
      </c>
      <c r="H962" s="22" t="s">
        <v>4488</v>
      </c>
      <c r="I962" s="29" t="str">
        <f>IFERROR(VLOOKUP(F962, 'api-register-id'!B:I, 8, FALSE), "Not found path.")</f>
        <v>1.14.3</v>
      </c>
      <c r="J962" s="3" t="s">
        <v>5947</v>
      </c>
      <c r="K962" s="31" t="s">
        <v>48</v>
      </c>
      <c r="L962" s="200" t="s">
        <v>49</v>
      </c>
      <c r="M962" s="3" t="s">
        <v>6020</v>
      </c>
      <c r="N962" s="3" t="str">
        <f t="shared" si="1"/>
        <v>POST /cards/v1/applicationManagement/initiate</v>
      </c>
      <c r="O962" s="32" t="s">
        <v>6021</v>
      </c>
      <c r="P962" s="32" t="s">
        <v>6022</v>
      </c>
      <c r="Q962" s="61" t="s">
        <v>6023</v>
      </c>
      <c r="R962" s="31" t="s">
        <v>56</v>
      </c>
      <c r="S962" s="38" t="str">
        <f t="shared" si="2"/>
        <v>https://github.com/SF-Bancoppel/mx-api-bc-bus-cards</v>
      </c>
      <c r="T962" s="40"/>
      <c r="U962" s="40"/>
      <c r="V962" s="40"/>
      <c r="W962" s="40"/>
      <c r="X962" s="40"/>
      <c r="Y962" s="40"/>
      <c r="Z962" s="40"/>
      <c r="AA962" s="40"/>
      <c r="AB962" s="40"/>
    </row>
    <row r="963" ht="18.75" customHeight="1">
      <c r="A963" s="18" t="str">
        <f t="array" ref="A963">IFERROR(
  INDEX(
    'api-register-id'!A:A,
    MATCH(F963, 'api-register-id'!B:B, 0)
  ),
  "Not found Organization"
)</f>
        <v>SSFF</v>
      </c>
      <c r="B963" s="22" t="str">
        <f>IFERROR(VLOOKUP(F963, 'api-register-id'!B:F, 4, FALSE), "Not found path.")</f>
        <v>mx-api-bc-bus-cards</v>
      </c>
      <c r="C963" s="200" t="s">
        <v>41</v>
      </c>
      <c r="D963" s="200" t="s">
        <v>42</v>
      </c>
      <c r="E963" s="24" t="str">
        <f>IFERROR(VLOOKUP(F963, 'api-register-id'!B:F, 5, FALSE), "Not found path.")</f>
        <v>APIMX000156</v>
      </c>
      <c r="F963" s="25" t="s">
        <v>1895</v>
      </c>
      <c r="G963" s="26" t="s">
        <v>6024</v>
      </c>
      <c r="H963" s="22" t="s">
        <v>6025</v>
      </c>
      <c r="I963" s="29" t="str">
        <f>IFERROR(VLOOKUP(F963, 'api-register-id'!B:I, 8, FALSE), "Not found path.")</f>
        <v>1.14.3</v>
      </c>
      <c r="J963" s="3" t="s">
        <v>5947</v>
      </c>
      <c r="K963" s="31" t="s">
        <v>48</v>
      </c>
      <c r="L963" s="200" t="s">
        <v>49</v>
      </c>
      <c r="M963" s="3" t="s">
        <v>6026</v>
      </c>
      <c r="N963" s="3" t="str">
        <f t="shared" si="1"/>
        <v>POST /cards/v1/creditCardApplication/create</v>
      </c>
      <c r="O963" s="32" t="s">
        <v>6027</v>
      </c>
      <c r="P963" s="32" t="s">
        <v>6022</v>
      </c>
      <c r="Q963" s="61" t="s">
        <v>6028</v>
      </c>
      <c r="R963" s="31" t="s">
        <v>56</v>
      </c>
      <c r="S963" s="38" t="str">
        <f t="shared" si="2"/>
        <v>https://github.com/SF-Bancoppel/mx-api-bc-bus-cards</v>
      </c>
      <c r="T963" s="40"/>
      <c r="U963" s="40"/>
      <c r="V963" s="40"/>
      <c r="W963" s="40"/>
      <c r="X963" s="40"/>
      <c r="Y963" s="40"/>
      <c r="Z963" s="40"/>
      <c r="AA963" s="40"/>
      <c r="AB963" s="40"/>
    </row>
    <row r="964" ht="18.75" customHeight="1">
      <c r="A964" s="18" t="str">
        <f t="array" ref="A964">IFERROR(
  INDEX(
    'api-register-id'!A:A,
    MATCH(F964, 'api-register-id'!B:B, 0)
  ),
  "Not found Organization"
)</f>
        <v>SSFF</v>
      </c>
      <c r="B964" s="22" t="str">
        <f>IFERROR(VLOOKUP(F964, 'api-register-id'!B:F, 4, FALSE), "Not found path.")</f>
        <v>mx-api-bc-bus-cards</v>
      </c>
      <c r="C964" s="200" t="s">
        <v>41</v>
      </c>
      <c r="D964" s="200" t="s">
        <v>42</v>
      </c>
      <c r="E964" s="24" t="str">
        <f>IFERROR(VLOOKUP(F964, 'api-register-id'!B:F, 5, FALSE), "Not found path.")</f>
        <v>APIMX000156</v>
      </c>
      <c r="F964" s="25" t="s">
        <v>1895</v>
      </c>
      <c r="G964" s="26" t="s">
        <v>6029</v>
      </c>
      <c r="H964" s="22" t="s">
        <v>6030</v>
      </c>
      <c r="I964" s="29" t="str">
        <f>IFERROR(VLOOKUP(F964, 'api-register-id'!B:I, 8, FALSE), "Not found path.")</f>
        <v>1.14.3</v>
      </c>
      <c r="J964" s="3" t="s">
        <v>5947</v>
      </c>
      <c r="K964" s="31" t="s">
        <v>48</v>
      </c>
      <c r="L964" s="200" t="s">
        <v>49</v>
      </c>
      <c r="M964" s="3" t="s">
        <v>6031</v>
      </c>
      <c r="N964" s="3" t="str">
        <f t="shared" si="1"/>
        <v>POST /cards/v1/cardInformation/retrieve</v>
      </c>
      <c r="O964" s="32" t="s">
        <v>6021</v>
      </c>
      <c r="P964" s="32" t="s">
        <v>6022</v>
      </c>
      <c r="Q964" s="61" t="s">
        <v>6028</v>
      </c>
      <c r="R964" s="31" t="s">
        <v>56</v>
      </c>
      <c r="S964" s="38" t="str">
        <f t="shared" si="2"/>
        <v>https://github.com/SF-Bancoppel/mx-api-bc-bus-cards</v>
      </c>
      <c r="T964" s="40"/>
      <c r="U964" s="40"/>
      <c r="V964" s="40"/>
      <c r="W964" s="40"/>
      <c r="X964" s="40"/>
      <c r="Y964" s="40"/>
      <c r="Z964" s="40"/>
      <c r="AA964" s="40"/>
      <c r="AB964" s="40"/>
    </row>
    <row r="965" ht="18.75" customHeight="1">
      <c r="A965" s="18" t="str">
        <f t="array" ref="A965">IFERROR(
  INDEX(
    'api-register-id'!A:A,
    MATCH(F965, 'api-register-id'!B:B, 0)
  ),
  "Not found Organization"
)</f>
        <v>SSFF</v>
      </c>
      <c r="B965" s="22" t="str">
        <f>IFERROR(VLOOKUP(F965, 'api-register-id'!B:F, 4, FALSE), "Not found path.")</f>
        <v>mx-api-bc-rec-cards</v>
      </c>
      <c r="C965" s="200" t="s">
        <v>112</v>
      </c>
      <c r="D965" s="200" t="s">
        <v>1417</v>
      </c>
      <c r="E965" s="24" t="str">
        <f>IFERROR(VLOOKUP(F965, 'api-register-id'!B:F, 5, FALSE), "Not found path.")</f>
        <v>APIMX000153</v>
      </c>
      <c r="F965" s="25" t="s">
        <v>1816</v>
      </c>
      <c r="G965" s="26" t="s">
        <v>6032</v>
      </c>
      <c r="H965" s="22" t="s">
        <v>6033</v>
      </c>
      <c r="I965" s="29" t="str">
        <f>IFERROR(VLOOKUP(F965, 'api-register-id'!B:I, 8, FALSE), "Not found path.")</f>
        <v>1.14.3</v>
      </c>
      <c r="J965" s="3" t="s">
        <v>5923</v>
      </c>
      <c r="K965" s="31" t="s">
        <v>48</v>
      </c>
      <c r="L965" s="200" t="s">
        <v>49</v>
      </c>
      <c r="M965" s="3" t="s">
        <v>6020</v>
      </c>
      <c r="N965" s="3" t="str">
        <f t="shared" si="1"/>
        <v>POST /experience/cards/v1/applicationManagement/initiate</v>
      </c>
      <c r="O965" s="32" t="s">
        <v>6021</v>
      </c>
      <c r="P965" s="32" t="s">
        <v>6034</v>
      </c>
      <c r="Q965" s="61" t="s">
        <v>6035</v>
      </c>
      <c r="R965" s="31" t="s">
        <v>56</v>
      </c>
      <c r="S965" s="38" t="str">
        <f t="shared" si="2"/>
        <v>https://github.com/SF-Bancoppel/mx-api-bc-rec-cards</v>
      </c>
      <c r="T965" s="40"/>
      <c r="U965" s="40"/>
      <c r="V965" s="40"/>
      <c r="W965" s="40"/>
      <c r="X965" s="40"/>
      <c r="Y965" s="40"/>
      <c r="Z965" s="40"/>
      <c r="AA965" s="40"/>
      <c r="AB965" s="40"/>
    </row>
    <row r="966" ht="18.75" customHeight="1">
      <c r="A966" s="18" t="str">
        <f t="array" ref="A966">IFERROR(
  INDEX(
    'api-register-id'!A:A,
    MATCH(F966, 'api-register-id'!B:B, 0)
  ),
  "Not found Organization"
)</f>
        <v>SSFF</v>
      </c>
      <c r="B966" s="22" t="str">
        <f>IFERROR(VLOOKUP(F966, 'api-register-id'!B:F, 4, FALSE), "Not found path.")</f>
        <v>mx-api-bc-rec-cards</v>
      </c>
      <c r="C966" s="200" t="s">
        <v>112</v>
      </c>
      <c r="D966" s="200" t="s">
        <v>1417</v>
      </c>
      <c r="E966" s="24" t="str">
        <f>IFERROR(VLOOKUP(F966, 'api-register-id'!B:F, 5, FALSE), "Not found path.")</f>
        <v>APIMX000153</v>
      </c>
      <c r="F966" s="25" t="s">
        <v>1816</v>
      </c>
      <c r="G966" s="26" t="s">
        <v>6036</v>
      </c>
      <c r="H966" s="22" t="s">
        <v>6037</v>
      </c>
      <c r="I966" s="29" t="str">
        <f>IFERROR(VLOOKUP(F966, 'api-register-id'!B:I, 8, FALSE), "Not found path.")</f>
        <v>1.14.3</v>
      </c>
      <c r="J966" s="3" t="s">
        <v>5923</v>
      </c>
      <c r="K966" s="31" t="s">
        <v>48</v>
      </c>
      <c r="L966" s="200" t="s">
        <v>49</v>
      </c>
      <c r="M966" s="3" t="s">
        <v>6026</v>
      </c>
      <c r="N966" s="3" t="str">
        <f t="shared" si="1"/>
        <v>POST /experience/cards/v1/creditCardApplication/create</v>
      </c>
      <c r="O966" s="32" t="s">
        <v>6038</v>
      </c>
      <c r="P966" s="32" t="s">
        <v>6034</v>
      </c>
      <c r="Q966" s="61" t="s">
        <v>6039</v>
      </c>
      <c r="R966" s="31" t="s">
        <v>6040</v>
      </c>
      <c r="S966" s="38" t="str">
        <f t="shared" si="2"/>
        <v>https://github.com/SF-Bancoppel/mx-api-bc-rec-cards</v>
      </c>
      <c r="T966" s="40"/>
      <c r="U966" s="40"/>
      <c r="V966" s="40"/>
      <c r="W966" s="40"/>
      <c r="X966" s="40"/>
      <c r="Y966" s="40"/>
      <c r="Z966" s="40"/>
      <c r="AA966" s="40"/>
      <c r="AB966" s="40"/>
    </row>
    <row r="967" ht="18.75" customHeight="1">
      <c r="A967" s="18" t="str">
        <f t="array" ref="A967">IFERROR(
  INDEX(
    'api-register-id'!A:A,
    MATCH(F967, 'api-register-id'!B:B, 0)
  ),
  "Not found Organization"
)</f>
        <v>SSFF</v>
      </c>
      <c r="B967" s="22" t="str">
        <f>IFERROR(VLOOKUP(F967, 'api-register-id'!B:F, 4, FALSE), "Not found path.")</f>
        <v>mx-api-bc-rec-cards</v>
      </c>
      <c r="C967" s="200" t="s">
        <v>112</v>
      </c>
      <c r="D967" s="200" t="s">
        <v>1417</v>
      </c>
      <c r="E967" s="24" t="str">
        <f>IFERROR(VLOOKUP(F967, 'api-register-id'!B:F, 5, FALSE), "Not found path.")</f>
        <v>APIMX000153</v>
      </c>
      <c r="F967" s="25" t="s">
        <v>1816</v>
      </c>
      <c r="G967" s="26" t="s">
        <v>6041</v>
      </c>
      <c r="H967" s="22" t="s">
        <v>6042</v>
      </c>
      <c r="I967" s="29" t="str">
        <f>IFERROR(VLOOKUP(F967, 'api-register-id'!B:I, 8, FALSE), "Not found path.")</f>
        <v>1.14.3</v>
      </c>
      <c r="J967" s="3" t="s">
        <v>5923</v>
      </c>
      <c r="K967" s="31" t="s">
        <v>48</v>
      </c>
      <c r="L967" s="200" t="s">
        <v>49</v>
      </c>
      <c r="M967" s="3" t="s">
        <v>6031</v>
      </c>
      <c r="N967" s="3" t="str">
        <f t="shared" si="1"/>
        <v>POST /experience/cards/v1/cardInformation/retrieve</v>
      </c>
      <c r="O967" s="32" t="s">
        <v>6021</v>
      </c>
      <c r="P967" s="32" t="s">
        <v>6034</v>
      </c>
      <c r="Q967" s="61" t="s">
        <v>6043</v>
      </c>
      <c r="R967" s="31" t="s">
        <v>56</v>
      </c>
      <c r="S967" s="38" t="str">
        <f t="shared" si="2"/>
        <v>https://github.com/SF-Bancoppel/mx-api-bc-rec-cards</v>
      </c>
      <c r="T967" s="40"/>
      <c r="U967" s="40"/>
      <c r="V967" s="40"/>
      <c r="W967" s="40"/>
      <c r="X967" s="40"/>
      <c r="Y967" s="40"/>
      <c r="Z967" s="40"/>
      <c r="AA967" s="40"/>
      <c r="AB967" s="40"/>
    </row>
    <row r="968" ht="18.75" customHeight="1">
      <c r="A968" s="18" t="str">
        <f t="array" ref="A968">IFERROR(
  INDEX(
    'api-register-id'!A:A,
    MATCH(F968, 'api-register-id'!B:B, 0)
  ),
  "Not found Organization"
)</f>
        <v>SSFF</v>
      </c>
      <c r="B968" s="22" t="str">
        <f>IFERROR(VLOOKUP(F968, 'api-register-id'!B:F, 4, FALSE), "Not found path.")</f>
        <v>mx-api-bc-pro-utility</v>
      </c>
      <c r="C968" s="23" t="s">
        <v>41</v>
      </c>
      <c r="D968" s="23" t="s">
        <v>811</v>
      </c>
      <c r="E968" s="24" t="str">
        <f>IFERROR(VLOOKUP(F968, 'api-register-id'!B:F, 5, FALSE), "Not found path.")</f>
        <v>APIMX000114</v>
      </c>
      <c r="F968" s="25" t="s">
        <v>1404</v>
      </c>
      <c r="G968" s="26" t="s">
        <v>6044</v>
      </c>
      <c r="H968" s="22" t="s">
        <v>6045</v>
      </c>
      <c r="I968" s="29" t="str">
        <f>IFERROR(VLOOKUP(F968, 'api-register-id'!B:I, 8, FALSE), "Not found path.")</f>
        <v>1.2.0</v>
      </c>
      <c r="J968" s="3" t="s">
        <v>4600</v>
      </c>
      <c r="K968" s="31" t="s">
        <v>48</v>
      </c>
      <c r="L968" s="200" t="s">
        <v>108</v>
      </c>
      <c r="M968" s="3" t="s">
        <v>1987</v>
      </c>
      <c r="N968" s="3" t="str">
        <f t="shared" si="1"/>
        <v>GET /system/utility/utility/v1/dataParameterRetail/retrieve</v>
      </c>
      <c r="O968" s="32" t="s">
        <v>1988</v>
      </c>
      <c r="P968" s="32"/>
      <c r="Q968" s="61" t="s">
        <v>6046</v>
      </c>
      <c r="R968" s="31" t="s">
        <v>56</v>
      </c>
      <c r="S968" s="38" t="str">
        <f t="shared" si="2"/>
        <v>https://github.com/SF-Bancoppel/mx-api-bc-pro-utility</v>
      </c>
      <c r="T968" s="40"/>
      <c r="U968" s="40"/>
      <c r="V968" s="40"/>
      <c r="W968" s="40"/>
      <c r="X968" s="40"/>
      <c r="Y968" s="40"/>
      <c r="Z968" s="40"/>
      <c r="AA968" s="40"/>
      <c r="AB968" s="40"/>
    </row>
    <row r="969" ht="18.75" customHeight="1">
      <c r="A969" s="18" t="str">
        <f t="array" ref="A969">IFERROR(
  INDEX(
    'api-register-id'!A:A,
    MATCH(F969, 'api-register-id'!B:B, 0)
  ),
  "Not found Organization"
)</f>
        <v>SSFF</v>
      </c>
      <c r="B969" s="22" t="str">
        <f>IFERROR(VLOOKUP(F969, 'api-register-id'!B:F, 4, FALSE), "Not found path.")</f>
        <v>mx-api-bc-dom-party-reference-data-directory</v>
      </c>
      <c r="C969" s="23" t="s">
        <v>41</v>
      </c>
      <c r="D969" s="23" t="s">
        <v>119</v>
      </c>
      <c r="E969" s="24" t="str">
        <f>IFERROR(VLOOKUP(F969, 'api-register-id'!B:F, 5, FALSE), "Not found path.")</f>
        <v>APIMX000041</v>
      </c>
      <c r="F969" s="25" t="s">
        <v>637</v>
      </c>
      <c r="G969" s="26" t="s">
        <v>6047</v>
      </c>
      <c r="H969" s="22" t="s">
        <v>6048</v>
      </c>
      <c r="I969" s="29" t="str">
        <f>IFERROR(VLOOKUP(F969, 'api-register-id'!B:I, 8, FALSE), "Not found path.")</f>
        <v>1.7.2</v>
      </c>
      <c r="J969" s="3" t="s">
        <v>1504</v>
      </c>
      <c r="K969" s="31" t="s">
        <v>48</v>
      </c>
      <c r="L969" s="200" t="s">
        <v>49</v>
      </c>
      <c r="M969" s="3" t="s">
        <v>4323</v>
      </c>
      <c r="N969" s="3" t="str">
        <f t="shared" si="1"/>
        <v>POST /customerManagement/partyReferenceDataDirectory/v1/incomeProfile/update</v>
      </c>
      <c r="O969" s="32" t="s">
        <v>4325</v>
      </c>
      <c r="P969" s="32" t="s">
        <v>614</v>
      </c>
      <c r="Q969" s="61" t="s">
        <v>98</v>
      </c>
      <c r="R969" s="31" t="s">
        <v>56</v>
      </c>
      <c r="S969" s="38" t="str">
        <f t="shared" si="2"/>
        <v>https://github.com/SF-Bancoppel/mx-api-bc-dom-party-reference-data-directory</v>
      </c>
      <c r="T969" s="40"/>
      <c r="U969" s="40"/>
      <c r="V969" s="40"/>
      <c r="W969" s="40"/>
      <c r="X969" s="40"/>
      <c r="Y969" s="40"/>
      <c r="Z969" s="40"/>
      <c r="AA969" s="40"/>
      <c r="AB969" s="40"/>
    </row>
    <row r="970" ht="18.75" customHeight="1">
      <c r="A970" s="18" t="str">
        <f t="array" ref="A970">IFERROR(
  INDEX(
    'api-register-id'!A:A,
    MATCH(F970, 'api-register-id'!B:B, 0)
  ),
  "Not found Organization"
)</f>
        <v>SSFF</v>
      </c>
      <c r="B970" s="22" t="str">
        <f>IFERROR(VLOOKUP(F970, 'api-register-id'!B:F, 4, FALSE), "Not found path.")</f>
        <v>mx-api-bc-bus-customer-management</v>
      </c>
      <c r="C970" s="23" t="s">
        <v>41</v>
      </c>
      <c r="D970" s="23" t="s">
        <v>42</v>
      </c>
      <c r="E970" s="24" t="str">
        <f>IFERROR(VLOOKUP(F970, 'api-register-id'!B:F, 5, FALSE), "Not found path.")</f>
        <v>APIMX000161</v>
      </c>
      <c r="F970" s="25" t="s">
        <v>1993</v>
      </c>
      <c r="G970" s="26" t="s">
        <v>6049</v>
      </c>
      <c r="H970" s="22" t="s">
        <v>6050</v>
      </c>
      <c r="I970" s="29" t="str">
        <f>IFERROR(VLOOKUP(F970, 'api-register-id'!B:I, 8, FALSE), "Not found path.")</f>
        <v>1.21.0</v>
      </c>
      <c r="J970" s="3" t="s">
        <v>6051</v>
      </c>
      <c r="K970" s="31" t="s">
        <v>48</v>
      </c>
      <c r="L970" s="200" t="s">
        <v>49</v>
      </c>
      <c r="M970" s="3" t="s">
        <v>6052</v>
      </c>
      <c r="N970" s="3" t="str">
        <f t="shared" si="1"/>
        <v>POST /customerManagement/v1/partyProfile/evaluate</v>
      </c>
      <c r="O970" s="32" t="s">
        <v>6053</v>
      </c>
      <c r="P970" s="32" t="s">
        <v>6054</v>
      </c>
      <c r="Q970" s="61" t="s">
        <v>6055</v>
      </c>
      <c r="R970" s="31" t="s">
        <v>56</v>
      </c>
      <c r="S970" s="38" t="str">
        <f t="shared" si="2"/>
        <v>https://github.com/SF-Bancoppel/mx-api-bc-bus-customer-management</v>
      </c>
      <c r="T970" s="40"/>
      <c r="U970" s="40"/>
      <c r="V970" s="40"/>
      <c r="W970" s="40"/>
      <c r="X970" s="40"/>
      <c r="Y970" s="40"/>
      <c r="Z970" s="40"/>
      <c r="AA970" s="40"/>
      <c r="AB970" s="40"/>
    </row>
    <row r="971" ht="18.75" customHeight="1">
      <c r="A971" s="18" t="str">
        <f t="array" ref="A971">IFERROR(
  INDEX(
    'api-register-id'!A:A,
    MATCH(F971, 'api-register-id'!B:B, 0)
  ),
  "Not found Organization"
)</f>
        <v>SSFF</v>
      </c>
      <c r="B971" s="22" t="str">
        <f>IFERROR(VLOOKUP(F971, 'api-register-id'!B:F, 4, FALSE), "Not found path.")</f>
        <v>mx-api-bc-bus-customer-management</v>
      </c>
      <c r="C971" s="23" t="s">
        <v>41</v>
      </c>
      <c r="D971" s="23" t="s">
        <v>42</v>
      </c>
      <c r="E971" s="24" t="str">
        <f>IFERROR(VLOOKUP(F971, 'api-register-id'!B:F, 5, FALSE), "Not found path.")</f>
        <v>APIMX000161</v>
      </c>
      <c r="F971" s="25" t="s">
        <v>1993</v>
      </c>
      <c r="G971" s="26" t="s">
        <v>6056</v>
      </c>
      <c r="H971" s="22" t="s">
        <v>6057</v>
      </c>
      <c r="I971" s="29" t="str">
        <f>IFERROR(VLOOKUP(F971, 'api-register-id'!B:I, 8, FALSE), "Not found path.")</f>
        <v>1.21.0</v>
      </c>
      <c r="J971" s="3" t="s">
        <v>6051</v>
      </c>
      <c r="K971" s="31" t="s">
        <v>48</v>
      </c>
      <c r="L971" s="200" t="s">
        <v>49</v>
      </c>
      <c r="M971" s="3" t="s">
        <v>6058</v>
      </c>
      <c r="N971" s="3" t="str">
        <f t="shared" si="1"/>
        <v>POST /customerManagement/v1/onBoardingCreditCardWelcomeKit/activate</v>
      </c>
      <c r="O971" s="32" t="s">
        <v>6059</v>
      </c>
      <c r="P971" s="32" t="s">
        <v>6054</v>
      </c>
      <c r="Q971" s="61" t="s">
        <v>6060</v>
      </c>
      <c r="R971" s="31" t="s">
        <v>56</v>
      </c>
      <c r="S971" s="38" t="str">
        <f t="shared" si="2"/>
        <v>https://github.com/SF-Bancoppel/mx-api-bc-bus-customer-management</v>
      </c>
      <c r="T971" s="40"/>
      <c r="U971" s="40"/>
      <c r="V971" s="40"/>
      <c r="W971" s="40"/>
      <c r="X971" s="40"/>
      <c r="Y971" s="40"/>
      <c r="Z971" s="40"/>
      <c r="AA971" s="40"/>
      <c r="AB971" s="40"/>
    </row>
    <row r="972" ht="18.75" customHeight="1">
      <c r="A972" s="18" t="str">
        <f t="array" ref="A972">IFERROR(
  INDEX(
    'api-register-id'!A:A,
    MATCH(F972, 'api-register-id'!B:B, 0)
  ),
  "Not found Organization"
)</f>
        <v>SSFF</v>
      </c>
      <c r="B972" s="22" t="str">
        <f>IFERROR(VLOOKUP(F972, 'api-register-id'!B:F, 4, FALSE), "Not found path.")</f>
        <v>mx-api-bc-bus-customer-management</v>
      </c>
      <c r="C972" s="23" t="s">
        <v>41</v>
      </c>
      <c r="D972" s="23" t="s">
        <v>42</v>
      </c>
      <c r="E972" s="24" t="str">
        <f>IFERROR(VLOOKUP(F972, 'api-register-id'!B:F, 5, FALSE), "Not found path.")</f>
        <v>APIMX000161</v>
      </c>
      <c r="F972" s="25" t="s">
        <v>1993</v>
      </c>
      <c r="G972" s="26" t="s">
        <v>6061</v>
      </c>
      <c r="H972" s="22" t="s">
        <v>6062</v>
      </c>
      <c r="I972" s="29" t="str">
        <f>IFERROR(VLOOKUP(F972, 'api-register-id'!B:I, 8, FALSE), "Not found path.")</f>
        <v>1.21.0</v>
      </c>
      <c r="J972" s="3" t="s">
        <v>6051</v>
      </c>
      <c r="K972" s="31" t="s">
        <v>48</v>
      </c>
      <c r="L972" s="200" t="s">
        <v>61</v>
      </c>
      <c r="M972" s="3" t="s">
        <v>6063</v>
      </c>
      <c r="N972" s="3" t="str">
        <f t="shared" si="1"/>
        <v>PUT /customerManagement/v1/onBoardingPartyDigitalService/execute</v>
      </c>
      <c r="O972" s="32" t="s">
        <v>6064</v>
      </c>
      <c r="P972" s="32" t="s">
        <v>6054</v>
      </c>
      <c r="Q972" s="61" t="s">
        <v>6065</v>
      </c>
      <c r="R972" s="31" t="s">
        <v>56</v>
      </c>
      <c r="S972" s="38" t="str">
        <f t="shared" si="2"/>
        <v>https://github.com/SF-Bancoppel/mx-api-bc-bus-customer-management</v>
      </c>
      <c r="T972" s="40"/>
      <c r="U972" s="40"/>
      <c r="V972" s="40"/>
      <c r="W972" s="40"/>
      <c r="X972" s="40"/>
      <c r="Y972" s="40"/>
      <c r="Z972" s="40"/>
      <c r="AA972" s="40"/>
      <c r="AB972" s="40"/>
    </row>
    <row r="973" ht="18.75" customHeight="1">
      <c r="A973" s="18" t="str">
        <f t="array" ref="A973">IFERROR(
  INDEX(
    'api-register-id'!A:A,
    MATCH(F973, 'api-register-id'!B:B, 0)
  ),
  "Not found Organization"
)</f>
        <v>SSFF</v>
      </c>
      <c r="B973" s="22" t="str">
        <f>IFERROR(VLOOKUP(F973, 'api-register-id'!B:F, 4, FALSE), "Not found path.")</f>
        <v>mx-api-bc-bus-customer-management</v>
      </c>
      <c r="C973" s="23" t="s">
        <v>41</v>
      </c>
      <c r="D973" s="23" t="s">
        <v>42</v>
      </c>
      <c r="E973" s="24" t="str">
        <f>IFERROR(VLOOKUP(F973, 'api-register-id'!B:F, 5, FALSE), "Not found path.")</f>
        <v>APIMX000161</v>
      </c>
      <c r="F973" s="25" t="s">
        <v>1993</v>
      </c>
      <c r="G973" s="26" t="s">
        <v>6066</v>
      </c>
      <c r="H973" s="22" t="s">
        <v>6067</v>
      </c>
      <c r="I973" s="29" t="str">
        <f>IFERROR(VLOOKUP(F973, 'api-register-id'!B:I, 8, FALSE), "Not found path.")</f>
        <v>1.21.0</v>
      </c>
      <c r="J973" s="3" t="s">
        <v>6051</v>
      </c>
      <c r="K973" s="31" t="s">
        <v>48</v>
      </c>
      <c r="L973" s="200" t="s">
        <v>49</v>
      </c>
      <c r="M973" s="3" t="s">
        <v>6068</v>
      </c>
      <c r="N973" s="3" t="str">
        <f t="shared" si="1"/>
        <v>POST /customerManagement/v1/customerRelationshipInvolvement/create</v>
      </c>
      <c r="O973" s="32" t="s">
        <v>5176</v>
      </c>
      <c r="P973" s="32" t="s">
        <v>6054</v>
      </c>
      <c r="Q973" s="61" t="s">
        <v>6069</v>
      </c>
      <c r="R973" s="31" t="s">
        <v>56</v>
      </c>
      <c r="S973" s="38" t="str">
        <f t="shared" si="2"/>
        <v>https://github.com/SF-Bancoppel/mx-api-bc-bus-customer-management</v>
      </c>
      <c r="T973" s="40"/>
      <c r="U973" s="40"/>
      <c r="V973" s="40"/>
      <c r="W973" s="40"/>
      <c r="X973" s="40"/>
      <c r="Y973" s="40"/>
      <c r="Z973" s="40"/>
      <c r="AA973" s="40"/>
      <c r="AB973" s="40"/>
    </row>
    <row r="974" ht="18.75" customHeight="1">
      <c r="A974" s="18" t="str">
        <f t="array" ref="A974">IFERROR(
  INDEX(
    'api-register-id'!A:A,
    MATCH(F974, 'api-register-id'!B:B, 0)
  ),
  "Not found Organization"
)</f>
        <v>SSFF</v>
      </c>
      <c r="B974" s="22" t="str">
        <f>IFERROR(VLOOKUP(F974, 'api-register-id'!B:F, 4, FALSE), "Not found path.")</f>
        <v>mx-api-bc-bus-customer-management</v>
      </c>
      <c r="C974" s="23" t="s">
        <v>41</v>
      </c>
      <c r="D974" s="23" t="s">
        <v>42</v>
      </c>
      <c r="E974" s="24" t="str">
        <f>IFERROR(VLOOKUP(F974, 'api-register-id'!B:F, 5, FALSE), "Not found path.")</f>
        <v>APIMX000161</v>
      </c>
      <c r="F974" s="25" t="s">
        <v>1993</v>
      </c>
      <c r="G974" s="26" t="s">
        <v>6070</v>
      </c>
      <c r="H974" s="22" t="s">
        <v>6071</v>
      </c>
      <c r="I974" s="29" t="str">
        <f>IFERROR(VLOOKUP(F974, 'api-register-id'!B:I, 8, FALSE), "Not found path.")</f>
        <v>1.21.0</v>
      </c>
      <c r="J974" s="3" t="s">
        <v>6051</v>
      </c>
      <c r="K974" s="31" t="s">
        <v>48</v>
      </c>
      <c r="L974" s="200" t="s">
        <v>61</v>
      </c>
      <c r="M974" s="3" t="s">
        <v>6072</v>
      </c>
      <c r="N974" s="3" t="str">
        <f t="shared" si="1"/>
        <v>PUT /customerManagement/v1/internalReporting/execute</v>
      </c>
      <c r="O974" s="32" t="s">
        <v>6073</v>
      </c>
      <c r="P974" s="32" t="s">
        <v>6054</v>
      </c>
      <c r="Q974" s="61" t="s">
        <v>6074</v>
      </c>
      <c r="R974" s="31" t="s">
        <v>56</v>
      </c>
      <c r="S974" s="38" t="str">
        <f t="shared" si="2"/>
        <v>https://github.com/SF-Bancoppel/mx-api-bc-bus-customer-management</v>
      </c>
      <c r="T974" s="40"/>
      <c r="U974" s="40"/>
      <c r="V974" s="40"/>
      <c r="W974" s="40"/>
      <c r="X974" s="40"/>
      <c r="Y974" s="40"/>
      <c r="Z974" s="40"/>
      <c r="AA974" s="40"/>
      <c r="AB974" s="40"/>
    </row>
    <row r="975" ht="18.75" customHeight="1">
      <c r="A975" s="18" t="str">
        <f t="array" ref="A975">IFERROR(
  INDEX(
    'api-register-id'!A:A,
    MATCH(F975, 'api-register-id'!B:B, 0)
  ),
  "Not found Organization"
)</f>
        <v>SSFF</v>
      </c>
      <c r="B975" s="22" t="str">
        <f>IFERROR(VLOOKUP(F975, 'api-register-id'!B:F, 4, FALSE), "Not found path.")</f>
        <v>mx-api-bc-bus-customer-management</v>
      </c>
      <c r="C975" s="23" t="s">
        <v>41</v>
      </c>
      <c r="D975" s="23" t="s">
        <v>42</v>
      </c>
      <c r="E975" s="24" t="str">
        <f>IFERROR(VLOOKUP(F975, 'api-register-id'!B:F, 5, FALSE), "Not found path.")</f>
        <v>APIMX000161</v>
      </c>
      <c r="F975" s="25" t="s">
        <v>1993</v>
      </c>
      <c r="G975" s="26" t="s">
        <v>6075</v>
      </c>
      <c r="H975" s="22" t="s">
        <v>6076</v>
      </c>
      <c r="I975" s="29" t="str">
        <f>IFERROR(VLOOKUP(F975, 'api-register-id'!B:I, 8, FALSE), "Not found path.")</f>
        <v>1.21.0</v>
      </c>
      <c r="J975" s="3" t="s">
        <v>6051</v>
      </c>
      <c r="K975" s="31" t="s">
        <v>48</v>
      </c>
      <c r="L975" s="200" t="s">
        <v>49</v>
      </c>
      <c r="M975" s="3" t="s">
        <v>6077</v>
      </c>
      <c r="N975" s="3" t="str">
        <f t="shared" si="1"/>
        <v>POST /customerManagement/v1/customerRelationshipInvolvementPep/create</v>
      </c>
      <c r="O975" s="32" t="s">
        <v>6078</v>
      </c>
      <c r="P975" s="32" t="s">
        <v>6054</v>
      </c>
      <c r="Q975" s="61" t="s">
        <v>6079</v>
      </c>
      <c r="R975" s="31" t="s">
        <v>56</v>
      </c>
      <c r="S975" s="38" t="str">
        <f t="shared" si="2"/>
        <v>https://github.com/SF-Bancoppel/mx-api-bc-bus-customer-management</v>
      </c>
      <c r="T975" s="40"/>
      <c r="U975" s="40"/>
      <c r="V975" s="40"/>
      <c r="W975" s="40"/>
      <c r="X975" s="40"/>
      <c r="Y975" s="40"/>
      <c r="Z975" s="40"/>
      <c r="AA975" s="40"/>
      <c r="AB975" s="40"/>
    </row>
    <row r="976" ht="18.75" customHeight="1">
      <c r="A976" s="18" t="str">
        <f t="array" ref="A976">IFERROR(
  INDEX(
    'api-register-id'!A:A,
    MATCH(F976, 'api-register-id'!B:B, 0)
  ),
  "Not found Organization"
)</f>
        <v>SSFF</v>
      </c>
      <c r="B976" s="22" t="str">
        <f>IFERROR(VLOOKUP(F976, 'api-register-id'!B:F, 4, FALSE), "Not found path.")</f>
        <v>mx-api-bc-bus-operational-services</v>
      </c>
      <c r="C976" s="23" t="s">
        <v>41</v>
      </c>
      <c r="D976" s="23" t="s">
        <v>42</v>
      </c>
      <c r="E976" s="24" t="str">
        <f>IFERROR(VLOOKUP(F976, 'api-register-id'!B:F, 5, FALSE), "Not found path.")</f>
        <v>APIMX000162</v>
      </c>
      <c r="F976" s="25" t="s">
        <v>2085</v>
      </c>
      <c r="G976" s="26" t="s">
        <v>6080</v>
      </c>
      <c r="H976" s="22" t="s">
        <v>4490</v>
      </c>
      <c r="I976" s="29" t="str">
        <f>IFERROR(VLOOKUP(F976, 'api-register-id'!B:I, 8, FALSE), "Not found path.")</f>
        <v>1.1.0</v>
      </c>
      <c r="J976" s="3" t="s">
        <v>6081</v>
      </c>
      <c r="K976" s="31" t="s">
        <v>48</v>
      </c>
      <c r="L976" s="200" t="s">
        <v>49</v>
      </c>
      <c r="M976" s="3" t="s">
        <v>6082</v>
      </c>
      <c r="N976" s="3" t="str">
        <f t="shared" si="1"/>
        <v>POST /operationalServices/v1/accessArrangement/initiate</v>
      </c>
      <c r="O976" s="32" t="s">
        <v>6083</v>
      </c>
      <c r="P976" s="32" t="s">
        <v>6084</v>
      </c>
      <c r="Q976" s="61" t="s">
        <v>6085</v>
      </c>
      <c r="R976" s="31" t="s">
        <v>56</v>
      </c>
      <c r="S976" s="38" t="str">
        <f t="shared" si="2"/>
        <v>https://github.com/SF-Bancoppel/mx-api-bc-bus-operational-services</v>
      </c>
      <c r="T976" s="40"/>
      <c r="U976" s="40"/>
      <c r="V976" s="40"/>
      <c r="W976" s="40"/>
      <c r="X976" s="40"/>
      <c r="Y976" s="40"/>
      <c r="Z976" s="40"/>
      <c r="AA976" s="40"/>
      <c r="AB976" s="40"/>
    </row>
    <row r="977" ht="18.75" customHeight="1">
      <c r="A977" s="18" t="str">
        <f t="array" ref="A977">IFERROR(
  INDEX(
    'api-register-id'!A:A,
    MATCH(F977, 'api-register-id'!B:B, 0)
  ),
  "Not found Organization"
)</f>
        <v>SSFF</v>
      </c>
      <c r="B977" s="22" t="str">
        <f>IFERROR(VLOOKUP(F977, 'api-register-id'!B:F, 4, FALSE), "Not found path.")</f>
        <v>mx-api-bc-bus-customer-management</v>
      </c>
      <c r="C977" s="200" t="s">
        <v>41</v>
      </c>
      <c r="D977" s="200" t="s">
        <v>42</v>
      </c>
      <c r="E977" s="24" t="str">
        <f>IFERROR(VLOOKUP(F977, 'api-register-id'!B:F, 5, FALSE), "Not found path.")</f>
        <v>APIMX000161</v>
      </c>
      <c r="F977" s="25" t="s">
        <v>1993</v>
      </c>
      <c r="G977" s="26" t="s">
        <v>6086</v>
      </c>
      <c r="H977" s="204" t="s">
        <v>6087</v>
      </c>
      <c r="I977" s="29" t="str">
        <f>IFERROR(VLOOKUP(F977, 'api-register-id'!B:I, 8, FALSE), "Not found path.")</f>
        <v>1.21.0</v>
      </c>
      <c r="J977" s="205" t="s">
        <v>6051</v>
      </c>
      <c r="K977" s="206" t="s">
        <v>48</v>
      </c>
      <c r="L977" s="200" t="s">
        <v>61</v>
      </c>
      <c r="M977" s="205" t="s">
        <v>6088</v>
      </c>
      <c r="N977" s="3" t="str">
        <f t="shared" si="1"/>
        <v>PUT /customerManagement/v1/internalCustomerCreditRating/execute</v>
      </c>
      <c r="O977" s="32" t="s">
        <v>6089</v>
      </c>
      <c r="P977" s="32"/>
      <c r="Q977" s="61" t="s">
        <v>6090</v>
      </c>
      <c r="R977" s="31" t="s">
        <v>56</v>
      </c>
      <c r="S977" s="38" t="str">
        <f t="shared" si="2"/>
        <v>https://github.com/SF-Bancoppel/mx-api-bc-bus-customer-management</v>
      </c>
      <c r="T977" s="40"/>
      <c r="U977" s="40"/>
      <c r="V977" s="40"/>
      <c r="W977" s="40"/>
      <c r="X977" s="40"/>
      <c r="Y977" s="40"/>
      <c r="Z977" s="40"/>
      <c r="AA977" s="40"/>
      <c r="AB977" s="40"/>
    </row>
    <row r="978" ht="18.75" customHeight="1">
      <c r="A978" s="18" t="str">
        <f t="array" ref="A978">IFERROR(
  INDEX(
    'api-register-id'!A:A,
    MATCH(F978, 'api-register-id'!B:B, 0)
  ),
  "Not found Organization"
)</f>
        <v>SSFF</v>
      </c>
      <c r="B978" s="22" t="str">
        <f>IFERROR(VLOOKUP(F978, 'api-register-id'!B:F, 4, FALSE), "Not found path.")</f>
        <v>mx-api-bc-bus-cards</v>
      </c>
      <c r="C978" s="200" t="s">
        <v>41</v>
      </c>
      <c r="D978" s="200" t="s">
        <v>42</v>
      </c>
      <c r="E978" s="24" t="str">
        <f>IFERROR(VLOOKUP(F978, 'api-register-id'!B:F, 5, FALSE), "Not found path.")</f>
        <v>APIMX000156</v>
      </c>
      <c r="F978" s="25" t="s">
        <v>1895</v>
      </c>
      <c r="G978" s="26" t="s">
        <v>6091</v>
      </c>
      <c r="H978" s="204" t="s">
        <v>6092</v>
      </c>
      <c r="I978" s="29" t="str">
        <f>IFERROR(VLOOKUP(F978, 'api-register-id'!B:I, 8, FALSE), "Not found path.")</f>
        <v>1.14.3</v>
      </c>
      <c r="J978" s="205" t="s">
        <v>5947</v>
      </c>
      <c r="K978" s="206" t="s">
        <v>48</v>
      </c>
      <c r="L978" s="200" t="s">
        <v>49</v>
      </c>
      <c r="M978" s="205" t="s">
        <v>6093</v>
      </c>
      <c r="N978" s="3" t="str">
        <f t="shared" si="1"/>
        <v>POST /cards/v1/creditCardChargeTransaction/initiate</v>
      </c>
      <c r="O978" s="32" t="s">
        <v>6094</v>
      </c>
      <c r="P978" s="32"/>
      <c r="Q978" s="61" t="s">
        <v>6095</v>
      </c>
      <c r="R978" s="31" t="s">
        <v>56</v>
      </c>
      <c r="S978" s="38" t="str">
        <f t="shared" si="2"/>
        <v>https://github.com/SF-Bancoppel/mx-api-bc-bus-cards</v>
      </c>
      <c r="T978" s="40"/>
      <c r="U978" s="40"/>
      <c r="V978" s="40"/>
      <c r="W978" s="40"/>
      <c r="X978" s="40"/>
      <c r="Y978" s="40"/>
      <c r="Z978" s="40"/>
      <c r="AA978" s="40"/>
      <c r="AB978" s="40"/>
    </row>
    <row r="979" ht="18.75" customHeight="1">
      <c r="A979" s="18" t="str">
        <f t="array" ref="A979">IFERROR(
  INDEX(
    'api-register-id'!A:A,
    MATCH(F979, 'api-register-id'!B:B, 0)
  ),
  "Not found Organization"
)</f>
        <v>SSFF</v>
      </c>
      <c r="B979" s="22" t="str">
        <f>IFERROR(VLOOKUP(F979, 'api-register-id'!B:F, 4, FALSE), "Not found path.")</f>
        <v>mx-api-bc-bus-cards</v>
      </c>
      <c r="C979" s="200" t="s">
        <v>41</v>
      </c>
      <c r="D979" s="200" t="s">
        <v>42</v>
      </c>
      <c r="E979" s="24" t="str">
        <f>IFERROR(VLOOKUP(F979, 'api-register-id'!B:F, 5, FALSE), "Not found path.")</f>
        <v>APIMX000156</v>
      </c>
      <c r="F979" s="25" t="s">
        <v>1895</v>
      </c>
      <c r="G979" s="26" t="s">
        <v>6096</v>
      </c>
      <c r="H979" s="204" t="s">
        <v>6097</v>
      </c>
      <c r="I979" s="29" t="str">
        <f>IFERROR(VLOOKUP(F979, 'api-register-id'!B:I, 8, FALSE), "Not found path.")</f>
        <v>1.14.3</v>
      </c>
      <c r="J979" s="205" t="s">
        <v>5947</v>
      </c>
      <c r="K979" s="206" t="s">
        <v>48</v>
      </c>
      <c r="L979" s="200" t="s">
        <v>49</v>
      </c>
      <c r="M979" s="205" t="s">
        <v>6098</v>
      </c>
      <c r="N979" s="3" t="str">
        <f t="shared" si="1"/>
        <v>POST /cards/v1/creditPaymentArrangement/initiate</v>
      </c>
      <c r="O979" s="32" t="s">
        <v>6099</v>
      </c>
      <c r="P979" s="32"/>
      <c r="Q979" s="61" t="s">
        <v>6100</v>
      </c>
      <c r="R979" s="31" t="s">
        <v>56</v>
      </c>
      <c r="S979" s="38" t="str">
        <f t="shared" si="2"/>
        <v>https://github.com/SF-Bancoppel/mx-api-bc-bus-cards</v>
      </c>
      <c r="T979" s="40"/>
      <c r="U979" s="40"/>
      <c r="V979" s="40"/>
      <c r="W979" s="40"/>
      <c r="X979" s="40"/>
      <c r="Y979" s="40"/>
      <c r="Z979" s="40"/>
      <c r="AA979" s="40"/>
      <c r="AB979" s="40"/>
    </row>
    <row r="980" ht="18.75" customHeight="1">
      <c r="A980" s="18" t="str">
        <f t="array" ref="A980">IFERROR(
  INDEX(
    'api-register-id'!A:A,
    MATCH(F980, 'api-register-id'!B:B, 0)
  ),
  "Not found Organization"
)</f>
        <v>SSFF</v>
      </c>
      <c r="B980" s="22" t="str">
        <f>IFERROR(VLOOKUP(F980, 'api-register-id'!B:F, 4, FALSE), "Not found path.")</f>
        <v>mx-api-bc-bus-payments</v>
      </c>
      <c r="C980" s="200" t="s">
        <v>41</v>
      </c>
      <c r="D980" s="200" t="s">
        <v>42</v>
      </c>
      <c r="E980" s="24" t="str">
        <f>IFERROR(VLOOKUP(F980, 'api-register-id'!B:F, 5, FALSE), "Not found path.")</f>
        <v>APIMX000165</v>
      </c>
      <c r="F980" s="25" t="s">
        <v>2295</v>
      </c>
      <c r="G980" s="26" t="s">
        <v>6101</v>
      </c>
      <c r="H980" s="1" t="s">
        <v>6102</v>
      </c>
      <c r="I980" s="29" t="str">
        <f>IFERROR(VLOOKUP(F980, 'api-register-id'!B:I, 8, FALSE), "Not found path.")</f>
        <v>1.0.1</v>
      </c>
      <c r="J980" s="205" t="s">
        <v>6103</v>
      </c>
      <c r="K980" s="206" t="s">
        <v>48</v>
      </c>
      <c r="L980" s="200" t="s">
        <v>49</v>
      </c>
      <c r="M980" s="205" t="s">
        <v>6104</v>
      </c>
      <c r="N980" s="3" t="str">
        <f t="shared" si="1"/>
        <v>POST /payments/v1/paymentOrderManagementProcedure/initiate</v>
      </c>
      <c r="O980" s="32" t="s">
        <v>6105</v>
      </c>
      <c r="P980" s="32"/>
      <c r="Q980" s="61" t="s">
        <v>98</v>
      </c>
      <c r="R980" s="31" t="s">
        <v>56</v>
      </c>
      <c r="S980" s="38" t="str">
        <f t="shared" si="2"/>
        <v>https://github.com/SF-Bancoppel/mx-api-bc-bus-payments</v>
      </c>
      <c r="T980" s="40"/>
      <c r="U980" s="40"/>
      <c r="V980" s="40"/>
      <c r="W980" s="40"/>
      <c r="X980" s="40"/>
      <c r="Y980" s="40"/>
      <c r="Z980" s="40"/>
      <c r="AA980" s="40"/>
      <c r="AB980" s="40"/>
    </row>
    <row r="981" ht="18.75" customHeight="1">
      <c r="A981" s="18" t="str">
        <f t="array" ref="A981">IFERROR(
  INDEX(
    'api-register-id'!A:A,
    MATCH(F981, 'api-register-id'!B:B, 0)
  ),
  "Not found Organization"
)</f>
        <v>SSFF</v>
      </c>
      <c r="B981" s="22" t="str">
        <f>IFERROR(VLOOKUP(F981, 'api-register-id'!B:F, 4, FALSE), "Not found path.")</f>
        <v>mx-api-bc-bus-cards</v>
      </c>
      <c r="C981" s="200" t="s">
        <v>41</v>
      </c>
      <c r="D981" s="200" t="s">
        <v>42</v>
      </c>
      <c r="E981" s="24" t="str">
        <f>IFERROR(VLOOKUP(F981, 'api-register-id'!B:F, 5, FALSE), "Not found path.")</f>
        <v>APIMX000156</v>
      </c>
      <c r="F981" s="25" t="s">
        <v>1895</v>
      </c>
      <c r="G981" s="26" t="s">
        <v>6106</v>
      </c>
      <c r="H981" s="207" t="s">
        <v>6107</v>
      </c>
      <c r="I981" s="29" t="str">
        <f>IFERROR(VLOOKUP(F981, 'api-register-id'!B:I, 8, FALSE), "Not found path.")</f>
        <v>1.14.3</v>
      </c>
      <c r="J981" s="208" t="s">
        <v>5947</v>
      </c>
      <c r="K981" s="200" t="s">
        <v>48</v>
      </c>
      <c r="L981" s="200" t="s">
        <v>49</v>
      </c>
      <c r="M981" s="208" t="s">
        <v>6108</v>
      </c>
      <c r="N981" s="3" t="str">
        <f t="shared" si="1"/>
        <v>POST /cards/v1/creditAccountTransaction/retrieve</v>
      </c>
      <c r="O981" s="32" t="s">
        <v>6109</v>
      </c>
      <c r="P981" s="32"/>
      <c r="Q981" s="61" t="s">
        <v>6110</v>
      </c>
      <c r="R981" s="31" t="s">
        <v>56</v>
      </c>
      <c r="S981" s="38" t="str">
        <f t="shared" si="2"/>
        <v>https://github.com/SF-Bancoppel/mx-api-bc-bus-cards</v>
      </c>
      <c r="T981" s="40"/>
      <c r="U981" s="40"/>
      <c r="V981" s="40"/>
      <c r="W981" s="40"/>
      <c r="X981" s="40"/>
      <c r="Y981" s="40"/>
      <c r="Z981" s="40"/>
      <c r="AA981" s="40"/>
      <c r="AB981" s="40"/>
    </row>
    <row r="982" ht="18.75" customHeight="1">
      <c r="A982" s="18" t="str">
        <f t="array" ref="A982">IFERROR(
  INDEX(
    'api-register-id'!A:A,
    MATCH(F982, 'api-register-id'!B:B, 0)
  ),
  "Not found Organization"
)</f>
        <v>SSFF</v>
      </c>
      <c r="B982" s="22" t="str">
        <f>IFERROR(VLOOKUP(F982, 'api-register-id'!B:F, 4, FALSE), "Not found path.")</f>
        <v>mx-api-bc-bus-product-specific-fulfillment</v>
      </c>
      <c r="C982" s="200" t="s">
        <v>41</v>
      </c>
      <c r="D982" s="200" t="s">
        <v>42</v>
      </c>
      <c r="E982" s="24" t="str">
        <f>IFERROR(VLOOKUP(F982, 'api-register-id'!B:F, 5, FALSE), "Not found path.")</f>
        <v>APIMX000166</v>
      </c>
      <c r="F982" s="25" t="s">
        <v>2365</v>
      </c>
      <c r="G982" s="26" t="s">
        <v>6111</v>
      </c>
      <c r="H982" s="204" t="s">
        <v>6112</v>
      </c>
      <c r="I982" s="29" t="str">
        <f>IFERROR(VLOOKUP(F982, 'api-register-id'!B:I, 8, FALSE), "Not found path.")</f>
        <v>1.1.0</v>
      </c>
      <c r="J982" s="205" t="s">
        <v>6113</v>
      </c>
      <c r="K982" s="206" t="s">
        <v>48</v>
      </c>
      <c r="L982" s="200" t="s">
        <v>49</v>
      </c>
      <c r="M982" s="205" t="s">
        <v>6114</v>
      </c>
      <c r="N982" s="3" t="str">
        <f t="shared" si="1"/>
        <v>POST /productSpecificFulfillment/v1/transactionArrangement/retrieve</v>
      </c>
      <c r="O982" s="32" t="s">
        <v>6115</v>
      </c>
      <c r="P982" s="32"/>
      <c r="Q982" s="61" t="s">
        <v>98</v>
      </c>
      <c r="R982" s="31" t="s">
        <v>56</v>
      </c>
      <c r="S982" s="38" t="str">
        <f t="shared" si="2"/>
        <v>https://github.com/SF-Bancoppel/mx-api-bc-bus-product-specific-fulfillment</v>
      </c>
      <c r="T982" s="40"/>
      <c r="U982" s="40"/>
      <c r="V982" s="40"/>
      <c r="W982" s="40"/>
      <c r="X982" s="40"/>
      <c r="Y982" s="40"/>
      <c r="Z982" s="40"/>
      <c r="AA982" s="40"/>
      <c r="AB982" s="40"/>
    </row>
    <row r="983" ht="18.75" customHeight="1">
      <c r="A983" s="18" t="str">
        <f t="array" ref="A983">IFERROR(
  INDEX(
    'api-register-id'!A:A,
    MATCH(F983, 'api-register-id'!B:B, 0)
  ),
  "Not found Organization"
)</f>
        <v>SSFF</v>
      </c>
      <c r="B983" s="22" t="str">
        <f>IFERROR(VLOOKUP(F983, 'api-register-id'!B:F, 4, FALSE), "Not found path.")</f>
        <v>mx-api-bc-dom-customer-credit-rating</v>
      </c>
      <c r="C983" s="200" t="s">
        <v>41</v>
      </c>
      <c r="D983" s="200" t="s">
        <v>119</v>
      </c>
      <c r="E983" s="24" t="str">
        <f>IFERROR(VLOOKUP(F983, 'api-register-id'!B:F, 5, FALSE), "Not found path.")</f>
        <v>APIMX000019</v>
      </c>
      <c r="F983" s="25" t="s">
        <v>325</v>
      </c>
      <c r="G983" s="26" t="s">
        <v>6116</v>
      </c>
      <c r="H983" s="204" t="s">
        <v>6117</v>
      </c>
      <c r="I983" s="29" t="str">
        <f>IFERROR(VLOOKUP(F983, 'api-register-id'!B:I, 8, FALSE), "Not found path.")</f>
        <v>1.5.1</v>
      </c>
      <c r="J983" s="205" t="s">
        <v>5325</v>
      </c>
      <c r="K983" s="206" t="s">
        <v>48</v>
      </c>
      <c r="L983" s="200" t="s">
        <v>49</v>
      </c>
      <c r="M983" s="205" t="s">
        <v>6072</v>
      </c>
      <c r="N983" s="3" t="str">
        <f t="shared" si="1"/>
        <v>POST /customerManagement/customerCreditRating/v1/internalReporting/execute</v>
      </c>
      <c r="O983" s="32" t="s">
        <v>6118</v>
      </c>
      <c r="P983" s="32"/>
      <c r="Q983" s="61" t="s">
        <v>6119</v>
      </c>
      <c r="R983" s="31" t="s">
        <v>56</v>
      </c>
      <c r="S983" s="38" t="str">
        <f t="shared" si="2"/>
        <v>https://github.com/SF-Bancoppel/mx-api-bc-dom-customer-credit-rating</v>
      </c>
      <c r="T983" s="40"/>
      <c r="U983" s="40"/>
      <c r="V983" s="40"/>
      <c r="W983" s="40"/>
      <c r="X983" s="40"/>
      <c r="Y983" s="40"/>
      <c r="Z983" s="40"/>
      <c r="AA983" s="40"/>
      <c r="AB983" s="40"/>
    </row>
    <row r="984" ht="18.75" customHeight="1">
      <c r="A984" s="18" t="str">
        <f t="array" ref="A984">IFERROR(
  INDEX(
    'api-register-id'!A:A,
    MATCH(F984, 'api-register-id'!B:B, 0)
  ),
  "Not found Organization"
)</f>
        <v>SSFF</v>
      </c>
      <c r="B984" s="22" t="str">
        <f>IFERROR(VLOOKUP(F984, 'api-register-id'!B:F, 4, FALSE), "Not found path.")</f>
        <v>mx-api-bc-dom-credit-card</v>
      </c>
      <c r="C984" s="200" t="s">
        <v>41</v>
      </c>
      <c r="D984" s="200" t="s">
        <v>119</v>
      </c>
      <c r="E984" s="24" t="str">
        <f>IFERROR(VLOOKUP(F984, 'api-register-id'!B:F, 5, FALSE), "Not found path.")</f>
        <v>APIMX000012</v>
      </c>
      <c r="F984" s="25" t="s">
        <v>218</v>
      </c>
      <c r="G984" s="26" t="s">
        <v>6120</v>
      </c>
      <c r="H984" s="204" t="s">
        <v>6121</v>
      </c>
      <c r="I984" s="29" t="str">
        <f>IFERROR(VLOOKUP(F984, 'api-register-id'!B:I, 8, FALSE), "Not found path.")</f>
        <v>1.31.0</v>
      </c>
      <c r="J984" s="205" t="s">
        <v>560</v>
      </c>
      <c r="K984" s="206" t="s">
        <v>48</v>
      </c>
      <c r="L984" s="200" t="s">
        <v>49</v>
      </c>
      <c r="M984" s="205" t="s">
        <v>6122</v>
      </c>
      <c r="N984" s="3" t="str">
        <f t="shared" si="1"/>
        <v>POST /cards/creditCard/v1/clarificationRequest/initiate</v>
      </c>
      <c r="O984" s="32" t="s">
        <v>6123</v>
      </c>
      <c r="P984" s="32"/>
      <c r="Q984" s="61" t="s">
        <v>6124</v>
      </c>
      <c r="R984" s="31" t="s">
        <v>56</v>
      </c>
      <c r="S984" s="38" t="str">
        <f t="shared" si="2"/>
        <v>https://github.com/SF-Bancoppel/mx-api-bc-dom-credit-card</v>
      </c>
      <c r="T984" s="40"/>
      <c r="U984" s="40"/>
      <c r="V984" s="40"/>
      <c r="W984" s="40"/>
      <c r="X984" s="40"/>
      <c r="Y984" s="40"/>
      <c r="Z984" s="40"/>
      <c r="AA984" s="40"/>
      <c r="AB984" s="40"/>
    </row>
    <row r="985" ht="18.75" customHeight="1">
      <c r="A985" s="18" t="str">
        <f t="array" ref="A985">IFERROR(
  INDEX(
    'api-register-id'!A:A,
    MATCH(F985, 'api-register-id'!B:B, 0)
  ),
  "Not found Organization"
)</f>
        <v>SSFF</v>
      </c>
      <c r="B985" s="22" t="str">
        <f>IFERROR(VLOOKUP(F985, 'api-register-id'!B:F, 4, FALSE), "Not found path.")</f>
        <v>mx-api-bc-dom-credit-card</v>
      </c>
      <c r="C985" s="200" t="s">
        <v>41</v>
      </c>
      <c r="D985" s="200" t="s">
        <v>119</v>
      </c>
      <c r="E985" s="24" t="str">
        <f>IFERROR(VLOOKUP(F985, 'api-register-id'!B:F, 5, FALSE), "Not found path.")</f>
        <v>APIMX000012</v>
      </c>
      <c r="F985" s="25" t="s">
        <v>218</v>
      </c>
      <c r="G985" s="26" t="s">
        <v>6125</v>
      </c>
      <c r="H985" s="204" t="s">
        <v>6126</v>
      </c>
      <c r="I985" s="29" t="str">
        <f>IFERROR(VLOOKUP(F985, 'api-register-id'!B:I, 8, FALSE), "Not found path.")</f>
        <v>1.31.0</v>
      </c>
      <c r="J985" s="205" t="s">
        <v>560</v>
      </c>
      <c r="K985" s="206" t="s">
        <v>48</v>
      </c>
      <c r="L985" s="200" t="s">
        <v>49</v>
      </c>
      <c r="M985" s="205" t="s">
        <v>6127</v>
      </c>
      <c r="N985" s="3" t="str">
        <f t="shared" si="1"/>
        <v>POST /cards/creditCard/v1/creditCardWithdrawals/initiate</v>
      </c>
      <c r="O985" s="32" t="s">
        <v>6128</v>
      </c>
      <c r="P985" s="32"/>
      <c r="Q985" s="61" t="s">
        <v>6129</v>
      </c>
      <c r="R985" s="31" t="s">
        <v>56</v>
      </c>
      <c r="S985" s="38" t="str">
        <f t="shared" si="2"/>
        <v>https://github.com/SF-Bancoppel/mx-api-bc-dom-credit-card</v>
      </c>
      <c r="T985" s="40"/>
      <c r="U985" s="40"/>
      <c r="V985" s="40"/>
      <c r="W985" s="40"/>
      <c r="X985" s="40"/>
      <c r="Y985" s="40"/>
      <c r="Z985" s="40"/>
      <c r="AA985" s="40"/>
      <c r="AB985" s="40"/>
    </row>
    <row r="986" ht="18.75" customHeight="1">
      <c r="A986" s="18" t="str">
        <f t="array" ref="A986">IFERROR(
  INDEX(
    'api-register-id'!A:A,
    MATCH(F986, 'api-register-id'!B:B, 0)
  ),
  "Not found Organization"
)</f>
        <v>SSFF</v>
      </c>
      <c r="B986" s="22" t="str">
        <f>IFERROR(VLOOKUP(F986, 'api-register-id'!B:F, 4, FALSE), "Not found path.")</f>
        <v>mx-api-bc-dom-card-transaction-switch</v>
      </c>
      <c r="C986" s="200" t="s">
        <v>41</v>
      </c>
      <c r="D986" s="200" t="s">
        <v>119</v>
      </c>
      <c r="E986" s="24" t="str">
        <f>IFERROR(VLOOKUP(F986, 'api-register-id'!B:F, 5, FALSE), "Not found path.")</f>
        <v>APIMX000167</v>
      </c>
      <c r="F986" s="25" t="s">
        <v>2449</v>
      </c>
      <c r="G986" s="26" t="s">
        <v>6130</v>
      </c>
      <c r="H986" s="204" t="s">
        <v>6131</v>
      </c>
      <c r="I986" s="29" t="str">
        <f>IFERROR(VLOOKUP(F986, 'api-register-id'!B:I, 8, FALSE), "Not found path.")</f>
        <v>1.0.0</v>
      </c>
      <c r="J986" s="205" t="s">
        <v>6132</v>
      </c>
      <c r="K986" s="206" t="s">
        <v>48</v>
      </c>
      <c r="L986" s="200" t="s">
        <v>49</v>
      </c>
      <c r="M986" s="205" t="s">
        <v>6133</v>
      </c>
      <c r="N986" s="3" t="str">
        <f t="shared" si="1"/>
        <v>POST /operationalServices/cardTransactionSwitch/v1/transactionCapture/initiate</v>
      </c>
      <c r="O986" s="32" t="s">
        <v>6134</v>
      </c>
      <c r="P986" s="32"/>
      <c r="Q986" s="61" t="s">
        <v>6135</v>
      </c>
      <c r="R986" s="31" t="s">
        <v>56</v>
      </c>
      <c r="S986" s="38" t="str">
        <f t="shared" si="2"/>
        <v>https://github.com/SF-Bancoppel/mx-api-bc-dom-card-transaction-switch</v>
      </c>
      <c r="T986" s="40"/>
      <c r="U986" s="40"/>
      <c r="V986" s="40"/>
      <c r="W986" s="40"/>
      <c r="X986" s="40"/>
      <c r="Y986" s="40"/>
      <c r="Z986" s="40"/>
      <c r="AA986" s="40"/>
      <c r="AB986" s="40"/>
    </row>
    <row r="987" ht="18.75" customHeight="1">
      <c r="A987" s="18" t="str">
        <f t="array" ref="A987">IFERROR(
  INDEX(
    'api-register-id'!A:A,
    MATCH(F987, 'api-register-id'!B:B, 0)
  ),
  "Not found Organization"
)</f>
        <v>SSFF</v>
      </c>
      <c r="B987" s="22" t="str">
        <f>IFERROR(VLOOKUP(F987, 'api-register-id'!B:F, 4, FALSE), "Not found path.")</f>
        <v>mx-api-bc-dom-payment-order</v>
      </c>
      <c r="C987" s="200" t="s">
        <v>41</v>
      </c>
      <c r="D987" s="200" t="s">
        <v>119</v>
      </c>
      <c r="E987" s="24" t="str">
        <f>IFERROR(VLOOKUP(F987, 'api-register-id'!B:F, 5, FALSE), "Not found path.")</f>
        <v>APIMX000044</v>
      </c>
      <c r="F987" s="25" t="s">
        <v>672</v>
      </c>
      <c r="G987" s="26" t="s">
        <v>6136</v>
      </c>
      <c r="H987" s="204" t="s">
        <v>6137</v>
      </c>
      <c r="I987" s="29" t="str">
        <f>IFERROR(VLOOKUP(F987, 'api-register-id'!B:I, 8, FALSE), "Not found path.")</f>
        <v>1.1.0</v>
      </c>
      <c r="J987" s="205" t="s">
        <v>1646</v>
      </c>
      <c r="K987" s="206" t="s">
        <v>48</v>
      </c>
      <c r="L987" s="200" t="s">
        <v>49</v>
      </c>
      <c r="M987" s="205" t="s">
        <v>1857</v>
      </c>
      <c r="N987" s="3" t="str">
        <f t="shared" si="1"/>
        <v>POST /payments/paymentOrder/v1/transactionReversalInstanceRecord/initiate</v>
      </c>
      <c r="O987" s="32" t="s">
        <v>6105</v>
      </c>
      <c r="P987" s="32"/>
      <c r="R987" s="31" t="s">
        <v>56</v>
      </c>
      <c r="S987" s="38" t="str">
        <f t="shared" si="2"/>
        <v>https://github.com/SF-Bancoppel/mx-api-bc-dom-payment-order</v>
      </c>
      <c r="T987" s="40"/>
      <c r="U987" s="40"/>
      <c r="V987" s="40"/>
      <c r="W987" s="40"/>
      <c r="X987" s="40"/>
      <c r="Y987" s="40"/>
      <c r="Z987" s="40"/>
      <c r="AA987" s="40"/>
      <c r="AB987" s="40"/>
    </row>
    <row r="988" ht="18.75" customHeight="1">
      <c r="A988" s="18" t="str">
        <f t="array" ref="A988">IFERROR(
  INDEX(
    'api-register-id'!A:A,
    MATCH(F988, 'api-register-id'!B:B, 0)
  ),
  "Not found Organization"
)</f>
        <v>SSFF</v>
      </c>
      <c r="B988" s="22" t="str">
        <f>IFERROR(VLOOKUP(F988, 'api-register-id'!B:F, 4, FALSE), "Not found path.")</f>
        <v>mx-api-bc-dom-credit-card</v>
      </c>
      <c r="C988" s="200" t="s">
        <v>41</v>
      </c>
      <c r="D988" s="200" t="s">
        <v>119</v>
      </c>
      <c r="E988" s="24" t="str">
        <f>IFERROR(VLOOKUP(F988, 'api-register-id'!B:F, 5, FALSE), "Not found path.")</f>
        <v>APIMX000012</v>
      </c>
      <c r="F988" s="25" t="s">
        <v>218</v>
      </c>
      <c r="G988" s="26" t="s">
        <v>6138</v>
      </c>
      <c r="H988" s="204" t="s">
        <v>6139</v>
      </c>
      <c r="I988" s="29" t="str">
        <f>IFERROR(VLOOKUP(F988, 'api-register-id'!B:I, 8, FALSE), "Not found path.")</f>
        <v>1.31.0</v>
      </c>
      <c r="J988" s="205" t="s">
        <v>560</v>
      </c>
      <c r="K988" s="206" t="s">
        <v>48</v>
      </c>
      <c r="L988" s="200" t="s">
        <v>49</v>
      </c>
      <c r="M988" s="205" t="s">
        <v>6140</v>
      </c>
      <c r="N988" s="3" t="str">
        <f t="shared" si="1"/>
        <v>POST /cards/creditCard/v1/cardPaymentService/retrieve</v>
      </c>
      <c r="O988" s="32" t="s">
        <v>6141</v>
      </c>
      <c r="P988" s="32"/>
      <c r="Q988" s="61" t="s">
        <v>6142</v>
      </c>
      <c r="R988" s="31" t="s">
        <v>56</v>
      </c>
      <c r="S988" s="38" t="str">
        <f t="shared" si="2"/>
        <v>https://github.com/SF-Bancoppel/mx-api-bc-dom-credit-card</v>
      </c>
      <c r="T988" s="40"/>
      <c r="U988" s="40"/>
      <c r="V988" s="40"/>
      <c r="W988" s="40"/>
      <c r="X988" s="40"/>
      <c r="Y988" s="40"/>
      <c r="Z988" s="40"/>
      <c r="AA988" s="40"/>
      <c r="AB988" s="40"/>
    </row>
    <row r="989" ht="18.75" customHeight="1">
      <c r="A989" s="18" t="str">
        <f t="array" ref="A989">IFERROR(
  INDEX(
    'api-register-id'!A:A,
    MATCH(F989, 'api-register-id'!B:B, 0)
  ),
  "Not found Organization"
)</f>
        <v>SSFF</v>
      </c>
      <c r="B989" s="22" t="str">
        <f>IFERROR(VLOOKUP(F989, 'api-register-id'!B:F, 4, FALSE), "Not found path.")</f>
        <v>mx-api-bc-dom-credit-card</v>
      </c>
      <c r="C989" s="200" t="s">
        <v>41</v>
      </c>
      <c r="D989" s="200" t="s">
        <v>119</v>
      </c>
      <c r="E989" s="24" t="str">
        <f>IFERROR(VLOOKUP(F989, 'api-register-id'!B:F, 5, FALSE), "Not found path.")</f>
        <v>APIMX000012</v>
      </c>
      <c r="F989" s="25" t="s">
        <v>218</v>
      </c>
      <c r="G989" s="26" t="s">
        <v>6143</v>
      </c>
      <c r="H989" s="204" t="s">
        <v>6144</v>
      </c>
      <c r="I989" s="29" t="str">
        <f>IFERROR(VLOOKUP(F989, 'api-register-id'!B:I, 8, FALSE), "Not found path.")</f>
        <v>1.31.0</v>
      </c>
      <c r="J989" s="205" t="s">
        <v>560</v>
      </c>
      <c r="K989" s="206" t="s">
        <v>48</v>
      </c>
      <c r="L989" s="200" t="s">
        <v>49</v>
      </c>
      <c r="M989" s="205" t="s">
        <v>6145</v>
      </c>
      <c r="N989" s="3" t="str">
        <f t="shared" si="1"/>
        <v>POST /cards/creditCard/v1/cardPaymentTransaction/retrieve</v>
      </c>
      <c r="O989" s="32" t="s">
        <v>6146</v>
      </c>
      <c r="P989" s="32"/>
      <c r="Q989" s="61" t="s">
        <v>6147</v>
      </c>
      <c r="R989" s="31" t="s">
        <v>56</v>
      </c>
      <c r="S989" s="38" t="str">
        <f t="shared" si="2"/>
        <v>https://github.com/SF-Bancoppel/mx-api-bc-dom-credit-card</v>
      </c>
      <c r="T989" s="40"/>
      <c r="U989" s="40"/>
      <c r="V989" s="40"/>
      <c r="W989" s="40"/>
      <c r="X989" s="40"/>
      <c r="Y989" s="40"/>
      <c r="Z989" s="40"/>
      <c r="AA989" s="40"/>
      <c r="AB989" s="40"/>
    </row>
    <row r="990" ht="18.75" customHeight="1">
      <c r="A990" s="18" t="str">
        <f t="array" ref="A990">IFERROR(
  INDEX(
    'api-register-id'!A:A,
    MATCH(F990, 'api-register-id'!B:B, 0)
  ),
  "Not found Organization"
)</f>
        <v>SSFF</v>
      </c>
      <c r="B990" s="22" t="str">
        <f>IFERROR(VLOOKUP(F990, 'api-register-id'!B:F, 4, FALSE), "Not found path.")</f>
        <v>mx-api-bc-dom-party-reference-data-directory</v>
      </c>
      <c r="C990" s="200" t="s">
        <v>41</v>
      </c>
      <c r="D990" s="200" t="s">
        <v>119</v>
      </c>
      <c r="E990" s="24" t="str">
        <f>IFERROR(VLOOKUP(F990, 'api-register-id'!B:F, 5, FALSE), "Not found path.")</f>
        <v>APIMX000041</v>
      </c>
      <c r="F990" s="25" t="s">
        <v>637</v>
      </c>
      <c r="G990" s="26" t="s">
        <v>6148</v>
      </c>
      <c r="H990" s="204" t="s">
        <v>6149</v>
      </c>
      <c r="I990" s="29" t="str">
        <f>IFERROR(VLOOKUP(F990, 'api-register-id'!B:I, 8, FALSE), "Not found path.")</f>
        <v>1.7.2</v>
      </c>
      <c r="J990" s="205" t="s">
        <v>1504</v>
      </c>
      <c r="K990" s="206" t="s">
        <v>48</v>
      </c>
      <c r="L990" s="200" t="s">
        <v>49</v>
      </c>
      <c r="M990" s="205" t="s">
        <v>6150</v>
      </c>
      <c r="N990" s="3" t="str">
        <f t="shared" si="1"/>
        <v>POST /customerManagement/partyReferenceDataDirectory/v1/partyReferenceDataDirectoryEntryCollection/retrieve</v>
      </c>
      <c r="O990" s="32" t="s">
        <v>6151</v>
      </c>
      <c r="P990" s="32"/>
      <c r="Q990" s="61" t="s">
        <v>6152</v>
      </c>
      <c r="R990" s="31" t="s">
        <v>56</v>
      </c>
      <c r="S990" s="38" t="str">
        <f t="shared" si="2"/>
        <v>https://github.com/SF-Bancoppel/mx-api-bc-dom-party-reference-data-directory</v>
      </c>
      <c r="T990" s="40"/>
      <c r="U990" s="40"/>
      <c r="V990" s="40"/>
      <c r="W990" s="40"/>
      <c r="X990" s="40"/>
      <c r="Y990" s="40"/>
      <c r="Z990" s="40"/>
      <c r="AA990" s="40"/>
      <c r="AB990" s="40"/>
    </row>
    <row r="991" ht="18.75" customHeight="1">
      <c r="A991" s="18" t="str">
        <f t="array" ref="A991">IFERROR(
  INDEX(
    'api-register-id'!A:A,
    MATCH(F991, 'api-register-id'!B:B, 0)
  ),
  "Not found Organization"
)</f>
        <v>SSFF</v>
      </c>
      <c r="B991" s="22" t="str">
        <f>IFERROR(VLOOKUP(F991, 'api-register-id'!B:F, 4, FALSE), "Not found path.")</f>
        <v>mx-api-bc-dom-loan</v>
      </c>
      <c r="C991" s="200" t="s">
        <v>41</v>
      </c>
      <c r="D991" s="200" t="s">
        <v>119</v>
      </c>
      <c r="E991" s="24" t="str">
        <f>IFERROR(VLOOKUP(F991, 'api-register-id'!B:F, 5, FALSE), "Not found path.")</f>
        <v>APIMX000037</v>
      </c>
      <c r="F991" s="25" t="s">
        <v>592</v>
      </c>
      <c r="G991" s="26" t="s">
        <v>6153</v>
      </c>
      <c r="H991" s="204" t="s">
        <v>5550</v>
      </c>
      <c r="I991" s="29" t="str">
        <f>IFERROR(VLOOKUP(F991, 'api-register-id'!B:I, 8, FALSE), "Not found path.")</f>
        <v>1.2.0</v>
      </c>
      <c r="J991" s="205" t="s">
        <v>1205</v>
      </c>
      <c r="K991" s="206" t="s">
        <v>48</v>
      </c>
      <c r="L991" s="200" t="s">
        <v>49</v>
      </c>
      <c r="M991" s="205" t="s">
        <v>4430</v>
      </c>
      <c r="N991" s="3" t="str">
        <f t="shared" si="1"/>
        <v>POST /loansAndDeposits/loan/v1/repayment/retrieve</v>
      </c>
      <c r="O991" s="32" t="s">
        <v>6154</v>
      </c>
      <c r="P991" s="32"/>
      <c r="Q991" s="61" t="s">
        <v>6155</v>
      </c>
      <c r="R991" s="31" t="s">
        <v>56</v>
      </c>
      <c r="S991" s="38" t="str">
        <f t="shared" si="2"/>
        <v>https://github.com/SF-Bancoppel/mx-api-bc-dom-loan</v>
      </c>
      <c r="T991" s="40"/>
      <c r="U991" s="40"/>
      <c r="V991" s="40"/>
      <c r="W991" s="40"/>
      <c r="X991" s="40"/>
      <c r="Y991" s="40"/>
      <c r="Z991" s="40"/>
      <c r="AA991" s="40"/>
      <c r="AB991" s="40"/>
    </row>
    <row r="992" ht="18.75" customHeight="1">
      <c r="A992" s="18" t="str">
        <f t="array" ref="A992">IFERROR(
  INDEX(
    'api-register-id'!A:A,
    MATCH(F992, 'api-register-id'!B:B, 0)
  ),
  "Not found Organization"
)</f>
        <v>SSFF</v>
      </c>
      <c r="B992" s="22" t="str">
        <f>IFERROR(VLOOKUP(F992, 'api-register-id'!B:F, 4, FALSE), "Not found path.")</f>
        <v>mx-api-bc-pro-customer-credit-rating</v>
      </c>
      <c r="C992" s="200" t="s">
        <v>41</v>
      </c>
      <c r="D992" s="200" t="s">
        <v>811</v>
      </c>
      <c r="E992" s="24" t="str">
        <f>IFERROR(VLOOKUP(F992, 'api-register-id'!B:F, 5, FALSE), "Not found path.")</f>
        <v>APIMX000075</v>
      </c>
      <c r="F992" s="25" t="s">
        <v>986</v>
      </c>
      <c r="G992" s="26" t="s">
        <v>6156</v>
      </c>
      <c r="H992" s="204" t="s">
        <v>6157</v>
      </c>
      <c r="I992" s="29" t="str">
        <f>IFERROR(VLOOKUP(F992, 'api-register-id'!B:I, 8, FALSE), "Not found path.")</f>
        <v>1.3.1</v>
      </c>
      <c r="J992" s="205" t="s">
        <v>5647</v>
      </c>
      <c r="K992" s="206" t="s">
        <v>48</v>
      </c>
      <c r="L992" s="200" t="s">
        <v>49</v>
      </c>
      <c r="M992" s="205" t="s">
        <v>6072</v>
      </c>
      <c r="N992" s="3" t="str">
        <f t="shared" si="1"/>
        <v>POST /system/customerManagement/customerCreditRating/v1/internalReporting/execute</v>
      </c>
      <c r="O992" s="32" t="s">
        <v>6118</v>
      </c>
      <c r="P992" s="32"/>
      <c r="Q992" s="61" t="s">
        <v>6158</v>
      </c>
      <c r="R992" s="31" t="s">
        <v>56</v>
      </c>
      <c r="S992" s="38" t="str">
        <f t="shared" si="2"/>
        <v>https://github.com/SF-Bancoppel/mx-api-bc-pro-customer-credit-rating</v>
      </c>
      <c r="T992" s="40"/>
      <c r="U992" s="40"/>
      <c r="V992" s="40"/>
      <c r="W992" s="40"/>
      <c r="X992" s="40"/>
      <c r="Y992" s="40"/>
      <c r="Z992" s="40"/>
      <c r="AA992" s="40"/>
      <c r="AB992" s="40"/>
    </row>
    <row r="993" ht="18.75" customHeight="1">
      <c r="A993" s="18" t="str">
        <f t="array" ref="A993">IFERROR(
  INDEX(
    'api-register-id'!A:A,
    MATCH(F993, 'api-register-id'!B:B, 0)
  ),
  "Not found Organization"
)</f>
        <v>SSFF</v>
      </c>
      <c r="B993" s="22" t="str">
        <f>IFERROR(VLOOKUP(F993, 'api-register-id'!B:F, 4, FALSE), "Not found path.")</f>
        <v>mx-api-bc-pro-credit-card</v>
      </c>
      <c r="C993" s="200" t="s">
        <v>41</v>
      </c>
      <c r="D993" s="200" t="s">
        <v>811</v>
      </c>
      <c r="E993" s="24" t="str">
        <f>IFERROR(VLOOKUP(F993, 'api-register-id'!B:F, 5, FALSE), "Not found path.")</f>
        <v>APIMX000068</v>
      </c>
      <c r="F993" s="25" t="s">
        <v>913</v>
      </c>
      <c r="G993" s="26" t="s">
        <v>6159</v>
      </c>
      <c r="H993" s="204" t="s">
        <v>6160</v>
      </c>
      <c r="I993" s="29" t="str">
        <f>IFERROR(VLOOKUP(F993, 'api-register-id'!B:I, 8, FALSE), "Not found path.")</f>
        <v>1.31.0</v>
      </c>
      <c r="J993" s="205" t="s">
        <v>2376</v>
      </c>
      <c r="K993" s="206" t="s">
        <v>48</v>
      </c>
      <c r="L993" s="200" t="s">
        <v>49</v>
      </c>
      <c r="M993" s="205" t="s">
        <v>6122</v>
      </c>
      <c r="N993" s="3" t="str">
        <f t="shared" si="1"/>
        <v>POST /system/cards/creditCard/v1/clarificationRequest/initiate</v>
      </c>
      <c r="O993" s="32" t="s">
        <v>6123</v>
      </c>
      <c r="P993" s="32"/>
      <c r="Q993" s="61" t="s">
        <v>6161</v>
      </c>
      <c r="R993" s="31" t="s">
        <v>56</v>
      </c>
      <c r="S993" s="38" t="str">
        <f t="shared" si="2"/>
        <v>https://github.com/SF-Bancoppel/mx-api-bc-pro-credit-card</v>
      </c>
      <c r="T993" s="40"/>
      <c r="U993" s="40"/>
      <c r="V993" s="40"/>
      <c r="W993" s="40"/>
      <c r="X993" s="40"/>
      <c r="Y993" s="40"/>
      <c r="Z993" s="40"/>
      <c r="AA993" s="40"/>
      <c r="AB993" s="40"/>
    </row>
    <row r="994" ht="18.75" customHeight="1">
      <c r="A994" s="18" t="str">
        <f t="array" ref="A994">IFERROR(
  INDEX(
    'api-register-id'!A:A,
    MATCH(F994, 'api-register-id'!B:B, 0)
  ),
  "Not found Organization"
)</f>
        <v>SSFF</v>
      </c>
      <c r="B994" s="22" t="str">
        <f>IFERROR(VLOOKUP(F994, 'api-register-id'!B:F, 4, FALSE), "Not found path.")</f>
        <v>mx-api-bc-pro-credit-card</v>
      </c>
      <c r="C994" s="200" t="s">
        <v>41</v>
      </c>
      <c r="D994" s="200" t="s">
        <v>811</v>
      </c>
      <c r="E994" s="24" t="str">
        <f>IFERROR(VLOOKUP(F994, 'api-register-id'!B:F, 5, FALSE), "Not found path.")</f>
        <v>APIMX000068</v>
      </c>
      <c r="F994" s="25" t="s">
        <v>913</v>
      </c>
      <c r="G994" s="26" t="s">
        <v>6162</v>
      </c>
      <c r="H994" s="204" t="s">
        <v>6163</v>
      </c>
      <c r="I994" s="29" t="str">
        <f>IFERROR(VLOOKUP(F994, 'api-register-id'!B:I, 8, FALSE), "Not found path.")</f>
        <v>1.31.0</v>
      </c>
      <c r="J994" s="205" t="s">
        <v>2376</v>
      </c>
      <c r="K994" s="206" t="s">
        <v>48</v>
      </c>
      <c r="L994" s="200" t="s">
        <v>49</v>
      </c>
      <c r="M994" s="205" t="s">
        <v>6127</v>
      </c>
      <c r="N994" s="3" t="str">
        <f t="shared" si="1"/>
        <v>POST /system/cards/creditCard/v1/creditCardWithdrawals/initiate</v>
      </c>
      <c r="O994" s="32" t="s">
        <v>6164</v>
      </c>
      <c r="P994" s="32"/>
      <c r="Q994" s="61" t="s">
        <v>6165</v>
      </c>
      <c r="R994" s="31" t="s">
        <v>56</v>
      </c>
      <c r="S994" s="38" t="str">
        <f t="shared" si="2"/>
        <v>https://github.com/SF-Bancoppel/mx-api-bc-pro-credit-card</v>
      </c>
      <c r="T994" s="40"/>
      <c r="U994" s="40"/>
      <c r="V994" s="40"/>
      <c r="W994" s="40"/>
      <c r="X994" s="40"/>
      <c r="Y994" s="40"/>
      <c r="Z994" s="40"/>
      <c r="AA994" s="40"/>
      <c r="AB994" s="40"/>
    </row>
    <row r="995" ht="18.75" customHeight="1">
      <c r="A995" s="18" t="str">
        <f t="array" ref="A995">IFERROR(
  INDEX(
    'api-register-id'!A:A,
    MATCH(F995, 'api-register-id'!B:B, 0)
  ),
  "Not found Organization"
)</f>
        <v>SSFF</v>
      </c>
      <c r="B995" s="22" t="str">
        <f>IFERROR(VLOOKUP(F995, 'api-register-id'!B:F, 4, FALSE), "Not found path.")</f>
        <v>mx-api-bc-pro-card-transaction-switch</v>
      </c>
      <c r="C995" s="200" t="s">
        <v>41</v>
      </c>
      <c r="D995" s="200" t="s">
        <v>811</v>
      </c>
      <c r="E995" s="24" t="str">
        <f>IFERROR(VLOOKUP(F995, 'api-register-id'!B:F, 5, FALSE), "Not found path.")</f>
        <v>APIMX000168</v>
      </c>
      <c r="F995" s="25" t="s">
        <v>2515</v>
      </c>
      <c r="G995" s="26" t="s">
        <v>6166</v>
      </c>
      <c r="H995" s="204" t="s">
        <v>6167</v>
      </c>
      <c r="I995" s="29" t="str">
        <f>IFERROR(VLOOKUP(F995, 'api-register-id'!B:I, 8, FALSE), "Not found path.")</f>
        <v>1.0.0</v>
      </c>
      <c r="J995" s="205" t="s">
        <v>6168</v>
      </c>
      <c r="K995" s="206" t="s">
        <v>48</v>
      </c>
      <c r="L995" s="200" t="s">
        <v>49</v>
      </c>
      <c r="M995" s="205" t="s">
        <v>6133</v>
      </c>
      <c r="N995" s="3" t="str">
        <f t="shared" si="1"/>
        <v>POST /system/operationalServices/cardTransactionSwitch/v1/transactionCapture/initiate</v>
      </c>
      <c r="O995" s="32" t="s">
        <v>6134</v>
      </c>
      <c r="P995" s="32"/>
      <c r="Q995" s="61" t="s">
        <v>6169</v>
      </c>
      <c r="R995" s="31" t="s">
        <v>56</v>
      </c>
      <c r="S995" s="38" t="str">
        <f t="shared" si="2"/>
        <v>https://github.com/SF-Bancoppel/mx-api-bc-pro-card-transaction-switch</v>
      </c>
      <c r="T995" s="40"/>
      <c r="U995" s="40"/>
      <c r="V995" s="40"/>
      <c r="W995" s="40"/>
      <c r="X995" s="40"/>
      <c r="Y995" s="40"/>
      <c r="Z995" s="40"/>
      <c r="AA995" s="40"/>
      <c r="AB995" s="40"/>
    </row>
    <row r="996" ht="18.75" customHeight="1">
      <c r="A996" s="18" t="str">
        <f t="array" ref="A996">IFERROR(
  INDEX(
    'api-register-id'!A:A,
    MATCH(F996, 'api-register-id'!B:B, 0)
  ),
  "Not found Organization"
)</f>
        <v>SSFF</v>
      </c>
      <c r="B996" s="22" t="str">
        <f>IFERROR(VLOOKUP(F996, 'api-register-id'!B:F, 4, FALSE), "Not found path.")</f>
        <v>mx-api-bc-pro-payment-order</v>
      </c>
      <c r="C996" s="200" t="s">
        <v>41</v>
      </c>
      <c r="D996" s="200" t="s">
        <v>811</v>
      </c>
      <c r="E996" s="24" t="str">
        <f>IFERROR(VLOOKUP(F996, 'api-register-id'!B:F, 5, FALSE), "Not found path.")</f>
        <v>APIMX000100</v>
      </c>
      <c r="F996" s="25" t="s">
        <v>1256</v>
      </c>
      <c r="G996" s="26" t="s">
        <v>6170</v>
      </c>
      <c r="H996" s="204" t="s">
        <v>6171</v>
      </c>
      <c r="I996" s="29" t="str">
        <f>IFERROR(VLOOKUP(F996, 'api-register-id'!B:I, 8, FALSE), "Not found path.")</f>
        <v>1.0.0</v>
      </c>
      <c r="J996" s="205" t="s">
        <v>3489</v>
      </c>
      <c r="K996" s="206" t="s">
        <v>48</v>
      </c>
      <c r="L996" s="200" t="s">
        <v>49</v>
      </c>
      <c r="M996" s="205" t="s">
        <v>1857</v>
      </c>
      <c r="N996" s="3" t="str">
        <f t="shared" si="1"/>
        <v>POST /system/payments/paymentOrder/v1/transactionReversalInstanceRecord/initiate</v>
      </c>
      <c r="O996" s="32" t="s">
        <v>6105</v>
      </c>
      <c r="P996" s="32"/>
      <c r="Q996" s="61" t="s">
        <v>6172</v>
      </c>
      <c r="R996" s="31" t="s">
        <v>56</v>
      </c>
      <c r="S996" s="38" t="str">
        <f t="shared" si="2"/>
        <v>https://github.com/SF-Bancoppel/mx-api-bc-pro-payment-order</v>
      </c>
      <c r="T996" s="40"/>
      <c r="U996" s="40"/>
      <c r="V996" s="40"/>
      <c r="W996" s="40"/>
      <c r="X996" s="40"/>
      <c r="Y996" s="40"/>
      <c r="Z996" s="40"/>
      <c r="AA996" s="40"/>
      <c r="AB996" s="40"/>
    </row>
    <row r="997" ht="18.75" customHeight="1">
      <c r="A997" s="18" t="str">
        <f t="array" ref="A997">IFERROR(
  INDEX(
    'api-register-id'!A:A,
    MATCH(F997, 'api-register-id'!B:B, 0)
  ),
  "Not found Organization"
)</f>
        <v>SSFF</v>
      </c>
      <c r="B997" s="22" t="str">
        <f>IFERROR(VLOOKUP(F997, 'api-register-id'!B:F, 4, FALSE), "Not found path.")</f>
        <v>mx-api-bc-pro-credit-card</v>
      </c>
      <c r="C997" s="200" t="s">
        <v>41</v>
      </c>
      <c r="D997" s="200" t="s">
        <v>811</v>
      </c>
      <c r="E997" s="24" t="str">
        <f>IFERROR(VLOOKUP(F997, 'api-register-id'!B:F, 5, FALSE), "Not found path.")</f>
        <v>APIMX000068</v>
      </c>
      <c r="F997" s="25" t="s">
        <v>913</v>
      </c>
      <c r="G997" s="26" t="s">
        <v>6173</v>
      </c>
      <c r="H997" s="204" t="s">
        <v>6174</v>
      </c>
      <c r="I997" s="29" t="str">
        <f>IFERROR(VLOOKUP(F997, 'api-register-id'!B:I, 8, FALSE), "Not found path.")</f>
        <v>1.31.0</v>
      </c>
      <c r="J997" s="205" t="s">
        <v>2376</v>
      </c>
      <c r="K997" s="206" t="s">
        <v>48</v>
      </c>
      <c r="L997" s="200" t="s">
        <v>49</v>
      </c>
      <c r="M997" s="205" t="s">
        <v>6140</v>
      </c>
      <c r="N997" s="3" t="str">
        <f t="shared" si="1"/>
        <v>POST /system/cards/creditCard/v1/cardPaymentService/retrieve</v>
      </c>
      <c r="O997" s="32" t="s">
        <v>6141</v>
      </c>
      <c r="P997" s="32"/>
      <c r="Q997" s="61" t="s">
        <v>6175</v>
      </c>
      <c r="R997" s="31" t="s">
        <v>56</v>
      </c>
      <c r="S997" s="38" t="str">
        <f t="shared" si="2"/>
        <v>https://github.com/SF-Bancoppel/mx-api-bc-pro-credit-card</v>
      </c>
      <c r="T997" s="40"/>
      <c r="U997" s="40"/>
      <c r="V997" s="40"/>
      <c r="W997" s="40"/>
      <c r="X997" s="40"/>
      <c r="Y997" s="40"/>
      <c r="Z997" s="40"/>
      <c r="AA997" s="40"/>
      <c r="AB997" s="40"/>
    </row>
    <row r="998" ht="18.75" customHeight="1">
      <c r="A998" s="18" t="str">
        <f t="array" ref="A998">IFERROR(
  INDEX(
    'api-register-id'!A:A,
    MATCH(F998, 'api-register-id'!B:B, 0)
  ),
  "Not found Organization"
)</f>
        <v>SSFF</v>
      </c>
      <c r="B998" s="22" t="str">
        <f>IFERROR(VLOOKUP(F998, 'api-register-id'!B:F, 4, FALSE), "Not found path.")</f>
        <v>mx-api-bc-pro-credit-card</v>
      </c>
      <c r="C998" s="200" t="s">
        <v>41</v>
      </c>
      <c r="D998" s="200" t="s">
        <v>811</v>
      </c>
      <c r="E998" s="24" t="str">
        <f>IFERROR(VLOOKUP(F998, 'api-register-id'!B:F, 5, FALSE), "Not found path.")</f>
        <v>APIMX000068</v>
      </c>
      <c r="F998" s="25" t="s">
        <v>913</v>
      </c>
      <c r="G998" s="26" t="s">
        <v>6176</v>
      </c>
      <c r="H998" s="204" t="s">
        <v>6177</v>
      </c>
      <c r="I998" s="29" t="str">
        <f>IFERROR(VLOOKUP(F998, 'api-register-id'!B:I, 8, FALSE), "Not found path.")</f>
        <v>1.31.0</v>
      </c>
      <c r="J998" s="205" t="s">
        <v>2376</v>
      </c>
      <c r="K998" s="206" t="s">
        <v>48</v>
      </c>
      <c r="L998" s="200" t="s">
        <v>49</v>
      </c>
      <c r="M998" s="205" t="s">
        <v>6145</v>
      </c>
      <c r="N998" s="3" t="str">
        <f t="shared" si="1"/>
        <v>POST /system/cards/creditCard/v1/cardPaymentTransaction/retrieve</v>
      </c>
      <c r="O998" s="32" t="s">
        <v>6146</v>
      </c>
      <c r="P998" s="32"/>
      <c r="Q998" s="61" t="s">
        <v>6178</v>
      </c>
      <c r="R998" s="31" t="s">
        <v>56</v>
      </c>
      <c r="S998" s="38" t="str">
        <f t="shared" si="2"/>
        <v>https://github.com/SF-Bancoppel/mx-api-bc-pro-credit-card</v>
      </c>
      <c r="T998" s="40"/>
      <c r="U998" s="40"/>
      <c r="V998" s="40"/>
      <c r="W998" s="40"/>
      <c r="X998" s="40"/>
      <c r="Y998" s="40"/>
      <c r="Z998" s="40"/>
      <c r="AA998" s="40"/>
      <c r="AB998" s="40"/>
    </row>
    <row r="999" ht="18.75" customHeight="1">
      <c r="A999" s="18" t="str">
        <f t="array" ref="A999">IFERROR(
  INDEX(
    'api-register-id'!A:A,
    MATCH(F999, 'api-register-id'!B:B, 0)
  ),
  "Not found Organization"
)</f>
        <v>SSFF</v>
      </c>
      <c r="B999" s="22" t="str">
        <f>IFERROR(VLOOKUP(F999, 'api-register-id'!B:F, 4, FALSE), "Not found path.")</f>
        <v>mx-api-bc-pro-party-reference-data-directory</v>
      </c>
      <c r="C999" s="200" t="s">
        <v>41</v>
      </c>
      <c r="D999" s="200" t="s">
        <v>811</v>
      </c>
      <c r="E999" s="24" t="str">
        <f>IFERROR(VLOOKUP(F999, 'api-register-id'!B:F, 5, FALSE), "Not found path.")</f>
        <v>APIMX000097</v>
      </c>
      <c r="F999" s="25" t="s">
        <v>1222</v>
      </c>
      <c r="G999" s="26" t="s">
        <v>6179</v>
      </c>
      <c r="H999" s="204" t="s">
        <v>6180</v>
      </c>
      <c r="I999" s="29" t="str">
        <f>IFERROR(VLOOKUP(F999, 'api-register-id'!B:I, 8, FALSE), "Not found path.")</f>
        <v>1.8.1</v>
      </c>
      <c r="J999" s="205" t="s">
        <v>3395</v>
      </c>
      <c r="K999" s="206" t="s">
        <v>48</v>
      </c>
      <c r="L999" s="200" t="s">
        <v>49</v>
      </c>
      <c r="M999" s="205" t="s">
        <v>6150</v>
      </c>
      <c r="N999" s="3" t="str">
        <f t="shared" si="1"/>
        <v>POST /system/customerManagement/partyReferenceDataDirectory/v1/partyReferenceDataDirectoryEntryCollection/retrieve</v>
      </c>
      <c r="O999" s="32" t="s">
        <v>6151</v>
      </c>
      <c r="P999" s="32"/>
      <c r="Q999" s="61" t="s">
        <v>6181</v>
      </c>
      <c r="R999" s="31" t="s">
        <v>56</v>
      </c>
      <c r="S999" s="38" t="str">
        <f t="shared" si="2"/>
        <v>https://github.com/SF-Bancoppel/mx-api-bc-pro-party-reference-data-directory</v>
      </c>
      <c r="T999" s="40"/>
      <c r="U999" s="40"/>
      <c r="V999" s="40"/>
      <c r="W999" s="40"/>
      <c r="X999" s="40"/>
      <c r="Y999" s="40"/>
      <c r="Z999" s="40"/>
      <c r="AA999" s="40"/>
      <c r="AB999" s="40"/>
    </row>
    <row r="1000" ht="18.75" customHeight="1">
      <c r="A1000" s="18" t="str">
        <f t="array" ref="A1000">IFERROR(
  INDEX(
    'api-register-id'!A:A,
    MATCH(F1000, 'api-register-id'!B:B, 0)
  ),
  "Not found Organization"
)</f>
        <v>SSFF</v>
      </c>
      <c r="B1000" s="22" t="str">
        <f>IFERROR(VLOOKUP(F1000, 'api-register-id'!B:F, 4, FALSE), "Not found path.")</f>
        <v>mx-api-bc-pro-loan</v>
      </c>
      <c r="C1000" s="200" t="s">
        <v>41</v>
      </c>
      <c r="D1000" s="200" t="s">
        <v>811</v>
      </c>
      <c r="E1000" s="24" t="str">
        <f>IFERROR(VLOOKUP(F1000, 'api-register-id'!B:F, 5, FALSE), "Not found path.")</f>
        <v>APIMX000093</v>
      </c>
      <c r="F1000" s="25" t="s">
        <v>1186</v>
      </c>
      <c r="G1000" s="26" t="s">
        <v>6182</v>
      </c>
      <c r="H1000" s="204" t="s">
        <v>5578</v>
      </c>
      <c r="I1000" s="29" t="str">
        <f>IFERROR(VLOOKUP(F1000, 'api-register-id'!B:I, 8, FALSE), "Not found path.")</f>
        <v>2.2.0</v>
      </c>
      <c r="J1000" s="205" t="s">
        <v>3110</v>
      </c>
      <c r="K1000" s="206" t="s">
        <v>48</v>
      </c>
      <c r="L1000" s="200" t="s">
        <v>49</v>
      </c>
      <c r="M1000" s="205" t="s">
        <v>4430</v>
      </c>
      <c r="N1000" s="3" t="str">
        <f t="shared" si="1"/>
        <v>POST /system/loansAndDeposits/loan/v1/repayment/retrieve</v>
      </c>
      <c r="O1000" s="32" t="s">
        <v>6154</v>
      </c>
      <c r="P1000" s="32"/>
      <c r="Q1000" s="61" t="s">
        <v>6183</v>
      </c>
      <c r="R1000" s="31" t="s">
        <v>56</v>
      </c>
      <c r="S1000" s="38" t="str">
        <f t="shared" si="2"/>
        <v>https://github.com/SF-Bancoppel/mx-api-bc-pro-loan</v>
      </c>
      <c r="T1000" s="40"/>
      <c r="U1000" s="40"/>
      <c r="V1000" s="40"/>
      <c r="W1000" s="40"/>
      <c r="X1000" s="40"/>
      <c r="Y1000" s="40"/>
      <c r="Z1000" s="40"/>
      <c r="AA1000" s="40"/>
      <c r="AB1000" s="40"/>
    </row>
    <row r="1001" ht="18.75" customHeight="1">
      <c r="A1001" s="18" t="str">
        <f t="array" ref="A1001">IFERROR(
  INDEX(
    'api-register-id'!A:A,
    MATCH(F1001, 'api-register-id'!B:B, 0)
  ),
  "Not found Organization"
)</f>
        <v>SSFF</v>
      </c>
      <c r="B1001" s="22" t="str">
        <f>IFERROR(VLOOKUP(F1001, 'api-register-id'!B:F, 4, FALSE), "Not found path.")</f>
        <v>mx-api-bc-rec-customer-management</v>
      </c>
      <c r="C1001" s="200" t="s">
        <v>112</v>
      </c>
      <c r="D1001" s="200" t="s">
        <v>1417</v>
      </c>
      <c r="E1001" s="24" t="str">
        <f>IFERROR(VLOOKUP(F1001, 'api-register-id'!B:F, 5, FALSE), "Not found path.")</f>
        <v>APIMX000163</v>
      </c>
      <c r="F1001" s="25" t="s">
        <v>2133</v>
      </c>
      <c r="G1001" s="26" t="s">
        <v>6184</v>
      </c>
      <c r="H1001" s="204" t="s">
        <v>6185</v>
      </c>
      <c r="I1001" s="29" t="str">
        <f>IFERROR(VLOOKUP(F1001, 'api-register-id'!B:I, 8, FALSE), "Not found path.")</f>
        <v>1.4.1</v>
      </c>
      <c r="J1001" s="205" t="s">
        <v>6186</v>
      </c>
      <c r="K1001" s="206" t="s">
        <v>48</v>
      </c>
      <c r="L1001" s="200" t="s">
        <v>61</v>
      </c>
      <c r="M1001" s="205" t="s">
        <v>6088</v>
      </c>
      <c r="N1001" s="3" t="str">
        <f t="shared" si="1"/>
        <v>PUT /experience/customerManagement/v1/internalCustomerCreditRating/execute</v>
      </c>
      <c r="O1001" s="32" t="s">
        <v>6187</v>
      </c>
      <c r="P1001" s="32"/>
      <c r="Q1001" s="61" t="s">
        <v>6188</v>
      </c>
      <c r="R1001" s="31" t="s">
        <v>56</v>
      </c>
      <c r="S1001" s="38" t="str">
        <f t="shared" si="2"/>
        <v>https://github.com/SF-Bancoppel/mx-api-bc-rec-customer-management</v>
      </c>
      <c r="T1001" s="40"/>
      <c r="U1001" s="40"/>
      <c r="V1001" s="40"/>
      <c r="W1001" s="40"/>
      <c r="X1001" s="40"/>
      <c r="Y1001" s="40"/>
      <c r="Z1001" s="40"/>
      <c r="AA1001" s="40"/>
      <c r="AB1001" s="40"/>
    </row>
    <row r="1002" ht="18.75" customHeight="1">
      <c r="A1002" s="18" t="str">
        <f t="array" ref="A1002">IFERROR(
  INDEX(
    'api-register-id'!A:A,
    MATCH(F1002, 'api-register-id'!B:B, 0)
  ),
  "Not found Organization"
)</f>
        <v>SSFF</v>
      </c>
      <c r="B1002" s="22" t="str">
        <f>IFERROR(VLOOKUP(F1002, 'api-register-id'!B:F, 4, FALSE), "Not found path.")</f>
        <v>mx-api-bc-rec-cards</v>
      </c>
      <c r="C1002" s="200" t="s">
        <v>112</v>
      </c>
      <c r="D1002" s="200" t="s">
        <v>1417</v>
      </c>
      <c r="E1002" s="24" t="str">
        <f>IFERROR(VLOOKUP(F1002, 'api-register-id'!B:F, 5, FALSE), "Not found path.")</f>
        <v>APIMX000153</v>
      </c>
      <c r="F1002" s="25" t="s">
        <v>1816</v>
      </c>
      <c r="G1002" s="26" t="s">
        <v>6189</v>
      </c>
      <c r="H1002" s="204" t="s">
        <v>6190</v>
      </c>
      <c r="I1002" s="29" t="str">
        <f>IFERROR(VLOOKUP(F1002, 'api-register-id'!B:I, 8, FALSE), "Not found path.")</f>
        <v>1.14.3</v>
      </c>
      <c r="J1002" s="205" t="s">
        <v>5923</v>
      </c>
      <c r="K1002" s="206" t="s">
        <v>48</v>
      </c>
      <c r="L1002" s="200" t="s">
        <v>49</v>
      </c>
      <c r="M1002" s="205" t="s">
        <v>6093</v>
      </c>
      <c r="N1002" s="3" t="str">
        <f t="shared" si="1"/>
        <v>POST /experience/cards/v1/creditCardChargeTransaction/initiate</v>
      </c>
      <c r="O1002" s="32" t="s">
        <v>6094</v>
      </c>
      <c r="P1002" s="32"/>
      <c r="Q1002" s="61" t="s">
        <v>6191</v>
      </c>
      <c r="R1002" s="31" t="s">
        <v>56</v>
      </c>
      <c r="S1002" s="38" t="str">
        <f t="shared" si="2"/>
        <v>https://github.com/SF-Bancoppel/mx-api-bc-rec-cards</v>
      </c>
      <c r="T1002" s="40"/>
      <c r="U1002" s="40"/>
      <c r="V1002" s="40"/>
      <c r="W1002" s="40"/>
      <c r="X1002" s="40"/>
      <c r="Y1002" s="40"/>
      <c r="Z1002" s="40"/>
      <c r="AA1002" s="40"/>
      <c r="AB1002" s="40"/>
    </row>
    <row r="1003" ht="18.75" customHeight="1">
      <c r="A1003" s="18" t="str">
        <f t="array" ref="A1003">IFERROR(
  INDEX(
    'api-register-id'!A:A,
    MATCH(F1003, 'api-register-id'!B:B, 0)
  ),
  "Not found Organization"
)</f>
        <v>SSFF</v>
      </c>
      <c r="B1003" s="22" t="str">
        <f>IFERROR(VLOOKUP(F1003, 'api-register-id'!B:F, 4, FALSE), "Not found path.")</f>
        <v>mx-api-bc-rec-cards</v>
      </c>
      <c r="C1003" s="200" t="s">
        <v>112</v>
      </c>
      <c r="D1003" s="200" t="s">
        <v>1417</v>
      </c>
      <c r="E1003" s="24" t="str">
        <f>IFERROR(VLOOKUP(F1003, 'api-register-id'!B:F, 5, FALSE), "Not found path.")</f>
        <v>APIMX000153</v>
      </c>
      <c r="F1003" s="25" t="s">
        <v>1816</v>
      </c>
      <c r="G1003" s="26" t="s">
        <v>6192</v>
      </c>
      <c r="H1003" s="204" t="s">
        <v>6193</v>
      </c>
      <c r="I1003" s="29" t="str">
        <f>IFERROR(VLOOKUP(F1003, 'api-register-id'!B:I, 8, FALSE), "Not found path.")</f>
        <v>1.14.3</v>
      </c>
      <c r="J1003" s="205" t="s">
        <v>5923</v>
      </c>
      <c r="K1003" s="206" t="s">
        <v>48</v>
      </c>
      <c r="L1003" s="200" t="s">
        <v>49</v>
      </c>
      <c r="M1003" s="205" t="s">
        <v>6098</v>
      </c>
      <c r="N1003" s="3" t="str">
        <f t="shared" si="1"/>
        <v>POST /experience/cards/v1/creditPaymentArrangement/initiate</v>
      </c>
      <c r="O1003" s="32" t="s">
        <v>6099</v>
      </c>
      <c r="P1003" s="32"/>
      <c r="Q1003" s="61" t="s">
        <v>6194</v>
      </c>
      <c r="R1003" s="31" t="s">
        <v>56</v>
      </c>
      <c r="S1003" s="38" t="str">
        <f t="shared" si="2"/>
        <v>https://github.com/SF-Bancoppel/mx-api-bc-rec-cards</v>
      </c>
      <c r="T1003" s="40"/>
      <c r="U1003" s="40"/>
      <c r="V1003" s="40"/>
      <c r="W1003" s="40"/>
      <c r="X1003" s="40"/>
      <c r="Y1003" s="40"/>
      <c r="Z1003" s="40"/>
      <c r="AA1003" s="40"/>
      <c r="AB1003" s="40"/>
    </row>
    <row r="1004" ht="18.75" customHeight="1">
      <c r="A1004" s="18" t="str">
        <f t="array" ref="A1004">IFERROR(
  INDEX(
    'api-register-id'!A:A,
    MATCH(F1004, 'api-register-id'!B:B, 0)
  ),
  "Not found Organization"
)</f>
        <v>SSFF</v>
      </c>
      <c r="B1004" s="22" t="str">
        <f>IFERROR(VLOOKUP(F1004, 'api-register-id'!B:F, 4, FALSE), "Not found path.")</f>
        <v>mx-api-bc-rec-payments</v>
      </c>
      <c r="C1004" s="200" t="s">
        <v>112</v>
      </c>
      <c r="D1004" s="200" t="s">
        <v>1417</v>
      </c>
      <c r="E1004" s="24" t="str">
        <f>IFERROR(VLOOKUP(F1004, 'api-register-id'!B:F, 5, FALSE), "Not found path.")</f>
        <v>APIMX000169</v>
      </c>
      <c r="F1004" s="25" t="s">
        <v>2568</v>
      </c>
      <c r="G1004" s="26" t="s">
        <v>6195</v>
      </c>
      <c r="H1004" s="204" t="s">
        <v>6196</v>
      </c>
      <c r="I1004" s="29" t="str">
        <f>IFERROR(VLOOKUP(F1004, 'api-register-id'!B:I, 8, FALSE), "Not found path.")</f>
        <v>1.0.1</v>
      </c>
      <c r="J1004" s="205" t="s">
        <v>6197</v>
      </c>
      <c r="K1004" s="206" t="s">
        <v>48</v>
      </c>
      <c r="L1004" s="200" t="s">
        <v>49</v>
      </c>
      <c r="M1004" s="205" t="s">
        <v>6104</v>
      </c>
      <c r="N1004" s="3" t="str">
        <f t="shared" si="1"/>
        <v>POST /experience/payments/v1/paymentOrderManagementProcedure/initiate</v>
      </c>
      <c r="O1004" s="32" t="s">
        <v>6105</v>
      </c>
      <c r="P1004" s="32"/>
      <c r="Q1004" s="61" t="s">
        <v>98</v>
      </c>
      <c r="R1004" s="31" t="s">
        <v>56</v>
      </c>
      <c r="S1004" s="38" t="str">
        <f t="shared" si="2"/>
        <v>https://github.com/SF-Bancoppel/mx-api-bc-rec-payments</v>
      </c>
      <c r="T1004" s="40"/>
      <c r="U1004" s="40"/>
      <c r="V1004" s="40"/>
      <c r="W1004" s="40"/>
      <c r="X1004" s="40"/>
      <c r="Y1004" s="40"/>
      <c r="Z1004" s="40"/>
      <c r="AA1004" s="40"/>
      <c r="AB1004" s="40"/>
    </row>
    <row r="1005" ht="18.75" customHeight="1">
      <c r="A1005" s="18" t="str">
        <f t="array" ref="A1005">IFERROR(
  INDEX(
    'api-register-id'!A:A,
    MATCH(F1005, 'api-register-id'!B:B, 0)
  ),
  "Not found Organization"
)</f>
        <v>SSFF</v>
      </c>
      <c r="B1005" s="22" t="str">
        <f>IFERROR(VLOOKUP(F1005, 'api-register-id'!B:F, 4, FALSE), "Not found path.")</f>
        <v>mx-api-bc-rec-cards</v>
      </c>
      <c r="C1005" s="200" t="s">
        <v>112</v>
      </c>
      <c r="D1005" s="200" t="s">
        <v>1417</v>
      </c>
      <c r="E1005" s="24" t="str">
        <f>IFERROR(VLOOKUP(F1005, 'api-register-id'!B:F, 5, FALSE), "Not found path.")</f>
        <v>APIMX000153</v>
      </c>
      <c r="F1005" s="25" t="s">
        <v>1816</v>
      </c>
      <c r="G1005" s="26" t="s">
        <v>6198</v>
      </c>
      <c r="H1005" s="204" t="s">
        <v>6199</v>
      </c>
      <c r="I1005" s="29" t="str">
        <f>IFERROR(VLOOKUP(F1005, 'api-register-id'!B:I, 8, FALSE), "Not found path.")</f>
        <v>1.14.3</v>
      </c>
      <c r="J1005" s="205" t="s">
        <v>5923</v>
      </c>
      <c r="K1005" s="206" t="s">
        <v>48</v>
      </c>
      <c r="L1005" s="200" t="s">
        <v>49</v>
      </c>
      <c r="M1005" s="205" t="s">
        <v>6108</v>
      </c>
      <c r="N1005" s="3" t="str">
        <f t="shared" si="1"/>
        <v>POST /experience/cards/v1/creditAccountTransaction/retrieve</v>
      </c>
      <c r="O1005" s="196" t="s">
        <v>6200</v>
      </c>
      <c r="P1005" s="32"/>
      <c r="Q1005" s="61" t="s">
        <v>6201</v>
      </c>
      <c r="R1005" s="31" t="s">
        <v>56</v>
      </c>
      <c r="S1005" s="38" t="str">
        <f t="shared" si="2"/>
        <v>https://github.com/SF-Bancoppel/mx-api-bc-rec-cards</v>
      </c>
      <c r="T1005" s="40"/>
      <c r="U1005" s="40"/>
      <c r="V1005" s="40"/>
      <c r="W1005" s="40"/>
      <c r="X1005" s="40"/>
      <c r="Y1005" s="40"/>
      <c r="Z1005" s="40"/>
      <c r="AA1005" s="40"/>
      <c r="AB1005" s="40"/>
    </row>
    <row r="1006" ht="18.75" customHeight="1">
      <c r="A1006" s="18" t="str">
        <f t="array" ref="A1006">IFERROR(
  INDEX(
    'api-register-id'!A:A,
    MATCH(F1006, 'api-register-id'!B:B, 0)
  ),
  "Not found Organization"
)</f>
        <v>SSFF</v>
      </c>
      <c r="B1006" s="22" t="str">
        <f>IFERROR(VLOOKUP(F1006, 'api-register-id'!B:F, 4, FALSE), "Not found path.")</f>
        <v>mx-api-bc-rec-product-specific-fulfillment</v>
      </c>
      <c r="C1006" s="200" t="s">
        <v>112</v>
      </c>
      <c r="D1006" s="200" t="s">
        <v>1417</v>
      </c>
      <c r="E1006" s="24" t="str">
        <f>IFERROR(VLOOKUP(F1006, 'api-register-id'!B:F, 5, FALSE), "Not found path.")</f>
        <v>APIMX000170</v>
      </c>
      <c r="F1006" s="25" t="s">
        <v>2607</v>
      </c>
      <c r="G1006" s="26" t="s">
        <v>6202</v>
      </c>
      <c r="H1006" s="204" t="s">
        <v>6203</v>
      </c>
      <c r="I1006" s="29" t="str">
        <f>IFERROR(VLOOKUP(F1006, 'api-register-id'!B:I, 8, FALSE), "Not found path.")</f>
        <v>1.1.0</v>
      </c>
      <c r="J1006" s="205" t="s">
        <v>6204</v>
      </c>
      <c r="K1006" s="206" t="s">
        <v>48</v>
      </c>
      <c r="L1006" s="200" t="s">
        <v>49</v>
      </c>
      <c r="M1006" s="205" t="s">
        <v>6114</v>
      </c>
      <c r="N1006" s="3" t="str">
        <f t="shared" si="1"/>
        <v>POST /experience/productSpecificFulfillment/v1/transactionArrangement/retrieve</v>
      </c>
      <c r="O1006" s="32" t="s">
        <v>6205</v>
      </c>
      <c r="P1006" s="32"/>
      <c r="Q1006" s="61" t="s">
        <v>6206</v>
      </c>
      <c r="R1006" s="31" t="s">
        <v>56</v>
      </c>
      <c r="S1006" s="38" t="str">
        <f t="shared" si="2"/>
        <v>https://github.com/SF-Bancoppel/mx-api-bc-rec-product-specific-fulfillment</v>
      </c>
      <c r="T1006" s="40"/>
      <c r="U1006" s="40"/>
      <c r="V1006" s="40"/>
      <c r="W1006" s="40"/>
      <c r="X1006" s="40"/>
      <c r="Y1006" s="40"/>
      <c r="Z1006" s="40"/>
      <c r="AA1006" s="40"/>
      <c r="AB1006" s="40"/>
    </row>
    <row r="1007" ht="18.75" customHeight="1">
      <c r="A1007" s="18" t="str">
        <f t="array" ref="A1007">IFERROR(
  INDEX(
    'api-register-id'!A:A,
    MATCH(F1007, 'api-register-id'!B:B, 0)
  ),
  "Not found Organization"
)</f>
        <v>SSFF</v>
      </c>
      <c r="B1007" s="22" t="str">
        <f>IFERROR(VLOOKUP(F1007, 'api-register-id'!B:F, 4, FALSE), "Not found path.")</f>
        <v>mx-api-bc-br-customer-product-and-service-eligibility</v>
      </c>
      <c r="C1007" s="200" t="s">
        <v>112</v>
      </c>
      <c r="D1007" s="200" t="s">
        <v>6207</v>
      </c>
      <c r="E1007" s="24" t="str">
        <f>IFERROR(VLOOKUP(F1007, 'api-register-id'!B:F, 5, FALSE), "Not found path.")</f>
        <v>APIMX000171</v>
      </c>
      <c r="F1007" s="25" t="s">
        <v>2616</v>
      </c>
      <c r="G1007" s="26" t="s">
        <v>6208</v>
      </c>
      <c r="H1007" s="204" t="s">
        <v>6209</v>
      </c>
      <c r="I1007" s="29" t="str">
        <f>IFERROR(VLOOKUP(F1007, 'api-register-id'!B:I, 8, FALSE), "Not found path.")</f>
        <v>1.0.0</v>
      </c>
      <c r="J1007" s="205" t="s">
        <v>6210</v>
      </c>
      <c r="K1007" s="200" t="s">
        <v>48</v>
      </c>
      <c r="L1007" s="200" t="s">
        <v>49</v>
      </c>
      <c r="M1007" s="205" t="s">
        <v>6211</v>
      </c>
      <c r="N1007" s="3" t="str">
        <f t="shared" si="1"/>
        <v>POST /businessRule/customerManagement/customerProductAndServiceEligibility/v1/br/evaluateActiveRequest</v>
      </c>
      <c r="O1007" s="32" t="s">
        <v>6212</v>
      </c>
      <c r="P1007" s="32" t="s">
        <v>6213</v>
      </c>
      <c r="Q1007" s="61" t="s">
        <v>98</v>
      </c>
      <c r="R1007" s="31" t="s">
        <v>56</v>
      </c>
      <c r="S1007" s="38" t="str">
        <f t="shared" si="2"/>
        <v>https://github.com/SF-Bancoppel/mx-api-bc-br-customer-product-and-service-eligibility</v>
      </c>
      <c r="T1007" s="40"/>
      <c r="U1007" s="40"/>
      <c r="V1007" s="40"/>
      <c r="W1007" s="40"/>
      <c r="X1007" s="40"/>
      <c r="Y1007" s="40"/>
      <c r="Z1007" s="40"/>
      <c r="AA1007" s="40"/>
      <c r="AB1007" s="40"/>
    </row>
    <row r="1008" ht="18.75" customHeight="1">
      <c r="A1008" s="18" t="str">
        <f t="array" ref="A1008">IFERROR(
  INDEX(
    'api-register-id'!A:A,
    MATCH(F1008, 'api-register-id'!B:B, 0)
  ),
  "Not found Organization"
)</f>
        <v>SSFF</v>
      </c>
      <c r="B1008" s="22" t="str">
        <f>IFERROR(VLOOKUP(F1008, 'api-register-id'!B:F, 4, FALSE), "Not found path.")</f>
        <v>mx-api-bc-br-customer-product-and-service-eligibility</v>
      </c>
      <c r="C1008" s="200" t="s">
        <v>112</v>
      </c>
      <c r="D1008" s="200" t="s">
        <v>6207</v>
      </c>
      <c r="E1008" s="24" t="str">
        <f>IFERROR(VLOOKUP(F1008, 'api-register-id'!B:F, 5, FALSE), "Not found path.")</f>
        <v>APIMX000171</v>
      </c>
      <c r="F1008" s="25" t="s">
        <v>2616</v>
      </c>
      <c r="G1008" s="26" t="s">
        <v>6214</v>
      </c>
      <c r="H1008" s="1" t="s">
        <v>6215</v>
      </c>
      <c r="I1008" s="29" t="str">
        <f>IFERROR(VLOOKUP(F1008, 'api-register-id'!B:I, 8, FALSE), "Not found path.")</f>
        <v>1.0.0</v>
      </c>
      <c r="J1008" s="205" t="s">
        <v>6210</v>
      </c>
      <c r="K1008" s="200" t="s">
        <v>48</v>
      </c>
      <c r="L1008" s="200" t="s">
        <v>49</v>
      </c>
      <c r="M1008" s="205" t="s">
        <v>6216</v>
      </c>
      <c r="N1008" s="3" t="str">
        <f t="shared" si="1"/>
        <v>POST /businessRule/customerManagement/customerProductAndServiceEligibility/v1/br/evaluateRejectedRequest</v>
      </c>
      <c r="O1008" s="32" t="s">
        <v>6217</v>
      </c>
      <c r="P1008" s="32" t="s">
        <v>6218</v>
      </c>
      <c r="Q1008" s="61" t="s">
        <v>98</v>
      </c>
      <c r="R1008" s="31" t="s">
        <v>56</v>
      </c>
      <c r="S1008" s="38" t="str">
        <f t="shared" si="2"/>
        <v>https://github.com/SF-Bancoppel/mx-api-bc-br-customer-product-and-service-eligibility</v>
      </c>
      <c r="T1008" s="40"/>
      <c r="U1008" s="40"/>
      <c r="V1008" s="40"/>
      <c r="W1008" s="40"/>
      <c r="X1008" s="40"/>
      <c r="Y1008" s="40"/>
      <c r="Z1008" s="40"/>
      <c r="AA1008" s="40"/>
      <c r="AB1008" s="40"/>
    </row>
    <row r="1009" ht="18.75" customHeight="1">
      <c r="A1009" s="18" t="str">
        <f t="array" ref="A1009">IFERROR(
  INDEX(
    'api-register-id'!A:A,
    MATCH(F1009, 'api-register-id'!B:B, 0)
  ),
  "Not found Organization"
)</f>
        <v>SSFF</v>
      </c>
      <c r="B1009" s="22" t="str">
        <f>IFERROR(VLOOKUP(F1009, 'api-register-id'!B:F, 4, FALSE), "Not found path.")</f>
        <v>mx-api-bc-br-location-data-management</v>
      </c>
      <c r="C1009" s="200" t="s">
        <v>112</v>
      </c>
      <c r="D1009" s="200" t="s">
        <v>6207</v>
      </c>
      <c r="E1009" s="24" t="str">
        <f>IFERROR(VLOOKUP(F1009, 'api-register-id'!B:F, 5, FALSE), "Not found path.")</f>
        <v>APIMX000172</v>
      </c>
      <c r="F1009" s="25" t="s">
        <v>2623</v>
      </c>
      <c r="G1009" s="26" t="s">
        <v>6219</v>
      </c>
      <c r="H1009" s="204" t="s">
        <v>6220</v>
      </c>
      <c r="I1009" s="29" t="str">
        <f>IFERROR(VLOOKUP(F1009, 'api-register-id'!B:I, 8, FALSE), "Not found path.")</f>
        <v>1.0.0</v>
      </c>
      <c r="J1009" s="205" t="s">
        <v>6221</v>
      </c>
      <c r="K1009" s="200" t="s">
        <v>48</v>
      </c>
      <c r="L1009" s="200" t="s">
        <v>49</v>
      </c>
      <c r="M1009" s="205" t="s">
        <v>6222</v>
      </c>
      <c r="N1009" s="3" t="str">
        <f t="shared" si="1"/>
        <v>POST /businessRule/marketData/locationDataManagement/v1/br/evaluateAddress</v>
      </c>
      <c r="O1009" s="32" t="s">
        <v>6223</v>
      </c>
      <c r="P1009" s="32" t="s">
        <v>6224</v>
      </c>
      <c r="Q1009" s="61" t="s">
        <v>98</v>
      </c>
      <c r="R1009" s="31" t="s">
        <v>56</v>
      </c>
      <c r="S1009" s="38" t="str">
        <f t="shared" si="2"/>
        <v>https://github.com/SF-Bancoppel/mx-api-bc-br-location-data-management</v>
      </c>
      <c r="T1009" s="40"/>
      <c r="U1009" s="40"/>
      <c r="V1009" s="40"/>
      <c r="W1009" s="40"/>
      <c r="X1009" s="40"/>
      <c r="Y1009" s="40"/>
      <c r="Z1009" s="40"/>
      <c r="AA1009" s="40"/>
      <c r="AB1009" s="40"/>
    </row>
    <row r="1010" ht="18.75" customHeight="1">
      <c r="A1010" s="18" t="str">
        <f t="array" ref="A1010">IFERROR(
  INDEX(
    'api-register-id'!A:A,
    MATCH(F1010, 'api-register-id'!B:B, 0)
  ),
  "Not found Organization"
)</f>
        <v>SSFF</v>
      </c>
      <c r="B1010" s="22" t="str">
        <f>IFERROR(VLOOKUP(F1010, 'api-register-id'!B:F, 4, FALSE), "Not found path.")</f>
        <v>mx-api-bc-br-location-data-management</v>
      </c>
      <c r="C1010" s="200" t="s">
        <v>112</v>
      </c>
      <c r="D1010" s="200" t="s">
        <v>6207</v>
      </c>
      <c r="E1010" s="24" t="str">
        <f>IFERROR(VLOOKUP(F1010, 'api-register-id'!B:F, 5, FALSE), "Not found path.")</f>
        <v>APIMX000172</v>
      </c>
      <c r="F1010" s="25" t="s">
        <v>2623</v>
      </c>
      <c r="G1010" s="26" t="s">
        <v>6225</v>
      </c>
      <c r="H1010" s="204" t="s">
        <v>6226</v>
      </c>
      <c r="I1010" s="29" t="str">
        <f>IFERROR(VLOOKUP(F1010, 'api-register-id'!B:I, 8, FALSE), "Not found path.")</f>
        <v>1.0.0</v>
      </c>
      <c r="J1010" s="205" t="s">
        <v>6221</v>
      </c>
      <c r="K1010" s="200" t="s">
        <v>48</v>
      </c>
      <c r="L1010" s="200" t="s">
        <v>49</v>
      </c>
      <c r="M1010" s="205" t="s">
        <v>6227</v>
      </c>
      <c r="N1010" s="3" t="str">
        <f t="shared" si="1"/>
        <v>POST /businessRule/marketData/locationDataManagement/v1/evaluateFullAddress</v>
      </c>
      <c r="O1010" s="32" t="s">
        <v>6223</v>
      </c>
      <c r="P1010" s="32" t="s">
        <v>6228</v>
      </c>
      <c r="Q1010" s="61" t="s">
        <v>98</v>
      </c>
      <c r="R1010" s="31" t="s">
        <v>56</v>
      </c>
      <c r="S1010" s="38" t="str">
        <f t="shared" si="2"/>
        <v>https://github.com/SF-Bancoppel/mx-api-bc-br-location-data-management</v>
      </c>
      <c r="T1010" s="40"/>
      <c r="U1010" s="40"/>
      <c r="V1010" s="40"/>
      <c r="W1010" s="40"/>
      <c r="X1010" s="40"/>
      <c r="Y1010" s="40"/>
      <c r="Z1010" s="40"/>
      <c r="AA1010" s="40"/>
      <c r="AB1010" s="40"/>
    </row>
    <row r="1011" ht="18.75" customHeight="1">
      <c r="A1011" s="18" t="str">
        <f t="array" ref="A1011">IFERROR(
  INDEX(
    'api-register-id'!A:A,
    MATCH(F1011, 'api-register-id'!B:B, 0)
  ),
  "Not found Organization"
)</f>
        <v>SSFF</v>
      </c>
      <c r="B1011" s="22" t="str">
        <f>IFERROR(VLOOKUP(F1011, 'api-register-id'!B:F, 4, FALSE), "Not found path.")</f>
        <v>mx-api-bc-br-party-reference-data-directory</v>
      </c>
      <c r="C1011" s="200" t="s">
        <v>112</v>
      </c>
      <c r="D1011" s="200" t="s">
        <v>6207</v>
      </c>
      <c r="E1011" s="24" t="str">
        <f>IFERROR(VLOOKUP(F1011, 'api-register-id'!B:F, 5, FALSE), "Not found path.")</f>
        <v>APIMX000173</v>
      </c>
      <c r="F1011" s="25" t="s">
        <v>2630</v>
      </c>
      <c r="G1011" s="26" t="s">
        <v>6229</v>
      </c>
      <c r="H1011" s="204" t="s">
        <v>6230</v>
      </c>
      <c r="I1011" s="29" t="str">
        <f>IFERROR(VLOOKUP(F1011, 'api-register-id'!B:I, 8, FALSE), "Not found path.")</f>
        <v>1.1.0</v>
      </c>
      <c r="J1011" s="205" t="s">
        <v>6231</v>
      </c>
      <c r="K1011" s="200" t="s">
        <v>48</v>
      </c>
      <c r="L1011" s="200" t="s">
        <v>49</v>
      </c>
      <c r="M1011" s="205" t="s">
        <v>6232</v>
      </c>
      <c r="N1011" s="3" t="str">
        <f t="shared" si="1"/>
        <v>POST /businessRule/customerManagement/partyReferenceDataDirectory/v1/evaluateAge</v>
      </c>
      <c r="O1011" s="32" t="s">
        <v>6233</v>
      </c>
      <c r="P1011" s="32" t="s">
        <v>6234</v>
      </c>
      <c r="Q1011" s="61" t="s">
        <v>6085</v>
      </c>
      <c r="R1011" s="31" t="s">
        <v>56</v>
      </c>
      <c r="S1011" s="38" t="str">
        <f t="shared" si="2"/>
        <v>https://github.com/SF-Bancoppel/mx-api-bc-br-party-reference-data-directory</v>
      </c>
      <c r="T1011" s="40"/>
      <c r="U1011" s="40"/>
      <c r="V1011" s="40"/>
      <c r="W1011" s="40"/>
      <c r="X1011" s="40"/>
      <c r="Y1011" s="40"/>
      <c r="Z1011" s="40"/>
      <c r="AA1011" s="40"/>
      <c r="AB1011" s="40"/>
    </row>
    <row r="1012" ht="18.75" customHeight="1">
      <c r="A1012" s="18" t="str">
        <f t="array" ref="A1012">IFERROR(
  INDEX(
    'api-register-id'!A:A,
    MATCH(F1012, 'api-register-id'!B:B, 0)
  ),
  "Not found Organization"
)</f>
        <v>SSFF</v>
      </c>
      <c r="B1012" s="22" t="str">
        <f>IFERROR(VLOOKUP(F1012, 'api-register-id'!B:F, 4, FALSE), "Not found path.")</f>
        <v>mx-api-bc-br-party-reference-data-directory</v>
      </c>
      <c r="C1012" s="200" t="s">
        <v>112</v>
      </c>
      <c r="D1012" s="200" t="s">
        <v>6207</v>
      </c>
      <c r="E1012" s="24" t="str">
        <f>IFERROR(VLOOKUP(F1012, 'api-register-id'!B:F, 5, FALSE), "Not found path.")</f>
        <v>APIMX000173</v>
      </c>
      <c r="F1012" s="25" t="s">
        <v>2630</v>
      </c>
      <c r="G1012" s="26" t="s">
        <v>6235</v>
      </c>
      <c r="H1012" s="204" t="s">
        <v>6236</v>
      </c>
      <c r="I1012" s="29" t="str">
        <f>IFERROR(VLOOKUP(F1012, 'api-register-id'!B:I, 8, FALSE), "Not found path.")</f>
        <v>1.1.0</v>
      </c>
      <c r="J1012" s="205" t="s">
        <v>6231</v>
      </c>
      <c r="K1012" s="200" t="s">
        <v>48</v>
      </c>
      <c r="L1012" s="200" t="s">
        <v>49</v>
      </c>
      <c r="M1012" s="205" t="s">
        <v>6237</v>
      </c>
      <c r="N1012" s="3" t="str">
        <f t="shared" si="1"/>
        <v>POST /businessRule/customerManagement/partyReferenceDataDirectory/v1/evaluateMaritalStatus</v>
      </c>
      <c r="O1012" s="32" t="s">
        <v>6238</v>
      </c>
      <c r="P1012" s="32" t="s">
        <v>6239</v>
      </c>
      <c r="Q1012" s="61" t="s">
        <v>6240</v>
      </c>
      <c r="R1012" s="31" t="s">
        <v>56</v>
      </c>
      <c r="S1012" s="38" t="str">
        <f t="shared" si="2"/>
        <v>https://github.com/SF-Bancoppel/mx-api-bc-br-party-reference-data-directory</v>
      </c>
      <c r="T1012" s="40"/>
      <c r="U1012" s="22"/>
      <c r="V1012" s="40"/>
      <c r="W1012" s="40"/>
      <c r="X1012" s="40"/>
      <c r="Y1012" s="40"/>
      <c r="Z1012" s="22"/>
      <c r="AA1012" s="22"/>
      <c r="AB1012" s="22"/>
    </row>
    <row r="1013" ht="18.75" customHeight="1">
      <c r="A1013" s="18" t="str">
        <f t="array" ref="A1013">IFERROR(
  INDEX(
    'api-register-id'!A:A,
    MATCH(F1013, 'api-register-id'!B:B, 0)
  ),
  "Not found Organization"
)</f>
        <v>SSFF</v>
      </c>
      <c r="B1013" s="22" t="str">
        <f>IFERROR(VLOOKUP(F1013, 'api-register-id'!B:F, 4, FALSE), "Not found path.")</f>
        <v>mx-api-bc-br-party-reference-data-directory</v>
      </c>
      <c r="C1013" s="200" t="s">
        <v>112</v>
      </c>
      <c r="D1013" s="200" t="s">
        <v>6207</v>
      </c>
      <c r="E1013" s="24" t="str">
        <f>IFERROR(VLOOKUP(F1013, 'api-register-id'!B:F, 5, FALSE), "Not found path.")</f>
        <v>APIMX000173</v>
      </c>
      <c r="F1013" s="25" t="s">
        <v>2630</v>
      </c>
      <c r="G1013" s="26" t="s">
        <v>6241</v>
      </c>
      <c r="H1013" s="204" t="s">
        <v>6242</v>
      </c>
      <c r="I1013" s="29" t="str">
        <f>IFERROR(VLOOKUP(F1013, 'api-register-id'!B:I, 8, FALSE), "Not found path.")</f>
        <v>1.1.0</v>
      </c>
      <c r="J1013" s="205" t="s">
        <v>6231</v>
      </c>
      <c r="K1013" s="200" t="s">
        <v>48</v>
      </c>
      <c r="L1013" s="200" t="s">
        <v>49</v>
      </c>
      <c r="M1013" s="205" t="s">
        <v>6243</v>
      </c>
      <c r="N1013" s="3" t="str">
        <f t="shared" si="1"/>
        <v>POST /businessRule/customerManagement/partyReferenceDataDirectory/v1/evaluateNationality</v>
      </c>
      <c r="O1013" s="32" t="s">
        <v>6244</v>
      </c>
      <c r="P1013" s="32" t="s">
        <v>6245</v>
      </c>
      <c r="Q1013" s="61" t="s">
        <v>6246</v>
      </c>
      <c r="R1013" s="31" t="s">
        <v>56</v>
      </c>
      <c r="S1013" s="38" t="str">
        <f t="shared" si="2"/>
        <v>https://github.com/SF-Bancoppel/mx-api-bc-br-party-reference-data-directory</v>
      </c>
      <c r="T1013" s="40"/>
      <c r="U1013" s="22"/>
      <c r="V1013" s="40"/>
      <c r="W1013" s="40"/>
      <c r="X1013" s="40"/>
      <c r="Y1013" s="40"/>
      <c r="Z1013" s="22"/>
      <c r="AA1013" s="22"/>
      <c r="AB1013" s="22"/>
    </row>
    <row r="1014" ht="18.75" customHeight="1">
      <c r="A1014" s="18" t="str">
        <f t="array" ref="A1014">IFERROR(
  INDEX(
    'api-register-id'!A:A,
    MATCH(F1014, 'api-register-id'!B:B, 0)
  ),
  "Not found Organization"
)</f>
        <v>Empresa Net</v>
      </c>
      <c r="B1014" s="22" t="str">
        <f>IFERROR(VLOOKUP(F1014, 'api-register-id'!B:F, 4, FALSE), "Not found path.")</f>
        <v>mx-api-bc-rec-payment-execution-corp</v>
      </c>
      <c r="C1014" s="200" t="s">
        <v>112</v>
      </c>
      <c r="D1014" s="200" t="s">
        <v>1417</v>
      </c>
      <c r="E1014" s="24" t="str">
        <f>IFERROR(VLOOKUP(F1014, 'api-register-id'!B:F, 5, FALSE), "Not found path.")</f>
        <v>APIMX000153</v>
      </c>
      <c r="F1014" s="204" t="s">
        <v>1828</v>
      </c>
      <c r="G1014" s="26" t="s">
        <v>6247</v>
      </c>
      <c r="H1014" s="205" t="s">
        <v>6248</v>
      </c>
      <c r="I1014" s="29" t="str">
        <f>IFERROR(VLOOKUP(F1014, 'api-register-id'!B:I, 8, FALSE), "Not found path.")</f>
        <v/>
      </c>
      <c r="J1014" s="40" t="s">
        <v>4829</v>
      </c>
      <c r="K1014" s="211" t="s">
        <v>48</v>
      </c>
      <c r="L1014" s="200" t="s">
        <v>49</v>
      </c>
      <c r="M1014" s="212" t="s">
        <v>6249</v>
      </c>
      <c r="N1014" s="3" t="str">
        <f t="shared" si="1"/>
        <v>POST /experience/payments/paymentExecution/v1/corporate/transfer/history/online/get</v>
      </c>
      <c r="O1014" s="40" t="s">
        <v>6250</v>
      </c>
      <c r="P1014" s="40"/>
      <c r="Q1014" s="61" t="s">
        <v>98</v>
      </c>
      <c r="R1014" s="31" t="s">
        <v>56</v>
      </c>
      <c r="S1014" s="38" t="str">
        <f t="shared" si="2"/>
        <v>https://github.com/SF-Bancoppel/mx-api-bc-rec-payment-execution-corp</v>
      </c>
      <c r="T1014" s="40"/>
      <c r="U1014" s="22"/>
      <c r="V1014" s="40"/>
      <c r="W1014" s="40"/>
      <c r="X1014" s="40"/>
      <c r="Y1014" s="40"/>
      <c r="Z1014" s="22"/>
      <c r="AA1014" s="22"/>
      <c r="AB1014" s="22"/>
    </row>
    <row r="1015" ht="18.75" customHeight="1">
      <c r="A1015" s="18" t="str">
        <f t="array" ref="A1015">IFERROR(
  INDEX(
    'api-register-id'!A:A,
    MATCH(F1015, 'api-register-id'!B:B, 0)
  ),
  "Not found Organization"
)</f>
        <v>Empresa Net</v>
      </c>
      <c r="B1015" s="22" t="str">
        <f>IFERROR(VLOOKUP(F1015, 'api-register-id'!B:F, 4, FALSE), "Not found path.")</f>
        <v>mx-api-bc-rec-payment-execution-corp</v>
      </c>
      <c r="C1015" s="200" t="s">
        <v>112</v>
      </c>
      <c r="D1015" s="200" t="s">
        <v>1417</v>
      </c>
      <c r="E1015" s="24" t="str">
        <f>IFERROR(VLOOKUP(F1015, 'api-register-id'!B:F, 5, FALSE), "Not found path.")</f>
        <v>APIMX000153</v>
      </c>
      <c r="F1015" s="204" t="s">
        <v>1828</v>
      </c>
      <c r="G1015" s="26" t="s">
        <v>6251</v>
      </c>
      <c r="H1015" s="205" t="s">
        <v>6252</v>
      </c>
      <c r="I1015" s="29" t="str">
        <f>IFERROR(VLOOKUP(F1015, 'api-register-id'!B:I, 8, FALSE), "Not found path.")</f>
        <v/>
      </c>
      <c r="J1015" s="40" t="s">
        <v>4829</v>
      </c>
      <c r="K1015" s="211" t="s">
        <v>48</v>
      </c>
      <c r="L1015" s="200" t="s">
        <v>49</v>
      </c>
      <c r="M1015" s="212" t="s">
        <v>6253</v>
      </c>
      <c r="N1015" s="3" t="str">
        <f t="shared" si="1"/>
        <v>POST /experience/payments/paymentExecution/v1/corporate/authorizations/transfer/file/get</v>
      </c>
      <c r="O1015" s="40" t="s">
        <v>6254</v>
      </c>
      <c r="P1015" s="40"/>
      <c r="Q1015" s="61" t="s">
        <v>98</v>
      </c>
      <c r="R1015" s="31" t="s">
        <v>56</v>
      </c>
      <c r="S1015" s="38" t="str">
        <f t="shared" si="2"/>
        <v>https://github.com/SF-Bancoppel/mx-api-bc-rec-payment-execution-corp</v>
      </c>
      <c r="T1015" s="40"/>
      <c r="U1015" s="22"/>
      <c r="V1015" s="22"/>
      <c r="W1015" s="40"/>
      <c r="X1015" s="40"/>
      <c r="Y1015" s="40"/>
      <c r="Z1015" s="22"/>
      <c r="AA1015" s="22"/>
      <c r="AB1015" s="22"/>
    </row>
    <row r="1016" ht="18.75" customHeight="1">
      <c r="A1016" s="18" t="str">
        <f t="array" ref="A1016">IFERROR(
  INDEX(
    'api-register-id'!A:A,
    MATCH(F1016, 'api-register-id'!B:B, 0)
  ),
  "Not found Organization"
)</f>
        <v>Empresa Net</v>
      </c>
      <c r="B1016" s="22" t="str">
        <f>IFERROR(VLOOKUP(F1016, 'api-register-id'!B:F, 4, FALSE), "Not found path.")</f>
        <v>mx-api-bc-rec-payment-execution-corp</v>
      </c>
      <c r="C1016" s="200" t="s">
        <v>112</v>
      </c>
      <c r="D1016" s="200" t="s">
        <v>1417</v>
      </c>
      <c r="E1016" s="24" t="str">
        <f>IFERROR(VLOOKUP(F1016, 'api-register-id'!B:F, 5, FALSE), "Not found path.")</f>
        <v>APIMX000153</v>
      </c>
      <c r="F1016" s="204" t="s">
        <v>1828</v>
      </c>
      <c r="G1016" s="26" t="s">
        <v>6255</v>
      </c>
      <c r="H1016" s="205" t="s">
        <v>6256</v>
      </c>
      <c r="I1016" s="29" t="str">
        <f>IFERROR(VLOOKUP(F1016, 'api-register-id'!B:I, 8, FALSE), "Not found path.")</f>
        <v/>
      </c>
      <c r="J1016" s="40" t="s">
        <v>4829</v>
      </c>
      <c r="K1016" s="211" t="s">
        <v>48</v>
      </c>
      <c r="L1016" s="200" t="s">
        <v>49</v>
      </c>
      <c r="M1016" s="212" t="s">
        <v>6257</v>
      </c>
      <c r="N1016" s="3" t="str">
        <f t="shared" si="1"/>
        <v>POST /experience/payments/paymentExecution/v1/corporate/authorizations/transfer/file/sign</v>
      </c>
      <c r="O1016" s="40" t="s">
        <v>6258</v>
      </c>
      <c r="P1016" s="40"/>
      <c r="Q1016" s="61" t="s">
        <v>98</v>
      </c>
      <c r="R1016" s="31" t="s">
        <v>56</v>
      </c>
      <c r="S1016" s="38" t="str">
        <f t="shared" si="2"/>
        <v>https://github.com/SF-Bancoppel/mx-api-bc-rec-payment-execution-corp</v>
      </c>
      <c r="T1016" s="40"/>
      <c r="U1016" s="22"/>
      <c r="V1016" s="40"/>
      <c r="W1016" s="40"/>
      <c r="X1016" s="40"/>
      <c r="Y1016" s="40"/>
      <c r="Z1016" s="22"/>
      <c r="AA1016" s="22"/>
      <c r="AB1016" s="22"/>
    </row>
    <row r="1017" ht="18.75" customHeight="1">
      <c r="A1017" s="18" t="str">
        <f t="array" ref="A1017">IFERROR(
  INDEX(
    'api-register-id'!A:A,
    MATCH(F1017, 'api-register-id'!B:B, 0)
  ),
  "Not found Organization"
)</f>
        <v>Empresa Net</v>
      </c>
      <c r="B1017" s="22" t="str">
        <f>IFERROR(VLOOKUP(F1017, 'api-register-id'!B:F, 4, FALSE), "Not found path.")</f>
        <v>mx-api-bc-rec-payment-execution-corp</v>
      </c>
      <c r="C1017" s="200" t="s">
        <v>112</v>
      </c>
      <c r="D1017" s="200" t="s">
        <v>1417</v>
      </c>
      <c r="E1017" s="24" t="str">
        <f>IFERROR(VLOOKUP(F1017, 'api-register-id'!B:F, 5, FALSE), "Not found path.")</f>
        <v>APIMX000153</v>
      </c>
      <c r="F1017" s="204" t="s">
        <v>1828</v>
      </c>
      <c r="G1017" s="26" t="s">
        <v>6259</v>
      </c>
      <c r="H1017" s="205" t="s">
        <v>6260</v>
      </c>
      <c r="I1017" s="29" t="str">
        <f>IFERROR(VLOOKUP(F1017, 'api-register-id'!B:I, 8, FALSE), "Not found path.")</f>
        <v/>
      </c>
      <c r="J1017" s="40" t="s">
        <v>4829</v>
      </c>
      <c r="K1017" s="211" t="s">
        <v>48</v>
      </c>
      <c r="L1017" s="200" t="s">
        <v>49</v>
      </c>
      <c r="M1017" s="212" t="s">
        <v>6261</v>
      </c>
      <c r="N1017" s="3" t="str">
        <f t="shared" si="1"/>
        <v>POST /experience/payments/paymentExecution/v1/corporate//authorizations/transfer/file/cancel</v>
      </c>
      <c r="O1017" s="40" t="s">
        <v>6262</v>
      </c>
      <c r="P1017" s="40"/>
      <c r="Q1017" s="61" t="s">
        <v>98</v>
      </c>
      <c r="R1017" s="31" t="s">
        <v>56</v>
      </c>
      <c r="S1017" s="38" t="str">
        <f t="shared" si="2"/>
        <v>https://github.com/SF-Bancoppel/mx-api-bc-rec-payment-execution-corp</v>
      </c>
      <c r="T1017" s="40"/>
      <c r="U1017" s="22"/>
      <c r="V1017" s="22"/>
      <c r="W1017" s="40"/>
      <c r="X1017" s="40"/>
      <c r="Y1017" s="40"/>
      <c r="Z1017" s="22"/>
      <c r="AA1017" s="22"/>
      <c r="AB1017" s="22"/>
    </row>
    <row r="1018" ht="18.75" customHeight="1">
      <c r="A1018" s="18" t="str">
        <f t="array" ref="A1018">IFERROR(
  INDEX(
    'api-register-id'!A:A,
    MATCH(F1018, 'api-register-id'!B:B, 0)
  ),
  "Not found Organization"
)</f>
        <v>Empresa Net</v>
      </c>
      <c r="B1018" s="22" t="str">
        <f>IFERROR(VLOOKUP(F1018, 'api-register-id'!B:F, 4, FALSE), "Not found path.")</f>
        <v>mx-api-bc-rec-payment-execution-corp</v>
      </c>
      <c r="C1018" s="29" t="s">
        <v>112</v>
      </c>
      <c r="D1018" s="203" t="s">
        <v>1417</v>
      </c>
      <c r="E1018" s="24" t="str">
        <f>IFERROR(VLOOKUP(F1018, 'api-register-id'!B:F, 5, FALSE), "Not found path.")</f>
        <v>APIMX000153</v>
      </c>
      <c r="F1018" s="204" t="s">
        <v>1828</v>
      </c>
      <c r="G1018" s="26" t="s">
        <v>6263</v>
      </c>
      <c r="H1018" s="205" t="s">
        <v>6264</v>
      </c>
      <c r="I1018" s="29" t="str">
        <f>IFERROR(VLOOKUP(F1018, 'api-register-id'!B:I, 8, FALSE), "Not found path.")</f>
        <v/>
      </c>
      <c r="J1018" s="40" t="s">
        <v>4829</v>
      </c>
      <c r="K1018" s="211" t="s">
        <v>48</v>
      </c>
      <c r="L1018" s="200" t="s">
        <v>49</v>
      </c>
      <c r="M1018" s="212" t="s">
        <v>6265</v>
      </c>
      <c r="N1018" s="3" t="str">
        <f t="shared" si="1"/>
        <v>POST /experience/payments/paymentExecution/v1/corporate/authorizations/transfer/online/progress</v>
      </c>
      <c r="O1018" s="40" t="s">
        <v>6266</v>
      </c>
      <c r="P1018" s="40"/>
      <c r="Q1018" s="61" t="s">
        <v>98</v>
      </c>
      <c r="R1018" s="31" t="s">
        <v>56</v>
      </c>
      <c r="S1018" s="38" t="str">
        <f t="shared" si="2"/>
        <v>https://github.com/SF-Bancoppel/mx-api-bc-rec-payment-execution-corp</v>
      </c>
      <c r="T1018" s="40"/>
      <c r="U1018" s="22"/>
      <c r="V1018" s="40"/>
      <c r="W1018" s="40"/>
      <c r="X1018" s="40"/>
      <c r="Y1018" s="40"/>
      <c r="Z1018" s="22"/>
      <c r="AA1018" s="22"/>
      <c r="AB1018" s="22"/>
    </row>
    <row r="1019" ht="18.75" customHeight="1">
      <c r="A1019" s="18" t="str">
        <f t="array" ref="A1019">IFERROR(
  INDEX(
    'api-register-id'!A:A,
    MATCH(F1019, 'api-register-id'!B:B, 0)
  ),
  "Not found Organization"
)</f>
        <v>Empresa Net</v>
      </c>
      <c r="B1019" s="22" t="str">
        <f>IFERROR(VLOOKUP(F1019, 'api-register-id'!B:F, 4, FALSE), "Not found path.")</f>
        <v>mx-api-bc-rec-payment-execution-corp</v>
      </c>
      <c r="C1019" s="29" t="s">
        <v>112</v>
      </c>
      <c r="D1019" s="203" t="s">
        <v>1417</v>
      </c>
      <c r="E1019" s="24" t="str">
        <f>IFERROR(VLOOKUP(F1019, 'api-register-id'!B:F, 5, FALSE), "Not found path.")</f>
        <v>APIMX000153</v>
      </c>
      <c r="F1019" s="204" t="s">
        <v>1828</v>
      </c>
      <c r="G1019" s="26" t="s">
        <v>6267</v>
      </c>
      <c r="H1019" s="205" t="s">
        <v>6268</v>
      </c>
      <c r="I1019" s="29" t="str">
        <f>IFERROR(VLOOKUP(F1019, 'api-register-id'!B:I, 8, FALSE), "Not found path.")</f>
        <v/>
      </c>
      <c r="J1019" s="40" t="s">
        <v>4829</v>
      </c>
      <c r="K1019" s="211" t="s">
        <v>48</v>
      </c>
      <c r="L1019" s="200" t="s">
        <v>49</v>
      </c>
      <c r="M1019" s="212" t="s">
        <v>6269</v>
      </c>
      <c r="N1019" s="3" t="str">
        <f t="shared" si="1"/>
        <v>POST /experience/payments/paymentExecution/v1/corporate/transfer/schedule/cancel</v>
      </c>
      <c r="O1019" s="40" t="s">
        <v>6270</v>
      </c>
      <c r="P1019" s="40"/>
      <c r="Q1019" s="61" t="s">
        <v>98</v>
      </c>
      <c r="R1019" s="31" t="s">
        <v>56</v>
      </c>
      <c r="S1019" s="38" t="str">
        <f t="shared" si="2"/>
        <v>https://github.com/SF-Bancoppel/mx-api-bc-rec-payment-execution-corp</v>
      </c>
      <c r="T1019" s="40"/>
      <c r="U1019" s="22"/>
      <c r="V1019" s="40"/>
      <c r="W1019" s="40"/>
      <c r="X1019" s="40"/>
      <c r="Y1019" s="40"/>
      <c r="Z1019" s="22"/>
      <c r="AA1019" s="22"/>
      <c r="AB1019" s="22"/>
    </row>
    <row r="1020" ht="18.75" customHeight="1">
      <c r="A1020" s="18" t="str">
        <f t="array" ref="A1020">IFERROR(
  INDEX(
    'api-register-id'!A:A,
    MATCH(F1020, 'api-register-id'!B:B, 0)
  ),
  "Not found Organization"
)</f>
        <v>Empresa Net</v>
      </c>
      <c r="B1020" s="22" t="str">
        <f>IFERROR(VLOOKUP(F1020, 'api-register-id'!B:F, 4, FALSE), "Not found path.")</f>
        <v>mx-api-bc-rec-payment-execution-corp</v>
      </c>
      <c r="C1020" s="29" t="s">
        <v>112</v>
      </c>
      <c r="D1020" s="203" t="s">
        <v>1417</v>
      </c>
      <c r="E1020" s="24" t="str">
        <f>IFERROR(VLOOKUP(F1020, 'api-register-id'!B:F, 5, FALSE), "Not found path.")</f>
        <v>APIMX000153</v>
      </c>
      <c r="F1020" s="204" t="s">
        <v>1828</v>
      </c>
      <c r="G1020" s="26" t="s">
        <v>6271</v>
      </c>
      <c r="H1020" s="205" t="s">
        <v>6272</v>
      </c>
      <c r="I1020" s="29" t="str">
        <f>IFERROR(VLOOKUP(F1020, 'api-register-id'!B:I, 8, FALSE), "Not found path.")</f>
        <v/>
      </c>
      <c r="J1020" s="40" t="s">
        <v>4829</v>
      </c>
      <c r="K1020" s="211" t="s">
        <v>48</v>
      </c>
      <c r="L1020" s="200" t="s">
        <v>49</v>
      </c>
      <c r="M1020" s="212" t="s">
        <v>6273</v>
      </c>
      <c r="N1020" s="3" t="str">
        <f t="shared" si="1"/>
        <v>POST /experience/payments/paymentExecution/v1/corporate/transfer/schedule/get</v>
      </c>
      <c r="O1020" s="40" t="s">
        <v>6274</v>
      </c>
      <c r="P1020" s="40"/>
      <c r="Q1020" s="61" t="s">
        <v>98</v>
      </c>
      <c r="R1020" s="31" t="s">
        <v>56</v>
      </c>
      <c r="S1020" s="38" t="str">
        <f t="shared" si="2"/>
        <v>https://github.com/SF-Bancoppel/mx-api-bc-rec-payment-execution-corp</v>
      </c>
      <c r="T1020" s="40"/>
      <c r="U1020" s="22"/>
      <c r="V1020" s="40"/>
      <c r="W1020" s="40"/>
      <c r="X1020" s="40"/>
      <c r="Y1020" s="40"/>
      <c r="Z1020" s="22"/>
      <c r="AA1020" s="22"/>
      <c r="AB1020" s="22"/>
    </row>
    <row r="1021" ht="18.75" customHeight="1">
      <c r="A1021" s="18" t="str">
        <f t="array" ref="A1021">IFERROR(
  INDEX(
    'api-register-id'!A:A,
    MATCH(F1021, 'api-register-id'!B:B, 0)
  ),
  "Not found Organization"
)</f>
        <v>Empresa Net</v>
      </c>
      <c r="B1021" s="22" t="str">
        <f>IFERROR(VLOOKUP(F1021, 'api-register-id'!B:F, 4, FALSE), "Not found path.")</f>
        <v>mx-api-bc-rec-payment-execution-corp</v>
      </c>
      <c r="C1021" s="29" t="s">
        <v>112</v>
      </c>
      <c r="D1021" s="203" t="s">
        <v>1417</v>
      </c>
      <c r="E1021" s="24" t="str">
        <f>IFERROR(VLOOKUP(F1021, 'api-register-id'!B:F, 5, FALSE), "Not found path.")</f>
        <v>APIMX000153</v>
      </c>
      <c r="F1021" s="204" t="s">
        <v>1828</v>
      </c>
      <c r="G1021" s="26" t="s">
        <v>6275</v>
      </c>
      <c r="H1021" s="205" t="s">
        <v>6276</v>
      </c>
      <c r="I1021" s="29" t="str">
        <f>IFERROR(VLOOKUP(F1021, 'api-register-id'!B:I, 8, FALSE), "Not found path.")</f>
        <v/>
      </c>
      <c r="J1021" s="40" t="s">
        <v>5280</v>
      </c>
      <c r="K1021" s="211" t="s">
        <v>48</v>
      </c>
      <c r="L1021" s="200" t="s">
        <v>49</v>
      </c>
      <c r="M1021" s="212" t="s">
        <v>6277</v>
      </c>
      <c r="N1021" s="3" t="str">
        <f t="shared" si="1"/>
        <v>POST /experience/accountManagement/transactionEngine/v1/corporate/transfer/history/file/get</v>
      </c>
      <c r="O1021" s="40" t="s">
        <v>6278</v>
      </c>
      <c r="P1021" s="40"/>
      <c r="Q1021" s="61" t="s">
        <v>98</v>
      </c>
      <c r="R1021" s="31" t="s">
        <v>56</v>
      </c>
      <c r="S1021" s="38" t="str">
        <f t="shared" si="2"/>
        <v>https://github.com/SF-Bancoppel/mx-api-bc-rec-payment-execution-corp</v>
      </c>
      <c r="T1021" s="40"/>
      <c r="U1021" s="22"/>
      <c r="V1021" s="40"/>
      <c r="W1021" s="40"/>
      <c r="X1021" s="40"/>
      <c r="Y1021" s="40"/>
      <c r="Z1021" s="22"/>
      <c r="AA1021" s="22"/>
      <c r="AB1021" s="22"/>
    </row>
    <row r="1022" ht="18.75" customHeight="1">
      <c r="A1022" s="18" t="str">
        <f t="array" ref="A1022">IFERROR(
  INDEX(
    'api-register-id'!A:A,
    MATCH(F1022, 'api-register-id'!B:B, 0)
  ),
  "Not found Organization"
)</f>
        <v>Empresa Net</v>
      </c>
      <c r="B1022" s="22" t="str">
        <f>IFERROR(VLOOKUP(F1022, 'api-register-id'!B:F, 4, FALSE), "Not found path.")</f>
        <v>mx-api-bc-rec-payment-execution-corp</v>
      </c>
      <c r="C1022" s="29" t="s">
        <v>112</v>
      </c>
      <c r="D1022" s="203" t="s">
        <v>1417</v>
      </c>
      <c r="E1022" s="24" t="str">
        <f>IFERROR(VLOOKUP(F1022, 'api-register-id'!B:F, 5, FALSE), "Not found path.")</f>
        <v>APIMX000153</v>
      </c>
      <c r="F1022" s="204" t="s">
        <v>1828</v>
      </c>
      <c r="G1022" s="26" t="s">
        <v>6279</v>
      </c>
      <c r="H1022" s="205" t="s">
        <v>6280</v>
      </c>
      <c r="I1022" s="29" t="str">
        <f>IFERROR(VLOOKUP(F1022, 'api-register-id'!B:I, 8, FALSE), "Not found path.")</f>
        <v/>
      </c>
      <c r="J1022" s="40" t="s">
        <v>4829</v>
      </c>
      <c r="K1022" s="211" t="s">
        <v>48</v>
      </c>
      <c r="L1022" s="200" t="s">
        <v>49</v>
      </c>
      <c r="M1022" s="212" t="s">
        <v>6281</v>
      </c>
      <c r="N1022" s="3" t="str">
        <f t="shared" si="1"/>
        <v>POST /experience/payments/paymentExecution/v1/corporate/transfer/file/voucher</v>
      </c>
      <c r="O1022" s="40" t="s">
        <v>6282</v>
      </c>
      <c r="P1022" s="40"/>
      <c r="Q1022" s="61" t="s">
        <v>98</v>
      </c>
      <c r="R1022" s="31" t="s">
        <v>56</v>
      </c>
      <c r="S1022" s="38" t="str">
        <f t="shared" si="2"/>
        <v>https://github.com/SF-Bancoppel/mx-api-bc-rec-payment-execution-corp</v>
      </c>
      <c r="T1022" s="40"/>
      <c r="U1022" s="40"/>
      <c r="V1022" s="40"/>
      <c r="W1022" s="40"/>
      <c r="X1022" s="40"/>
      <c r="Y1022" s="40"/>
      <c r="Z1022" s="40"/>
      <c r="AA1022" s="40"/>
      <c r="AB1022" s="40"/>
    </row>
    <row r="1023" ht="18.75" customHeight="1">
      <c r="A1023" s="18" t="str">
        <f t="array" ref="A1023">IFERROR(
  INDEX(
    'api-register-id'!A:A,
    MATCH(F1023, 'api-register-id'!B:B, 0)
  ),
  "Not found Organization"
)</f>
        <v>Empresa Net</v>
      </c>
      <c r="B1023" s="22" t="str">
        <f>IFERROR(VLOOKUP(F1023, 'api-register-id'!B:F, 4, FALSE), "Not found path.")</f>
        <v>mx-api-bc-rec-payment-execution-corp</v>
      </c>
      <c r="C1023" s="29" t="s">
        <v>112</v>
      </c>
      <c r="D1023" s="203" t="s">
        <v>1417</v>
      </c>
      <c r="E1023" s="24" t="str">
        <f>IFERROR(VLOOKUP(F1023, 'api-register-id'!B:F, 5, FALSE), "Not found path.")</f>
        <v>APIMX000153</v>
      </c>
      <c r="F1023" s="204" t="s">
        <v>1828</v>
      </c>
      <c r="G1023" s="26" t="s">
        <v>6283</v>
      </c>
      <c r="H1023" s="205" t="s">
        <v>6284</v>
      </c>
      <c r="I1023" s="29" t="str">
        <f>IFERROR(VLOOKUP(F1023, 'api-register-id'!B:I, 8, FALSE), "Not found path.")</f>
        <v/>
      </c>
      <c r="J1023" s="40" t="s">
        <v>4829</v>
      </c>
      <c r="K1023" s="211" t="s">
        <v>48</v>
      </c>
      <c r="L1023" s="200" t="s">
        <v>49</v>
      </c>
      <c r="M1023" s="212" t="s">
        <v>6285</v>
      </c>
      <c r="N1023" s="3" t="str">
        <f t="shared" si="1"/>
        <v>POST /experience/payments/paymentExecution/v1/corporate/authorizations/transfer/file/progress</v>
      </c>
      <c r="O1023" s="40" t="s">
        <v>6286</v>
      </c>
      <c r="P1023" s="40"/>
      <c r="Q1023" s="61" t="s">
        <v>98</v>
      </c>
      <c r="R1023" s="31" t="s">
        <v>56</v>
      </c>
      <c r="S1023" s="38" t="str">
        <f t="shared" si="2"/>
        <v>https://github.com/SF-Bancoppel/mx-api-bc-rec-payment-execution-corp</v>
      </c>
      <c r="T1023" s="40"/>
      <c r="U1023" s="40"/>
      <c r="V1023" s="40"/>
      <c r="W1023" s="40"/>
      <c r="X1023" s="40"/>
      <c r="Y1023" s="40"/>
      <c r="Z1023" s="40"/>
      <c r="AA1023" s="40"/>
      <c r="AB1023" s="40"/>
    </row>
    <row r="1024" ht="18.75" customHeight="1">
      <c r="A1024" s="18" t="str">
        <f t="array" ref="A1024">IFERROR(
  INDEX(
    'api-register-id'!A:A,
    MATCH(F1024, 'api-register-id'!B:B, 0)
  ),
  "Not found Organization"
)</f>
        <v>Empresa Net</v>
      </c>
      <c r="B1024" s="22" t="str">
        <f>IFERROR(VLOOKUP(F1024, 'api-register-id'!B:F, 4, FALSE), "Not found path.")</f>
        <v>mx-api-bc-dom-payment-execution-corp</v>
      </c>
      <c r="C1024" s="200" t="s">
        <v>41</v>
      </c>
      <c r="D1024" s="200" t="s">
        <v>119</v>
      </c>
      <c r="E1024" s="24" t="str">
        <f>IFERROR(VLOOKUP(F1024, 'api-register-id'!B:F, 5, FALSE), "Not found path.")</f>
        <v>APIMX000154</v>
      </c>
      <c r="F1024" s="204" t="s">
        <v>1851</v>
      </c>
      <c r="G1024" s="26" t="s">
        <v>6287</v>
      </c>
      <c r="H1024" s="205" t="s">
        <v>6288</v>
      </c>
      <c r="I1024" s="29" t="str">
        <f>IFERROR(VLOOKUP(F1024, 'api-register-id'!B:I, 8, FALSE), "Not found path.")</f>
        <v>1.2.2</v>
      </c>
      <c r="J1024" s="40" t="s">
        <v>1614</v>
      </c>
      <c r="K1024" s="211" t="s">
        <v>48</v>
      </c>
      <c r="L1024" s="200" t="s">
        <v>49</v>
      </c>
      <c r="M1024" s="212" t="s">
        <v>6249</v>
      </c>
      <c r="N1024" s="3" t="str">
        <f t="shared" si="1"/>
        <v>POST /payments/paymentExecution/v1/corporate/transfer/history/online/get</v>
      </c>
      <c r="O1024" s="40" t="s">
        <v>6250</v>
      </c>
      <c r="P1024" s="40"/>
      <c r="Q1024" s="61" t="s">
        <v>98</v>
      </c>
      <c r="R1024" s="31" t="s">
        <v>56</v>
      </c>
      <c r="S1024" s="38" t="str">
        <f t="shared" si="2"/>
        <v>https://github.com/SF-Bancoppel/mx-api-bc-dom-payment-execution-corp</v>
      </c>
      <c r="T1024" s="40"/>
      <c r="U1024" s="40"/>
      <c r="V1024" s="40"/>
      <c r="W1024" s="40"/>
      <c r="X1024" s="40"/>
      <c r="Y1024" s="40"/>
      <c r="Z1024" s="40"/>
      <c r="AA1024" s="40"/>
      <c r="AB1024" s="40"/>
    </row>
    <row r="1025" ht="18.75" customHeight="1">
      <c r="A1025" s="18" t="str">
        <f t="array" ref="A1025">IFERROR(
  INDEX(
    'api-register-id'!A:A,
    MATCH(F1025, 'api-register-id'!B:B, 0)
  ),
  "Not found Organization"
)</f>
        <v>Empresa Net</v>
      </c>
      <c r="B1025" s="22" t="str">
        <f>IFERROR(VLOOKUP(F1025, 'api-register-id'!B:F, 4, FALSE), "Not found path.")</f>
        <v>mx-api-bc-dom-payment-execution-corp</v>
      </c>
      <c r="C1025" s="200" t="s">
        <v>41</v>
      </c>
      <c r="D1025" s="200" t="s">
        <v>119</v>
      </c>
      <c r="E1025" s="24" t="str">
        <f>IFERROR(VLOOKUP(F1025, 'api-register-id'!B:F, 5, FALSE), "Not found path.")</f>
        <v>APIMX000154</v>
      </c>
      <c r="F1025" s="204" t="s">
        <v>1851</v>
      </c>
      <c r="G1025" s="26" t="s">
        <v>6289</v>
      </c>
      <c r="H1025" s="205" t="s">
        <v>6290</v>
      </c>
      <c r="I1025" s="29" t="str">
        <f>IFERROR(VLOOKUP(F1025, 'api-register-id'!B:I, 8, FALSE), "Not found path.")</f>
        <v>1.2.2</v>
      </c>
      <c r="J1025" s="40" t="s">
        <v>1614</v>
      </c>
      <c r="K1025" s="211" t="s">
        <v>48</v>
      </c>
      <c r="L1025" s="200" t="s">
        <v>49</v>
      </c>
      <c r="M1025" s="212" t="s">
        <v>6253</v>
      </c>
      <c r="N1025" s="3" t="str">
        <f t="shared" si="1"/>
        <v>POST /payments/paymentExecution/v1/corporate/authorizations/transfer/file/get</v>
      </c>
      <c r="O1025" s="40" t="s">
        <v>6254</v>
      </c>
      <c r="P1025" s="40"/>
      <c r="Q1025" s="61" t="s">
        <v>98</v>
      </c>
      <c r="R1025" s="31" t="s">
        <v>56</v>
      </c>
      <c r="S1025" s="38" t="str">
        <f t="shared" si="2"/>
        <v>https://github.com/SF-Bancoppel/mx-api-bc-dom-payment-execution-corp</v>
      </c>
      <c r="T1025" s="40"/>
      <c r="U1025" s="40"/>
      <c r="V1025" s="40"/>
      <c r="W1025" s="40"/>
      <c r="X1025" s="40"/>
      <c r="Y1025" s="40"/>
      <c r="Z1025" s="40"/>
      <c r="AA1025" s="40"/>
      <c r="AB1025" s="40"/>
    </row>
    <row r="1026" ht="18.75" customHeight="1">
      <c r="A1026" s="18" t="str">
        <f t="array" ref="A1026">IFERROR(
  INDEX(
    'api-register-id'!A:A,
    MATCH(F1026, 'api-register-id'!B:B, 0)
  ),
  "Not found Organization"
)</f>
        <v>Empresa Net</v>
      </c>
      <c r="B1026" s="22" t="str">
        <f>IFERROR(VLOOKUP(F1026, 'api-register-id'!B:F, 4, FALSE), "Not found path.")</f>
        <v>mx-api-bc-dom-payment-execution-corp</v>
      </c>
      <c r="C1026" s="200" t="s">
        <v>41</v>
      </c>
      <c r="D1026" s="200" t="s">
        <v>119</v>
      </c>
      <c r="E1026" s="24" t="str">
        <f>IFERROR(VLOOKUP(F1026, 'api-register-id'!B:F, 5, FALSE), "Not found path.")</f>
        <v>APIMX000154</v>
      </c>
      <c r="F1026" s="204" t="s">
        <v>1851</v>
      </c>
      <c r="G1026" s="26" t="s">
        <v>6291</v>
      </c>
      <c r="H1026" s="205" t="s">
        <v>6292</v>
      </c>
      <c r="I1026" s="29" t="str">
        <f>IFERROR(VLOOKUP(F1026, 'api-register-id'!B:I, 8, FALSE), "Not found path.")</f>
        <v>1.2.2</v>
      </c>
      <c r="J1026" s="40" t="s">
        <v>1614</v>
      </c>
      <c r="K1026" s="211" t="s">
        <v>48</v>
      </c>
      <c r="L1026" s="200" t="s">
        <v>49</v>
      </c>
      <c r="M1026" s="212" t="s">
        <v>6257</v>
      </c>
      <c r="N1026" s="3" t="str">
        <f t="shared" si="1"/>
        <v>POST /payments/paymentExecution/v1/corporate/authorizations/transfer/file/sign</v>
      </c>
      <c r="O1026" s="40" t="s">
        <v>6258</v>
      </c>
      <c r="P1026" s="40"/>
      <c r="Q1026" s="61" t="s">
        <v>98</v>
      </c>
      <c r="R1026" s="31" t="s">
        <v>56</v>
      </c>
      <c r="S1026" s="38" t="str">
        <f t="shared" si="2"/>
        <v>https://github.com/SF-Bancoppel/mx-api-bc-dom-payment-execution-corp</v>
      </c>
      <c r="T1026" s="40"/>
      <c r="U1026" s="40"/>
      <c r="V1026" s="40"/>
      <c r="W1026" s="40"/>
      <c r="X1026" s="40"/>
      <c r="Y1026" s="40"/>
      <c r="Z1026" s="40"/>
      <c r="AA1026" s="40"/>
      <c r="AB1026" s="40"/>
    </row>
    <row r="1027" ht="18.75" customHeight="1">
      <c r="A1027" s="18" t="str">
        <f t="array" ref="A1027">IFERROR(
  INDEX(
    'api-register-id'!A:A,
    MATCH(F1027, 'api-register-id'!B:B, 0)
  ),
  "Not found Organization"
)</f>
        <v>Empresa Net</v>
      </c>
      <c r="B1027" s="22" t="str">
        <f>IFERROR(VLOOKUP(F1027, 'api-register-id'!B:F, 4, FALSE), "Not found path.")</f>
        <v>mx-api-bc-dom-payment-execution-corp</v>
      </c>
      <c r="C1027" s="200" t="s">
        <v>41</v>
      </c>
      <c r="D1027" s="200" t="s">
        <v>119</v>
      </c>
      <c r="E1027" s="24" t="str">
        <f>IFERROR(VLOOKUP(F1027, 'api-register-id'!B:F, 5, FALSE), "Not found path.")</f>
        <v>APIMX000154</v>
      </c>
      <c r="F1027" s="204" t="s">
        <v>1851</v>
      </c>
      <c r="G1027" s="26" t="s">
        <v>6293</v>
      </c>
      <c r="H1027" s="205" t="s">
        <v>6294</v>
      </c>
      <c r="I1027" s="29" t="str">
        <f>IFERROR(VLOOKUP(F1027, 'api-register-id'!B:I, 8, FALSE), "Not found path.")</f>
        <v>1.2.2</v>
      </c>
      <c r="J1027" s="40" t="s">
        <v>1614</v>
      </c>
      <c r="K1027" s="211" t="s">
        <v>48</v>
      </c>
      <c r="L1027" s="200" t="s">
        <v>49</v>
      </c>
      <c r="M1027" s="212" t="s">
        <v>6261</v>
      </c>
      <c r="N1027" s="3" t="str">
        <f t="shared" si="1"/>
        <v>POST /payments/paymentExecution/v1/corporate//authorizations/transfer/file/cancel</v>
      </c>
      <c r="O1027" s="40" t="s">
        <v>6262</v>
      </c>
      <c r="P1027" s="40"/>
      <c r="Q1027" s="61" t="s">
        <v>98</v>
      </c>
      <c r="R1027" s="31" t="s">
        <v>56</v>
      </c>
      <c r="S1027" s="38" t="str">
        <f t="shared" si="2"/>
        <v>https://github.com/SF-Bancoppel/mx-api-bc-dom-payment-execution-corp</v>
      </c>
      <c r="T1027" s="40"/>
      <c r="U1027" s="40"/>
      <c r="V1027" s="40"/>
      <c r="W1027" s="40"/>
      <c r="X1027" s="40"/>
      <c r="Y1027" s="40"/>
      <c r="Z1027" s="40"/>
      <c r="AA1027" s="40"/>
      <c r="AB1027" s="40"/>
    </row>
    <row r="1028" ht="18.75" customHeight="1">
      <c r="A1028" s="18" t="str">
        <f t="array" ref="A1028">IFERROR(
  INDEX(
    'api-register-id'!A:A,
    MATCH(F1028, 'api-register-id'!B:B, 0)
  ),
  "Not found Organization"
)</f>
        <v>Empresa Net</v>
      </c>
      <c r="B1028" s="22" t="str">
        <f>IFERROR(VLOOKUP(F1028, 'api-register-id'!B:F, 4, FALSE), "Not found path.")</f>
        <v>mx-api-bc-dom-payment-execution-corp</v>
      </c>
      <c r="C1028" s="203" t="s">
        <v>41</v>
      </c>
      <c r="D1028" s="200" t="s">
        <v>119</v>
      </c>
      <c r="E1028" s="24" t="str">
        <f>IFERROR(VLOOKUP(F1028, 'api-register-id'!B:F, 5, FALSE), "Not found path.")</f>
        <v>APIMX000154</v>
      </c>
      <c r="F1028" s="204" t="s">
        <v>1851</v>
      </c>
      <c r="G1028" s="26" t="s">
        <v>6295</v>
      </c>
      <c r="H1028" s="205" t="s">
        <v>6296</v>
      </c>
      <c r="I1028" s="29" t="str">
        <f>IFERROR(VLOOKUP(F1028, 'api-register-id'!B:I, 8, FALSE), "Not found path.")</f>
        <v>1.2.2</v>
      </c>
      <c r="J1028" s="40" t="s">
        <v>1614</v>
      </c>
      <c r="K1028" s="211" t="s">
        <v>48</v>
      </c>
      <c r="L1028" s="200" t="s">
        <v>49</v>
      </c>
      <c r="M1028" s="212" t="s">
        <v>6265</v>
      </c>
      <c r="N1028" s="3" t="str">
        <f t="shared" si="1"/>
        <v>POST /payments/paymentExecution/v1/corporate/authorizations/transfer/online/progress</v>
      </c>
      <c r="O1028" s="40" t="s">
        <v>6266</v>
      </c>
      <c r="P1028" s="40"/>
      <c r="Q1028" s="61" t="s">
        <v>98</v>
      </c>
      <c r="R1028" s="31" t="s">
        <v>56</v>
      </c>
      <c r="S1028" s="38" t="str">
        <f t="shared" si="2"/>
        <v>https://github.com/SF-Bancoppel/mx-api-bc-dom-payment-execution-corp</v>
      </c>
      <c r="T1028" s="40"/>
      <c r="U1028" s="40"/>
      <c r="V1028" s="40"/>
      <c r="W1028" s="40"/>
      <c r="X1028" s="40"/>
      <c r="Y1028" s="40"/>
      <c r="Z1028" s="40"/>
      <c r="AA1028" s="40"/>
      <c r="AB1028" s="40"/>
    </row>
    <row r="1029" ht="18.75" customHeight="1">
      <c r="A1029" s="18" t="str">
        <f t="array" ref="A1029">IFERROR(
  INDEX(
    'api-register-id'!A:A,
    MATCH(F1029, 'api-register-id'!B:B, 0)
  ),
  "Not found Organization"
)</f>
        <v>Empresa Net</v>
      </c>
      <c r="B1029" s="22" t="str">
        <f>IFERROR(VLOOKUP(F1029, 'api-register-id'!B:F, 4, FALSE), "Not found path.")</f>
        <v>mx-api-bc-dom-payment-execution-corp</v>
      </c>
      <c r="C1029" s="203" t="s">
        <v>41</v>
      </c>
      <c r="D1029" s="200" t="s">
        <v>119</v>
      </c>
      <c r="E1029" s="24" t="str">
        <f>IFERROR(VLOOKUP(F1029, 'api-register-id'!B:F, 5, FALSE), "Not found path.")</f>
        <v>APIMX000154</v>
      </c>
      <c r="F1029" s="204" t="s">
        <v>1851</v>
      </c>
      <c r="G1029" s="26" t="s">
        <v>6297</v>
      </c>
      <c r="H1029" s="205" t="s">
        <v>6298</v>
      </c>
      <c r="I1029" s="29" t="str">
        <f>IFERROR(VLOOKUP(F1029, 'api-register-id'!B:I, 8, FALSE), "Not found path.")</f>
        <v>1.2.2</v>
      </c>
      <c r="J1029" s="40" t="s">
        <v>1614</v>
      </c>
      <c r="K1029" s="211" t="s">
        <v>48</v>
      </c>
      <c r="L1029" s="200" t="s">
        <v>49</v>
      </c>
      <c r="M1029" s="212" t="s">
        <v>6269</v>
      </c>
      <c r="N1029" s="3" t="str">
        <f t="shared" si="1"/>
        <v>POST /payments/paymentExecution/v1/corporate/transfer/schedule/cancel</v>
      </c>
      <c r="O1029" s="40" t="s">
        <v>6270</v>
      </c>
      <c r="P1029" s="40"/>
      <c r="Q1029" s="61" t="s">
        <v>98</v>
      </c>
      <c r="R1029" s="31" t="s">
        <v>56</v>
      </c>
      <c r="S1029" s="38" t="str">
        <f t="shared" si="2"/>
        <v>https://github.com/SF-Bancoppel/mx-api-bc-dom-payment-execution-corp</v>
      </c>
      <c r="T1029" s="40"/>
      <c r="U1029" s="40"/>
      <c r="V1029" s="40"/>
      <c r="W1029" s="40"/>
      <c r="X1029" s="40"/>
      <c r="Y1029" s="40"/>
      <c r="Z1029" s="40"/>
      <c r="AA1029" s="40"/>
      <c r="AB1029" s="40"/>
    </row>
    <row r="1030" ht="18.75" customHeight="1">
      <c r="A1030" s="18" t="str">
        <f t="array" ref="A1030">IFERROR(
  INDEX(
    'api-register-id'!A:A,
    MATCH(F1030, 'api-register-id'!B:B, 0)
  ),
  "Not found Organization"
)</f>
        <v>Empresa Net</v>
      </c>
      <c r="B1030" s="22" t="str">
        <f>IFERROR(VLOOKUP(F1030, 'api-register-id'!B:F, 4, FALSE), "Not found path.")</f>
        <v>mx-api-bc-dom-payment-execution-corp</v>
      </c>
      <c r="C1030" s="203" t="s">
        <v>41</v>
      </c>
      <c r="D1030" s="200" t="s">
        <v>119</v>
      </c>
      <c r="E1030" s="24" t="str">
        <f>IFERROR(VLOOKUP(F1030, 'api-register-id'!B:F, 5, FALSE), "Not found path.")</f>
        <v>APIMX000154</v>
      </c>
      <c r="F1030" s="204" t="s">
        <v>1851</v>
      </c>
      <c r="G1030" s="26" t="s">
        <v>6299</v>
      </c>
      <c r="H1030" s="205" t="s">
        <v>6300</v>
      </c>
      <c r="I1030" s="29" t="str">
        <f>IFERROR(VLOOKUP(F1030, 'api-register-id'!B:I, 8, FALSE), "Not found path.")</f>
        <v>1.2.2</v>
      </c>
      <c r="J1030" s="40" t="s">
        <v>1614</v>
      </c>
      <c r="K1030" s="211" t="s">
        <v>48</v>
      </c>
      <c r="L1030" s="200" t="s">
        <v>49</v>
      </c>
      <c r="M1030" s="212" t="s">
        <v>6273</v>
      </c>
      <c r="N1030" s="3" t="str">
        <f t="shared" si="1"/>
        <v>POST /payments/paymentExecution/v1/corporate/transfer/schedule/get</v>
      </c>
      <c r="O1030" s="40" t="s">
        <v>6274</v>
      </c>
      <c r="P1030" s="40"/>
      <c r="Q1030" s="61" t="s">
        <v>98</v>
      </c>
      <c r="R1030" s="31" t="s">
        <v>56</v>
      </c>
      <c r="S1030" s="38" t="str">
        <f t="shared" si="2"/>
        <v>https://github.com/SF-Bancoppel/mx-api-bc-dom-payment-execution-corp</v>
      </c>
      <c r="T1030" s="40"/>
      <c r="U1030" s="40"/>
      <c r="V1030" s="40"/>
      <c r="W1030" s="40"/>
      <c r="X1030" s="40"/>
      <c r="Y1030" s="40"/>
      <c r="Z1030" s="40"/>
      <c r="AA1030" s="40"/>
      <c r="AB1030" s="40"/>
    </row>
    <row r="1031" ht="18.75" customHeight="1">
      <c r="A1031" s="18" t="str">
        <f t="array" ref="A1031">IFERROR(
  INDEX(
    'api-register-id'!A:A,
    MATCH(F1031, 'api-register-id'!B:B, 0)
  ),
  "Not found Organization"
)</f>
        <v>Empresa Net</v>
      </c>
      <c r="B1031" s="22" t="str">
        <f>IFERROR(VLOOKUP(F1031, 'api-register-id'!B:F, 4, FALSE), "Not found path.")</f>
        <v>mx-api-bc-dom-payment-execution-corp</v>
      </c>
      <c r="C1031" s="203" t="s">
        <v>41</v>
      </c>
      <c r="D1031" s="200" t="s">
        <v>119</v>
      </c>
      <c r="E1031" s="24" t="str">
        <f>IFERROR(VLOOKUP(F1031, 'api-register-id'!B:F, 5, FALSE), "Not found path.")</f>
        <v>APIMX000154</v>
      </c>
      <c r="F1031" s="204" t="s">
        <v>1851</v>
      </c>
      <c r="G1031" s="26" t="s">
        <v>6301</v>
      </c>
      <c r="H1031" s="205" t="s">
        <v>6302</v>
      </c>
      <c r="I1031" s="29" t="str">
        <f>IFERROR(VLOOKUP(F1031, 'api-register-id'!B:I, 8, FALSE), "Not found path.")</f>
        <v>1.2.2</v>
      </c>
      <c r="J1031" s="40" t="s">
        <v>1938</v>
      </c>
      <c r="K1031" s="211" t="s">
        <v>48</v>
      </c>
      <c r="L1031" s="200" t="s">
        <v>49</v>
      </c>
      <c r="M1031" s="212" t="s">
        <v>6277</v>
      </c>
      <c r="N1031" s="3" t="str">
        <f t="shared" si="1"/>
        <v>POST /accountManagement/transactionEngine/v1/corporate/transfer/history/file/get</v>
      </c>
      <c r="O1031" s="40" t="s">
        <v>6278</v>
      </c>
      <c r="P1031" s="40"/>
      <c r="Q1031" s="61" t="s">
        <v>98</v>
      </c>
      <c r="R1031" s="31" t="s">
        <v>56</v>
      </c>
      <c r="S1031" s="38" t="str">
        <f t="shared" si="2"/>
        <v>https://github.com/SF-Bancoppel/mx-api-bc-dom-payment-execution-corp</v>
      </c>
      <c r="T1031" s="40"/>
      <c r="U1031" s="40"/>
      <c r="V1031" s="40"/>
      <c r="W1031" s="40"/>
      <c r="X1031" s="40"/>
      <c r="Y1031" s="40"/>
      <c r="Z1031" s="40"/>
      <c r="AA1031" s="40"/>
      <c r="AB1031" s="40"/>
    </row>
    <row r="1032" ht="18.75" customHeight="1">
      <c r="A1032" s="18" t="str">
        <f t="array" ref="A1032">IFERROR(
  INDEX(
    'api-register-id'!A:A,
    MATCH(F1032, 'api-register-id'!B:B, 0)
  ),
  "Not found Organization"
)</f>
        <v>Empresa Net</v>
      </c>
      <c r="B1032" s="22" t="str">
        <f>IFERROR(VLOOKUP(F1032, 'api-register-id'!B:F, 4, FALSE), "Not found path.")</f>
        <v>mx-api-bc-dom-payment-execution-corp</v>
      </c>
      <c r="C1032" s="203" t="s">
        <v>41</v>
      </c>
      <c r="D1032" s="200" t="s">
        <v>119</v>
      </c>
      <c r="E1032" s="24" t="str">
        <f>IFERROR(VLOOKUP(F1032, 'api-register-id'!B:F, 5, FALSE), "Not found path.")</f>
        <v>APIMX000154</v>
      </c>
      <c r="F1032" s="204" t="s">
        <v>1851</v>
      </c>
      <c r="G1032" s="26" t="s">
        <v>6303</v>
      </c>
      <c r="H1032" s="205" t="s">
        <v>6304</v>
      </c>
      <c r="I1032" s="29" t="str">
        <f>IFERROR(VLOOKUP(F1032, 'api-register-id'!B:I, 8, FALSE), "Not found path.")</f>
        <v>1.2.2</v>
      </c>
      <c r="J1032" s="40" t="s">
        <v>1614</v>
      </c>
      <c r="K1032" s="211" t="s">
        <v>48</v>
      </c>
      <c r="L1032" s="200" t="s">
        <v>49</v>
      </c>
      <c r="M1032" s="212" t="s">
        <v>6281</v>
      </c>
      <c r="N1032" s="3" t="str">
        <f t="shared" si="1"/>
        <v>POST /payments/paymentExecution/v1/corporate/transfer/file/voucher</v>
      </c>
      <c r="O1032" s="40" t="s">
        <v>6282</v>
      </c>
      <c r="P1032" s="40"/>
      <c r="Q1032" s="61" t="s">
        <v>98</v>
      </c>
      <c r="R1032" s="31" t="s">
        <v>56</v>
      </c>
      <c r="S1032" s="38" t="str">
        <f t="shared" si="2"/>
        <v>https://github.com/SF-Bancoppel/mx-api-bc-dom-payment-execution-corp</v>
      </c>
      <c r="T1032" s="40"/>
      <c r="U1032" s="40"/>
      <c r="V1032" s="40"/>
      <c r="W1032" s="40"/>
      <c r="X1032" s="40"/>
      <c r="Y1032" s="40"/>
      <c r="Z1032" s="40"/>
      <c r="AA1032" s="40"/>
      <c r="AB1032" s="40"/>
    </row>
    <row r="1033" ht="18.75" customHeight="1">
      <c r="A1033" s="18" t="str">
        <f t="array" ref="A1033">IFERROR(
  INDEX(
    'api-register-id'!A:A,
    MATCH(F1033, 'api-register-id'!B:B, 0)
  ),
  "Not found Organization"
)</f>
        <v>Empresa Net</v>
      </c>
      <c r="B1033" s="22" t="str">
        <f>IFERROR(VLOOKUP(F1033, 'api-register-id'!B:F, 4, FALSE), "Not found path.")</f>
        <v>mx-api-bc-dom-payment-execution-corp</v>
      </c>
      <c r="C1033" s="203" t="s">
        <v>41</v>
      </c>
      <c r="D1033" s="200" t="s">
        <v>119</v>
      </c>
      <c r="E1033" s="24" t="str">
        <f>IFERROR(VLOOKUP(F1033, 'api-register-id'!B:F, 5, FALSE), "Not found path.")</f>
        <v>APIMX000154</v>
      </c>
      <c r="F1033" s="204" t="s">
        <v>1851</v>
      </c>
      <c r="G1033" s="26" t="s">
        <v>6305</v>
      </c>
      <c r="H1033" s="205" t="s">
        <v>6306</v>
      </c>
      <c r="I1033" s="29" t="str">
        <f>IFERROR(VLOOKUP(F1033, 'api-register-id'!B:I, 8, FALSE), "Not found path.")</f>
        <v>1.2.2</v>
      </c>
      <c r="J1033" s="40" t="s">
        <v>1614</v>
      </c>
      <c r="K1033" s="211" t="s">
        <v>48</v>
      </c>
      <c r="L1033" s="200" t="s">
        <v>49</v>
      </c>
      <c r="M1033" s="212" t="s">
        <v>6285</v>
      </c>
      <c r="N1033" s="3" t="str">
        <f t="shared" si="1"/>
        <v>POST /payments/paymentExecution/v1/corporate/authorizations/transfer/file/progress</v>
      </c>
      <c r="O1033" s="40" t="s">
        <v>6286</v>
      </c>
      <c r="P1033" s="40"/>
      <c r="Q1033" s="61" t="s">
        <v>98</v>
      </c>
      <c r="R1033" s="31" t="s">
        <v>56</v>
      </c>
      <c r="S1033" s="38" t="str">
        <f t="shared" si="2"/>
        <v>https://github.com/SF-Bancoppel/mx-api-bc-dom-payment-execution-corp</v>
      </c>
      <c r="T1033" s="40"/>
      <c r="U1033" s="22"/>
      <c r="V1033" s="22"/>
      <c r="W1033" s="40"/>
      <c r="X1033" s="40"/>
      <c r="Y1033" s="40"/>
      <c r="Z1033" s="22"/>
      <c r="AA1033" s="22"/>
      <c r="AB1033" s="22"/>
    </row>
    <row r="1034" ht="18.75" customHeight="1">
      <c r="A1034" s="18" t="str">
        <f t="array" ref="A1034">IFERROR(
  INDEX(
    'api-register-id'!A:A,
    MATCH(F1034, 'api-register-id'!B:B, 0)
  ),
  "Not found Organization"
)</f>
        <v>Empresa Net</v>
      </c>
      <c r="B1034" s="22" t="str">
        <f>IFERROR(VLOOKUP(F1034, 'api-register-id'!B:F, 4, FALSE), "Not found path.")</f>
        <v>mx-api-bc-pro-payment-execution-corp</v>
      </c>
      <c r="C1034" s="200" t="s">
        <v>41</v>
      </c>
      <c r="D1034" s="200" t="s">
        <v>811</v>
      </c>
      <c r="E1034" s="24" t="str">
        <f>IFERROR(VLOOKUP(F1034, 'api-register-id'!B:F, 5, FALSE), "Not found path.")</f>
        <v>APIMX000155</v>
      </c>
      <c r="F1034" s="204" t="s">
        <v>1874</v>
      </c>
      <c r="G1034" s="26" t="s">
        <v>6307</v>
      </c>
      <c r="H1034" s="205" t="s">
        <v>6308</v>
      </c>
      <c r="I1034" s="29" t="str">
        <f>IFERROR(VLOOKUP(F1034, 'api-register-id'!B:I, 8, FALSE), "Not found path.")</f>
        <v/>
      </c>
      <c r="J1034" s="40" t="s">
        <v>3463</v>
      </c>
      <c r="K1034" s="211" t="s">
        <v>48</v>
      </c>
      <c r="L1034" s="200" t="s">
        <v>49</v>
      </c>
      <c r="M1034" s="212" t="s">
        <v>6249</v>
      </c>
      <c r="N1034" s="3" t="str">
        <f t="shared" si="1"/>
        <v>POST /system/payments/paymentExecution/v1/corporate/transfer/history/online/get</v>
      </c>
      <c r="O1034" s="40" t="s">
        <v>6250</v>
      </c>
      <c r="P1034" s="40"/>
      <c r="Q1034" s="61" t="s">
        <v>98</v>
      </c>
      <c r="R1034" s="31" t="s">
        <v>56</v>
      </c>
      <c r="S1034" s="38" t="str">
        <f t="shared" si="2"/>
        <v>https://github.com/SF-Bancoppel/mx-api-bc-pro-payment-execution-corp</v>
      </c>
      <c r="T1034" s="40"/>
      <c r="U1034" s="22"/>
      <c r="V1034" s="22"/>
      <c r="W1034" s="40"/>
      <c r="X1034" s="40"/>
      <c r="Y1034" s="40"/>
      <c r="Z1034" s="22"/>
      <c r="AA1034" s="22"/>
      <c r="AB1034" s="22"/>
    </row>
    <row r="1035" ht="18.75" customHeight="1">
      <c r="A1035" s="18" t="str">
        <f t="array" ref="A1035">IFERROR(
  INDEX(
    'api-register-id'!A:A,
    MATCH(F1035, 'api-register-id'!B:B, 0)
  ),
  "Not found Organization"
)</f>
        <v>Empresa Net</v>
      </c>
      <c r="B1035" s="22" t="str">
        <f>IFERROR(VLOOKUP(F1035, 'api-register-id'!B:F, 4, FALSE), "Not found path.")</f>
        <v>mx-api-bc-pro-payment-execution-corp</v>
      </c>
      <c r="C1035" s="200" t="s">
        <v>41</v>
      </c>
      <c r="D1035" s="200" t="s">
        <v>811</v>
      </c>
      <c r="E1035" s="24" t="str">
        <f>IFERROR(VLOOKUP(F1035, 'api-register-id'!B:F, 5, FALSE), "Not found path.")</f>
        <v>APIMX000155</v>
      </c>
      <c r="F1035" s="204" t="s">
        <v>1874</v>
      </c>
      <c r="G1035" s="26" t="s">
        <v>6309</v>
      </c>
      <c r="H1035" s="205" t="s">
        <v>6310</v>
      </c>
      <c r="I1035" s="29" t="str">
        <f>IFERROR(VLOOKUP(F1035, 'api-register-id'!B:I, 8, FALSE), "Not found path.")</f>
        <v/>
      </c>
      <c r="J1035" s="40" t="s">
        <v>3463</v>
      </c>
      <c r="K1035" s="211" t="s">
        <v>48</v>
      </c>
      <c r="L1035" s="200" t="s">
        <v>49</v>
      </c>
      <c r="M1035" s="212" t="s">
        <v>6253</v>
      </c>
      <c r="N1035" s="3" t="str">
        <f t="shared" si="1"/>
        <v>POST /system/payments/paymentExecution/v1/corporate/authorizations/transfer/file/get</v>
      </c>
      <c r="O1035" s="40" t="s">
        <v>6254</v>
      </c>
      <c r="P1035" s="40"/>
      <c r="Q1035" s="61" t="s">
        <v>98</v>
      </c>
      <c r="R1035" s="31" t="s">
        <v>56</v>
      </c>
      <c r="S1035" s="38" t="str">
        <f t="shared" si="2"/>
        <v>https://github.com/SF-Bancoppel/mx-api-bc-pro-payment-execution-corp</v>
      </c>
      <c r="T1035" s="40"/>
      <c r="U1035" s="22"/>
      <c r="V1035" s="40"/>
      <c r="W1035" s="40"/>
      <c r="X1035" s="40"/>
      <c r="Y1035" s="40"/>
      <c r="Z1035" s="22"/>
      <c r="AA1035" s="22"/>
      <c r="AB1035" s="22"/>
    </row>
    <row r="1036" ht="18.75" customHeight="1">
      <c r="A1036" s="18" t="str">
        <f t="array" ref="A1036">IFERROR(
  INDEX(
    'api-register-id'!A:A,
    MATCH(F1036, 'api-register-id'!B:B, 0)
  ),
  "Not found Organization"
)</f>
        <v>Empresa Net</v>
      </c>
      <c r="B1036" s="22" t="str">
        <f>IFERROR(VLOOKUP(F1036, 'api-register-id'!B:F, 4, FALSE), "Not found path.")</f>
        <v>mx-api-bc-pro-payment-execution-corp</v>
      </c>
      <c r="C1036" s="200" t="s">
        <v>41</v>
      </c>
      <c r="D1036" s="200" t="s">
        <v>811</v>
      </c>
      <c r="E1036" s="24" t="str">
        <f>IFERROR(VLOOKUP(F1036, 'api-register-id'!B:F, 5, FALSE), "Not found path.")</f>
        <v>APIMX000155</v>
      </c>
      <c r="F1036" s="204" t="s">
        <v>1874</v>
      </c>
      <c r="G1036" s="26" t="s">
        <v>6311</v>
      </c>
      <c r="H1036" s="205" t="s">
        <v>6312</v>
      </c>
      <c r="I1036" s="29" t="str">
        <f>IFERROR(VLOOKUP(F1036, 'api-register-id'!B:I, 8, FALSE), "Not found path.")</f>
        <v/>
      </c>
      <c r="J1036" s="40" t="s">
        <v>3463</v>
      </c>
      <c r="K1036" s="211" t="s">
        <v>48</v>
      </c>
      <c r="L1036" s="200" t="s">
        <v>49</v>
      </c>
      <c r="M1036" s="212" t="s">
        <v>6257</v>
      </c>
      <c r="N1036" s="3" t="str">
        <f t="shared" si="1"/>
        <v>POST /system/payments/paymentExecution/v1/corporate/authorizations/transfer/file/sign</v>
      </c>
      <c r="O1036" s="40" t="s">
        <v>6258</v>
      </c>
      <c r="P1036" s="40"/>
      <c r="Q1036" s="61" t="s">
        <v>98</v>
      </c>
      <c r="R1036" s="31" t="s">
        <v>56</v>
      </c>
      <c r="S1036" s="38" t="str">
        <f t="shared" si="2"/>
        <v>https://github.com/SF-Bancoppel/mx-api-bc-pro-payment-execution-corp</v>
      </c>
      <c r="T1036" s="40"/>
      <c r="U1036" s="22"/>
      <c r="V1036" s="40"/>
      <c r="W1036" s="40"/>
      <c r="X1036" s="40"/>
      <c r="Y1036" s="40"/>
      <c r="Z1036" s="22"/>
      <c r="AA1036" s="22"/>
      <c r="AB1036" s="22"/>
    </row>
    <row r="1037" ht="18.75" customHeight="1">
      <c r="A1037" s="18" t="str">
        <f t="array" ref="A1037">IFERROR(
  INDEX(
    'api-register-id'!A:A,
    MATCH(F1037, 'api-register-id'!B:B, 0)
  ),
  "Not found Organization"
)</f>
        <v>Empresa Net</v>
      </c>
      <c r="B1037" s="22" t="str">
        <f>IFERROR(VLOOKUP(F1037, 'api-register-id'!B:F, 4, FALSE), "Not found path.")</f>
        <v>mx-api-bc-pro-payment-execution-corp</v>
      </c>
      <c r="C1037" s="200" t="s">
        <v>41</v>
      </c>
      <c r="D1037" s="200" t="s">
        <v>811</v>
      </c>
      <c r="E1037" s="24" t="str">
        <f>IFERROR(VLOOKUP(F1037, 'api-register-id'!B:F, 5, FALSE), "Not found path.")</f>
        <v>APIMX000155</v>
      </c>
      <c r="F1037" s="204" t="s">
        <v>1874</v>
      </c>
      <c r="G1037" s="26" t="s">
        <v>6313</v>
      </c>
      <c r="H1037" s="205" t="s">
        <v>6314</v>
      </c>
      <c r="I1037" s="29" t="str">
        <f>IFERROR(VLOOKUP(F1037, 'api-register-id'!B:I, 8, FALSE), "Not found path.")</f>
        <v/>
      </c>
      <c r="J1037" s="40" t="s">
        <v>3463</v>
      </c>
      <c r="K1037" s="211" t="s">
        <v>48</v>
      </c>
      <c r="L1037" s="200" t="s">
        <v>49</v>
      </c>
      <c r="M1037" s="212" t="s">
        <v>6261</v>
      </c>
      <c r="N1037" s="3" t="str">
        <f t="shared" si="1"/>
        <v>POST /system/payments/paymentExecution/v1/corporate//authorizations/transfer/file/cancel</v>
      </c>
      <c r="O1037" s="40" t="s">
        <v>6262</v>
      </c>
      <c r="P1037" s="40"/>
      <c r="Q1037" s="61" t="s">
        <v>98</v>
      </c>
      <c r="R1037" s="31" t="s">
        <v>56</v>
      </c>
      <c r="S1037" s="38" t="str">
        <f t="shared" si="2"/>
        <v>https://github.com/SF-Bancoppel/mx-api-bc-pro-payment-execution-corp</v>
      </c>
      <c r="T1037" s="40"/>
      <c r="U1037" s="22"/>
      <c r="V1037" s="40"/>
      <c r="W1037" s="40"/>
      <c r="X1037" s="40"/>
      <c r="Y1037" s="40"/>
      <c r="Z1037" s="22"/>
      <c r="AA1037" s="22"/>
      <c r="AB1037" s="22"/>
    </row>
    <row r="1038" ht="18.75" customHeight="1">
      <c r="A1038" s="18" t="str">
        <f t="array" ref="A1038">IFERROR(
  INDEX(
    'api-register-id'!A:A,
    MATCH(F1038, 'api-register-id'!B:B, 0)
  ),
  "Not found Organization"
)</f>
        <v>Empresa Net</v>
      </c>
      <c r="B1038" s="22" t="str">
        <f>IFERROR(VLOOKUP(F1038, 'api-register-id'!B:F, 4, FALSE), "Not found path.")</f>
        <v>mx-api-bc-pro-payment-execution-corp</v>
      </c>
      <c r="C1038" s="203" t="s">
        <v>41</v>
      </c>
      <c r="D1038" s="203" t="s">
        <v>811</v>
      </c>
      <c r="E1038" s="24" t="str">
        <f>IFERROR(VLOOKUP(F1038, 'api-register-id'!B:F, 5, FALSE), "Not found path.")</f>
        <v>APIMX000155</v>
      </c>
      <c r="F1038" s="204" t="s">
        <v>1874</v>
      </c>
      <c r="G1038" s="26" t="s">
        <v>6315</v>
      </c>
      <c r="H1038" s="205" t="s">
        <v>6316</v>
      </c>
      <c r="I1038" s="29" t="str">
        <f>IFERROR(VLOOKUP(F1038, 'api-register-id'!B:I, 8, FALSE), "Not found path.")</f>
        <v/>
      </c>
      <c r="J1038" s="40" t="s">
        <v>3463</v>
      </c>
      <c r="K1038" s="211" t="s">
        <v>48</v>
      </c>
      <c r="L1038" s="200" t="s">
        <v>49</v>
      </c>
      <c r="M1038" s="212" t="s">
        <v>6265</v>
      </c>
      <c r="N1038" s="3" t="str">
        <f t="shared" si="1"/>
        <v>POST /system/payments/paymentExecution/v1/corporate/authorizations/transfer/online/progress</v>
      </c>
      <c r="O1038" s="40" t="s">
        <v>6266</v>
      </c>
      <c r="P1038" s="40"/>
      <c r="Q1038" s="61" t="s">
        <v>98</v>
      </c>
      <c r="R1038" s="31" t="s">
        <v>56</v>
      </c>
      <c r="S1038" s="38" t="str">
        <f t="shared" si="2"/>
        <v>https://github.com/SF-Bancoppel/mx-api-bc-pro-payment-execution-corp</v>
      </c>
      <c r="T1038" s="40"/>
      <c r="U1038" s="22"/>
      <c r="V1038" s="22"/>
      <c r="W1038" s="40"/>
      <c r="X1038" s="40"/>
      <c r="Y1038" s="40"/>
      <c r="Z1038" s="22"/>
      <c r="AA1038" s="22"/>
      <c r="AB1038" s="22"/>
    </row>
    <row r="1039" ht="18.75" customHeight="1">
      <c r="A1039" s="18" t="str">
        <f t="array" ref="A1039">IFERROR(
  INDEX(
    'api-register-id'!A:A,
    MATCH(F1039, 'api-register-id'!B:B, 0)
  ),
  "Not found Organization"
)</f>
        <v>Empresa Net</v>
      </c>
      <c r="B1039" s="22" t="str">
        <f>IFERROR(VLOOKUP(F1039, 'api-register-id'!B:F, 4, FALSE), "Not found path.")</f>
        <v>mx-api-bc-pro-payment-execution-corp</v>
      </c>
      <c r="C1039" s="203" t="s">
        <v>41</v>
      </c>
      <c r="D1039" s="203" t="s">
        <v>811</v>
      </c>
      <c r="E1039" s="24" t="str">
        <f>IFERROR(VLOOKUP(F1039, 'api-register-id'!B:F, 5, FALSE), "Not found path.")</f>
        <v>APIMX000155</v>
      </c>
      <c r="F1039" s="204" t="s">
        <v>1874</v>
      </c>
      <c r="G1039" s="26" t="s">
        <v>6317</v>
      </c>
      <c r="H1039" s="205" t="s">
        <v>6318</v>
      </c>
      <c r="I1039" s="29" t="str">
        <f>IFERROR(VLOOKUP(F1039, 'api-register-id'!B:I, 8, FALSE), "Not found path.")</f>
        <v/>
      </c>
      <c r="J1039" s="40" t="s">
        <v>3463</v>
      </c>
      <c r="K1039" s="211" t="s">
        <v>48</v>
      </c>
      <c r="L1039" s="200" t="s">
        <v>49</v>
      </c>
      <c r="M1039" s="212" t="s">
        <v>6269</v>
      </c>
      <c r="N1039" s="3" t="str">
        <f t="shared" si="1"/>
        <v>POST /system/payments/paymentExecution/v1/corporate/transfer/schedule/cancel</v>
      </c>
      <c r="O1039" s="40" t="s">
        <v>6270</v>
      </c>
      <c r="P1039" s="40"/>
      <c r="Q1039" s="61" t="s">
        <v>98</v>
      </c>
      <c r="R1039" s="31" t="s">
        <v>56</v>
      </c>
      <c r="S1039" s="38" t="str">
        <f t="shared" si="2"/>
        <v>https://github.com/SF-Bancoppel/mx-api-bc-pro-payment-execution-corp</v>
      </c>
      <c r="T1039" s="40"/>
      <c r="U1039" s="22"/>
      <c r="V1039" s="40"/>
      <c r="W1039" s="40"/>
      <c r="X1039" s="40"/>
      <c r="Y1039" s="40"/>
      <c r="Z1039" s="22"/>
      <c r="AA1039" s="22"/>
      <c r="AB1039" s="22"/>
    </row>
    <row r="1040" ht="18.75" customHeight="1">
      <c r="A1040" s="18" t="str">
        <f t="array" ref="A1040">IFERROR(
  INDEX(
    'api-register-id'!A:A,
    MATCH(F1040, 'api-register-id'!B:B, 0)
  ),
  "Not found Organization"
)</f>
        <v>Empresa Net</v>
      </c>
      <c r="B1040" s="22" t="str">
        <f>IFERROR(VLOOKUP(F1040, 'api-register-id'!B:F, 4, FALSE), "Not found path.")</f>
        <v>mx-api-bc-pro-payment-execution-corp</v>
      </c>
      <c r="C1040" s="203" t="s">
        <v>41</v>
      </c>
      <c r="D1040" s="203" t="s">
        <v>811</v>
      </c>
      <c r="E1040" s="24" t="str">
        <f>IFERROR(VLOOKUP(F1040, 'api-register-id'!B:F, 5, FALSE), "Not found path.")</f>
        <v>APIMX000155</v>
      </c>
      <c r="F1040" s="204" t="s">
        <v>1874</v>
      </c>
      <c r="G1040" s="26" t="s">
        <v>6319</v>
      </c>
      <c r="H1040" s="205" t="s">
        <v>6320</v>
      </c>
      <c r="I1040" s="29" t="str">
        <f>IFERROR(VLOOKUP(F1040, 'api-register-id'!B:I, 8, FALSE), "Not found path.")</f>
        <v/>
      </c>
      <c r="J1040" s="40" t="s">
        <v>3463</v>
      </c>
      <c r="K1040" s="211" t="s">
        <v>48</v>
      </c>
      <c r="L1040" s="200" t="s">
        <v>49</v>
      </c>
      <c r="M1040" s="212" t="s">
        <v>6273</v>
      </c>
      <c r="N1040" s="3" t="str">
        <f t="shared" si="1"/>
        <v>POST /system/payments/paymentExecution/v1/corporate/transfer/schedule/get</v>
      </c>
      <c r="O1040" s="40" t="s">
        <v>6274</v>
      </c>
      <c r="P1040" s="40"/>
      <c r="Q1040" s="61" t="s">
        <v>98</v>
      </c>
      <c r="R1040" s="31" t="s">
        <v>56</v>
      </c>
      <c r="S1040" s="38" t="str">
        <f t="shared" si="2"/>
        <v>https://github.com/SF-Bancoppel/mx-api-bc-pro-payment-execution-corp</v>
      </c>
      <c r="T1040" s="40"/>
      <c r="U1040" s="22"/>
      <c r="V1040" s="40"/>
      <c r="W1040" s="40"/>
      <c r="X1040" s="40"/>
      <c r="Y1040" s="40"/>
      <c r="Z1040" s="22"/>
      <c r="AA1040" s="22"/>
      <c r="AB1040" s="22"/>
    </row>
    <row r="1041" ht="18.75" customHeight="1">
      <c r="A1041" s="18" t="str">
        <f t="array" ref="A1041">IFERROR(
  INDEX(
    'api-register-id'!A:A,
    MATCH(F1041, 'api-register-id'!B:B, 0)
  ),
  "Not found Organization"
)</f>
        <v>Empresa Net</v>
      </c>
      <c r="B1041" s="22" t="str">
        <f>IFERROR(VLOOKUP(F1041, 'api-register-id'!B:F, 4, FALSE), "Not found path.")</f>
        <v>mx-api-bc-pro-payment-execution-corp</v>
      </c>
      <c r="C1041" s="203" t="s">
        <v>41</v>
      </c>
      <c r="D1041" s="203" t="s">
        <v>811</v>
      </c>
      <c r="E1041" s="24" t="str">
        <f>IFERROR(VLOOKUP(F1041, 'api-register-id'!B:F, 5, FALSE), "Not found path.")</f>
        <v>APIMX000155</v>
      </c>
      <c r="F1041" s="204" t="s">
        <v>1874</v>
      </c>
      <c r="G1041" s="26" t="s">
        <v>6321</v>
      </c>
      <c r="H1041" s="205" t="s">
        <v>6322</v>
      </c>
      <c r="I1041" s="29" t="str">
        <f>IFERROR(VLOOKUP(F1041, 'api-register-id'!B:I, 8, FALSE), "Not found path.")</f>
        <v/>
      </c>
      <c r="J1041" s="40" t="s">
        <v>5276</v>
      </c>
      <c r="K1041" s="211" t="s">
        <v>48</v>
      </c>
      <c r="L1041" s="200" t="s">
        <v>49</v>
      </c>
      <c r="M1041" s="212" t="s">
        <v>6277</v>
      </c>
      <c r="N1041" s="3" t="str">
        <f t="shared" si="1"/>
        <v>POST /system/accountManagement/transactionEngine/v1/corporate/transfer/history/file/get</v>
      </c>
      <c r="O1041" s="40" t="s">
        <v>6278</v>
      </c>
      <c r="P1041" s="40"/>
      <c r="Q1041" s="61" t="s">
        <v>98</v>
      </c>
      <c r="R1041" s="31" t="s">
        <v>56</v>
      </c>
      <c r="S1041" s="38" t="str">
        <f t="shared" si="2"/>
        <v>https://github.com/SF-Bancoppel/mx-api-bc-pro-payment-execution-corp</v>
      </c>
      <c r="T1041" s="40"/>
      <c r="U1041" s="40"/>
      <c r="V1041" s="40"/>
      <c r="W1041" s="40"/>
      <c r="X1041" s="40"/>
      <c r="Y1041" s="40"/>
      <c r="Z1041" s="40"/>
      <c r="AA1041" s="40"/>
      <c r="AB1041" s="40"/>
    </row>
    <row r="1042" ht="18.75" customHeight="1">
      <c r="A1042" s="18" t="str">
        <f t="array" ref="A1042">IFERROR(
  INDEX(
    'api-register-id'!A:A,
    MATCH(F1042, 'api-register-id'!B:B, 0)
  ),
  "Not found Organization"
)</f>
        <v>Empresa Net</v>
      </c>
      <c r="B1042" s="22" t="str">
        <f>IFERROR(VLOOKUP(F1042, 'api-register-id'!B:F, 4, FALSE), "Not found path.")</f>
        <v>mx-api-bc-pro-payment-execution-corp</v>
      </c>
      <c r="C1042" s="203" t="s">
        <v>41</v>
      </c>
      <c r="D1042" s="203" t="s">
        <v>811</v>
      </c>
      <c r="E1042" s="24" t="str">
        <f>IFERROR(VLOOKUP(F1042, 'api-register-id'!B:F, 5, FALSE), "Not found path.")</f>
        <v>APIMX000155</v>
      </c>
      <c r="F1042" s="204" t="s">
        <v>1874</v>
      </c>
      <c r="G1042" s="26" t="s">
        <v>6323</v>
      </c>
      <c r="H1042" s="205" t="s">
        <v>6324</v>
      </c>
      <c r="I1042" s="29" t="str">
        <f>IFERROR(VLOOKUP(F1042, 'api-register-id'!B:I, 8, FALSE), "Not found path.")</f>
        <v/>
      </c>
      <c r="J1042" s="40" t="s">
        <v>3463</v>
      </c>
      <c r="K1042" s="211" t="s">
        <v>48</v>
      </c>
      <c r="L1042" s="200" t="s">
        <v>49</v>
      </c>
      <c r="M1042" s="212" t="s">
        <v>6281</v>
      </c>
      <c r="N1042" s="3" t="str">
        <f t="shared" si="1"/>
        <v>POST /system/payments/paymentExecution/v1/corporate/transfer/file/voucher</v>
      </c>
      <c r="O1042" s="40" t="s">
        <v>6282</v>
      </c>
      <c r="P1042" s="40"/>
      <c r="Q1042" s="61" t="s">
        <v>98</v>
      </c>
      <c r="R1042" s="31" t="s">
        <v>56</v>
      </c>
      <c r="S1042" s="38" t="str">
        <f t="shared" si="2"/>
        <v>https://github.com/SF-Bancoppel/mx-api-bc-pro-payment-execution-corp</v>
      </c>
      <c r="T1042" s="40"/>
      <c r="U1042" s="40"/>
      <c r="V1042" s="40"/>
      <c r="W1042" s="40"/>
      <c r="X1042" s="40"/>
      <c r="Y1042" s="40"/>
      <c r="Z1042" s="40"/>
      <c r="AA1042" s="40"/>
      <c r="AB1042" s="40"/>
    </row>
    <row r="1043" ht="18.75" customHeight="1">
      <c r="A1043" s="18" t="str">
        <f t="array" ref="A1043">IFERROR(
  INDEX(
    'api-register-id'!A:A,
    MATCH(F1043, 'api-register-id'!B:B, 0)
  ),
  "Not found Organization"
)</f>
        <v>Empresa Net</v>
      </c>
      <c r="B1043" s="22" t="str">
        <f>IFERROR(VLOOKUP(F1043, 'api-register-id'!B:F, 4, FALSE), "Not found path.")</f>
        <v>mx-api-bc-pro-payment-execution-corp</v>
      </c>
      <c r="C1043" s="203" t="s">
        <v>41</v>
      </c>
      <c r="D1043" s="203" t="s">
        <v>811</v>
      </c>
      <c r="E1043" s="24" t="str">
        <f>IFERROR(VLOOKUP(F1043, 'api-register-id'!B:F, 5, FALSE), "Not found path.")</f>
        <v>APIMX000155</v>
      </c>
      <c r="F1043" s="204" t="s">
        <v>1874</v>
      </c>
      <c r="G1043" s="26" t="s">
        <v>6325</v>
      </c>
      <c r="H1043" s="205" t="s">
        <v>6326</v>
      </c>
      <c r="I1043" s="29" t="str">
        <f>IFERROR(VLOOKUP(F1043, 'api-register-id'!B:I, 8, FALSE), "Not found path.")</f>
        <v/>
      </c>
      <c r="J1043" s="40" t="s">
        <v>3463</v>
      </c>
      <c r="K1043" s="211" t="s">
        <v>48</v>
      </c>
      <c r="L1043" s="200" t="s">
        <v>49</v>
      </c>
      <c r="M1043" s="212" t="s">
        <v>6285</v>
      </c>
      <c r="N1043" s="3" t="str">
        <f t="shared" si="1"/>
        <v>POST /system/payments/paymentExecution/v1/corporate/authorizations/transfer/file/progress</v>
      </c>
      <c r="O1043" s="40" t="s">
        <v>6286</v>
      </c>
      <c r="P1043" s="40"/>
      <c r="Q1043" s="61" t="s">
        <v>98</v>
      </c>
      <c r="R1043" s="31" t="s">
        <v>56</v>
      </c>
      <c r="S1043" s="38" t="str">
        <f t="shared" si="2"/>
        <v>https://github.com/SF-Bancoppel/mx-api-bc-pro-payment-execution-corp</v>
      </c>
      <c r="T1043" s="40"/>
      <c r="U1043" s="40"/>
      <c r="V1043" s="40"/>
      <c r="W1043" s="40"/>
      <c r="X1043" s="40"/>
      <c r="Y1043" s="40"/>
      <c r="Z1043" s="40"/>
      <c r="AA1043" s="40"/>
      <c r="AB1043" s="40"/>
    </row>
    <row r="1044" ht="18.75" customHeight="1">
      <c r="A1044" s="18" t="str">
        <f t="array" ref="A1044">IFERROR(
  INDEX(
    'api-register-id'!A:A,
    MATCH(F1044, 'api-register-id'!B:B, 0)
  ),
  "Not found Organization"
)</f>
        <v>Empresa Net</v>
      </c>
      <c r="B1044" s="22" t="str">
        <f>IFERROR(VLOOKUP(F1044, 'api-register-id'!B:F, 4, FALSE), "Not found path.")</f>
        <v>mx-api-bc-pro-security-advisory-corp</v>
      </c>
      <c r="C1044" s="203" t="s">
        <v>41</v>
      </c>
      <c r="D1044" s="203" t="s">
        <v>811</v>
      </c>
      <c r="E1044" s="24" t="str">
        <f>IFERROR(VLOOKUP(F1044, 'api-register-id'!B:F, 5, FALSE), "Not found path.")</f>
        <v>APIMX000156</v>
      </c>
      <c r="F1044" s="204" t="s">
        <v>1885</v>
      </c>
      <c r="G1044" s="26" t="s">
        <v>6327</v>
      </c>
      <c r="H1044" s="205" t="s">
        <v>6328</v>
      </c>
      <c r="I1044" s="29" t="str">
        <f>IFERROR(VLOOKUP(F1044, 'api-register-id'!B:I, 8, FALSE), "Not found path.")</f>
        <v/>
      </c>
      <c r="J1044" s="40" t="s">
        <v>6329</v>
      </c>
      <c r="K1044" s="211" t="s">
        <v>48</v>
      </c>
      <c r="L1044" s="200" t="s">
        <v>49</v>
      </c>
      <c r="M1044" s="212" t="s">
        <v>6330</v>
      </c>
      <c r="N1044" s="3" t="str">
        <f t="shared" si="1"/>
        <v>POST /system/enterpriseServices/securityAdvisory/v1/corporate/security/data/encrypt</v>
      </c>
      <c r="O1044" s="40" t="s">
        <v>6331</v>
      </c>
      <c r="P1044" s="40"/>
      <c r="Q1044" s="61" t="s">
        <v>98</v>
      </c>
      <c r="R1044" s="31" t="s">
        <v>56</v>
      </c>
      <c r="S1044" s="38" t="str">
        <f t="shared" si="2"/>
        <v>https://github.com/SF-Bancoppel/mx-api-bc-pro-security-advisory-corp</v>
      </c>
      <c r="T1044" s="40"/>
      <c r="U1044" s="40"/>
      <c r="V1044" s="40"/>
      <c r="W1044" s="40"/>
      <c r="X1044" s="40"/>
      <c r="Y1044" s="40"/>
      <c r="Z1044" s="40"/>
      <c r="AA1044" s="40"/>
      <c r="AB1044" s="40"/>
    </row>
    <row r="1045" ht="18.75" customHeight="1">
      <c r="A1045" s="18" t="str">
        <f t="array" ref="A1045">IFERROR(
  INDEX(
    'api-register-id'!A:A,
    MATCH(F1045, 'api-register-id'!B:B, 0)
  ),
  "Not found Organization"
)</f>
        <v>Empresa Net</v>
      </c>
      <c r="B1045" s="22" t="str">
        <f>IFERROR(VLOOKUP(F1045, 'api-register-id'!B:F, 4, FALSE), "Not found path.")</f>
        <v>mx-api-bc-pro-transaction-engine-corp</v>
      </c>
      <c r="C1045" s="203" t="s">
        <v>41</v>
      </c>
      <c r="D1045" s="203" t="s">
        <v>811</v>
      </c>
      <c r="E1045" s="24" t="str">
        <f>IFERROR(VLOOKUP(F1045, 'api-register-id'!B:F, 5, FALSE), "Not found path.")</f>
        <v>APIMX000157</v>
      </c>
      <c r="F1045" s="204" t="s">
        <v>1917</v>
      </c>
      <c r="G1045" s="26" t="s">
        <v>6332</v>
      </c>
      <c r="H1045" s="205" t="s">
        <v>6333</v>
      </c>
      <c r="I1045" s="29" t="str">
        <f>IFERROR(VLOOKUP(F1045, 'api-register-id'!B:I, 8, FALSE), "Not found path.")</f>
        <v/>
      </c>
      <c r="J1045" s="40" t="s">
        <v>5276</v>
      </c>
      <c r="K1045" s="211" t="s">
        <v>48</v>
      </c>
      <c r="L1045" s="200" t="s">
        <v>49</v>
      </c>
      <c r="M1045" s="212" t="s">
        <v>6334</v>
      </c>
      <c r="N1045" s="3" t="str">
        <f t="shared" si="1"/>
        <v>POST /system/accountManagement/transactionEngine/v1/corporate/file/upload</v>
      </c>
      <c r="O1045" s="40" t="s">
        <v>6335</v>
      </c>
      <c r="P1045" s="40"/>
      <c r="Q1045" s="61" t="s">
        <v>98</v>
      </c>
      <c r="R1045" s="31" t="s">
        <v>56</v>
      </c>
      <c r="S1045" s="38" t="str">
        <f t="shared" si="2"/>
        <v>https://github.com/SF-Bancoppel/mx-api-bc-pro-transaction-engine-corp</v>
      </c>
      <c r="T1045" s="40"/>
      <c r="U1045" s="40"/>
      <c r="V1045" s="40"/>
      <c r="W1045" s="40"/>
      <c r="X1045" s="40"/>
      <c r="Y1045" s="40"/>
      <c r="Z1045" s="40"/>
      <c r="AA1045" s="40"/>
      <c r="AB1045" s="40"/>
    </row>
    <row r="1046" ht="18.75" customHeight="1">
      <c r="A1046" s="18" t="str">
        <f t="array" ref="A1046">IFERROR(
  INDEX(
    'api-register-id'!A:A,
    MATCH(F1046, 'api-register-id'!B:B, 0)
  ),
  "Not found Organization"
)</f>
        <v>Empresa Net</v>
      </c>
      <c r="B1046" s="22" t="str">
        <f>IFERROR(VLOOKUP(F1046, 'api-register-id'!B:F, 4, FALSE), "Not found path.")</f>
        <v>mx-api-bc-pro-transaction-engine-corp</v>
      </c>
      <c r="C1046" s="203" t="s">
        <v>41</v>
      </c>
      <c r="D1046" s="203" t="s">
        <v>811</v>
      </c>
      <c r="E1046" s="24" t="str">
        <f>IFERROR(VLOOKUP(F1046, 'api-register-id'!B:F, 5, FALSE), "Not found path.")</f>
        <v>APIMX000157</v>
      </c>
      <c r="F1046" s="204" t="s">
        <v>1917</v>
      </c>
      <c r="G1046" s="26" t="s">
        <v>6336</v>
      </c>
      <c r="H1046" s="205" t="s">
        <v>6337</v>
      </c>
      <c r="I1046" s="29" t="str">
        <f>IFERROR(VLOOKUP(F1046, 'api-register-id'!B:I, 8, FALSE), "Not found path.")</f>
        <v/>
      </c>
      <c r="J1046" s="40" t="s">
        <v>5276</v>
      </c>
      <c r="K1046" s="211" t="s">
        <v>48</v>
      </c>
      <c r="L1046" s="200" t="s">
        <v>49</v>
      </c>
      <c r="M1046" s="212" t="s">
        <v>6338</v>
      </c>
      <c r="N1046" s="3" t="str">
        <f t="shared" si="1"/>
        <v>POST /system/accountManagement/transactionEngine/v1/corporate/file/delete</v>
      </c>
      <c r="O1046" s="40" t="s">
        <v>6339</v>
      </c>
      <c r="P1046" s="40"/>
      <c r="Q1046" s="61" t="s">
        <v>98</v>
      </c>
      <c r="R1046" s="31" t="s">
        <v>56</v>
      </c>
      <c r="S1046" s="38" t="str">
        <f t="shared" si="2"/>
        <v>https://github.com/SF-Bancoppel/mx-api-bc-pro-transaction-engine-corp</v>
      </c>
      <c r="T1046" s="40"/>
      <c r="U1046" s="40"/>
      <c r="V1046" s="40"/>
      <c r="W1046" s="40"/>
      <c r="X1046" s="40"/>
      <c r="Y1046" s="40"/>
      <c r="Z1046" s="40"/>
      <c r="AA1046" s="40"/>
      <c r="AB1046" s="40"/>
    </row>
    <row r="1047" ht="18.75" customHeight="1">
      <c r="A1047" s="18" t="str">
        <f t="array" ref="A1047">IFERROR(
  INDEX(
    'api-register-id'!A:A,
    MATCH(F1047, 'api-register-id'!B:B, 0)
  ),
  "Not found Organization"
)</f>
        <v>Empresa Net</v>
      </c>
      <c r="B1047" s="22" t="str">
        <f>IFERROR(VLOOKUP(F1047, 'api-register-id'!B:F, 4, FALSE), "Not found path.")</f>
        <v>mx-api-bc-pro-transaction-engine-corp</v>
      </c>
      <c r="C1047" s="203" t="s">
        <v>41</v>
      </c>
      <c r="D1047" s="203" t="s">
        <v>811</v>
      </c>
      <c r="E1047" s="24" t="str">
        <f>IFERROR(VLOOKUP(F1047, 'api-register-id'!B:F, 5, FALSE), "Not found path.")</f>
        <v>APIMX000157</v>
      </c>
      <c r="F1047" s="204" t="s">
        <v>1917</v>
      </c>
      <c r="G1047" s="26" t="s">
        <v>6340</v>
      </c>
      <c r="H1047" s="205" t="s">
        <v>6341</v>
      </c>
      <c r="I1047" s="29" t="str">
        <f>IFERROR(VLOOKUP(F1047, 'api-register-id'!B:I, 8, FALSE), "Not found path.")</f>
        <v/>
      </c>
      <c r="J1047" s="40" t="s">
        <v>5276</v>
      </c>
      <c r="K1047" s="211" t="s">
        <v>48</v>
      </c>
      <c r="L1047" s="200" t="s">
        <v>49</v>
      </c>
      <c r="M1047" s="212" t="s">
        <v>6342</v>
      </c>
      <c r="N1047" s="3" t="str">
        <f t="shared" si="1"/>
        <v>POST /system/accountManagement/transactionEngine/v1/corporate/destAccount/file/get</v>
      </c>
      <c r="O1047" s="40" t="s">
        <v>6343</v>
      </c>
      <c r="P1047" s="40"/>
      <c r="Q1047" s="61" t="s">
        <v>98</v>
      </c>
      <c r="R1047" s="31" t="s">
        <v>56</v>
      </c>
      <c r="S1047" s="38" t="str">
        <f t="shared" si="2"/>
        <v>https://github.com/SF-Bancoppel/mx-api-bc-pro-transaction-engine-corp</v>
      </c>
      <c r="T1047" s="40"/>
      <c r="U1047" s="40"/>
      <c r="V1047" s="40"/>
      <c r="W1047" s="40"/>
      <c r="X1047" s="40"/>
      <c r="Y1047" s="40"/>
      <c r="Z1047" s="40"/>
      <c r="AA1047" s="40"/>
      <c r="AB1047" s="40"/>
    </row>
    <row r="1048" ht="18.75" customHeight="1">
      <c r="A1048" s="18" t="str">
        <f t="array" ref="A1048">IFERROR(
  INDEX(
    'api-register-id'!A:A,
    MATCH(F1048, 'api-register-id'!B:B, 0)
  ),
  "Not found Organization"
)</f>
        <v>Empresa Net</v>
      </c>
      <c r="B1048" s="22" t="str">
        <f>IFERROR(VLOOKUP(F1048, 'api-register-id'!B:F, 4, FALSE), "Not found path.")</f>
        <v>mx-api-bc-pro-transaction-engine-corp</v>
      </c>
      <c r="C1048" s="203" t="s">
        <v>41</v>
      </c>
      <c r="D1048" s="203" t="s">
        <v>811</v>
      </c>
      <c r="E1048" s="24" t="str">
        <f>IFERROR(VLOOKUP(F1048, 'api-register-id'!B:F, 5, FALSE), "Not found path.")</f>
        <v>APIMX000157</v>
      </c>
      <c r="F1048" s="204" t="s">
        <v>1917</v>
      </c>
      <c r="G1048" s="26" t="s">
        <v>6344</v>
      </c>
      <c r="H1048" s="205" t="s">
        <v>6345</v>
      </c>
      <c r="I1048" s="29" t="str">
        <f>IFERROR(VLOOKUP(F1048, 'api-register-id'!B:I, 8, FALSE), "Not found path.")</f>
        <v/>
      </c>
      <c r="J1048" s="40" t="s">
        <v>5276</v>
      </c>
      <c r="K1048" s="211" t="s">
        <v>48</v>
      </c>
      <c r="L1048" s="200" t="s">
        <v>49</v>
      </c>
      <c r="M1048" s="212" t="s">
        <v>6346</v>
      </c>
      <c r="N1048" s="3" t="str">
        <f t="shared" si="1"/>
        <v>POST /system/accountManagement/transactionEngine/v1/corporate/transfer/file/get</v>
      </c>
      <c r="O1048" s="40" t="s">
        <v>6347</v>
      </c>
      <c r="P1048" s="40"/>
      <c r="Q1048" s="61" t="s">
        <v>98</v>
      </c>
      <c r="R1048" s="31" t="s">
        <v>56</v>
      </c>
      <c r="S1048" s="38" t="str">
        <f t="shared" si="2"/>
        <v>https://github.com/SF-Bancoppel/mx-api-bc-pro-transaction-engine-corp</v>
      </c>
      <c r="T1048" s="40"/>
      <c r="U1048" s="40"/>
      <c r="V1048" s="40"/>
      <c r="W1048" s="40"/>
      <c r="X1048" s="40"/>
      <c r="Y1048" s="40"/>
      <c r="Z1048" s="40"/>
      <c r="AA1048" s="40"/>
      <c r="AB1048" s="40"/>
    </row>
    <row r="1049" ht="18.75" customHeight="1">
      <c r="A1049" s="18" t="str">
        <f t="array" ref="A1049">IFERROR(
  INDEX(
    'api-register-id'!A:A,
    MATCH(F1049, 'api-register-id'!B:B, 0)
  ),
  "Not found Organization"
)</f>
        <v>Empresa Net</v>
      </c>
      <c r="B1049" s="22" t="str">
        <f>IFERROR(VLOOKUP(F1049, 'api-register-id'!B:F, 4, FALSE), "Not found path.")</f>
        <v>mx-api-bc-pro-transaction-engine-corp</v>
      </c>
      <c r="C1049" s="203" t="s">
        <v>41</v>
      </c>
      <c r="D1049" s="203" t="s">
        <v>811</v>
      </c>
      <c r="E1049" s="24" t="str">
        <f>IFERROR(VLOOKUP(F1049, 'api-register-id'!B:F, 5, FALSE), "Not found path.")</f>
        <v>APIMX000157</v>
      </c>
      <c r="F1049" s="204" t="s">
        <v>1917</v>
      </c>
      <c r="G1049" s="26" t="s">
        <v>6348</v>
      </c>
      <c r="H1049" s="205" t="s">
        <v>6349</v>
      </c>
      <c r="I1049" s="29" t="str">
        <f>IFERROR(VLOOKUP(F1049, 'api-register-id'!B:I, 8, FALSE), "Not found path.")</f>
        <v/>
      </c>
      <c r="J1049" s="40" t="s">
        <v>5276</v>
      </c>
      <c r="K1049" s="211" t="s">
        <v>48</v>
      </c>
      <c r="L1049" s="200" t="s">
        <v>49</v>
      </c>
      <c r="M1049" s="212" t="s">
        <v>6350</v>
      </c>
      <c r="N1049" s="3" t="str">
        <f t="shared" si="1"/>
        <v>POST /system/accountManagement/transactionEngine/v1/corporate/destAccount/file/validate</v>
      </c>
      <c r="O1049" s="40" t="s">
        <v>6351</v>
      </c>
      <c r="P1049" s="40"/>
      <c r="Q1049" s="61" t="s">
        <v>98</v>
      </c>
      <c r="R1049" s="31" t="s">
        <v>56</v>
      </c>
      <c r="S1049" s="38" t="str">
        <f t="shared" si="2"/>
        <v>https://github.com/SF-Bancoppel/mx-api-bc-pro-transaction-engine-corp</v>
      </c>
      <c r="T1049" s="40"/>
      <c r="U1049" s="40"/>
      <c r="V1049" s="40"/>
      <c r="W1049" s="40"/>
      <c r="X1049" s="40"/>
      <c r="Y1049" s="40"/>
      <c r="Z1049" s="40"/>
      <c r="AA1049" s="40"/>
      <c r="AB1049" s="40"/>
    </row>
    <row r="1050" ht="18.75" customHeight="1">
      <c r="A1050" s="18" t="str">
        <f t="array" ref="A1050">IFERROR(
  INDEX(
    'api-register-id'!A:A,
    MATCH(F1050, 'api-register-id'!B:B, 0)
  ),
  "Not found Organization"
)</f>
        <v>Empresa Net</v>
      </c>
      <c r="B1050" s="22" t="str">
        <f>IFERROR(VLOOKUP(F1050, 'api-register-id'!B:F, 4, FALSE), "Not found path.")</f>
        <v>mx-api-bc-pro-transaction-engine-corp</v>
      </c>
      <c r="C1050" s="203" t="s">
        <v>41</v>
      </c>
      <c r="D1050" s="203" t="s">
        <v>811</v>
      </c>
      <c r="E1050" s="24" t="str">
        <f>IFERROR(VLOOKUP(F1050, 'api-register-id'!B:F, 5, FALSE), "Not found path.")</f>
        <v>APIMX000157</v>
      </c>
      <c r="F1050" s="204" t="s">
        <v>1917</v>
      </c>
      <c r="G1050" s="26" t="s">
        <v>6352</v>
      </c>
      <c r="H1050" s="205" t="s">
        <v>6353</v>
      </c>
      <c r="I1050" s="29" t="str">
        <f>IFERROR(VLOOKUP(F1050, 'api-register-id'!B:I, 8, FALSE), "Not found path.")</f>
        <v/>
      </c>
      <c r="J1050" s="40" t="s">
        <v>5276</v>
      </c>
      <c r="K1050" s="211" t="s">
        <v>48</v>
      </c>
      <c r="L1050" s="200" t="s">
        <v>49</v>
      </c>
      <c r="M1050" s="212" t="s">
        <v>6354</v>
      </c>
      <c r="N1050" s="3" t="str">
        <f t="shared" si="1"/>
        <v>POST /system/accountManagement/transactionEngine/v1/corporate/transfer/file/validate</v>
      </c>
      <c r="O1050" s="40" t="s">
        <v>6355</v>
      </c>
      <c r="P1050" s="40"/>
      <c r="Q1050" s="61" t="s">
        <v>98</v>
      </c>
      <c r="R1050" s="31" t="s">
        <v>56</v>
      </c>
      <c r="S1050" s="38" t="str">
        <f t="shared" si="2"/>
        <v>https://github.com/SF-Bancoppel/mx-api-bc-pro-transaction-engine-corp</v>
      </c>
      <c r="T1050" s="40"/>
      <c r="U1050" s="40"/>
      <c r="V1050" s="40"/>
      <c r="W1050" s="40"/>
      <c r="X1050" s="40"/>
      <c r="Y1050" s="40"/>
      <c r="Z1050" s="40"/>
      <c r="AA1050" s="40"/>
      <c r="AB1050" s="40"/>
    </row>
    <row r="1051" ht="18.75" customHeight="1">
      <c r="A1051" s="18" t="str">
        <f t="array" ref="A1051">IFERROR(
  INDEX(
    'api-register-id'!A:A,
    MATCH(F1051, 'api-register-id'!B:B, 0)
  ),
  "Not found Organization"
)</f>
        <v>Empresa Net</v>
      </c>
      <c r="B1051" s="22" t="str">
        <f>IFERROR(VLOOKUP(F1051, 'api-register-id'!B:F, 4, FALSE), "Not found path.")</f>
        <v>mx-api-bc-pro-transaction-engine-corp</v>
      </c>
      <c r="C1051" s="203" t="s">
        <v>41</v>
      </c>
      <c r="D1051" s="203" t="s">
        <v>811</v>
      </c>
      <c r="E1051" s="24" t="str">
        <f>IFERROR(VLOOKUP(F1051, 'api-register-id'!B:F, 5, FALSE), "Not found path.")</f>
        <v>APIMX000157</v>
      </c>
      <c r="F1051" s="204" t="s">
        <v>1917</v>
      </c>
      <c r="G1051" s="26" t="s">
        <v>6356</v>
      </c>
      <c r="H1051" s="205" t="s">
        <v>6357</v>
      </c>
      <c r="I1051" s="29" t="str">
        <f>IFERROR(VLOOKUP(F1051, 'api-register-id'!B:I, 8, FALSE), "Not found path.")</f>
        <v/>
      </c>
      <c r="J1051" s="40" t="s">
        <v>5276</v>
      </c>
      <c r="K1051" s="211" t="s">
        <v>48</v>
      </c>
      <c r="L1051" s="200" t="s">
        <v>49</v>
      </c>
      <c r="M1051" s="212" t="s">
        <v>6358</v>
      </c>
      <c r="N1051" s="3" t="str">
        <f t="shared" si="1"/>
        <v>POST /system/accountManagement/transactionEngine/v1/corporate/authorizations/transfer/file/getFile</v>
      </c>
      <c r="O1051" s="40" t="s">
        <v>6359</v>
      </c>
      <c r="P1051" s="40"/>
      <c r="Q1051" s="61" t="s">
        <v>98</v>
      </c>
      <c r="R1051" s="31" t="s">
        <v>56</v>
      </c>
      <c r="S1051" s="38" t="str">
        <f t="shared" si="2"/>
        <v>https://github.com/SF-Bancoppel/mx-api-bc-pro-transaction-engine-corp</v>
      </c>
      <c r="T1051" s="40"/>
      <c r="U1051" s="40"/>
      <c r="V1051" s="40"/>
      <c r="W1051" s="40"/>
      <c r="X1051" s="40"/>
      <c r="Y1051" s="40"/>
      <c r="Z1051" s="40"/>
      <c r="AA1051" s="40"/>
      <c r="AB1051" s="40"/>
    </row>
    <row r="1052" ht="18.75" customHeight="1">
      <c r="A1052" s="18" t="str">
        <f t="array" ref="A1052">IFERROR(
  INDEX(
    'api-register-id'!A:A,
    MATCH(F1052, 'api-register-id'!B:B, 0)
  ),
  "Not found Organization"
)</f>
        <v>Empresa Net</v>
      </c>
      <c r="B1052" s="22" t="str">
        <f>IFERROR(VLOOKUP(F1052, 'api-register-id'!B:F, 4, FALSE), "Not found path.")</f>
        <v>mx-api-bc-pro-transaction-engine-corp</v>
      </c>
      <c r="C1052" s="203" t="s">
        <v>41</v>
      </c>
      <c r="D1052" s="203" t="s">
        <v>811</v>
      </c>
      <c r="E1052" s="24" t="str">
        <f>IFERROR(VLOOKUP(F1052, 'api-register-id'!B:F, 5, FALSE), "Not found path.")</f>
        <v>APIMX000157</v>
      </c>
      <c r="F1052" s="204" t="s">
        <v>1917</v>
      </c>
      <c r="G1052" s="26" t="s">
        <v>6360</v>
      </c>
      <c r="H1052" s="205" t="s">
        <v>6361</v>
      </c>
      <c r="I1052" s="29" t="str">
        <f>IFERROR(VLOOKUP(F1052, 'api-register-id'!B:I, 8, FALSE), "Not found path.")</f>
        <v/>
      </c>
      <c r="J1052" s="40" t="s">
        <v>5276</v>
      </c>
      <c r="K1052" s="211" t="s">
        <v>48</v>
      </c>
      <c r="L1052" s="200" t="s">
        <v>49</v>
      </c>
      <c r="M1052" s="212" t="s">
        <v>6362</v>
      </c>
      <c r="N1052" s="3" t="str">
        <f t="shared" si="1"/>
        <v>POST /system/accountManagement/transactionEngine/v1/corporate/file/pending</v>
      </c>
      <c r="O1052" s="40" t="s">
        <v>6363</v>
      </c>
      <c r="P1052" s="40"/>
      <c r="Q1052" s="61" t="s">
        <v>98</v>
      </c>
      <c r="R1052" s="31" t="s">
        <v>56</v>
      </c>
      <c r="S1052" s="38" t="str">
        <f t="shared" si="2"/>
        <v>https://github.com/SF-Bancoppel/mx-api-bc-pro-transaction-engine-corp</v>
      </c>
      <c r="T1052" s="40"/>
      <c r="U1052" s="40"/>
      <c r="V1052" s="40"/>
      <c r="W1052" s="40"/>
      <c r="X1052" s="40"/>
      <c r="Y1052" s="40"/>
      <c r="Z1052" s="40"/>
      <c r="AA1052" s="40"/>
      <c r="AB1052" s="40"/>
    </row>
    <row r="1053" ht="18.75" customHeight="1">
      <c r="A1053" s="18" t="str">
        <f t="array" ref="A1053">IFERROR(
  INDEX(
    'api-register-id'!A:A,
    MATCH(F1053, 'api-register-id'!B:B, 0)
  ),
  "Not found Organization"
)</f>
        <v>Empresa Net</v>
      </c>
      <c r="B1053" s="22" t="str">
        <f>IFERROR(VLOOKUP(F1053, 'api-register-id'!B:F, 4, FALSE), "Not found path.")</f>
        <v>mx-api-bc-pro-transaction-engine-corp</v>
      </c>
      <c r="C1053" s="203" t="s">
        <v>41</v>
      </c>
      <c r="D1053" s="203" t="s">
        <v>811</v>
      </c>
      <c r="E1053" s="24" t="str">
        <f>IFERROR(VLOOKUP(F1053, 'api-register-id'!B:F, 5, FALSE), "Not found path.")</f>
        <v>APIMX000157</v>
      </c>
      <c r="F1053" s="204" t="s">
        <v>1917</v>
      </c>
      <c r="G1053" s="26" t="s">
        <v>6364</v>
      </c>
      <c r="H1053" s="205" t="s">
        <v>6365</v>
      </c>
      <c r="I1053" s="29" t="str">
        <f>IFERROR(VLOOKUP(F1053, 'api-register-id'!B:I, 8, FALSE), "Not found path.")</f>
        <v/>
      </c>
      <c r="J1053" s="40" t="s">
        <v>5276</v>
      </c>
      <c r="K1053" s="211" t="s">
        <v>48</v>
      </c>
      <c r="L1053" s="200" t="s">
        <v>49</v>
      </c>
      <c r="M1053" s="212" t="s">
        <v>6366</v>
      </c>
      <c r="N1053" s="3" t="str">
        <f t="shared" si="1"/>
        <v>POST /system/accountManagement/transactionEngine/v1/corporate/file/process</v>
      </c>
      <c r="O1053" s="40" t="s">
        <v>6367</v>
      </c>
      <c r="P1053" s="40"/>
      <c r="Q1053" s="61" t="s">
        <v>98</v>
      </c>
      <c r="R1053" s="31" t="s">
        <v>56</v>
      </c>
      <c r="S1053" s="38" t="str">
        <f t="shared" si="2"/>
        <v>https://github.com/SF-Bancoppel/mx-api-bc-pro-transaction-engine-corp</v>
      </c>
      <c r="T1053" s="40"/>
      <c r="U1053" s="22"/>
      <c r="V1053" s="40"/>
      <c r="W1053" s="40"/>
      <c r="X1053" s="40"/>
      <c r="Y1053" s="40"/>
      <c r="Z1053" s="22"/>
      <c r="AA1053" s="22"/>
      <c r="AB1053" s="22"/>
    </row>
    <row r="1054" ht="18.75" customHeight="1">
      <c r="A1054" s="18" t="str">
        <f t="array" ref="A1054">IFERROR(
  INDEX(
    'api-register-id'!A:A,
    MATCH(F1054, 'api-register-id'!B:B, 0)
  ),
  "Not found Organization"
)</f>
        <v>Empresa Net</v>
      </c>
      <c r="B1054" s="22" t="str">
        <f>IFERROR(VLOOKUP(F1054, 'api-register-id'!B:F, 4, FALSE), "Not found path.")</f>
        <v>mx-api-bc-pro-transaction-engine-corp</v>
      </c>
      <c r="C1054" s="203" t="s">
        <v>41</v>
      </c>
      <c r="D1054" s="203" t="s">
        <v>811</v>
      </c>
      <c r="E1054" s="24" t="str">
        <f>IFERROR(VLOOKUP(F1054, 'api-register-id'!B:F, 5, FALSE), "Not found path.")</f>
        <v>APIMX000157</v>
      </c>
      <c r="F1054" s="204" t="s">
        <v>1917</v>
      </c>
      <c r="G1054" s="26" t="s">
        <v>6368</v>
      </c>
      <c r="H1054" s="205" t="s">
        <v>6369</v>
      </c>
      <c r="I1054" s="29" t="str">
        <f>IFERROR(VLOOKUP(F1054, 'api-register-id'!B:I, 8, FALSE), "Not found path.")</f>
        <v/>
      </c>
      <c r="J1054" s="40" t="s">
        <v>5276</v>
      </c>
      <c r="K1054" s="211" t="s">
        <v>48</v>
      </c>
      <c r="L1054" s="200" t="s">
        <v>49</v>
      </c>
      <c r="M1054" s="212" t="s">
        <v>6370</v>
      </c>
      <c r="N1054" s="3" t="str">
        <f t="shared" si="1"/>
        <v>POST /system/accountManagement/transactionEngine/v1/corporate/file/progress</v>
      </c>
      <c r="O1054" s="40" t="s">
        <v>6371</v>
      </c>
      <c r="P1054" s="40"/>
      <c r="Q1054" s="61" t="s">
        <v>98</v>
      </c>
      <c r="R1054" s="31" t="s">
        <v>56</v>
      </c>
      <c r="S1054" s="38" t="str">
        <f t="shared" si="2"/>
        <v>https://github.com/SF-Bancoppel/mx-api-bc-pro-transaction-engine-corp</v>
      </c>
      <c r="T1054" s="40"/>
      <c r="U1054" s="22"/>
      <c r="V1054" s="40"/>
      <c r="W1054" s="40"/>
      <c r="X1054" s="40"/>
      <c r="Y1054" s="40"/>
      <c r="Z1054" s="22"/>
      <c r="AA1054" s="22"/>
      <c r="AB1054" s="22"/>
    </row>
    <row r="1055" ht="18.75" customHeight="1">
      <c r="A1055" s="18" t="str">
        <f t="array" ref="A1055">IFERROR(
  INDEX(
    'api-register-id'!A:A,
    MATCH(F1055, 'api-register-id'!B:B, 0)
  ),
  "Not found Organization"
)</f>
        <v>Empresa Net</v>
      </c>
      <c r="B1055" s="22" t="str">
        <f>IFERROR(VLOOKUP(F1055, 'api-register-id'!B:F, 4, FALSE), "Not found path.")</f>
        <v>mx-api-bc-dom-security-advisory-corp</v>
      </c>
      <c r="C1055" s="203" t="s">
        <v>41</v>
      </c>
      <c r="D1055" s="23" t="s">
        <v>119</v>
      </c>
      <c r="E1055" s="24" t="str">
        <f>IFERROR(VLOOKUP(F1055, 'api-register-id'!B:F, 5, FALSE), "Not found path.")</f>
        <v>APIMX000158</v>
      </c>
      <c r="F1055" s="204" t="s">
        <v>1941</v>
      </c>
      <c r="G1055" s="26" t="s">
        <v>6372</v>
      </c>
      <c r="H1055" s="205" t="s">
        <v>6373</v>
      </c>
      <c r="I1055" s="29" t="str">
        <f>IFERROR(VLOOKUP(F1055, 'api-register-id'!B:I, 8, FALSE), "Not found path.")</f>
        <v/>
      </c>
      <c r="J1055" s="40" t="s">
        <v>6374</v>
      </c>
      <c r="K1055" s="211" t="s">
        <v>48</v>
      </c>
      <c r="L1055" s="200" t="s">
        <v>49</v>
      </c>
      <c r="M1055" s="212" t="s">
        <v>6330</v>
      </c>
      <c r="N1055" s="3" t="str">
        <f t="shared" si="1"/>
        <v>POST /enterpriseServices/securityAdvisory/v1/corporate/security/data/encrypt</v>
      </c>
      <c r="O1055" s="40" t="s">
        <v>6331</v>
      </c>
      <c r="P1055" s="40"/>
      <c r="Q1055" s="61" t="s">
        <v>98</v>
      </c>
      <c r="R1055" s="31" t="s">
        <v>56</v>
      </c>
      <c r="S1055" s="38" t="str">
        <f t="shared" si="2"/>
        <v>https://github.com/SF-Bancoppel/mx-api-bc-dom-security-advisory-corp</v>
      </c>
      <c r="T1055" s="40"/>
      <c r="U1055" s="22"/>
      <c r="V1055" s="40"/>
      <c r="W1055" s="40"/>
      <c r="X1055" s="40"/>
      <c r="Y1055" s="40"/>
      <c r="Z1055" s="22"/>
      <c r="AA1055" s="22"/>
      <c r="AB1055" s="22"/>
    </row>
    <row r="1056" ht="18.75" customHeight="1">
      <c r="A1056" s="18" t="str">
        <f t="array" ref="A1056">IFERROR(
  INDEX(
    'api-register-id'!A:A,
    MATCH(F1056, 'api-register-id'!B:B, 0)
  ),
  "Not found Organization"
)</f>
        <v>Empresa Net</v>
      </c>
      <c r="B1056" s="22" t="str">
        <f>IFERROR(VLOOKUP(F1056, 'api-register-id'!B:F, 4, FALSE), "Not found path.")</f>
        <v>mx-api-bc-dom-transaction-engine-corp</v>
      </c>
      <c r="C1056" s="203" t="s">
        <v>41</v>
      </c>
      <c r="D1056" s="78" t="s">
        <v>119</v>
      </c>
      <c r="E1056" s="24" t="str">
        <f>IFERROR(VLOOKUP(F1056, 'api-register-id'!B:F, 5, FALSE), "Not found path.")</f>
        <v>APIMX000159</v>
      </c>
      <c r="F1056" s="204" t="s">
        <v>1963</v>
      </c>
      <c r="G1056" s="26" t="s">
        <v>6375</v>
      </c>
      <c r="H1056" s="205" t="s">
        <v>6376</v>
      </c>
      <c r="I1056" s="29" t="str">
        <f>IFERROR(VLOOKUP(F1056, 'api-register-id'!B:I, 8, FALSE), "Not found path.")</f>
        <v/>
      </c>
      <c r="J1056" s="40" t="s">
        <v>1938</v>
      </c>
      <c r="K1056" s="211" t="s">
        <v>48</v>
      </c>
      <c r="L1056" s="200" t="s">
        <v>49</v>
      </c>
      <c r="M1056" s="212" t="s">
        <v>6334</v>
      </c>
      <c r="N1056" s="3" t="str">
        <f t="shared" si="1"/>
        <v>POST /accountManagement/transactionEngine/v1/corporate/file/upload</v>
      </c>
      <c r="O1056" s="40" t="s">
        <v>6335</v>
      </c>
      <c r="P1056" s="40"/>
      <c r="Q1056" s="61" t="s">
        <v>98</v>
      </c>
      <c r="R1056" s="31" t="s">
        <v>56</v>
      </c>
      <c r="S1056" s="38" t="str">
        <f t="shared" si="2"/>
        <v>https://github.com/SF-Bancoppel/mx-api-bc-dom-transaction-engine-corp</v>
      </c>
      <c r="T1056" s="40"/>
      <c r="U1056" s="22"/>
      <c r="V1056" s="22"/>
      <c r="W1056" s="22"/>
      <c r="X1056" s="22"/>
      <c r="Y1056" s="40"/>
      <c r="Z1056" s="22"/>
      <c r="AA1056" s="22"/>
      <c r="AB1056" s="22"/>
    </row>
    <row r="1057" ht="18.75" customHeight="1">
      <c r="A1057" s="18" t="str">
        <f t="array" ref="A1057">IFERROR(
  INDEX(
    'api-register-id'!A:A,
    MATCH(F1057, 'api-register-id'!B:B, 0)
  ),
  "Not found Organization"
)</f>
        <v>Empresa Net</v>
      </c>
      <c r="B1057" s="22" t="str">
        <f>IFERROR(VLOOKUP(F1057, 'api-register-id'!B:F, 4, FALSE), "Not found path.")</f>
        <v>mx-api-bc-dom-transaction-engine-corp</v>
      </c>
      <c r="C1057" s="203" t="s">
        <v>41</v>
      </c>
      <c r="D1057" s="78" t="s">
        <v>119</v>
      </c>
      <c r="E1057" s="24" t="str">
        <f>IFERROR(VLOOKUP(F1057, 'api-register-id'!B:F, 5, FALSE), "Not found path.")</f>
        <v>APIMX000159</v>
      </c>
      <c r="F1057" s="204" t="s">
        <v>1963</v>
      </c>
      <c r="G1057" s="26" t="s">
        <v>6377</v>
      </c>
      <c r="H1057" s="205" t="s">
        <v>6378</v>
      </c>
      <c r="I1057" s="29" t="str">
        <f>IFERROR(VLOOKUP(F1057, 'api-register-id'!B:I, 8, FALSE), "Not found path.")</f>
        <v/>
      </c>
      <c r="J1057" s="40" t="s">
        <v>1938</v>
      </c>
      <c r="K1057" s="211" t="s">
        <v>48</v>
      </c>
      <c r="L1057" s="200" t="s">
        <v>49</v>
      </c>
      <c r="M1057" s="212" t="s">
        <v>6338</v>
      </c>
      <c r="N1057" s="3" t="str">
        <f t="shared" si="1"/>
        <v>POST /accountManagement/transactionEngine/v1/corporate/file/delete</v>
      </c>
      <c r="O1057" s="40" t="s">
        <v>6339</v>
      </c>
      <c r="P1057" s="40"/>
      <c r="Q1057" s="61" t="s">
        <v>98</v>
      </c>
      <c r="R1057" s="31" t="s">
        <v>56</v>
      </c>
      <c r="S1057" s="38" t="str">
        <f t="shared" si="2"/>
        <v>https://github.com/SF-Bancoppel/mx-api-bc-dom-transaction-engine-corp</v>
      </c>
      <c r="T1057" s="40"/>
      <c r="U1057" s="22"/>
      <c r="V1057" s="40"/>
      <c r="W1057" s="40"/>
      <c r="X1057" s="40"/>
      <c r="Y1057" s="40"/>
      <c r="Z1057" s="22"/>
      <c r="AA1057" s="22"/>
      <c r="AB1057" s="22"/>
    </row>
    <row r="1058" ht="18.75" customHeight="1">
      <c r="A1058" s="18" t="str">
        <f t="array" ref="A1058">IFERROR(
  INDEX(
    'api-register-id'!A:A,
    MATCH(F1058, 'api-register-id'!B:B, 0)
  ),
  "Not found Organization"
)</f>
        <v>Empresa Net</v>
      </c>
      <c r="B1058" s="22" t="str">
        <f>IFERROR(VLOOKUP(F1058, 'api-register-id'!B:F, 4, FALSE), "Not found path.")</f>
        <v>mx-api-bc-dom-transaction-engine-corp</v>
      </c>
      <c r="C1058" s="203" t="s">
        <v>41</v>
      </c>
      <c r="D1058" s="78" t="s">
        <v>119</v>
      </c>
      <c r="E1058" s="24" t="str">
        <f>IFERROR(VLOOKUP(F1058, 'api-register-id'!B:F, 5, FALSE), "Not found path.")</f>
        <v>APIMX000159</v>
      </c>
      <c r="F1058" s="204" t="s">
        <v>1963</v>
      </c>
      <c r="G1058" s="26" t="s">
        <v>6379</v>
      </c>
      <c r="H1058" s="205" t="s">
        <v>6380</v>
      </c>
      <c r="I1058" s="29" t="str">
        <f>IFERROR(VLOOKUP(F1058, 'api-register-id'!B:I, 8, FALSE), "Not found path.")</f>
        <v/>
      </c>
      <c r="J1058" s="40" t="s">
        <v>1938</v>
      </c>
      <c r="K1058" s="211" t="s">
        <v>48</v>
      </c>
      <c r="L1058" s="200" t="s">
        <v>49</v>
      </c>
      <c r="M1058" s="212" t="s">
        <v>6342</v>
      </c>
      <c r="N1058" s="3" t="str">
        <f t="shared" si="1"/>
        <v>POST /accountManagement/transactionEngine/v1/corporate/destAccount/file/get</v>
      </c>
      <c r="O1058" s="40" t="s">
        <v>6343</v>
      </c>
      <c r="P1058" s="40"/>
      <c r="Q1058" s="61" t="s">
        <v>98</v>
      </c>
      <c r="R1058" s="31" t="s">
        <v>56</v>
      </c>
      <c r="S1058" s="38" t="str">
        <f t="shared" si="2"/>
        <v>https://github.com/SF-Bancoppel/mx-api-bc-dom-transaction-engine-corp</v>
      </c>
      <c r="T1058" s="40"/>
      <c r="U1058" s="22"/>
      <c r="V1058" s="40"/>
      <c r="W1058" s="40"/>
      <c r="X1058" s="40"/>
      <c r="Y1058" s="40"/>
      <c r="Z1058" s="22"/>
      <c r="AA1058" s="22"/>
      <c r="AB1058" s="22"/>
    </row>
    <row r="1059" ht="18.75" customHeight="1">
      <c r="A1059" s="18" t="str">
        <f t="array" ref="A1059">IFERROR(
  INDEX(
    'api-register-id'!A:A,
    MATCH(F1059, 'api-register-id'!B:B, 0)
  ),
  "Not found Organization"
)</f>
        <v>Empresa Net</v>
      </c>
      <c r="B1059" s="22" t="str">
        <f>IFERROR(VLOOKUP(F1059, 'api-register-id'!B:F, 4, FALSE), "Not found path.")</f>
        <v>mx-api-bc-dom-transaction-engine-corp</v>
      </c>
      <c r="C1059" s="203" t="s">
        <v>41</v>
      </c>
      <c r="D1059" s="78" t="s">
        <v>119</v>
      </c>
      <c r="E1059" s="24" t="str">
        <f>IFERROR(VLOOKUP(F1059, 'api-register-id'!B:F, 5, FALSE), "Not found path.")</f>
        <v>APIMX000159</v>
      </c>
      <c r="F1059" s="204" t="s">
        <v>1963</v>
      </c>
      <c r="G1059" s="26" t="s">
        <v>6381</v>
      </c>
      <c r="H1059" s="205" t="s">
        <v>6382</v>
      </c>
      <c r="I1059" s="29" t="str">
        <f>IFERROR(VLOOKUP(F1059, 'api-register-id'!B:I, 8, FALSE), "Not found path.")</f>
        <v/>
      </c>
      <c r="J1059" s="40" t="s">
        <v>1938</v>
      </c>
      <c r="K1059" s="211" t="s">
        <v>48</v>
      </c>
      <c r="L1059" s="200" t="s">
        <v>49</v>
      </c>
      <c r="M1059" s="212" t="s">
        <v>6346</v>
      </c>
      <c r="N1059" s="3" t="str">
        <f t="shared" si="1"/>
        <v>POST /accountManagement/transactionEngine/v1/corporate/transfer/file/get</v>
      </c>
      <c r="O1059" s="40" t="s">
        <v>6347</v>
      </c>
      <c r="P1059" s="40"/>
      <c r="Q1059" s="61" t="s">
        <v>98</v>
      </c>
      <c r="R1059" s="31" t="s">
        <v>56</v>
      </c>
      <c r="S1059" s="38" t="str">
        <f t="shared" si="2"/>
        <v>https://github.com/SF-Bancoppel/mx-api-bc-dom-transaction-engine-corp</v>
      </c>
      <c r="T1059" s="40"/>
      <c r="U1059" s="22"/>
      <c r="V1059" s="40"/>
      <c r="W1059" s="40"/>
      <c r="X1059" s="40"/>
      <c r="Y1059" s="40"/>
      <c r="Z1059" s="22"/>
      <c r="AA1059" s="22"/>
      <c r="AB1059" s="22"/>
    </row>
    <row r="1060" ht="18.75" customHeight="1">
      <c r="A1060" s="18" t="str">
        <f t="array" ref="A1060">IFERROR(
  INDEX(
    'api-register-id'!A:A,
    MATCH(F1060, 'api-register-id'!B:B, 0)
  ),
  "Not found Organization"
)</f>
        <v>Empresa Net</v>
      </c>
      <c r="B1060" s="22" t="str">
        <f>IFERROR(VLOOKUP(F1060, 'api-register-id'!B:F, 4, FALSE), "Not found path.")</f>
        <v>mx-api-bc-dom-transaction-engine-corp</v>
      </c>
      <c r="C1060" s="203" t="s">
        <v>41</v>
      </c>
      <c r="D1060" s="78" t="s">
        <v>119</v>
      </c>
      <c r="E1060" s="24" t="str">
        <f>IFERROR(VLOOKUP(F1060, 'api-register-id'!B:F, 5, FALSE), "Not found path.")</f>
        <v>APIMX000159</v>
      </c>
      <c r="F1060" s="204" t="s">
        <v>1963</v>
      </c>
      <c r="G1060" s="26" t="s">
        <v>6383</v>
      </c>
      <c r="H1060" s="205" t="s">
        <v>6384</v>
      </c>
      <c r="I1060" s="29" t="str">
        <f>IFERROR(VLOOKUP(F1060, 'api-register-id'!B:I, 8, FALSE), "Not found path.")</f>
        <v/>
      </c>
      <c r="J1060" s="40" t="s">
        <v>1938</v>
      </c>
      <c r="K1060" s="211" t="s">
        <v>48</v>
      </c>
      <c r="L1060" s="200" t="s">
        <v>49</v>
      </c>
      <c r="M1060" s="212" t="s">
        <v>6350</v>
      </c>
      <c r="N1060" s="3" t="str">
        <f t="shared" si="1"/>
        <v>POST /accountManagement/transactionEngine/v1/corporate/destAccount/file/validate</v>
      </c>
      <c r="O1060" s="40" t="s">
        <v>6351</v>
      </c>
      <c r="P1060" s="40"/>
      <c r="Q1060" s="61" t="s">
        <v>98</v>
      </c>
      <c r="R1060" s="31" t="s">
        <v>56</v>
      </c>
      <c r="S1060" s="38" t="str">
        <f t="shared" si="2"/>
        <v>https://github.com/SF-Bancoppel/mx-api-bc-dom-transaction-engine-corp</v>
      </c>
      <c r="T1060" s="40"/>
      <c r="U1060" s="22"/>
      <c r="V1060" s="40"/>
      <c r="W1060" s="40"/>
      <c r="X1060" s="40"/>
      <c r="Y1060" s="40"/>
      <c r="Z1060" s="22"/>
      <c r="AA1060" s="22"/>
      <c r="AB1060" s="22"/>
    </row>
    <row r="1061" ht="18.75" customHeight="1">
      <c r="A1061" s="18" t="str">
        <f t="array" ref="A1061">IFERROR(
  INDEX(
    'api-register-id'!A:A,
    MATCH(F1061, 'api-register-id'!B:B, 0)
  ),
  "Not found Organization"
)</f>
        <v>Empresa Net</v>
      </c>
      <c r="B1061" s="22" t="str">
        <f>IFERROR(VLOOKUP(F1061, 'api-register-id'!B:F, 4, FALSE), "Not found path.")</f>
        <v>mx-api-bc-dom-transaction-engine-corp</v>
      </c>
      <c r="C1061" s="203" t="s">
        <v>41</v>
      </c>
      <c r="D1061" s="78" t="s">
        <v>119</v>
      </c>
      <c r="E1061" s="24" t="str">
        <f>IFERROR(VLOOKUP(F1061, 'api-register-id'!B:F, 5, FALSE), "Not found path.")</f>
        <v>APIMX000159</v>
      </c>
      <c r="F1061" s="204" t="s">
        <v>1963</v>
      </c>
      <c r="G1061" s="26" t="s">
        <v>6385</v>
      </c>
      <c r="H1061" s="205" t="s">
        <v>6386</v>
      </c>
      <c r="I1061" s="29" t="str">
        <f>IFERROR(VLOOKUP(F1061, 'api-register-id'!B:I, 8, FALSE), "Not found path.")</f>
        <v/>
      </c>
      <c r="J1061" s="40" t="s">
        <v>1938</v>
      </c>
      <c r="K1061" s="211" t="s">
        <v>48</v>
      </c>
      <c r="L1061" s="200" t="s">
        <v>49</v>
      </c>
      <c r="M1061" s="212" t="s">
        <v>6354</v>
      </c>
      <c r="N1061" s="3" t="str">
        <f t="shared" si="1"/>
        <v>POST /accountManagement/transactionEngine/v1/corporate/transfer/file/validate</v>
      </c>
      <c r="O1061" s="40" t="s">
        <v>6355</v>
      </c>
      <c r="P1061" s="40"/>
      <c r="Q1061" s="61" t="s">
        <v>98</v>
      </c>
      <c r="R1061" s="31" t="s">
        <v>56</v>
      </c>
      <c r="S1061" s="38" t="str">
        <f t="shared" si="2"/>
        <v>https://github.com/SF-Bancoppel/mx-api-bc-dom-transaction-engine-corp</v>
      </c>
      <c r="T1061" s="40"/>
      <c r="U1061" s="22"/>
      <c r="V1061" s="22"/>
      <c r="W1061" s="40"/>
      <c r="X1061" s="40"/>
      <c r="Y1061" s="40"/>
      <c r="Z1061" s="22"/>
      <c r="AA1061" s="22"/>
      <c r="AB1061" s="22"/>
    </row>
    <row r="1062" ht="18.75" customHeight="1">
      <c r="A1062" s="18" t="str">
        <f t="array" ref="A1062">IFERROR(
  INDEX(
    'api-register-id'!A:A,
    MATCH(F1062, 'api-register-id'!B:B, 0)
  ),
  "Not found Organization"
)</f>
        <v>Empresa Net</v>
      </c>
      <c r="B1062" s="22" t="str">
        <f>IFERROR(VLOOKUP(F1062, 'api-register-id'!B:F, 4, FALSE), "Not found path.")</f>
        <v>mx-api-bc-dom-transaction-engine-corp</v>
      </c>
      <c r="C1062" s="203" t="s">
        <v>41</v>
      </c>
      <c r="D1062" s="78" t="s">
        <v>119</v>
      </c>
      <c r="E1062" s="24" t="str">
        <f>IFERROR(VLOOKUP(F1062, 'api-register-id'!B:F, 5, FALSE), "Not found path.")</f>
        <v>APIMX000159</v>
      </c>
      <c r="F1062" s="204" t="s">
        <v>1963</v>
      </c>
      <c r="G1062" s="26" t="s">
        <v>6387</v>
      </c>
      <c r="H1062" s="205" t="s">
        <v>6388</v>
      </c>
      <c r="I1062" s="29" t="str">
        <f>IFERROR(VLOOKUP(F1062, 'api-register-id'!B:I, 8, FALSE), "Not found path.")</f>
        <v/>
      </c>
      <c r="J1062" s="40" t="s">
        <v>1938</v>
      </c>
      <c r="K1062" s="211" t="s">
        <v>48</v>
      </c>
      <c r="L1062" s="200" t="s">
        <v>49</v>
      </c>
      <c r="M1062" s="212" t="s">
        <v>6358</v>
      </c>
      <c r="N1062" s="3" t="str">
        <f t="shared" si="1"/>
        <v>POST /accountManagement/transactionEngine/v1/corporate/authorizations/transfer/file/getFile</v>
      </c>
      <c r="O1062" s="40" t="s">
        <v>6359</v>
      </c>
      <c r="P1062" s="40"/>
      <c r="Q1062" s="61" t="s">
        <v>98</v>
      </c>
      <c r="R1062" s="31" t="s">
        <v>56</v>
      </c>
      <c r="S1062" s="38" t="str">
        <f t="shared" si="2"/>
        <v>https://github.com/SF-Bancoppel/mx-api-bc-dom-transaction-engine-corp</v>
      </c>
      <c r="T1062" s="40"/>
      <c r="U1062" s="22"/>
      <c r="V1062" s="40"/>
      <c r="W1062" s="40"/>
      <c r="X1062" s="40"/>
      <c r="Y1062" s="40"/>
      <c r="Z1062" s="22"/>
      <c r="AA1062" s="22"/>
      <c r="AB1062" s="22"/>
    </row>
    <row r="1063" ht="18.75" customHeight="1">
      <c r="A1063" s="18" t="str">
        <f t="array" ref="A1063">IFERROR(
  INDEX(
    'api-register-id'!A:A,
    MATCH(F1063, 'api-register-id'!B:B, 0)
  ),
  "Not found Organization"
)</f>
        <v>Empresa Net</v>
      </c>
      <c r="B1063" s="22" t="str">
        <f>IFERROR(VLOOKUP(F1063, 'api-register-id'!B:F, 4, FALSE), "Not found path.")</f>
        <v>mx-api-bc-dom-transaction-engine-corp</v>
      </c>
      <c r="C1063" s="203" t="s">
        <v>41</v>
      </c>
      <c r="D1063" s="78" t="s">
        <v>119</v>
      </c>
      <c r="E1063" s="24" t="str">
        <f>IFERROR(VLOOKUP(F1063, 'api-register-id'!B:F, 5, FALSE), "Not found path.")</f>
        <v>APIMX000159</v>
      </c>
      <c r="F1063" s="204" t="s">
        <v>1963</v>
      </c>
      <c r="G1063" s="26" t="s">
        <v>6389</v>
      </c>
      <c r="H1063" s="205" t="s">
        <v>6390</v>
      </c>
      <c r="I1063" s="29" t="str">
        <f>IFERROR(VLOOKUP(F1063, 'api-register-id'!B:I, 8, FALSE), "Not found path.")</f>
        <v/>
      </c>
      <c r="J1063" s="40" t="s">
        <v>1938</v>
      </c>
      <c r="K1063" s="211" t="s">
        <v>48</v>
      </c>
      <c r="L1063" s="200" t="s">
        <v>49</v>
      </c>
      <c r="M1063" s="212" t="s">
        <v>6362</v>
      </c>
      <c r="N1063" s="3" t="str">
        <f t="shared" si="1"/>
        <v>POST /accountManagement/transactionEngine/v1/corporate/file/pending</v>
      </c>
      <c r="O1063" s="40" t="s">
        <v>6363</v>
      </c>
      <c r="P1063" s="40"/>
      <c r="Q1063" s="61" t="s">
        <v>98</v>
      </c>
      <c r="R1063" s="31" t="s">
        <v>56</v>
      </c>
      <c r="S1063" s="38" t="str">
        <f t="shared" si="2"/>
        <v>https://github.com/SF-Bancoppel/mx-api-bc-dom-transaction-engine-corp</v>
      </c>
      <c r="T1063" s="40"/>
      <c r="U1063" s="40"/>
      <c r="V1063" s="40"/>
      <c r="W1063" s="40"/>
      <c r="X1063" s="40"/>
      <c r="Y1063" s="40"/>
      <c r="Z1063" s="40"/>
      <c r="AA1063" s="40"/>
      <c r="AB1063" s="40"/>
    </row>
    <row r="1064" ht="18.75" customHeight="1">
      <c r="A1064" s="18" t="str">
        <f t="array" ref="A1064">IFERROR(
  INDEX(
    'api-register-id'!A:A,
    MATCH(F1064, 'api-register-id'!B:B, 0)
  ),
  "Not found Organization"
)</f>
        <v>Empresa Net</v>
      </c>
      <c r="B1064" s="22" t="str">
        <f>IFERROR(VLOOKUP(F1064, 'api-register-id'!B:F, 4, FALSE), "Not found path.")</f>
        <v>mx-api-bc-dom-transaction-engine-corp</v>
      </c>
      <c r="C1064" s="203" t="s">
        <v>41</v>
      </c>
      <c r="D1064" s="78" t="s">
        <v>119</v>
      </c>
      <c r="E1064" s="24" t="str">
        <f>IFERROR(VLOOKUP(F1064, 'api-register-id'!B:F, 5, FALSE), "Not found path.")</f>
        <v>APIMX000159</v>
      </c>
      <c r="F1064" s="204" t="s">
        <v>1963</v>
      </c>
      <c r="G1064" s="26" t="s">
        <v>6391</v>
      </c>
      <c r="H1064" s="205" t="s">
        <v>6392</v>
      </c>
      <c r="I1064" s="29" t="str">
        <f>IFERROR(VLOOKUP(F1064, 'api-register-id'!B:I, 8, FALSE), "Not found path.")</f>
        <v/>
      </c>
      <c r="J1064" s="40" t="s">
        <v>1938</v>
      </c>
      <c r="K1064" s="211" t="s">
        <v>48</v>
      </c>
      <c r="L1064" s="200" t="s">
        <v>49</v>
      </c>
      <c r="M1064" s="212" t="s">
        <v>6366</v>
      </c>
      <c r="N1064" s="3" t="str">
        <f t="shared" si="1"/>
        <v>POST /accountManagement/transactionEngine/v1/corporate/file/process</v>
      </c>
      <c r="O1064" s="40" t="s">
        <v>6367</v>
      </c>
      <c r="P1064" s="40"/>
      <c r="Q1064" s="61" t="s">
        <v>98</v>
      </c>
      <c r="R1064" s="31" t="s">
        <v>56</v>
      </c>
      <c r="S1064" s="38" t="str">
        <f t="shared" si="2"/>
        <v>https://github.com/SF-Bancoppel/mx-api-bc-dom-transaction-engine-corp</v>
      </c>
      <c r="T1064" s="40"/>
      <c r="U1064" s="22"/>
      <c r="V1064" s="40"/>
      <c r="W1064" s="40"/>
      <c r="X1064" s="40"/>
      <c r="Y1064" s="40"/>
      <c r="Z1064" s="22"/>
      <c r="AA1064" s="22"/>
      <c r="AB1064" s="22"/>
    </row>
    <row r="1065" ht="18.75" customHeight="1">
      <c r="A1065" s="18" t="str">
        <f t="array" ref="A1065">IFERROR(
  INDEX(
    'api-register-id'!A:A,
    MATCH(F1065, 'api-register-id'!B:B, 0)
  ),
  "Not found Organization"
)</f>
        <v>Empresa Net</v>
      </c>
      <c r="B1065" s="22" t="str">
        <f>IFERROR(VLOOKUP(F1065, 'api-register-id'!B:F, 4, FALSE), "Not found path.")</f>
        <v>mx-api-bc-dom-transaction-engine-corp</v>
      </c>
      <c r="C1065" s="203" t="s">
        <v>41</v>
      </c>
      <c r="D1065" s="78" t="s">
        <v>119</v>
      </c>
      <c r="E1065" s="24" t="str">
        <f>IFERROR(VLOOKUP(F1065, 'api-register-id'!B:F, 5, FALSE), "Not found path.")</f>
        <v>APIMX000159</v>
      </c>
      <c r="F1065" s="204" t="s">
        <v>1963</v>
      </c>
      <c r="G1065" s="26" t="s">
        <v>6393</v>
      </c>
      <c r="H1065" s="205" t="s">
        <v>6394</v>
      </c>
      <c r="I1065" s="29" t="str">
        <f>IFERROR(VLOOKUP(F1065, 'api-register-id'!B:I, 8, FALSE), "Not found path.")</f>
        <v/>
      </c>
      <c r="J1065" s="40" t="s">
        <v>1938</v>
      </c>
      <c r="K1065" s="211" t="s">
        <v>48</v>
      </c>
      <c r="L1065" s="200" t="s">
        <v>49</v>
      </c>
      <c r="M1065" s="212" t="s">
        <v>6370</v>
      </c>
      <c r="N1065" s="3" t="str">
        <f t="shared" si="1"/>
        <v>POST /accountManagement/transactionEngine/v1/corporate/file/progress</v>
      </c>
      <c r="O1065" s="40" t="s">
        <v>6371</v>
      </c>
      <c r="P1065" s="40"/>
      <c r="Q1065" s="61" t="s">
        <v>98</v>
      </c>
      <c r="R1065" s="31" t="s">
        <v>56</v>
      </c>
      <c r="S1065" s="38" t="str">
        <f t="shared" si="2"/>
        <v>https://github.com/SF-Bancoppel/mx-api-bc-dom-transaction-engine-corp</v>
      </c>
      <c r="T1065" s="40"/>
      <c r="U1065" s="22"/>
      <c r="V1065" s="40"/>
      <c r="W1065" s="40"/>
      <c r="X1065" s="40"/>
      <c r="Y1065" s="40"/>
      <c r="Z1065" s="22"/>
      <c r="AA1065" s="22"/>
      <c r="AB1065" s="22"/>
    </row>
    <row r="1066" ht="18.75" customHeight="1">
      <c r="A1066" s="18" t="str">
        <f t="array" ref="A1066">IFERROR(
  INDEX(
    'api-register-id'!A:A,
    MATCH(F1066, 'api-register-id'!B:B, 0)
  ),
  "Not found Organization"
)</f>
        <v>Empresa Net</v>
      </c>
      <c r="B1066" s="22" t="str">
        <f>IFERROR(VLOOKUP(F1066, 'api-register-id'!B:F, 4, FALSE), "Not found path.")</f>
        <v>mx-api-bc-rec-security-advisory-corp</v>
      </c>
      <c r="C1066" s="29" t="s">
        <v>112</v>
      </c>
      <c r="D1066" s="203" t="s">
        <v>1417</v>
      </c>
      <c r="E1066" s="24" t="str">
        <f>IFERROR(VLOOKUP(F1066, 'api-register-id'!B:F, 5, FALSE), "Not found path.")</f>
        <v>APIMX000160</v>
      </c>
      <c r="F1066" s="204" t="s">
        <v>1973</v>
      </c>
      <c r="G1066" s="26" t="s">
        <v>6395</v>
      </c>
      <c r="H1066" s="205" t="s">
        <v>6396</v>
      </c>
      <c r="I1066" s="29" t="str">
        <f>IFERROR(VLOOKUP(F1066, 'api-register-id'!B:I, 8, FALSE), "Not found path.")</f>
        <v/>
      </c>
      <c r="J1066" s="40" t="s">
        <v>6397</v>
      </c>
      <c r="K1066" s="211" t="s">
        <v>48</v>
      </c>
      <c r="L1066" s="200" t="s">
        <v>49</v>
      </c>
      <c r="M1066" s="212" t="s">
        <v>6330</v>
      </c>
      <c r="N1066" s="3" t="str">
        <f t="shared" si="1"/>
        <v>POST /experience/enterpriseServices/securityAdvisory/v1/corporate/security/data/encrypt</v>
      </c>
      <c r="O1066" s="40" t="s">
        <v>6331</v>
      </c>
      <c r="P1066" s="40"/>
      <c r="Q1066" s="61" t="s">
        <v>98</v>
      </c>
      <c r="R1066" s="31" t="s">
        <v>56</v>
      </c>
      <c r="S1066" s="38" t="str">
        <f t="shared" si="2"/>
        <v>https://github.com/SF-Bancoppel/mx-api-bc-rec-security-advisory-corp</v>
      </c>
      <c r="T1066" s="40"/>
      <c r="U1066" s="22"/>
      <c r="V1066" s="22"/>
      <c r="W1066" s="22"/>
      <c r="X1066" s="40"/>
      <c r="Y1066" s="40"/>
      <c r="Z1066" s="22"/>
      <c r="AA1066" s="22"/>
      <c r="AB1066" s="22"/>
    </row>
    <row r="1067" ht="18.75" customHeight="1">
      <c r="A1067" s="18" t="str">
        <f t="array" ref="A1067">IFERROR(
  INDEX(
    'api-register-id'!A:A,
    MATCH(F1067, 'api-register-id'!B:B, 0)
  ),
  "Not found Organization"
)</f>
        <v>Empresa Net</v>
      </c>
      <c r="B1067" s="22" t="str">
        <f>IFERROR(VLOOKUP(F1067, 'api-register-id'!B:F, 4, FALSE), "Not found path.")</f>
        <v>mx-api-bc-rec-transaction-engine-corp</v>
      </c>
      <c r="C1067" s="29" t="s">
        <v>112</v>
      </c>
      <c r="D1067" s="203" t="s">
        <v>1417</v>
      </c>
      <c r="E1067" s="24" t="str">
        <f>IFERROR(VLOOKUP(F1067, 'api-register-id'!B:F, 5, FALSE), "Not found path.")</f>
        <v>APIMX000161</v>
      </c>
      <c r="F1067" s="204" t="s">
        <v>2022</v>
      </c>
      <c r="G1067" s="26" t="s">
        <v>6398</v>
      </c>
      <c r="H1067" s="205" t="s">
        <v>6399</v>
      </c>
      <c r="I1067" s="29" t="str">
        <f>IFERROR(VLOOKUP(F1067, 'api-register-id'!B:I, 8, FALSE), "Not found path.")</f>
        <v/>
      </c>
      <c r="J1067" s="40" t="s">
        <v>5280</v>
      </c>
      <c r="K1067" s="211" t="s">
        <v>48</v>
      </c>
      <c r="L1067" s="200" t="s">
        <v>49</v>
      </c>
      <c r="M1067" s="212" t="s">
        <v>6334</v>
      </c>
      <c r="N1067" s="3" t="str">
        <f t="shared" si="1"/>
        <v>POST /experience/accountManagement/transactionEngine/v1/corporate/file/upload</v>
      </c>
      <c r="O1067" s="40" t="s">
        <v>6335</v>
      </c>
      <c r="P1067" s="40"/>
      <c r="Q1067" s="61" t="s">
        <v>98</v>
      </c>
      <c r="R1067" s="31" t="s">
        <v>56</v>
      </c>
      <c r="S1067" s="38" t="str">
        <f t="shared" si="2"/>
        <v>https://github.com/SF-Bancoppel/mx-api-bc-rec-transaction-engine-corp</v>
      </c>
      <c r="T1067" s="40"/>
      <c r="U1067" s="22"/>
      <c r="V1067" s="22"/>
      <c r="W1067" s="22"/>
      <c r="X1067" s="40"/>
      <c r="Y1067" s="40"/>
      <c r="Z1067" s="22"/>
      <c r="AA1067" s="22"/>
      <c r="AB1067" s="22"/>
    </row>
    <row r="1068" ht="18.75" customHeight="1">
      <c r="A1068" s="18" t="str">
        <f t="array" ref="A1068">IFERROR(
  INDEX(
    'api-register-id'!A:A,
    MATCH(F1068, 'api-register-id'!B:B, 0)
  ),
  "Not found Organization"
)</f>
        <v>Empresa Net</v>
      </c>
      <c r="B1068" s="22" t="str">
        <f>IFERROR(VLOOKUP(F1068, 'api-register-id'!B:F, 4, FALSE), "Not found path.")</f>
        <v>mx-api-bc-rec-transaction-engine-corp</v>
      </c>
      <c r="C1068" s="29" t="s">
        <v>112</v>
      </c>
      <c r="D1068" s="203" t="s">
        <v>1417</v>
      </c>
      <c r="E1068" s="24" t="str">
        <f>IFERROR(VLOOKUP(F1068, 'api-register-id'!B:F, 5, FALSE), "Not found path.")</f>
        <v>APIMX000161</v>
      </c>
      <c r="F1068" s="204" t="s">
        <v>2022</v>
      </c>
      <c r="G1068" s="26" t="s">
        <v>6400</v>
      </c>
      <c r="H1068" s="205" t="s">
        <v>6401</v>
      </c>
      <c r="I1068" s="29" t="str">
        <f>IFERROR(VLOOKUP(F1068, 'api-register-id'!B:I, 8, FALSE), "Not found path.")</f>
        <v/>
      </c>
      <c r="J1068" s="40" t="s">
        <v>5280</v>
      </c>
      <c r="K1068" s="211" t="s">
        <v>48</v>
      </c>
      <c r="L1068" s="200" t="s">
        <v>49</v>
      </c>
      <c r="M1068" s="212" t="s">
        <v>6338</v>
      </c>
      <c r="N1068" s="3" t="str">
        <f t="shared" si="1"/>
        <v>POST /experience/accountManagement/transactionEngine/v1/corporate/file/delete</v>
      </c>
      <c r="O1068" s="40" t="s">
        <v>6339</v>
      </c>
      <c r="P1068" s="40"/>
      <c r="Q1068" s="61" t="s">
        <v>98</v>
      </c>
      <c r="R1068" s="31" t="s">
        <v>56</v>
      </c>
      <c r="S1068" s="38" t="str">
        <f t="shared" si="2"/>
        <v>https://github.com/SF-Bancoppel/mx-api-bc-rec-transaction-engine-corp</v>
      </c>
      <c r="T1068" s="40"/>
      <c r="U1068" s="40"/>
      <c r="V1068" s="40"/>
      <c r="W1068" s="40"/>
      <c r="X1068" s="40"/>
      <c r="Y1068" s="40"/>
      <c r="Z1068" s="40"/>
      <c r="AA1068" s="40"/>
      <c r="AB1068" s="40"/>
    </row>
    <row r="1069" ht="18.75" customHeight="1">
      <c r="A1069" s="18" t="str">
        <f t="array" ref="A1069">IFERROR(
  INDEX(
    'api-register-id'!A:A,
    MATCH(F1069, 'api-register-id'!B:B, 0)
  ),
  "Not found Organization"
)</f>
        <v>Empresa Net</v>
      </c>
      <c r="B1069" s="22" t="str">
        <f>IFERROR(VLOOKUP(F1069, 'api-register-id'!B:F, 4, FALSE), "Not found path.")</f>
        <v>mx-api-bc-rec-transaction-engine-corp</v>
      </c>
      <c r="C1069" s="29" t="s">
        <v>112</v>
      </c>
      <c r="D1069" s="203" t="s">
        <v>1417</v>
      </c>
      <c r="E1069" s="24" t="str">
        <f>IFERROR(VLOOKUP(F1069, 'api-register-id'!B:F, 5, FALSE), "Not found path.")</f>
        <v>APIMX000161</v>
      </c>
      <c r="F1069" s="204" t="s">
        <v>2022</v>
      </c>
      <c r="G1069" s="26" t="s">
        <v>6402</v>
      </c>
      <c r="H1069" s="205" t="s">
        <v>6403</v>
      </c>
      <c r="I1069" s="29" t="str">
        <f>IFERROR(VLOOKUP(F1069, 'api-register-id'!B:I, 8, FALSE), "Not found path.")</f>
        <v/>
      </c>
      <c r="J1069" s="40" t="s">
        <v>5280</v>
      </c>
      <c r="K1069" s="211" t="s">
        <v>48</v>
      </c>
      <c r="L1069" s="200" t="s">
        <v>49</v>
      </c>
      <c r="M1069" s="212" t="s">
        <v>6342</v>
      </c>
      <c r="N1069" s="3" t="str">
        <f t="shared" si="1"/>
        <v>POST /experience/accountManagement/transactionEngine/v1/corporate/destAccount/file/get</v>
      </c>
      <c r="O1069" s="40" t="s">
        <v>6343</v>
      </c>
      <c r="P1069" s="40"/>
      <c r="Q1069" s="61" t="s">
        <v>98</v>
      </c>
      <c r="R1069" s="31" t="s">
        <v>56</v>
      </c>
      <c r="S1069" s="38" t="str">
        <f t="shared" si="2"/>
        <v>https://github.com/SF-Bancoppel/mx-api-bc-rec-transaction-engine-corp</v>
      </c>
      <c r="T1069" s="40"/>
      <c r="U1069" s="40"/>
      <c r="V1069" s="40"/>
      <c r="W1069" s="40"/>
      <c r="X1069" s="40"/>
      <c r="Y1069" s="40"/>
      <c r="Z1069" s="40"/>
      <c r="AA1069" s="40"/>
      <c r="AB1069" s="40"/>
    </row>
    <row r="1070" ht="18.75" customHeight="1">
      <c r="A1070" s="18" t="str">
        <f t="array" ref="A1070">IFERROR(
  INDEX(
    'api-register-id'!A:A,
    MATCH(F1070, 'api-register-id'!B:B, 0)
  ),
  "Not found Organization"
)</f>
        <v>Empresa Net</v>
      </c>
      <c r="B1070" s="22" t="str">
        <f>IFERROR(VLOOKUP(F1070, 'api-register-id'!B:F, 4, FALSE), "Not found path.")</f>
        <v>mx-api-bc-rec-transaction-engine-corp</v>
      </c>
      <c r="C1070" s="29" t="s">
        <v>112</v>
      </c>
      <c r="D1070" s="203" t="s">
        <v>1417</v>
      </c>
      <c r="E1070" s="24" t="str">
        <f>IFERROR(VLOOKUP(F1070, 'api-register-id'!B:F, 5, FALSE), "Not found path.")</f>
        <v>APIMX000161</v>
      </c>
      <c r="F1070" s="204" t="s">
        <v>2022</v>
      </c>
      <c r="G1070" s="26" t="s">
        <v>6404</v>
      </c>
      <c r="H1070" s="205" t="s">
        <v>6405</v>
      </c>
      <c r="I1070" s="29" t="str">
        <f>IFERROR(VLOOKUP(F1070, 'api-register-id'!B:I, 8, FALSE), "Not found path.")</f>
        <v/>
      </c>
      <c r="J1070" s="40" t="s">
        <v>5280</v>
      </c>
      <c r="K1070" s="211" t="s">
        <v>48</v>
      </c>
      <c r="L1070" s="200" t="s">
        <v>49</v>
      </c>
      <c r="M1070" s="212" t="s">
        <v>6346</v>
      </c>
      <c r="N1070" s="3" t="str">
        <f t="shared" si="1"/>
        <v>POST /experience/accountManagement/transactionEngine/v1/corporate/transfer/file/get</v>
      </c>
      <c r="O1070" s="40" t="s">
        <v>6347</v>
      </c>
      <c r="P1070" s="40"/>
      <c r="Q1070" s="61" t="s">
        <v>98</v>
      </c>
      <c r="R1070" s="31" t="s">
        <v>56</v>
      </c>
      <c r="S1070" s="38" t="str">
        <f t="shared" si="2"/>
        <v>https://github.com/SF-Bancoppel/mx-api-bc-rec-transaction-engine-corp</v>
      </c>
      <c r="T1070" s="40"/>
      <c r="U1070" s="40"/>
      <c r="V1070" s="40"/>
      <c r="W1070" s="40"/>
      <c r="X1070" s="40"/>
      <c r="Y1070" s="40"/>
      <c r="Z1070" s="40"/>
      <c r="AA1070" s="40"/>
      <c r="AB1070" s="40"/>
    </row>
    <row r="1071" ht="18.75" customHeight="1">
      <c r="A1071" s="18" t="str">
        <f t="array" ref="A1071">IFERROR(
  INDEX(
    'api-register-id'!A:A,
    MATCH(F1071, 'api-register-id'!B:B, 0)
  ),
  "Not found Organization"
)</f>
        <v>Empresa Net</v>
      </c>
      <c r="B1071" s="22" t="str">
        <f>IFERROR(VLOOKUP(F1071, 'api-register-id'!B:F, 4, FALSE), "Not found path.")</f>
        <v>mx-api-bc-rec-transaction-engine-corp</v>
      </c>
      <c r="C1071" s="29" t="s">
        <v>112</v>
      </c>
      <c r="D1071" s="203" t="s">
        <v>1417</v>
      </c>
      <c r="E1071" s="24" t="str">
        <f>IFERROR(VLOOKUP(F1071, 'api-register-id'!B:F, 5, FALSE), "Not found path.")</f>
        <v>APIMX000161</v>
      </c>
      <c r="F1071" s="204" t="s">
        <v>2022</v>
      </c>
      <c r="G1071" s="26" t="s">
        <v>6406</v>
      </c>
      <c r="H1071" s="205" t="s">
        <v>6407</v>
      </c>
      <c r="I1071" s="29" t="str">
        <f>IFERROR(VLOOKUP(F1071, 'api-register-id'!B:I, 8, FALSE), "Not found path.")</f>
        <v/>
      </c>
      <c r="J1071" s="40" t="s">
        <v>5280</v>
      </c>
      <c r="K1071" s="211" t="s">
        <v>48</v>
      </c>
      <c r="L1071" s="200" t="s">
        <v>49</v>
      </c>
      <c r="M1071" s="212" t="s">
        <v>6350</v>
      </c>
      <c r="N1071" s="3" t="str">
        <f t="shared" si="1"/>
        <v>POST /experience/accountManagement/transactionEngine/v1/corporate/destAccount/file/validate</v>
      </c>
      <c r="O1071" s="40" t="s">
        <v>6351</v>
      </c>
      <c r="P1071" s="40"/>
      <c r="Q1071" s="61" t="s">
        <v>98</v>
      </c>
      <c r="R1071" s="31" t="s">
        <v>56</v>
      </c>
      <c r="S1071" s="38" t="str">
        <f t="shared" si="2"/>
        <v>https://github.com/SF-Bancoppel/mx-api-bc-rec-transaction-engine-corp</v>
      </c>
      <c r="T1071" s="40"/>
      <c r="U1071" s="40"/>
      <c r="V1071" s="40"/>
      <c r="W1071" s="40"/>
      <c r="X1071" s="40"/>
      <c r="Y1071" s="40"/>
      <c r="Z1071" s="40"/>
      <c r="AA1071" s="40"/>
      <c r="AB1071" s="40"/>
    </row>
    <row r="1072" ht="18.75" customHeight="1">
      <c r="A1072" s="18" t="str">
        <f t="array" ref="A1072">IFERROR(
  INDEX(
    'api-register-id'!A:A,
    MATCH(F1072, 'api-register-id'!B:B, 0)
  ),
  "Not found Organization"
)</f>
        <v>Empresa Net</v>
      </c>
      <c r="B1072" s="22" t="str">
        <f>IFERROR(VLOOKUP(F1072, 'api-register-id'!B:F, 4, FALSE), "Not found path.")</f>
        <v>mx-api-bc-rec-transaction-engine-corp</v>
      </c>
      <c r="C1072" s="29" t="s">
        <v>112</v>
      </c>
      <c r="D1072" s="203" t="s">
        <v>1417</v>
      </c>
      <c r="E1072" s="24" t="str">
        <f>IFERROR(VLOOKUP(F1072, 'api-register-id'!B:F, 5, FALSE), "Not found path.")</f>
        <v>APIMX000161</v>
      </c>
      <c r="F1072" s="204" t="s">
        <v>2022</v>
      </c>
      <c r="G1072" s="26" t="s">
        <v>6408</v>
      </c>
      <c r="H1072" s="205" t="s">
        <v>6409</v>
      </c>
      <c r="I1072" s="29" t="str">
        <f>IFERROR(VLOOKUP(F1072, 'api-register-id'!B:I, 8, FALSE), "Not found path.")</f>
        <v/>
      </c>
      <c r="J1072" s="40" t="s">
        <v>5280</v>
      </c>
      <c r="K1072" s="211" t="s">
        <v>48</v>
      </c>
      <c r="L1072" s="200" t="s">
        <v>49</v>
      </c>
      <c r="M1072" s="212" t="s">
        <v>6354</v>
      </c>
      <c r="N1072" s="3" t="str">
        <f t="shared" si="1"/>
        <v>POST /experience/accountManagement/transactionEngine/v1/corporate/transfer/file/validate</v>
      </c>
      <c r="O1072" s="40" t="s">
        <v>6355</v>
      </c>
      <c r="P1072" s="40"/>
      <c r="Q1072" s="61" t="s">
        <v>98</v>
      </c>
      <c r="R1072" s="31" t="s">
        <v>56</v>
      </c>
      <c r="S1072" s="38" t="str">
        <f t="shared" si="2"/>
        <v>https://github.com/SF-Bancoppel/mx-api-bc-rec-transaction-engine-corp</v>
      </c>
      <c r="T1072" s="40"/>
      <c r="U1072" s="22"/>
      <c r="V1072" s="40"/>
      <c r="W1072" s="40"/>
      <c r="X1072" s="40"/>
      <c r="Y1072" s="40"/>
      <c r="Z1072" s="22"/>
      <c r="AA1072" s="22"/>
      <c r="AB1072" s="22"/>
    </row>
    <row r="1073" ht="18.75" customHeight="1">
      <c r="A1073" s="18" t="str">
        <f t="array" ref="A1073">IFERROR(
  INDEX(
    'api-register-id'!A:A,
    MATCH(F1073, 'api-register-id'!B:B, 0)
  ),
  "Not found Organization"
)</f>
        <v>Empresa Net</v>
      </c>
      <c r="B1073" s="22" t="str">
        <f>IFERROR(VLOOKUP(F1073, 'api-register-id'!B:F, 4, FALSE), "Not found path.")</f>
        <v>mx-api-bc-rec-transaction-engine-corp</v>
      </c>
      <c r="C1073" s="29" t="s">
        <v>112</v>
      </c>
      <c r="D1073" s="203" t="s">
        <v>1417</v>
      </c>
      <c r="E1073" s="24" t="str">
        <f>IFERROR(VLOOKUP(F1073, 'api-register-id'!B:F, 5, FALSE), "Not found path.")</f>
        <v>APIMX000161</v>
      </c>
      <c r="F1073" s="204" t="s">
        <v>2022</v>
      </c>
      <c r="G1073" s="26" t="s">
        <v>6410</v>
      </c>
      <c r="H1073" s="205" t="s">
        <v>6411</v>
      </c>
      <c r="I1073" s="29" t="str">
        <f>IFERROR(VLOOKUP(F1073, 'api-register-id'!B:I, 8, FALSE), "Not found path.")</f>
        <v/>
      </c>
      <c r="J1073" s="40" t="s">
        <v>5280</v>
      </c>
      <c r="K1073" s="211" t="s">
        <v>48</v>
      </c>
      <c r="L1073" s="200" t="s">
        <v>49</v>
      </c>
      <c r="M1073" s="212" t="s">
        <v>6358</v>
      </c>
      <c r="N1073" s="3" t="str">
        <f t="shared" si="1"/>
        <v>POST /experience/accountManagement/transactionEngine/v1/corporate/authorizations/transfer/file/getFile</v>
      </c>
      <c r="O1073" s="40" t="s">
        <v>6359</v>
      </c>
      <c r="P1073" s="40"/>
      <c r="Q1073" s="61" t="s">
        <v>98</v>
      </c>
      <c r="R1073" s="31" t="s">
        <v>56</v>
      </c>
      <c r="S1073" s="38" t="str">
        <f t="shared" si="2"/>
        <v>https://github.com/SF-Bancoppel/mx-api-bc-rec-transaction-engine-corp</v>
      </c>
      <c r="T1073" s="40"/>
      <c r="U1073" s="22"/>
      <c r="V1073" s="40"/>
      <c r="W1073" s="40"/>
      <c r="X1073" s="40"/>
      <c r="Y1073" s="40"/>
      <c r="Z1073" s="22"/>
      <c r="AA1073" s="22"/>
      <c r="AB1073" s="22"/>
    </row>
    <row r="1074" ht="18.75" customHeight="1">
      <c r="A1074" s="18" t="str">
        <f t="array" ref="A1074">IFERROR(
  INDEX(
    'api-register-id'!A:A,
    MATCH(F1074, 'api-register-id'!B:B, 0)
  ),
  "Not found Organization"
)</f>
        <v>Empresa Net</v>
      </c>
      <c r="B1074" s="22" t="str">
        <f>IFERROR(VLOOKUP(F1074, 'api-register-id'!B:F, 4, FALSE), "Not found path.")</f>
        <v>mx-api-bc-rec-transaction-engine-corp</v>
      </c>
      <c r="C1074" s="29" t="s">
        <v>112</v>
      </c>
      <c r="D1074" s="203" t="s">
        <v>1417</v>
      </c>
      <c r="E1074" s="24" t="str">
        <f>IFERROR(VLOOKUP(F1074, 'api-register-id'!B:F, 5, FALSE), "Not found path.")</f>
        <v>APIMX000161</v>
      </c>
      <c r="F1074" s="204" t="s">
        <v>2022</v>
      </c>
      <c r="G1074" s="26" t="s">
        <v>6412</v>
      </c>
      <c r="H1074" s="205" t="s">
        <v>6413</v>
      </c>
      <c r="I1074" s="29" t="str">
        <f>IFERROR(VLOOKUP(F1074, 'api-register-id'!B:I, 8, FALSE), "Not found path.")</f>
        <v/>
      </c>
      <c r="J1074" s="40" t="s">
        <v>5280</v>
      </c>
      <c r="K1074" s="211" t="s">
        <v>48</v>
      </c>
      <c r="L1074" s="200" t="s">
        <v>49</v>
      </c>
      <c r="M1074" s="212" t="s">
        <v>6362</v>
      </c>
      <c r="N1074" s="3" t="str">
        <f t="shared" si="1"/>
        <v>POST /experience/accountManagement/transactionEngine/v1/corporate/file/pending</v>
      </c>
      <c r="O1074" s="40" t="s">
        <v>6363</v>
      </c>
      <c r="P1074" s="40"/>
      <c r="Q1074" s="61" t="s">
        <v>98</v>
      </c>
      <c r="R1074" s="31" t="s">
        <v>56</v>
      </c>
      <c r="S1074" s="38" t="str">
        <f t="shared" si="2"/>
        <v>https://github.com/SF-Bancoppel/mx-api-bc-rec-transaction-engine-corp</v>
      </c>
      <c r="T1074" s="40"/>
      <c r="U1074" s="22"/>
      <c r="V1074" s="40"/>
      <c r="W1074" s="40"/>
      <c r="X1074" s="40"/>
      <c r="Y1074" s="40"/>
      <c r="Z1074" s="22"/>
      <c r="AA1074" s="22"/>
      <c r="AB1074" s="22"/>
    </row>
    <row r="1075" ht="18.75" customHeight="1">
      <c r="A1075" s="18" t="str">
        <f t="array" ref="A1075">IFERROR(
  INDEX(
    'api-register-id'!A:A,
    MATCH(F1075, 'api-register-id'!B:B, 0)
  ),
  "Not found Organization"
)</f>
        <v>Empresa Net</v>
      </c>
      <c r="B1075" s="22" t="str">
        <f>IFERROR(VLOOKUP(F1075, 'api-register-id'!B:F, 4, FALSE), "Not found path.")</f>
        <v>mx-api-bc-rec-transaction-engine-corp</v>
      </c>
      <c r="C1075" s="29" t="s">
        <v>112</v>
      </c>
      <c r="D1075" s="203" t="s">
        <v>1417</v>
      </c>
      <c r="E1075" s="24" t="str">
        <f>IFERROR(VLOOKUP(F1075, 'api-register-id'!B:F, 5, FALSE), "Not found path.")</f>
        <v>APIMX000161</v>
      </c>
      <c r="F1075" s="204" t="s">
        <v>2022</v>
      </c>
      <c r="G1075" s="26" t="s">
        <v>6414</v>
      </c>
      <c r="H1075" s="205" t="s">
        <v>6415</v>
      </c>
      <c r="I1075" s="29" t="str">
        <f>IFERROR(VLOOKUP(F1075, 'api-register-id'!B:I, 8, FALSE), "Not found path.")</f>
        <v/>
      </c>
      <c r="J1075" s="40" t="s">
        <v>5280</v>
      </c>
      <c r="K1075" s="211" t="s">
        <v>48</v>
      </c>
      <c r="L1075" s="200" t="s">
        <v>49</v>
      </c>
      <c r="M1075" s="212" t="s">
        <v>6366</v>
      </c>
      <c r="N1075" s="3" t="str">
        <f t="shared" si="1"/>
        <v>POST /experience/accountManagement/transactionEngine/v1/corporate/file/process</v>
      </c>
      <c r="O1075" s="40" t="s">
        <v>6367</v>
      </c>
      <c r="P1075" s="40"/>
      <c r="Q1075" s="61" t="s">
        <v>98</v>
      </c>
      <c r="R1075" s="31" t="s">
        <v>56</v>
      </c>
      <c r="S1075" s="38" t="str">
        <f t="shared" si="2"/>
        <v>https://github.com/SF-Bancoppel/mx-api-bc-rec-transaction-engine-corp</v>
      </c>
      <c r="T1075" s="40"/>
      <c r="U1075" s="22"/>
      <c r="V1075" s="40"/>
      <c r="W1075" s="40"/>
      <c r="X1075" s="40"/>
      <c r="Y1075" s="40"/>
      <c r="Z1075" s="22"/>
      <c r="AA1075" s="22"/>
      <c r="AB1075" s="22"/>
    </row>
    <row r="1076" ht="18.75" customHeight="1">
      <c r="A1076" s="18" t="str">
        <f t="array" ref="A1076">IFERROR(
  INDEX(
    'api-register-id'!A:A,
    MATCH(F1076, 'api-register-id'!B:B, 0)
  ),
  "Not found Organization"
)</f>
        <v>Empresa Net</v>
      </c>
      <c r="B1076" s="22" t="str">
        <f>IFERROR(VLOOKUP(F1076, 'api-register-id'!B:F, 4, FALSE), "Not found path.")</f>
        <v>mx-api-bc-rec-transaction-engine-corp</v>
      </c>
      <c r="C1076" s="29" t="s">
        <v>112</v>
      </c>
      <c r="D1076" s="203" t="s">
        <v>1417</v>
      </c>
      <c r="E1076" s="24" t="str">
        <f>IFERROR(VLOOKUP(F1076, 'api-register-id'!B:F, 5, FALSE), "Not found path.")</f>
        <v>APIMX000161</v>
      </c>
      <c r="F1076" s="204" t="s">
        <v>2022</v>
      </c>
      <c r="G1076" s="26" t="s">
        <v>6416</v>
      </c>
      <c r="H1076" s="205" t="s">
        <v>6417</v>
      </c>
      <c r="I1076" s="29" t="str">
        <f>IFERROR(VLOOKUP(F1076, 'api-register-id'!B:I, 8, FALSE), "Not found path.")</f>
        <v/>
      </c>
      <c r="J1076" s="40" t="s">
        <v>5280</v>
      </c>
      <c r="K1076" s="211" t="s">
        <v>48</v>
      </c>
      <c r="L1076" s="200" t="s">
        <v>49</v>
      </c>
      <c r="M1076" s="212" t="s">
        <v>6370</v>
      </c>
      <c r="N1076" s="3" t="str">
        <f t="shared" si="1"/>
        <v>POST /experience/accountManagement/transactionEngine/v1/corporate/file/progress</v>
      </c>
      <c r="O1076" s="40" t="s">
        <v>6371</v>
      </c>
      <c r="P1076" s="40"/>
      <c r="Q1076" s="61" t="s">
        <v>98</v>
      </c>
      <c r="R1076" s="31" t="s">
        <v>56</v>
      </c>
      <c r="S1076" s="38" t="str">
        <f t="shared" si="2"/>
        <v>https://github.com/SF-Bancoppel/mx-api-bc-rec-transaction-engine-corp</v>
      </c>
      <c r="T1076" s="40"/>
      <c r="U1076" s="22"/>
      <c r="V1076" s="40"/>
      <c r="W1076" s="40"/>
      <c r="X1076" s="40"/>
      <c r="Y1076" s="40"/>
      <c r="Z1076" s="22"/>
      <c r="AA1076" s="22"/>
      <c r="AB1076" s="22"/>
    </row>
    <row r="1077" ht="18.75" customHeight="1">
      <c r="A1077" s="18" t="str">
        <f t="array" ref="A1077">IFERROR(
  INDEX(
    'api-register-id'!A:A,
    MATCH(F1077, 'api-register-id'!B:B, 0)
  ),
  "Not found Organization"
)</f>
        <v>Empresa Net</v>
      </c>
      <c r="B1077" s="22" t="str">
        <f>IFERROR(VLOOKUP(F1077, 'api-register-id'!B:F, 4, FALSE), "Not found path.")</f>
        <v>mx-api-bc-dom-party-ref-dat-dir-corp</v>
      </c>
      <c r="C1077" s="213" t="s">
        <v>41</v>
      </c>
      <c r="D1077" s="213" t="s">
        <v>119</v>
      </c>
      <c r="E1077" s="24" t="str">
        <f>IFERROR(VLOOKUP(F1077, 'api-register-id'!B:F, 5, FALSE), "Not found path.")</f>
        <v>APIMX000174</v>
      </c>
      <c r="F1077" s="61" t="s">
        <v>2636</v>
      </c>
      <c r="G1077" s="26" t="s">
        <v>6418</v>
      </c>
      <c r="H1077" s="208" t="s">
        <v>6419</v>
      </c>
      <c r="I1077" s="29" t="str">
        <f>IFERROR(VLOOKUP(F1077, 'api-register-id'!B:I, 8, FALSE), "Not found path.")</f>
        <v>1.5.6</v>
      </c>
      <c r="J1077" s="205" t="s">
        <v>1504</v>
      </c>
      <c r="K1077" s="214" t="s">
        <v>48</v>
      </c>
      <c r="L1077" s="200" t="s">
        <v>49</v>
      </c>
      <c r="M1077" s="61" t="s">
        <v>6420</v>
      </c>
      <c r="N1077" s="3" t="str">
        <f t="shared" si="1"/>
        <v>POST /customerManagement/partyReferenceDataDirectory/v1/corporate/users/get</v>
      </c>
      <c r="O1077" s="32"/>
      <c r="P1077" s="32"/>
      <c r="Q1077" s="61" t="s">
        <v>98</v>
      </c>
      <c r="R1077" s="31" t="s">
        <v>56</v>
      </c>
      <c r="S1077" s="38" t="str">
        <f t="shared" si="2"/>
        <v>https://github.com/SF-Bancoppel/mx-api-bc-dom-party-ref-dat-dir-corp</v>
      </c>
      <c r="T1077" s="40"/>
      <c r="U1077" s="22"/>
      <c r="V1077" s="40"/>
      <c r="W1077" s="40"/>
      <c r="X1077" s="40"/>
      <c r="Y1077" s="40"/>
      <c r="Z1077" s="22"/>
      <c r="AA1077" s="22"/>
      <c r="AB1077" s="22"/>
    </row>
    <row r="1078" ht="18.75" customHeight="1">
      <c r="A1078" s="18" t="str">
        <f t="array" ref="A1078">IFERROR(
  INDEX(
    'api-register-id'!A:A,
    MATCH(F1078, 'api-register-id'!B:B, 0)
  ),
  "Not found Organization"
)</f>
        <v>Empresa Net</v>
      </c>
      <c r="B1078" s="22" t="str">
        <f>IFERROR(VLOOKUP(F1078, 'api-register-id'!B:F, 4, FALSE), "Not found path.")</f>
        <v>mx-api-bc-dom-party-ref-dat-dir-corp</v>
      </c>
      <c r="C1078" s="213" t="s">
        <v>41</v>
      </c>
      <c r="D1078" s="213" t="s">
        <v>119</v>
      </c>
      <c r="E1078" s="24" t="str">
        <f>IFERROR(VLOOKUP(F1078, 'api-register-id'!B:F, 5, FALSE), "Not found path.")</f>
        <v>APIMX000174</v>
      </c>
      <c r="F1078" s="61" t="s">
        <v>2636</v>
      </c>
      <c r="G1078" s="26" t="s">
        <v>6421</v>
      </c>
      <c r="H1078" s="208" t="s">
        <v>6422</v>
      </c>
      <c r="I1078" s="29" t="str">
        <f>IFERROR(VLOOKUP(F1078, 'api-register-id'!B:I, 8, FALSE), "Not found path.")</f>
        <v>1.5.6</v>
      </c>
      <c r="J1078" s="205" t="s">
        <v>1504</v>
      </c>
      <c r="K1078" s="214" t="s">
        <v>48</v>
      </c>
      <c r="L1078" s="200" t="s">
        <v>49</v>
      </c>
      <c r="M1078" s="61" t="s">
        <v>6423</v>
      </c>
      <c r="N1078" s="3" t="str">
        <f t="shared" si="1"/>
        <v>POST /customerManagement/partyReferenceDataDirectory/v1/corporate/company/contact/delete</v>
      </c>
      <c r="O1078" s="32"/>
      <c r="P1078" s="32"/>
      <c r="Q1078" s="61" t="s">
        <v>98</v>
      </c>
      <c r="R1078" s="31" t="s">
        <v>56</v>
      </c>
      <c r="S1078" s="38" t="str">
        <f t="shared" si="2"/>
        <v>https://github.com/SF-Bancoppel/mx-api-bc-dom-party-ref-dat-dir-corp</v>
      </c>
      <c r="T1078" s="40"/>
      <c r="U1078" s="22"/>
      <c r="V1078" s="40"/>
      <c r="W1078" s="40"/>
      <c r="X1078" s="40"/>
      <c r="Y1078" s="40"/>
      <c r="Z1078" s="22"/>
      <c r="AA1078" s="22"/>
      <c r="AB1078" s="22"/>
    </row>
    <row r="1079" ht="18.75" customHeight="1">
      <c r="A1079" s="18" t="str">
        <f t="array" ref="A1079">IFERROR(
  INDEX(
    'api-register-id'!A:A,
    MATCH(F1079, 'api-register-id'!B:B, 0)
  ),
  "Not found Organization"
)</f>
        <v>Empresa Net</v>
      </c>
      <c r="B1079" s="22" t="str">
        <f>IFERROR(VLOOKUP(F1079, 'api-register-id'!B:F, 4, FALSE), "Not found path.")</f>
        <v>mx-api-bc-dom-party-ref-dat-dir-corp</v>
      </c>
      <c r="C1079" s="200" t="s">
        <v>41</v>
      </c>
      <c r="D1079" s="200" t="s">
        <v>119</v>
      </c>
      <c r="E1079" s="24" t="str">
        <f>IFERROR(VLOOKUP(F1079, 'api-register-id'!B:F, 5, FALSE), "Not found path.")</f>
        <v>APIMX000174</v>
      </c>
      <c r="F1079" s="61" t="s">
        <v>2636</v>
      </c>
      <c r="G1079" s="26" t="s">
        <v>6424</v>
      </c>
      <c r="H1079" s="205" t="s">
        <v>6425</v>
      </c>
      <c r="I1079" s="29" t="str">
        <f>IFERROR(VLOOKUP(F1079, 'api-register-id'!B:I, 8, FALSE), "Not found path.")</f>
        <v>1.5.6</v>
      </c>
      <c r="J1079" s="212" t="s">
        <v>1504</v>
      </c>
      <c r="K1079" s="214" t="s">
        <v>48</v>
      </c>
      <c r="L1079" s="200" t="s">
        <v>49</v>
      </c>
      <c r="M1079" s="61" t="s">
        <v>6426</v>
      </c>
      <c r="N1079" s="3" t="str">
        <f t="shared" si="1"/>
        <v>POST /customerManagement/partyReferenceDataDirectory/v1/corporate/company/contact/create</v>
      </c>
      <c r="O1079" s="40"/>
      <c r="P1079" s="40"/>
      <c r="Q1079" s="61" t="s">
        <v>98</v>
      </c>
      <c r="R1079" s="31" t="s">
        <v>56</v>
      </c>
      <c r="S1079" s="38" t="str">
        <f t="shared" si="2"/>
        <v>https://github.com/SF-Bancoppel/mx-api-bc-dom-party-ref-dat-dir-corp</v>
      </c>
      <c r="T1079" s="40"/>
      <c r="U1079" s="40"/>
      <c r="V1079" s="40"/>
      <c r="W1079" s="40"/>
      <c r="X1079" s="40"/>
      <c r="Y1079" s="40"/>
      <c r="Z1079" s="40"/>
      <c r="AA1079" s="40"/>
      <c r="AB1079" s="40"/>
    </row>
    <row r="1080" ht="18.75" customHeight="1">
      <c r="A1080" s="18" t="str">
        <f t="array" ref="A1080">IFERROR(
  INDEX(
    'api-register-id'!A:A,
    MATCH(F1080, 'api-register-id'!B:B, 0)
  ),
  "Not found Organization"
)</f>
        <v>Empresa Net</v>
      </c>
      <c r="B1080" s="22" t="str">
        <f>IFERROR(VLOOKUP(F1080, 'api-register-id'!B:F, 4, FALSE), "Not found path.")</f>
        <v>mx-api-bc-dom-party-ref-dat-dir-corp</v>
      </c>
      <c r="C1080" s="200" t="s">
        <v>41</v>
      </c>
      <c r="D1080" s="200" t="s">
        <v>119</v>
      </c>
      <c r="E1080" s="24" t="str">
        <f>IFERROR(VLOOKUP(F1080, 'api-register-id'!B:F, 5, FALSE), "Not found path.")</f>
        <v>APIMX000174</v>
      </c>
      <c r="F1080" s="61" t="s">
        <v>2636</v>
      </c>
      <c r="G1080" s="26" t="s">
        <v>6427</v>
      </c>
      <c r="H1080" s="205" t="s">
        <v>6428</v>
      </c>
      <c r="I1080" s="29" t="str">
        <f>IFERROR(VLOOKUP(F1080, 'api-register-id'!B:I, 8, FALSE), "Not found path.")</f>
        <v>1.5.6</v>
      </c>
      <c r="J1080" s="212" t="s">
        <v>1504</v>
      </c>
      <c r="K1080" s="214" t="s">
        <v>48</v>
      </c>
      <c r="L1080" s="200" t="s">
        <v>49</v>
      </c>
      <c r="M1080" s="61" t="s">
        <v>6429</v>
      </c>
      <c r="N1080" s="3" t="str">
        <f t="shared" si="1"/>
        <v>POST /customerManagement/partyReferenceDataDirectory/v1/corporate/user/account/set</v>
      </c>
      <c r="O1080" s="40"/>
      <c r="P1080" s="40"/>
      <c r="Q1080" s="61" t="s">
        <v>98</v>
      </c>
      <c r="R1080" s="31" t="s">
        <v>56</v>
      </c>
      <c r="S1080" s="38" t="str">
        <f t="shared" si="2"/>
        <v>https://github.com/SF-Bancoppel/mx-api-bc-dom-party-ref-dat-dir-corp</v>
      </c>
      <c r="T1080" s="40"/>
      <c r="U1080" s="40"/>
      <c r="V1080" s="40"/>
      <c r="W1080" s="40"/>
      <c r="X1080" s="40"/>
      <c r="Y1080" s="40"/>
      <c r="Z1080" s="40"/>
      <c r="AA1080" s="40"/>
      <c r="AB1080" s="40"/>
    </row>
    <row r="1081" ht="18.75" customHeight="1">
      <c r="A1081" s="18" t="str">
        <f t="array" ref="A1081">IFERROR(
  INDEX(
    'api-register-id'!A:A,
    MATCH(F1081, 'api-register-id'!B:B, 0)
  ),
  "Not found Organization"
)</f>
        <v>Empresa Net</v>
      </c>
      <c r="B1081" s="22" t="str">
        <f>IFERROR(VLOOKUP(F1081, 'api-register-id'!B:F, 4, FALSE), "Not found path.")</f>
        <v>mx-api-bc-dom-party-ref-dat-dir-corp</v>
      </c>
      <c r="C1081" s="200" t="s">
        <v>41</v>
      </c>
      <c r="D1081" s="200" t="s">
        <v>119</v>
      </c>
      <c r="E1081" s="24" t="str">
        <f>IFERROR(VLOOKUP(F1081, 'api-register-id'!B:F, 5, FALSE), "Not found path.")</f>
        <v>APIMX000174</v>
      </c>
      <c r="F1081" s="61" t="s">
        <v>2636</v>
      </c>
      <c r="G1081" s="26" t="s">
        <v>6430</v>
      </c>
      <c r="H1081" s="205" t="s">
        <v>6431</v>
      </c>
      <c r="I1081" s="29" t="str">
        <f>IFERROR(VLOOKUP(F1081, 'api-register-id'!B:I, 8, FALSE), "Not found path.")</f>
        <v>1.5.6</v>
      </c>
      <c r="J1081" s="212" t="s">
        <v>1504</v>
      </c>
      <c r="K1081" s="214" t="s">
        <v>48</v>
      </c>
      <c r="L1081" s="200" t="s">
        <v>49</v>
      </c>
      <c r="M1081" s="61" t="s">
        <v>6432</v>
      </c>
      <c r="N1081" s="3" t="str">
        <f t="shared" si="1"/>
        <v>POST /customerManagement/partyReferenceDataDirectory/v1/corporate/companyAndContacts/get</v>
      </c>
      <c r="O1081" s="40"/>
      <c r="P1081" s="40"/>
      <c r="Q1081" s="61" t="s">
        <v>98</v>
      </c>
      <c r="R1081" s="31" t="s">
        <v>56</v>
      </c>
      <c r="S1081" s="38" t="str">
        <f t="shared" si="2"/>
        <v>https://github.com/SF-Bancoppel/mx-api-bc-dom-party-ref-dat-dir-corp</v>
      </c>
      <c r="T1081" s="40"/>
      <c r="U1081" s="40"/>
      <c r="V1081" s="40"/>
      <c r="W1081" s="40"/>
      <c r="X1081" s="40"/>
      <c r="Y1081" s="40"/>
      <c r="Z1081" s="40"/>
      <c r="AA1081" s="40"/>
      <c r="AB1081" s="40"/>
    </row>
    <row r="1082" ht="18.75" customHeight="1">
      <c r="A1082" s="18" t="str">
        <f t="array" ref="A1082">IFERROR(
  INDEX(
    'api-register-id'!A:A,
    MATCH(F1082, 'api-register-id'!B:B, 0)
  ),
  "Not found Organization"
)</f>
        <v>Empresa Net</v>
      </c>
      <c r="B1082" s="22" t="str">
        <f>IFERROR(VLOOKUP(F1082, 'api-register-id'!B:F, 4, FALSE), "Not found path.")</f>
        <v>mx-api-bc-dom-party-ref-dat-dir-corp</v>
      </c>
      <c r="C1082" s="200" t="s">
        <v>41</v>
      </c>
      <c r="D1082" s="200" t="s">
        <v>119</v>
      </c>
      <c r="E1082" s="24" t="str">
        <f>IFERROR(VLOOKUP(F1082, 'api-register-id'!B:F, 5, FALSE), "Not found path.")</f>
        <v>APIMX000174</v>
      </c>
      <c r="F1082" s="61" t="s">
        <v>2636</v>
      </c>
      <c r="G1082" s="26" t="s">
        <v>6433</v>
      </c>
      <c r="H1082" s="205" t="s">
        <v>6434</v>
      </c>
      <c r="I1082" s="29" t="str">
        <f>IFERROR(VLOOKUP(F1082, 'api-register-id'!B:I, 8, FALSE), "Not found path.")</f>
        <v>1.5.6</v>
      </c>
      <c r="J1082" s="212" t="s">
        <v>1504</v>
      </c>
      <c r="K1082" s="214" t="s">
        <v>48</v>
      </c>
      <c r="L1082" s="200" t="s">
        <v>49</v>
      </c>
      <c r="M1082" s="61" t="s">
        <v>6435</v>
      </c>
      <c r="N1082" s="3" t="str">
        <f t="shared" si="1"/>
        <v>POST /customerManagement/partyReferenceDataDirectory/v1/corporate/company/contact/update</v>
      </c>
      <c r="O1082" s="40"/>
      <c r="P1082" s="40"/>
      <c r="Q1082" s="61" t="s">
        <v>98</v>
      </c>
      <c r="R1082" s="31" t="s">
        <v>56</v>
      </c>
      <c r="S1082" s="38" t="str">
        <f t="shared" si="2"/>
        <v>https://github.com/SF-Bancoppel/mx-api-bc-dom-party-ref-dat-dir-corp</v>
      </c>
      <c r="T1082" s="40"/>
      <c r="U1082" s="40"/>
      <c r="V1082" s="40"/>
      <c r="W1082" s="40"/>
      <c r="X1082" s="40"/>
      <c r="Y1082" s="40"/>
      <c r="Z1082" s="40"/>
      <c r="AA1082" s="40"/>
      <c r="AB1082" s="40"/>
    </row>
    <row r="1083" ht="18.75" customHeight="1">
      <c r="A1083" s="18" t="str">
        <f t="array" ref="A1083">IFERROR(
  INDEX(
    'api-register-id'!A:A,
    MATCH(F1083, 'api-register-id'!B:B, 0)
  ),
  "Not found Organization"
)</f>
        <v>Empresa Net</v>
      </c>
      <c r="B1083" s="22" t="str">
        <f>IFERROR(VLOOKUP(F1083, 'api-register-id'!B:F, 4, FALSE), "Not found path.")</f>
        <v>mx-api-bc-dom-party-ref-dat-dir-corp</v>
      </c>
      <c r="C1083" s="200" t="s">
        <v>41</v>
      </c>
      <c r="D1083" s="200" t="s">
        <v>119</v>
      </c>
      <c r="E1083" s="24" t="str">
        <f>IFERROR(VLOOKUP(F1083, 'api-register-id'!B:F, 5, FALSE), "Not found path.")</f>
        <v>APIMX000174</v>
      </c>
      <c r="F1083" s="61" t="s">
        <v>2636</v>
      </c>
      <c r="G1083" s="26" t="s">
        <v>6436</v>
      </c>
      <c r="H1083" s="205" t="s">
        <v>6437</v>
      </c>
      <c r="I1083" s="29" t="str">
        <f>IFERROR(VLOOKUP(F1083, 'api-register-id'!B:I, 8, FALSE), "Not found path.")</f>
        <v>1.5.6</v>
      </c>
      <c r="J1083" s="212" t="s">
        <v>1504</v>
      </c>
      <c r="K1083" s="214" t="s">
        <v>48</v>
      </c>
      <c r="L1083" s="200" t="s">
        <v>49</v>
      </c>
      <c r="M1083" s="61" t="s">
        <v>6438</v>
      </c>
      <c r="N1083" s="3" t="str">
        <f t="shared" si="1"/>
        <v>POST /customerManagement/partyReferenceDataDirectory/v1/corporate/user/get</v>
      </c>
      <c r="O1083" s="40"/>
      <c r="P1083" s="40"/>
      <c r="Q1083" s="61" t="s">
        <v>98</v>
      </c>
      <c r="R1083" s="31" t="s">
        <v>56</v>
      </c>
      <c r="S1083" s="38" t="str">
        <f t="shared" si="2"/>
        <v>https://github.com/SF-Bancoppel/mx-api-bc-dom-party-ref-dat-dir-corp</v>
      </c>
      <c r="T1083" s="40"/>
      <c r="U1083" s="40"/>
      <c r="V1083" s="40"/>
      <c r="W1083" s="40"/>
      <c r="X1083" s="40"/>
      <c r="Y1083" s="40"/>
      <c r="Z1083" s="40"/>
      <c r="AA1083" s="40"/>
      <c r="AB1083" s="40"/>
    </row>
    <row r="1084" ht="18.75" customHeight="1">
      <c r="A1084" s="18" t="str">
        <f t="array" ref="A1084">IFERROR(
  INDEX(
    'api-register-id'!A:A,
    MATCH(F1084, 'api-register-id'!B:B, 0)
  ),
  "Not found Organization"
)</f>
        <v>Empresa Net</v>
      </c>
      <c r="B1084" s="22" t="str">
        <f>IFERROR(VLOOKUP(F1084, 'api-register-id'!B:F, 4, FALSE), "Not found path.")</f>
        <v>mx-api-bc-dom-party-ref-dat-dir-corp</v>
      </c>
      <c r="C1084" s="200" t="s">
        <v>41</v>
      </c>
      <c r="D1084" s="200" t="s">
        <v>119</v>
      </c>
      <c r="E1084" s="24" t="str">
        <f>IFERROR(VLOOKUP(F1084, 'api-register-id'!B:F, 5, FALSE), "Not found path.")</f>
        <v>APIMX000174</v>
      </c>
      <c r="F1084" s="61" t="s">
        <v>2636</v>
      </c>
      <c r="G1084" s="26" t="s">
        <v>6439</v>
      </c>
      <c r="H1084" s="205" t="s">
        <v>6440</v>
      </c>
      <c r="I1084" s="29" t="str">
        <f>IFERROR(VLOOKUP(F1084, 'api-register-id'!B:I, 8, FALSE), "Not found path.")</f>
        <v>1.5.6</v>
      </c>
      <c r="J1084" s="212" t="s">
        <v>1504</v>
      </c>
      <c r="K1084" s="214" t="s">
        <v>48</v>
      </c>
      <c r="L1084" s="200" t="s">
        <v>49</v>
      </c>
      <c r="M1084" s="61" t="s">
        <v>6441</v>
      </c>
      <c r="N1084" s="3" t="str">
        <f t="shared" si="1"/>
        <v>POST /customerManagement/partyReferenceDataDirectory/v1/corporate/company/enroll/validateData</v>
      </c>
      <c r="O1084" s="40"/>
      <c r="P1084" s="40"/>
      <c r="Q1084" s="61" t="s">
        <v>98</v>
      </c>
      <c r="R1084" s="31" t="s">
        <v>56</v>
      </c>
      <c r="S1084" s="38" t="str">
        <f t="shared" si="2"/>
        <v>https://github.com/SF-Bancoppel/mx-api-bc-dom-party-ref-dat-dir-corp</v>
      </c>
      <c r="T1084" s="40"/>
      <c r="U1084" s="40"/>
      <c r="V1084" s="40"/>
      <c r="W1084" s="40"/>
      <c r="X1084" s="40"/>
      <c r="Y1084" s="40"/>
      <c r="Z1084" s="40"/>
      <c r="AA1084" s="40"/>
      <c r="AB1084" s="40"/>
    </row>
    <row r="1085" ht="18.75" customHeight="1">
      <c r="A1085" s="18" t="str">
        <f t="array" ref="A1085">IFERROR(
  INDEX(
    'api-register-id'!A:A,
    MATCH(F1085, 'api-register-id'!B:B, 0)
  ),
  "Not found Organization"
)</f>
        <v>Empresa Net</v>
      </c>
      <c r="B1085" s="22" t="str">
        <f>IFERROR(VLOOKUP(F1085, 'api-register-id'!B:F, 4, FALSE), "Not found path.")</f>
        <v>mx-api-bc-dom-party-ref-dat-dir-corp</v>
      </c>
      <c r="C1085" s="200" t="s">
        <v>41</v>
      </c>
      <c r="D1085" s="200" t="s">
        <v>119</v>
      </c>
      <c r="E1085" s="24" t="str">
        <f>IFERROR(VLOOKUP(F1085, 'api-register-id'!B:F, 5, FALSE), "Not found path.")</f>
        <v>APIMX000174</v>
      </c>
      <c r="F1085" s="204" t="s">
        <v>2636</v>
      </c>
      <c r="G1085" s="26" t="s">
        <v>6442</v>
      </c>
      <c r="H1085" s="205" t="s">
        <v>6443</v>
      </c>
      <c r="I1085" s="29" t="str">
        <f>IFERROR(VLOOKUP(F1085, 'api-register-id'!B:I, 8, FALSE), "Not found path.")</f>
        <v>1.5.6</v>
      </c>
      <c r="J1085" s="204" t="s">
        <v>1504</v>
      </c>
      <c r="K1085" s="214" t="s">
        <v>48</v>
      </c>
      <c r="L1085" s="200" t="s">
        <v>49</v>
      </c>
      <c r="M1085" s="212" t="s">
        <v>6444</v>
      </c>
      <c r="N1085" s="3" t="str">
        <f t="shared" si="1"/>
        <v>POST /customerManagement/partyReferenceDataDirectory/v1/corporate/user/create</v>
      </c>
      <c r="O1085" s="40"/>
      <c r="P1085" s="40"/>
      <c r="Q1085" s="61" t="s">
        <v>98</v>
      </c>
      <c r="R1085" s="31" t="s">
        <v>56</v>
      </c>
      <c r="S1085" s="38" t="str">
        <f t="shared" si="2"/>
        <v>https://github.com/SF-Bancoppel/mx-api-bc-dom-party-ref-dat-dir-corp</v>
      </c>
      <c r="T1085" s="40"/>
      <c r="U1085" s="40"/>
      <c r="V1085" s="40"/>
      <c r="W1085" s="40"/>
      <c r="X1085" s="40"/>
      <c r="Y1085" s="40"/>
      <c r="Z1085" s="40"/>
      <c r="AA1085" s="40"/>
      <c r="AB1085" s="40"/>
    </row>
    <row r="1086" ht="18.75" customHeight="1">
      <c r="A1086" s="18" t="str">
        <f t="array" ref="A1086">IFERROR(
  INDEX(
    'api-register-id'!A:A,
    MATCH(F1086, 'api-register-id'!B:B, 0)
  ),
  "Not found Organization"
)</f>
        <v>Empresa Net</v>
      </c>
      <c r="B1086" s="22" t="str">
        <f>IFERROR(VLOOKUP(F1086, 'api-register-id'!B:F, 4, FALSE), "Not found path.")</f>
        <v>mx-api-bc-dom-party-ref-dat-dir-corp</v>
      </c>
      <c r="C1086" s="200" t="s">
        <v>41</v>
      </c>
      <c r="D1086" s="200" t="s">
        <v>119</v>
      </c>
      <c r="E1086" s="24" t="str">
        <f>IFERROR(VLOOKUP(F1086, 'api-register-id'!B:F, 5, FALSE), "Not found path.")</f>
        <v>APIMX000174</v>
      </c>
      <c r="F1086" s="204" t="s">
        <v>2636</v>
      </c>
      <c r="G1086" s="26" t="s">
        <v>6445</v>
      </c>
      <c r="H1086" s="205" t="s">
        <v>6446</v>
      </c>
      <c r="I1086" s="29" t="str">
        <f>IFERROR(VLOOKUP(F1086, 'api-register-id'!B:I, 8, FALSE), "Not found path.")</f>
        <v>1.5.6</v>
      </c>
      <c r="J1086" s="204" t="s">
        <v>1504</v>
      </c>
      <c r="K1086" s="214" t="s">
        <v>48</v>
      </c>
      <c r="L1086" s="200" t="s">
        <v>49</v>
      </c>
      <c r="M1086" s="212" t="s">
        <v>6447</v>
      </c>
      <c r="N1086" s="3" t="str">
        <f t="shared" si="1"/>
        <v>POST /customerManagement/partyReferenceDataDirectory/v1/corporate/user/update</v>
      </c>
      <c r="O1086" s="40"/>
      <c r="P1086" s="40"/>
      <c r="Q1086" s="61" t="s">
        <v>98</v>
      </c>
      <c r="R1086" s="31" t="s">
        <v>56</v>
      </c>
      <c r="S1086" s="38" t="str">
        <f t="shared" si="2"/>
        <v>https://github.com/SF-Bancoppel/mx-api-bc-dom-party-ref-dat-dir-corp</v>
      </c>
      <c r="T1086" s="40"/>
      <c r="U1086" s="40"/>
      <c r="V1086" s="40"/>
      <c r="W1086" s="40"/>
      <c r="X1086" s="40"/>
      <c r="Y1086" s="40"/>
      <c r="Z1086" s="40"/>
      <c r="AA1086" s="40"/>
      <c r="AB1086" s="40"/>
    </row>
    <row r="1087" ht="18.75" customHeight="1">
      <c r="A1087" s="18" t="str">
        <f t="array" ref="A1087">IFERROR(
  INDEX(
    'api-register-id'!A:A,
    MATCH(F1087, 'api-register-id'!B:B, 0)
  ),
  "Not found Organization"
)</f>
        <v>Empresa Net</v>
      </c>
      <c r="B1087" s="22" t="str">
        <f>IFERROR(VLOOKUP(F1087, 'api-register-id'!B:F, 4, FALSE), "Not found path.")</f>
        <v>mx-api-bc-dom-party-ref-dat-dir-corp</v>
      </c>
      <c r="C1087" s="200" t="s">
        <v>41</v>
      </c>
      <c r="D1087" s="200" t="s">
        <v>119</v>
      </c>
      <c r="E1087" s="24" t="str">
        <f>IFERROR(VLOOKUP(F1087, 'api-register-id'!B:F, 5, FALSE), "Not found path.")</f>
        <v>APIMX000174</v>
      </c>
      <c r="F1087" s="204" t="s">
        <v>2636</v>
      </c>
      <c r="G1087" s="26" t="s">
        <v>6448</v>
      </c>
      <c r="H1087" s="205" t="s">
        <v>6449</v>
      </c>
      <c r="I1087" s="29" t="str">
        <f>IFERROR(VLOOKUP(F1087, 'api-register-id'!B:I, 8, FALSE), "Not found path.")</f>
        <v>1.5.6</v>
      </c>
      <c r="J1087" s="204" t="s">
        <v>1504</v>
      </c>
      <c r="K1087" s="214" t="s">
        <v>48</v>
      </c>
      <c r="L1087" s="200" t="s">
        <v>49</v>
      </c>
      <c r="M1087" s="212" t="s">
        <v>6450</v>
      </c>
      <c r="N1087" s="3" t="str">
        <f t="shared" si="1"/>
        <v>POST /customerManagement/partyReferenceDataDirectory/v1/corporate/company/enroll/validateAccount</v>
      </c>
      <c r="O1087" s="40"/>
      <c r="P1087" s="40"/>
      <c r="Q1087" s="61" t="s">
        <v>98</v>
      </c>
      <c r="R1087" s="31" t="s">
        <v>56</v>
      </c>
      <c r="S1087" s="38" t="str">
        <f t="shared" si="2"/>
        <v>https://github.com/SF-Bancoppel/mx-api-bc-dom-party-ref-dat-dir-corp</v>
      </c>
      <c r="T1087" s="40"/>
      <c r="U1087" s="40"/>
      <c r="V1087" s="40"/>
      <c r="W1087" s="40"/>
      <c r="X1087" s="40"/>
      <c r="Y1087" s="40"/>
      <c r="Z1087" s="40"/>
      <c r="AA1087" s="40"/>
      <c r="AB1087" s="40"/>
    </row>
    <row r="1088" ht="18.75" customHeight="1">
      <c r="A1088" s="18" t="s">
        <v>1827</v>
      </c>
      <c r="B1088" s="22" t="s">
        <v>2638</v>
      </c>
      <c r="C1088" s="213" t="s">
        <v>41</v>
      </c>
      <c r="D1088" s="213" t="s">
        <v>119</v>
      </c>
      <c r="E1088" s="24" t="str">
        <f>IFERROR(VLOOKUP(F1088, 'api-register-id'!B:F, 5, FALSE), "Not found path.")</f>
        <v>APIMX000174</v>
      </c>
      <c r="F1088" s="215" t="s">
        <v>6451</v>
      </c>
      <c r="G1088" s="26" t="s">
        <v>6452</v>
      </c>
      <c r="H1088" s="199" t="s">
        <v>6453</v>
      </c>
      <c r="I1088" s="29"/>
      <c r="J1088" s="216" t="s">
        <v>1504</v>
      </c>
      <c r="K1088" s="31" t="s">
        <v>48</v>
      </c>
      <c r="L1088" s="213" t="s">
        <v>49</v>
      </c>
      <c r="M1088" s="216" t="s">
        <v>6454</v>
      </c>
      <c r="N1088" s="217" t="str">
        <f t="shared" ref="N1088:N1089" si="3">CONCATENATE(L1088, " ", J1088, M1088)</f>
        <v>POST /customerManagement/partyReferenceDataDirectory/v1/corporate/partyContactData/validate</v>
      </c>
      <c r="O1088" s="40"/>
      <c r="P1088" s="40"/>
      <c r="Q1088" s="36" t="s">
        <v>6455</v>
      </c>
      <c r="R1088" s="31" t="s">
        <v>56</v>
      </c>
      <c r="S1088" s="218" t="str">
        <f t="shared" si="2"/>
        <v>https://github.com/SF-Bancoppel/mx-api-bc-dom-party-ref-dat-dir-corp</v>
      </c>
      <c r="T1088" s="40"/>
      <c r="U1088" s="40"/>
      <c r="V1088" s="40"/>
      <c r="W1088" s="40"/>
      <c r="X1088" s="40"/>
      <c r="Y1088" s="40"/>
      <c r="Z1088" s="40"/>
      <c r="AA1088" s="40"/>
      <c r="AB1088" s="40"/>
    </row>
    <row r="1089" ht="18.75" customHeight="1">
      <c r="A1089" s="18" t="s">
        <v>1827</v>
      </c>
      <c r="B1089" s="22" t="s">
        <v>2638</v>
      </c>
      <c r="C1089" s="213" t="s">
        <v>41</v>
      </c>
      <c r="D1089" s="213" t="s">
        <v>119</v>
      </c>
      <c r="E1089" s="24" t="str">
        <f>IFERROR(VLOOKUP(F1089, 'api-register-id'!B:F, 5, FALSE), "Not found path.")</f>
        <v>APIMX000174</v>
      </c>
      <c r="F1089" s="219" t="s">
        <v>2636</v>
      </c>
      <c r="G1089" s="26" t="s">
        <v>6456</v>
      </c>
      <c r="H1089" s="199" t="s">
        <v>6457</v>
      </c>
      <c r="I1089" s="29"/>
      <c r="J1089" s="192" t="s">
        <v>1504</v>
      </c>
      <c r="K1089" s="31" t="s">
        <v>48</v>
      </c>
      <c r="L1089" s="213" t="s">
        <v>49</v>
      </c>
      <c r="M1089" s="192" t="s">
        <v>6458</v>
      </c>
      <c r="N1089" s="217" t="str">
        <f t="shared" si="3"/>
        <v>POST /customerManagement/partyReferenceDataDirectory/v1/corporate/userRsa/create</v>
      </c>
      <c r="O1089" s="40"/>
      <c r="P1089" s="40"/>
      <c r="Q1089" s="36" t="s">
        <v>6459</v>
      </c>
      <c r="R1089" s="31" t="s">
        <v>56</v>
      </c>
      <c r="S1089" s="218" t="str">
        <f t="shared" si="2"/>
        <v>https://github.com/SF-Bancoppel/mx-api-bc-dom-party-ref-dat-dir-corp</v>
      </c>
      <c r="T1089" s="40"/>
      <c r="U1089" s="22"/>
      <c r="V1089" s="40"/>
      <c r="W1089" s="40"/>
      <c r="X1089" s="40"/>
      <c r="Y1089" s="40"/>
      <c r="Z1089" s="22"/>
      <c r="AA1089" s="22"/>
      <c r="AB1089" s="22"/>
    </row>
    <row r="1090" ht="18.75" customHeight="1">
      <c r="A1090" s="18" t="str">
        <f t="array" ref="A1090">IFERROR(
  INDEX(
    'api-register-id'!A:A,
    MATCH(F1090, 'api-register-id'!B:B, 0)
  ),
  "Not found Organization"
)</f>
        <v>Empresa Net</v>
      </c>
      <c r="B1090" s="22" t="str">
        <f>IFERROR(VLOOKUP(F1090, 'api-register-id'!B:F, 4, FALSE), "Not found path.")</f>
        <v>mx-api-bc-dom-iss-dev-admin-corp</v>
      </c>
      <c r="C1090" s="200" t="s">
        <v>41</v>
      </c>
      <c r="D1090" s="200" t="s">
        <v>119</v>
      </c>
      <c r="E1090" s="24" t="str">
        <f>IFERROR(VLOOKUP(F1090, 'api-register-id'!B:F, 5, FALSE), "Not found path.")</f>
        <v>APIMX000175</v>
      </c>
      <c r="F1090" s="61" t="s">
        <v>2644</v>
      </c>
      <c r="G1090" s="26" t="s">
        <v>6460</v>
      </c>
      <c r="H1090" s="205" t="s">
        <v>6461</v>
      </c>
      <c r="I1090" s="29" t="str">
        <f>IFERROR(VLOOKUP(F1090, 'api-register-id'!B:I, 8, FALSE), "Not found path.")</f>
        <v>1.7.0</v>
      </c>
      <c r="J1090" s="212" t="s">
        <v>1102</v>
      </c>
      <c r="K1090" s="214" t="s">
        <v>48</v>
      </c>
      <c r="L1090" s="200" t="s">
        <v>49</v>
      </c>
      <c r="M1090" s="61" t="s">
        <v>6462</v>
      </c>
      <c r="N1090" s="3" t="str">
        <f t="shared" ref="N1090:N1104" si="4">CONCATENATE(L1090," ",J1090,M1090)</f>
        <v>POST /operationalServices/issuedDeviceAdministration/v1/corporate/hardToken/set</v>
      </c>
      <c r="O1090" s="40"/>
      <c r="P1090" s="40"/>
      <c r="Q1090" s="61" t="s">
        <v>98</v>
      </c>
      <c r="R1090" s="31" t="s">
        <v>56</v>
      </c>
      <c r="S1090" s="38" t="str">
        <f t="shared" si="2"/>
        <v>https://github.com/SF-Bancoppel/mx-api-bc-dom-iss-dev-admin-corp</v>
      </c>
      <c r="T1090" s="40"/>
      <c r="U1090" s="40"/>
      <c r="V1090" s="40"/>
      <c r="W1090" s="40"/>
      <c r="X1090" s="40"/>
      <c r="Y1090" s="40"/>
      <c r="Z1090" s="40"/>
      <c r="AA1090" s="40"/>
      <c r="AB1090" s="40"/>
    </row>
    <row r="1091" ht="18.75" customHeight="1">
      <c r="A1091" s="18" t="str">
        <f t="array" ref="A1091">IFERROR(
  INDEX(
    'api-register-id'!A:A,
    MATCH(F1091, 'api-register-id'!B:B, 0)
  ),
  "Not found Organization"
)</f>
        <v>Empresa Net</v>
      </c>
      <c r="B1091" s="22" t="str">
        <f>IFERROR(VLOOKUP(F1091, 'api-register-id'!B:F, 4, FALSE), "Not found path.")</f>
        <v>mx-api-bc-dom-iss-dev-admin-corp</v>
      </c>
      <c r="C1091" s="200" t="s">
        <v>41</v>
      </c>
      <c r="D1091" s="200" t="s">
        <v>119</v>
      </c>
      <c r="E1091" s="24" t="str">
        <f>IFERROR(VLOOKUP(F1091, 'api-register-id'!B:F, 5, FALSE), "Not found path.")</f>
        <v>APIMX000175</v>
      </c>
      <c r="F1091" s="61" t="s">
        <v>2644</v>
      </c>
      <c r="G1091" s="26" t="s">
        <v>6463</v>
      </c>
      <c r="H1091" s="205" t="s">
        <v>6464</v>
      </c>
      <c r="I1091" s="29" t="str">
        <f>IFERROR(VLOOKUP(F1091, 'api-register-id'!B:I, 8, FALSE), "Not found path.")</f>
        <v>1.7.0</v>
      </c>
      <c r="J1091" s="212" t="s">
        <v>1102</v>
      </c>
      <c r="K1091" s="214" t="s">
        <v>48</v>
      </c>
      <c r="L1091" s="200" t="s">
        <v>49</v>
      </c>
      <c r="M1091" s="61" t="s">
        <v>6465</v>
      </c>
      <c r="N1091" s="3" t="str">
        <f t="shared" si="4"/>
        <v>POST /operationalServices/issuedDeviceAdministration/v1/corporate/hardToken/sync</v>
      </c>
      <c r="O1091" s="40"/>
      <c r="P1091" s="40"/>
      <c r="Q1091" s="61" t="s">
        <v>98</v>
      </c>
      <c r="R1091" s="31" t="s">
        <v>56</v>
      </c>
      <c r="S1091" s="38" t="str">
        <f t="shared" si="2"/>
        <v>https://github.com/SF-Bancoppel/mx-api-bc-dom-iss-dev-admin-corp</v>
      </c>
      <c r="T1091" s="40"/>
      <c r="U1091" s="40"/>
      <c r="V1091" s="40"/>
      <c r="W1091" s="40"/>
      <c r="X1091" s="40"/>
      <c r="Y1091" s="40"/>
      <c r="Z1091" s="40"/>
      <c r="AA1091" s="40"/>
      <c r="AB1091" s="40"/>
    </row>
    <row r="1092" ht="18.75" customHeight="1">
      <c r="A1092" s="18" t="str">
        <f t="array" ref="A1092">IFERROR(
  INDEX(
    'api-register-id'!A:A,
    MATCH(F1092, 'api-register-id'!B:B, 0)
  ),
  "Not found Organization"
)</f>
        <v>Empresa Net</v>
      </c>
      <c r="B1092" s="22" t="str">
        <f>IFERROR(VLOOKUP(F1092, 'api-register-id'!B:F, 4, FALSE), "Not found path.")</f>
        <v>mx-api-bc-dom-iss-dev-admin-corp</v>
      </c>
      <c r="C1092" s="200" t="s">
        <v>41</v>
      </c>
      <c r="D1092" s="200" t="s">
        <v>119</v>
      </c>
      <c r="E1092" s="24" t="str">
        <f>IFERROR(VLOOKUP(F1092, 'api-register-id'!B:F, 5, FALSE), "Not found path.")</f>
        <v>APIMX000175</v>
      </c>
      <c r="F1092" s="61" t="s">
        <v>2644</v>
      </c>
      <c r="G1092" s="26" t="s">
        <v>6466</v>
      </c>
      <c r="H1092" s="205" t="s">
        <v>6467</v>
      </c>
      <c r="I1092" s="29" t="str">
        <f>IFERROR(VLOOKUP(F1092, 'api-register-id'!B:I, 8, FALSE), "Not found path.")</f>
        <v>1.7.0</v>
      </c>
      <c r="J1092" s="212" t="s">
        <v>1102</v>
      </c>
      <c r="K1092" s="214" t="s">
        <v>48</v>
      </c>
      <c r="L1092" s="200" t="s">
        <v>49</v>
      </c>
      <c r="M1092" s="61" t="s">
        <v>6468</v>
      </c>
      <c r="N1092" s="3" t="str">
        <f t="shared" si="4"/>
        <v>POST /operationalServices/issuedDeviceAdministration/v1/corporate/hardToken/otp/validate</v>
      </c>
      <c r="O1092" s="40"/>
      <c r="P1092" s="40"/>
      <c r="Q1092" s="61" t="s">
        <v>98</v>
      </c>
      <c r="R1092" s="31" t="s">
        <v>56</v>
      </c>
      <c r="S1092" s="38" t="str">
        <f t="shared" si="2"/>
        <v>https://github.com/SF-Bancoppel/mx-api-bc-dom-iss-dev-admin-corp</v>
      </c>
      <c r="T1092" s="40"/>
      <c r="U1092" s="40"/>
      <c r="V1092" s="40"/>
      <c r="W1092" s="40"/>
      <c r="X1092" s="40"/>
      <c r="Y1092" s="40"/>
      <c r="Z1092" s="40"/>
      <c r="AA1092" s="40"/>
      <c r="AB1092" s="40"/>
    </row>
    <row r="1093" ht="18.75" customHeight="1">
      <c r="A1093" s="18" t="str">
        <f t="array" ref="A1093">IFERROR(
  INDEX(
    'api-register-id'!A:A,
    MATCH(F1093, 'api-register-id'!B:B, 0)
  ),
  "Not found Organization"
)</f>
        <v>Empresa Net</v>
      </c>
      <c r="B1093" s="22" t="str">
        <f>IFERROR(VLOOKUP(F1093, 'api-register-id'!B:F, 4, FALSE), "Not found path.")</f>
        <v>mx-api-bc-dom-iss-dev-admin-corp</v>
      </c>
      <c r="C1093" s="200" t="s">
        <v>41</v>
      </c>
      <c r="D1093" s="200" t="s">
        <v>119</v>
      </c>
      <c r="E1093" s="24" t="str">
        <f>IFERROR(VLOOKUP(F1093, 'api-register-id'!B:F, 5, FALSE), "Not found path.")</f>
        <v>APIMX000175</v>
      </c>
      <c r="F1093" s="204" t="s">
        <v>2644</v>
      </c>
      <c r="G1093" s="26" t="s">
        <v>6469</v>
      </c>
      <c r="H1093" s="205" t="s">
        <v>6470</v>
      </c>
      <c r="I1093" s="29" t="str">
        <f>IFERROR(VLOOKUP(F1093, 'api-register-id'!B:I, 8, FALSE), "Not found path.")</f>
        <v>1.7.0</v>
      </c>
      <c r="J1093" s="204" t="s">
        <v>1102</v>
      </c>
      <c r="K1093" s="214" t="s">
        <v>48</v>
      </c>
      <c r="L1093" s="200" t="s">
        <v>49</v>
      </c>
      <c r="M1093" s="212" t="s">
        <v>6471</v>
      </c>
      <c r="N1093" s="3" t="str">
        <f t="shared" si="4"/>
        <v>POST /operationalServices/issuedDeviceAdministration/v1/corporate/user/codesSent/add</v>
      </c>
      <c r="O1093" s="40"/>
      <c r="P1093" s="40"/>
      <c r="Q1093" s="61" t="s">
        <v>98</v>
      </c>
      <c r="R1093" s="31" t="s">
        <v>56</v>
      </c>
      <c r="S1093" s="38" t="str">
        <f t="shared" si="2"/>
        <v>https://github.com/SF-Bancoppel/mx-api-bc-dom-iss-dev-admin-corp</v>
      </c>
      <c r="T1093" s="40"/>
      <c r="U1093" s="40"/>
      <c r="V1093" s="40"/>
      <c r="W1093" s="40"/>
      <c r="X1093" s="40"/>
      <c r="Y1093" s="40"/>
      <c r="Z1093" s="40"/>
      <c r="AA1093" s="40"/>
      <c r="AB1093" s="40"/>
    </row>
    <row r="1094" ht="18.75" customHeight="1">
      <c r="A1094" s="18" t="str">
        <f t="array" ref="A1094">IFERROR(
  INDEX(
    'api-register-id'!A:A,
    MATCH(F1094, 'api-register-id'!B:B, 0)
  ),
  "Not found Organization"
)</f>
        <v>Empresa Net</v>
      </c>
      <c r="B1094" s="22" t="str">
        <f>IFERROR(VLOOKUP(F1094, 'api-register-id'!B:F, 4, FALSE), "Not found path.")</f>
        <v>mx-api-bc-dom-iss-dev-admin-corp</v>
      </c>
      <c r="C1094" s="200" t="s">
        <v>41</v>
      </c>
      <c r="D1094" s="200" t="s">
        <v>119</v>
      </c>
      <c r="E1094" s="24" t="str">
        <f>IFERROR(VLOOKUP(F1094, 'api-register-id'!B:F, 5, FALSE), "Not found path.")</f>
        <v>APIMX000175</v>
      </c>
      <c r="F1094" s="204" t="s">
        <v>2644</v>
      </c>
      <c r="G1094" s="26" t="s">
        <v>6472</v>
      </c>
      <c r="H1094" s="205" t="s">
        <v>6473</v>
      </c>
      <c r="I1094" s="29" t="str">
        <f>IFERROR(VLOOKUP(F1094, 'api-register-id'!B:I, 8, FALSE), "Not found path.")</f>
        <v>1.7.0</v>
      </c>
      <c r="J1094" s="204" t="s">
        <v>1102</v>
      </c>
      <c r="K1094" s="214" t="s">
        <v>48</v>
      </c>
      <c r="L1094" s="200" t="s">
        <v>49</v>
      </c>
      <c r="M1094" s="212" t="s">
        <v>6474</v>
      </c>
      <c r="N1094" s="3" t="str">
        <f t="shared" si="4"/>
        <v>POST /operationalServices/issuedDeviceAdministration/v1/corporate/user/codesSent/reset</v>
      </c>
      <c r="O1094" s="40"/>
      <c r="P1094" s="40"/>
      <c r="Q1094" s="61" t="s">
        <v>98</v>
      </c>
      <c r="R1094" s="31" t="s">
        <v>56</v>
      </c>
      <c r="S1094" s="38" t="str">
        <f t="shared" si="2"/>
        <v>https://github.com/SF-Bancoppel/mx-api-bc-dom-iss-dev-admin-corp</v>
      </c>
      <c r="T1094" s="40"/>
      <c r="U1094" s="40"/>
      <c r="V1094" s="40"/>
      <c r="W1094" s="40"/>
      <c r="X1094" s="40"/>
      <c r="Y1094" s="40"/>
      <c r="Z1094" s="40"/>
      <c r="AA1094" s="40"/>
      <c r="AB1094" s="40"/>
    </row>
    <row r="1095" ht="18.75" customHeight="1">
      <c r="A1095" s="18" t="str">
        <f t="array" ref="A1095">IFERROR(
  INDEX(
    'api-register-id'!A:A,
    MATCH(F1095, 'api-register-id'!B:B, 0)
  ),
  "Not found Organization"
)</f>
        <v>Empresa Net</v>
      </c>
      <c r="B1095" s="22" t="str">
        <f>IFERROR(VLOOKUP(F1095, 'api-register-id'!B:F, 4, FALSE), "Not found path.")</f>
        <v>mx-api-bc-dom-iss-dev-admin-corp</v>
      </c>
      <c r="C1095" s="200" t="s">
        <v>41</v>
      </c>
      <c r="D1095" s="200" t="s">
        <v>119</v>
      </c>
      <c r="E1095" s="24" t="str">
        <f>IFERROR(VLOOKUP(F1095, 'api-register-id'!B:F, 5, FALSE), "Not found path.")</f>
        <v>APIMX000175</v>
      </c>
      <c r="F1095" s="204" t="s">
        <v>2644</v>
      </c>
      <c r="G1095" s="26" t="s">
        <v>6475</v>
      </c>
      <c r="H1095" s="205" t="s">
        <v>6476</v>
      </c>
      <c r="I1095" s="29" t="str">
        <f>IFERROR(VLOOKUP(F1095, 'api-register-id'!B:I, 8, FALSE), "Not found path.")</f>
        <v>1.7.0</v>
      </c>
      <c r="J1095" s="204" t="s">
        <v>1102</v>
      </c>
      <c r="K1095" s="214" t="s">
        <v>48</v>
      </c>
      <c r="L1095" s="200" t="s">
        <v>49</v>
      </c>
      <c r="M1095" s="212" t="s">
        <v>6477</v>
      </c>
      <c r="N1095" s="3" t="str">
        <f t="shared" si="4"/>
        <v>POST /operationalServices/issuedDeviceAdministration/v1/corporate/user/codesSent/validate</v>
      </c>
      <c r="O1095" s="40"/>
      <c r="P1095" s="40"/>
      <c r="Q1095" s="61" t="s">
        <v>98</v>
      </c>
      <c r="R1095" s="31" t="s">
        <v>56</v>
      </c>
      <c r="S1095" s="38" t="str">
        <f t="shared" si="2"/>
        <v>https://github.com/SF-Bancoppel/mx-api-bc-dom-iss-dev-admin-corp</v>
      </c>
      <c r="T1095" s="40"/>
      <c r="U1095" s="40"/>
      <c r="V1095" s="40"/>
      <c r="W1095" s="40"/>
      <c r="X1095" s="40"/>
      <c r="Y1095" s="40"/>
      <c r="Z1095" s="40"/>
      <c r="AA1095" s="40"/>
      <c r="AB1095" s="40"/>
    </row>
    <row r="1096" ht="18.75" customHeight="1">
      <c r="A1096" s="18" t="str">
        <f t="array" ref="A1096">IFERROR(
  INDEX(
    'api-register-id'!A:A,
    MATCH(F1096, 'api-register-id'!B:B, 0)
  ),
  "Not found Organization"
)</f>
        <v>Empresa Net</v>
      </c>
      <c r="B1096" s="22" t="str">
        <f>IFERROR(VLOOKUP(F1096, 'api-register-id'!B:F, 4, FALSE), "Not found path.")</f>
        <v>mx-api-bc-dom-iss-dev-admin-corp</v>
      </c>
      <c r="C1096" s="200" t="s">
        <v>41</v>
      </c>
      <c r="D1096" s="200" t="s">
        <v>119</v>
      </c>
      <c r="E1096" s="24" t="str">
        <f>IFERROR(VLOOKUP(F1096, 'api-register-id'!B:F, 5, FALSE), "Not found path.")</f>
        <v>APIMX000175</v>
      </c>
      <c r="F1096" s="204" t="s">
        <v>2644</v>
      </c>
      <c r="G1096" s="26" t="s">
        <v>6478</v>
      </c>
      <c r="H1096" s="205" t="s">
        <v>6479</v>
      </c>
      <c r="I1096" s="29" t="str">
        <f>IFERROR(VLOOKUP(F1096, 'api-register-id'!B:I, 8, FALSE), "Not found path.")</f>
        <v>1.7.0</v>
      </c>
      <c r="J1096" s="204" t="s">
        <v>1102</v>
      </c>
      <c r="K1096" s="214" t="s">
        <v>48</v>
      </c>
      <c r="L1096" s="200" t="s">
        <v>49</v>
      </c>
      <c r="M1096" s="212" t="s">
        <v>6480</v>
      </c>
      <c r="N1096" s="3" t="str">
        <f t="shared" si="4"/>
        <v>POST /operationalServices/issuedDeviceAdministration/v1/corporate/hardToken/getRenewalCommission</v>
      </c>
      <c r="O1096" s="40"/>
      <c r="P1096" s="40"/>
      <c r="Q1096" s="61" t="s">
        <v>98</v>
      </c>
      <c r="R1096" s="31" t="s">
        <v>56</v>
      </c>
      <c r="S1096" s="38" t="str">
        <f t="shared" si="2"/>
        <v>https://github.com/SF-Bancoppel/mx-api-bc-dom-iss-dev-admin-corp</v>
      </c>
      <c r="T1096" s="40"/>
      <c r="U1096" s="40"/>
      <c r="V1096" s="40"/>
      <c r="W1096" s="40"/>
      <c r="X1096" s="40"/>
      <c r="Y1096" s="40"/>
      <c r="Z1096" s="40"/>
      <c r="AA1096" s="40"/>
      <c r="AB1096" s="40"/>
    </row>
    <row r="1097" ht="18.75" customHeight="1">
      <c r="A1097" s="18" t="str">
        <f t="array" ref="A1097">IFERROR(
  INDEX(
    'api-register-id'!A:A,
    MATCH(F1097, 'api-register-id'!B:B, 0)
  ),
  "Not found Organization"
)</f>
        <v>Empresa Net</v>
      </c>
      <c r="B1097" s="22" t="str">
        <f>IFERROR(VLOOKUP(F1097, 'api-register-id'!B:F, 4, FALSE), "Not found path.")</f>
        <v>mx-api-bc-dom-iss-dev-admin-corp</v>
      </c>
      <c r="C1097" s="200" t="s">
        <v>41</v>
      </c>
      <c r="D1097" s="200" t="s">
        <v>119</v>
      </c>
      <c r="E1097" s="24" t="str">
        <f>IFERROR(VLOOKUP(F1097, 'api-register-id'!B:F, 5, FALSE), "Not found path.")</f>
        <v>APIMX000175</v>
      </c>
      <c r="F1097" s="204" t="s">
        <v>2644</v>
      </c>
      <c r="G1097" s="26" t="s">
        <v>6481</v>
      </c>
      <c r="H1097" s="205" t="s">
        <v>6482</v>
      </c>
      <c r="I1097" s="29" t="str">
        <f>IFERROR(VLOOKUP(F1097, 'api-register-id'!B:I, 8, FALSE), "Not found path.")</f>
        <v>1.7.0</v>
      </c>
      <c r="J1097" s="204" t="s">
        <v>1102</v>
      </c>
      <c r="K1097" s="214" t="s">
        <v>48</v>
      </c>
      <c r="L1097" s="200" t="s">
        <v>49</v>
      </c>
      <c r="M1097" s="212" t="s">
        <v>6483</v>
      </c>
      <c r="N1097" s="3" t="str">
        <f t="shared" si="4"/>
        <v>POST /operationalServices/issuedDeviceAdministration/v1/corporate/hardToken/detail</v>
      </c>
      <c r="O1097" s="40"/>
      <c r="P1097" s="40"/>
      <c r="Q1097" s="61" t="s">
        <v>98</v>
      </c>
      <c r="R1097" s="31" t="s">
        <v>56</v>
      </c>
      <c r="S1097" s="38" t="str">
        <f t="shared" si="2"/>
        <v>https://github.com/SF-Bancoppel/mx-api-bc-dom-iss-dev-admin-corp</v>
      </c>
      <c r="T1097" s="40"/>
      <c r="U1097" s="40"/>
      <c r="V1097" s="40"/>
      <c r="W1097" s="40"/>
      <c r="X1097" s="40"/>
      <c r="Y1097" s="40"/>
      <c r="Z1097" s="40"/>
      <c r="AA1097" s="40"/>
      <c r="AB1097" s="40"/>
    </row>
    <row r="1098" ht="18.75" customHeight="1">
      <c r="A1098" s="18" t="str">
        <f t="array" ref="A1098">IFERROR(
  INDEX(
    'api-register-id'!A:A,
    MATCH(F1098, 'api-register-id'!B:B, 0)
  ),
  "Not found Organization"
)</f>
        <v>Empresa Net</v>
      </c>
      <c r="B1098" s="22" t="str">
        <f>IFERROR(VLOOKUP(F1098, 'api-register-id'!B:F, 4, FALSE), "Not found path.")</f>
        <v>mx-api-bc-dom-iss-dev-admin-corp</v>
      </c>
      <c r="C1098" s="200" t="s">
        <v>41</v>
      </c>
      <c r="D1098" s="200" t="s">
        <v>119</v>
      </c>
      <c r="E1098" s="24" t="str">
        <f>IFERROR(VLOOKUP(F1098, 'api-register-id'!B:F, 5, FALSE), "Not found path.")</f>
        <v>APIMX000175</v>
      </c>
      <c r="F1098" s="204" t="s">
        <v>2644</v>
      </c>
      <c r="G1098" s="26" t="s">
        <v>6484</v>
      </c>
      <c r="H1098" s="205" t="s">
        <v>6485</v>
      </c>
      <c r="I1098" s="29" t="str">
        <f>IFERROR(VLOOKUP(F1098, 'api-register-id'!B:I, 8, FALSE), "Not found path.")</f>
        <v>1.7.0</v>
      </c>
      <c r="J1098" s="204" t="s">
        <v>1102</v>
      </c>
      <c r="K1098" s="214" t="s">
        <v>48</v>
      </c>
      <c r="L1098" s="200" t="s">
        <v>49</v>
      </c>
      <c r="M1098" s="212" t="s">
        <v>6486</v>
      </c>
      <c r="N1098" s="3" t="str">
        <f t="shared" si="4"/>
        <v>POST /operationalServices/issuedDeviceAdministration/v1/corporate/hardToken/validateExpiration</v>
      </c>
      <c r="O1098" s="40"/>
      <c r="P1098" s="40"/>
      <c r="Q1098" s="61" t="s">
        <v>98</v>
      </c>
      <c r="R1098" s="31" t="s">
        <v>56</v>
      </c>
      <c r="S1098" s="38" t="str">
        <f t="shared" si="2"/>
        <v>https://github.com/SF-Bancoppel/mx-api-bc-dom-iss-dev-admin-corp</v>
      </c>
      <c r="T1098" s="40"/>
      <c r="U1098" s="40"/>
      <c r="V1098" s="40"/>
      <c r="W1098" s="40"/>
      <c r="X1098" s="40"/>
      <c r="Y1098" s="40"/>
      <c r="Z1098" s="40"/>
      <c r="AA1098" s="40"/>
      <c r="AB1098" s="40"/>
    </row>
    <row r="1099" ht="18.75" customHeight="1">
      <c r="A1099" s="18" t="str">
        <f t="array" ref="A1099">IFERROR(
  INDEX(
    'api-register-id'!A:A,
    MATCH(F1099, 'api-register-id'!B:B, 0)
  ),
  "Not found Organization"
)</f>
        <v>Empresa Net</v>
      </c>
      <c r="B1099" s="22" t="str">
        <f>IFERROR(VLOOKUP(F1099, 'api-register-id'!B:F, 4, FALSE), "Not found path.")</f>
        <v>mx-api-bc-dom-iss-dev-admin-corp</v>
      </c>
      <c r="C1099" s="200" t="s">
        <v>41</v>
      </c>
      <c r="D1099" s="200" t="s">
        <v>119</v>
      </c>
      <c r="E1099" s="24" t="str">
        <f>IFERROR(VLOOKUP(F1099, 'api-register-id'!B:F, 5, FALSE), "Not found path.")</f>
        <v>APIMX000175</v>
      </c>
      <c r="F1099" s="204" t="s">
        <v>2644</v>
      </c>
      <c r="G1099" s="26" t="s">
        <v>6487</v>
      </c>
      <c r="H1099" s="205" t="s">
        <v>6488</v>
      </c>
      <c r="I1099" s="29" t="str">
        <f>IFERROR(VLOOKUP(F1099, 'api-register-id'!B:I, 8, FALSE), "Not found path.")</f>
        <v>1.7.0</v>
      </c>
      <c r="J1099" s="204" t="s">
        <v>1102</v>
      </c>
      <c r="K1099" s="214" t="s">
        <v>48</v>
      </c>
      <c r="L1099" s="200" t="s">
        <v>49</v>
      </c>
      <c r="M1099" s="212" t="s">
        <v>6489</v>
      </c>
      <c r="N1099" s="3" t="str">
        <f t="shared" si="4"/>
        <v>POST /operationalServices/issuedDeviceAdministration/v1/corporate/user/recoveryCode/send</v>
      </c>
      <c r="O1099" s="40"/>
      <c r="P1099" s="40"/>
      <c r="Q1099" s="61" t="s">
        <v>98</v>
      </c>
      <c r="R1099" s="31" t="s">
        <v>56</v>
      </c>
      <c r="S1099" s="38" t="str">
        <f t="shared" si="2"/>
        <v>https://github.com/SF-Bancoppel/mx-api-bc-dom-iss-dev-admin-corp</v>
      </c>
      <c r="T1099" s="40"/>
      <c r="U1099" s="40"/>
      <c r="V1099" s="40"/>
      <c r="W1099" s="40"/>
      <c r="X1099" s="40"/>
      <c r="Y1099" s="40"/>
      <c r="Z1099" s="40"/>
      <c r="AA1099" s="40"/>
      <c r="AB1099" s="40"/>
    </row>
    <row r="1100" ht="18.75" customHeight="1">
      <c r="A1100" s="18" t="str">
        <f t="array" ref="A1100">IFERROR(
  INDEX(
    'api-register-id'!A:A,
    MATCH(F1100, 'api-register-id'!B:B, 0)
  ),
  "Not found Organization"
)</f>
        <v>Empresa Net</v>
      </c>
      <c r="B1100" s="22" t="str">
        <f>IFERROR(VLOOKUP(F1100, 'api-register-id'!B:F, 4, FALSE), "Not found path.")</f>
        <v>mx-api-bc-dom-iss-dev-admin-corp</v>
      </c>
      <c r="C1100" s="200" t="s">
        <v>41</v>
      </c>
      <c r="D1100" s="200" t="s">
        <v>119</v>
      </c>
      <c r="E1100" s="24" t="str">
        <f>IFERROR(VLOOKUP(F1100, 'api-register-id'!B:F, 5, FALSE), "Not found path.")</f>
        <v>APIMX000175</v>
      </c>
      <c r="F1100" s="204" t="s">
        <v>2644</v>
      </c>
      <c r="G1100" s="26" t="s">
        <v>6490</v>
      </c>
      <c r="H1100" s="205" t="s">
        <v>6491</v>
      </c>
      <c r="I1100" s="29" t="str">
        <f>IFERROR(VLOOKUP(F1100, 'api-register-id'!B:I, 8, FALSE), "Not found path.")</f>
        <v>1.7.0</v>
      </c>
      <c r="J1100" s="204" t="s">
        <v>1102</v>
      </c>
      <c r="K1100" s="214" t="s">
        <v>48</v>
      </c>
      <c r="L1100" s="200" t="s">
        <v>49</v>
      </c>
      <c r="M1100" s="212" t="s">
        <v>6492</v>
      </c>
      <c r="N1100" s="3" t="str">
        <f t="shared" si="4"/>
        <v>POST /operationalServices/issuedDeviceAdministration/v1/corporate/user/recoveryCode/validate</v>
      </c>
      <c r="O1100" s="40"/>
      <c r="P1100" s="40"/>
      <c r="Q1100" s="61" t="s">
        <v>98</v>
      </c>
      <c r="R1100" s="31" t="s">
        <v>56</v>
      </c>
      <c r="S1100" s="38" t="str">
        <f t="shared" si="2"/>
        <v>https://github.com/SF-Bancoppel/mx-api-bc-dom-iss-dev-admin-corp</v>
      </c>
      <c r="T1100" s="40"/>
      <c r="U1100" s="22"/>
      <c r="V1100" s="40"/>
      <c r="W1100" s="40"/>
      <c r="X1100" s="40"/>
      <c r="Y1100" s="40"/>
      <c r="Z1100" s="22"/>
      <c r="AA1100" s="22"/>
      <c r="AB1100" s="22"/>
    </row>
    <row r="1101" ht="18.75" customHeight="1">
      <c r="A1101" s="18" t="str">
        <f t="array" ref="A1101">IFERROR(
  INDEX(
    'api-register-id'!A:A,
    MATCH(F1101, 'api-register-id'!B:B, 0)
  ),
  "Not found Organization"
)</f>
        <v>Empresa Net</v>
      </c>
      <c r="B1101" s="22" t="str">
        <f>IFERROR(VLOOKUP(F1101, 'api-register-id'!B:F, 4, FALSE), "Not found path.")</f>
        <v>mx-api-bc-dom-iss-dev-admin-corp</v>
      </c>
      <c r="C1101" s="200" t="s">
        <v>41</v>
      </c>
      <c r="D1101" s="200" t="s">
        <v>119</v>
      </c>
      <c r="E1101" s="24" t="str">
        <f>IFERROR(VLOOKUP(F1101, 'api-register-id'!B:F, 5, FALSE), "Not found path.")</f>
        <v>APIMX000175</v>
      </c>
      <c r="F1101" s="204" t="s">
        <v>2644</v>
      </c>
      <c r="G1101" s="26" t="s">
        <v>6493</v>
      </c>
      <c r="H1101" s="205" t="s">
        <v>6494</v>
      </c>
      <c r="I1101" s="29" t="str">
        <f>IFERROR(VLOOKUP(F1101, 'api-register-id'!B:I, 8, FALSE), "Not found path.")</f>
        <v>1.7.0</v>
      </c>
      <c r="J1101" s="204" t="s">
        <v>1102</v>
      </c>
      <c r="K1101" s="214" t="s">
        <v>48</v>
      </c>
      <c r="L1101" s="200" t="s">
        <v>49</v>
      </c>
      <c r="M1101" s="212" t="s">
        <v>6495</v>
      </c>
      <c r="N1101" s="3" t="str">
        <f t="shared" si="4"/>
        <v>POST /operationalServices/issuedDeviceAdministration/v1/corporate/hardToken/renew</v>
      </c>
      <c r="O1101" s="40"/>
      <c r="P1101" s="40"/>
      <c r="Q1101" s="61" t="s">
        <v>98</v>
      </c>
      <c r="R1101" s="31" t="s">
        <v>56</v>
      </c>
      <c r="S1101" s="38" t="str">
        <f t="shared" si="2"/>
        <v>https://github.com/SF-Bancoppel/mx-api-bc-dom-iss-dev-admin-corp</v>
      </c>
      <c r="T1101" s="40"/>
      <c r="U1101" s="40"/>
      <c r="V1101" s="40"/>
      <c r="W1101" s="40"/>
      <c r="X1101" s="40"/>
      <c r="Y1101" s="40"/>
      <c r="Z1101" s="40"/>
      <c r="AA1101" s="40"/>
      <c r="AB1101" s="40"/>
    </row>
    <row r="1102" ht="18.75" customHeight="1">
      <c r="A1102" s="18" t="str">
        <f t="array" ref="A1102">IFERROR(
  INDEX(
    'api-register-id'!A:A,
    MATCH(F1102, 'api-register-id'!B:B, 0)
  ),
  "Not found Organization"
)</f>
        <v>Empresa Net</v>
      </c>
      <c r="B1102" s="22" t="str">
        <f>IFERROR(VLOOKUP(F1102, 'api-register-id'!B:F, 4, FALSE), "Not found path.")</f>
        <v>mx-api-bc-dom-iss-dev-admin-corp</v>
      </c>
      <c r="C1102" s="200" t="s">
        <v>41</v>
      </c>
      <c r="D1102" s="200" t="s">
        <v>119</v>
      </c>
      <c r="E1102" s="24" t="str">
        <f>IFERROR(VLOOKUP(F1102, 'api-register-id'!B:F, 5, FALSE), "Not found path.")</f>
        <v>APIMX000175</v>
      </c>
      <c r="F1102" s="204" t="s">
        <v>2644</v>
      </c>
      <c r="G1102" s="26" t="s">
        <v>6496</v>
      </c>
      <c r="H1102" s="205" t="s">
        <v>6497</v>
      </c>
      <c r="I1102" s="29" t="str">
        <f>IFERROR(VLOOKUP(F1102, 'api-register-id'!B:I, 8, FALSE), "Not found path.")</f>
        <v>1.7.0</v>
      </c>
      <c r="J1102" s="204" t="s">
        <v>1102</v>
      </c>
      <c r="K1102" s="214" t="s">
        <v>48</v>
      </c>
      <c r="L1102" s="200" t="s">
        <v>49</v>
      </c>
      <c r="M1102" s="212" t="s">
        <v>6498</v>
      </c>
      <c r="N1102" s="3" t="str">
        <f t="shared" si="4"/>
        <v>POST /operationalServices/issuedDeviceAdministration/v1/corporate/hardToken/editStatus</v>
      </c>
      <c r="O1102" s="40" t="s">
        <v>6499</v>
      </c>
      <c r="P1102" s="40"/>
      <c r="Q1102" s="61" t="s">
        <v>98</v>
      </c>
      <c r="R1102" s="31" t="s">
        <v>56</v>
      </c>
      <c r="S1102" s="38" t="str">
        <f t="shared" si="2"/>
        <v>https://github.com/SF-Bancoppel/mx-api-bc-dom-iss-dev-admin-corp</v>
      </c>
      <c r="T1102" s="40"/>
      <c r="U1102" s="40"/>
      <c r="V1102" s="40"/>
      <c r="W1102" s="40"/>
      <c r="X1102" s="40"/>
      <c r="Y1102" s="40"/>
      <c r="Z1102" s="40"/>
      <c r="AA1102" s="40"/>
      <c r="AB1102" s="40"/>
    </row>
    <row r="1103" ht="18.75" customHeight="1">
      <c r="A1103" s="220" t="str">
        <f t="array" ref="A1103">IFERROR(
  INDEX(
    'api-register-id'!A:A,
    MATCH(F1103, 'api-register-id'!B:B, 0)
  ),
  "Not found Organization"
)</f>
        <v>Empresa Net</v>
      </c>
      <c r="B1103" s="221" t="str">
        <f>IFERROR(VLOOKUP(F1103, 'api-register-id'!B:F, 4, FALSE), "Not found path.")</f>
        <v>mx-api-bc-dom-iss-dev-admin-corp</v>
      </c>
      <c r="C1103" s="222" t="s">
        <v>41</v>
      </c>
      <c r="D1103" s="222" t="s">
        <v>119</v>
      </c>
      <c r="E1103" s="223" t="str">
        <f>IFERROR(VLOOKUP(F1103, 'api-register-id'!B:F, 5, FALSE), "Not found path.")</f>
        <v>APIMX000175</v>
      </c>
      <c r="F1103" s="224" t="s">
        <v>2644</v>
      </c>
      <c r="G1103" s="225" t="s">
        <v>6500</v>
      </c>
      <c r="H1103" s="226" t="s">
        <v>6501</v>
      </c>
      <c r="I1103" s="29" t="str">
        <f>IFERROR(VLOOKUP(F1103, 'api-register-id'!B:I, 8, FALSE), "Not found path.")</f>
        <v>1.7.0</v>
      </c>
      <c r="J1103" s="224" t="s">
        <v>1102</v>
      </c>
      <c r="K1103" s="227" t="s">
        <v>48</v>
      </c>
      <c r="L1103" s="222" t="s">
        <v>49</v>
      </c>
      <c r="M1103" s="228" t="s">
        <v>6502</v>
      </c>
      <c r="N1103" s="3" t="str">
        <f t="shared" si="4"/>
        <v>POST /operationalServices/issuedDeviceAdministration/v1/corporate/hardToken/unassign</v>
      </c>
      <c r="O1103" s="40" t="s">
        <v>6503</v>
      </c>
      <c r="P1103" s="229"/>
      <c r="Q1103" s="230" t="s">
        <v>98</v>
      </c>
      <c r="R1103" s="223" t="s">
        <v>56</v>
      </c>
      <c r="S1103" s="231" t="str">
        <f t="shared" si="2"/>
        <v>https://github.com/SF-Bancoppel/mx-api-bc-dom-iss-dev-admin-corp</v>
      </c>
      <c r="T1103" s="229"/>
      <c r="U1103" s="40"/>
      <c r="V1103" s="40"/>
      <c r="W1103" s="40"/>
      <c r="X1103" s="40"/>
      <c r="Y1103" s="40"/>
      <c r="Z1103" s="40"/>
      <c r="AA1103" s="40"/>
      <c r="AB1103" s="40"/>
    </row>
    <row r="1104" ht="18.75" customHeight="1">
      <c r="A1104" s="18" t="s">
        <v>1827</v>
      </c>
      <c r="B1104" s="22" t="str">
        <f>IFERROR(VLOOKUP(F1104, 'api-register-id'!B:F, 4, FALSE), "Not found path.")</f>
        <v>mx-api-bc-dom-iss-dev-admin-corp</v>
      </c>
      <c r="C1104" s="213" t="s">
        <v>41</v>
      </c>
      <c r="D1104" s="213" t="s">
        <v>119</v>
      </c>
      <c r="E1104" s="24" t="str">
        <f>IFERROR(VLOOKUP(F1104, 'api-register-id'!B:F, 5, FALSE), "Not found path.")</f>
        <v>APIMX000175</v>
      </c>
      <c r="F1104" s="25" t="s">
        <v>2644</v>
      </c>
      <c r="G1104" s="26" t="s">
        <v>6504</v>
      </c>
      <c r="H1104" s="199" t="s">
        <v>6505</v>
      </c>
      <c r="I1104" s="29" t="str">
        <f>IFERROR(VLOOKUP(F1104, 'api-register-id'!B:I, 8, FALSE), "Not found path.")</f>
        <v>1.7.0</v>
      </c>
      <c r="J1104" s="40" t="s">
        <v>1102</v>
      </c>
      <c r="K1104" s="31" t="s">
        <v>48</v>
      </c>
      <c r="L1104" s="213" t="s">
        <v>49</v>
      </c>
      <c r="M1104" s="212" t="s">
        <v>6506</v>
      </c>
      <c r="N1104" s="3" t="str">
        <f t="shared" si="4"/>
        <v>POST /operationalServices/issuedDeviceAdministration/v1/corporate/syncHardToken/execute</v>
      </c>
      <c r="O1104" s="196" t="s">
        <v>6507</v>
      </c>
      <c r="P1104" s="40"/>
      <c r="Q1104" s="61" t="s">
        <v>6508</v>
      </c>
      <c r="R1104" s="31" t="s">
        <v>56</v>
      </c>
      <c r="S1104" s="38" t="str">
        <f t="shared" si="2"/>
        <v>https://github.com/SF-Bancoppel/mx-api-bc-dom-iss-dev-admin-corp</v>
      </c>
      <c r="T1104" s="40"/>
      <c r="U1104" s="22"/>
      <c r="V1104" s="40"/>
      <c r="W1104" s="40"/>
      <c r="X1104" s="40"/>
      <c r="Y1104" s="40"/>
      <c r="Z1104" s="22"/>
      <c r="AA1104" s="22"/>
      <c r="AB1104" s="22"/>
    </row>
    <row r="1105" ht="18.75" customHeight="1">
      <c r="A1105" s="18" t="s">
        <v>1827</v>
      </c>
      <c r="B1105" s="22" t="s">
        <v>2645</v>
      </c>
      <c r="C1105" s="213" t="s">
        <v>41</v>
      </c>
      <c r="D1105" s="213" t="s">
        <v>119</v>
      </c>
      <c r="E1105" s="24" t="str">
        <f>IFERROR(VLOOKUP(F1105, 'api-register-id'!B:F, 5, FALSE), "Not found path.")</f>
        <v>APIMX000175</v>
      </c>
      <c r="F1105" s="219" t="s">
        <v>2644</v>
      </c>
      <c r="G1105" s="26" t="s">
        <v>6509</v>
      </c>
      <c r="H1105" s="199" t="s">
        <v>6510</v>
      </c>
      <c r="I1105" s="29"/>
      <c r="J1105" s="192" t="s">
        <v>1102</v>
      </c>
      <c r="K1105" s="31" t="s">
        <v>48</v>
      </c>
      <c r="L1105" s="213" t="s">
        <v>49</v>
      </c>
      <c r="M1105" s="232" t="s">
        <v>6511</v>
      </c>
      <c r="N1105" s="217" t="str">
        <f t="shared" ref="N1105:N1114" si="5">CONCATENATE(L1105, " ", J1105, M1105)</f>
        <v>POST /operationalServices/issuedDeviceAdministration/v1/corporate/disableHardToken/update</v>
      </c>
      <c r="O1105" s="40"/>
      <c r="P1105" s="40"/>
      <c r="Q1105" s="36" t="s">
        <v>6512</v>
      </c>
      <c r="R1105" s="31" t="s">
        <v>56</v>
      </c>
      <c r="S1105" s="218" t="str">
        <f t="shared" si="2"/>
        <v>https://github.com/SF-Bancoppel/mx-api-bc-dom-iss-dev-admin-corp</v>
      </c>
      <c r="T1105" s="40"/>
      <c r="U1105" s="22"/>
      <c r="V1105" s="40"/>
      <c r="W1105" s="40"/>
      <c r="X1105" s="40"/>
      <c r="Y1105" s="40"/>
      <c r="Z1105" s="22"/>
      <c r="AA1105" s="22"/>
      <c r="AB1105" s="22"/>
    </row>
    <row r="1106" ht="18.75" customHeight="1">
      <c r="A1106" s="18" t="s">
        <v>1827</v>
      </c>
      <c r="B1106" s="22" t="s">
        <v>2645</v>
      </c>
      <c r="C1106" s="213" t="s">
        <v>41</v>
      </c>
      <c r="D1106" s="213" t="s">
        <v>119</v>
      </c>
      <c r="E1106" s="24" t="str">
        <f>IFERROR(VLOOKUP(F1106, 'api-register-id'!B:F, 5, FALSE), "Not found path.")</f>
        <v>APIMX000175</v>
      </c>
      <c r="F1106" s="219" t="s">
        <v>2644</v>
      </c>
      <c r="G1106" s="26" t="s">
        <v>6513</v>
      </c>
      <c r="H1106" s="199" t="s">
        <v>6514</v>
      </c>
      <c r="I1106" s="29"/>
      <c r="J1106" s="192" t="s">
        <v>1102</v>
      </c>
      <c r="K1106" s="31" t="s">
        <v>48</v>
      </c>
      <c r="L1106" s="213" t="s">
        <v>49</v>
      </c>
      <c r="M1106" s="192" t="s">
        <v>6515</v>
      </c>
      <c r="N1106" s="217" t="str">
        <f t="shared" si="5"/>
        <v>POST /operationalServices/issuedDeviceAdministration/v1/corporate/statusHardToken/retrieve</v>
      </c>
      <c r="O1106" s="40"/>
      <c r="P1106" s="40"/>
      <c r="Q1106" s="36" t="s">
        <v>6516</v>
      </c>
      <c r="R1106" s="31" t="s">
        <v>56</v>
      </c>
      <c r="S1106" s="218" t="str">
        <f t="shared" si="2"/>
        <v>https://github.com/SF-Bancoppel/mx-api-bc-dom-iss-dev-admin-corp</v>
      </c>
      <c r="T1106" s="40"/>
      <c r="U1106" s="22"/>
      <c r="V1106" s="40"/>
      <c r="W1106" s="40"/>
      <c r="X1106" s="40"/>
      <c r="Y1106" s="40"/>
      <c r="Z1106" s="22"/>
      <c r="AA1106" s="22"/>
      <c r="AB1106" s="22"/>
    </row>
    <row r="1107" ht="18.75" customHeight="1">
      <c r="A1107" s="18" t="s">
        <v>1827</v>
      </c>
      <c r="B1107" s="22" t="s">
        <v>2645</v>
      </c>
      <c r="C1107" s="213" t="s">
        <v>41</v>
      </c>
      <c r="D1107" s="213" t="s">
        <v>119</v>
      </c>
      <c r="E1107" s="24" t="str">
        <f>IFERROR(VLOOKUP(F1107, 'api-register-id'!B:F, 5, FALSE), "Not found path.")</f>
        <v>APIMX000175</v>
      </c>
      <c r="F1107" s="215" t="s">
        <v>2644</v>
      </c>
      <c r="G1107" s="26" t="s">
        <v>6517</v>
      </c>
      <c r="H1107" s="199" t="s">
        <v>6501</v>
      </c>
      <c r="I1107" s="29"/>
      <c r="J1107" s="216" t="s">
        <v>1102</v>
      </c>
      <c r="K1107" s="31" t="s">
        <v>48</v>
      </c>
      <c r="L1107" s="213" t="s">
        <v>49</v>
      </c>
      <c r="M1107" s="192" t="s">
        <v>6518</v>
      </c>
      <c r="N1107" s="217" t="str">
        <f t="shared" si="5"/>
        <v>POST /operationalServices/issuedDeviceAdministrationv1/corporate/hardToken/unassign</v>
      </c>
      <c r="O1107" s="40"/>
      <c r="P1107" s="40"/>
      <c r="Q1107" s="36" t="s">
        <v>6519</v>
      </c>
      <c r="R1107" s="31" t="s">
        <v>56</v>
      </c>
      <c r="S1107" s="218" t="str">
        <f t="shared" si="2"/>
        <v>https://github.com/SF-Bancoppel/mx-api-bc-dom-iss-dev-admin-corp</v>
      </c>
      <c r="T1107" s="40"/>
      <c r="U1107" s="22"/>
      <c r="V1107" s="40"/>
      <c r="W1107" s="40"/>
      <c r="X1107" s="40"/>
      <c r="Y1107" s="40"/>
      <c r="Z1107" s="22"/>
      <c r="AA1107" s="22"/>
      <c r="AB1107" s="22"/>
    </row>
    <row r="1108" ht="18.75" customHeight="1">
      <c r="A1108" s="18" t="s">
        <v>1827</v>
      </c>
      <c r="B1108" s="22" t="s">
        <v>2645</v>
      </c>
      <c r="C1108" s="213" t="s">
        <v>41</v>
      </c>
      <c r="D1108" s="213" t="s">
        <v>119</v>
      </c>
      <c r="E1108" s="24" t="str">
        <f>IFERROR(VLOOKUP(F1108, 'api-register-id'!B:F, 5, FALSE), "Not found path.")</f>
        <v>APIMX000175</v>
      </c>
      <c r="F1108" s="215" t="s">
        <v>2644</v>
      </c>
      <c r="G1108" s="26" t="s">
        <v>6520</v>
      </c>
      <c r="H1108" s="199" t="s">
        <v>6521</v>
      </c>
      <c r="I1108" s="29"/>
      <c r="J1108" s="216" t="s">
        <v>1102</v>
      </c>
      <c r="K1108" s="31" t="s">
        <v>48</v>
      </c>
      <c r="L1108" s="213" t="s">
        <v>49</v>
      </c>
      <c r="M1108" s="216" t="s">
        <v>6522</v>
      </c>
      <c r="N1108" s="217" t="str">
        <f t="shared" si="5"/>
        <v>POST /operationalServices/issuedDeviceAdministration/v1/corporate/tokenRsa/unassign</v>
      </c>
      <c r="O1108" s="40"/>
      <c r="P1108" s="40"/>
      <c r="Q1108" s="36" t="s">
        <v>6523</v>
      </c>
      <c r="R1108" s="31" t="s">
        <v>56</v>
      </c>
      <c r="S1108" s="218" t="str">
        <f t="shared" si="2"/>
        <v>https://github.com/SF-Bancoppel/mx-api-bc-dom-iss-dev-admin-corp</v>
      </c>
      <c r="T1108" s="40"/>
      <c r="U1108" s="22"/>
      <c r="V1108" s="22"/>
      <c r="W1108" s="40"/>
      <c r="X1108" s="40"/>
      <c r="Y1108" s="40"/>
      <c r="Z1108" s="22"/>
      <c r="AA1108" s="22"/>
      <c r="AB1108" s="22"/>
    </row>
    <row r="1109" ht="18.75" customHeight="1">
      <c r="A1109" s="18" t="s">
        <v>1827</v>
      </c>
      <c r="B1109" s="22" t="s">
        <v>2645</v>
      </c>
      <c r="C1109" s="213" t="s">
        <v>41</v>
      </c>
      <c r="D1109" s="213" t="s">
        <v>119</v>
      </c>
      <c r="E1109" s="24" t="str">
        <f>IFERROR(VLOOKUP(F1109, 'api-register-id'!B:F, 5, FALSE), "Not found path.")</f>
        <v>APIMX000175</v>
      </c>
      <c r="F1109" s="219" t="s">
        <v>2644</v>
      </c>
      <c r="G1109" s="26" t="s">
        <v>6524</v>
      </c>
      <c r="H1109" s="199" t="s">
        <v>6525</v>
      </c>
      <c r="I1109" s="29"/>
      <c r="J1109" s="192" t="s">
        <v>1102</v>
      </c>
      <c r="K1109" s="31" t="s">
        <v>48</v>
      </c>
      <c r="L1109" s="213" t="s">
        <v>49</v>
      </c>
      <c r="M1109" s="232" t="s">
        <v>6526</v>
      </c>
      <c r="N1109" s="217" t="str">
        <f t="shared" si="5"/>
        <v>POST /operationalServices/issuedDeviceAdministrationv1/corporate/validateHardTokenCustomer/retrieve</v>
      </c>
      <c r="O1109" s="40"/>
      <c r="P1109" s="40"/>
      <c r="Q1109" s="36" t="s">
        <v>6527</v>
      </c>
      <c r="R1109" s="31" t="s">
        <v>56</v>
      </c>
      <c r="S1109" s="218" t="str">
        <f t="shared" si="2"/>
        <v>https://github.com/SF-Bancoppel/mx-api-bc-dom-iss-dev-admin-corp</v>
      </c>
      <c r="T1109" s="40"/>
      <c r="U1109" s="22"/>
      <c r="V1109" s="40"/>
      <c r="W1109" s="40"/>
      <c r="X1109" s="40"/>
      <c r="Y1109" s="40"/>
      <c r="Z1109" s="22"/>
      <c r="AA1109" s="22"/>
      <c r="AB1109" s="22"/>
    </row>
    <row r="1110" ht="18.75" customHeight="1">
      <c r="A1110" s="18" t="s">
        <v>1827</v>
      </c>
      <c r="B1110" s="22" t="s">
        <v>2645</v>
      </c>
      <c r="C1110" s="213" t="s">
        <v>41</v>
      </c>
      <c r="D1110" s="213" t="s">
        <v>119</v>
      </c>
      <c r="E1110" s="24" t="str">
        <f>IFERROR(VLOOKUP(F1110, 'api-register-id'!B:F, 5, FALSE), "Not found path.")</f>
        <v>APIMX000175</v>
      </c>
      <c r="F1110" s="219" t="s">
        <v>2644</v>
      </c>
      <c r="G1110" s="26" t="s">
        <v>6528</v>
      </c>
      <c r="H1110" s="199" t="s">
        <v>6529</v>
      </c>
      <c r="I1110" s="29"/>
      <c r="J1110" s="192" t="s">
        <v>1102</v>
      </c>
      <c r="K1110" s="31" t="s">
        <v>48</v>
      </c>
      <c r="L1110" s="213" t="s">
        <v>49</v>
      </c>
      <c r="M1110" s="192" t="s">
        <v>6530</v>
      </c>
      <c r="N1110" s="217" t="str">
        <f t="shared" si="5"/>
        <v>POST /operationalServices/issuedDeviceAdministration/v1/corporate/hardTokenAssociate/retrieve</v>
      </c>
      <c r="O1110" s="40"/>
      <c r="P1110" s="40"/>
      <c r="Q1110" s="36" t="s">
        <v>6531</v>
      </c>
      <c r="R1110" s="31" t="s">
        <v>56</v>
      </c>
      <c r="S1110" s="218" t="str">
        <f t="shared" si="2"/>
        <v>https://github.com/SF-Bancoppel/mx-api-bc-dom-iss-dev-admin-corp</v>
      </c>
      <c r="T1110" s="40"/>
      <c r="U1110" s="40"/>
      <c r="V1110" s="40"/>
      <c r="W1110" s="40"/>
      <c r="X1110" s="40"/>
      <c r="Y1110" s="40"/>
      <c r="Z1110" s="40"/>
      <c r="AA1110" s="40"/>
      <c r="AB1110" s="40"/>
    </row>
    <row r="1111" ht="18.75" customHeight="1">
      <c r="A1111" s="18" t="s">
        <v>1827</v>
      </c>
      <c r="B1111" s="22" t="s">
        <v>2645</v>
      </c>
      <c r="C1111" s="213" t="s">
        <v>41</v>
      </c>
      <c r="D1111" s="213" t="s">
        <v>119</v>
      </c>
      <c r="E1111" s="24" t="str">
        <f>IFERROR(VLOOKUP(F1111, 'api-register-id'!B:F, 5, FALSE), "Not found path.")</f>
        <v>APIMX000175</v>
      </c>
      <c r="F1111" s="215" t="s">
        <v>2644</v>
      </c>
      <c r="G1111" s="26" t="s">
        <v>6532</v>
      </c>
      <c r="H1111" s="199" t="s">
        <v>6533</v>
      </c>
      <c r="I1111" s="29"/>
      <c r="J1111" s="216" t="s">
        <v>1102</v>
      </c>
      <c r="K1111" s="31" t="s">
        <v>48</v>
      </c>
      <c r="L1111" s="213" t="s">
        <v>49</v>
      </c>
      <c r="M1111" s="216" t="s">
        <v>6534</v>
      </c>
      <c r="N1111" s="217" t="str">
        <f t="shared" si="5"/>
        <v>POST /operationalServices/issuedDeviceAdministration/v1/corporate/token/register</v>
      </c>
      <c r="O1111" s="40"/>
      <c r="P1111" s="40"/>
      <c r="Q1111" s="36" t="s">
        <v>6535</v>
      </c>
      <c r="R1111" s="31" t="s">
        <v>56</v>
      </c>
      <c r="S1111" s="218" t="str">
        <f t="shared" si="2"/>
        <v>https://github.com/SF-Bancoppel/mx-api-bc-dom-iss-dev-admin-corp</v>
      </c>
      <c r="T1111" s="40"/>
      <c r="U1111" s="22"/>
      <c r="V1111" s="40"/>
      <c r="W1111" s="40"/>
      <c r="X1111" s="40"/>
      <c r="Y1111" s="40"/>
      <c r="Z1111" s="22"/>
      <c r="AA1111" s="22"/>
      <c r="AB1111" s="22"/>
    </row>
    <row r="1112" ht="18.75" customHeight="1">
      <c r="A1112" s="18" t="s">
        <v>1827</v>
      </c>
      <c r="B1112" s="22" t="s">
        <v>2645</v>
      </c>
      <c r="C1112" s="213" t="s">
        <v>41</v>
      </c>
      <c r="D1112" s="213" t="s">
        <v>119</v>
      </c>
      <c r="E1112" s="24" t="str">
        <f>IFERROR(VLOOKUP(F1112, 'api-register-id'!B:F, 5, FALSE), "Not found path.")</f>
        <v>APIMX000175</v>
      </c>
      <c r="F1112" s="219" t="s">
        <v>2644</v>
      </c>
      <c r="G1112" s="26" t="s">
        <v>6536</v>
      </c>
      <c r="H1112" s="199" t="s">
        <v>6537</v>
      </c>
      <c r="I1112" s="29"/>
      <c r="J1112" s="192" t="s">
        <v>1102</v>
      </c>
      <c r="K1112" s="31" t="s">
        <v>48</v>
      </c>
      <c r="L1112" s="213" t="s">
        <v>49</v>
      </c>
      <c r="M1112" s="192" t="s">
        <v>6538</v>
      </c>
      <c r="N1112" s="217" t="str">
        <f t="shared" si="5"/>
        <v>POST /operationalServices/issuedDeviceAdministration/v1/corporate/assignHardToken/grant</v>
      </c>
      <c r="O1112" s="40"/>
      <c r="P1112" s="40"/>
      <c r="Q1112" s="36" t="s">
        <v>6539</v>
      </c>
      <c r="R1112" s="31" t="s">
        <v>56</v>
      </c>
      <c r="S1112" s="218" t="str">
        <f t="shared" si="2"/>
        <v>https://github.com/SF-Bancoppel/mx-api-bc-dom-iss-dev-admin-corp</v>
      </c>
      <c r="T1112" s="40"/>
      <c r="U1112" s="22"/>
      <c r="V1112" s="22"/>
      <c r="W1112" s="40"/>
      <c r="X1112" s="40"/>
      <c r="Y1112" s="40"/>
      <c r="Z1112" s="22"/>
      <c r="AA1112" s="22"/>
      <c r="AB1112" s="22"/>
    </row>
    <row r="1113" ht="18.75" customHeight="1">
      <c r="A1113" s="18" t="s">
        <v>1827</v>
      </c>
      <c r="B1113" s="22" t="s">
        <v>2645</v>
      </c>
      <c r="C1113" s="213" t="s">
        <v>41</v>
      </c>
      <c r="D1113" s="213" t="s">
        <v>119</v>
      </c>
      <c r="E1113" s="24" t="str">
        <f>IFERROR(VLOOKUP(F1113, 'api-register-id'!B:F, 5, FALSE), "Not found path.")</f>
        <v>APIMX000175</v>
      </c>
      <c r="F1113" s="215" t="s">
        <v>2644</v>
      </c>
      <c r="G1113" s="26" t="s">
        <v>6540</v>
      </c>
      <c r="H1113" s="199" t="s">
        <v>6541</v>
      </c>
      <c r="I1113" s="29"/>
      <c r="J1113" s="216" t="s">
        <v>1102</v>
      </c>
      <c r="K1113" s="31" t="s">
        <v>48</v>
      </c>
      <c r="L1113" s="213" t="s">
        <v>49</v>
      </c>
      <c r="M1113" s="192" t="s">
        <v>6542</v>
      </c>
      <c r="N1113" s="217" t="str">
        <f t="shared" si="5"/>
        <v>POST /operationalServices/issuedDeviceAdministration/v1/corporate/hardToken/validateStatusChanged</v>
      </c>
      <c r="O1113" s="40"/>
      <c r="P1113" s="40"/>
      <c r="Q1113" s="36" t="s">
        <v>6543</v>
      </c>
      <c r="R1113" s="31" t="s">
        <v>56</v>
      </c>
      <c r="S1113" s="218" t="str">
        <f t="shared" si="2"/>
        <v>https://github.com/SF-Bancoppel/mx-api-bc-dom-iss-dev-admin-corp</v>
      </c>
      <c r="T1113" s="40"/>
      <c r="U1113" s="22"/>
      <c r="V1113" s="22"/>
      <c r="W1113" s="40"/>
      <c r="X1113" s="40"/>
      <c r="Y1113" s="40"/>
      <c r="Z1113" s="22"/>
      <c r="AA1113" s="22"/>
      <c r="AB1113" s="22"/>
    </row>
    <row r="1114" ht="18.75" customHeight="1">
      <c r="A1114" s="18" t="s">
        <v>1827</v>
      </c>
      <c r="B1114" s="22" t="s">
        <v>2645</v>
      </c>
      <c r="C1114" s="213" t="s">
        <v>41</v>
      </c>
      <c r="D1114" s="213" t="s">
        <v>119</v>
      </c>
      <c r="E1114" s="24" t="str">
        <f>IFERROR(VLOOKUP(F1114, 'api-register-id'!B:F, 5, FALSE), "Not found path.")</f>
        <v>APIMX000175</v>
      </c>
      <c r="F1114" s="215" t="s">
        <v>2644</v>
      </c>
      <c r="G1114" s="26" t="s">
        <v>6544</v>
      </c>
      <c r="H1114" s="199" t="s">
        <v>6545</v>
      </c>
      <c r="I1114" s="29"/>
      <c r="J1114" s="216" t="s">
        <v>1102</v>
      </c>
      <c r="K1114" s="31" t="s">
        <v>48</v>
      </c>
      <c r="L1114" s="213" t="s">
        <v>49</v>
      </c>
      <c r="M1114" s="192" t="s">
        <v>6546</v>
      </c>
      <c r="N1114" s="217" t="str">
        <f t="shared" si="5"/>
        <v>POST /operationalServices/issuedDeviceAdministration/v1/corporate/hardToken/editStatus/enabledToken</v>
      </c>
      <c r="O1114" s="40"/>
      <c r="P1114" s="40"/>
      <c r="Q1114" s="36" t="s">
        <v>6547</v>
      </c>
      <c r="R1114" s="31" t="s">
        <v>56</v>
      </c>
      <c r="S1114" s="218" t="str">
        <f t="shared" si="2"/>
        <v>https://github.com/SF-Bancoppel/mx-api-bc-dom-iss-dev-admin-corp</v>
      </c>
      <c r="T1114" s="40"/>
      <c r="U1114" s="22"/>
      <c r="V1114" s="40"/>
      <c r="W1114" s="40"/>
      <c r="X1114" s="40"/>
      <c r="Y1114" s="40"/>
      <c r="Z1114" s="22"/>
      <c r="AA1114" s="22"/>
      <c r="AB1114" s="22"/>
    </row>
    <row r="1115" ht="18.75" customHeight="1">
      <c r="A1115" s="18" t="str">
        <f t="array" ref="A1115">IFERROR(
  INDEX(
    'api-register-id'!A:A,
    MATCH(F1115, 'api-register-id'!B:B, 0)
  ),
  "Not found Organization"
)</f>
        <v>Empresa Net</v>
      </c>
      <c r="B1115" s="22" t="str">
        <f>IFERROR(VLOOKUP(F1115, 'api-register-id'!B:F, 4, FALSE), "Not found path.")</f>
        <v>mx-api-bc-dom-pty-auth-corp</v>
      </c>
      <c r="C1115" s="213" t="s">
        <v>41</v>
      </c>
      <c r="D1115" s="213" t="s">
        <v>119</v>
      </c>
      <c r="E1115" s="24" t="str">
        <f>IFERROR(VLOOKUP(F1115, 'api-register-id'!B:F, 5, FALSE), "Not found path.")</f>
        <v>APIMX000176</v>
      </c>
      <c r="F1115" s="61" t="s">
        <v>2649</v>
      </c>
      <c r="G1115" s="26" t="s">
        <v>6548</v>
      </c>
      <c r="H1115" s="208" t="s">
        <v>6549</v>
      </c>
      <c r="I1115" s="29" t="str">
        <f>IFERROR(VLOOKUP(F1115, 'api-register-id'!B:I, 8, FALSE), "Not found path.")</f>
        <v>1.0.11</v>
      </c>
      <c r="J1115" s="205" t="s">
        <v>1295</v>
      </c>
      <c r="K1115" s="214" t="s">
        <v>48</v>
      </c>
      <c r="L1115" s="200" t="s">
        <v>49</v>
      </c>
      <c r="M1115" s="61" t="s">
        <v>6550</v>
      </c>
      <c r="N1115" s="3" t="str">
        <f t="shared" ref="N1115:N1120" si="6">CONCATENATE(L1115," ",J1115,M1115)</f>
        <v>POST /crossChannel/partyAuthentication/v1/corporate/session/create</v>
      </c>
      <c r="O1115" s="32"/>
      <c r="P1115" s="32"/>
      <c r="Q1115" s="61" t="s">
        <v>98</v>
      </c>
      <c r="R1115" s="31" t="s">
        <v>56</v>
      </c>
      <c r="S1115" s="38" t="str">
        <f t="shared" si="2"/>
        <v>https://github.com/SF-Bancoppel/mx-api-bc-dom-pty-auth-corp</v>
      </c>
      <c r="T1115" s="40"/>
      <c r="U1115" s="22"/>
      <c r="V1115" s="22"/>
      <c r="W1115" s="40"/>
      <c r="X1115" s="40"/>
      <c r="Y1115" s="40"/>
      <c r="Z1115" s="22"/>
      <c r="AA1115" s="22"/>
      <c r="AB1115" s="22"/>
    </row>
    <row r="1116" ht="18.75" customHeight="1">
      <c r="A1116" s="18" t="str">
        <f t="array" ref="A1116">IFERROR(
  INDEX(
    'api-register-id'!A:A,
    MATCH(F1116, 'api-register-id'!B:B, 0)
  ),
  "Not found Organization"
)</f>
        <v>Empresa Net</v>
      </c>
      <c r="B1116" s="22" t="str">
        <f>IFERROR(VLOOKUP(F1116, 'api-register-id'!B:F, 4, FALSE), "Not found path.")</f>
        <v>mx-api-bc-dom-pty-auth-corp</v>
      </c>
      <c r="C1116" s="213" t="s">
        <v>41</v>
      </c>
      <c r="D1116" s="213" t="s">
        <v>119</v>
      </c>
      <c r="E1116" s="24" t="str">
        <f>IFERROR(VLOOKUP(F1116, 'api-register-id'!B:F, 5, FALSE), "Not found path.")</f>
        <v>APIMX000176</v>
      </c>
      <c r="F1116" s="61" t="s">
        <v>2649</v>
      </c>
      <c r="G1116" s="26" t="s">
        <v>6551</v>
      </c>
      <c r="H1116" s="208" t="s">
        <v>6552</v>
      </c>
      <c r="I1116" s="29" t="str">
        <f>IFERROR(VLOOKUP(F1116, 'api-register-id'!B:I, 8, FALSE), "Not found path.")</f>
        <v>1.0.11</v>
      </c>
      <c r="J1116" s="205" t="s">
        <v>1295</v>
      </c>
      <c r="K1116" s="214" t="s">
        <v>48</v>
      </c>
      <c r="L1116" s="200" t="s">
        <v>49</v>
      </c>
      <c r="M1116" s="61" t="s">
        <v>6553</v>
      </c>
      <c r="N1116" s="3" t="str">
        <f t="shared" si="6"/>
        <v>POST /crossChannel/partyAuthentication/v1/corporate/notification/sms</v>
      </c>
      <c r="O1116" s="32"/>
      <c r="P1116" s="32"/>
      <c r="Q1116" s="61" t="s">
        <v>98</v>
      </c>
      <c r="R1116" s="31" t="s">
        <v>56</v>
      </c>
      <c r="S1116" s="38" t="str">
        <f t="shared" si="2"/>
        <v>https://github.com/SF-Bancoppel/mx-api-bc-dom-pty-auth-corp</v>
      </c>
      <c r="T1116" s="40"/>
      <c r="U1116" s="22"/>
      <c r="V1116" s="40"/>
      <c r="W1116" s="40"/>
      <c r="X1116" s="40"/>
      <c r="Y1116" s="40"/>
      <c r="Z1116" s="22"/>
      <c r="AA1116" s="22"/>
      <c r="AB1116" s="22"/>
    </row>
    <row r="1117" ht="18.75" customHeight="1">
      <c r="A1117" s="18" t="str">
        <f t="array" ref="A1117">IFERROR(
  INDEX(
    'api-register-id'!A:A,
    MATCH(F1117, 'api-register-id'!B:B, 0)
  ),
  "Not found Organization"
)</f>
        <v>Empresa Net</v>
      </c>
      <c r="B1117" s="22" t="str">
        <f>IFERROR(VLOOKUP(F1117, 'api-register-id'!B:F, 4, FALSE), "Not found path.")</f>
        <v>mx-api-bc-dom-pty-auth-corp</v>
      </c>
      <c r="C1117" s="200" t="s">
        <v>41</v>
      </c>
      <c r="D1117" s="200" t="s">
        <v>119</v>
      </c>
      <c r="E1117" s="24" t="str">
        <f>IFERROR(VLOOKUP(F1117, 'api-register-id'!B:F, 5, FALSE), "Not found path.")</f>
        <v>APIMX000176</v>
      </c>
      <c r="F1117" s="61" t="s">
        <v>2649</v>
      </c>
      <c r="G1117" s="26" t="s">
        <v>6554</v>
      </c>
      <c r="H1117" s="205" t="s">
        <v>6555</v>
      </c>
      <c r="I1117" s="29" t="str">
        <f>IFERROR(VLOOKUP(F1117, 'api-register-id'!B:I, 8, FALSE), "Not found path.")</f>
        <v>1.0.11</v>
      </c>
      <c r="J1117" s="212" t="s">
        <v>1295</v>
      </c>
      <c r="K1117" s="214" t="s">
        <v>48</v>
      </c>
      <c r="L1117" s="200" t="s">
        <v>49</v>
      </c>
      <c r="M1117" s="61" t="s">
        <v>6556</v>
      </c>
      <c r="N1117" s="3" t="str">
        <f t="shared" si="6"/>
        <v>POST /crossChannel/partyAuthentication/v1/corporate/session/destroy</v>
      </c>
      <c r="O1117" s="40"/>
      <c r="P1117" s="40"/>
      <c r="Q1117" s="61" t="s">
        <v>98</v>
      </c>
      <c r="R1117" s="31" t="s">
        <v>56</v>
      </c>
      <c r="S1117" s="38" t="str">
        <f t="shared" si="2"/>
        <v>https://github.com/SF-Bancoppel/mx-api-bc-dom-pty-auth-corp</v>
      </c>
      <c r="T1117" s="40"/>
      <c r="U1117" s="22"/>
      <c r="V1117" s="40"/>
      <c r="W1117" s="40"/>
      <c r="X1117" s="40"/>
      <c r="Y1117" s="40"/>
      <c r="Z1117" s="22"/>
      <c r="AA1117" s="22"/>
      <c r="AB1117" s="22"/>
    </row>
    <row r="1118" ht="18.75" customHeight="1">
      <c r="A1118" s="18" t="str">
        <f t="array" ref="A1118">IFERROR(
  INDEX(
    'api-register-id'!A:A,
    MATCH(F1118, 'api-register-id'!B:B, 0)
  ),
  "Not found Organization"
)</f>
        <v>Empresa Net</v>
      </c>
      <c r="B1118" s="22" t="str">
        <f>IFERROR(VLOOKUP(F1118, 'api-register-id'!B:F, 4, FALSE), "Not found path.")</f>
        <v>mx-api-bc-dom-pty-auth-corp</v>
      </c>
      <c r="C1118" s="200" t="s">
        <v>41</v>
      </c>
      <c r="D1118" s="200" t="s">
        <v>119</v>
      </c>
      <c r="E1118" s="24" t="str">
        <f>IFERROR(VLOOKUP(F1118, 'api-register-id'!B:F, 5, FALSE), "Not found path.")</f>
        <v>APIMX000176</v>
      </c>
      <c r="F1118" s="61" t="s">
        <v>2649</v>
      </c>
      <c r="G1118" s="26" t="s">
        <v>6557</v>
      </c>
      <c r="H1118" s="205" t="s">
        <v>6558</v>
      </c>
      <c r="I1118" s="29" t="str">
        <f>IFERROR(VLOOKUP(F1118, 'api-register-id'!B:I, 8, FALSE), "Not found path.")</f>
        <v>1.0.11</v>
      </c>
      <c r="J1118" s="212" t="s">
        <v>1295</v>
      </c>
      <c r="K1118" s="214" t="s">
        <v>48</v>
      </c>
      <c r="L1118" s="200" t="s">
        <v>49</v>
      </c>
      <c r="M1118" s="61" t="s">
        <v>6559</v>
      </c>
      <c r="N1118" s="3" t="str">
        <f t="shared" si="6"/>
        <v>POST /crossChannel/partyAuthentication/v1/corporate/notification/email</v>
      </c>
      <c r="O1118" s="22" t="s">
        <v>6560</v>
      </c>
      <c r="P1118" s="40"/>
      <c r="Q1118" s="61" t="s">
        <v>98</v>
      </c>
      <c r="R1118" s="31" t="s">
        <v>56</v>
      </c>
      <c r="S1118" s="38" t="str">
        <f t="shared" si="2"/>
        <v>https://github.com/SF-Bancoppel/mx-api-bc-dom-pty-auth-corp</v>
      </c>
      <c r="T1118" s="40"/>
      <c r="U1118" s="22"/>
      <c r="V1118" s="40"/>
      <c r="W1118" s="40"/>
      <c r="X1118" s="40"/>
      <c r="Y1118" s="40"/>
      <c r="Z1118" s="22"/>
      <c r="AA1118" s="22"/>
      <c r="AB1118" s="22"/>
    </row>
    <row r="1119" ht="18.75" customHeight="1">
      <c r="A1119" s="18" t="str">
        <f t="array" ref="A1119">IFERROR(
  INDEX(
    'api-register-id'!A:A,
    MATCH(F1119, 'api-register-id'!B:B, 0)
  ),
  "Not found Organization"
)</f>
        <v>Empresa Net</v>
      </c>
      <c r="B1119" s="22" t="str">
        <f>IFERROR(VLOOKUP(F1119, 'api-register-id'!B:F, 4, FALSE), "Not found path.")</f>
        <v>mx-api-bc-dom-pty-auth-corp</v>
      </c>
      <c r="C1119" s="200" t="s">
        <v>41</v>
      </c>
      <c r="D1119" s="200" t="s">
        <v>119</v>
      </c>
      <c r="E1119" s="24" t="str">
        <f>IFERROR(VLOOKUP(F1119, 'api-register-id'!B:F, 5, FALSE), "Not found path.")</f>
        <v>APIMX000176</v>
      </c>
      <c r="F1119" s="204" t="s">
        <v>2649</v>
      </c>
      <c r="G1119" s="26" t="s">
        <v>6561</v>
      </c>
      <c r="H1119" s="205" t="s">
        <v>6562</v>
      </c>
      <c r="I1119" s="29" t="str">
        <f>IFERROR(VLOOKUP(F1119, 'api-register-id'!B:I, 8, FALSE), "Not found path.")</f>
        <v>1.0.11</v>
      </c>
      <c r="J1119" s="204" t="s">
        <v>1295</v>
      </c>
      <c r="K1119" s="214" t="s">
        <v>48</v>
      </c>
      <c r="L1119" s="200" t="s">
        <v>49</v>
      </c>
      <c r="M1119" s="212" t="s">
        <v>6563</v>
      </c>
      <c r="N1119" s="3" t="str">
        <f t="shared" si="6"/>
        <v>POST /crossChannel/partyAuthentication/v1/corporate/security/password/set</v>
      </c>
      <c r="O1119" s="40"/>
      <c r="P1119" s="40"/>
      <c r="Q1119" s="61" t="s">
        <v>98</v>
      </c>
      <c r="R1119" s="31" t="s">
        <v>56</v>
      </c>
      <c r="S1119" s="38" t="str">
        <f t="shared" si="2"/>
        <v>https://github.com/SF-Bancoppel/mx-api-bc-dom-pty-auth-corp</v>
      </c>
      <c r="T1119" s="40"/>
      <c r="U1119" s="22"/>
      <c r="V1119" s="40"/>
      <c r="W1119" s="40"/>
      <c r="X1119" s="40"/>
      <c r="Y1119" s="40"/>
      <c r="Z1119" s="22"/>
      <c r="AA1119" s="22"/>
      <c r="AB1119" s="22"/>
    </row>
    <row r="1120" ht="18.75" customHeight="1">
      <c r="A1120" s="18" t="str">
        <f t="array" ref="A1120">IFERROR(
  INDEX(
    'api-register-id'!A:A,
    MATCH(F1120, 'api-register-id'!B:B, 0)
  ),
  "Not found Organization"
)</f>
        <v>Empresa Net</v>
      </c>
      <c r="B1120" s="22" t="str">
        <f>IFERROR(VLOOKUP(F1120, 'api-register-id'!B:F, 4, FALSE), "Not found path.")</f>
        <v>mx-api-bc-dom-pty-auth-corp</v>
      </c>
      <c r="C1120" s="200" t="s">
        <v>41</v>
      </c>
      <c r="D1120" s="200" t="s">
        <v>119</v>
      </c>
      <c r="E1120" s="24" t="str">
        <f>IFERROR(VLOOKUP(F1120, 'api-register-id'!B:F, 5, FALSE), "Not found path.")</f>
        <v>APIMX000176</v>
      </c>
      <c r="F1120" s="204" t="s">
        <v>2649</v>
      </c>
      <c r="G1120" s="26" t="s">
        <v>6564</v>
      </c>
      <c r="H1120" s="205" t="s">
        <v>6565</v>
      </c>
      <c r="I1120" s="29" t="str">
        <f>IFERROR(VLOOKUP(F1120, 'api-register-id'!B:I, 8, FALSE), "Not found path.")</f>
        <v>1.0.11</v>
      </c>
      <c r="J1120" s="204" t="s">
        <v>1295</v>
      </c>
      <c r="K1120" s="214" t="s">
        <v>48</v>
      </c>
      <c r="L1120" s="200" t="s">
        <v>49</v>
      </c>
      <c r="M1120" s="212" t="s">
        <v>6566</v>
      </c>
      <c r="N1120" s="3" t="str">
        <f t="shared" si="6"/>
        <v>POST /crossChannel/partyAuthentication/v1/corporate/security/password/validate</v>
      </c>
      <c r="O1120" s="40"/>
      <c r="P1120" s="40"/>
      <c r="Q1120" s="61" t="s">
        <v>98</v>
      </c>
      <c r="R1120" s="31" t="s">
        <v>56</v>
      </c>
      <c r="S1120" s="38" t="str">
        <f t="shared" si="2"/>
        <v>https://github.com/SF-Bancoppel/mx-api-bc-dom-pty-auth-corp</v>
      </c>
      <c r="T1120" s="40"/>
      <c r="U1120" s="22"/>
      <c r="V1120" s="40"/>
      <c r="W1120" s="40"/>
      <c r="X1120" s="40"/>
      <c r="Y1120" s="40"/>
      <c r="Z1120" s="22"/>
      <c r="AA1120" s="22"/>
      <c r="AB1120" s="22"/>
    </row>
    <row r="1121" ht="18.75" customHeight="1">
      <c r="A1121" s="18" t="s">
        <v>1827</v>
      </c>
      <c r="B1121" s="22" t="s">
        <v>2650</v>
      </c>
      <c r="C1121" s="213" t="s">
        <v>41</v>
      </c>
      <c r="D1121" s="213" t="s">
        <v>119</v>
      </c>
      <c r="E1121" s="24" t="str">
        <f>IFERROR(VLOOKUP(F1121, 'api-register-id'!B:F, 5, FALSE), "Not found path.")</f>
        <v>APIMX000176</v>
      </c>
      <c r="F1121" s="219" t="s">
        <v>2649</v>
      </c>
      <c r="G1121" s="26" t="s">
        <v>6567</v>
      </c>
      <c r="H1121" s="205" t="s">
        <v>6565</v>
      </c>
      <c r="I1121" s="29"/>
      <c r="J1121" s="192" t="s">
        <v>6568</v>
      </c>
      <c r="K1121" s="31" t="s">
        <v>48</v>
      </c>
      <c r="L1121" s="213" t="s">
        <v>49</v>
      </c>
      <c r="M1121" s="232" t="s">
        <v>6569</v>
      </c>
      <c r="N1121" s="217" t="str">
        <f t="shared" ref="N1121:N1124" si="7">CONCATENATE(L1121, " ", J1121, M1121)</f>
        <v>POST /crossChanel/partyAuthentication/v1/corporate/authentication/evaluate</v>
      </c>
      <c r="O1121" s="40"/>
      <c r="P1121" s="40"/>
      <c r="Q1121" s="36" t="s">
        <v>6570</v>
      </c>
      <c r="R1121" s="31" t="s">
        <v>56</v>
      </c>
      <c r="S1121" s="218" t="str">
        <f t="shared" si="2"/>
        <v>https://github.com/SF-Bancoppel/mx-api-bc-dom-pty-auth-corp</v>
      </c>
      <c r="T1121" s="40"/>
      <c r="U1121" s="22"/>
      <c r="V1121" s="40"/>
      <c r="W1121" s="40"/>
      <c r="X1121" s="40"/>
      <c r="Y1121" s="40"/>
      <c r="Z1121" s="22"/>
      <c r="AA1121" s="22"/>
      <c r="AB1121" s="22"/>
    </row>
    <row r="1122" ht="18.75" customHeight="1">
      <c r="A1122" s="18" t="s">
        <v>1827</v>
      </c>
      <c r="B1122" s="22" t="s">
        <v>2650</v>
      </c>
      <c r="C1122" s="213" t="s">
        <v>41</v>
      </c>
      <c r="D1122" s="213" t="s">
        <v>119</v>
      </c>
      <c r="E1122" s="24" t="str">
        <f>IFERROR(VLOOKUP(F1122, 'api-register-id'!B:F, 5, FALSE), "Not found path.")</f>
        <v>APIMX000176</v>
      </c>
      <c r="F1122" s="219" t="s">
        <v>2649</v>
      </c>
      <c r="G1122" s="26" t="s">
        <v>6571</v>
      </c>
      <c r="H1122" s="199" t="s">
        <v>6572</v>
      </c>
      <c r="I1122" s="29"/>
      <c r="J1122" s="192" t="s">
        <v>6568</v>
      </c>
      <c r="K1122" s="31" t="s">
        <v>48</v>
      </c>
      <c r="L1122" s="213" t="s">
        <v>49</v>
      </c>
      <c r="M1122" s="232" t="s">
        <v>6573</v>
      </c>
      <c r="N1122" s="217" t="str">
        <f t="shared" si="7"/>
        <v>POST /crossChanel/partyAuthentication/v1/corporate/registerAttemps/control</v>
      </c>
      <c r="O1122" s="40"/>
      <c r="P1122" s="40"/>
      <c r="Q1122" s="36" t="s">
        <v>6574</v>
      </c>
      <c r="R1122" s="31" t="s">
        <v>56</v>
      </c>
      <c r="S1122" s="218" t="str">
        <f t="shared" si="2"/>
        <v>https://github.com/SF-Bancoppel/mx-api-bc-dom-pty-auth-corp</v>
      </c>
      <c r="T1122" s="40"/>
      <c r="U1122" s="22"/>
      <c r="V1122" s="40"/>
      <c r="W1122" s="40"/>
      <c r="X1122" s="40"/>
      <c r="Y1122" s="40"/>
      <c r="Z1122" s="22"/>
      <c r="AA1122" s="22"/>
      <c r="AB1122" s="22"/>
    </row>
    <row r="1123" ht="18.75" customHeight="1">
      <c r="A1123" s="18" t="s">
        <v>1827</v>
      </c>
      <c r="B1123" s="22" t="s">
        <v>2650</v>
      </c>
      <c r="C1123" s="213" t="s">
        <v>41</v>
      </c>
      <c r="D1123" s="213" t="s">
        <v>119</v>
      </c>
      <c r="E1123" s="24" t="str">
        <f>IFERROR(VLOOKUP(F1123, 'api-register-id'!B:F, 5, FALSE), "Not found path.")</f>
        <v>APIMX000176</v>
      </c>
      <c r="F1123" s="219" t="s">
        <v>2649</v>
      </c>
      <c r="G1123" s="26" t="s">
        <v>6575</v>
      </c>
      <c r="H1123" s="199" t="s">
        <v>6576</v>
      </c>
      <c r="I1123" s="29"/>
      <c r="J1123" s="192" t="s">
        <v>6568</v>
      </c>
      <c r="K1123" s="31" t="s">
        <v>48</v>
      </c>
      <c r="L1123" s="213" t="s">
        <v>49</v>
      </c>
      <c r="M1123" s="192" t="s">
        <v>6577</v>
      </c>
      <c r="N1123" s="217" t="str">
        <f t="shared" si="7"/>
        <v>POST /crossChanel/partyAuthentication/v1/corporate/userRsa/delete</v>
      </c>
      <c r="O1123" s="40"/>
      <c r="P1123" s="40"/>
      <c r="Q1123" s="36" t="s">
        <v>6578</v>
      </c>
      <c r="R1123" s="31" t="s">
        <v>56</v>
      </c>
      <c r="S1123" s="218" t="str">
        <f t="shared" si="2"/>
        <v>https://github.com/SF-Bancoppel/mx-api-bc-dom-pty-auth-corp</v>
      </c>
      <c r="T1123" s="40"/>
      <c r="U1123" s="22"/>
      <c r="V1123" s="40"/>
      <c r="W1123" s="40"/>
      <c r="X1123" s="40"/>
      <c r="Y1123" s="40"/>
      <c r="Z1123" s="22"/>
      <c r="AA1123" s="22"/>
      <c r="AB1123" s="22"/>
    </row>
    <row r="1124" ht="18.75" customHeight="1">
      <c r="A1124" s="18" t="s">
        <v>1827</v>
      </c>
      <c r="B1124" s="22" t="s">
        <v>2650</v>
      </c>
      <c r="C1124" s="213" t="s">
        <v>41</v>
      </c>
      <c r="D1124" s="213" t="s">
        <v>119</v>
      </c>
      <c r="E1124" s="24" t="str">
        <f>IFERROR(VLOOKUP(F1124, 'api-register-id'!B:F, 5, FALSE), "Not found path.")</f>
        <v>APIMX000176</v>
      </c>
      <c r="F1124" s="219" t="s">
        <v>2649</v>
      </c>
      <c r="G1124" s="26" t="s">
        <v>6579</v>
      </c>
      <c r="H1124" s="199" t="s">
        <v>6580</v>
      </c>
      <c r="I1124" s="29"/>
      <c r="J1124" s="216" t="s">
        <v>1295</v>
      </c>
      <c r="K1124" s="31" t="s">
        <v>48</v>
      </c>
      <c r="L1124" s="213" t="s">
        <v>49</v>
      </c>
      <c r="M1124" s="216" t="s">
        <v>6581</v>
      </c>
      <c r="N1124" s="217" t="str">
        <f t="shared" si="7"/>
        <v>POST /crossChannel/partyAuthenticationv1/corporeate/user/recoveryCode/validate/status/otp/update</v>
      </c>
      <c r="O1124" s="40"/>
      <c r="P1124" s="40"/>
      <c r="Q1124" s="36" t="s">
        <v>6582</v>
      </c>
      <c r="R1124" s="31" t="s">
        <v>56</v>
      </c>
      <c r="S1124" s="218" t="str">
        <f t="shared" si="2"/>
        <v>https://github.com/SF-Bancoppel/mx-api-bc-dom-pty-auth-corp</v>
      </c>
      <c r="T1124" s="40"/>
      <c r="U1124" s="22"/>
      <c r="V1124" s="40"/>
      <c r="W1124" s="40"/>
      <c r="X1124" s="40"/>
      <c r="Y1124" s="40"/>
      <c r="Z1124" s="22"/>
      <c r="AA1124" s="22"/>
      <c r="AB1124" s="22"/>
    </row>
    <row r="1125" ht="18.75" customHeight="1">
      <c r="A1125" s="18" t="str">
        <f t="array" ref="A1125">IFERROR(
  INDEX(
    'api-register-id'!A:A,
    MATCH(F1125, 'api-register-id'!B:B, 0)
  ),
  "Not found Organization"
)</f>
        <v>Empresa Net</v>
      </c>
      <c r="B1125" s="22" t="str">
        <f>IFERROR(VLOOKUP(F1125, 'api-register-id'!B:F, 4, FALSE), "Not found path.")</f>
        <v>mx-api-bc-dom-cust-prods-and-servs-corp</v>
      </c>
      <c r="C1125" s="213" t="s">
        <v>41</v>
      </c>
      <c r="D1125" s="213" t="s">
        <v>119</v>
      </c>
      <c r="E1125" s="24" t="str">
        <f>IFERROR(VLOOKUP(F1125, 'api-register-id'!B:F, 5, FALSE), "Not found path.")</f>
        <v>APIMX000177</v>
      </c>
      <c r="F1125" s="61" t="s">
        <v>2657</v>
      </c>
      <c r="G1125" s="26" t="s">
        <v>6583</v>
      </c>
      <c r="H1125" s="208" t="s">
        <v>6584</v>
      </c>
      <c r="I1125" s="29" t="str">
        <f>IFERROR(VLOOKUP(F1125, 'api-register-id'!B:I, 8, FALSE), "Not found path.")</f>
        <v>1.1.4</v>
      </c>
      <c r="J1125" s="205" t="s">
        <v>947</v>
      </c>
      <c r="K1125" s="214" t="s">
        <v>48</v>
      </c>
      <c r="L1125" s="200" t="s">
        <v>49</v>
      </c>
      <c r="M1125" s="61" t="s">
        <v>6585</v>
      </c>
      <c r="N1125" s="3" t="str">
        <f t="shared" ref="N1125:N1137" si="8">CONCATENATE(L1125," ",J1125,M1125)</f>
        <v>POST /customerManagement/customerProductsAndServices/v1/corporate/products/get</v>
      </c>
      <c r="O1125" s="22" t="s">
        <v>6586</v>
      </c>
      <c r="P1125" s="32"/>
      <c r="Q1125" s="61" t="s">
        <v>98</v>
      </c>
      <c r="R1125" s="31" t="s">
        <v>56</v>
      </c>
      <c r="S1125" s="38" t="str">
        <f t="shared" si="2"/>
        <v>https://github.com/SF-Bancoppel/mx-api-bc-dom-cust-prods-and-servs-corp</v>
      </c>
      <c r="T1125" s="40"/>
      <c r="U1125" s="40"/>
      <c r="V1125" s="40"/>
      <c r="W1125" s="40"/>
      <c r="X1125" s="40"/>
      <c r="Y1125" s="40"/>
      <c r="Z1125" s="40"/>
      <c r="AA1125" s="40"/>
      <c r="AB1125" s="40"/>
    </row>
    <row r="1126" ht="18.75" customHeight="1">
      <c r="A1126" s="18" t="str">
        <f t="array" ref="A1126">IFERROR(
  INDEX(
    'api-register-id'!A:A,
    MATCH(F1126, 'api-register-id'!B:B, 0)
  ),
  "Not found Organization"
)</f>
        <v>Empresa Net</v>
      </c>
      <c r="B1126" s="22" t="str">
        <f>IFERROR(VLOOKUP(F1126, 'api-register-id'!B:F, 4, FALSE), "Not found path.")</f>
        <v>mx-api-bc-dom-cust-prods-and-servs-corp</v>
      </c>
      <c r="C1126" s="200" t="s">
        <v>41</v>
      </c>
      <c r="D1126" s="200" t="s">
        <v>119</v>
      </c>
      <c r="E1126" s="24" t="str">
        <f>IFERROR(VLOOKUP(F1126, 'api-register-id'!B:F, 5, FALSE), "Not found path.")</f>
        <v>APIMX000177</v>
      </c>
      <c r="F1126" s="204" t="s">
        <v>6587</v>
      </c>
      <c r="G1126" s="26" t="s">
        <v>6588</v>
      </c>
      <c r="H1126" s="205" t="s">
        <v>6589</v>
      </c>
      <c r="I1126" s="29" t="str">
        <f>IFERROR(VLOOKUP(F1126, 'api-register-id'!B:I, 8, FALSE), "Not found path.")</f>
        <v>1.1.4</v>
      </c>
      <c r="J1126" s="204" t="s">
        <v>947</v>
      </c>
      <c r="K1126" s="214" t="s">
        <v>48</v>
      </c>
      <c r="L1126" s="200" t="s">
        <v>49</v>
      </c>
      <c r="M1126" s="212" t="s">
        <v>6590</v>
      </c>
      <c r="N1126" s="3" t="str">
        <f t="shared" si="8"/>
        <v>POST /customerManagement/customerProductsAndServices/v1/corporate/products/detail</v>
      </c>
      <c r="O1126" s="40"/>
      <c r="P1126" s="40"/>
      <c r="Q1126" s="61" t="s">
        <v>98</v>
      </c>
      <c r="R1126" s="31" t="s">
        <v>56</v>
      </c>
      <c r="S1126" s="38" t="str">
        <f t="shared" si="2"/>
        <v>https://github.com/SF-Bancoppel/mx-api-bc-dom-cust-prods-and-servs-corp</v>
      </c>
      <c r="T1126" s="40"/>
      <c r="U1126" s="40"/>
      <c r="V1126" s="40"/>
      <c r="W1126" s="40"/>
      <c r="X1126" s="40"/>
      <c r="Y1126" s="40"/>
      <c r="Z1126" s="40"/>
      <c r="AA1126" s="40"/>
      <c r="AB1126" s="40"/>
    </row>
    <row r="1127" ht="18.75" customHeight="1">
      <c r="A1127" s="18" t="str">
        <f t="array" ref="A1127">IFERROR(
  INDEX(
    'api-register-id'!A:A,
    MATCH(F1127, 'api-register-id'!B:B, 0)
  ),
  "Not found Organization"
)</f>
        <v>Empresa Net</v>
      </c>
      <c r="B1127" s="22" t="str">
        <f>IFERROR(VLOOKUP(F1127, 'api-register-id'!B:F, 4, FALSE), "Not found path.")</f>
        <v>mx-api-bc-pro-party-ref-dat-dir-corp</v>
      </c>
      <c r="C1127" s="213" t="s">
        <v>41</v>
      </c>
      <c r="D1127" s="213" t="s">
        <v>811</v>
      </c>
      <c r="E1127" s="24" t="str">
        <f>IFERROR(VLOOKUP(F1127, 'api-register-id'!B:F, 5, FALSE), "Not found path.")</f>
        <v>APIMX000178</v>
      </c>
      <c r="F1127" s="61" t="s">
        <v>2664</v>
      </c>
      <c r="G1127" s="26" t="s">
        <v>6591</v>
      </c>
      <c r="H1127" s="208" t="s">
        <v>6592</v>
      </c>
      <c r="I1127" s="29" t="str">
        <f>IFERROR(VLOOKUP(F1127, 'api-register-id'!B:I, 8, FALSE), "Not found path.")</f>
        <v/>
      </c>
      <c r="J1127" s="205" t="s">
        <v>3395</v>
      </c>
      <c r="K1127" s="214" t="s">
        <v>48</v>
      </c>
      <c r="L1127" s="200" t="s">
        <v>49</v>
      </c>
      <c r="M1127" s="61" t="s">
        <v>6420</v>
      </c>
      <c r="N1127" s="3" t="str">
        <f t="shared" si="8"/>
        <v>POST /system/customerManagement/partyReferenceDataDirectory/v1/corporate/users/get</v>
      </c>
      <c r="O1127" s="32"/>
      <c r="P1127" s="32"/>
      <c r="Q1127" s="61" t="s">
        <v>98</v>
      </c>
      <c r="R1127" s="31" t="s">
        <v>56</v>
      </c>
      <c r="S1127" s="38" t="str">
        <f t="shared" si="2"/>
        <v>https://github.com/SF-Bancoppel/mx-api-bc-pro-party-ref-dat-dir-corp</v>
      </c>
      <c r="T1127" s="40"/>
      <c r="U1127" s="40"/>
      <c r="V1127" s="40"/>
      <c r="W1127" s="40"/>
      <c r="X1127" s="40"/>
      <c r="Y1127" s="40"/>
      <c r="Z1127" s="40"/>
      <c r="AA1127" s="40"/>
      <c r="AB1127" s="40"/>
    </row>
    <row r="1128" ht="18.75" customHeight="1">
      <c r="A1128" s="18" t="str">
        <f t="array" ref="A1128">IFERROR(
  INDEX(
    'api-register-id'!A:A,
    MATCH(F1128, 'api-register-id'!B:B, 0)
  ),
  "Not found Organization"
)</f>
        <v>Empresa Net</v>
      </c>
      <c r="B1128" s="22" t="str">
        <f>IFERROR(VLOOKUP(F1128, 'api-register-id'!B:F, 4, FALSE), "Not found path.")</f>
        <v>mx-api-bc-pro-party-ref-dat-dir-corp</v>
      </c>
      <c r="C1128" s="213" t="s">
        <v>41</v>
      </c>
      <c r="D1128" s="213" t="s">
        <v>811</v>
      </c>
      <c r="E1128" s="24" t="str">
        <f>IFERROR(VLOOKUP(F1128, 'api-register-id'!B:F, 5, FALSE), "Not found path.")</f>
        <v>APIMX000178</v>
      </c>
      <c r="F1128" s="61" t="s">
        <v>2664</v>
      </c>
      <c r="G1128" s="26" t="s">
        <v>6593</v>
      </c>
      <c r="H1128" s="208" t="s">
        <v>6594</v>
      </c>
      <c r="I1128" s="29" t="str">
        <f>IFERROR(VLOOKUP(F1128, 'api-register-id'!B:I, 8, FALSE), "Not found path.")</f>
        <v/>
      </c>
      <c r="J1128" s="205" t="s">
        <v>3395</v>
      </c>
      <c r="K1128" s="214" t="s">
        <v>48</v>
      </c>
      <c r="L1128" s="200" t="s">
        <v>49</v>
      </c>
      <c r="M1128" s="61" t="s">
        <v>6423</v>
      </c>
      <c r="N1128" s="3" t="str">
        <f t="shared" si="8"/>
        <v>POST /system/customerManagement/partyReferenceDataDirectory/v1/corporate/company/contact/delete</v>
      </c>
      <c r="O1128" s="32"/>
      <c r="P1128" s="32"/>
      <c r="Q1128" s="61" t="s">
        <v>98</v>
      </c>
      <c r="R1128" s="31" t="s">
        <v>56</v>
      </c>
      <c r="S1128" s="38" t="str">
        <f t="shared" si="2"/>
        <v>https://github.com/SF-Bancoppel/mx-api-bc-pro-party-ref-dat-dir-corp</v>
      </c>
      <c r="T1128" s="40"/>
      <c r="U1128" s="40"/>
      <c r="V1128" s="40"/>
      <c r="W1128" s="40"/>
      <c r="X1128" s="40"/>
      <c r="Y1128" s="40"/>
      <c r="Z1128" s="40"/>
      <c r="AA1128" s="40"/>
      <c r="AB1128" s="40"/>
    </row>
    <row r="1129" ht="18.75" customHeight="1">
      <c r="A1129" s="18" t="str">
        <f t="array" ref="A1129">IFERROR(
  INDEX(
    'api-register-id'!A:A,
    MATCH(F1129, 'api-register-id'!B:B, 0)
  ),
  "Not found Organization"
)</f>
        <v>Empresa Net</v>
      </c>
      <c r="B1129" s="22" t="str">
        <f>IFERROR(VLOOKUP(F1129, 'api-register-id'!B:F, 4, FALSE), "Not found path.")</f>
        <v>mx-api-bc-pro-party-ref-dat-dir-corp</v>
      </c>
      <c r="C1129" s="200" t="s">
        <v>41</v>
      </c>
      <c r="D1129" s="200" t="s">
        <v>811</v>
      </c>
      <c r="E1129" s="24" t="str">
        <f>IFERROR(VLOOKUP(F1129, 'api-register-id'!B:F, 5, FALSE), "Not found path.")</f>
        <v>APIMX000178</v>
      </c>
      <c r="F1129" s="61" t="s">
        <v>2664</v>
      </c>
      <c r="G1129" s="26" t="s">
        <v>6595</v>
      </c>
      <c r="H1129" s="205" t="s">
        <v>6596</v>
      </c>
      <c r="I1129" s="29" t="str">
        <f>IFERROR(VLOOKUP(F1129, 'api-register-id'!B:I, 8, FALSE), "Not found path.")</f>
        <v/>
      </c>
      <c r="J1129" s="212" t="s">
        <v>3395</v>
      </c>
      <c r="K1129" s="214" t="s">
        <v>48</v>
      </c>
      <c r="L1129" s="200" t="s">
        <v>49</v>
      </c>
      <c r="M1129" s="61" t="s">
        <v>6426</v>
      </c>
      <c r="N1129" s="3" t="str">
        <f t="shared" si="8"/>
        <v>POST /system/customerManagement/partyReferenceDataDirectory/v1/corporate/company/contact/create</v>
      </c>
      <c r="O1129" s="40"/>
      <c r="P1129" s="40"/>
      <c r="Q1129" s="61" t="s">
        <v>98</v>
      </c>
      <c r="R1129" s="31" t="s">
        <v>56</v>
      </c>
      <c r="S1129" s="38" t="str">
        <f t="shared" si="2"/>
        <v>https://github.com/SF-Bancoppel/mx-api-bc-pro-party-ref-dat-dir-corp</v>
      </c>
      <c r="T1129" s="40"/>
      <c r="U1129" s="229"/>
      <c r="V1129" s="229"/>
      <c r="W1129" s="229"/>
      <c r="X1129" s="229"/>
      <c r="Y1129" s="229"/>
      <c r="Z1129" s="229"/>
      <c r="AA1129" s="229"/>
      <c r="AB1129" s="229"/>
    </row>
    <row r="1130" ht="18.75" customHeight="1">
      <c r="A1130" s="18" t="str">
        <f t="array" ref="A1130">IFERROR(
  INDEX(
    'api-register-id'!A:A,
    MATCH(F1130, 'api-register-id'!B:B, 0)
  ),
  "Not found Organization"
)</f>
        <v>Empresa Net</v>
      </c>
      <c r="B1130" s="22" t="str">
        <f>IFERROR(VLOOKUP(F1130, 'api-register-id'!B:F, 4, FALSE), "Not found path.")</f>
        <v>mx-api-bc-pro-party-ref-dat-dir-corp</v>
      </c>
      <c r="C1130" s="200" t="s">
        <v>41</v>
      </c>
      <c r="D1130" s="200" t="s">
        <v>811</v>
      </c>
      <c r="E1130" s="24" t="str">
        <f>IFERROR(VLOOKUP(F1130, 'api-register-id'!B:F, 5, FALSE), "Not found path.")</f>
        <v>APIMX000178</v>
      </c>
      <c r="F1130" s="61" t="s">
        <v>2664</v>
      </c>
      <c r="G1130" s="26" t="s">
        <v>6597</v>
      </c>
      <c r="H1130" s="205" t="s">
        <v>6598</v>
      </c>
      <c r="I1130" s="29" t="str">
        <f>IFERROR(VLOOKUP(F1130, 'api-register-id'!B:I, 8, FALSE), "Not found path.")</f>
        <v/>
      </c>
      <c r="J1130" s="212" t="s">
        <v>3395</v>
      </c>
      <c r="K1130" s="214" t="s">
        <v>48</v>
      </c>
      <c r="L1130" s="200" t="s">
        <v>49</v>
      </c>
      <c r="M1130" s="61" t="s">
        <v>6429</v>
      </c>
      <c r="N1130" s="3" t="str">
        <f t="shared" si="8"/>
        <v>POST /system/customerManagement/partyReferenceDataDirectory/v1/corporate/user/account/set</v>
      </c>
      <c r="O1130" s="40"/>
      <c r="P1130" s="40"/>
      <c r="Q1130" s="61" t="s">
        <v>98</v>
      </c>
      <c r="R1130" s="31" t="s">
        <v>56</v>
      </c>
      <c r="S1130" s="38" t="str">
        <f t="shared" si="2"/>
        <v>https://github.com/SF-Bancoppel/mx-api-bc-pro-party-ref-dat-dir-corp</v>
      </c>
      <c r="T1130" s="40"/>
      <c r="U1130" s="40"/>
      <c r="V1130" s="40"/>
      <c r="W1130" s="40"/>
      <c r="X1130" s="40"/>
      <c r="Y1130" s="40"/>
      <c r="Z1130" s="40"/>
      <c r="AA1130" s="40"/>
      <c r="AB1130" s="40"/>
    </row>
    <row r="1131" ht="18.75" customHeight="1">
      <c r="A1131" s="18" t="str">
        <f t="array" ref="A1131">IFERROR(
  INDEX(
    'api-register-id'!A:A,
    MATCH(F1131, 'api-register-id'!B:B, 0)
  ),
  "Not found Organization"
)</f>
        <v>Empresa Net</v>
      </c>
      <c r="B1131" s="22" t="str">
        <f>IFERROR(VLOOKUP(F1131, 'api-register-id'!B:F, 4, FALSE), "Not found path.")</f>
        <v>mx-api-bc-pro-party-ref-dat-dir-corp</v>
      </c>
      <c r="C1131" s="200" t="s">
        <v>41</v>
      </c>
      <c r="D1131" s="200" t="s">
        <v>811</v>
      </c>
      <c r="E1131" s="24" t="str">
        <f>IFERROR(VLOOKUP(F1131, 'api-register-id'!B:F, 5, FALSE), "Not found path.")</f>
        <v>APIMX000178</v>
      </c>
      <c r="F1131" s="204" t="s">
        <v>2664</v>
      </c>
      <c r="G1131" s="26" t="s">
        <v>6599</v>
      </c>
      <c r="H1131" s="204" t="s">
        <v>6600</v>
      </c>
      <c r="I1131" s="29" t="str">
        <f>IFERROR(VLOOKUP(F1131, 'api-register-id'!B:I, 8, FALSE), "Not found path.")</f>
        <v/>
      </c>
      <c r="J1131" s="212" t="s">
        <v>3395</v>
      </c>
      <c r="K1131" s="214" t="s">
        <v>48</v>
      </c>
      <c r="L1131" s="200" t="s">
        <v>49</v>
      </c>
      <c r="M1131" s="61" t="s">
        <v>6432</v>
      </c>
      <c r="N1131" s="3" t="str">
        <f t="shared" si="8"/>
        <v>POST /system/customerManagement/partyReferenceDataDirectory/v1/corporate/companyAndContacts/get</v>
      </c>
      <c r="O1131" s="40"/>
      <c r="P1131" s="40"/>
      <c r="Q1131" s="61" t="s">
        <v>98</v>
      </c>
      <c r="R1131" s="31" t="s">
        <v>56</v>
      </c>
      <c r="S1131" s="38" t="str">
        <f t="shared" si="2"/>
        <v>https://github.com/SF-Bancoppel/mx-api-bc-pro-party-ref-dat-dir-corp</v>
      </c>
      <c r="T1131" s="40"/>
      <c r="U1131" s="233"/>
      <c r="V1131" s="233"/>
      <c r="W1131" s="233"/>
      <c r="X1131" s="233"/>
      <c r="Y1131" s="233"/>
      <c r="Z1131" s="233"/>
      <c r="AA1131" s="233"/>
      <c r="AB1131" s="233"/>
    </row>
    <row r="1132" ht="18.75" customHeight="1">
      <c r="A1132" s="18" t="str">
        <f t="array" ref="A1132">IFERROR(
  INDEX(
    'api-register-id'!A:A,
    MATCH(F1132, 'api-register-id'!B:B, 0)
  ),
  "Not found Organization"
)</f>
        <v>Empresa Net</v>
      </c>
      <c r="B1132" s="22" t="str">
        <f>IFERROR(VLOOKUP(F1132, 'api-register-id'!B:F, 4, FALSE), "Not found path.")</f>
        <v>mx-api-bc-pro-party-ref-dat-dir-corp</v>
      </c>
      <c r="C1132" s="200" t="s">
        <v>41</v>
      </c>
      <c r="D1132" s="200" t="s">
        <v>811</v>
      </c>
      <c r="E1132" s="24" t="str">
        <f>IFERROR(VLOOKUP(F1132, 'api-register-id'!B:F, 5, FALSE), "Not found path.")</f>
        <v>APIMX000178</v>
      </c>
      <c r="F1132" s="204" t="s">
        <v>2664</v>
      </c>
      <c r="G1132" s="26" t="s">
        <v>6601</v>
      </c>
      <c r="H1132" s="204" t="s">
        <v>6602</v>
      </c>
      <c r="I1132" s="29" t="str">
        <f>IFERROR(VLOOKUP(F1132, 'api-register-id'!B:I, 8, FALSE), "Not found path.")</f>
        <v/>
      </c>
      <c r="J1132" s="212" t="s">
        <v>3395</v>
      </c>
      <c r="K1132" s="214" t="s">
        <v>48</v>
      </c>
      <c r="L1132" s="200" t="s">
        <v>49</v>
      </c>
      <c r="M1132" s="61" t="s">
        <v>6435</v>
      </c>
      <c r="N1132" s="3" t="str">
        <f t="shared" si="8"/>
        <v>POST /system/customerManagement/partyReferenceDataDirectory/v1/corporate/company/contact/update</v>
      </c>
      <c r="O1132" s="40"/>
      <c r="P1132" s="40"/>
      <c r="Q1132" s="61" t="s">
        <v>98</v>
      </c>
      <c r="R1132" s="31" t="s">
        <v>56</v>
      </c>
      <c r="S1132" s="38" t="str">
        <f t="shared" si="2"/>
        <v>https://github.com/SF-Bancoppel/mx-api-bc-pro-party-ref-dat-dir-corp</v>
      </c>
      <c r="T1132" s="40"/>
      <c r="U1132" s="40"/>
      <c r="V1132" s="40"/>
      <c r="W1132" s="40"/>
      <c r="X1132" s="40"/>
      <c r="Y1132" s="40"/>
      <c r="Z1132" s="40"/>
      <c r="AA1132" s="40"/>
      <c r="AB1132" s="40"/>
    </row>
    <row r="1133" ht="18.75" customHeight="1">
      <c r="A1133" s="18" t="str">
        <f t="array" ref="A1133">IFERROR(
  INDEX(
    'api-register-id'!A:A,
    MATCH(F1133, 'api-register-id'!B:B, 0)
  ),
  "Not found Organization"
)</f>
        <v>Empresa Net</v>
      </c>
      <c r="B1133" s="22" t="str">
        <f>IFERROR(VLOOKUP(F1133, 'api-register-id'!B:F, 4, FALSE), "Not found path.")</f>
        <v>mx-api-bc-pro-party-ref-dat-dir-corp</v>
      </c>
      <c r="C1133" s="200" t="s">
        <v>41</v>
      </c>
      <c r="D1133" s="200" t="s">
        <v>811</v>
      </c>
      <c r="E1133" s="24" t="str">
        <f>IFERROR(VLOOKUP(F1133, 'api-register-id'!B:F, 5, FALSE), "Not found path.")</f>
        <v>APIMX000178</v>
      </c>
      <c r="F1133" s="204" t="s">
        <v>2664</v>
      </c>
      <c r="G1133" s="26" t="s">
        <v>6603</v>
      </c>
      <c r="H1133" s="204" t="s">
        <v>6604</v>
      </c>
      <c r="I1133" s="29" t="str">
        <f>IFERROR(VLOOKUP(F1133, 'api-register-id'!B:I, 8, FALSE), "Not found path.")</f>
        <v/>
      </c>
      <c r="J1133" s="212" t="s">
        <v>3395</v>
      </c>
      <c r="K1133" s="214" t="s">
        <v>48</v>
      </c>
      <c r="L1133" s="200" t="s">
        <v>49</v>
      </c>
      <c r="M1133" s="61" t="s">
        <v>6438</v>
      </c>
      <c r="N1133" s="3" t="str">
        <f t="shared" si="8"/>
        <v>POST /system/customerManagement/partyReferenceDataDirectory/v1/corporate/user/get</v>
      </c>
      <c r="O1133" s="40"/>
      <c r="P1133" s="40"/>
      <c r="Q1133" s="61" t="s">
        <v>98</v>
      </c>
      <c r="R1133" s="31" t="s">
        <v>56</v>
      </c>
      <c r="S1133" s="38" t="str">
        <f t="shared" si="2"/>
        <v>https://github.com/SF-Bancoppel/mx-api-bc-pro-party-ref-dat-dir-corp</v>
      </c>
      <c r="T1133" s="40"/>
      <c r="U1133" s="40"/>
      <c r="V1133" s="40"/>
      <c r="W1133" s="40"/>
      <c r="X1133" s="40"/>
      <c r="Y1133" s="40"/>
      <c r="Z1133" s="40"/>
      <c r="AA1133" s="40"/>
      <c r="AB1133" s="40"/>
    </row>
    <row r="1134" ht="18.75" customHeight="1">
      <c r="A1134" s="18" t="str">
        <f t="array" ref="A1134">IFERROR(
  INDEX(
    'api-register-id'!A:A,
    MATCH(F1134, 'api-register-id'!B:B, 0)
  ),
  "Not found Organization"
)</f>
        <v>Empresa Net</v>
      </c>
      <c r="B1134" s="22" t="str">
        <f>IFERROR(VLOOKUP(F1134, 'api-register-id'!B:F, 4, FALSE), "Not found path.")</f>
        <v>mx-api-bc-pro-party-ref-dat-dir-corp</v>
      </c>
      <c r="C1134" s="200" t="s">
        <v>41</v>
      </c>
      <c r="D1134" s="200" t="s">
        <v>811</v>
      </c>
      <c r="E1134" s="24" t="str">
        <f>IFERROR(VLOOKUP(F1134, 'api-register-id'!B:F, 5, FALSE), "Not found path.")</f>
        <v>APIMX000178</v>
      </c>
      <c r="F1134" s="204" t="s">
        <v>2664</v>
      </c>
      <c r="G1134" s="26" t="s">
        <v>6605</v>
      </c>
      <c r="H1134" s="204" t="s">
        <v>6606</v>
      </c>
      <c r="I1134" s="29" t="str">
        <f>IFERROR(VLOOKUP(F1134, 'api-register-id'!B:I, 8, FALSE), "Not found path.")</f>
        <v/>
      </c>
      <c r="J1134" s="212" t="s">
        <v>3395</v>
      </c>
      <c r="K1134" s="214" t="s">
        <v>48</v>
      </c>
      <c r="L1134" s="200" t="s">
        <v>49</v>
      </c>
      <c r="M1134" s="61" t="s">
        <v>6441</v>
      </c>
      <c r="N1134" s="3" t="str">
        <f t="shared" si="8"/>
        <v>POST /system/customerManagement/partyReferenceDataDirectory/v1/corporate/company/enroll/validateData</v>
      </c>
      <c r="O1134" s="40"/>
      <c r="P1134" s="40"/>
      <c r="Q1134" s="61" t="s">
        <v>98</v>
      </c>
      <c r="R1134" s="31" t="s">
        <v>56</v>
      </c>
      <c r="S1134" s="38" t="str">
        <f t="shared" si="2"/>
        <v>https://github.com/SF-Bancoppel/mx-api-bc-pro-party-ref-dat-dir-corp</v>
      </c>
      <c r="T1134" s="40"/>
      <c r="U1134" s="40"/>
      <c r="V1134" s="40"/>
      <c r="W1134" s="40"/>
      <c r="X1134" s="40"/>
      <c r="Y1134" s="40"/>
      <c r="Z1134" s="40"/>
      <c r="AA1134" s="40"/>
      <c r="AB1134" s="40"/>
    </row>
    <row r="1135" ht="18.75" customHeight="1">
      <c r="A1135" s="18" t="str">
        <f t="array" ref="A1135">IFERROR(
  INDEX(
    'api-register-id'!A:A,
    MATCH(F1135, 'api-register-id'!B:B, 0)
  ),
  "Not found Organization"
)</f>
        <v>Empresa Net</v>
      </c>
      <c r="B1135" s="22" t="str">
        <f>IFERROR(VLOOKUP(F1135, 'api-register-id'!B:F, 4, FALSE), "Not found path.")</f>
        <v>mx-api-bc-pro-party-ref-dat-dir-corp</v>
      </c>
      <c r="C1135" s="200" t="s">
        <v>41</v>
      </c>
      <c r="D1135" s="200" t="s">
        <v>811</v>
      </c>
      <c r="E1135" s="24" t="str">
        <f>IFERROR(VLOOKUP(F1135, 'api-register-id'!B:F, 5, FALSE), "Not found path.")</f>
        <v>APIMX000178</v>
      </c>
      <c r="F1135" s="204" t="s">
        <v>2664</v>
      </c>
      <c r="G1135" s="26" t="s">
        <v>6607</v>
      </c>
      <c r="H1135" s="205" t="s">
        <v>6608</v>
      </c>
      <c r="I1135" s="29" t="str">
        <f>IFERROR(VLOOKUP(F1135, 'api-register-id'!B:I, 8, FALSE), "Not found path.")</f>
        <v/>
      </c>
      <c r="J1135" s="1" t="s">
        <v>3395</v>
      </c>
      <c r="K1135" s="214" t="s">
        <v>48</v>
      </c>
      <c r="L1135" s="200" t="s">
        <v>49</v>
      </c>
      <c r="M1135" s="212" t="s">
        <v>6444</v>
      </c>
      <c r="N1135" s="3" t="str">
        <f t="shared" si="8"/>
        <v>POST /system/customerManagement/partyReferenceDataDirectory/v1/corporate/user/create</v>
      </c>
      <c r="O1135" s="40"/>
      <c r="P1135" s="40"/>
      <c r="Q1135" s="61" t="s">
        <v>98</v>
      </c>
      <c r="R1135" s="31" t="s">
        <v>56</v>
      </c>
      <c r="S1135" s="38" t="str">
        <f t="shared" si="2"/>
        <v>https://github.com/SF-Bancoppel/mx-api-bc-pro-party-ref-dat-dir-corp</v>
      </c>
      <c r="T1135" s="40"/>
      <c r="U1135" s="40"/>
      <c r="V1135" s="40"/>
      <c r="W1135" s="40"/>
      <c r="X1135" s="40"/>
      <c r="Y1135" s="40"/>
      <c r="Z1135" s="40"/>
      <c r="AA1135" s="40"/>
      <c r="AB1135" s="40"/>
    </row>
    <row r="1136" ht="18.75" customHeight="1">
      <c r="A1136" s="18" t="str">
        <f t="array" ref="A1136">IFERROR(
  INDEX(
    'api-register-id'!A:A,
    MATCH(F1136, 'api-register-id'!B:B, 0)
  ),
  "Not found Organization"
)</f>
        <v>Empresa Net</v>
      </c>
      <c r="B1136" s="22" t="str">
        <f>IFERROR(VLOOKUP(F1136, 'api-register-id'!B:F, 4, FALSE), "Not found path.")</f>
        <v>mx-api-bc-pro-party-ref-dat-dir-corp</v>
      </c>
      <c r="C1136" s="200" t="s">
        <v>41</v>
      </c>
      <c r="D1136" s="200" t="s">
        <v>811</v>
      </c>
      <c r="E1136" s="24" t="str">
        <f>IFERROR(VLOOKUP(F1136, 'api-register-id'!B:F, 5, FALSE), "Not found path.")</f>
        <v>APIMX000178</v>
      </c>
      <c r="F1136" s="204" t="s">
        <v>2664</v>
      </c>
      <c r="G1136" s="26" t="s">
        <v>6609</v>
      </c>
      <c r="H1136" s="205" t="s">
        <v>6610</v>
      </c>
      <c r="I1136" s="29" t="str">
        <f>IFERROR(VLOOKUP(F1136, 'api-register-id'!B:I, 8, FALSE), "Not found path.")</f>
        <v/>
      </c>
      <c r="J1136" s="1" t="s">
        <v>3395</v>
      </c>
      <c r="K1136" s="214" t="s">
        <v>48</v>
      </c>
      <c r="L1136" s="200" t="s">
        <v>49</v>
      </c>
      <c r="M1136" s="212" t="s">
        <v>6447</v>
      </c>
      <c r="N1136" s="3" t="str">
        <f t="shared" si="8"/>
        <v>POST /system/customerManagement/partyReferenceDataDirectory/v1/corporate/user/update</v>
      </c>
      <c r="O1136" s="40"/>
      <c r="P1136" s="40"/>
      <c r="Q1136" s="61" t="s">
        <v>98</v>
      </c>
      <c r="R1136" s="31" t="s">
        <v>56</v>
      </c>
      <c r="S1136" s="38" t="str">
        <f t="shared" si="2"/>
        <v>https://github.com/SF-Bancoppel/mx-api-bc-pro-party-ref-dat-dir-corp</v>
      </c>
      <c r="T1136" s="40"/>
      <c r="U1136" s="40"/>
      <c r="V1136" s="40"/>
      <c r="W1136" s="40"/>
      <c r="X1136" s="40"/>
      <c r="Y1136" s="40"/>
      <c r="Z1136" s="40"/>
      <c r="AA1136" s="40"/>
      <c r="AB1136" s="40"/>
    </row>
    <row r="1137" ht="18.75" customHeight="1">
      <c r="A1137" s="18" t="str">
        <f t="array" ref="A1137">IFERROR(
  INDEX(
    'api-register-id'!A:A,
    MATCH(F1137, 'api-register-id'!B:B, 0)
  ),
  "Not found Organization"
)</f>
        <v>Empresa Net</v>
      </c>
      <c r="B1137" s="22" t="str">
        <f>IFERROR(VLOOKUP(F1137, 'api-register-id'!B:F, 4, FALSE), "Not found path.")</f>
        <v>mx-api-bc-pro-party-ref-dat-dir-corp</v>
      </c>
      <c r="C1137" s="200" t="s">
        <v>41</v>
      </c>
      <c r="D1137" s="200" t="s">
        <v>811</v>
      </c>
      <c r="E1137" s="24" t="str">
        <f>IFERROR(VLOOKUP(F1137, 'api-register-id'!B:F, 5, FALSE), "Not found path.")</f>
        <v>APIMX000178</v>
      </c>
      <c r="F1137" s="204" t="s">
        <v>2664</v>
      </c>
      <c r="G1137" s="26" t="s">
        <v>6611</v>
      </c>
      <c r="H1137" s="205" t="s">
        <v>6612</v>
      </c>
      <c r="I1137" s="29" t="str">
        <f>IFERROR(VLOOKUP(F1137, 'api-register-id'!B:I, 8, FALSE), "Not found path.")</f>
        <v/>
      </c>
      <c r="J1137" s="1" t="s">
        <v>3395</v>
      </c>
      <c r="K1137" s="214" t="s">
        <v>48</v>
      </c>
      <c r="L1137" s="200" t="s">
        <v>49</v>
      </c>
      <c r="M1137" s="212" t="s">
        <v>6450</v>
      </c>
      <c r="N1137" s="3" t="str">
        <f t="shared" si="8"/>
        <v>POST /system/customerManagement/partyReferenceDataDirectory/v1/corporate/company/enroll/validateAccount</v>
      </c>
      <c r="O1137" s="40"/>
      <c r="P1137" s="40"/>
      <c r="Q1137" s="61" t="s">
        <v>98</v>
      </c>
      <c r="R1137" s="31" t="s">
        <v>56</v>
      </c>
      <c r="S1137" s="38" t="str">
        <f t="shared" si="2"/>
        <v>https://github.com/SF-Bancoppel/mx-api-bc-pro-party-ref-dat-dir-corp</v>
      </c>
      <c r="T1137" s="40"/>
      <c r="U1137" s="40"/>
      <c r="V1137" s="40"/>
      <c r="W1137" s="40"/>
      <c r="X1137" s="40"/>
      <c r="Y1137" s="40"/>
      <c r="Z1137" s="40"/>
      <c r="AA1137" s="40"/>
      <c r="AB1137" s="40"/>
    </row>
    <row r="1138" ht="18.75" customHeight="1">
      <c r="A1138" s="18" t="s">
        <v>1827</v>
      </c>
      <c r="B1138" s="22" t="s">
        <v>2666</v>
      </c>
      <c r="C1138" s="213" t="s">
        <v>41</v>
      </c>
      <c r="D1138" s="213" t="s">
        <v>811</v>
      </c>
      <c r="E1138" s="24" t="str">
        <f>IFERROR(VLOOKUP(F1138, 'api-register-id'!B:F, 5, FALSE), "Not found path.")</f>
        <v>APIMX000178</v>
      </c>
      <c r="F1138" s="219" t="s">
        <v>2664</v>
      </c>
      <c r="G1138" s="26" t="s">
        <v>6613</v>
      </c>
      <c r="H1138" s="199" t="s">
        <v>6610</v>
      </c>
      <c r="I1138" s="29"/>
      <c r="J1138" s="192" t="s">
        <v>3395</v>
      </c>
      <c r="K1138" s="31" t="s">
        <v>48</v>
      </c>
      <c r="L1138" s="213" t="s">
        <v>61</v>
      </c>
      <c r="M1138" s="192" t="s">
        <v>6447</v>
      </c>
      <c r="N1138" s="217" t="str">
        <f>CONCATENATE(L1138, " ", J1138, M1138)</f>
        <v>PUT /system/customerManagement/partyReferenceDataDirectory/v1/corporate/user/update</v>
      </c>
      <c r="O1138" s="40"/>
      <c r="P1138" s="40"/>
      <c r="Q1138" s="212"/>
      <c r="R1138" s="31" t="s">
        <v>56</v>
      </c>
      <c r="S1138" s="218" t="str">
        <f t="shared" si="2"/>
        <v>https://github.com/SF-Bancoppel/mx-api-bc-pro-party-ref-dat-dir-corp</v>
      </c>
      <c r="T1138" s="40"/>
      <c r="U1138" s="40"/>
      <c r="V1138" s="40"/>
      <c r="W1138" s="40"/>
      <c r="X1138" s="40"/>
      <c r="Y1138" s="40"/>
      <c r="Z1138" s="40"/>
      <c r="AA1138" s="40"/>
      <c r="AB1138" s="40"/>
    </row>
    <row r="1139" ht="18.75" customHeight="1">
      <c r="A1139" s="18" t="str">
        <f t="array" ref="A1139">IFERROR(
  INDEX(
    'api-register-id'!A:A,
    MATCH(F1139, 'api-register-id'!B:B, 0)
  ),
  "Not found Organization"
)</f>
        <v>Empresa Net</v>
      </c>
      <c r="B1139" s="22" t="str">
        <f>IFERROR(VLOOKUP(F1139, 'api-register-id'!B:F, 4, FALSE), "Not found path.")</f>
        <v>mx-api-bc-pro-iss-dev-admin-corp</v>
      </c>
      <c r="C1139" s="200" t="s">
        <v>41</v>
      </c>
      <c r="D1139" s="200" t="s">
        <v>811</v>
      </c>
      <c r="E1139" s="24" t="str">
        <f>IFERROR(VLOOKUP(F1139, 'api-register-id'!B:F, 5, FALSE), "Not found path.")</f>
        <v>APIMX000179</v>
      </c>
      <c r="F1139" s="61" t="s">
        <v>2673</v>
      </c>
      <c r="G1139" s="26" t="s">
        <v>6614</v>
      </c>
      <c r="H1139" s="205" t="s">
        <v>6615</v>
      </c>
      <c r="I1139" s="29" t="str">
        <f>IFERROR(VLOOKUP(F1139, 'api-register-id'!B:I, 8, FALSE), "Not found path.")</f>
        <v>1.7.0</v>
      </c>
      <c r="J1139" s="212" t="s">
        <v>3022</v>
      </c>
      <c r="K1139" s="214" t="s">
        <v>48</v>
      </c>
      <c r="L1139" s="200" t="s">
        <v>49</v>
      </c>
      <c r="M1139" s="61" t="s">
        <v>6462</v>
      </c>
      <c r="N1139" s="3" t="str">
        <f t="shared" ref="N1139:N1145" si="9">CONCATENATE(L1139," ",J1139,M1139)</f>
        <v>POST /system/operationalServices/issuedDeviceAdministration/v1/corporate/hardToken/set</v>
      </c>
      <c r="O1139" s="40"/>
      <c r="P1139" s="40"/>
      <c r="Q1139" s="61" t="s">
        <v>98</v>
      </c>
      <c r="R1139" s="31" t="s">
        <v>56</v>
      </c>
      <c r="S1139" s="38" t="str">
        <f t="shared" si="2"/>
        <v>https://github.com/SF-Bancoppel/mx-api-bc-pro-iss-dev-admin-corp</v>
      </c>
      <c r="T1139" s="40"/>
      <c r="U1139" s="22"/>
      <c r="V1139" s="40"/>
      <c r="W1139" s="40"/>
      <c r="X1139" s="40"/>
      <c r="Y1139" s="40"/>
      <c r="Z1139" s="22"/>
      <c r="AA1139" s="22"/>
      <c r="AB1139" s="22"/>
    </row>
    <row r="1140" ht="18.75" customHeight="1">
      <c r="A1140" s="18" t="str">
        <f t="array" ref="A1140">IFERROR(
  INDEX(
    'api-register-id'!A:A,
    MATCH(F1140, 'api-register-id'!B:B, 0)
  ),
  "Not found Organization"
)</f>
        <v>Empresa Net</v>
      </c>
      <c r="B1140" s="22" t="str">
        <f>IFERROR(VLOOKUP(F1140, 'api-register-id'!B:F, 4, FALSE), "Not found path.")</f>
        <v>mx-api-bc-pro-iss-dev-admin-corp</v>
      </c>
      <c r="C1140" s="200" t="s">
        <v>41</v>
      </c>
      <c r="D1140" s="200" t="s">
        <v>811</v>
      </c>
      <c r="E1140" s="24" t="str">
        <f>IFERROR(VLOOKUP(F1140, 'api-register-id'!B:F, 5, FALSE), "Not found path.")</f>
        <v>APIMX000179</v>
      </c>
      <c r="F1140" s="204" t="s">
        <v>2673</v>
      </c>
      <c r="G1140" s="26" t="s">
        <v>6616</v>
      </c>
      <c r="H1140" s="204" t="s">
        <v>6617</v>
      </c>
      <c r="I1140" s="29" t="str">
        <f>IFERROR(VLOOKUP(F1140, 'api-register-id'!B:I, 8, FALSE), "Not found path.")</f>
        <v>1.7.0</v>
      </c>
      <c r="J1140" s="212" t="s">
        <v>3022</v>
      </c>
      <c r="K1140" s="214" t="s">
        <v>48</v>
      </c>
      <c r="L1140" s="200" t="s">
        <v>49</v>
      </c>
      <c r="M1140" s="61" t="s">
        <v>6465</v>
      </c>
      <c r="N1140" s="3" t="str">
        <f t="shared" si="9"/>
        <v>POST /system/operationalServices/issuedDeviceAdministration/v1/corporate/hardToken/sync</v>
      </c>
      <c r="O1140" s="40"/>
      <c r="P1140" s="40"/>
      <c r="Q1140" s="61" t="s">
        <v>98</v>
      </c>
      <c r="R1140" s="31" t="s">
        <v>56</v>
      </c>
      <c r="S1140" s="38" t="str">
        <f t="shared" si="2"/>
        <v>https://github.com/SF-Bancoppel/mx-api-bc-pro-iss-dev-admin-corp</v>
      </c>
      <c r="T1140" s="40"/>
      <c r="U1140" s="22"/>
      <c r="V1140" s="40"/>
      <c r="W1140" s="40"/>
      <c r="X1140" s="40"/>
      <c r="Y1140" s="40"/>
      <c r="Z1140" s="22"/>
      <c r="AA1140" s="22"/>
      <c r="AB1140" s="22"/>
    </row>
    <row r="1141" ht="18.75" customHeight="1">
      <c r="A1141" s="18" t="str">
        <f t="array" ref="A1141">IFERROR(
  INDEX(
    'api-register-id'!A:A,
    MATCH(F1141, 'api-register-id'!B:B, 0)
  ),
  "Not found Organization"
)</f>
        <v>Empresa Net</v>
      </c>
      <c r="B1141" s="22" t="str">
        <f>IFERROR(VLOOKUP(F1141, 'api-register-id'!B:F, 4, FALSE), "Not found path.")</f>
        <v>mx-api-bc-pro-iss-dev-admin-corp</v>
      </c>
      <c r="C1141" s="200" t="s">
        <v>41</v>
      </c>
      <c r="D1141" s="200" t="s">
        <v>811</v>
      </c>
      <c r="E1141" s="24" t="str">
        <f>IFERROR(VLOOKUP(F1141, 'api-register-id'!B:F, 5, FALSE), "Not found path.")</f>
        <v>APIMX000179</v>
      </c>
      <c r="F1141" s="204" t="s">
        <v>2673</v>
      </c>
      <c r="G1141" s="26" t="s">
        <v>6618</v>
      </c>
      <c r="H1141" s="204" t="s">
        <v>6619</v>
      </c>
      <c r="I1141" s="29" t="str">
        <f>IFERROR(VLOOKUP(F1141, 'api-register-id'!B:I, 8, FALSE), "Not found path.")</f>
        <v>1.7.0</v>
      </c>
      <c r="J1141" s="212" t="s">
        <v>3022</v>
      </c>
      <c r="K1141" s="214" t="s">
        <v>48</v>
      </c>
      <c r="L1141" s="200" t="s">
        <v>49</v>
      </c>
      <c r="M1141" s="61" t="s">
        <v>6468</v>
      </c>
      <c r="N1141" s="3" t="str">
        <f t="shared" si="9"/>
        <v>POST /system/operationalServices/issuedDeviceAdministration/v1/corporate/hardToken/otp/validate</v>
      </c>
      <c r="O1141" s="22" t="s">
        <v>6620</v>
      </c>
      <c r="P1141" s="40"/>
      <c r="Q1141" s="61" t="s">
        <v>98</v>
      </c>
      <c r="R1141" s="31" t="s">
        <v>56</v>
      </c>
      <c r="S1141" s="38" t="str">
        <f t="shared" si="2"/>
        <v>https://github.com/SF-Bancoppel/mx-api-bc-pro-iss-dev-admin-corp</v>
      </c>
      <c r="T1141" s="40"/>
      <c r="U1141" s="40"/>
      <c r="V1141" s="40"/>
      <c r="W1141" s="40"/>
      <c r="X1141" s="40"/>
      <c r="Y1141" s="40"/>
      <c r="Z1141" s="40"/>
      <c r="AA1141" s="40"/>
      <c r="AB1141" s="40"/>
    </row>
    <row r="1142" ht="18.75" customHeight="1">
      <c r="A1142" s="18" t="str">
        <f t="array" ref="A1142">IFERROR(
  INDEX(
    'api-register-id'!A:A,
    MATCH(F1142, 'api-register-id'!B:B, 0)
  ),
  "Not found Organization"
)</f>
        <v>Empresa Net</v>
      </c>
      <c r="B1142" s="22" t="str">
        <f>IFERROR(VLOOKUP(F1142, 'api-register-id'!B:F, 4, FALSE), "Not found path.")</f>
        <v>mx-api-bc-pro-iss-dev-admin-corp</v>
      </c>
      <c r="C1142" s="200" t="s">
        <v>41</v>
      </c>
      <c r="D1142" s="200" t="s">
        <v>811</v>
      </c>
      <c r="E1142" s="24" t="str">
        <f>IFERROR(VLOOKUP(F1142, 'api-register-id'!B:F, 5, FALSE), "Not found path.")</f>
        <v>APIMX000179</v>
      </c>
      <c r="F1142" s="204" t="s">
        <v>2673</v>
      </c>
      <c r="G1142" s="26" t="s">
        <v>6621</v>
      </c>
      <c r="H1142" s="205" t="s">
        <v>6622</v>
      </c>
      <c r="I1142" s="29" t="str">
        <f>IFERROR(VLOOKUP(F1142, 'api-register-id'!B:I, 8, FALSE), "Not found path.")</f>
        <v>1.7.0</v>
      </c>
      <c r="J1142" s="1" t="s">
        <v>3022</v>
      </c>
      <c r="K1142" s="214" t="s">
        <v>48</v>
      </c>
      <c r="L1142" s="200" t="s">
        <v>49</v>
      </c>
      <c r="M1142" s="212" t="s">
        <v>6471</v>
      </c>
      <c r="N1142" s="3" t="str">
        <f t="shared" si="9"/>
        <v>POST /system/operationalServices/issuedDeviceAdministration/v1/corporate/user/codesSent/add</v>
      </c>
      <c r="O1142" s="40"/>
      <c r="P1142" s="40"/>
      <c r="Q1142" s="61" t="s">
        <v>98</v>
      </c>
      <c r="R1142" s="31" t="s">
        <v>56</v>
      </c>
      <c r="S1142" s="38" t="str">
        <f t="shared" si="2"/>
        <v>https://github.com/SF-Bancoppel/mx-api-bc-pro-iss-dev-admin-corp</v>
      </c>
      <c r="T1142" s="40"/>
      <c r="U1142" s="40"/>
      <c r="V1142" s="40"/>
      <c r="W1142" s="40"/>
      <c r="X1142" s="40"/>
      <c r="Y1142" s="40"/>
      <c r="Z1142" s="40"/>
      <c r="AA1142" s="40"/>
      <c r="AB1142" s="40"/>
    </row>
    <row r="1143" ht="18.75" customHeight="1">
      <c r="A1143" s="18" t="str">
        <f t="array" ref="A1143">IFERROR(
  INDEX(
    'api-register-id'!A:A,
    MATCH(F1143, 'api-register-id'!B:B, 0)
  ),
  "Not found Organization"
)</f>
        <v>Empresa Net</v>
      </c>
      <c r="B1143" s="22" t="str">
        <f>IFERROR(VLOOKUP(F1143, 'api-register-id'!B:F, 4, FALSE), "Not found path.")</f>
        <v>mx-api-bc-pro-iss-dev-admin-corp</v>
      </c>
      <c r="C1143" s="200" t="s">
        <v>41</v>
      </c>
      <c r="D1143" s="200" t="s">
        <v>811</v>
      </c>
      <c r="E1143" s="24" t="str">
        <f>IFERROR(VLOOKUP(F1143, 'api-register-id'!B:F, 5, FALSE), "Not found path.")</f>
        <v>APIMX000179</v>
      </c>
      <c r="F1143" s="204" t="s">
        <v>2673</v>
      </c>
      <c r="G1143" s="26" t="s">
        <v>6623</v>
      </c>
      <c r="H1143" s="205" t="s">
        <v>6624</v>
      </c>
      <c r="I1143" s="29" t="str">
        <f>IFERROR(VLOOKUP(F1143, 'api-register-id'!B:I, 8, FALSE), "Not found path.")</f>
        <v>1.7.0</v>
      </c>
      <c r="J1143" s="1" t="s">
        <v>3022</v>
      </c>
      <c r="K1143" s="214" t="s">
        <v>48</v>
      </c>
      <c r="L1143" s="200" t="s">
        <v>49</v>
      </c>
      <c r="M1143" s="212" t="s">
        <v>6474</v>
      </c>
      <c r="N1143" s="3" t="str">
        <f t="shared" si="9"/>
        <v>POST /system/operationalServices/issuedDeviceAdministration/v1/corporate/user/codesSent/reset</v>
      </c>
      <c r="O1143" s="40"/>
      <c r="P1143" s="40"/>
      <c r="Q1143" s="61" t="s">
        <v>98</v>
      </c>
      <c r="R1143" s="31" t="s">
        <v>56</v>
      </c>
      <c r="S1143" s="38" t="str">
        <f t="shared" si="2"/>
        <v>https://github.com/SF-Bancoppel/mx-api-bc-pro-iss-dev-admin-corp</v>
      </c>
      <c r="T1143" s="40"/>
      <c r="U1143" s="40"/>
      <c r="V1143" s="40"/>
      <c r="W1143" s="40"/>
      <c r="X1143" s="40"/>
      <c r="Y1143" s="40"/>
      <c r="Z1143" s="40"/>
      <c r="AA1143" s="40"/>
      <c r="AB1143" s="40"/>
    </row>
    <row r="1144" ht="18.75" customHeight="1">
      <c r="A1144" s="18" t="str">
        <f t="array" ref="A1144">IFERROR(
  INDEX(
    'api-register-id'!A:A,
    MATCH(F1144, 'api-register-id'!B:B, 0)
  ),
  "Not found Organization"
)</f>
        <v>Empresa Net</v>
      </c>
      <c r="B1144" s="22" t="str">
        <f>IFERROR(VLOOKUP(F1144, 'api-register-id'!B:F, 4, FALSE), "Not found path.")</f>
        <v>mx-api-bc-pro-iss-dev-admin-corp</v>
      </c>
      <c r="C1144" s="200" t="s">
        <v>41</v>
      </c>
      <c r="D1144" s="200" t="s">
        <v>811</v>
      </c>
      <c r="E1144" s="24" t="str">
        <f>IFERROR(VLOOKUP(F1144, 'api-register-id'!B:F, 5, FALSE), "Not found path.")</f>
        <v>APIMX000179</v>
      </c>
      <c r="F1144" s="204" t="s">
        <v>2673</v>
      </c>
      <c r="G1144" s="26" t="s">
        <v>6625</v>
      </c>
      <c r="H1144" s="205" t="s">
        <v>6626</v>
      </c>
      <c r="I1144" s="29" t="str">
        <f>IFERROR(VLOOKUP(F1144, 'api-register-id'!B:I, 8, FALSE), "Not found path.")</f>
        <v>1.7.0</v>
      </c>
      <c r="J1144" s="1" t="s">
        <v>3022</v>
      </c>
      <c r="K1144" s="214" t="s">
        <v>48</v>
      </c>
      <c r="L1144" s="200" t="s">
        <v>49</v>
      </c>
      <c r="M1144" s="212" t="s">
        <v>6477</v>
      </c>
      <c r="N1144" s="3" t="str">
        <f t="shared" si="9"/>
        <v>POST /system/operationalServices/issuedDeviceAdministration/v1/corporate/user/codesSent/validate</v>
      </c>
      <c r="O1144" s="40"/>
      <c r="P1144" s="40"/>
      <c r="Q1144" s="61" t="s">
        <v>98</v>
      </c>
      <c r="R1144" s="31" t="s">
        <v>56</v>
      </c>
      <c r="S1144" s="38" t="str">
        <f t="shared" si="2"/>
        <v>https://github.com/SF-Bancoppel/mx-api-bc-pro-iss-dev-admin-corp</v>
      </c>
      <c r="T1144" s="40"/>
      <c r="U1144" s="40"/>
      <c r="V1144" s="40"/>
      <c r="W1144" s="40"/>
      <c r="X1144" s="40"/>
      <c r="Y1144" s="40"/>
      <c r="Z1144" s="40"/>
      <c r="AA1144" s="40"/>
      <c r="AB1144" s="40"/>
    </row>
    <row r="1145" ht="18.75" customHeight="1">
      <c r="A1145" s="18" t="str">
        <f t="array" ref="A1145">IFERROR(
  INDEX(
    'api-register-id'!A:A,
    MATCH(F1145, 'api-register-id'!B:B, 0)
  ),
  "Not found Organization"
)</f>
        <v>Empresa Net</v>
      </c>
      <c r="B1145" s="22" t="str">
        <f>IFERROR(VLOOKUP(F1145, 'api-register-id'!B:F, 4, FALSE), "Not found path.")</f>
        <v>mx-api-bc-pro-iss-dev-admin-corp</v>
      </c>
      <c r="C1145" s="200" t="s">
        <v>41</v>
      </c>
      <c r="D1145" s="200" t="s">
        <v>811</v>
      </c>
      <c r="E1145" s="24" t="str">
        <f>IFERROR(VLOOKUP(F1145, 'api-register-id'!B:F, 5, FALSE), "Not found path.")</f>
        <v>APIMX000179</v>
      </c>
      <c r="F1145" s="204" t="s">
        <v>2673</v>
      </c>
      <c r="G1145" s="26" t="s">
        <v>6627</v>
      </c>
      <c r="H1145" s="205" t="s">
        <v>6628</v>
      </c>
      <c r="I1145" s="29" t="str">
        <f>IFERROR(VLOOKUP(F1145, 'api-register-id'!B:I, 8, FALSE), "Not found path.")</f>
        <v>1.7.0</v>
      </c>
      <c r="J1145" s="1" t="s">
        <v>3022</v>
      </c>
      <c r="K1145" s="214" t="s">
        <v>48</v>
      </c>
      <c r="L1145" s="200" t="s">
        <v>49</v>
      </c>
      <c r="M1145" s="212" t="s">
        <v>6480</v>
      </c>
      <c r="N1145" s="3" t="str">
        <f t="shared" si="9"/>
        <v>POST /system/operationalServices/issuedDeviceAdministration/v1/corporate/hardToken/getRenewalCommission</v>
      </c>
      <c r="O1145" s="40"/>
      <c r="P1145" s="40"/>
      <c r="Q1145" s="61" t="s">
        <v>98</v>
      </c>
      <c r="R1145" s="31" t="s">
        <v>56</v>
      </c>
      <c r="S1145" s="38" t="str">
        <f t="shared" si="2"/>
        <v>https://github.com/SF-Bancoppel/mx-api-bc-pro-iss-dev-admin-corp</v>
      </c>
      <c r="T1145" s="40"/>
      <c r="U1145" s="22"/>
      <c r="V1145" s="40"/>
      <c r="W1145" s="40"/>
      <c r="X1145" s="40"/>
      <c r="Y1145" s="40"/>
      <c r="Z1145" s="22"/>
      <c r="AA1145" s="22"/>
      <c r="AB1145" s="22"/>
    </row>
    <row r="1146" ht="18.75" customHeight="1">
      <c r="A1146" s="18"/>
      <c r="B1146" s="22"/>
      <c r="C1146" s="234"/>
      <c r="D1146" s="234"/>
      <c r="E1146" s="24"/>
      <c r="F1146" s="235"/>
      <c r="G1146" s="26" t="s">
        <v>6629</v>
      </c>
      <c r="H1146" s="3"/>
      <c r="I1146" s="236"/>
      <c r="J1146" s="237"/>
      <c r="K1146" s="238"/>
      <c r="L1146" s="239"/>
      <c r="M1146" s="240"/>
      <c r="N1146" s="239"/>
      <c r="O1146" s="234"/>
      <c r="P1146" s="240"/>
      <c r="Q1146" s="237"/>
      <c r="R1146" s="241"/>
      <c r="S1146" s="242"/>
      <c r="T1146" s="243"/>
      <c r="U1146" s="241"/>
      <c r="V1146" s="240"/>
      <c r="W1146" s="240"/>
      <c r="X1146" s="240"/>
      <c r="Y1146" s="240"/>
      <c r="Z1146" s="241"/>
      <c r="AA1146" s="241"/>
      <c r="AB1146" s="241"/>
    </row>
    <row r="1147" ht="18.75" customHeight="1">
      <c r="A1147" s="18" t="str">
        <f t="array" ref="A1147">IFERROR(
  INDEX(
    'api-register-id'!A:A,
    MATCH(F1147, 'api-register-id'!B:B, 0)
  ),
  "Not found Organization"
)</f>
        <v>Empresa Net</v>
      </c>
      <c r="B1147" s="22" t="str">
        <f>IFERROR(VLOOKUP(F1147, 'api-register-id'!B:F, 4, FALSE), "Not found path.")</f>
        <v>mx-api-bc-pro-iss-dev-admin-corp</v>
      </c>
      <c r="C1147" s="200" t="s">
        <v>41</v>
      </c>
      <c r="D1147" s="200" t="s">
        <v>811</v>
      </c>
      <c r="E1147" s="24" t="str">
        <f>IFERROR(VLOOKUP(F1147, 'api-register-id'!B:F, 5, FALSE), "Not found path.")</f>
        <v>APIMX000179</v>
      </c>
      <c r="F1147" s="204" t="s">
        <v>2673</v>
      </c>
      <c r="G1147" s="26" t="s">
        <v>6630</v>
      </c>
      <c r="H1147" s="205" t="s">
        <v>6631</v>
      </c>
      <c r="I1147" s="29" t="str">
        <f>IFERROR(VLOOKUP(F1147, 'api-register-id'!B:I, 8, FALSE), "Not found path.")</f>
        <v>1.7.0</v>
      </c>
      <c r="J1147" s="1" t="s">
        <v>3022</v>
      </c>
      <c r="K1147" s="214" t="s">
        <v>48</v>
      </c>
      <c r="L1147" s="200" t="s">
        <v>49</v>
      </c>
      <c r="M1147" s="212" t="s">
        <v>6483</v>
      </c>
      <c r="N1147" s="3" t="str">
        <f t="shared" ref="N1147:N1154" si="10">CONCATENATE(L1147," ",J1147,M1147)</f>
        <v>POST /system/operationalServices/issuedDeviceAdministration/v1/corporate/hardToken/detail</v>
      </c>
      <c r="O1147" s="40"/>
      <c r="P1147" s="40"/>
      <c r="Q1147" s="61" t="s">
        <v>98</v>
      </c>
      <c r="R1147" s="31" t="s">
        <v>56</v>
      </c>
      <c r="S1147" s="38" t="str">
        <f t="shared" ref="S1147:S1212" si="11">"https://github.com/SF-Bancoppel/"&amp;B1147</f>
        <v>https://github.com/SF-Bancoppel/mx-api-bc-pro-iss-dev-admin-corp</v>
      </c>
      <c r="T1147" s="40"/>
      <c r="U1147" s="40"/>
      <c r="V1147" s="40"/>
      <c r="W1147" s="40"/>
      <c r="X1147" s="40"/>
      <c r="Y1147" s="40"/>
      <c r="Z1147" s="40"/>
      <c r="AA1147" s="40"/>
      <c r="AB1147" s="40"/>
    </row>
    <row r="1148" ht="18.75" customHeight="1">
      <c r="A1148" s="18" t="str">
        <f t="array" ref="A1148">IFERROR(
  INDEX(
    'api-register-id'!A:A,
    MATCH(F1148, 'api-register-id'!B:B, 0)
  ),
  "Not found Organization"
)</f>
        <v>Empresa Net</v>
      </c>
      <c r="B1148" s="22" t="str">
        <f>IFERROR(VLOOKUP(F1148, 'api-register-id'!B:F, 4, FALSE), "Not found path.")</f>
        <v>mx-api-bc-pro-iss-dev-admin-corp</v>
      </c>
      <c r="C1148" s="200" t="s">
        <v>41</v>
      </c>
      <c r="D1148" s="200" t="s">
        <v>811</v>
      </c>
      <c r="E1148" s="24" t="str">
        <f>IFERROR(VLOOKUP(F1148, 'api-register-id'!B:F, 5, FALSE), "Not found path.")</f>
        <v>APIMX000179</v>
      </c>
      <c r="F1148" s="204" t="s">
        <v>2673</v>
      </c>
      <c r="G1148" s="26" t="s">
        <v>6632</v>
      </c>
      <c r="H1148" s="205" t="s">
        <v>6633</v>
      </c>
      <c r="I1148" s="29" t="str">
        <f>IFERROR(VLOOKUP(F1148, 'api-register-id'!B:I, 8, FALSE), "Not found path.")</f>
        <v>1.7.0</v>
      </c>
      <c r="J1148" s="1" t="s">
        <v>3022</v>
      </c>
      <c r="K1148" s="214" t="s">
        <v>48</v>
      </c>
      <c r="L1148" s="200" t="s">
        <v>49</v>
      </c>
      <c r="M1148" s="212" t="s">
        <v>6486</v>
      </c>
      <c r="N1148" s="3" t="str">
        <f t="shared" si="10"/>
        <v>POST /system/operationalServices/issuedDeviceAdministration/v1/corporate/hardToken/validateExpiration</v>
      </c>
      <c r="O1148" s="40"/>
      <c r="P1148" s="40"/>
      <c r="Q1148" s="61" t="s">
        <v>98</v>
      </c>
      <c r="R1148" s="31" t="s">
        <v>56</v>
      </c>
      <c r="S1148" s="38" t="str">
        <f t="shared" si="11"/>
        <v>https://github.com/SF-Bancoppel/mx-api-bc-pro-iss-dev-admin-corp</v>
      </c>
      <c r="T1148" s="40"/>
      <c r="U1148" s="40"/>
      <c r="V1148" s="40"/>
      <c r="W1148" s="40"/>
      <c r="X1148" s="40"/>
      <c r="Y1148" s="40"/>
      <c r="Z1148" s="40"/>
      <c r="AA1148" s="40"/>
      <c r="AB1148" s="40"/>
    </row>
    <row r="1149" ht="18.75" customHeight="1">
      <c r="A1149" s="18" t="str">
        <f t="array" ref="A1149">IFERROR(
  INDEX(
    'api-register-id'!A:A,
    MATCH(F1149, 'api-register-id'!B:B, 0)
  ),
  "Not found Organization"
)</f>
        <v>Empresa Net</v>
      </c>
      <c r="B1149" s="22" t="str">
        <f>IFERROR(VLOOKUP(F1149, 'api-register-id'!B:F, 4, FALSE), "Not found path.")</f>
        <v>mx-api-bc-pro-iss-dev-admin-corp</v>
      </c>
      <c r="C1149" s="200" t="s">
        <v>41</v>
      </c>
      <c r="D1149" s="200" t="s">
        <v>811</v>
      </c>
      <c r="E1149" s="24" t="str">
        <f>IFERROR(VLOOKUP(F1149, 'api-register-id'!B:F, 5, FALSE), "Not found path.")</f>
        <v>APIMX000179</v>
      </c>
      <c r="F1149" s="204" t="s">
        <v>2673</v>
      </c>
      <c r="G1149" s="26" t="s">
        <v>6634</v>
      </c>
      <c r="H1149" s="205" t="s">
        <v>6635</v>
      </c>
      <c r="I1149" s="29" t="str">
        <f>IFERROR(VLOOKUP(F1149, 'api-register-id'!B:I, 8, FALSE), "Not found path.")</f>
        <v>1.7.0</v>
      </c>
      <c r="J1149" s="1" t="s">
        <v>3022</v>
      </c>
      <c r="K1149" s="214" t="s">
        <v>48</v>
      </c>
      <c r="L1149" s="200" t="s">
        <v>49</v>
      </c>
      <c r="M1149" s="212" t="s">
        <v>6489</v>
      </c>
      <c r="N1149" s="3" t="str">
        <f t="shared" si="10"/>
        <v>POST /system/operationalServices/issuedDeviceAdministration/v1/corporate/user/recoveryCode/send</v>
      </c>
      <c r="O1149" s="40"/>
      <c r="P1149" s="40"/>
      <c r="Q1149" s="61" t="s">
        <v>98</v>
      </c>
      <c r="R1149" s="31" t="s">
        <v>56</v>
      </c>
      <c r="S1149" s="38" t="str">
        <f t="shared" si="11"/>
        <v>https://github.com/SF-Bancoppel/mx-api-bc-pro-iss-dev-admin-corp</v>
      </c>
      <c r="T1149" s="40"/>
      <c r="U1149" s="40"/>
      <c r="V1149" s="40"/>
      <c r="W1149" s="40"/>
      <c r="X1149" s="40"/>
      <c r="Y1149" s="40"/>
      <c r="Z1149" s="40"/>
      <c r="AA1149" s="40"/>
      <c r="AB1149" s="40"/>
    </row>
    <row r="1150" ht="18.75" customHeight="1">
      <c r="A1150" s="18" t="str">
        <f t="array" ref="A1150">IFERROR(
  INDEX(
    'api-register-id'!A:A,
    MATCH(F1150, 'api-register-id'!B:B, 0)
  ),
  "Not found Organization"
)</f>
        <v>Empresa Net</v>
      </c>
      <c r="B1150" s="22" t="str">
        <f>IFERROR(VLOOKUP(F1150, 'api-register-id'!B:F, 4, FALSE), "Not found path.")</f>
        <v>mx-api-bc-pro-iss-dev-admin-corp</v>
      </c>
      <c r="C1150" s="200" t="s">
        <v>41</v>
      </c>
      <c r="D1150" s="200" t="s">
        <v>811</v>
      </c>
      <c r="E1150" s="24" t="str">
        <f>IFERROR(VLOOKUP(F1150, 'api-register-id'!B:F, 5, FALSE), "Not found path.")</f>
        <v>APIMX000179</v>
      </c>
      <c r="F1150" s="204" t="s">
        <v>2673</v>
      </c>
      <c r="G1150" s="26" t="s">
        <v>6636</v>
      </c>
      <c r="H1150" s="205" t="s">
        <v>6637</v>
      </c>
      <c r="I1150" s="29" t="str">
        <f>IFERROR(VLOOKUP(F1150, 'api-register-id'!B:I, 8, FALSE), "Not found path.")</f>
        <v>1.7.0</v>
      </c>
      <c r="J1150" s="1" t="s">
        <v>3022</v>
      </c>
      <c r="K1150" s="214" t="s">
        <v>48</v>
      </c>
      <c r="L1150" s="200" t="s">
        <v>49</v>
      </c>
      <c r="M1150" s="212" t="s">
        <v>6492</v>
      </c>
      <c r="N1150" s="3" t="str">
        <f t="shared" si="10"/>
        <v>POST /system/operationalServices/issuedDeviceAdministration/v1/corporate/user/recoveryCode/validate</v>
      </c>
      <c r="O1150" s="40"/>
      <c r="P1150" s="40"/>
      <c r="Q1150" s="61" t="s">
        <v>98</v>
      </c>
      <c r="R1150" s="31" t="s">
        <v>56</v>
      </c>
      <c r="S1150" s="38" t="str">
        <f t="shared" si="11"/>
        <v>https://github.com/SF-Bancoppel/mx-api-bc-pro-iss-dev-admin-corp</v>
      </c>
      <c r="T1150" s="40"/>
      <c r="U1150" s="40"/>
      <c r="V1150" s="40"/>
      <c r="W1150" s="40"/>
      <c r="X1150" s="40"/>
      <c r="Y1150" s="40"/>
      <c r="Z1150" s="40"/>
      <c r="AA1150" s="40"/>
      <c r="AB1150" s="40"/>
    </row>
    <row r="1151" ht="18.75" customHeight="1">
      <c r="A1151" s="18" t="str">
        <f t="array" ref="A1151">IFERROR(
  INDEX(
    'api-register-id'!A:A,
    MATCH(F1151, 'api-register-id'!B:B, 0)
  ),
  "Not found Organization"
)</f>
        <v>Empresa Net</v>
      </c>
      <c r="B1151" s="22" t="str">
        <f>IFERROR(VLOOKUP(F1151, 'api-register-id'!B:F, 4, FALSE), "Not found path.")</f>
        <v>mx-api-bc-pro-iss-dev-admin-corp</v>
      </c>
      <c r="C1151" s="200" t="s">
        <v>41</v>
      </c>
      <c r="D1151" s="200" t="s">
        <v>811</v>
      </c>
      <c r="E1151" s="24" t="str">
        <f>IFERROR(VLOOKUP(F1151, 'api-register-id'!B:F, 5, FALSE), "Not found path.")</f>
        <v>APIMX000179</v>
      </c>
      <c r="F1151" s="204" t="s">
        <v>2673</v>
      </c>
      <c r="G1151" s="26" t="s">
        <v>6638</v>
      </c>
      <c r="H1151" s="205" t="s">
        <v>6639</v>
      </c>
      <c r="I1151" s="29" t="str">
        <f>IFERROR(VLOOKUP(F1151, 'api-register-id'!B:I, 8, FALSE), "Not found path.")</f>
        <v>1.7.0</v>
      </c>
      <c r="J1151" s="1" t="s">
        <v>3022</v>
      </c>
      <c r="K1151" s="214" t="s">
        <v>48</v>
      </c>
      <c r="L1151" s="200" t="s">
        <v>49</v>
      </c>
      <c r="M1151" s="212" t="s">
        <v>6495</v>
      </c>
      <c r="N1151" s="3" t="str">
        <f t="shared" si="10"/>
        <v>POST /system/operationalServices/issuedDeviceAdministration/v1/corporate/hardToken/renew</v>
      </c>
      <c r="O1151" s="40"/>
      <c r="P1151" s="40"/>
      <c r="Q1151" s="61" t="s">
        <v>98</v>
      </c>
      <c r="R1151" s="31" t="s">
        <v>56</v>
      </c>
      <c r="S1151" s="38" t="str">
        <f t="shared" si="11"/>
        <v>https://github.com/SF-Bancoppel/mx-api-bc-pro-iss-dev-admin-corp</v>
      </c>
      <c r="T1151" s="40"/>
      <c r="U1151" s="40"/>
      <c r="V1151" s="40"/>
      <c r="W1151" s="40"/>
      <c r="X1151" s="40"/>
      <c r="Y1151" s="40"/>
      <c r="Z1151" s="40"/>
      <c r="AA1151" s="40"/>
      <c r="AB1151" s="40"/>
    </row>
    <row r="1152" ht="18.75" customHeight="1">
      <c r="A1152" s="18" t="str">
        <f t="array" ref="A1152">IFERROR(
  INDEX(
    'api-register-id'!A:A,
    MATCH(F1152, 'api-register-id'!B:B, 0)
  ),
  "Not found Organization"
)</f>
        <v>Empresa Net</v>
      </c>
      <c r="B1152" s="22" t="str">
        <f>IFERROR(VLOOKUP(F1152, 'api-register-id'!B:F, 4, FALSE), "Not found path.")</f>
        <v>mx-api-bc-pro-iss-dev-admin-corp</v>
      </c>
      <c r="C1152" s="200" t="s">
        <v>41</v>
      </c>
      <c r="D1152" s="200" t="s">
        <v>811</v>
      </c>
      <c r="E1152" s="24" t="str">
        <f>IFERROR(VLOOKUP(F1152, 'api-register-id'!B:F, 5, FALSE), "Not found path.")</f>
        <v>APIMX000179</v>
      </c>
      <c r="F1152" s="204" t="s">
        <v>2673</v>
      </c>
      <c r="G1152" s="26" t="s">
        <v>6640</v>
      </c>
      <c r="H1152" s="205" t="s">
        <v>6641</v>
      </c>
      <c r="I1152" s="29" t="str">
        <f>IFERROR(VLOOKUP(F1152, 'api-register-id'!B:I, 8, FALSE), "Not found path.")</f>
        <v>1.7.0</v>
      </c>
      <c r="J1152" s="1" t="s">
        <v>3022</v>
      </c>
      <c r="K1152" s="214" t="s">
        <v>48</v>
      </c>
      <c r="L1152" s="200" t="s">
        <v>49</v>
      </c>
      <c r="M1152" s="212" t="s">
        <v>6498</v>
      </c>
      <c r="N1152" s="3" t="str">
        <f t="shared" si="10"/>
        <v>POST /system/operationalServices/issuedDeviceAdministration/v1/corporate/hardToken/editStatus</v>
      </c>
      <c r="O1152" s="40" t="s">
        <v>6499</v>
      </c>
      <c r="P1152" s="40"/>
      <c r="Q1152" s="36" t="s">
        <v>6642</v>
      </c>
      <c r="R1152" s="31" t="s">
        <v>56</v>
      </c>
      <c r="S1152" s="38" t="str">
        <f t="shared" si="11"/>
        <v>https://github.com/SF-Bancoppel/mx-api-bc-pro-iss-dev-admin-corp</v>
      </c>
      <c r="T1152" s="40"/>
      <c r="U1152" s="40"/>
      <c r="V1152" s="40"/>
      <c r="W1152" s="40"/>
      <c r="X1152" s="40"/>
      <c r="Y1152" s="40"/>
      <c r="Z1152" s="40"/>
      <c r="AA1152" s="40"/>
      <c r="AB1152" s="40"/>
    </row>
    <row r="1153" ht="18.75" customHeight="1">
      <c r="A1153" s="18" t="str">
        <f t="array" ref="A1153">IFERROR(
  INDEX(
    'api-register-id'!A:A,
    MATCH(F1153, 'api-register-id'!B:B, 0)
  ),
  "Not found Organization"
)</f>
        <v>Empresa Net</v>
      </c>
      <c r="B1153" s="22" t="str">
        <f>IFERROR(VLOOKUP(F1153, 'api-register-id'!B:F, 4, FALSE), "Not found path.")</f>
        <v>mx-api-bc-pro-iss-dev-admin-corp</v>
      </c>
      <c r="C1153" s="200" t="s">
        <v>41</v>
      </c>
      <c r="D1153" s="200" t="s">
        <v>811</v>
      </c>
      <c r="E1153" s="24" t="str">
        <f>IFERROR(VLOOKUP(F1153, 'api-register-id'!B:F, 5, FALSE), "Not found path.")</f>
        <v>APIMX000179</v>
      </c>
      <c r="F1153" s="204" t="s">
        <v>2673</v>
      </c>
      <c r="G1153" s="26" t="s">
        <v>6643</v>
      </c>
      <c r="H1153" s="205" t="s">
        <v>6644</v>
      </c>
      <c r="I1153" s="29" t="str">
        <f>IFERROR(VLOOKUP(F1153, 'api-register-id'!B:I, 8, FALSE), "Not found path.")</f>
        <v>1.7.0</v>
      </c>
      <c r="J1153" s="1" t="s">
        <v>3022</v>
      </c>
      <c r="K1153" s="214" t="s">
        <v>48</v>
      </c>
      <c r="L1153" s="200" t="s">
        <v>49</v>
      </c>
      <c r="M1153" s="212" t="s">
        <v>6502</v>
      </c>
      <c r="N1153" s="3" t="str">
        <f t="shared" si="10"/>
        <v>POST /system/operationalServices/issuedDeviceAdministration/v1/corporate/hardToken/unassign</v>
      </c>
      <c r="O1153" s="40" t="s">
        <v>6503</v>
      </c>
      <c r="P1153" s="40"/>
      <c r="Q1153" s="61" t="s">
        <v>98</v>
      </c>
      <c r="R1153" s="31" t="s">
        <v>56</v>
      </c>
      <c r="S1153" s="38" t="str">
        <f t="shared" si="11"/>
        <v>https://github.com/SF-Bancoppel/mx-api-bc-pro-iss-dev-admin-corp</v>
      </c>
      <c r="T1153" s="40"/>
      <c r="U1153" s="40"/>
      <c r="V1153" s="40"/>
      <c r="W1153" s="40"/>
      <c r="X1153" s="40"/>
      <c r="Y1153" s="40"/>
      <c r="Z1153" s="40"/>
      <c r="AA1153" s="40"/>
      <c r="AB1153" s="40"/>
    </row>
    <row r="1154" ht="18.75" customHeight="1">
      <c r="A1154" s="18" t="str">
        <f t="array" ref="A1154">IFERROR(
  INDEX(
    'api-register-id'!A:A,
    MATCH(F1154, 'api-register-id'!B:B, 0)
  ),
  "Not found Organization"
)</f>
        <v>Empresa Net</v>
      </c>
      <c r="B1154" s="22" t="str">
        <f>IFERROR(VLOOKUP(F1154, 'api-register-id'!B:F, 4, FALSE), "Not found path.")</f>
        <v>mx-api-bc-pro-iss-dev-admin-corp</v>
      </c>
      <c r="C1154" s="200" t="s">
        <v>41</v>
      </c>
      <c r="D1154" s="200" t="s">
        <v>811</v>
      </c>
      <c r="E1154" s="24" t="str">
        <f>IFERROR(VLOOKUP(F1154, 'api-register-id'!B:F, 5, FALSE), "Not found path.")</f>
        <v>APIMX000179</v>
      </c>
      <c r="F1154" s="204" t="s">
        <v>2673</v>
      </c>
      <c r="G1154" s="26" t="s">
        <v>6645</v>
      </c>
      <c r="H1154" s="205" t="s">
        <v>6639</v>
      </c>
      <c r="I1154" s="29" t="str">
        <f>IFERROR(VLOOKUP(F1154, 'api-register-id'!B:I, 8, FALSE), "Not found path.")</f>
        <v>1.7.0</v>
      </c>
      <c r="J1154" s="204" t="s">
        <v>3022</v>
      </c>
      <c r="K1154" s="214" t="s">
        <v>48</v>
      </c>
      <c r="L1154" s="200" t="s">
        <v>49</v>
      </c>
      <c r="M1154" s="212" t="s">
        <v>6495</v>
      </c>
      <c r="N1154" s="3" t="str">
        <f t="shared" si="10"/>
        <v>POST /system/operationalServices/issuedDeviceAdministration/v1/corporate/hardToken/renew</v>
      </c>
      <c r="O1154" s="40"/>
      <c r="P1154" s="40"/>
      <c r="Q1154" s="61" t="s">
        <v>98</v>
      </c>
      <c r="R1154" s="31" t="s">
        <v>56</v>
      </c>
      <c r="S1154" s="38" t="str">
        <f t="shared" si="11"/>
        <v>https://github.com/SF-Bancoppel/mx-api-bc-pro-iss-dev-admin-corp</v>
      </c>
      <c r="T1154" s="40"/>
      <c r="U1154" s="40"/>
      <c r="V1154" s="40"/>
      <c r="W1154" s="40"/>
      <c r="X1154" s="40"/>
      <c r="Y1154" s="40"/>
      <c r="Z1154" s="40"/>
      <c r="AA1154" s="40"/>
      <c r="AB1154" s="40"/>
    </row>
    <row r="1155" ht="18.75" customHeight="1">
      <c r="A1155" s="246" t="s">
        <v>44</v>
      </c>
      <c r="B1155" s="22" t="str">
        <f>IFERROR(VLOOKUP(F1155, 'api-register-id'!B:F, 4, FALSE), "Not found path.")</f>
        <v>mx-api-bc-pro-customer-credit-rating</v>
      </c>
      <c r="C1155" s="247" t="s">
        <v>41</v>
      </c>
      <c r="D1155" s="247" t="s">
        <v>811</v>
      </c>
      <c r="E1155" s="24" t="str">
        <f>IFERROR(VLOOKUP(F1155, 'api-register-id'!B:F, 5, FALSE), "Not found path.")</f>
        <v>APIMX000075</v>
      </c>
      <c r="F1155" s="204" t="s">
        <v>986</v>
      </c>
      <c r="G1155" s="26" t="s">
        <v>6646</v>
      </c>
      <c r="H1155" s="205" t="s">
        <v>6647</v>
      </c>
      <c r="I1155" s="29" t="s">
        <v>6648</v>
      </c>
      <c r="J1155" s="1" t="s">
        <v>5647</v>
      </c>
      <c r="K1155" s="214" t="s">
        <v>48</v>
      </c>
      <c r="L1155" s="200" t="s">
        <v>49</v>
      </c>
      <c r="M1155" s="212" t="s">
        <v>5326</v>
      </c>
      <c r="N1155" s="3" t="s">
        <v>6649</v>
      </c>
      <c r="O1155" s="196" t="s">
        <v>6650</v>
      </c>
      <c r="P1155" s="40"/>
      <c r="Q1155" s="248" t="s">
        <v>6648</v>
      </c>
      <c r="R1155" s="31" t="s">
        <v>56</v>
      </c>
      <c r="S1155" s="38" t="str">
        <f t="shared" si="11"/>
        <v>https://github.com/SF-Bancoppel/mx-api-bc-pro-customer-credit-rating</v>
      </c>
      <c r="T1155" s="249"/>
      <c r="U1155" s="40"/>
      <c r="V1155" s="40"/>
      <c r="W1155" s="40"/>
      <c r="X1155" s="40"/>
      <c r="Y1155" s="40"/>
      <c r="Z1155" s="40"/>
      <c r="AA1155" s="40"/>
      <c r="AB1155" s="40"/>
    </row>
    <row r="1156" ht="18.75" customHeight="1">
      <c r="A1156" s="18" t="str">
        <f t="array" ref="A1156">IFERROR(
  INDEX(
    'api-register-id'!A:A,
    MATCH(F1156, 'api-register-id'!B:B, 0)
  ),
  "Not found Organization"
)</f>
        <v>Empresa Net</v>
      </c>
      <c r="B1156" s="22" t="str">
        <f>IFERROR(VLOOKUP(F1156, 'api-register-id'!B:F, 4, FALSE), "Not found path.")</f>
        <v>mx-api-bc-pro-iss-dev-admin-corp</v>
      </c>
      <c r="C1156" s="200" t="s">
        <v>41</v>
      </c>
      <c r="D1156" s="200" t="s">
        <v>811</v>
      </c>
      <c r="E1156" s="24" t="str">
        <f>IFERROR(VLOOKUP(F1156, 'api-register-id'!B:F, 5, FALSE), "Not found path.")</f>
        <v>APIMX000179</v>
      </c>
      <c r="F1156" s="204" t="s">
        <v>2673</v>
      </c>
      <c r="G1156" s="26" t="s">
        <v>6651</v>
      </c>
      <c r="H1156" s="205" t="s">
        <v>6644</v>
      </c>
      <c r="I1156" s="29" t="str">
        <f>IFERROR(VLOOKUP(F1156, 'api-register-id'!B:I, 8, FALSE), "Not found path.")</f>
        <v>1.7.0</v>
      </c>
      <c r="J1156" s="204" t="s">
        <v>3022</v>
      </c>
      <c r="K1156" s="214" t="s">
        <v>48</v>
      </c>
      <c r="L1156" s="200" t="s">
        <v>49</v>
      </c>
      <c r="M1156" s="212" t="s">
        <v>6502</v>
      </c>
      <c r="N1156" s="3" t="str">
        <f t="shared" ref="N1156:N1157" si="12">CONCATENATE(L1156," ",J1156,M1156)</f>
        <v>POST /system/operationalServices/issuedDeviceAdministration/v1/corporate/hardToken/unassign</v>
      </c>
      <c r="O1156" s="40" t="s">
        <v>6503</v>
      </c>
      <c r="P1156" s="40"/>
      <c r="Q1156" s="61" t="s">
        <v>98</v>
      </c>
      <c r="R1156" s="31" t="s">
        <v>56</v>
      </c>
      <c r="S1156" s="38" t="str">
        <f t="shared" si="11"/>
        <v>https://github.com/SF-Bancoppel/mx-api-bc-pro-iss-dev-admin-corp</v>
      </c>
      <c r="T1156" s="40"/>
      <c r="U1156" s="40"/>
      <c r="V1156" s="40"/>
      <c r="W1156" s="40"/>
      <c r="X1156" s="40"/>
      <c r="Y1156" s="40"/>
      <c r="Z1156" s="40"/>
      <c r="AA1156" s="40"/>
      <c r="AB1156" s="40"/>
    </row>
    <row r="1157" ht="18.75" customHeight="1">
      <c r="A1157" s="18" t="s">
        <v>1827</v>
      </c>
      <c r="B1157" s="22" t="str">
        <f>IFERROR(VLOOKUP(F1157, 'api-register-id'!B:F, 4, FALSE), "Not found path.")</f>
        <v>mx-api-bc-pro-iss-dev-admin-corp</v>
      </c>
      <c r="C1157" s="213" t="s">
        <v>41</v>
      </c>
      <c r="D1157" s="213" t="s">
        <v>811</v>
      </c>
      <c r="E1157" s="24" t="str">
        <f>IFERROR(VLOOKUP(F1157, 'api-register-id'!B:F, 5, FALSE), "Not found path.")</f>
        <v>APIMX000179</v>
      </c>
      <c r="F1157" s="25" t="s">
        <v>2673</v>
      </c>
      <c r="G1157" s="26" t="s">
        <v>6652</v>
      </c>
      <c r="H1157" s="199" t="s">
        <v>6653</v>
      </c>
      <c r="I1157" s="29" t="str">
        <f>IFERROR(VLOOKUP(F1157, 'api-register-id'!B:I, 8, FALSE), "Not found path.")</f>
        <v>1.7.0</v>
      </c>
      <c r="J1157" s="40" t="s">
        <v>3022</v>
      </c>
      <c r="K1157" s="31" t="s">
        <v>48</v>
      </c>
      <c r="L1157" s="213" t="s">
        <v>49</v>
      </c>
      <c r="M1157" s="212" t="s">
        <v>6506</v>
      </c>
      <c r="N1157" s="3" t="str">
        <f t="shared" si="12"/>
        <v>POST /system/operationalServices/issuedDeviceAdministration/v1/corporate/syncHardToken/execute</v>
      </c>
      <c r="O1157" s="196" t="s">
        <v>6654</v>
      </c>
      <c r="P1157" s="40"/>
      <c r="Q1157" s="44" t="s">
        <v>6655</v>
      </c>
      <c r="R1157" s="31" t="s">
        <v>56</v>
      </c>
      <c r="S1157" s="38" t="str">
        <f t="shared" si="11"/>
        <v>https://github.com/SF-Bancoppel/mx-api-bc-pro-iss-dev-admin-corp</v>
      </c>
      <c r="T1157" s="40"/>
      <c r="U1157" s="40"/>
      <c r="V1157" s="40"/>
      <c r="W1157" s="40"/>
      <c r="X1157" s="40"/>
      <c r="Y1157" s="40"/>
      <c r="Z1157" s="40"/>
      <c r="AA1157" s="40"/>
      <c r="AB1157" s="40"/>
    </row>
    <row r="1158" ht="18.75" customHeight="1">
      <c r="A1158" s="18" t="s">
        <v>1827</v>
      </c>
      <c r="B1158" s="22" t="s">
        <v>2674</v>
      </c>
      <c r="C1158" s="213" t="s">
        <v>41</v>
      </c>
      <c r="D1158" s="213" t="s">
        <v>811</v>
      </c>
      <c r="E1158" s="24" t="str">
        <f>IFERROR(VLOOKUP(F1158, 'api-register-id'!B:F, 5, FALSE), "Not found path.")</f>
        <v>APIMX000179</v>
      </c>
      <c r="F1158" s="219" t="s">
        <v>2673</v>
      </c>
      <c r="G1158" s="26" t="s">
        <v>6656</v>
      </c>
      <c r="H1158" s="199" t="s">
        <v>6657</v>
      </c>
      <c r="I1158" s="29"/>
      <c r="J1158" s="193" t="s">
        <v>3022</v>
      </c>
      <c r="K1158" s="31" t="s">
        <v>48</v>
      </c>
      <c r="L1158" s="213" t="s">
        <v>49</v>
      </c>
      <c r="M1158" s="232" t="s">
        <v>6511</v>
      </c>
      <c r="N1158" s="217" t="str">
        <f t="shared" ref="N1158:N1165" si="13">CONCATENATE(L1158, " ", J1158, M1158)</f>
        <v>POST /system/operationalServices/issuedDeviceAdministration/v1/corporate/disableHardToken/update</v>
      </c>
      <c r="O1158" s="40"/>
      <c r="P1158" s="40"/>
      <c r="Q1158" s="36" t="s">
        <v>6658</v>
      </c>
      <c r="R1158" s="31" t="s">
        <v>56</v>
      </c>
      <c r="S1158" s="218" t="str">
        <f t="shared" si="11"/>
        <v>https://github.com/SF-Bancoppel/mx-api-bc-pro-iss-dev-admin-corp</v>
      </c>
      <c r="T1158" s="40"/>
      <c r="U1158" s="22"/>
      <c r="V1158" s="40"/>
      <c r="W1158" s="40"/>
      <c r="X1158" s="40"/>
      <c r="Y1158" s="40"/>
      <c r="Z1158" s="22"/>
      <c r="AA1158" s="22"/>
      <c r="AB1158" s="22"/>
    </row>
    <row r="1159" ht="18.75" customHeight="1">
      <c r="A1159" s="18" t="s">
        <v>1827</v>
      </c>
      <c r="B1159" s="22" t="s">
        <v>2674</v>
      </c>
      <c r="C1159" s="213" t="s">
        <v>41</v>
      </c>
      <c r="D1159" s="213" t="s">
        <v>811</v>
      </c>
      <c r="E1159" s="24" t="str">
        <f>IFERROR(VLOOKUP(F1159, 'api-register-id'!B:F, 5, FALSE), "Not found path.")</f>
        <v>APIMX000179</v>
      </c>
      <c r="F1159" s="219" t="s">
        <v>2673</v>
      </c>
      <c r="G1159" s="26" t="s">
        <v>6659</v>
      </c>
      <c r="H1159" s="199" t="s">
        <v>6660</v>
      </c>
      <c r="I1159" s="29"/>
      <c r="J1159" s="192" t="s">
        <v>3022</v>
      </c>
      <c r="K1159" s="31" t="s">
        <v>48</v>
      </c>
      <c r="L1159" s="213" t="s">
        <v>49</v>
      </c>
      <c r="M1159" s="192" t="s">
        <v>6515</v>
      </c>
      <c r="N1159" s="217" t="str">
        <f t="shared" si="13"/>
        <v>POST /system/operationalServices/issuedDeviceAdministration/v1/corporate/statusHardToken/retrieve</v>
      </c>
      <c r="O1159" s="40"/>
      <c r="P1159" s="40"/>
      <c r="Q1159" s="36" t="s">
        <v>6661</v>
      </c>
      <c r="R1159" s="31" t="s">
        <v>56</v>
      </c>
      <c r="S1159" s="218" t="str">
        <f t="shared" si="11"/>
        <v>https://github.com/SF-Bancoppel/mx-api-bc-pro-iss-dev-admin-corp</v>
      </c>
      <c r="T1159" s="40"/>
      <c r="U1159" s="22"/>
      <c r="V1159" s="40"/>
      <c r="W1159" s="40"/>
      <c r="X1159" s="40"/>
      <c r="Y1159" s="40"/>
      <c r="Z1159" s="22"/>
      <c r="AA1159" s="22"/>
      <c r="AB1159" s="22"/>
    </row>
    <row r="1160" ht="18.75" customHeight="1">
      <c r="A1160" s="18" t="s">
        <v>1827</v>
      </c>
      <c r="B1160" s="22" t="s">
        <v>2674</v>
      </c>
      <c r="C1160" s="213" t="s">
        <v>41</v>
      </c>
      <c r="D1160" s="213" t="s">
        <v>811</v>
      </c>
      <c r="E1160" s="24" t="str">
        <f>IFERROR(VLOOKUP(F1160, 'api-register-id'!B:F, 5, FALSE), "Not found path.")</f>
        <v>APIMX000179</v>
      </c>
      <c r="F1160" s="215" t="s">
        <v>2673</v>
      </c>
      <c r="G1160" s="26" t="s">
        <v>6662</v>
      </c>
      <c r="H1160" s="199" t="s">
        <v>6663</v>
      </c>
      <c r="I1160" s="29"/>
      <c r="J1160" s="194" t="s">
        <v>3022</v>
      </c>
      <c r="K1160" s="31" t="s">
        <v>48</v>
      </c>
      <c r="L1160" s="213" t="s">
        <v>49</v>
      </c>
      <c r="M1160" s="216" t="s">
        <v>6534</v>
      </c>
      <c r="N1160" s="217" t="str">
        <f t="shared" si="13"/>
        <v>POST /system/operationalServices/issuedDeviceAdministration/v1/corporate/token/register</v>
      </c>
      <c r="O1160" s="40"/>
      <c r="P1160" s="40"/>
      <c r="Q1160" s="36" t="s">
        <v>6664</v>
      </c>
      <c r="R1160" s="31" t="s">
        <v>56</v>
      </c>
      <c r="S1160" s="218" t="str">
        <f t="shared" si="11"/>
        <v>https://github.com/SF-Bancoppel/mx-api-bc-pro-iss-dev-admin-corp</v>
      </c>
      <c r="T1160" s="40"/>
      <c r="U1160" s="22"/>
      <c r="V1160" s="40"/>
      <c r="W1160" s="40"/>
      <c r="X1160" s="40"/>
      <c r="Y1160" s="40"/>
      <c r="Z1160" s="22"/>
      <c r="AA1160" s="22"/>
      <c r="AB1160" s="22"/>
    </row>
    <row r="1161" ht="18.75" customHeight="1">
      <c r="A1161" s="18" t="s">
        <v>1827</v>
      </c>
      <c r="B1161" s="22" t="s">
        <v>2674</v>
      </c>
      <c r="C1161" s="213" t="s">
        <v>41</v>
      </c>
      <c r="D1161" s="213" t="s">
        <v>811</v>
      </c>
      <c r="E1161" s="24" t="str">
        <f>IFERROR(VLOOKUP(F1161, 'api-register-id'!B:F, 5, FALSE), "Not found path.")</f>
        <v>APIMX000179</v>
      </c>
      <c r="F1161" s="219" t="s">
        <v>2673</v>
      </c>
      <c r="G1161" s="26" t="s">
        <v>6665</v>
      </c>
      <c r="H1161" s="199" t="s">
        <v>6666</v>
      </c>
      <c r="I1161" s="29"/>
      <c r="J1161" s="193" t="s">
        <v>3022</v>
      </c>
      <c r="K1161" s="250" t="s">
        <v>48</v>
      </c>
      <c r="L1161" s="213" t="s">
        <v>49</v>
      </c>
      <c r="M1161" s="192" t="s">
        <v>6538</v>
      </c>
      <c r="N1161" s="217" t="str">
        <f t="shared" si="13"/>
        <v>POST /system/operationalServices/issuedDeviceAdministration/v1/corporate/assignHardToken/grant</v>
      </c>
      <c r="O1161" s="40"/>
      <c r="P1161" s="40"/>
      <c r="Q1161" s="36" t="s">
        <v>6667</v>
      </c>
      <c r="R1161" s="31" t="s">
        <v>56</v>
      </c>
      <c r="S1161" s="218" t="str">
        <f t="shared" si="11"/>
        <v>https://github.com/SF-Bancoppel/mx-api-bc-pro-iss-dev-admin-corp</v>
      </c>
      <c r="T1161" s="40"/>
      <c r="U1161" s="22"/>
      <c r="V1161" s="40"/>
      <c r="W1161" s="40"/>
      <c r="X1161" s="40"/>
      <c r="Y1161" s="40"/>
      <c r="Z1161" s="22"/>
      <c r="AA1161" s="22"/>
      <c r="AB1161" s="22"/>
    </row>
    <row r="1162" ht="18.75" customHeight="1">
      <c r="A1162" s="18" t="s">
        <v>1827</v>
      </c>
      <c r="B1162" s="22" t="s">
        <v>2674</v>
      </c>
      <c r="C1162" s="213" t="s">
        <v>41</v>
      </c>
      <c r="D1162" s="213" t="s">
        <v>811</v>
      </c>
      <c r="E1162" s="24" t="str">
        <f>IFERROR(VLOOKUP(F1162, 'api-register-id'!B:F, 5, FALSE), "Not found path.")</f>
        <v>APIMX000179</v>
      </c>
      <c r="F1162" s="219" t="s">
        <v>2673</v>
      </c>
      <c r="G1162" s="26" t="s">
        <v>6668</v>
      </c>
      <c r="H1162" s="199" t="s">
        <v>6644</v>
      </c>
      <c r="I1162" s="29"/>
      <c r="J1162" s="192" t="s">
        <v>3022</v>
      </c>
      <c r="K1162" s="31" t="s">
        <v>48</v>
      </c>
      <c r="L1162" s="213" t="s">
        <v>49</v>
      </c>
      <c r="M1162" s="192" t="s">
        <v>6518</v>
      </c>
      <c r="N1162" s="217" t="str">
        <f t="shared" si="13"/>
        <v>POST /system/operationalServices/issuedDeviceAdministrationv1/corporate/hardToken/unassign</v>
      </c>
      <c r="O1162" s="40"/>
      <c r="P1162" s="40"/>
      <c r="Q1162" s="212"/>
      <c r="R1162" s="31" t="s">
        <v>56</v>
      </c>
      <c r="S1162" s="218" t="str">
        <f t="shared" si="11"/>
        <v>https://github.com/SF-Bancoppel/mx-api-bc-pro-iss-dev-admin-corp</v>
      </c>
      <c r="T1162" s="40"/>
      <c r="U1162" s="22"/>
      <c r="V1162" s="40"/>
      <c r="W1162" s="40"/>
      <c r="X1162" s="40"/>
      <c r="Y1162" s="40"/>
      <c r="Z1162" s="22"/>
      <c r="AA1162" s="22"/>
      <c r="AB1162" s="22"/>
    </row>
    <row r="1163" ht="18.75" customHeight="1">
      <c r="A1163" s="18" t="s">
        <v>1827</v>
      </c>
      <c r="B1163" s="22" t="s">
        <v>2674</v>
      </c>
      <c r="C1163" s="213" t="s">
        <v>41</v>
      </c>
      <c r="D1163" s="213" t="s">
        <v>811</v>
      </c>
      <c r="E1163" s="24" t="str">
        <f>IFERROR(VLOOKUP(F1163, 'api-register-id'!B:F, 5, FALSE), "Not found path.")</f>
        <v>APIMX000179</v>
      </c>
      <c r="F1163" s="215" t="s">
        <v>2673</v>
      </c>
      <c r="G1163" s="26" t="s">
        <v>6669</v>
      </c>
      <c r="H1163" s="199" t="s">
        <v>6670</v>
      </c>
      <c r="I1163" s="29"/>
      <c r="J1163" s="216" t="s">
        <v>3022</v>
      </c>
      <c r="K1163" s="31" t="s">
        <v>6671</v>
      </c>
      <c r="L1163" s="213" t="s">
        <v>49</v>
      </c>
      <c r="M1163" s="216" t="s">
        <v>6522</v>
      </c>
      <c r="N1163" s="217" t="str">
        <f t="shared" si="13"/>
        <v>POST /system/operationalServices/issuedDeviceAdministration/v1/corporate/tokenRsa/unassign</v>
      </c>
      <c r="O1163" s="40"/>
      <c r="P1163" s="40"/>
      <c r="Q1163" s="36" t="s">
        <v>6672</v>
      </c>
      <c r="R1163" s="31" t="s">
        <v>56</v>
      </c>
      <c r="S1163" s="218" t="str">
        <f t="shared" si="11"/>
        <v>https://github.com/SF-Bancoppel/mx-api-bc-pro-iss-dev-admin-corp</v>
      </c>
      <c r="T1163" s="40"/>
      <c r="U1163" s="22"/>
      <c r="V1163" s="40"/>
      <c r="W1163" s="40"/>
      <c r="X1163" s="40"/>
      <c r="Y1163" s="40"/>
      <c r="Z1163" s="22"/>
      <c r="AA1163" s="22"/>
      <c r="AB1163" s="22"/>
    </row>
    <row r="1164" ht="18.75" customHeight="1">
      <c r="A1164" s="18" t="s">
        <v>1827</v>
      </c>
      <c r="B1164" s="22" t="s">
        <v>2674</v>
      </c>
      <c r="C1164" s="213" t="s">
        <v>41</v>
      </c>
      <c r="D1164" s="213" t="s">
        <v>811</v>
      </c>
      <c r="E1164" s="24" t="str">
        <f>IFERROR(VLOOKUP(F1164, 'api-register-id'!B:F, 5, FALSE), "Not found path.")</f>
        <v>APIMX000179</v>
      </c>
      <c r="F1164" s="219" t="s">
        <v>2673</v>
      </c>
      <c r="G1164" s="26" t="s">
        <v>6673</v>
      </c>
      <c r="H1164" s="199" t="s">
        <v>6674</v>
      </c>
      <c r="I1164" s="29"/>
      <c r="J1164" s="192" t="s">
        <v>3022</v>
      </c>
      <c r="K1164" s="31" t="s">
        <v>48</v>
      </c>
      <c r="L1164" s="213" t="s">
        <v>49</v>
      </c>
      <c r="M1164" s="232" t="s">
        <v>6526</v>
      </c>
      <c r="N1164" s="217" t="str">
        <f t="shared" si="13"/>
        <v>POST /system/operationalServices/issuedDeviceAdministrationv1/corporate/validateHardTokenCustomer/retrieve</v>
      </c>
      <c r="O1164" s="40"/>
      <c r="P1164" s="40"/>
      <c r="Q1164" s="36" t="s">
        <v>6675</v>
      </c>
      <c r="R1164" s="31" t="s">
        <v>56</v>
      </c>
      <c r="S1164" s="218" t="str">
        <f t="shared" si="11"/>
        <v>https://github.com/SF-Bancoppel/mx-api-bc-pro-iss-dev-admin-corp</v>
      </c>
      <c r="T1164" s="40"/>
      <c r="U1164" s="22"/>
      <c r="V1164" s="40"/>
      <c r="W1164" s="40"/>
      <c r="X1164" s="40"/>
      <c r="Y1164" s="40"/>
      <c r="Z1164" s="22"/>
      <c r="AA1164" s="22"/>
      <c r="AB1164" s="22"/>
    </row>
    <row r="1165" ht="18.75" customHeight="1">
      <c r="A1165" s="18" t="s">
        <v>1827</v>
      </c>
      <c r="B1165" s="22" t="s">
        <v>2674</v>
      </c>
      <c r="C1165" s="213" t="s">
        <v>41</v>
      </c>
      <c r="D1165" s="213" t="s">
        <v>811</v>
      </c>
      <c r="E1165" s="24" t="str">
        <f>IFERROR(VLOOKUP(F1165, 'api-register-id'!B:F, 5, FALSE), "Not found path.")</f>
        <v>APIMX000179</v>
      </c>
      <c r="F1165" s="219" t="s">
        <v>2673</v>
      </c>
      <c r="G1165" s="26" t="s">
        <v>6676</v>
      </c>
      <c r="H1165" s="199" t="s">
        <v>6677</v>
      </c>
      <c r="I1165" s="29"/>
      <c r="J1165" s="192" t="s">
        <v>3022</v>
      </c>
      <c r="K1165" s="31" t="s">
        <v>48</v>
      </c>
      <c r="L1165" s="213" t="s">
        <v>49</v>
      </c>
      <c r="M1165" s="192" t="s">
        <v>6530</v>
      </c>
      <c r="N1165" s="217" t="str">
        <f t="shared" si="13"/>
        <v>POST /system/operationalServices/issuedDeviceAdministration/v1/corporate/hardTokenAssociate/retrieve</v>
      </c>
      <c r="O1165" s="40"/>
      <c r="P1165" s="40"/>
      <c r="Q1165" s="36" t="s">
        <v>6678</v>
      </c>
      <c r="R1165" s="31" t="s">
        <v>56</v>
      </c>
      <c r="S1165" s="218" t="str">
        <f t="shared" si="11"/>
        <v>https://github.com/SF-Bancoppel/mx-api-bc-pro-iss-dev-admin-corp</v>
      </c>
      <c r="T1165" s="40"/>
      <c r="U1165" s="22"/>
      <c r="V1165" s="40"/>
      <c r="W1165" s="40"/>
      <c r="X1165" s="40"/>
      <c r="Y1165" s="40"/>
      <c r="Z1165" s="22"/>
      <c r="AA1165" s="22"/>
      <c r="AB1165" s="22"/>
    </row>
    <row r="1166" ht="18.75" customHeight="1">
      <c r="A1166" s="18" t="str">
        <f t="array" ref="A1166">IFERROR(
  INDEX(
    'api-register-id'!A:A,
    MATCH(F1166, 'api-register-id'!B:B, 0)
  ),
  "Not found Organization"
)</f>
        <v>Empresa Net</v>
      </c>
      <c r="B1166" s="22" t="str">
        <f>IFERROR(VLOOKUP(F1166, 'api-register-id'!B:F, 4, FALSE), "Not found path.")</f>
        <v>mx-api-bc-pro-pty-auth-corp</v>
      </c>
      <c r="C1166" s="213" t="s">
        <v>41</v>
      </c>
      <c r="D1166" s="213" t="s">
        <v>811</v>
      </c>
      <c r="E1166" s="24" t="str">
        <f>IFERROR(VLOOKUP(F1166, 'api-register-id'!B:F, 5, FALSE), "Not found path.")</f>
        <v>APIMX000180</v>
      </c>
      <c r="F1166" s="61" t="s">
        <v>2678</v>
      </c>
      <c r="G1166" s="26" t="s">
        <v>6679</v>
      </c>
      <c r="H1166" s="208" t="s">
        <v>6680</v>
      </c>
      <c r="I1166" s="29" t="str">
        <f>IFERROR(VLOOKUP(F1166, 'api-register-id'!B:I, 8, FALSE), "Not found path.")</f>
        <v/>
      </c>
      <c r="J1166" s="205" t="s">
        <v>3179</v>
      </c>
      <c r="K1166" s="214" t="s">
        <v>48</v>
      </c>
      <c r="L1166" s="200" t="s">
        <v>49</v>
      </c>
      <c r="M1166" s="61" t="s">
        <v>6550</v>
      </c>
      <c r="N1166" s="3" t="str">
        <f t="shared" ref="N1166:N1171" si="14">CONCATENATE(L1166," ",J1166,M1166)</f>
        <v>POST /system/crossChannel/partyAuthentication/v1/corporate/session/create</v>
      </c>
      <c r="O1166" s="32"/>
      <c r="P1166" s="32"/>
      <c r="Q1166" s="61" t="s">
        <v>98</v>
      </c>
      <c r="R1166" s="31" t="s">
        <v>56</v>
      </c>
      <c r="S1166" s="38" t="str">
        <f t="shared" si="11"/>
        <v>https://github.com/SF-Bancoppel/mx-api-bc-pro-pty-auth-corp</v>
      </c>
      <c r="T1166" s="40"/>
      <c r="U1166" s="40"/>
      <c r="V1166" s="40"/>
      <c r="W1166" s="40"/>
      <c r="X1166" s="40"/>
      <c r="Y1166" s="40"/>
      <c r="Z1166" s="40"/>
      <c r="AA1166" s="40"/>
      <c r="AB1166" s="40"/>
    </row>
    <row r="1167" ht="18.75" customHeight="1">
      <c r="A1167" s="18" t="str">
        <f t="array" ref="A1167">IFERROR(
  INDEX(
    'api-register-id'!A:A,
    MATCH(F1167, 'api-register-id'!B:B, 0)
  ),
  "Not found Organization"
)</f>
        <v>Empresa Net</v>
      </c>
      <c r="B1167" s="22" t="str">
        <f>IFERROR(VLOOKUP(F1167, 'api-register-id'!B:F, 4, FALSE), "Not found path.")</f>
        <v>mx-api-bc-pro-pty-auth-corp</v>
      </c>
      <c r="C1167" s="213" t="s">
        <v>41</v>
      </c>
      <c r="D1167" s="213" t="s">
        <v>811</v>
      </c>
      <c r="E1167" s="24" t="str">
        <f>IFERROR(VLOOKUP(F1167, 'api-register-id'!B:F, 5, FALSE), "Not found path.")</f>
        <v>APIMX000180</v>
      </c>
      <c r="F1167" s="61" t="s">
        <v>2678</v>
      </c>
      <c r="G1167" s="26" t="s">
        <v>6681</v>
      </c>
      <c r="H1167" s="208" t="s">
        <v>6682</v>
      </c>
      <c r="I1167" s="29" t="str">
        <f>IFERROR(VLOOKUP(F1167, 'api-register-id'!B:I, 8, FALSE), "Not found path.")</f>
        <v/>
      </c>
      <c r="J1167" s="205" t="s">
        <v>3179</v>
      </c>
      <c r="K1167" s="214" t="s">
        <v>48</v>
      </c>
      <c r="L1167" s="200" t="s">
        <v>49</v>
      </c>
      <c r="M1167" s="61" t="s">
        <v>6553</v>
      </c>
      <c r="N1167" s="3" t="str">
        <f t="shared" si="14"/>
        <v>POST /system/crossChannel/partyAuthentication/v1/corporate/notification/sms</v>
      </c>
      <c r="O1167" s="32"/>
      <c r="P1167" s="32"/>
      <c r="Q1167" s="61" t="s">
        <v>98</v>
      </c>
      <c r="R1167" s="31" t="s">
        <v>56</v>
      </c>
      <c r="S1167" s="38" t="str">
        <f t="shared" si="11"/>
        <v>https://github.com/SF-Bancoppel/mx-api-bc-pro-pty-auth-corp</v>
      </c>
      <c r="T1167" s="40"/>
      <c r="U1167" s="22"/>
      <c r="V1167" s="40"/>
      <c r="W1167" s="40"/>
      <c r="X1167" s="40"/>
      <c r="Y1167" s="40"/>
      <c r="Z1167" s="22"/>
      <c r="AA1167" s="22"/>
      <c r="AB1167" s="22"/>
    </row>
    <row r="1168" ht="18.75" customHeight="1">
      <c r="A1168" s="18" t="str">
        <f t="array" ref="A1168">IFERROR(
  INDEX(
    'api-register-id'!A:A,
    MATCH(F1168, 'api-register-id'!B:B, 0)
  ),
  "Not found Organization"
)</f>
        <v>Empresa Net</v>
      </c>
      <c r="B1168" s="22" t="str">
        <f>IFERROR(VLOOKUP(F1168, 'api-register-id'!B:F, 4, FALSE), "Not found path.")</f>
        <v>mx-api-bc-pro-pty-auth-corp</v>
      </c>
      <c r="C1168" s="200" t="s">
        <v>41</v>
      </c>
      <c r="D1168" s="200" t="s">
        <v>811</v>
      </c>
      <c r="E1168" s="24" t="str">
        <f>IFERROR(VLOOKUP(F1168, 'api-register-id'!B:F, 5, FALSE), "Not found path.")</f>
        <v>APIMX000180</v>
      </c>
      <c r="F1168" s="202" t="s">
        <v>2678</v>
      </c>
      <c r="G1168" s="26" t="s">
        <v>6683</v>
      </c>
      <c r="H1168" s="208" t="s">
        <v>6684</v>
      </c>
      <c r="I1168" s="29" t="str">
        <f>IFERROR(VLOOKUP(F1168, 'api-register-id'!B:I, 8, FALSE), "Not found path.")</f>
        <v/>
      </c>
      <c r="J1168" s="212" t="s">
        <v>3179</v>
      </c>
      <c r="K1168" s="214" t="s">
        <v>48</v>
      </c>
      <c r="L1168" s="200" t="s">
        <v>49</v>
      </c>
      <c r="M1168" s="61" t="s">
        <v>6556</v>
      </c>
      <c r="N1168" s="3" t="str">
        <f t="shared" si="14"/>
        <v>POST /system/crossChannel/partyAuthentication/v1/corporate/session/destroy</v>
      </c>
      <c r="O1168" s="40"/>
      <c r="P1168" s="40"/>
      <c r="Q1168" s="61" t="s">
        <v>98</v>
      </c>
      <c r="R1168" s="31" t="s">
        <v>56</v>
      </c>
      <c r="S1168" s="38" t="str">
        <f t="shared" si="11"/>
        <v>https://github.com/SF-Bancoppel/mx-api-bc-pro-pty-auth-corp</v>
      </c>
      <c r="T1168" s="40"/>
      <c r="U1168" s="22"/>
      <c r="V1168" s="40"/>
      <c r="W1168" s="40"/>
      <c r="X1168" s="40"/>
      <c r="Y1168" s="40"/>
      <c r="Z1168" s="22"/>
      <c r="AA1168" s="22"/>
      <c r="AB1168" s="22"/>
    </row>
    <row r="1169" ht="18.75" customHeight="1">
      <c r="A1169" s="18" t="str">
        <f t="array" ref="A1169">IFERROR(
  INDEX(
    'api-register-id'!A:A,
    MATCH(F1169, 'api-register-id'!B:B, 0)
  ),
  "Not found Organization"
)</f>
        <v>Empresa Net</v>
      </c>
      <c r="B1169" s="22" t="str">
        <f>IFERROR(VLOOKUP(F1169, 'api-register-id'!B:F, 4, FALSE), "Not found path.")</f>
        <v>mx-api-bc-pro-pty-auth-corp</v>
      </c>
      <c r="C1169" s="200" t="s">
        <v>41</v>
      </c>
      <c r="D1169" s="200" t="s">
        <v>811</v>
      </c>
      <c r="E1169" s="24" t="str">
        <f>IFERROR(VLOOKUP(F1169, 'api-register-id'!B:F, 5, FALSE), "Not found path.")</f>
        <v>APIMX000180</v>
      </c>
      <c r="F1169" s="204" t="s">
        <v>2678</v>
      </c>
      <c r="G1169" s="26" t="s">
        <v>6685</v>
      </c>
      <c r="H1169" s="204" t="s">
        <v>6686</v>
      </c>
      <c r="I1169" s="29" t="str">
        <f>IFERROR(VLOOKUP(F1169, 'api-register-id'!B:I, 8, FALSE), "Not found path.")</f>
        <v/>
      </c>
      <c r="J1169" s="212" t="s">
        <v>3179</v>
      </c>
      <c r="K1169" s="214" t="s">
        <v>48</v>
      </c>
      <c r="L1169" s="200" t="s">
        <v>49</v>
      </c>
      <c r="M1169" s="61" t="s">
        <v>6559</v>
      </c>
      <c r="N1169" s="3" t="str">
        <f t="shared" si="14"/>
        <v>POST /system/crossChannel/partyAuthentication/v1/corporate/notification/email</v>
      </c>
      <c r="O1169" s="22" t="s">
        <v>6560</v>
      </c>
      <c r="P1169" s="40"/>
      <c r="Q1169" s="61" t="s">
        <v>98</v>
      </c>
      <c r="R1169" s="31" t="s">
        <v>56</v>
      </c>
      <c r="S1169" s="38" t="str">
        <f t="shared" si="11"/>
        <v>https://github.com/SF-Bancoppel/mx-api-bc-pro-pty-auth-corp</v>
      </c>
      <c r="T1169" s="40"/>
      <c r="U1169" s="22"/>
      <c r="V1169" s="40"/>
      <c r="W1169" s="40"/>
      <c r="X1169" s="40"/>
      <c r="Y1169" s="40"/>
      <c r="Z1169" s="22"/>
      <c r="AA1169" s="22"/>
      <c r="AB1169" s="22"/>
    </row>
    <row r="1170" ht="18.75" customHeight="1">
      <c r="A1170" s="18" t="str">
        <f t="array" ref="A1170">IFERROR(
  INDEX(
    'api-register-id'!A:A,
    MATCH(F1170, 'api-register-id'!B:B, 0)
  ),
  "Not found Organization"
)</f>
        <v>Empresa Net</v>
      </c>
      <c r="B1170" s="22" t="str">
        <f>IFERROR(VLOOKUP(F1170, 'api-register-id'!B:F, 4, FALSE), "Not found path.")</f>
        <v>mx-api-bc-pro-pty-auth-corp</v>
      </c>
      <c r="C1170" s="200" t="s">
        <v>41</v>
      </c>
      <c r="D1170" s="200" t="s">
        <v>811</v>
      </c>
      <c r="E1170" s="24" t="str">
        <f>IFERROR(VLOOKUP(F1170, 'api-register-id'!B:F, 5, FALSE), "Not found path.")</f>
        <v>APIMX000180</v>
      </c>
      <c r="F1170" s="204" t="s">
        <v>2678</v>
      </c>
      <c r="G1170" s="26" t="s">
        <v>6687</v>
      </c>
      <c r="H1170" s="205" t="s">
        <v>6688</v>
      </c>
      <c r="I1170" s="29" t="str">
        <f>IFERROR(VLOOKUP(F1170, 'api-register-id'!B:I, 8, FALSE), "Not found path.")</f>
        <v/>
      </c>
      <c r="J1170" s="1" t="s">
        <v>3179</v>
      </c>
      <c r="K1170" s="214" t="s">
        <v>48</v>
      </c>
      <c r="L1170" s="200" t="s">
        <v>49</v>
      </c>
      <c r="M1170" s="212" t="s">
        <v>6563</v>
      </c>
      <c r="N1170" s="3" t="str">
        <f t="shared" si="14"/>
        <v>POST /system/crossChannel/partyAuthentication/v1/corporate/security/password/set</v>
      </c>
      <c r="O1170" s="40"/>
      <c r="P1170" s="40"/>
      <c r="Q1170" s="61" t="s">
        <v>98</v>
      </c>
      <c r="R1170" s="31" t="s">
        <v>56</v>
      </c>
      <c r="S1170" s="38" t="str">
        <f t="shared" si="11"/>
        <v>https://github.com/SF-Bancoppel/mx-api-bc-pro-pty-auth-corp</v>
      </c>
      <c r="T1170" s="40"/>
      <c r="U1170" s="22"/>
      <c r="V1170" s="40"/>
      <c r="W1170" s="40"/>
      <c r="X1170" s="40"/>
      <c r="Y1170" s="40"/>
      <c r="Z1170" s="22"/>
      <c r="AA1170" s="22"/>
      <c r="AB1170" s="22"/>
    </row>
    <row r="1171" ht="18.75" customHeight="1">
      <c r="A1171" s="18" t="str">
        <f t="array" ref="A1171">IFERROR(
  INDEX(
    'api-register-id'!A:A,
    MATCH(F1171, 'api-register-id'!B:B, 0)
  ),
  "Not found Organization"
)</f>
        <v>Empresa Net</v>
      </c>
      <c r="B1171" s="22" t="str">
        <f>IFERROR(VLOOKUP(F1171, 'api-register-id'!B:F, 4, FALSE), "Not found path.")</f>
        <v>mx-api-bc-pro-pty-auth-corp</v>
      </c>
      <c r="C1171" s="200" t="s">
        <v>41</v>
      </c>
      <c r="D1171" s="200" t="s">
        <v>811</v>
      </c>
      <c r="E1171" s="24" t="str">
        <f>IFERROR(VLOOKUP(F1171, 'api-register-id'!B:F, 5, FALSE), "Not found path.")</f>
        <v>APIMX000180</v>
      </c>
      <c r="F1171" s="204" t="s">
        <v>2678</v>
      </c>
      <c r="G1171" s="26" t="s">
        <v>6689</v>
      </c>
      <c r="H1171" s="205" t="s">
        <v>6690</v>
      </c>
      <c r="I1171" s="29" t="str">
        <f>IFERROR(VLOOKUP(F1171, 'api-register-id'!B:I, 8, FALSE), "Not found path.")</f>
        <v/>
      </c>
      <c r="J1171" s="1" t="s">
        <v>3179</v>
      </c>
      <c r="K1171" s="214" t="s">
        <v>48</v>
      </c>
      <c r="L1171" s="200" t="s">
        <v>49</v>
      </c>
      <c r="M1171" s="212" t="s">
        <v>6566</v>
      </c>
      <c r="N1171" s="3" t="str">
        <f t="shared" si="14"/>
        <v>POST /system/crossChannel/partyAuthentication/v1/corporate/security/password/validate</v>
      </c>
      <c r="O1171" s="40"/>
      <c r="P1171" s="40"/>
      <c r="Q1171" s="61" t="s">
        <v>98</v>
      </c>
      <c r="R1171" s="31" t="s">
        <v>56</v>
      </c>
      <c r="S1171" s="38" t="str">
        <f t="shared" si="11"/>
        <v>https://github.com/SF-Bancoppel/mx-api-bc-pro-pty-auth-corp</v>
      </c>
      <c r="T1171" s="40"/>
      <c r="U1171" s="22"/>
      <c r="V1171" s="40"/>
      <c r="W1171" s="40"/>
      <c r="X1171" s="40"/>
      <c r="Y1171" s="40"/>
      <c r="Z1171" s="22"/>
      <c r="AA1171" s="22"/>
      <c r="AB1171" s="22"/>
    </row>
    <row r="1172" ht="18.75" customHeight="1">
      <c r="A1172" s="18" t="s">
        <v>1827</v>
      </c>
      <c r="B1172" s="22" t="s">
        <v>2681</v>
      </c>
      <c r="C1172" s="213" t="s">
        <v>41</v>
      </c>
      <c r="D1172" s="213" t="s">
        <v>811</v>
      </c>
      <c r="E1172" s="24" t="str">
        <f>IFERROR(VLOOKUP(F1172, 'api-register-id'!B:F, 5, FALSE), "Not found path.")</f>
        <v>APIMX000180</v>
      </c>
      <c r="F1172" s="219" t="s">
        <v>2678</v>
      </c>
      <c r="G1172" s="26" t="s">
        <v>6691</v>
      </c>
      <c r="H1172" s="199" t="s">
        <v>6692</v>
      </c>
      <c r="I1172" s="29"/>
      <c r="J1172" s="193" t="s">
        <v>6693</v>
      </c>
      <c r="K1172" s="31" t="s">
        <v>48</v>
      </c>
      <c r="L1172" s="213" t="s">
        <v>49</v>
      </c>
      <c r="M1172" s="232" t="s">
        <v>6569</v>
      </c>
      <c r="N1172" s="217" t="str">
        <f t="shared" ref="N1172:N1173" si="15">CONCATENATE(L1172, " ", J1172, M1172)</f>
        <v>POST /system/crossChanel/partyAuthentication/v1/corporate/authentication/evaluate</v>
      </c>
      <c r="O1172" s="40"/>
      <c r="P1172" s="40"/>
      <c r="Q1172" s="36" t="s">
        <v>6694</v>
      </c>
      <c r="R1172" s="31" t="s">
        <v>56</v>
      </c>
      <c r="S1172" s="218" t="str">
        <f t="shared" si="11"/>
        <v>https://github.com/SF-Bancoppel/mx-api-bc-pro-pty-auth-corp</v>
      </c>
      <c r="T1172" s="40"/>
      <c r="U1172" s="22"/>
      <c r="V1172" s="40"/>
      <c r="W1172" s="40"/>
      <c r="X1172" s="40"/>
      <c r="Y1172" s="40"/>
      <c r="Z1172" s="22"/>
      <c r="AA1172" s="22"/>
      <c r="AB1172" s="22"/>
    </row>
    <row r="1173" ht="18.75" customHeight="1">
      <c r="A1173" s="18" t="s">
        <v>1827</v>
      </c>
      <c r="B1173" s="22" t="s">
        <v>2681</v>
      </c>
      <c r="C1173" s="213" t="s">
        <v>41</v>
      </c>
      <c r="D1173" s="213" t="s">
        <v>811</v>
      </c>
      <c r="E1173" s="24" t="str">
        <f>IFERROR(VLOOKUP(F1173, 'api-register-id'!B:F, 5, FALSE), "Not found path.")</f>
        <v>APIMX000180</v>
      </c>
      <c r="F1173" s="219" t="s">
        <v>2678</v>
      </c>
      <c r="G1173" s="26" t="s">
        <v>6695</v>
      </c>
      <c r="H1173" s="199" t="s">
        <v>6696</v>
      </c>
      <c r="I1173" s="29"/>
      <c r="J1173" s="192" t="s">
        <v>6693</v>
      </c>
      <c r="K1173" s="31" t="s">
        <v>48</v>
      </c>
      <c r="L1173" s="213" t="s">
        <v>49</v>
      </c>
      <c r="M1173" s="232" t="s">
        <v>6573</v>
      </c>
      <c r="N1173" s="217" t="str">
        <f t="shared" si="15"/>
        <v>POST /system/crossChanel/partyAuthentication/v1/corporate/registerAttemps/control</v>
      </c>
      <c r="O1173" s="40"/>
      <c r="P1173" s="40"/>
      <c r="Q1173" s="36" t="s">
        <v>6697</v>
      </c>
      <c r="R1173" s="31" t="s">
        <v>56</v>
      </c>
      <c r="S1173" s="218" t="str">
        <f t="shared" si="11"/>
        <v>https://github.com/SF-Bancoppel/mx-api-bc-pro-pty-auth-corp</v>
      </c>
      <c r="T1173" s="40"/>
      <c r="U1173" s="22"/>
      <c r="V1173" s="22"/>
      <c r="W1173" s="40"/>
      <c r="X1173" s="40"/>
      <c r="Y1173" s="40"/>
      <c r="Z1173" s="22"/>
      <c r="AA1173" s="22"/>
      <c r="AB1173" s="22"/>
    </row>
    <row r="1174" ht="18.75" customHeight="1">
      <c r="A1174" s="18" t="str">
        <f t="array" ref="A1174">IFERROR(
  INDEX(
    'api-register-id'!A:A,
    MATCH(F1174, 'api-register-id'!B:B, 0)
  ),
  "Not found Organization"
)</f>
        <v>Empresa Net</v>
      </c>
      <c r="B1174" s="22" t="str">
        <f>IFERROR(VLOOKUP(F1174, 'api-register-id'!B:F, 4, FALSE), "Not found path.")</f>
        <v>mx-api-bc-pro-cust-prods-and-servs-corp</v>
      </c>
      <c r="C1174" s="213" t="s">
        <v>41</v>
      </c>
      <c r="D1174" s="213" t="s">
        <v>811</v>
      </c>
      <c r="E1174" s="24" t="str">
        <f>IFERROR(VLOOKUP(F1174, 'api-register-id'!B:F, 5, FALSE), "Not found path.")</f>
        <v>APIMX000181</v>
      </c>
      <c r="F1174" s="61" t="s">
        <v>2686</v>
      </c>
      <c r="G1174" s="26" t="s">
        <v>6698</v>
      </c>
      <c r="H1174" s="208" t="s">
        <v>6699</v>
      </c>
      <c r="I1174" s="29" t="str">
        <f>IFERROR(VLOOKUP(F1174, 'api-register-id'!B:I, 8, FALSE), "Not found path.")</f>
        <v>1.1.4</v>
      </c>
      <c r="J1174" s="205" t="s">
        <v>2869</v>
      </c>
      <c r="K1174" s="214" t="s">
        <v>48</v>
      </c>
      <c r="L1174" s="200" t="s">
        <v>49</v>
      </c>
      <c r="M1174" s="61" t="s">
        <v>6585</v>
      </c>
      <c r="N1174" s="3" t="str">
        <f t="shared" ref="N1174:N1218" si="16">CONCATENATE(L1174," ",J1174,M1174)</f>
        <v>POST /system/customerManagement/customerProductsAndServices/v1/corporate/products/get</v>
      </c>
      <c r="O1174" s="22" t="s">
        <v>6586</v>
      </c>
      <c r="P1174" s="32"/>
      <c r="Q1174" s="61" t="s">
        <v>98</v>
      </c>
      <c r="R1174" s="31" t="s">
        <v>56</v>
      </c>
      <c r="S1174" s="38" t="str">
        <f t="shared" si="11"/>
        <v>https://github.com/SF-Bancoppel/mx-api-bc-pro-cust-prods-and-servs-corp</v>
      </c>
      <c r="T1174" s="40"/>
      <c r="U1174" s="40"/>
      <c r="V1174" s="40"/>
      <c r="W1174" s="40"/>
      <c r="X1174" s="40"/>
      <c r="Y1174" s="40"/>
      <c r="Z1174" s="40"/>
      <c r="AA1174" s="40"/>
      <c r="AB1174" s="40"/>
    </row>
    <row r="1175" ht="18.75" customHeight="1">
      <c r="A1175" s="18" t="str">
        <f t="array" ref="A1175">IFERROR(
  INDEX(
    'api-register-id'!A:A,
    MATCH(F1175, 'api-register-id'!B:B, 0)
  ),
  "Not found Organization"
)</f>
        <v>Empresa Net</v>
      </c>
      <c r="B1175" s="22" t="str">
        <f>IFERROR(VLOOKUP(F1175, 'api-register-id'!B:F, 4, FALSE), "Not found path.")</f>
        <v>mx-api-bc-pro-cust-prods-and-servs-corp</v>
      </c>
      <c r="C1175" s="200" t="s">
        <v>41</v>
      </c>
      <c r="D1175" s="200" t="s">
        <v>811</v>
      </c>
      <c r="E1175" s="24" t="str">
        <f>IFERROR(VLOOKUP(F1175, 'api-register-id'!B:F, 5, FALSE), "Not found path.")</f>
        <v>APIMX000181</v>
      </c>
      <c r="F1175" s="204" t="s">
        <v>6700</v>
      </c>
      <c r="G1175" s="26" t="s">
        <v>6701</v>
      </c>
      <c r="H1175" s="205" t="s">
        <v>6702</v>
      </c>
      <c r="I1175" s="29" t="str">
        <f>IFERROR(VLOOKUP(F1175, 'api-register-id'!B:I, 8, FALSE), "Not found path.")</f>
        <v>1.1.4</v>
      </c>
      <c r="J1175" s="1" t="s">
        <v>2869</v>
      </c>
      <c r="K1175" s="214" t="s">
        <v>48</v>
      </c>
      <c r="L1175" s="200" t="s">
        <v>49</v>
      </c>
      <c r="M1175" s="212" t="s">
        <v>6590</v>
      </c>
      <c r="N1175" s="3" t="str">
        <f t="shared" si="16"/>
        <v>POST /system/customerManagement/customerProductsAndServices/v1/corporate/products/detail</v>
      </c>
      <c r="O1175" s="40"/>
      <c r="P1175" s="40"/>
      <c r="Q1175" s="61" t="s">
        <v>98</v>
      </c>
      <c r="R1175" s="31" t="s">
        <v>56</v>
      </c>
      <c r="S1175" s="38" t="str">
        <f t="shared" si="11"/>
        <v>https://github.com/SF-Bancoppel/mx-api-bc-pro-cust-prods-and-servs-corp</v>
      </c>
      <c r="T1175" s="40"/>
      <c r="U1175" s="40"/>
      <c r="V1175" s="40"/>
      <c r="W1175" s="40"/>
      <c r="X1175" s="40"/>
      <c r="Y1175" s="40"/>
      <c r="Z1175" s="40"/>
      <c r="AA1175" s="40"/>
      <c r="AB1175" s="40"/>
    </row>
    <row r="1176" ht="18.75" customHeight="1">
      <c r="A1176" s="18" t="str">
        <f t="array" ref="A1176">IFERROR(
  INDEX(
    'api-register-id'!A:A,
    MATCH(F1176, 'api-register-id'!B:B, 0)
  ),
  "Not found Organization"
)</f>
        <v>Empresa Net</v>
      </c>
      <c r="B1176" s="22" t="str">
        <f>IFERROR(VLOOKUP(F1176, 'api-register-id'!B:F, 4, FALSE), "Not found path.")</f>
        <v>mx-api-bc-rec-party-ref-dat-dir-corp</v>
      </c>
      <c r="C1176" s="213" t="s">
        <v>112</v>
      </c>
      <c r="D1176" s="213" t="s">
        <v>1417</v>
      </c>
      <c r="E1176" s="24" t="str">
        <f>IFERROR(VLOOKUP(F1176, 'api-register-id'!B:F, 5, FALSE), "Not found path.")</f>
        <v>APIMX000182</v>
      </c>
      <c r="F1176" s="61" t="s">
        <v>2691</v>
      </c>
      <c r="G1176" s="26" t="s">
        <v>6703</v>
      </c>
      <c r="H1176" s="208" t="s">
        <v>6704</v>
      </c>
      <c r="I1176" s="29" t="str">
        <f>IFERROR(VLOOKUP(F1176, 'api-register-id'!B:I, 8, FALSE), "Not found path.")</f>
        <v/>
      </c>
      <c r="J1176" s="205" t="s">
        <v>4550</v>
      </c>
      <c r="K1176" s="214" t="s">
        <v>48</v>
      </c>
      <c r="L1176" s="200" t="s">
        <v>49</v>
      </c>
      <c r="M1176" s="61" t="s">
        <v>6420</v>
      </c>
      <c r="N1176" s="3" t="str">
        <f t="shared" si="16"/>
        <v>POST /experience/customerManagement/partyReferenceDataDirectory/v1/corporate/users/get</v>
      </c>
      <c r="O1176" s="32"/>
      <c r="P1176" s="32"/>
      <c r="Q1176" s="61" t="s">
        <v>98</v>
      </c>
      <c r="R1176" s="31" t="s">
        <v>56</v>
      </c>
      <c r="S1176" s="38" t="str">
        <f t="shared" si="11"/>
        <v>https://github.com/SF-Bancoppel/mx-api-bc-rec-party-ref-dat-dir-corp</v>
      </c>
      <c r="T1176" s="40"/>
      <c r="U1176" s="40"/>
      <c r="V1176" s="40"/>
      <c r="W1176" s="40"/>
      <c r="X1176" s="40"/>
      <c r="Y1176" s="40"/>
      <c r="Z1176" s="40"/>
      <c r="AA1176" s="40"/>
      <c r="AB1176" s="40"/>
    </row>
    <row r="1177" ht="18.75" customHeight="1">
      <c r="A1177" s="18" t="str">
        <f t="array" ref="A1177">IFERROR(
  INDEX(
    'api-register-id'!A:A,
    MATCH(F1177, 'api-register-id'!B:B, 0)
  ),
  "Not found Organization"
)</f>
        <v>Empresa Net</v>
      </c>
      <c r="B1177" s="22" t="str">
        <f>IFERROR(VLOOKUP(F1177, 'api-register-id'!B:F, 4, FALSE), "Not found path.")</f>
        <v>mx-api-bc-rec-party-ref-dat-dir-corp</v>
      </c>
      <c r="C1177" s="213" t="s">
        <v>112</v>
      </c>
      <c r="D1177" s="213" t="s">
        <v>1417</v>
      </c>
      <c r="E1177" s="24" t="str">
        <f>IFERROR(VLOOKUP(F1177, 'api-register-id'!B:F, 5, FALSE), "Not found path.")</f>
        <v>APIMX000182</v>
      </c>
      <c r="F1177" s="61" t="s">
        <v>2691</v>
      </c>
      <c r="G1177" s="26" t="s">
        <v>6705</v>
      </c>
      <c r="H1177" s="208" t="s">
        <v>6706</v>
      </c>
      <c r="I1177" s="29" t="str">
        <f>IFERROR(VLOOKUP(F1177, 'api-register-id'!B:I, 8, FALSE), "Not found path.")</f>
        <v/>
      </c>
      <c r="J1177" s="205" t="s">
        <v>4550</v>
      </c>
      <c r="K1177" s="214" t="s">
        <v>48</v>
      </c>
      <c r="L1177" s="200" t="s">
        <v>49</v>
      </c>
      <c r="M1177" s="61" t="s">
        <v>6423</v>
      </c>
      <c r="N1177" s="3" t="str">
        <f t="shared" si="16"/>
        <v>POST /experience/customerManagement/partyReferenceDataDirectory/v1/corporate/company/contact/delete</v>
      </c>
      <c r="O1177" s="32"/>
      <c r="P1177" s="32"/>
      <c r="Q1177" s="61" t="s">
        <v>98</v>
      </c>
      <c r="R1177" s="31" t="s">
        <v>56</v>
      </c>
      <c r="S1177" s="38" t="str">
        <f t="shared" si="11"/>
        <v>https://github.com/SF-Bancoppel/mx-api-bc-rec-party-ref-dat-dir-corp</v>
      </c>
      <c r="T1177" s="40"/>
      <c r="U1177" s="40"/>
      <c r="V1177" s="40"/>
      <c r="W1177" s="40"/>
      <c r="X1177" s="40"/>
      <c r="Y1177" s="40"/>
      <c r="Z1177" s="40"/>
      <c r="AA1177" s="40"/>
      <c r="AB1177" s="40"/>
    </row>
    <row r="1178" ht="18.75" customHeight="1">
      <c r="A1178" s="18" t="str">
        <f t="array" ref="A1178">IFERROR(
  INDEX(
    'api-register-id'!A:A,
    MATCH(F1178, 'api-register-id'!B:B, 0)
  ),
  "Not found Organization"
)</f>
        <v>Empresa Net</v>
      </c>
      <c r="B1178" s="22" t="str">
        <f>IFERROR(VLOOKUP(F1178, 'api-register-id'!B:F, 4, FALSE), "Not found path.")</f>
        <v>mx-api-bc-rec-party-ref-dat-dir-corp</v>
      </c>
      <c r="C1178" s="200" t="s">
        <v>112</v>
      </c>
      <c r="D1178" s="200" t="s">
        <v>1417</v>
      </c>
      <c r="E1178" s="24" t="str">
        <f>IFERROR(VLOOKUP(F1178, 'api-register-id'!B:F, 5, FALSE), "Not found path.")</f>
        <v>APIMX000182</v>
      </c>
      <c r="F1178" s="61" t="s">
        <v>2691</v>
      </c>
      <c r="G1178" s="26" t="s">
        <v>6707</v>
      </c>
      <c r="H1178" s="205" t="s">
        <v>6708</v>
      </c>
      <c r="I1178" s="29" t="str">
        <f>IFERROR(VLOOKUP(F1178, 'api-register-id'!B:I, 8, FALSE), "Not found path.")</f>
        <v/>
      </c>
      <c r="J1178" s="212" t="s">
        <v>4550</v>
      </c>
      <c r="K1178" s="214" t="s">
        <v>48</v>
      </c>
      <c r="L1178" s="200" t="s">
        <v>49</v>
      </c>
      <c r="M1178" s="61" t="s">
        <v>6426</v>
      </c>
      <c r="N1178" s="3" t="str">
        <f t="shared" si="16"/>
        <v>POST /experience/customerManagement/partyReferenceDataDirectory/v1/corporate/company/contact/create</v>
      </c>
      <c r="O1178" s="40"/>
      <c r="P1178" s="40"/>
      <c r="Q1178" s="61" t="s">
        <v>98</v>
      </c>
      <c r="R1178" s="31" t="s">
        <v>56</v>
      </c>
      <c r="S1178" s="38" t="str">
        <f t="shared" si="11"/>
        <v>https://github.com/SF-Bancoppel/mx-api-bc-rec-party-ref-dat-dir-corp</v>
      </c>
      <c r="T1178" s="40"/>
      <c r="U1178" s="40"/>
      <c r="V1178" s="40"/>
      <c r="W1178" s="40"/>
      <c r="X1178" s="40"/>
      <c r="Y1178" s="40"/>
      <c r="Z1178" s="40"/>
      <c r="AA1178" s="40"/>
      <c r="AB1178" s="40"/>
    </row>
    <row r="1179" ht="18.75" customHeight="1">
      <c r="A1179" s="18" t="str">
        <f t="array" ref="A1179">IFERROR(
  INDEX(
    'api-register-id'!A:A,
    MATCH(F1179, 'api-register-id'!B:B, 0)
  ),
  "Not found Organization"
)</f>
        <v>Empresa Net</v>
      </c>
      <c r="B1179" s="22" t="str">
        <f>IFERROR(VLOOKUP(F1179, 'api-register-id'!B:F, 4, FALSE), "Not found path.")</f>
        <v>mx-api-bc-rec-party-ref-dat-dir-corp</v>
      </c>
      <c r="C1179" s="200" t="s">
        <v>112</v>
      </c>
      <c r="D1179" s="200" t="s">
        <v>1417</v>
      </c>
      <c r="E1179" s="24" t="str">
        <f>IFERROR(VLOOKUP(F1179, 'api-register-id'!B:F, 5, FALSE), "Not found path.")</f>
        <v>APIMX000182</v>
      </c>
      <c r="F1179" s="61" t="s">
        <v>2691</v>
      </c>
      <c r="G1179" s="26" t="s">
        <v>6709</v>
      </c>
      <c r="H1179" s="205" t="s">
        <v>6710</v>
      </c>
      <c r="I1179" s="29" t="str">
        <f>IFERROR(VLOOKUP(F1179, 'api-register-id'!B:I, 8, FALSE), "Not found path.")</f>
        <v/>
      </c>
      <c r="J1179" s="212" t="s">
        <v>4550</v>
      </c>
      <c r="K1179" s="214" t="s">
        <v>48</v>
      </c>
      <c r="L1179" s="200" t="s">
        <v>49</v>
      </c>
      <c r="M1179" s="61" t="s">
        <v>6429</v>
      </c>
      <c r="N1179" s="3" t="str">
        <f t="shared" si="16"/>
        <v>POST /experience/customerManagement/partyReferenceDataDirectory/v1/corporate/user/account/set</v>
      </c>
      <c r="O1179" s="40"/>
      <c r="P1179" s="40"/>
      <c r="Q1179" s="61" t="s">
        <v>98</v>
      </c>
      <c r="R1179" s="31" t="s">
        <v>56</v>
      </c>
      <c r="S1179" s="38" t="str">
        <f t="shared" si="11"/>
        <v>https://github.com/SF-Bancoppel/mx-api-bc-rec-party-ref-dat-dir-corp</v>
      </c>
      <c r="T1179" s="40"/>
      <c r="U1179" s="40"/>
      <c r="V1179" s="40"/>
      <c r="W1179" s="40"/>
      <c r="X1179" s="40"/>
      <c r="Y1179" s="40"/>
      <c r="Z1179" s="40"/>
      <c r="AA1179" s="40"/>
      <c r="AB1179" s="40"/>
    </row>
    <row r="1180" ht="18.75" customHeight="1">
      <c r="A1180" s="18" t="str">
        <f t="array" ref="A1180">IFERROR(
  INDEX(
    'api-register-id'!A:A,
    MATCH(F1180, 'api-register-id'!B:B, 0)
  ),
  "Not found Organization"
)</f>
        <v>Empresa Net</v>
      </c>
      <c r="B1180" s="22" t="str">
        <f>IFERROR(VLOOKUP(F1180, 'api-register-id'!B:F, 4, FALSE), "Not found path.")</f>
        <v>mx-api-bc-rec-party-ref-dat-dir-corp</v>
      </c>
      <c r="C1180" s="200" t="s">
        <v>112</v>
      </c>
      <c r="D1180" s="200" t="s">
        <v>1417</v>
      </c>
      <c r="E1180" s="24" t="str">
        <f>IFERROR(VLOOKUP(F1180, 'api-register-id'!B:F, 5, FALSE), "Not found path.")</f>
        <v>APIMX000182</v>
      </c>
      <c r="F1180" s="61" t="s">
        <v>2691</v>
      </c>
      <c r="G1180" s="26" t="s">
        <v>6711</v>
      </c>
      <c r="H1180" s="205" t="s">
        <v>6712</v>
      </c>
      <c r="I1180" s="29" t="str">
        <f>IFERROR(VLOOKUP(F1180, 'api-register-id'!B:I, 8, FALSE), "Not found path.")</f>
        <v/>
      </c>
      <c r="J1180" s="212" t="s">
        <v>4550</v>
      </c>
      <c r="K1180" s="214" t="s">
        <v>48</v>
      </c>
      <c r="L1180" s="200" t="s">
        <v>49</v>
      </c>
      <c r="M1180" s="61" t="s">
        <v>6432</v>
      </c>
      <c r="N1180" s="3" t="str">
        <f t="shared" si="16"/>
        <v>POST /experience/customerManagement/partyReferenceDataDirectory/v1/corporate/companyAndContacts/get</v>
      </c>
      <c r="O1180" s="40"/>
      <c r="P1180" s="40"/>
      <c r="Q1180" s="61" t="s">
        <v>98</v>
      </c>
      <c r="R1180" s="31" t="s">
        <v>56</v>
      </c>
      <c r="S1180" s="38" t="str">
        <f t="shared" si="11"/>
        <v>https://github.com/SF-Bancoppel/mx-api-bc-rec-party-ref-dat-dir-corp</v>
      </c>
      <c r="T1180" s="40"/>
      <c r="U1180" s="40"/>
      <c r="V1180" s="40"/>
      <c r="W1180" s="40"/>
      <c r="X1180" s="40"/>
      <c r="Y1180" s="40"/>
      <c r="Z1180" s="40"/>
      <c r="AA1180" s="40"/>
      <c r="AB1180" s="40"/>
    </row>
    <row r="1181" ht="18.75" customHeight="1">
      <c r="A1181" s="18" t="str">
        <f t="array" ref="A1181">IFERROR(
  INDEX(
    'api-register-id'!A:A,
    MATCH(F1181, 'api-register-id'!B:B, 0)
  ),
  "Not found Organization"
)</f>
        <v>Empresa Net</v>
      </c>
      <c r="B1181" s="22" t="str">
        <f>IFERROR(VLOOKUP(F1181, 'api-register-id'!B:F, 4, FALSE), "Not found path.")</f>
        <v>mx-api-bc-rec-party-ref-dat-dir-corp</v>
      </c>
      <c r="C1181" s="200" t="s">
        <v>112</v>
      </c>
      <c r="D1181" s="200" t="s">
        <v>1417</v>
      </c>
      <c r="E1181" s="24" t="str">
        <f>IFERROR(VLOOKUP(F1181, 'api-register-id'!B:F, 5, FALSE), "Not found path.")</f>
        <v>APIMX000182</v>
      </c>
      <c r="F1181" s="61" t="s">
        <v>2691</v>
      </c>
      <c r="G1181" s="26" t="s">
        <v>6713</v>
      </c>
      <c r="H1181" s="205" t="s">
        <v>6714</v>
      </c>
      <c r="I1181" s="29" t="str">
        <f>IFERROR(VLOOKUP(F1181, 'api-register-id'!B:I, 8, FALSE), "Not found path.")</f>
        <v/>
      </c>
      <c r="J1181" s="212" t="s">
        <v>4550</v>
      </c>
      <c r="K1181" s="214" t="s">
        <v>48</v>
      </c>
      <c r="L1181" s="200" t="s">
        <v>49</v>
      </c>
      <c r="M1181" s="61" t="s">
        <v>6435</v>
      </c>
      <c r="N1181" s="3" t="str">
        <f t="shared" si="16"/>
        <v>POST /experience/customerManagement/partyReferenceDataDirectory/v1/corporate/company/contact/update</v>
      </c>
      <c r="O1181" s="40"/>
      <c r="P1181" s="40"/>
      <c r="Q1181" s="61" t="s">
        <v>98</v>
      </c>
      <c r="R1181" s="31" t="s">
        <v>56</v>
      </c>
      <c r="S1181" s="38" t="str">
        <f t="shared" si="11"/>
        <v>https://github.com/SF-Bancoppel/mx-api-bc-rec-party-ref-dat-dir-corp</v>
      </c>
      <c r="T1181" s="40"/>
      <c r="U1181" s="22"/>
      <c r="V1181" s="40"/>
      <c r="W1181" s="40"/>
      <c r="X1181" s="40"/>
      <c r="Y1181" s="40"/>
      <c r="Z1181" s="22"/>
      <c r="AA1181" s="22"/>
      <c r="AB1181" s="22"/>
    </row>
    <row r="1182" ht="18.75" customHeight="1">
      <c r="A1182" s="18" t="str">
        <f t="array" ref="A1182">IFERROR(
  INDEX(
    'api-register-id'!A:A,
    MATCH(F1182, 'api-register-id'!B:B, 0)
  ),
  "Not found Organization"
)</f>
        <v>Empresa Net</v>
      </c>
      <c r="B1182" s="22" t="str">
        <f>IFERROR(VLOOKUP(F1182, 'api-register-id'!B:F, 4, FALSE), "Not found path.")</f>
        <v>mx-api-bc-rec-party-ref-dat-dir-corp</v>
      </c>
      <c r="C1182" s="200" t="s">
        <v>112</v>
      </c>
      <c r="D1182" s="200" t="s">
        <v>1417</v>
      </c>
      <c r="E1182" s="24" t="str">
        <f>IFERROR(VLOOKUP(F1182, 'api-register-id'!B:F, 5, FALSE), "Not found path.")</f>
        <v>APIMX000182</v>
      </c>
      <c r="F1182" s="61" t="s">
        <v>2691</v>
      </c>
      <c r="G1182" s="26" t="s">
        <v>6715</v>
      </c>
      <c r="H1182" s="205" t="s">
        <v>6716</v>
      </c>
      <c r="I1182" s="29" t="str">
        <f>IFERROR(VLOOKUP(F1182, 'api-register-id'!B:I, 8, FALSE), "Not found path.")</f>
        <v/>
      </c>
      <c r="J1182" s="212" t="s">
        <v>4550</v>
      </c>
      <c r="K1182" s="214" t="s">
        <v>48</v>
      </c>
      <c r="L1182" s="200" t="s">
        <v>49</v>
      </c>
      <c r="M1182" s="61" t="s">
        <v>6438</v>
      </c>
      <c r="N1182" s="3" t="str">
        <f t="shared" si="16"/>
        <v>POST /experience/customerManagement/partyReferenceDataDirectory/v1/corporate/user/get</v>
      </c>
      <c r="O1182" s="40"/>
      <c r="P1182" s="40"/>
      <c r="Q1182" s="61" t="s">
        <v>98</v>
      </c>
      <c r="R1182" s="31" t="s">
        <v>56</v>
      </c>
      <c r="S1182" s="38" t="str">
        <f t="shared" si="11"/>
        <v>https://github.com/SF-Bancoppel/mx-api-bc-rec-party-ref-dat-dir-corp</v>
      </c>
      <c r="T1182" s="40"/>
      <c r="U1182" s="40"/>
      <c r="V1182" s="40"/>
      <c r="W1182" s="40"/>
      <c r="X1182" s="40"/>
      <c r="Y1182" s="40"/>
      <c r="Z1182" s="40"/>
      <c r="AA1182" s="40"/>
      <c r="AB1182" s="40"/>
    </row>
    <row r="1183" ht="18.75" customHeight="1">
      <c r="A1183" s="18" t="str">
        <f t="array" ref="A1183">IFERROR(
  INDEX(
    'api-register-id'!A:A,
    MATCH(F1183, 'api-register-id'!B:B, 0)
  ),
  "Not found Organization"
)</f>
        <v>Empresa Net</v>
      </c>
      <c r="B1183" s="22" t="str">
        <f>IFERROR(VLOOKUP(F1183, 'api-register-id'!B:F, 4, FALSE), "Not found path.")</f>
        <v>mx-api-bc-rec-party-ref-dat-dir-corp</v>
      </c>
      <c r="C1183" s="200" t="s">
        <v>112</v>
      </c>
      <c r="D1183" s="200" t="s">
        <v>1417</v>
      </c>
      <c r="E1183" s="24" t="str">
        <f>IFERROR(VLOOKUP(F1183, 'api-register-id'!B:F, 5, FALSE), "Not found path.")</f>
        <v>APIMX000182</v>
      </c>
      <c r="F1183" s="61" t="s">
        <v>2691</v>
      </c>
      <c r="G1183" s="26" t="s">
        <v>6717</v>
      </c>
      <c r="H1183" s="205" t="s">
        <v>6718</v>
      </c>
      <c r="I1183" s="29" t="str">
        <f>IFERROR(VLOOKUP(F1183, 'api-register-id'!B:I, 8, FALSE), "Not found path.")</f>
        <v/>
      </c>
      <c r="J1183" s="212" t="s">
        <v>4550</v>
      </c>
      <c r="K1183" s="214" t="s">
        <v>48</v>
      </c>
      <c r="L1183" s="200" t="s">
        <v>49</v>
      </c>
      <c r="M1183" s="61" t="s">
        <v>6441</v>
      </c>
      <c r="N1183" s="3" t="str">
        <f t="shared" si="16"/>
        <v>POST /experience/customerManagement/partyReferenceDataDirectory/v1/corporate/company/enroll/validateData</v>
      </c>
      <c r="O1183" s="40"/>
      <c r="P1183" s="40"/>
      <c r="Q1183" s="61" t="s">
        <v>98</v>
      </c>
      <c r="R1183" s="31" t="s">
        <v>56</v>
      </c>
      <c r="S1183" s="38" t="str">
        <f t="shared" si="11"/>
        <v>https://github.com/SF-Bancoppel/mx-api-bc-rec-party-ref-dat-dir-corp</v>
      </c>
      <c r="T1183" s="40"/>
      <c r="U1183" s="40"/>
      <c r="V1183" s="40"/>
      <c r="W1183" s="40"/>
      <c r="X1183" s="40"/>
      <c r="Y1183" s="40"/>
      <c r="Z1183" s="40"/>
      <c r="AA1183" s="40"/>
      <c r="AB1183" s="40"/>
    </row>
    <row r="1184" ht="18.75" customHeight="1">
      <c r="A1184" s="18" t="str">
        <f t="array" ref="A1184">IFERROR(
  INDEX(
    'api-register-id'!A:A,
    MATCH(F1184, 'api-register-id'!B:B, 0)
  ),
  "Not found Organization"
)</f>
        <v>Empresa Net</v>
      </c>
      <c r="B1184" s="22" t="str">
        <f>IFERROR(VLOOKUP(F1184, 'api-register-id'!B:F, 4, FALSE), "Not found path.")</f>
        <v>mx-api-bc-rec-party-ref-dat-dir-corp</v>
      </c>
      <c r="C1184" s="200" t="s">
        <v>112</v>
      </c>
      <c r="D1184" s="200" t="s">
        <v>1417</v>
      </c>
      <c r="E1184" s="24" t="str">
        <f>IFERROR(VLOOKUP(F1184, 'api-register-id'!B:F, 5, FALSE), "Not found path.")</f>
        <v>APIMX000182</v>
      </c>
      <c r="F1184" s="204" t="s">
        <v>2691</v>
      </c>
      <c r="G1184" s="26" t="s">
        <v>6719</v>
      </c>
      <c r="H1184" s="205" t="s">
        <v>6720</v>
      </c>
      <c r="I1184" s="29" t="str">
        <f>IFERROR(VLOOKUP(F1184, 'api-register-id'!B:I, 8, FALSE), "Not found path.")</f>
        <v/>
      </c>
      <c r="J1184" s="1" t="s">
        <v>4550</v>
      </c>
      <c r="K1184" s="214" t="s">
        <v>48</v>
      </c>
      <c r="L1184" s="200" t="s">
        <v>49</v>
      </c>
      <c r="M1184" s="212" t="s">
        <v>6444</v>
      </c>
      <c r="N1184" s="3" t="str">
        <f t="shared" si="16"/>
        <v>POST /experience/customerManagement/partyReferenceDataDirectory/v1/corporate/user/create</v>
      </c>
      <c r="O1184" s="40"/>
      <c r="P1184" s="40"/>
      <c r="Q1184" s="61" t="s">
        <v>98</v>
      </c>
      <c r="R1184" s="31" t="s">
        <v>56</v>
      </c>
      <c r="S1184" s="38" t="str">
        <f t="shared" si="11"/>
        <v>https://github.com/SF-Bancoppel/mx-api-bc-rec-party-ref-dat-dir-corp</v>
      </c>
      <c r="T1184" s="40"/>
      <c r="U1184" s="40"/>
      <c r="V1184" s="40"/>
      <c r="W1184" s="40"/>
      <c r="X1184" s="40"/>
      <c r="Y1184" s="40"/>
      <c r="Z1184" s="40"/>
      <c r="AA1184" s="40"/>
      <c r="AB1184" s="40"/>
    </row>
    <row r="1185" ht="18.75" customHeight="1">
      <c r="A1185" s="18" t="str">
        <f t="array" ref="A1185">IFERROR(
  INDEX(
    'api-register-id'!A:A,
    MATCH(F1185, 'api-register-id'!B:B, 0)
  ),
  "Not found Organization"
)</f>
        <v>Empresa Net</v>
      </c>
      <c r="B1185" s="22" t="str">
        <f>IFERROR(VLOOKUP(F1185, 'api-register-id'!B:F, 4, FALSE), "Not found path.")</f>
        <v>mx-api-bc-rec-party-ref-dat-dir-corp</v>
      </c>
      <c r="C1185" s="200" t="s">
        <v>112</v>
      </c>
      <c r="D1185" s="200" t="s">
        <v>1417</v>
      </c>
      <c r="E1185" s="24" t="str">
        <f>IFERROR(VLOOKUP(F1185, 'api-register-id'!B:F, 5, FALSE), "Not found path.")</f>
        <v>APIMX000182</v>
      </c>
      <c r="F1185" s="204" t="s">
        <v>2691</v>
      </c>
      <c r="G1185" s="26" t="s">
        <v>6721</v>
      </c>
      <c r="H1185" s="205" t="s">
        <v>6722</v>
      </c>
      <c r="I1185" s="29" t="str">
        <f>IFERROR(VLOOKUP(F1185, 'api-register-id'!B:I, 8, FALSE), "Not found path.")</f>
        <v/>
      </c>
      <c r="J1185" s="1" t="s">
        <v>4550</v>
      </c>
      <c r="K1185" s="214" t="s">
        <v>48</v>
      </c>
      <c r="L1185" s="200" t="s">
        <v>49</v>
      </c>
      <c r="M1185" s="212" t="s">
        <v>6447</v>
      </c>
      <c r="N1185" s="3" t="str">
        <f t="shared" si="16"/>
        <v>POST /experience/customerManagement/partyReferenceDataDirectory/v1/corporate/user/update</v>
      </c>
      <c r="O1185" s="40"/>
      <c r="P1185" s="40"/>
      <c r="Q1185" s="61" t="s">
        <v>98</v>
      </c>
      <c r="R1185" s="31" t="s">
        <v>56</v>
      </c>
      <c r="S1185" s="38" t="str">
        <f t="shared" si="11"/>
        <v>https://github.com/SF-Bancoppel/mx-api-bc-rec-party-ref-dat-dir-corp</v>
      </c>
      <c r="T1185" s="40"/>
      <c r="U1185" s="40"/>
      <c r="V1185" s="40"/>
      <c r="W1185" s="40"/>
      <c r="X1185" s="40"/>
      <c r="Y1185" s="40"/>
      <c r="Z1185" s="40"/>
      <c r="AA1185" s="40"/>
      <c r="AB1185" s="40"/>
    </row>
    <row r="1186" ht="18.75" customHeight="1">
      <c r="A1186" s="18" t="str">
        <f t="array" ref="A1186">IFERROR(
  INDEX(
    'api-register-id'!A:A,
    MATCH(F1186, 'api-register-id'!B:B, 0)
  ),
  "Not found Organization"
)</f>
        <v>Empresa Net</v>
      </c>
      <c r="B1186" s="22" t="str">
        <f>IFERROR(VLOOKUP(F1186, 'api-register-id'!B:F, 4, FALSE), "Not found path.")</f>
        <v>mx-api-bc-rec-party-ref-dat-dir-corp</v>
      </c>
      <c r="C1186" s="200" t="s">
        <v>112</v>
      </c>
      <c r="D1186" s="200" t="s">
        <v>1417</v>
      </c>
      <c r="E1186" s="24" t="str">
        <f>IFERROR(VLOOKUP(F1186, 'api-register-id'!B:F, 5, FALSE), "Not found path.")</f>
        <v>APIMX000182</v>
      </c>
      <c r="F1186" s="204" t="s">
        <v>2691</v>
      </c>
      <c r="G1186" s="26" t="s">
        <v>6723</v>
      </c>
      <c r="H1186" s="205" t="s">
        <v>6724</v>
      </c>
      <c r="I1186" s="29" t="str">
        <f>IFERROR(VLOOKUP(F1186, 'api-register-id'!B:I, 8, FALSE), "Not found path.")</f>
        <v/>
      </c>
      <c r="J1186" s="1" t="s">
        <v>4550</v>
      </c>
      <c r="K1186" s="214" t="s">
        <v>48</v>
      </c>
      <c r="L1186" s="200" t="s">
        <v>49</v>
      </c>
      <c r="M1186" s="212" t="s">
        <v>6450</v>
      </c>
      <c r="N1186" s="3" t="str">
        <f t="shared" si="16"/>
        <v>POST /experience/customerManagement/partyReferenceDataDirectory/v1/corporate/company/enroll/validateAccount</v>
      </c>
      <c r="O1186" s="40"/>
      <c r="P1186" s="40"/>
      <c r="Q1186" s="61" t="s">
        <v>98</v>
      </c>
      <c r="R1186" s="31" t="s">
        <v>56</v>
      </c>
      <c r="S1186" s="38" t="str">
        <f t="shared" si="11"/>
        <v>https://github.com/SF-Bancoppel/mx-api-bc-rec-party-ref-dat-dir-corp</v>
      </c>
      <c r="T1186" s="40"/>
      <c r="U1186" s="40"/>
      <c r="V1186" s="40"/>
      <c r="W1186" s="40"/>
      <c r="X1186" s="40"/>
      <c r="Y1186" s="40"/>
      <c r="Z1186" s="40"/>
      <c r="AA1186" s="40"/>
      <c r="AB1186" s="40"/>
    </row>
    <row r="1187" ht="18.75" customHeight="1">
      <c r="A1187" s="18" t="str">
        <f t="array" ref="A1187">IFERROR(
  INDEX(
    'api-register-id'!A:A,
    MATCH(F1187, 'api-register-id'!B:B, 0)
  ),
  "Not found Organization"
)</f>
        <v>Empresa Net</v>
      </c>
      <c r="B1187" s="22" t="str">
        <f>IFERROR(VLOOKUP(F1187, 'api-register-id'!B:F, 4, FALSE), "Not found path.")</f>
        <v>mx-api-bc-rec-iss-dev-admin-corp</v>
      </c>
      <c r="C1187" s="200" t="s">
        <v>112</v>
      </c>
      <c r="D1187" s="200" t="s">
        <v>1417</v>
      </c>
      <c r="E1187" s="24" t="str">
        <f>IFERROR(VLOOKUP(F1187, 'api-register-id'!B:F, 5, FALSE), "Not found path.")</f>
        <v>APIMX000183</v>
      </c>
      <c r="F1187" s="202" t="s">
        <v>2698</v>
      </c>
      <c r="G1187" s="26" t="s">
        <v>6725</v>
      </c>
      <c r="H1187" s="205" t="s">
        <v>6726</v>
      </c>
      <c r="I1187" s="29" t="str">
        <f>IFERROR(VLOOKUP(F1187, 'api-register-id'!B:I, 8, FALSE), "Not found path.")</f>
        <v/>
      </c>
      <c r="J1187" s="212" t="s">
        <v>3849</v>
      </c>
      <c r="K1187" s="214" t="s">
        <v>48</v>
      </c>
      <c r="L1187" s="200" t="s">
        <v>49</v>
      </c>
      <c r="M1187" s="61" t="s">
        <v>6462</v>
      </c>
      <c r="N1187" s="3" t="str">
        <f t="shared" si="16"/>
        <v>POST /experience/operationalServices/issuedDeviceAdministration/v1/corporate/hardToken/set</v>
      </c>
      <c r="O1187" s="40"/>
      <c r="P1187" s="40"/>
      <c r="Q1187" s="61" t="s">
        <v>98</v>
      </c>
      <c r="R1187" s="31" t="s">
        <v>56</v>
      </c>
      <c r="S1187" s="38" t="str">
        <f t="shared" si="11"/>
        <v>https://github.com/SF-Bancoppel/mx-api-bc-rec-iss-dev-admin-corp</v>
      </c>
      <c r="T1187" s="40"/>
      <c r="U1187" s="40"/>
      <c r="V1187" s="40"/>
      <c r="W1187" s="40"/>
      <c r="X1187" s="40"/>
      <c r="Y1187" s="40"/>
      <c r="Z1187" s="40"/>
      <c r="AA1187" s="40"/>
      <c r="AB1187" s="40"/>
    </row>
    <row r="1188" ht="18.75" customHeight="1">
      <c r="A1188" s="18" t="str">
        <f t="array" ref="A1188">IFERROR(
  INDEX(
    'api-register-id'!A:A,
    MATCH(F1188, 'api-register-id'!B:B, 0)
  ),
  "Not found Organization"
)</f>
        <v>Empresa Net</v>
      </c>
      <c r="B1188" s="22" t="str">
        <f>IFERROR(VLOOKUP(F1188, 'api-register-id'!B:F, 4, FALSE), "Not found path.")</f>
        <v>mx-api-bc-rec-iss-dev-admin-corp</v>
      </c>
      <c r="C1188" s="200" t="s">
        <v>112</v>
      </c>
      <c r="D1188" s="200" t="s">
        <v>1417</v>
      </c>
      <c r="E1188" s="24" t="str">
        <f>IFERROR(VLOOKUP(F1188, 'api-register-id'!B:F, 5, FALSE), "Not found path.")</f>
        <v>APIMX000183</v>
      </c>
      <c r="F1188" s="61" t="s">
        <v>2698</v>
      </c>
      <c r="G1188" s="26" t="s">
        <v>6727</v>
      </c>
      <c r="H1188" s="205" t="s">
        <v>6728</v>
      </c>
      <c r="I1188" s="29" t="str">
        <f>IFERROR(VLOOKUP(F1188, 'api-register-id'!B:I, 8, FALSE), "Not found path.")</f>
        <v/>
      </c>
      <c r="J1188" s="212" t="s">
        <v>3849</v>
      </c>
      <c r="K1188" s="214" t="s">
        <v>48</v>
      </c>
      <c r="L1188" s="200" t="s">
        <v>49</v>
      </c>
      <c r="M1188" s="61" t="s">
        <v>6465</v>
      </c>
      <c r="N1188" s="3" t="str">
        <f t="shared" si="16"/>
        <v>POST /experience/operationalServices/issuedDeviceAdministration/v1/corporate/hardToken/sync</v>
      </c>
      <c r="O1188" s="40"/>
      <c r="P1188" s="40"/>
      <c r="Q1188" s="61" t="s">
        <v>98</v>
      </c>
      <c r="R1188" s="31" t="s">
        <v>56</v>
      </c>
      <c r="S1188" s="38" t="str">
        <f t="shared" si="11"/>
        <v>https://github.com/SF-Bancoppel/mx-api-bc-rec-iss-dev-admin-corp</v>
      </c>
      <c r="T1188" s="40"/>
      <c r="U1188" s="40"/>
      <c r="V1188" s="40"/>
      <c r="W1188" s="40"/>
      <c r="X1188" s="40"/>
      <c r="Y1188" s="40"/>
      <c r="Z1188" s="40"/>
      <c r="AA1188" s="40"/>
      <c r="AB1188" s="40"/>
    </row>
    <row r="1189" ht="18.75" customHeight="1">
      <c r="A1189" s="18" t="str">
        <f t="array" ref="A1189">IFERROR(
  INDEX(
    'api-register-id'!A:A,
    MATCH(F1189, 'api-register-id'!B:B, 0)
  ),
  "Not found Organization"
)</f>
        <v>Empresa Net</v>
      </c>
      <c r="B1189" s="22" t="str">
        <f>IFERROR(VLOOKUP(F1189, 'api-register-id'!B:F, 4, FALSE), "Not found path.")</f>
        <v>mx-api-bc-rec-iss-dev-admin-corp</v>
      </c>
      <c r="C1189" s="200" t="s">
        <v>112</v>
      </c>
      <c r="D1189" s="200" t="s">
        <v>1417</v>
      </c>
      <c r="E1189" s="24" t="str">
        <f>IFERROR(VLOOKUP(F1189, 'api-register-id'!B:F, 5, FALSE), "Not found path.")</f>
        <v>APIMX000183</v>
      </c>
      <c r="F1189" s="61" t="s">
        <v>2698</v>
      </c>
      <c r="G1189" s="26" t="s">
        <v>6729</v>
      </c>
      <c r="H1189" s="205" t="s">
        <v>6730</v>
      </c>
      <c r="I1189" s="29" t="str">
        <f>IFERROR(VLOOKUP(F1189, 'api-register-id'!B:I, 8, FALSE), "Not found path.")</f>
        <v/>
      </c>
      <c r="J1189" s="212" t="s">
        <v>3849</v>
      </c>
      <c r="K1189" s="214" t="s">
        <v>48</v>
      </c>
      <c r="L1189" s="200" t="s">
        <v>49</v>
      </c>
      <c r="M1189" s="61" t="s">
        <v>6468</v>
      </c>
      <c r="N1189" s="3" t="str">
        <f t="shared" si="16"/>
        <v>POST /experience/operationalServices/issuedDeviceAdministration/v1/corporate/hardToken/otp/validate</v>
      </c>
      <c r="O1189" s="40"/>
      <c r="P1189" s="40"/>
      <c r="Q1189" s="61" t="s">
        <v>98</v>
      </c>
      <c r="R1189" s="31" t="s">
        <v>56</v>
      </c>
      <c r="S1189" s="38" t="str">
        <f t="shared" si="11"/>
        <v>https://github.com/SF-Bancoppel/mx-api-bc-rec-iss-dev-admin-corp</v>
      </c>
      <c r="T1189" s="40"/>
      <c r="U1189" s="40"/>
      <c r="V1189" s="40"/>
      <c r="W1189" s="40"/>
      <c r="X1189" s="40"/>
      <c r="Y1189" s="40"/>
      <c r="Z1189" s="40"/>
      <c r="AA1189" s="40"/>
      <c r="AB1189" s="40"/>
    </row>
    <row r="1190" ht="18.75" customHeight="1">
      <c r="A1190" s="18" t="str">
        <f t="array" ref="A1190">IFERROR(
  INDEX(
    'api-register-id'!A:A,
    MATCH(F1190, 'api-register-id'!B:B, 0)
  ),
  "Not found Organization"
)</f>
        <v>Empresa Net</v>
      </c>
      <c r="B1190" s="22" t="str">
        <f>IFERROR(VLOOKUP(F1190, 'api-register-id'!B:F, 4, FALSE), "Not found path.")</f>
        <v>mx-api-bc-rec-iss-dev-admin-corp</v>
      </c>
      <c r="C1190" s="200" t="s">
        <v>112</v>
      </c>
      <c r="D1190" s="200" t="s">
        <v>1417</v>
      </c>
      <c r="E1190" s="24" t="str">
        <f>IFERROR(VLOOKUP(F1190, 'api-register-id'!B:F, 5, FALSE), "Not found path.")</f>
        <v>APIMX000183</v>
      </c>
      <c r="F1190" s="204" t="s">
        <v>2698</v>
      </c>
      <c r="G1190" s="26" t="s">
        <v>6731</v>
      </c>
      <c r="H1190" s="205" t="s">
        <v>6732</v>
      </c>
      <c r="I1190" s="29" t="str">
        <f>IFERROR(VLOOKUP(F1190, 'api-register-id'!B:I, 8, FALSE), "Not found path.")</f>
        <v/>
      </c>
      <c r="J1190" s="1" t="s">
        <v>3849</v>
      </c>
      <c r="K1190" s="214" t="s">
        <v>48</v>
      </c>
      <c r="L1190" s="200" t="s">
        <v>49</v>
      </c>
      <c r="M1190" s="212" t="s">
        <v>6471</v>
      </c>
      <c r="N1190" s="3" t="str">
        <f t="shared" si="16"/>
        <v>POST /experience/operationalServices/issuedDeviceAdministration/v1/corporate/user/codesSent/add</v>
      </c>
      <c r="O1190" s="40"/>
      <c r="P1190" s="40"/>
      <c r="Q1190" s="61" t="s">
        <v>98</v>
      </c>
      <c r="R1190" s="31" t="s">
        <v>56</v>
      </c>
      <c r="S1190" s="38" t="str">
        <f t="shared" si="11"/>
        <v>https://github.com/SF-Bancoppel/mx-api-bc-rec-iss-dev-admin-corp</v>
      </c>
      <c r="T1190" s="40"/>
      <c r="U1190" s="40"/>
      <c r="V1190" s="40"/>
      <c r="W1190" s="40"/>
      <c r="X1190" s="40"/>
      <c r="Y1190" s="40"/>
      <c r="Z1190" s="40"/>
      <c r="AA1190" s="40"/>
      <c r="AB1190" s="40"/>
    </row>
    <row r="1191" ht="18.75" customHeight="1">
      <c r="A1191" s="18" t="str">
        <f t="array" ref="A1191">IFERROR(
  INDEX(
    'api-register-id'!A:A,
    MATCH(F1191, 'api-register-id'!B:B, 0)
  ),
  "Not found Organization"
)</f>
        <v>Empresa Net</v>
      </c>
      <c r="B1191" s="22" t="str">
        <f>IFERROR(VLOOKUP(F1191, 'api-register-id'!B:F, 4, FALSE), "Not found path.")</f>
        <v>mx-api-bc-rec-iss-dev-admin-corp</v>
      </c>
      <c r="C1191" s="200" t="s">
        <v>112</v>
      </c>
      <c r="D1191" s="200" t="s">
        <v>1417</v>
      </c>
      <c r="E1191" s="24" t="str">
        <f>IFERROR(VLOOKUP(F1191, 'api-register-id'!B:F, 5, FALSE), "Not found path.")</f>
        <v>APIMX000183</v>
      </c>
      <c r="F1191" s="204" t="s">
        <v>2698</v>
      </c>
      <c r="G1191" s="26" t="s">
        <v>6733</v>
      </c>
      <c r="H1191" s="205" t="s">
        <v>6734</v>
      </c>
      <c r="I1191" s="29" t="str">
        <f>IFERROR(VLOOKUP(F1191, 'api-register-id'!B:I, 8, FALSE), "Not found path.")</f>
        <v/>
      </c>
      <c r="J1191" s="1" t="s">
        <v>3849</v>
      </c>
      <c r="K1191" s="214" t="s">
        <v>48</v>
      </c>
      <c r="L1191" s="200" t="s">
        <v>49</v>
      </c>
      <c r="M1191" s="212" t="s">
        <v>6474</v>
      </c>
      <c r="N1191" s="3" t="str">
        <f t="shared" si="16"/>
        <v>POST /experience/operationalServices/issuedDeviceAdministration/v1/corporate/user/codesSent/reset</v>
      </c>
      <c r="O1191" s="40"/>
      <c r="P1191" s="40"/>
      <c r="Q1191" s="61" t="s">
        <v>98</v>
      </c>
      <c r="R1191" s="31" t="s">
        <v>56</v>
      </c>
      <c r="S1191" s="38" t="str">
        <f t="shared" si="11"/>
        <v>https://github.com/SF-Bancoppel/mx-api-bc-rec-iss-dev-admin-corp</v>
      </c>
      <c r="T1191" s="40"/>
      <c r="U1191" s="40"/>
      <c r="V1191" s="40"/>
      <c r="W1191" s="40"/>
      <c r="X1191" s="40"/>
      <c r="Y1191" s="40"/>
      <c r="Z1191" s="40"/>
      <c r="AA1191" s="40"/>
      <c r="AB1191" s="40"/>
    </row>
    <row r="1192" ht="18.75" customHeight="1">
      <c r="A1192" s="18" t="str">
        <f t="array" ref="A1192">IFERROR(
  INDEX(
    'api-register-id'!A:A,
    MATCH(F1192, 'api-register-id'!B:B, 0)
  ),
  "Not found Organization"
)</f>
        <v>Empresa Net</v>
      </c>
      <c r="B1192" s="22" t="str">
        <f>IFERROR(VLOOKUP(F1192, 'api-register-id'!B:F, 4, FALSE), "Not found path.")</f>
        <v>mx-api-bc-rec-iss-dev-admin-corp</v>
      </c>
      <c r="C1192" s="200" t="s">
        <v>112</v>
      </c>
      <c r="D1192" s="200" t="s">
        <v>1417</v>
      </c>
      <c r="E1192" s="24" t="str">
        <f>IFERROR(VLOOKUP(F1192, 'api-register-id'!B:F, 5, FALSE), "Not found path.")</f>
        <v>APIMX000183</v>
      </c>
      <c r="F1192" s="204" t="s">
        <v>2698</v>
      </c>
      <c r="G1192" s="26" t="s">
        <v>6735</v>
      </c>
      <c r="H1192" s="205" t="s">
        <v>6736</v>
      </c>
      <c r="I1192" s="29" t="str">
        <f>IFERROR(VLOOKUP(F1192, 'api-register-id'!B:I, 8, FALSE), "Not found path.")</f>
        <v/>
      </c>
      <c r="J1192" s="1" t="s">
        <v>3849</v>
      </c>
      <c r="K1192" s="214" t="s">
        <v>48</v>
      </c>
      <c r="L1192" s="200" t="s">
        <v>49</v>
      </c>
      <c r="M1192" s="212" t="s">
        <v>6477</v>
      </c>
      <c r="N1192" s="3" t="str">
        <f t="shared" si="16"/>
        <v>POST /experience/operationalServices/issuedDeviceAdministration/v1/corporate/user/codesSent/validate</v>
      </c>
      <c r="O1192" s="40"/>
      <c r="P1192" s="40"/>
      <c r="Q1192" s="61" t="s">
        <v>98</v>
      </c>
      <c r="R1192" s="31" t="s">
        <v>56</v>
      </c>
      <c r="S1192" s="38" t="str">
        <f t="shared" si="11"/>
        <v>https://github.com/SF-Bancoppel/mx-api-bc-rec-iss-dev-admin-corp</v>
      </c>
      <c r="T1192" s="40"/>
      <c r="U1192" s="40"/>
      <c r="V1192" s="40"/>
      <c r="W1192" s="40"/>
      <c r="X1192" s="40"/>
      <c r="Y1192" s="40"/>
      <c r="Z1192" s="40"/>
      <c r="AA1192" s="40"/>
      <c r="AB1192" s="40"/>
    </row>
    <row r="1193" ht="18.75" customHeight="1">
      <c r="A1193" s="18" t="str">
        <f t="array" ref="A1193">IFERROR(
  INDEX(
    'api-register-id'!A:A,
    MATCH(F1193, 'api-register-id'!B:B, 0)
  ),
  "Not found Organization"
)</f>
        <v>Empresa Net</v>
      </c>
      <c r="B1193" s="22" t="str">
        <f>IFERROR(VLOOKUP(F1193, 'api-register-id'!B:F, 4, FALSE), "Not found path.")</f>
        <v>mx-api-bc-rec-iss-dev-admin-corp</v>
      </c>
      <c r="C1193" s="200" t="s">
        <v>112</v>
      </c>
      <c r="D1193" s="200" t="s">
        <v>1417</v>
      </c>
      <c r="E1193" s="24" t="str">
        <f>IFERROR(VLOOKUP(F1193, 'api-register-id'!B:F, 5, FALSE), "Not found path.")</f>
        <v>APIMX000183</v>
      </c>
      <c r="F1193" s="204" t="s">
        <v>2698</v>
      </c>
      <c r="G1193" s="26" t="s">
        <v>6737</v>
      </c>
      <c r="H1193" s="205" t="s">
        <v>6738</v>
      </c>
      <c r="I1193" s="29" t="str">
        <f>IFERROR(VLOOKUP(F1193, 'api-register-id'!B:I, 8, FALSE), "Not found path.")</f>
        <v/>
      </c>
      <c r="J1193" s="1" t="s">
        <v>3849</v>
      </c>
      <c r="K1193" s="214" t="s">
        <v>48</v>
      </c>
      <c r="L1193" s="200" t="s">
        <v>49</v>
      </c>
      <c r="M1193" s="212" t="s">
        <v>6480</v>
      </c>
      <c r="N1193" s="3" t="str">
        <f t="shared" si="16"/>
        <v>POST /experience/operationalServices/issuedDeviceAdministration/v1/corporate/hardToken/getRenewalCommission</v>
      </c>
      <c r="O1193" s="40"/>
      <c r="P1193" s="40"/>
      <c r="Q1193" s="61" t="s">
        <v>98</v>
      </c>
      <c r="R1193" s="31" t="s">
        <v>56</v>
      </c>
      <c r="S1193" s="38" t="str">
        <f t="shared" si="11"/>
        <v>https://github.com/SF-Bancoppel/mx-api-bc-rec-iss-dev-admin-corp</v>
      </c>
      <c r="T1193" s="40"/>
      <c r="U1193" s="40"/>
      <c r="V1193" s="40"/>
      <c r="W1193" s="40"/>
      <c r="X1193" s="40"/>
      <c r="Y1193" s="40"/>
      <c r="Z1193" s="40"/>
      <c r="AA1193" s="40"/>
      <c r="AB1193" s="40"/>
    </row>
    <row r="1194" ht="18.75" customHeight="1">
      <c r="A1194" s="18" t="str">
        <f t="array" ref="A1194">IFERROR(
  INDEX(
    'api-register-id'!A:A,
    MATCH(F1194, 'api-register-id'!B:B, 0)
  ),
  "Not found Organization"
)</f>
        <v>Empresa Net</v>
      </c>
      <c r="B1194" s="22" t="str">
        <f>IFERROR(VLOOKUP(F1194, 'api-register-id'!B:F, 4, FALSE), "Not found path.")</f>
        <v>mx-api-bc-rec-iss-dev-admin-corp</v>
      </c>
      <c r="C1194" s="200" t="s">
        <v>112</v>
      </c>
      <c r="D1194" s="200" t="s">
        <v>1417</v>
      </c>
      <c r="E1194" s="24" t="str">
        <f>IFERROR(VLOOKUP(F1194, 'api-register-id'!B:F, 5, FALSE), "Not found path.")</f>
        <v>APIMX000183</v>
      </c>
      <c r="F1194" s="204" t="s">
        <v>2698</v>
      </c>
      <c r="G1194" s="26" t="s">
        <v>6739</v>
      </c>
      <c r="H1194" s="205" t="s">
        <v>6740</v>
      </c>
      <c r="I1194" s="29" t="str">
        <f>IFERROR(VLOOKUP(F1194, 'api-register-id'!B:I, 8, FALSE), "Not found path.")</f>
        <v/>
      </c>
      <c r="J1194" s="1" t="s">
        <v>3849</v>
      </c>
      <c r="K1194" s="214" t="s">
        <v>48</v>
      </c>
      <c r="L1194" s="200" t="s">
        <v>49</v>
      </c>
      <c r="M1194" s="212" t="s">
        <v>6483</v>
      </c>
      <c r="N1194" s="3" t="str">
        <f t="shared" si="16"/>
        <v>POST /experience/operationalServices/issuedDeviceAdministration/v1/corporate/hardToken/detail</v>
      </c>
      <c r="O1194" s="40"/>
      <c r="P1194" s="40"/>
      <c r="Q1194" s="61" t="s">
        <v>98</v>
      </c>
      <c r="R1194" s="31" t="s">
        <v>56</v>
      </c>
      <c r="S1194" s="38" t="str">
        <f t="shared" si="11"/>
        <v>https://github.com/SF-Bancoppel/mx-api-bc-rec-iss-dev-admin-corp</v>
      </c>
      <c r="T1194" s="40"/>
      <c r="U1194" s="249"/>
      <c r="V1194" s="249"/>
      <c r="W1194" s="249"/>
      <c r="X1194" s="249"/>
      <c r="Y1194" s="249"/>
      <c r="Z1194" s="249"/>
      <c r="AA1194" s="249"/>
      <c r="AB1194" s="249"/>
    </row>
    <row r="1195" ht="18.75" customHeight="1">
      <c r="A1195" s="18" t="str">
        <f t="array" ref="A1195">IFERROR(
  INDEX(
    'api-register-id'!A:A,
    MATCH(F1195, 'api-register-id'!B:B, 0)
  ),
  "Not found Organization"
)</f>
        <v>Empresa Net</v>
      </c>
      <c r="B1195" s="22" t="str">
        <f>IFERROR(VLOOKUP(F1195, 'api-register-id'!B:F, 4, FALSE), "Not found path.")</f>
        <v>mx-api-bc-rec-iss-dev-admin-corp</v>
      </c>
      <c r="C1195" s="200" t="s">
        <v>112</v>
      </c>
      <c r="D1195" s="200" t="s">
        <v>1417</v>
      </c>
      <c r="E1195" s="24" t="str">
        <f>IFERROR(VLOOKUP(F1195, 'api-register-id'!B:F, 5, FALSE), "Not found path.")</f>
        <v>APIMX000183</v>
      </c>
      <c r="F1195" s="204" t="s">
        <v>2698</v>
      </c>
      <c r="G1195" s="26" t="s">
        <v>6741</v>
      </c>
      <c r="H1195" s="205" t="s">
        <v>6742</v>
      </c>
      <c r="I1195" s="29" t="str">
        <f>IFERROR(VLOOKUP(F1195, 'api-register-id'!B:I, 8, FALSE), "Not found path.")</f>
        <v/>
      </c>
      <c r="J1195" s="1" t="s">
        <v>3849</v>
      </c>
      <c r="K1195" s="214" t="s">
        <v>48</v>
      </c>
      <c r="L1195" s="200" t="s">
        <v>49</v>
      </c>
      <c r="M1195" s="212" t="s">
        <v>6486</v>
      </c>
      <c r="N1195" s="3" t="str">
        <f t="shared" si="16"/>
        <v>POST /experience/operationalServices/issuedDeviceAdministration/v1/corporate/hardToken/validateExpiration</v>
      </c>
      <c r="O1195" s="40"/>
      <c r="P1195" s="40"/>
      <c r="Q1195" s="61" t="s">
        <v>98</v>
      </c>
      <c r="R1195" s="31" t="s">
        <v>56</v>
      </c>
      <c r="S1195" s="38" t="str">
        <f t="shared" si="11"/>
        <v>https://github.com/SF-Bancoppel/mx-api-bc-rec-iss-dev-admin-corp</v>
      </c>
      <c r="T1195" s="40"/>
      <c r="U1195" s="40"/>
      <c r="V1195" s="40"/>
      <c r="W1195" s="40"/>
      <c r="X1195" s="40"/>
      <c r="Y1195" s="40"/>
      <c r="Z1195" s="40"/>
      <c r="AA1195" s="40"/>
      <c r="AB1195" s="40"/>
    </row>
    <row r="1196" ht="18.75" customHeight="1">
      <c r="A1196" s="18" t="str">
        <f t="array" ref="A1196">IFERROR(
  INDEX(
    'api-register-id'!A:A,
    MATCH(F1196, 'api-register-id'!B:B, 0)
  ),
  "Not found Organization"
)</f>
        <v>SSFF</v>
      </c>
      <c r="B1196" s="22" t="str">
        <f>IFERROR(VLOOKUP(F1196, 'api-register-id'!B:F, 4, FALSE), "Not found path.")</f>
        <v>mx-api-bc-rec-customer-management</v>
      </c>
      <c r="C1196" s="23" t="s">
        <v>112</v>
      </c>
      <c r="D1196" s="23" t="s">
        <v>1417</v>
      </c>
      <c r="E1196" s="24" t="str">
        <f>IFERROR(VLOOKUP(F1196, 'api-register-id'!B:F, 5, FALSE), "Not found path.")</f>
        <v>APIMX000163</v>
      </c>
      <c r="F1196" s="25" t="s">
        <v>2133</v>
      </c>
      <c r="G1196" s="26" t="s">
        <v>6743</v>
      </c>
      <c r="H1196" s="22" t="s">
        <v>6744</v>
      </c>
      <c r="I1196" s="29" t="str">
        <f>IFERROR(VLOOKUP(F1196, 'api-register-id'!B:I, 8, FALSE), "Not found path.")</f>
        <v>1.4.1</v>
      </c>
      <c r="J1196" s="3" t="s">
        <v>6186</v>
      </c>
      <c r="K1196" s="31" t="s">
        <v>48</v>
      </c>
      <c r="L1196" s="200" t="s">
        <v>49</v>
      </c>
      <c r="M1196" s="3" t="s">
        <v>6052</v>
      </c>
      <c r="N1196" s="3" t="str">
        <f t="shared" si="16"/>
        <v>POST /experience/customerManagement/v1/partyProfile/evaluate</v>
      </c>
      <c r="O1196" s="32" t="s">
        <v>6745</v>
      </c>
      <c r="P1196" s="32" t="s">
        <v>6746</v>
      </c>
      <c r="Q1196" s="61" t="s">
        <v>6747</v>
      </c>
      <c r="R1196" s="31" t="s">
        <v>56</v>
      </c>
      <c r="S1196" s="38" t="str">
        <f t="shared" si="11"/>
        <v>https://github.com/SF-Bancoppel/mx-api-bc-rec-customer-management</v>
      </c>
      <c r="T1196" s="40"/>
      <c r="U1196" s="40"/>
      <c r="V1196" s="40"/>
      <c r="W1196" s="40"/>
      <c r="X1196" s="40"/>
      <c r="Y1196" s="40"/>
      <c r="Z1196" s="40"/>
      <c r="AA1196" s="40"/>
      <c r="AB1196" s="40"/>
    </row>
    <row r="1197" ht="18.75" customHeight="1">
      <c r="A1197" s="18" t="str">
        <f t="array" ref="A1197">IFERROR(
  INDEX(
    'api-register-id'!A:A,
    MATCH(F1197, 'api-register-id'!B:B, 0)
  ),
  "Not found Organization"
)</f>
        <v>SSFF</v>
      </c>
      <c r="B1197" s="22" t="str">
        <f>IFERROR(VLOOKUP(F1197, 'api-register-id'!B:F, 4, FALSE), "Not found path.")</f>
        <v>mx-api-bc-rec-customer-management</v>
      </c>
      <c r="C1197" s="23" t="s">
        <v>112</v>
      </c>
      <c r="D1197" s="23" t="s">
        <v>1417</v>
      </c>
      <c r="E1197" s="24" t="str">
        <f>IFERROR(VLOOKUP(F1197, 'api-register-id'!B:F, 5, FALSE), "Not found path.")</f>
        <v>APIMX000163</v>
      </c>
      <c r="F1197" s="25" t="s">
        <v>2133</v>
      </c>
      <c r="G1197" s="26" t="s">
        <v>6748</v>
      </c>
      <c r="H1197" s="22" t="s">
        <v>6749</v>
      </c>
      <c r="I1197" s="29" t="str">
        <f>IFERROR(VLOOKUP(F1197, 'api-register-id'!B:I, 8, FALSE), "Not found path.")</f>
        <v>1.4.1</v>
      </c>
      <c r="J1197" s="3" t="s">
        <v>6186</v>
      </c>
      <c r="K1197" s="31" t="s">
        <v>48</v>
      </c>
      <c r="L1197" s="200" t="s">
        <v>49</v>
      </c>
      <c r="M1197" s="3" t="s">
        <v>6058</v>
      </c>
      <c r="N1197" s="3" t="str">
        <f t="shared" si="16"/>
        <v>POST /experience/customerManagement/v1/onBoardingCreditCardWelcomeKit/activate</v>
      </c>
      <c r="O1197" s="32" t="s">
        <v>6059</v>
      </c>
      <c r="P1197" s="32" t="s">
        <v>6746</v>
      </c>
      <c r="Q1197" s="61" t="s">
        <v>6750</v>
      </c>
      <c r="R1197" s="31" t="s">
        <v>56</v>
      </c>
      <c r="S1197" s="38" t="str">
        <f t="shared" si="11"/>
        <v>https://github.com/SF-Bancoppel/mx-api-bc-rec-customer-management</v>
      </c>
      <c r="T1197" s="40"/>
      <c r="U1197" s="40"/>
      <c r="V1197" s="40"/>
      <c r="W1197" s="40"/>
      <c r="X1197" s="40"/>
      <c r="Y1197" s="40"/>
      <c r="Z1197" s="40"/>
      <c r="AA1197" s="40"/>
      <c r="AB1197" s="40"/>
    </row>
    <row r="1198" ht="18.75" customHeight="1">
      <c r="A1198" s="18" t="str">
        <f t="array" ref="A1198">IFERROR(
  INDEX(
    'api-register-id'!A:A,
    MATCH(F1198, 'api-register-id'!B:B, 0)
  ),
  "Not found Organization"
)</f>
        <v>SSFF</v>
      </c>
      <c r="B1198" s="22" t="str">
        <f>IFERROR(VLOOKUP(F1198, 'api-register-id'!B:F, 4, FALSE), "Not found path.")</f>
        <v>mx-api-bc-rec-customer-management</v>
      </c>
      <c r="C1198" s="23" t="s">
        <v>112</v>
      </c>
      <c r="D1198" s="23" t="s">
        <v>1417</v>
      </c>
      <c r="E1198" s="24" t="str">
        <f>IFERROR(VLOOKUP(F1198, 'api-register-id'!B:F, 5, FALSE), "Not found path.")</f>
        <v>APIMX000163</v>
      </c>
      <c r="F1198" s="25" t="s">
        <v>2133</v>
      </c>
      <c r="G1198" s="26" t="s">
        <v>6751</v>
      </c>
      <c r="H1198" s="22" t="s">
        <v>6752</v>
      </c>
      <c r="I1198" s="29" t="str">
        <f>IFERROR(VLOOKUP(F1198, 'api-register-id'!B:I, 8, FALSE), "Not found path.")</f>
        <v>1.4.1</v>
      </c>
      <c r="J1198" s="3" t="s">
        <v>6186</v>
      </c>
      <c r="K1198" s="31" t="s">
        <v>48</v>
      </c>
      <c r="L1198" s="200" t="s">
        <v>61</v>
      </c>
      <c r="M1198" s="3" t="s">
        <v>6063</v>
      </c>
      <c r="N1198" s="3" t="str">
        <f t="shared" si="16"/>
        <v>PUT /experience/customerManagement/v1/onBoardingPartyDigitalService/execute</v>
      </c>
      <c r="O1198" s="32" t="s">
        <v>6064</v>
      </c>
      <c r="P1198" s="32" t="s">
        <v>6746</v>
      </c>
      <c r="Q1198" s="61" t="s">
        <v>6753</v>
      </c>
      <c r="R1198" s="31" t="s">
        <v>56</v>
      </c>
      <c r="S1198" s="38" t="str">
        <f t="shared" si="11"/>
        <v>https://github.com/SF-Bancoppel/mx-api-bc-rec-customer-management</v>
      </c>
      <c r="T1198" s="40"/>
      <c r="U1198" s="40"/>
      <c r="V1198" s="40"/>
      <c r="W1198" s="40"/>
      <c r="X1198" s="40"/>
      <c r="Y1198" s="40"/>
      <c r="Z1198" s="40"/>
      <c r="AA1198" s="40"/>
      <c r="AB1198" s="40"/>
    </row>
    <row r="1199" ht="18.75" customHeight="1">
      <c r="A1199" s="18" t="str">
        <f t="array" ref="A1199">IFERROR(
  INDEX(
    'api-register-id'!A:A,
    MATCH(F1199, 'api-register-id'!B:B, 0)
  ),
  "Not found Organization"
)</f>
        <v>SSFF</v>
      </c>
      <c r="B1199" s="22" t="str">
        <f>IFERROR(VLOOKUP(F1199, 'api-register-id'!B:F, 4, FALSE), "Not found path.")</f>
        <v>mx-api-bc-rec-customer-management</v>
      </c>
      <c r="C1199" s="23" t="s">
        <v>112</v>
      </c>
      <c r="D1199" s="23" t="s">
        <v>1417</v>
      </c>
      <c r="E1199" s="24" t="str">
        <f>IFERROR(VLOOKUP(F1199, 'api-register-id'!B:F, 5, FALSE), "Not found path.")</f>
        <v>APIMX000163</v>
      </c>
      <c r="F1199" s="25" t="s">
        <v>2133</v>
      </c>
      <c r="G1199" s="26" t="s">
        <v>6754</v>
      </c>
      <c r="H1199" s="22" t="s">
        <v>6755</v>
      </c>
      <c r="I1199" s="29" t="str">
        <f>IFERROR(VLOOKUP(F1199, 'api-register-id'!B:I, 8, FALSE), "Not found path.")</f>
        <v>1.4.1</v>
      </c>
      <c r="J1199" s="3" t="s">
        <v>6186</v>
      </c>
      <c r="K1199" s="31" t="s">
        <v>48</v>
      </c>
      <c r="L1199" s="200" t="s">
        <v>49</v>
      </c>
      <c r="M1199" s="3" t="s">
        <v>6068</v>
      </c>
      <c r="N1199" s="3" t="str">
        <f t="shared" si="16"/>
        <v>POST /experience/customerManagement/v1/customerRelationshipInvolvement/create</v>
      </c>
      <c r="O1199" s="32" t="s">
        <v>5176</v>
      </c>
      <c r="P1199" s="32" t="s">
        <v>6746</v>
      </c>
      <c r="Q1199" s="61" t="s">
        <v>6753</v>
      </c>
      <c r="R1199" s="31" t="s">
        <v>56</v>
      </c>
      <c r="S1199" s="38" t="str">
        <f t="shared" si="11"/>
        <v>https://github.com/SF-Bancoppel/mx-api-bc-rec-customer-management</v>
      </c>
      <c r="T1199" s="40"/>
      <c r="U1199" s="40"/>
      <c r="V1199" s="40"/>
      <c r="W1199" s="40"/>
      <c r="X1199" s="40"/>
      <c r="Y1199" s="40"/>
      <c r="Z1199" s="40"/>
      <c r="AA1199" s="40"/>
      <c r="AB1199" s="40"/>
    </row>
    <row r="1200" ht="18.75" customHeight="1">
      <c r="A1200" s="18" t="str">
        <f t="array" ref="A1200">IFERROR(
  INDEX(
    'api-register-id'!A:A,
    MATCH(F1200, 'api-register-id'!B:B, 0)
  ),
  "Not found Organization"
)</f>
        <v>SSFF</v>
      </c>
      <c r="B1200" s="22" t="str">
        <f>IFERROR(VLOOKUP(F1200, 'api-register-id'!B:F, 4, FALSE), "Not found path.")</f>
        <v>mx-api-bc-rec-customer-management</v>
      </c>
      <c r="C1200" s="23" t="s">
        <v>112</v>
      </c>
      <c r="D1200" s="23" t="s">
        <v>1417</v>
      </c>
      <c r="E1200" s="24" t="str">
        <f>IFERROR(VLOOKUP(F1200, 'api-register-id'!B:F, 5, FALSE), "Not found path.")</f>
        <v>APIMX000163</v>
      </c>
      <c r="F1200" s="25" t="s">
        <v>2133</v>
      </c>
      <c r="G1200" s="26" t="s">
        <v>6756</v>
      </c>
      <c r="H1200" s="22" t="s">
        <v>6757</v>
      </c>
      <c r="I1200" s="29" t="str">
        <f>IFERROR(VLOOKUP(F1200, 'api-register-id'!B:I, 8, FALSE), "Not found path.")</f>
        <v>1.4.1</v>
      </c>
      <c r="J1200" s="3" t="s">
        <v>6186</v>
      </c>
      <c r="K1200" s="31" t="s">
        <v>48</v>
      </c>
      <c r="L1200" s="200" t="s">
        <v>61</v>
      </c>
      <c r="M1200" s="3" t="s">
        <v>6072</v>
      </c>
      <c r="N1200" s="3" t="str">
        <f t="shared" si="16"/>
        <v>PUT /experience/customerManagement/v1/internalReporting/execute</v>
      </c>
      <c r="O1200" s="32" t="s">
        <v>6758</v>
      </c>
      <c r="P1200" s="32" t="s">
        <v>6746</v>
      </c>
      <c r="Q1200" s="61" t="s">
        <v>6759</v>
      </c>
      <c r="R1200" s="31" t="s">
        <v>56</v>
      </c>
      <c r="S1200" s="38" t="str">
        <f t="shared" si="11"/>
        <v>https://github.com/SF-Bancoppel/mx-api-bc-rec-customer-management</v>
      </c>
      <c r="T1200" s="40"/>
      <c r="U1200" s="40"/>
      <c r="V1200" s="40"/>
      <c r="W1200" s="40"/>
      <c r="X1200" s="40"/>
      <c r="Y1200" s="40"/>
      <c r="Z1200" s="40"/>
      <c r="AA1200" s="40"/>
      <c r="AB1200" s="40"/>
    </row>
    <row r="1201" ht="18.75" customHeight="1">
      <c r="A1201" s="18" t="str">
        <f t="array" ref="A1201">IFERROR(
  INDEX(
    'api-register-id'!A:A,
    MATCH(F1201, 'api-register-id'!B:B, 0)
  ),
  "Not found Organization"
)</f>
        <v>SSFF</v>
      </c>
      <c r="B1201" s="22" t="str">
        <f>IFERROR(VLOOKUP(F1201, 'api-register-id'!B:F, 4, FALSE), "Not found path.")</f>
        <v>mx-api-bc-rec-customer-management</v>
      </c>
      <c r="C1201" s="23" t="s">
        <v>112</v>
      </c>
      <c r="D1201" s="23" t="s">
        <v>1417</v>
      </c>
      <c r="E1201" s="24" t="str">
        <f>IFERROR(VLOOKUP(F1201, 'api-register-id'!B:F, 5, FALSE), "Not found path.")</f>
        <v>APIMX000163</v>
      </c>
      <c r="F1201" s="25" t="s">
        <v>2133</v>
      </c>
      <c r="G1201" s="26" t="s">
        <v>6760</v>
      </c>
      <c r="H1201" s="22" t="s">
        <v>6761</v>
      </c>
      <c r="I1201" s="29" t="str">
        <f>IFERROR(VLOOKUP(F1201, 'api-register-id'!B:I, 8, FALSE), "Not found path.")</f>
        <v>1.4.1</v>
      </c>
      <c r="J1201" s="3" t="s">
        <v>6186</v>
      </c>
      <c r="K1201" s="31" t="s">
        <v>48</v>
      </c>
      <c r="L1201" s="200" t="s">
        <v>49</v>
      </c>
      <c r="M1201" s="3" t="s">
        <v>6077</v>
      </c>
      <c r="N1201" s="3" t="str">
        <f t="shared" si="16"/>
        <v>POST /experience/customerManagement/v1/customerRelationshipInvolvementPep/create</v>
      </c>
      <c r="O1201" s="32" t="s">
        <v>6078</v>
      </c>
      <c r="P1201" s="32" t="s">
        <v>6746</v>
      </c>
      <c r="Q1201" s="61" t="s">
        <v>6762</v>
      </c>
      <c r="R1201" s="31" t="s">
        <v>56</v>
      </c>
      <c r="S1201" s="38" t="str">
        <f t="shared" si="11"/>
        <v>https://github.com/SF-Bancoppel/mx-api-bc-rec-customer-management</v>
      </c>
      <c r="T1201" s="40"/>
      <c r="U1201" s="40"/>
      <c r="V1201" s="40"/>
      <c r="W1201" s="40"/>
      <c r="X1201" s="40"/>
      <c r="Y1201" s="40"/>
      <c r="Z1201" s="40"/>
      <c r="AA1201" s="40"/>
      <c r="AB1201" s="40"/>
    </row>
    <row r="1202" ht="18.75" customHeight="1">
      <c r="A1202" s="18" t="str">
        <f t="array" ref="A1202">IFERROR(
  INDEX(
    'api-register-id'!A:A,
    MATCH(F1202, 'api-register-id'!B:B, 0)
  ),
  "Not found Organization"
)</f>
        <v>SSFF</v>
      </c>
      <c r="B1202" s="22" t="str">
        <f>IFERROR(VLOOKUP(F1202, 'api-register-id'!B:F, 4, FALSE), "Not found path.")</f>
        <v>mx-api-bc-rec-operational-services</v>
      </c>
      <c r="C1202" s="23" t="s">
        <v>112</v>
      </c>
      <c r="D1202" s="23" t="s">
        <v>1417</v>
      </c>
      <c r="E1202" s="24" t="str">
        <f>IFERROR(VLOOKUP(F1202, 'api-register-id'!B:F, 5, FALSE), "Not found path.")</f>
        <v>APIMX000164</v>
      </c>
      <c r="F1202" s="25" t="s">
        <v>2204</v>
      </c>
      <c r="G1202" s="26" t="s">
        <v>6763</v>
      </c>
      <c r="H1202" s="22" t="s">
        <v>4511</v>
      </c>
      <c r="I1202" s="29" t="str">
        <f>IFERROR(VLOOKUP(F1202, 'api-register-id'!B:I, 8, FALSE), "Not found path.")</f>
        <v>1.1.0</v>
      </c>
      <c r="J1202" s="3" t="s">
        <v>6764</v>
      </c>
      <c r="K1202" s="31" t="s">
        <v>48</v>
      </c>
      <c r="L1202" s="200" t="s">
        <v>49</v>
      </c>
      <c r="M1202" s="3" t="s">
        <v>6082</v>
      </c>
      <c r="N1202" s="3" t="str">
        <f t="shared" si="16"/>
        <v>POST /experience/operationalServices/v1/accessArrangement/initiate</v>
      </c>
      <c r="O1202" s="32" t="s">
        <v>6765</v>
      </c>
      <c r="P1202" s="32" t="s">
        <v>6766</v>
      </c>
      <c r="Q1202" s="61" t="s">
        <v>6767</v>
      </c>
      <c r="R1202" s="31" t="s">
        <v>56</v>
      </c>
      <c r="S1202" s="38" t="str">
        <f t="shared" si="11"/>
        <v>https://github.com/SF-Bancoppel/mx-api-bc-rec-operational-services</v>
      </c>
      <c r="T1202" s="40"/>
      <c r="U1202" s="40"/>
      <c r="V1202" s="40"/>
      <c r="W1202" s="40"/>
      <c r="X1202" s="40"/>
      <c r="Y1202" s="40"/>
      <c r="Z1202" s="40"/>
      <c r="AA1202" s="40"/>
      <c r="AB1202" s="40"/>
    </row>
    <row r="1203" ht="18.75" customHeight="1">
      <c r="A1203" s="18" t="str">
        <f t="array" ref="A1203">IFERROR(
  INDEX(
    'api-register-id'!A:A,
    MATCH(F1203, 'api-register-id'!B:B, 0)
  ),
  "Not found Organization"
)</f>
        <v>SSFF</v>
      </c>
      <c r="B1203" s="22" t="str">
        <f>IFERROR(VLOOKUP(F1203, 'api-register-id'!B:F, 4, FALSE), "Not found path.")</f>
        <v>mx-api-bc-br-customer-product-and-service-eligibility</v>
      </c>
      <c r="C1203" s="200" t="s">
        <v>112</v>
      </c>
      <c r="D1203" s="200" t="s">
        <v>6207</v>
      </c>
      <c r="E1203" s="24" t="str">
        <f>IFERROR(VLOOKUP(F1203, 'api-register-id'!B:F, 5, FALSE), "Not found path.")</f>
        <v>APIMX000171</v>
      </c>
      <c r="F1203" s="25" t="s">
        <v>2616</v>
      </c>
      <c r="G1203" s="26" t="s">
        <v>6768</v>
      </c>
      <c r="H1203" s="204" t="s">
        <v>6769</v>
      </c>
      <c r="I1203" s="29" t="str">
        <f>IFERROR(VLOOKUP(F1203, 'api-register-id'!B:I, 8, FALSE), "Not found path.")</f>
        <v>1.0.0</v>
      </c>
      <c r="J1203" s="205" t="s">
        <v>6210</v>
      </c>
      <c r="K1203" s="200" t="s">
        <v>48</v>
      </c>
      <c r="L1203" s="200" t="s">
        <v>49</v>
      </c>
      <c r="M1203" s="205" t="s">
        <v>6211</v>
      </c>
      <c r="N1203" s="3" t="str">
        <f t="shared" si="16"/>
        <v>POST /businessRule/customerManagement/customerProductAndServiceEligibility/v1/br/evaluateActiveRequest</v>
      </c>
      <c r="O1203" s="32" t="s">
        <v>6212</v>
      </c>
      <c r="P1203" s="32" t="s">
        <v>6213</v>
      </c>
      <c r="Q1203" s="61" t="s">
        <v>98</v>
      </c>
      <c r="R1203" s="31" t="s">
        <v>56</v>
      </c>
      <c r="S1203" s="38" t="str">
        <f t="shared" si="11"/>
        <v>https://github.com/SF-Bancoppel/mx-api-bc-br-customer-product-and-service-eligibility</v>
      </c>
      <c r="T1203" s="40"/>
      <c r="U1203" s="40"/>
      <c r="V1203" s="40"/>
      <c r="W1203" s="40"/>
      <c r="X1203" s="40"/>
      <c r="Y1203" s="40"/>
      <c r="Z1203" s="40"/>
      <c r="AA1203" s="40"/>
      <c r="AB1203" s="40"/>
    </row>
    <row r="1204" ht="18.75" customHeight="1">
      <c r="A1204" s="18" t="str">
        <f t="array" ref="A1204">IFERROR(
  INDEX(
    'api-register-id'!A:A,
    MATCH(F1204, 'api-register-id'!B:B, 0)
  ),
  "Not found Organization"
)</f>
        <v>SSFF</v>
      </c>
      <c r="B1204" s="22" t="str">
        <f>IFERROR(VLOOKUP(F1204, 'api-register-id'!B:F, 4, FALSE), "Not found path.")</f>
        <v>mx-api-bc-br-customer-product-and-service-eligibility</v>
      </c>
      <c r="C1204" s="200" t="s">
        <v>112</v>
      </c>
      <c r="D1204" s="200" t="s">
        <v>6207</v>
      </c>
      <c r="E1204" s="24" t="str">
        <f>IFERROR(VLOOKUP(F1204, 'api-register-id'!B:F, 5, FALSE), "Not found path.")</f>
        <v>APIMX000171</v>
      </c>
      <c r="F1204" s="25" t="s">
        <v>2616</v>
      </c>
      <c r="G1204" s="26" t="s">
        <v>6770</v>
      </c>
      <c r="H1204" s="204" t="s">
        <v>6771</v>
      </c>
      <c r="I1204" s="29" t="str">
        <f>IFERROR(VLOOKUP(F1204, 'api-register-id'!B:I, 8, FALSE), "Not found path.")</f>
        <v>1.0.0</v>
      </c>
      <c r="J1204" s="205" t="s">
        <v>6210</v>
      </c>
      <c r="K1204" s="200" t="s">
        <v>48</v>
      </c>
      <c r="L1204" s="200" t="s">
        <v>49</v>
      </c>
      <c r="M1204" s="205" t="s">
        <v>6216</v>
      </c>
      <c r="N1204" s="3" t="str">
        <f t="shared" si="16"/>
        <v>POST /businessRule/customerManagement/customerProductAndServiceEligibility/v1/br/evaluateRejectedRequest</v>
      </c>
      <c r="O1204" s="32" t="s">
        <v>6217</v>
      </c>
      <c r="P1204" s="32" t="s">
        <v>6218</v>
      </c>
      <c r="Q1204" s="61" t="s">
        <v>98</v>
      </c>
      <c r="R1204" s="31" t="s">
        <v>56</v>
      </c>
      <c r="S1204" s="38" t="str">
        <f t="shared" si="11"/>
        <v>https://github.com/SF-Bancoppel/mx-api-bc-br-customer-product-and-service-eligibility</v>
      </c>
      <c r="T1204" s="40"/>
      <c r="U1204" s="40"/>
      <c r="V1204" s="40"/>
      <c r="W1204" s="40"/>
      <c r="X1204" s="40"/>
      <c r="Y1204" s="40"/>
      <c r="Z1204" s="40"/>
      <c r="AA1204" s="40"/>
      <c r="AB1204" s="40"/>
    </row>
    <row r="1205" ht="18.75" customHeight="1">
      <c r="A1205" s="18" t="str">
        <f t="array" ref="A1205">IFERROR(
  INDEX(
    'api-register-id'!A:A,
    MATCH(F1205, 'api-register-id'!B:B, 0)
  ),
  "Not found Organization"
)</f>
        <v>Empresa Net</v>
      </c>
      <c r="B1205" s="22" t="str">
        <f>IFERROR(VLOOKUP(F1205, 'api-register-id'!B:F, 4, FALSE), "Not found path.")</f>
        <v>mx-api-bc-rec-iss-dev-admin-corp</v>
      </c>
      <c r="C1205" s="200" t="s">
        <v>112</v>
      </c>
      <c r="D1205" s="200" t="s">
        <v>1417</v>
      </c>
      <c r="E1205" s="24" t="str">
        <f>IFERROR(VLOOKUP(F1205, 'api-register-id'!B:F, 5, FALSE), "Not found path.")</f>
        <v>APIMX000183</v>
      </c>
      <c r="F1205" s="204" t="s">
        <v>2698</v>
      </c>
      <c r="G1205" s="26" t="s">
        <v>6772</v>
      </c>
      <c r="H1205" s="205" t="s">
        <v>6773</v>
      </c>
      <c r="I1205" s="29" t="str">
        <f>IFERROR(VLOOKUP(F1205, 'api-register-id'!B:I, 8, FALSE), "Not found path.")</f>
        <v/>
      </c>
      <c r="J1205" s="1" t="s">
        <v>3849</v>
      </c>
      <c r="K1205" s="214" t="s">
        <v>48</v>
      </c>
      <c r="L1205" s="200" t="s">
        <v>49</v>
      </c>
      <c r="M1205" s="212" t="s">
        <v>6489</v>
      </c>
      <c r="N1205" s="3" t="str">
        <f t="shared" si="16"/>
        <v>POST /experience/operationalServices/issuedDeviceAdministration/v1/corporate/user/recoveryCode/send</v>
      </c>
      <c r="O1205" s="40"/>
      <c r="P1205" s="40"/>
      <c r="Q1205" s="61" t="s">
        <v>98</v>
      </c>
      <c r="R1205" s="31" t="s">
        <v>56</v>
      </c>
      <c r="S1205" s="38" t="str">
        <f t="shared" si="11"/>
        <v>https://github.com/SF-Bancoppel/mx-api-bc-rec-iss-dev-admin-corp</v>
      </c>
      <c r="T1205" s="40"/>
      <c r="U1205" s="40"/>
      <c r="V1205" s="40"/>
      <c r="W1205" s="40"/>
      <c r="X1205" s="40"/>
      <c r="Y1205" s="40"/>
      <c r="Z1205" s="40"/>
      <c r="AA1205" s="40"/>
      <c r="AB1205" s="40"/>
    </row>
    <row r="1206" ht="18.75" customHeight="1">
      <c r="A1206" s="18" t="str">
        <f t="array" ref="A1206">IFERROR(
  INDEX(
    'api-register-id'!A:A,
    MATCH(F1206, 'api-register-id'!B:B, 0)
  ),
  "Not found Organization"
)</f>
        <v>Empresa Net</v>
      </c>
      <c r="B1206" s="22" t="str">
        <f>IFERROR(VLOOKUP(F1206, 'api-register-id'!B:F, 4, FALSE), "Not found path.")</f>
        <v>mx-api-bc-rec-iss-dev-admin-corp</v>
      </c>
      <c r="C1206" s="200" t="s">
        <v>112</v>
      </c>
      <c r="D1206" s="200" t="s">
        <v>1417</v>
      </c>
      <c r="E1206" s="24" t="str">
        <f>IFERROR(VLOOKUP(F1206, 'api-register-id'!B:F, 5, FALSE), "Not found path.")</f>
        <v>APIMX000183</v>
      </c>
      <c r="F1206" s="204" t="s">
        <v>2698</v>
      </c>
      <c r="G1206" s="26" t="s">
        <v>6774</v>
      </c>
      <c r="H1206" s="205" t="s">
        <v>6775</v>
      </c>
      <c r="I1206" s="29" t="str">
        <f>IFERROR(VLOOKUP(F1206, 'api-register-id'!B:I, 8, FALSE), "Not found path.")</f>
        <v/>
      </c>
      <c r="J1206" s="1" t="s">
        <v>3849</v>
      </c>
      <c r="K1206" s="214" t="s">
        <v>48</v>
      </c>
      <c r="L1206" s="200" t="s">
        <v>49</v>
      </c>
      <c r="M1206" s="212" t="s">
        <v>6492</v>
      </c>
      <c r="N1206" s="3" t="str">
        <f t="shared" si="16"/>
        <v>POST /experience/operationalServices/issuedDeviceAdministration/v1/corporate/user/recoveryCode/validate</v>
      </c>
      <c r="O1206" s="40"/>
      <c r="P1206" s="40"/>
      <c r="Q1206" s="61" t="s">
        <v>98</v>
      </c>
      <c r="R1206" s="31" t="s">
        <v>56</v>
      </c>
      <c r="S1206" s="38" t="str">
        <f t="shared" si="11"/>
        <v>https://github.com/SF-Bancoppel/mx-api-bc-rec-iss-dev-admin-corp</v>
      </c>
      <c r="T1206" s="40"/>
      <c r="U1206" s="40"/>
      <c r="V1206" s="40"/>
      <c r="W1206" s="40"/>
      <c r="X1206" s="40"/>
      <c r="Y1206" s="40"/>
      <c r="Z1206" s="40"/>
      <c r="AA1206" s="40"/>
      <c r="AB1206" s="40"/>
    </row>
    <row r="1207" ht="18.75" customHeight="1">
      <c r="A1207" s="18" t="str">
        <f t="array" ref="A1207">IFERROR(
  INDEX(
    'api-register-id'!A:A,
    MATCH(F1207, 'api-register-id'!B:B, 0)
  ),
  "Not found Organization"
)</f>
        <v>Empresa Net</v>
      </c>
      <c r="B1207" s="22" t="str">
        <f>IFERROR(VLOOKUP(F1207, 'api-register-id'!B:F, 4, FALSE), "Not found path.")</f>
        <v>mx-api-bc-rec-iss-dev-admin-corp</v>
      </c>
      <c r="C1207" s="200" t="s">
        <v>112</v>
      </c>
      <c r="D1207" s="200" t="s">
        <v>1417</v>
      </c>
      <c r="E1207" s="24" t="str">
        <f>IFERROR(VLOOKUP(F1207, 'api-register-id'!B:F, 5, FALSE), "Not found path.")</f>
        <v>APIMX000183</v>
      </c>
      <c r="F1207" s="204" t="s">
        <v>2698</v>
      </c>
      <c r="G1207" s="26" t="s">
        <v>6776</v>
      </c>
      <c r="H1207" s="205" t="s">
        <v>6777</v>
      </c>
      <c r="I1207" s="29" t="str">
        <f>IFERROR(VLOOKUP(F1207, 'api-register-id'!B:I, 8, FALSE), "Not found path.")</f>
        <v/>
      </c>
      <c r="J1207" s="1" t="s">
        <v>3849</v>
      </c>
      <c r="K1207" s="214" t="s">
        <v>48</v>
      </c>
      <c r="L1207" s="200" t="s">
        <v>49</v>
      </c>
      <c r="M1207" s="212" t="s">
        <v>6495</v>
      </c>
      <c r="N1207" s="3" t="str">
        <f t="shared" si="16"/>
        <v>POST /experience/operationalServices/issuedDeviceAdministration/v1/corporate/hardToken/renew</v>
      </c>
      <c r="O1207" s="40"/>
      <c r="P1207" s="40"/>
      <c r="Q1207" s="61" t="s">
        <v>98</v>
      </c>
      <c r="R1207" s="31" t="s">
        <v>56</v>
      </c>
      <c r="S1207" s="38" t="str">
        <f t="shared" si="11"/>
        <v>https://github.com/SF-Bancoppel/mx-api-bc-rec-iss-dev-admin-corp</v>
      </c>
      <c r="T1207" s="40"/>
      <c r="U1207" s="40"/>
      <c r="V1207" s="40"/>
      <c r="W1207" s="40"/>
      <c r="X1207" s="40"/>
      <c r="Y1207" s="40"/>
      <c r="Z1207" s="40"/>
      <c r="AA1207" s="40"/>
      <c r="AB1207" s="40"/>
    </row>
    <row r="1208" ht="18.75" customHeight="1">
      <c r="A1208" s="18" t="str">
        <f t="array" ref="A1208">IFERROR(
  INDEX(
    'api-register-id'!A:A,
    MATCH(F1208, 'api-register-id'!B:B, 0)
  ),
  "Not found Organization"
)</f>
        <v>Empresa Net</v>
      </c>
      <c r="B1208" s="22" t="str">
        <f>IFERROR(VLOOKUP(F1208, 'api-register-id'!B:F, 4, FALSE), "Not found path.")</f>
        <v>mx-api-bc-rec-iss-dev-admin-corp</v>
      </c>
      <c r="C1208" s="200" t="s">
        <v>112</v>
      </c>
      <c r="D1208" s="200" t="s">
        <v>1417</v>
      </c>
      <c r="E1208" s="24" t="str">
        <f>IFERROR(VLOOKUP(F1208, 'api-register-id'!B:F, 5, FALSE), "Not found path.")</f>
        <v>APIMX000183</v>
      </c>
      <c r="F1208" s="204" t="s">
        <v>2698</v>
      </c>
      <c r="G1208" s="26" t="s">
        <v>6778</v>
      </c>
      <c r="H1208" s="205" t="s">
        <v>6779</v>
      </c>
      <c r="I1208" s="29" t="str">
        <f>IFERROR(VLOOKUP(F1208, 'api-register-id'!B:I, 8, FALSE), "Not found path.")</f>
        <v/>
      </c>
      <c r="J1208" s="1" t="s">
        <v>3849</v>
      </c>
      <c r="K1208" s="214" t="s">
        <v>48</v>
      </c>
      <c r="L1208" s="200" t="s">
        <v>49</v>
      </c>
      <c r="M1208" s="212" t="s">
        <v>6498</v>
      </c>
      <c r="N1208" s="3" t="str">
        <f t="shared" si="16"/>
        <v>POST /experience/operationalServices/issuedDeviceAdministration/v1/corporate/hardToken/editStatus</v>
      </c>
      <c r="O1208" s="40" t="s">
        <v>6499</v>
      </c>
      <c r="P1208" s="40"/>
      <c r="Q1208" s="61" t="s">
        <v>98</v>
      </c>
      <c r="R1208" s="31" t="s">
        <v>56</v>
      </c>
      <c r="S1208" s="38" t="str">
        <f t="shared" si="11"/>
        <v>https://github.com/SF-Bancoppel/mx-api-bc-rec-iss-dev-admin-corp</v>
      </c>
      <c r="T1208" s="40"/>
      <c r="U1208" s="40"/>
      <c r="V1208" s="40"/>
      <c r="W1208" s="40"/>
      <c r="X1208" s="40"/>
      <c r="Y1208" s="40"/>
      <c r="Z1208" s="40"/>
      <c r="AA1208" s="40"/>
      <c r="AB1208" s="40"/>
    </row>
    <row r="1209" ht="18.75" customHeight="1">
      <c r="A1209" s="18" t="str">
        <f t="array" ref="A1209">IFERROR(
  INDEX(
    'api-register-id'!A:A,
    MATCH(F1209, 'api-register-id'!B:B, 0)
  ),
  "Not found Organization"
)</f>
        <v>Empresa Net</v>
      </c>
      <c r="B1209" s="22" t="str">
        <f>IFERROR(VLOOKUP(F1209, 'api-register-id'!B:F, 4, FALSE), "Not found path.")</f>
        <v>mx-api-bc-rec-iss-dev-admin-corp</v>
      </c>
      <c r="C1209" s="200" t="s">
        <v>112</v>
      </c>
      <c r="D1209" s="200" t="s">
        <v>1417</v>
      </c>
      <c r="E1209" s="24" t="str">
        <f>IFERROR(VLOOKUP(F1209, 'api-register-id'!B:F, 5, FALSE), "Not found path.")</f>
        <v>APIMX000183</v>
      </c>
      <c r="F1209" s="204" t="s">
        <v>2698</v>
      </c>
      <c r="G1209" s="26" t="s">
        <v>6780</v>
      </c>
      <c r="H1209" s="205" t="s">
        <v>6777</v>
      </c>
      <c r="I1209" s="29" t="str">
        <f>IFERROR(VLOOKUP(F1209, 'api-register-id'!B:I, 8, FALSE), "Not found path.")</f>
        <v/>
      </c>
      <c r="J1209" s="204" t="s">
        <v>3849</v>
      </c>
      <c r="K1209" s="214" t="s">
        <v>48</v>
      </c>
      <c r="L1209" s="200" t="s">
        <v>49</v>
      </c>
      <c r="M1209" s="212" t="s">
        <v>6495</v>
      </c>
      <c r="N1209" s="3" t="str">
        <f t="shared" si="16"/>
        <v>POST /experience/operationalServices/issuedDeviceAdministration/v1/corporate/hardToken/renew</v>
      </c>
      <c r="O1209" s="40"/>
      <c r="P1209" s="40"/>
      <c r="Q1209" s="61" t="s">
        <v>98</v>
      </c>
      <c r="R1209" s="31" t="s">
        <v>56</v>
      </c>
      <c r="S1209" s="38" t="str">
        <f t="shared" si="11"/>
        <v>https://github.com/SF-Bancoppel/mx-api-bc-rec-iss-dev-admin-corp</v>
      </c>
      <c r="T1209" s="40"/>
      <c r="U1209" s="40"/>
      <c r="V1209" s="40"/>
      <c r="W1209" s="40"/>
      <c r="X1209" s="40"/>
      <c r="Y1209" s="40"/>
      <c r="Z1209" s="40"/>
      <c r="AA1209" s="40"/>
      <c r="AB1209" s="40"/>
    </row>
    <row r="1210" ht="18.75" customHeight="1">
      <c r="A1210" s="18" t="str">
        <f t="array" ref="A1210">IFERROR(
  INDEX(
    'api-register-id'!A:A,
    MATCH(F1210, 'api-register-id'!B:B, 0)
  ),
  "Not found Organization"
)</f>
        <v>Empresa Net</v>
      </c>
      <c r="B1210" s="22" t="str">
        <f>IFERROR(VLOOKUP(F1210, 'api-register-id'!B:F, 4, FALSE), "Not found path.")</f>
        <v>mx-api-bc-rec-iss-dev-admin-corp</v>
      </c>
      <c r="C1210" s="200" t="s">
        <v>112</v>
      </c>
      <c r="D1210" s="200" t="s">
        <v>1417</v>
      </c>
      <c r="E1210" s="24" t="str">
        <f>IFERROR(VLOOKUP(F1210, 'api-register-id'!B:F, 5, FALSE), "Not found path.")</f>
        <v>APIMX000183</v>
      </c>
      <c r="F1210" s="204" t="s">
        <v>2698</v>
      </c>
      <c r="G1210" s="26" t="s">
        <v>6781</v>
      </c>
      <c r="H1210" s="205" t="s">
        <v>6779</v>
      </c>
      <c r="I1210" s="29" t="str">
        <f>IFERROR(VLOOKUP(F1210, 'api-register-id'!B:I, 8, FALSE), "Not found path.")</f>
        <v/>
      </c>
      <c r="J1210" s="204" t="s">
        <v>3849</v>
      </c>
      <c r="K1210" s="214" t="s">
        <v>48</v>
      </c>
      <c r="L1210" s="200" t="s">
        <v>49</v>
      </c>
      <c r="M1210" s="212" t="s">
        <v>6498</v>
      </c>
      <c r="N1210" s="3" t="str">
        <f t="shared" si="16"/>
        <v>POST /experience/operationalServices/issuedDeviceAdministration/v1/corporate/hardToken/editStatus</v>
      </c>
      <c r="O1210" s="40" t="s">
        <v>6499</v>
      </c>
      <c r="P1210" s="40"/>
      <c r="Q1210" s="61" t="s">
        <v>98</v>
      </c>
      <c r="R1210" s="31" t="s">
        <v>56</v>
      </c>
      <c r="S1210" s="38" t="str">
        <f t="shared" si="11"/>
        <v>https://github.com/SF-Bancoppel/mx-api-bc-rec-iss-dev-admin-corp</v>
      </c>
      <c r="T1210" s="40"/>
      <c r="U1210" s="40"/>
      <c r="V1210" s="40"/>
      <c r="W1210" s="40"/>
      <c r="X1210" s="40"/>
      <c r="Y1210" s="40"/>
      <c r="Z1210" s="40"/>
      <c r="AA1210" s="40"/>
      <c r="AB1210" s="40"/>
    </row>
    <row r="1211" ht="18.75" customHeight="1">
      <c r="A1211" s="18" t="str">
        <f t="array" ref="A1211">IFERROR(
  INDEX(
    'api-register-id'!A:A,
    MATCH(F1211, 'api-register-id'!B:B, 0)
  ),
  "Not found Organization"
)</f>
        <v>Empresa Net</v>
      </c>
      <c r="B1211" s="22" t="str">
        <f>IFERROR(VLOOKUP(F1211, 'api-register-id'!B:F, 4, FALSE), "Not found path.")</f>
        <v>mx-api-bc-rec-iss-dev-admin-corp</v>
      </c>
      <c r="C1211" s="200" t="s">
        <v>112</v>
      </c>
      <c r="D1211" s="200" t="s">
        <v>1417</v>
      </c>
      <c r="E1211" s="24" t="str">
        <f>IFERROR(VLOOKUP(F1211, 'api-register-id'!B:F, 5, FALSE), "Not found path.")</f>
        <v>APIMX000183</v>
      </c>
      <c r="F1211" s="204" t="s">
        <v>2698</v>
      </c>
      <c r="G1211" s="26" t="s">
        <v>6782</v>
      </c>
      <c r="H1211" s="205" t="s">
        <v>6783</v>
      </c>
      <c r="I1211" s="29" t="str">
        <f>IFERROR(VLOOKUP(F1211, 'api-register-id'!B:I, 8, FALSE), "Not found path.")</f>
        <v/>
      </c>
      <c r="J1211" s="204" t="s">
        <v>3849</v>
      </c>
      <c r="K1211" s="214" t="s">
        <v>48</v>
      </c>
      <c r="L1211" s="200" t="s">
        <v>49</v>
      </c>
      <c r="M1211" s="212" t="s">
        <v>6502</v>
      </c>
      <c r="N1211" s="3" t="str">
        <f t="shared" si="16"/>
        <v>POST /experience/operationalServices/issuedDeviceAdministration/v1/corporate/hardToken/unassign</v>
      </c>
      <c r="O1211" s="40" t="s">
        <v>6503</v>
      </c>
      <c r="P1211" s="40"/>
      <c r="Q1211" s="61" t="s">
        <v>98</v>
      </c>
      <c r="R1211" s="31" t="s">
        <v>56</v>
      </c>
      <c r="S1211" s="38" t="str">
        <f t="shared" si="11"/>
        <v>https://github.com/SF-Bancoppel/mx-api-bc-rec-iss-dev-admin-corp</v>
      </c>
      <c r="T1211" s="40"/>
      <c r="U1211" s="40"/>
      <c r="V1211" s="40"/>
      <c r="W1211" s="40"/>
      <c r="X1211" s="40"/>
      <c r="Y1211" s="40"/>
      <c r="Z1211" s="40"/>
      <c r="AA1211" s="40"/>
      <c r="AB1211" s="40"/>
    </row>
    <row r="1212" ht="18.75" customHeight="1">
      <c r="A1212" s="18" t="str">
        <f t="array" ref="A1212">IFERROR(
  INDEX(
    'api-register-id'!A:A,
    MATCH(F1212, 'api-register-id'!B:B, 0)
  ),
  "Not found Organization"
)</f>
        <v>Empresa Net</v>
      </c>
      <c r="B1212" s="22" t="str">
        <f>IFERROR(VLOOKUP(F1212, 'api-register-id'!B:F, 4, FALSE), "Not found path.")</f>
        <v>mx-api-bc-rec-pty-auth-corp</v>
      </c>
      <c r="C1212" s="213" t="s">
        <v>112</v>
      </c>
      <c r="D1212" s="213" t="s">
        <v>1417</v>
      </c>
      <c r="E1212" s="24" t="str">
        <f>IFERROR(VLOOKUP(F1212, 'api-register-id'!B:F, 5, FALSE), "Not found path.")</f>
        <v>APIMX000184</v>
      </c>
      <c r="F1212" s="61" t="s">
        <v>2736</v>
      </c>
      <c r="G1212" s="26" t="s">
        <v>6784</v>
      </c>
      <c r="H1212" s="208" t="s">
        <v>6785</v>
      </c>
      <c r="I1212" s="29" t="str">
        <f>IFERROR(VLOOKUP(F1212, 'api-register-id'!B:I, 8, FALSE), "Not found path.")</f>
        <v>1.4.1</v>
      </c>
      <c r="J1212" s="205" t="s">
        <v>4443</v>
      </c>
      <c r="K1212" s="214" t="s">
        <v>48</v>
      </c>
      <c r="L1212" s="200" t="s">
        <v>49</v>
      </c>
      <c r="M1212" s="61" t="s">
        <v>6550</v>
      </c>
      <c r="N1212" s="3" t="str">
        <f t="shared" si="16"/>
        <v>POST /experience/crossChannel/partyAuthentication/v1/corporate/session/create</v>
      </c>
      <c r="O1212" s="32"/>
      <c r="P1212" s="32"/>
      <c r="Q1212" s="61" t="s">
        <v>98</v>
      </c>
      <c r="R1212" s="31" t="s">
        <v>56</v>
      </c>
      <c r="S1212" s="38" t="str">
        <f t="shared" si="11"/>
        <v>https://github.com/SF-Bancoppel/mx-api-bc-rec-pty-auth-corp</v>
      </c>
      <c r="T1212" s="40"/>
      <c r="U1212" s="40"/>
      <c r="V1212" s="40"/>
      <c r="W1212" s="40"/>
      <c r="X1212" s="40"/>
      <c r="Y1212" s="40"/>
      <c r="Z1212" s="40"/>
      <c r="AA1212" s="40"/>
      <c r="AB1212" s="40"/>
    </row>
    <row r="1213" ht="18.75" customHeight="1">
      <c r="A1213" s="18" t="s">
        <v>44</v>
      </c>
      <c r="B1213" s="22" t="str">
        <f>IFERROR(VLOOKUP(F1213, 'api-register-id'!B:F, 4, FALSE), "Not found path.")</f>
        <v>mx-api-bc-bus-customer-management</v>
      </c>
      <c r="C1213" s="213" t="s">
        <v>41</v>
      </c>
      <c r="D1213" s="213" t="s">
        <v>42</v>
      </c>
      <c r="E1213" s="31" t="str">
        <f>IFERROR(VLOOKUP(F1213, 'api-register-id'!B:F, 5, FALSE), "Not found path.")</f>
        <v>APIMX000161</v>
      </c>
      <c r="F1213" s="3" t="s">
        <v>1993</v>
      </c>
      <c r="G1213" s="26" t="s">
        <v>6786</v>
      </c>
      <c r="H1213" s="251" t="s">
        <v>6787</v>
      </c>
      <c r="I1213" s="29" t="str">
        <f>IFERROR(VLOOKUP(F1213, 'api-register-id'!B:I, 8, FALSE), "Not found path.")</f>
        <v>1.21.0</v>
      </c>
      <c r="J1213" s="252" t="s">
        <v>6051</v>
      </c>
      <c r="K1213" s="214" t="s">
        <v>6671</v>
      </c>
      <c r="L1213" s="200" t="s">
        <v>49</v>
      </c>
      <c r="M1213" s="252" t="s">
        <v>6788</v>
      </c>
      <c r="N1213" s="3" t="str">
        <f t="shared" si="16"/>
        <v>POST /customerManagement/v1/partyAgeEligibility/evaluate</v>
      </c>
      <c r="O1213" s="253" t="s">
        <v>6789</v>
      </c>
      <c r="P1213" s="32"/>
      <c r="Q1213" s="36" t="s">
        <v>6790</v>
      </c>
      <c r="R1213" s="31" t="s">
        <v>56</v>
      </c>
      <c r="S1213" s="254" t="s">
        <v>6791</v>
      </c>
      <c r="T1213" s="40"/>
      <c r="U1213" s="40"/>
      <c r="V1213" s="40"/>
      <c r="W1213" s="40"/>
      <c r="X1213" s="40"/>
      <c r="Y1213" s="40"/>
      <c r="Z1213" s="40"/>
      <c r="AA1213" s="40"/>
      <c r="AB1213" s="40"/>
    </row>
    <row r="1214" ht="18.75" customHeight="1">
      <c r="A1214" s="18" t="str">
        <f t="array" ref="A1214">IFERROR(
  INDEX(
    'api-register-id'!A:A,
    MATCH(F1214, 'api-register-id'!B:B, 0)
  ),
  "Not found Organization"
)</f>
        <v>Empresa Net</v>
      </c>
      <c r="B1214" s="22" t="str">
        <f>IFERROR(VLOOKUP(F1214, 'api-register-id'!B:F, 4, FALSE), "Not found path.")</f>
        <v>mx-api-bc-rec-pty-auth-corp</v>
      </c>
      <c r="C1214" s="200" t="s">
        <v>112</v>
      </c>
      <c r="D1214" s="200" t="s">
        <v>1417</v>
      </c>
      <c r="E1214" s="24" t="str">
        <f>IFERROR(VLOOKUP(F1214, 'api-register-id'!B:F, 5, FALSE), "Not found path.")</f>
        <v>APIMX000184</v>
      </c>
      <c r="F1214" s="61" t="s">
        <v>2736</v>
      </c>
      <c r="G1214" s="26" t="s">
        <v>6792</v>
      </c>
      <c r="H1214" s="205" t="s">
        <v>6793</v>
      </c>
      <c r="I1214" s="29" t="str">
        <f>IFERROR(VLOOKUP(F1214, 'api-register-id'!B:I, 8, FALSE), "Not found path.")</f>
        <v>1.4.1</v>
      </c>
      <c r="J1214" s="212" t="s">
        <v>4443</v>
      </c>
      <c r="K1214" s="214" t="s">
        <v>48</v>
      </c>
      <c r="L1214" s="200" t="s">
        <v>49</v>
      </c>
      <c r="M1214" s="61" t="s">
        <v>6556</v>
      </c>
      <c r="N1214" s="3" t="str">
        <f t="shared" si="16"/>
        <v>POST /experience/crossChannel/partyAuthentication/v1/corporate/session/destroy</v>
      </c>
      <c r="O1214" s="255"/>
      <c r="P1214" s="40"/>
      <c r="Q1214" s="61" t="s">
        <v>98</v>
      </c>
      <c r="R1214" s="31" t="s">
        <v>56</v>
      </c>
      <c r="S1214" s="38" t="str">
        <f t="shared" ref="S1214:S1226" si="17">"https://github.com/SF-Bancoppel/"&amp;B1214</f>
        <v>https://github.com/SF-Bancoppel/mx-api-bc-rec-pty-auth-corp</v>
      </c>
      <c r="T1214" s="40"/>
      <c r="U1214" s="40"/>
      <c r="V1214" s="40"/>
      <c r="W1214" s="40"/>
      <c r="X1214" s="40"/>
      <c r="Y1214" s="40"/>
      <c r="Z1214" s="40"/>
      <c r="AA1214" s="40"/>
      <c r="AB1214" s="40"/>
    </row>
    <row r="1215" ht="18.75" customHeight="1">
      <c r="A1215" s="18" t="str">
        <f t="array" ref="A1215">IFERROR(
  INDEX(
    'api-register-id'!A:A,
    MATCH(F1215, 'api-register-id'!B:B, 0)
  ),
  "Not found Organization"
)</f>
        <v>Empresa Net</v>
      </c>
      <c r="B1215" s="22" t="str">
        <f>IFERROR(VLOOKUP(F1215, 'api-register-id'!B:F, 4, FALSE), "Not found path.")</f>
        <v>mx-api-bc-rec-pty-auth-corp</v>
      </c>
      <c r="C1215" s="200" t="s">
        <v>112</v>
      </c>
      <c r="D1215" s="200" t="s">
        <v>1417</v>
      </c>
      <c r="E1215" s="24" t="str">
        <f>IFERROR(VLOOKUP(F1215, 'api-register-id'!B:F, 5, FALSE), "Not found path.")</f>
        <v>APIMX000184</v>
      </c>
      <c r="F1215" s="61" t="s">
        <v>2736</v>
      </c>
      <c r="G1215" s="26" t="s">
        <v>6794</v>
      </c>
      <c r="H1215" s="205" t="s">
        <v>6795</v>
      </c>
      <c r="I1215" s="29" t="str">
        <f>IFERROR(VLOOKUP(F1215, 'api-register-id'!B:I, 8, FALSE), "Not found path.")</f>
        <v>1.4.1</v>
      </c>
      <c r="J1215" s="212" t="s">
        <v>4443</v>
      </c>
      <c r="K1215" s="214" t="s">
        <v>48</v>
      </c>
      <c r="L1215" s="200" t="s">
        <v>49</v>
      </c>
      <c r="M1215" s="61" t="s">
        <v>6559</v>
      </c>
      <c r="N1215" s="3" t="str">
        <f t="shared" si="16"/>
        <v>POST /experience/crossChannel/partyAuthentication/v1/corporate/notification/email</v>
      </c>
      <c r="O1215" s="22" t="s">
        <v>6560</v>
      </c>
      <c r="P1215" s="40"/>
      <c r="Q1215" s="61" t="s">
        <v>98</v>
      </c>
      <c r="R1215" s="31" t="s">
        <v>56</v>
      </c>
      <c r="S1215" s="38" t="str">
        <f t="shared" si="17"/>
        <v>https://github.com/SF-Bancoppel/mx-api-bc-rec-pty-auth-corp</v>
      </c>
      <c r="T1215" s="40"/>
      <c r="U1215" s="40"/>
      <c r="V1215" s="40"/>
      <c r="W1215" s="40"/>
      <c r="X1215" s="40"/>
      <c r="Y1215" s="40"/>
      <c r="Z1215" s="40"/>
      <c r="AA1215" s="40"/>
      <c r="AB1215" s="40"/>
    </row>
    <row r="1216" ht="18.75" customHeight="1">
      <c r="A1216" s="18" t="str">
        <f t="array" ref="A1216">IFERROR(
  INDEX(
    'api-register-id'!A:A,
    MATCH(F1216, 'api-register-id'!B:B, 0)
  ),
  "Not found Organization"
)</f>
        <v>Empresa Net</v>
      </c>
      <c r="B1216" s="22" t="str">
        <f>IFERROR(VLOOKUP(F1216, 'api-register-id'!B:F, 4, FALSE), "Not found path.")</f>
        <v>mx-api-bc-rec-pty-auth-corp</v>
      </c>
      <c r="C1216" s="200" t="s">
        <v>112</v>
      </c>
      <c r="D1216" s="200" t="s">
        <v>1417</v>
      </c>
      <c r="E1216" s="24" t="str">
        <f>IFERROR(VLOOKUP(F1216, 'api-register-id'!B:F, 5, FALSE), "Not found path.")</f>
        <v>APIMX000184</v>
      </c>
      <c r="F1216" s="204" t="s">
        <v>2736</v>
      </c>
      <c r="G1216" s="26" t="s">
        <v>6796</v>
      </c>
      <c r="H1216" s="205" t="s">
        <v>6797</v>
      </c>
      <c r="I1216" s="29" t="str">
        <f>IFERROR(VLOOKUP(F1216, 'api-register-id'!B:I, 8, FALSE), "Not found path.")</f>
        <v>1.4.1</v>
      </c>
      <c r="J1216" s="1" t="s">
        <v>4443</v>
      </c>
      <c r="K1216" s="214" t="s">
        <v>48</v>
      </c>
      <c r="L1216" s="200" t="s">
        <v>49</v>
      </c>
      <c r="M1216" s="212" t="s">
        <v>6563</v>
      </c>
      <c r="N1216" s="3" t="str">
        <f t="shared" si="16"/>
        <v>POST /experience/crossChannel/partyAuthentication/v1/corporate/security/password/set</v>
      </c>
      <c r="O1216" s="40"/>
      <c r="P1216" s="40"/>
      <c r="Q1216" s="61" t="s">
        <v>98</v>
      </c>
      <c r="R1216" s="31" t="s">
        <v>56</v>
      </c>
      <c r="S1216" s="38" t="str">
        <f t="shared" si="17"/>
        <v>https://github.com/SF-Bancoppel/mx-api-bc-rec-pty-auth-corp</v>
      </c>
      <c r="T1216" s="40"/>
      <c r="U1216" s="40"/>
      <c r="V1216" s="40"/>
      <c r="W1216" s="40"/>
      <c r="X1216" s="40"/>
      <c r="Y1216" s="40"/>
      <c r="Z1216" s="40"/>
      <c r="AA1216" s="40"/>
      <c r="AB1216" s="40"/>
    </row>
    <row r="1217" ht="18.75" customHeight="1">
      <c r="A1217" s="18" t="str">
        <f t="array" ref="A1217">IFERROR(
  INDEX(
    'api-register-id'!A:A,
    MATCH(F1217, 'api-register-id'!B:B, 0)
  ),
  "Not found Organization"
)</f>
        <v>Empresa Net</v>
      </c>
      <c r="B1217" s="22" t="str">
        <f>IFERROR(VLOOKUP(F1217, 'api-register-id'!B:F, 4, FALSE), "Not found path.")</f>
        <v>mx-api-bc-rec-pty-auth-corp</v>
      </c>
      <c r="C1217" s="200" t="s">
        <v>112</v>
      </c>
      <c r="D1217" s="200" t="s">
        <v>1417</v>
      </c>
      <c r="E1217" s="24" t="str">
        <f>IFERROR(VLOOKUP(F1217, 'api-register-id'!B:F, 5, FALSE), "Not found path.")</f>
        <v>APIMX000184</v>
      </c>
      <c r="F1217" s="204" t="s">
        <v>2736</v>
      </c>
      <c r="G1217" s="26" t="s">
        <v>6798</v>
      </c>
      <c r="H1217" s="205" t="s">
        <v>6799</v>
      </c>
      <c r="I1217" s="29" t="str">
        <f>IFERROR(VLOOKUP(F1217, 'api-register-id'!B:I, 8, FALSE), "Not found path.")</f>
        <v>1.4.1</v>
      </c>
      <c r="J1217" s="1" t="s">
        <v>4443</v>
      </c>
      <c r="K1217" s="214" t="s">
        <v>48</v>
      </c>
      <c r="L1217" s="200" t="s">
        <v>49</v>
      </c>
      <c r="M1217" s="212" t="s">
        <v>6566</v>
      </c>
      <c r="N1217" s="3" t="str">
        <f t="shared" si="16"/>
        <v>POST /experience/crossChannel/partyAuthentication/v1/corporate/security/password/validate</v>
      </c>
      <c r="O1217" s="40"/>
      <c r="P1217" s="40"/>
      <c r="Q1217" s="61" t="s">
        <v>98</v>
      </c>
      <c r="R1217" s="31" t="s">
        <v>56</v>
      </c>
      <c r="S1217" s="38" t="str">
        <f t="shared" si="17"/>
        <v>https://github.com/SF-Bancoppel/mx-api-bc-rec-pty-auth-corp</v>
      </c>
      <c r="T1217" s="40"/>
      <c r="U1217" s="22"/>
      <c r="V1217" s="40"/>
      <c r="W1217" s="40"/>
      <c r="X1217" s="40"/>
      <c r="Y1217" s="40"/>
      <c r="Z1217" s="22"/>
      <c r="AA1217" s="22"/>
      <c r="AB1217" s="22"/>
    </row>
    <row r="1218" ht="18.75" customHeight="1">
      <c r="A1218" s="18" t="s">
        <v>1827</v>
      </c>
      <c r="B1218" s="22" t="str">
        <f>IFERROR(VLOOKUP(F1218, 'api-register-id'!B:F, 4, FALSE), "Not found path.")</f>
        <v>mx-api-bc-rec-pty-auth-corp</v>
      </c>
      <c r="C1218" s="213" t="s">
        <v>112</v>
      </c>
      <c r="D1218" s="213" t="s">
        <v>1417</v>
      </c>
      <c r="E1218" s="24" t="str">
        <f>IFERROR(VLOOKUP(F1218, 'api-register-id'!B:F, 5, FALSE), "Not found path.")</f>
        <v>APIMX000184</v>
      </c>
      <c r="F1218" s="25" t="s">
        <v>2736</v>
      </c>
      <c r="G1218" s="26" t="s">
        <v>6800</v>
      </c>
      <c r="H1218" s="205" t="s">
        <v>6728</v>
      </c>
      <c r="I1218" s="29" t="str">
        <f>IFERROR(VLOOKUP(F1218, 'api-register-id'!B:I, 8, FALSE), "Not found path.")</f>
        <v>1.4.1</v>
      </c>
      <c r="J1218" s="40" t="s">
        <v>4443</v>
      </c>
      <c r="K1218" s="31" t="s">
        <v>48</v>
      </c>
      <c r="L1218" s="213" t="s">
        <v>49</v>
      </c>
      <c r="M1218" s="3" t="s">
        <v>6465</v>
      </c>
      <c r="N1218" s="3" t="str">
        <f t="shared" si="16"/>
        <v>POST /experience/crossChannel/partyAuthentication/v1/corporate/hardToken/sync</v>
      </c>
      <c r="O1218" s="196" t="s">
        <v>6801</v>
      </c>
      <c r="P1218" s="40"/>
      <c r="Q1218" s="61" t="s">
        <v>6802</v>
      </c>
      <c r="R1218" s="31" t="s">
        <v>56</v>
      </c>
      <c r="S1218" s="38" t="str">
        <f t="shared" si="17"/>
        <v>https://github.com/SF-Bancoppel/mx-api-bc-rec-pty-auth-corp</v>
      </c>
      <c r="T1218" s="40"/>
      <c r="U1218" s="22"/>
      <c r="V1218" s="40"/>
      <c r="W1218" s="40"/>
      <c r="X1218" s="40"/>
      <c r="Y1218" s="40"/>
      <c r="Z1218" s="22"/>
      <c r="AA1218" s="22"/>
      <c r="AB1218" s="22"/>
    </row>
    <row r="1219" ht="18.75" customHeight="1">
      <c r="A1219" s="18" t="s">
        <v>1827</v>
      </c>
      <c r="B1219" s="22" t="s">
        <v>2742</v>
      </c>
      <c r="C1219" s="213" t="s">
        <v>112</v>
      </c>
      <c r="D1219" s="213" t="s">
        <v>1417</v>
      </c>
      <c r="E1219" s="24" t="str">
        <f>IFERROR(VLOOKUP(F1219, 'api-register-id'!B:F, 5, FALSE), "Not found path.")</f>
        <v>APIMX000184</v>
      </c>
      <c r="F1219" s="219" t="s">
        <v>2736</v>
      </c>
      <c r="G1219" s="26" t="s">
        <v>6803</v>
      </c>
      <c r="H1219" s="199" t="s">
        <v>6730</v>
      </c>
      <c r="I1219" s="29"/>
      <c r="J1219" s="192" t="s">
        <v>4443</v>
      </c>
      <c r="K1219" s="31" t="s">
        <v>48</v>
      </c>
      <c r="L1219" s="213" t="s">
        <v>49</v>
      </c>
      <c r="M1219" s="192" t="s">
        <v>6468</v>
      </c>
      <c r="N1219" s="217" t="str">
        <f>CONCATENATE(L1219, " ", J1219, M1219)</f>
        <v>POST /experience/crossChannel/partyAuthentication/v1/corporate/hardToken/otp/validate</v>
      </c>
      <c r="O1219" s="40"/>
      <c r="P1219" s="40"/>
      <c r="Q1219" s="212"/>
      <c r="R1219" s="31" t="s">
        <v>56</v>
      </c>
      <c r="S1219" s="218" t="str">
        <f t="shared" si="17"/>
        <v>https://github.com/SF-Bancoppel/mx-api-bc-rec-pty-auth-corp</v>
      </c>
      <c r="T1219" s="40"/>
      <c r="U1219" s="22"/>
      <c r="V1219" s="40"/>
      <c r="W1219" s="40"/>
      <c r="X1219" s="40"/>
      <c r="Y1219" s="40"/>
      <c r="Z1219" s="22"/>
      <c r="AA1219" s="22"/>
      <c r="AB1219" s="22"/>
    </row>
    <row r="1220" ht="18.75" customHeight="1">
      <c r="A1220" s="18" t="str">
        <f t="array" ref="A1220">IFERROR(
  INDEX(
    'api-register-id'!A:A,
    MATCH(F1220, 'api-register-id'!B:B, 0)
  ),
  "Not found Organization"
)</f>
        <v>Empresa Net</v>
      </c>
      <c r="B1220" s="22" t="str">
        <f>IFERROR(VLOOKUP(F1220, 'api-register-id'!B:F, 4, FALSE), "Not found path.")</f>
        <v>mx-api-bc-rec-cust-prods-and-servs-corp</v>
      </c>
      <c r="C1220" s="213" t="s">
        <v>112</v>
      </c>
      <c r="D1220" s="213" t="s">
        <v>1417</v>
      </c>
      <c r="E1220" s="24" t="str">
        <f>IFERROR(VLOOKUP(F1220, 'api-register-id'!B:F, 5, FALSE), "Not found path.")</f>
        <v>APIMX000185</v>
      </c>
      <c r="F1220" s="61" t="s">
        <v>2779</v>
      </c>
      <c r="G1220" s="26" t="s">
        <v>6804</v>
      </c>
      <c r="H1220" s="208" t="s">
        <v>6805</v>
      </c>
      <c r="I1220" s="29" t="str">
        <f>IFERROR(VLOOKUP(F1220, 'api-register-id'!B:I, 8, FALSE), "Not found path.")</f>
        <v/>
      </c>
      <c r="J1220" s="205" t="s">
        <v>4198</v>
      </c>
      <c r="K1220" s="214" t="s">
        <v>48</v>
      </c>
      <c r="L1220" s="200" t="s">
        <v>49</v>
      </c>
      <c r="M1220" s="61" t="s">
        <v>6585</v>
      </c>
      <c r="N1220" s="3" t="str">
        <f t="shared" ref="N1220:N1226" si="18">CONCATENATE(L1220," ",J1220,M1220)</f>
        <v>POST /experience/customerManagement/customerProductsAndServices/v1/corporate/products/get</v>
      </c>
      <c r="O1220" s="22" t="s">
        <v>6586</v>
      </c>
      <c r="P1220" s="32"/>
      <c r="Q1220" s="61" t="s">
        <v>98</v>
      </c>
      <c r="R1220" s="31" t="s">
        <v>56</v>
      </c>
      <c r="S1220" s="38" t="str">
        <f t="shared" si="17"/>
        <v>https://github.com/SF-Bancoppel/mx-api-bc-rec-cust-prods-and-servs-corp</v>
      </c>
      <c r="T1220" s="40"/>
      <c r="U1220" s="22"/>
      <c r="V1220" s="40"/>
      <c r="W1220" s="40"/>
      <c r="X1220" s="40"/>
      <c r="Y1220" s="40"/>
      <c r="Z1220" s="22"/>
      <c r="AA1220" s="22"/>
      <c r="AB1220" s="22"/>
    </row>
    <row r="1221" ht="18.75" customHeight="1">
      <c r="A1221" s="18" t="str">
        <f t="array" ref="A1221">IFERROR(
  INDEX(
    'api-register-id'!A:A,
    MATCH(F1221, 'api-register-id'!B:B, 0)
  ),
  "Not found Organization"
)</f>
        <v>Empresa Net</v>
      </c>
      <c r="B1221" s="22" t="str">
        <f>IFERROR(VLOOKUP(F1221, 'api-register-id'!B:F, 4, FALSE), "Not found path.")</f>
        <v>mx-api-bc-rec-cust-prods-and-servs-corp</v>
      </c>
      <c r="C1221" s="200" t="s">
        <v>112</v>
      </c>
      <c r="D1221" s="213" t="s">
        <v>1417</v>
      </c>
      <c r="E1221" s="24" t="str">
        <f>IFERROR(VLOOKUP(F1221, 'api-register-id'!B:F, 5, FALSE), "Not found path.")</f>
        <v>APIMX000185</v>
      </c>
      <c r="F1221" s="1" t="s">
        <v>6806</v>
      </c>
      <c r="G1221" s="26" t="s">
        <v>6807</v>
      </c>
      <c r="H1221" s="205" t="s">
        <v>6808</v>
      </c>
      <c r="I1221" s="29" t="str">
        <f>IFERROR(VLOOKUP(F1221, 'api-register-id'!B:I, 8, FALSE), "Not found path.")</f>
        <v/>
      </c>
      <c r="J1221" s="1" t="s">
        <v>4198</v>
      </c>
      <c r="K1221" s="214" t="s">
        <v>48</v>
      </c>
      <c r="L1221" s="200" t="s">
        <v>49</v>
      </c>
      <c r="M1221" s="212" t="s">
        <v>6590</v>
      </c>
      <c r="N1221" s="3" t="str">
        <f t="shared" si="18"/>
        <v>POST /experience/customerManagement/customerProductsAndServices/v1/corporate/products/detail</v>
      </c>
      <c r="O1221" s="40"/>
      <c r="P1221" s="40"/>
      <c r="Q1221" s="61" t="s">
        <v>98</v>
      </c>
      <c r="R1221" s="31" t="s">
        <v>56</v>
      </c>
      <c r="S1221" s="38" t="str">
        <f t="shared" si="17"/>
        <v>https://github.com/SF-Bancoppel/mx-api-bc-rec-cust-prods-and-servs-corp</v>
      </c>
      <c r="T1221" s="40"/>
      <c r="U1221" s="22"/>
      <c r="V1221" s="22"/>
      <c r="W1221" s="40"/>
      <c r="X1221" s="40"/>
      <c r="Y1221" s="40"/>
      <c r="Z1221" s="22"/>
      <c r="AA1221" s="22"/>
      <c r="AB1221" s="22"/>
    </row>
    <row r="1222" ht="18.75" customHeight="1">
      <c r="A1222" s="18" t="str">
        <f t="array" ref="A1222">IFERROR(
  INDEX(
    'api-register-id'!A:A,
    MATCH(F1222, 'api-register-id'!B:B, 0)
  ),
  "Not found Organization"
)</f>
        <v>Empresa Net</v>
      </c>
      <c r="B1222" s="22" t="str">
        <f>IFERROR(VLOOKUP(F1222, 'api-register-id'!B:F, 4, FALSE), "Not found path.")</f>
        <v>mx-api-bc-dom-corp-cur-acnt-leg</v>
      </c>
      <c r="C1222" s="213" t="s">
        <v>41</v>
      </c>
      <c r="D1222" s="213" t="s">
        <v>119</v>
      </c>
      <c r="E1222" s="24" t="str">
        <f>IFERROR(VLOOKUP(F1222, 'api-register-id'!B:F, 5, FALSE), "Not found path.")</f>
        <v>APIMX000186</v>
      </c>
      <c r="F1222" s="61" t="s">
        <v>2815</v>
      </c>
      <c r="G1222" s="26" t="s">
        <v>6809</v>
      </c>
      <c r="H1222" s="208" t="s">
        <v>6810</v>
      </c>
      <c r="I1222" s="29" t="str">
        <f>IFERROR(VLOOKUP(F1222, 'api-register-id'!B:I, 8, FALSE), "Not found path.")</f>
        <v>1.0.0</v>
      </c>
      <c r="J1222" s="205" t="s">
        <v>510</v>
      </c>
      <c r="K1222" s="214" t="s">
        <v>48</v>
      </c>
      <c r="L1222" s="200" t="s">
        <v>49</v>
      </c>
      <c r="M1222" s="61" t="s">
        <v>6811</v>
      </c>
      <c r="N1222" s="3" t="str">
        <f t="shared" si="18"/>
        <v>POST /loansAndDeposits/corporateCurrentAccount/v1/corporate/destAccount/validate</v>
      </c>
      <c r="O1222" s="32"/>
      <c r="P1222" s="32"/>
      <c r="Q1222" s="61" t="s">
        <v>98</v>
      </c>
      <c r="R1222" s="31" t="s">
        <v>56</v>
      </c>
      <c r="S1222" s="38" t="str">
        <f t="shared" si="17"/>
        <v>https://github.com/SF-Bancoppel/mx-api-bc-dom-corp-cur-acnt-leg</v>
      </c>
      <c r="T1222" s="40"/>
      <c r="U1222" s="22"/>
      <c r="V1222" s="40"/>
      <c r="W1222" s="40"/>
      <c r="X1222" s="40"/>
      <c r="Y1222" s="40"/>
      <c r="Z1222" s="22"/>
      <c r="AA1222" s="22"/>
      <c r="AB1222" s="22"/>
    </row>
    <row r="1223" ht="18.75" customHeight="1">
      <c r="A1223" s="18" t="str">
        <f t="array" ref="A1223">IFERROR(
  INDEX(
    'api-register-id'!A:A,
    MATCH(F1223, 'api-register-id'!B:B, 0)
  ),
  "Not found Organization"
)</f>
        <v>Empresa Net</v>
      </c>
      <c r="B1223" s="22" t="str">
        <f>IFERROR(VLOOKUP(F1223, 'api-register-id'!B:F, 4, FALSE), "Not found path.")</f>
        <v>mx-api-bc-dom-corp-cur-acnt-leg</v>
      </c>
      <c r="C1223" s="200" t="s">
        <v>41</v>
      </c>
      <c r="D1223" s="200" t="s">
        <v>119</v>
      </c>
      <c r="E1223" s="24" t="str">
        <f>IFERROR(VLOOKUP(F1223, 'api-register-id'!B:F, 5, FALSE), "Not found path.")</f>
        <v>APIMX000186</v>
      </c>
      <c r="F1223" s="204" t="s">
        <v>2815</v>
      </c>
      <c r="G1223" s="26" t="s">
        <v>6812</v>
      </c>
      <c r="H1223" s="205" t="s">
        <v>6813</v>
      </c>
      <c r="I1223" s="29" t="str">
        <f>IFERROR(VLOOKUP(F1223, 'api-register-id'!B:I, 8, FALSE), "Not found path.")</f>
        <v>1.0.0</v>
      </c>
      <c r="J1223" s="204" t="s">
        <v>510</v>
      </c>
      <c r="K1223" s="214" t="s">
        <v>48</v>
      </c>
      <c r="L1223" s="200" t="s">
        <v>49</v>
      </c>
      <c r="M1223" s="212" t="s">
        <v>6814</v>
      </c>
      <c r="N1223" s="3" t="str">
        <f t="shared" si="18"/>
        <v>POST /loansAndDeposits/corporateCurrentAccount/v1/corporate/destAccount/get</v>
      </c>
      <c r="O1223" s="40"/>
      <c r="P1223" s="40"/>
      <c r="Q1223" s="61" t="s">
        <v>98</v>
      </c>
      <c r="R1223" s="31" t="s">
        <v>56</v>
      </c>
      <c r="S1223" s="38" t="str">
        <f t="shared" si="17"/>
        <v>https://github.com/SF-Bancoppel/mx-api-bc-dom-corp-cur-acnt-leg</v>
      </c>
      <c r="T1223" s="40"/>
      <c r="U1223" s="22"/>
      <c r="V1223" s="40"/>
      <c r="W1223" s="40"/>
      <c r="X1223" s="40"/>
      <c r="Y1223" s="40"/>
      <c r="Z1223" s="22"/>
      <c r="AA1223" s="22"/>
      <c r="AB1223" s="22"/>
    </row>
    <row r="1224" ht="18.75" customHeight="1">
      <c r="A1224" s="18" t="str">
        <f t="array" ref="A1224">IFERROR(
  INDEX(
    'api-register-id'!A:A,
    MATCH(F1224, 'api-register-id'!B:B, 0)
  ),
  "Not found Organization"
)</f>
        <v>Empresa Net</v>
      </c>
      <c r="B1224" s="22" t="str">
        <f>IFERROR(VLOOKUP(F1224, 'api-register-id'!B:F, 4, FALSE), "Not found path.")</f>
        <v>mx-api-bc-dom-corp-cur-acnt-leg</v>
      </c>
      <c r="C1224" s="200" t="s">
        <v>41</v>
      </c>
      <c r="D1224" s="200" t="s">
        <v>119</v>
      </c>
      <c r="E1224" s="24" t="str">
        <f>IFERROR(VLOOKUP(F1224, 'api-register-id'!B:F, 5, FALSE), "Not found path.")</f>
        <v>APIMX000186</v>
      </c>
      <c r="F1224" s="204" t="s">
        <v>2815</v>
      </c>
      <c r="G1224" s="26" t="s">
        <v>6815</v>
      </c>
      <c r="H1224" s="205" t="s">
        <v>6816</v>
      </c>
      <c r="I1224" s="29" t="str">
        <f>IFERROR(VLOOKUP(F1224, 'api-register-id'!B:I, 8, FALSE), "Not found path.")</f>
        <v>1.0.0</v>
      </c>
      <c r="J1224" s="204" t="s">
        <v>510</v>
      </c>
      <c r="K1224" s="214" t="s">
        <v>48</v>
      </c>
      <c r="L1224" s="200" t="s">
        <v>49</v>
      </c>
      <c r="M1224" s="212" t="s">
        <v>6817</v>
      </c>
      <c r="N1224" s="3" t="str">
        <f t="shared" si="18"/>
        <v>POST /loansAndDeposits/corporateCurrentAccount/v1/corporate/destAccount/online/create</v>
      </c>
      <c r="O1224" s="40" t="s">
        <v>6818</v>
      </c>
      <c r="P1224" s="40"/>
      <c r="Q1224" s="61" t="s">
        <v>98</v>
      </c>
      <c r="R1224" s="31" t="s">
        <v>56</v>
      </c>
      <c r="S1224" s="38" t="str">
        <f t="shared" si="17"/>
        <v>https://github.com/SF-Bancoppel/mx-api-bc-dom-corp-cur-acnt-leg</v>
      </c>
      <c r="T1224" s="40"/>
      <c r="U1224" s="22"/>
      <c r="V1224" s="40"/>
      <c r="W1224" s="40"/>
      <c r="X1224" s="40"/>
      <c r="Y1224" s="40"/>
      <c r="Z1224" s="22"/>
      <c r="AA1224" s="22"/>
      <c r="AB1224" s="22"/>
    </row>
    <row r="1225" ht="18.75" customHeight="1">
      <c r="A1225" s="18" t="str">
        <f t="array" ref="A1225">IFERROR(
  INDEX(
    'api-register-id'!A:A,
    MATCH(F1225, 'api-register-id'!B:B, 0)
  ),
  "Not found Organization"
)</f>
        <v>Empresa Net</v>
      </c>
      <c r="B1225" s="22" t="str">
        <f>IFERROR(VLOOKUP(F1225, 'api-register-id'!B:F, 4, FALSE), "Not found path.")</f>
        <v>mx-api-bc-dom-corp-cur-acnt-leg</v>
      </c>
      <c r="C1225" s="200" t="s">
        <v>41</v>
      </c>
      <c r="D1225" s="200" t="s">
        <v>119</v>
      </c>
      <c r="E1225" s="24" t="str">
        <f>IFERROR(VLOOKUP(F1225, 'api-register-id'!B:F, 5, FALSE), "Not found path.")</f>
        <v>APIMX000186</v>
      </c>
      <c r="F1225" s="204" t="s">
        <v>2815</v>
      </c>
      <c r="G1225" s="26" t="s">
        <v>6819</v>
      </c>
      <c r="H1225" s="205" t="s">
        <v>6820</v>
      </c>
      <c r="I1225" s="29" t="str">
        <f>IFERROR(VLOOKUP(F1225, 'api-register-id'!B:I, 8, FALSE), "Not found path.")</f>
        <v>1.0.0</v>
      </c>
      <c r="J1225" s="204" t="s">
        <v>510</v>
      </c>
      <c r="K1225" s="214" t="s">
        <v>48</v>
      </c>
      <c r="L1225" s="200" t="s">
        <v>49</v>
      </c>
      <c r="M1225" s="212" t="s">
        <v>6821</v>
      </c>
      <c r="N1225" s="3" t="str">
        <f t="shared" si="18"/>
        <v>POST /loansAndDeposits/corporateCurrentAccount/v1/corporate/list/bank/get</v>
      </c>
      <c r="O1225" s="40" t="s">
        <v>6822</v>
      </c>
      <c r="P1225" s="40"/>
      <c r="Q1225" s="61" t="s">
        <v>98</v>
      </c>
      <c r="R1225" s="31" t="s">
        <v>56</v>
      </c>
      <c r="S1225" s="38" t="str">
        <f t="shared" si="17"/>
        <v>https://github.com/SF-Bancoppel/mx-api-bc-dom-corp-cur-acnt-leg</v>
      </c>
      <c r="T1225" s="40"/>
      <c r="U1225" s="40"/>
      <c r="V1225" s="40"/>
      <c r="W1225" s="40"/>
      <c r="X1225" s="40"/>
      <c r="Y1225" s="40"/>
      <c r="Z1225" s="40"/>
      <c r="AA1225" s="40"/>
      <c r="AB1225" s="40"/>
    </row>
    <row r="1226" ht="18.75" customHeight="1">
      <c r="A1226" s="18" t="str">
        <f t="array" ref="A1226">IFERROR(
  INDEX(
    'api-register-id'!A:A,
    MATCH(F1226, 'api-register-id'!B:B, 0)
  ),
  "Not found Organization"
)</f>
        <v>Empresa Net</v>
      </c>
      <c r="B1226" s="22" t="str">
        <f>IFERROR(VLOOKUP(F1226, 'api-register-id'!B:F, 4, FALSE), "Not found path.")</f>
        <v>mx-api-bc-dom-corp-cur-acnt-leg</v>
      </c>
      <c r="C1226" s="200" t="s">
        <v>41</v>
      </c>
      <c r="D1226" s="200" t="s">
        <v>119</v>
      </c>
      <c r="E1226" s="24" t="str">
        <f>IFERROR(VLOOKUP(F1226, 'api-register-id'!B:F, 5, FALSE), "Not found path.")</f>
        <v>APIMX000186</v>
      </c>
      <c r="F1226" s="204" t="s">
        <v>2815</v>
      </c>
      <c r="G1226" s="26" t="s">
        <v>6823</v>
      </c>
      <c r="H1226" s="205" t="s">
        <v>6824</v>
      </c>
      <c r="I1226" s="29" t="str">
        <f>IFERROR(VLOOKUP(F1226, 'api-register-id'!B:I, 8, FALSE), "Not found path.")</f>
        <v>1.0.0</v>
      </c>
      <c r="J1226" s="204" t="s">
        <v>510</v>
      </c>
      <c r="K1226" s="214" t="s">
        <v>48</v>
      </c>
      <c r="L1226" s="200" t="s">
        <v>49</v>
      </c>
      <c r="M1226" s="212" t="s">
        <v>6825</v>
      </c>
      <c r="N1226" s="3" t="str">
        <f t="shared" si="18"/>
        <v>POST /loansAndDeposits/corporateCurrentAccount/v1/corporate/destAccount/online/update</v>
      </c>
      <c r="O1226" s="40" t="s">
        <v>6826</v>
      </c>
      <c r="P1226" s="40"/>
      <c r="Q1226" s="61" t="s">
        <v>98</v>
      </c>
      <c r="R1226" s="31" t="s">
        <v>56</v>
      </c>
      <c r="S1226" s="38" t="str">
        <f t="shared" si="17"/>
        <v>https://github.com/SF-Bancoppel/mx-api-bc-dom-corp-cur-acnt-leg</v>
      </c>
      <c r="T1226" s="40"/>
      <c r="U1226" s="40"/>
      <c r="V1226" s="40"/>
      <c r="W1226" s="40"/>
      <c r="X1226" s="40"/>
      <c r="Y1226" s="40"/>
      <c r="Z1226" s="40"/>
      <c r="AA1226" s="40"/>
      <c r="AB1226" s="40"/>
    </row>
    <row r="1227" ht="18.75" customHeight="1">
      <c r="A1227" s="256"/>
      <c r="B1227" s="257"/>
      <c r="C1227" s="258"/>
      <c r="D1227" s="258"/>
      <c r="E1227" s="259"/>
      <c r="F1227" s="260"/>
      <c r="G1227" s="261" t="s">
        <v>6827</v>
      </c>
      <c r="H1227" s="262"/>
      <c r="I1227" s="263"/>
      <c r="J1227" s="249"/>
      <c r="K1227" s="264"/>
      <c r="L1227" s="258"/>
      <c r="M1227" s="265"/>
      <c r="N1227" s="266"/>
      <c r="O1227" s="249"/>
      <c r="P1227" s="249"/>
      <c r="Q1227" s="267"/>
      <c r="R1227" s="259"/>
      <c r="S1227" s="249"/>
      <c r="T1227" s="249"/>
      <c r="U1227" s="249"/>
      <c r="V1227" s="249"/>
      <c r="W1227" s="249"/>
      <c r="X1227" s="249"/>
      <c r="Y1227" s="249"/>
      <c r="Z1227" s="249"/>
      <c r="AA1227" s="249"/>
      <c r="AB1227" s="249"/>
    </row>
    <row r="1228" ht="18.75" customHeight="1">
      <c r="A1228" s="18" t="str">
        <f t="array" ref="A1228">IFERROR(
  INDEX(
    'api-register-id'!A:A,
    MATCH(F1228, 'api-register-id'!B:B, 0)
  ),
  "Not found Organization"
)</f>
        <v>Empresa Net</v>
      </c>
      <c r="B1228" s="22" t="str">
        <f>IFERROR(VLOOKUP(F1228, 'api-register-id'!B:F, 4, FALSE), "Not found path.")</f>
        <v>mx-api-bc-dom-corp-cur-acnt-leg</v>
      </c>
      <c r="C1228" s="200" t="s">
        <v>41</v>
      </c>
      <c r="D1228" s="200" t="s">
        <v>119</v>
      </c>
      <c r="E1228" s="24" t="str">
        <f>IFERROR(VLOOKUP(F1228, 'api-register-id'!B:F, 5, FALSE), "Not found path.")</f>
        <v>APIMX000186</v>
      </c>
      <c r="F1228" s="204" t="s">
        <v>2815</v>
      </c>
      <c r="G1228" s="26" t="s">
        <v>6828</v>
      </c>
      <c r="H1228" s="205" t="s">
        <v>6829</v>
      </c>
      <c r="I1228" s="29" t="str">
        <f>IFERROR(VLOOKUP(F1228, 'api-register-id'!B:I, 8, FALSE), "Not found path.")</f>
        <v>1.0.0</v>
      </c>
      <c r="J1228" s="40" t="s">
        <v>510</v>
      </c>
      <c r="K1228" s="211" t="s">
        <v>48</v>
      </c>
      <c r="L1228" s="200" t="s">
        <v>49</v>
      </c>
      <c r="M1228" s="212" t="s">
        <v>6830</v>
      </c>
      <c r="N1228" s="3" t="str">
        <f t="shared" ref="N1228:N1236" si="19">CONCATENATE(L1228," ",J1228,M1228)</f>
        <v>POST /loansAndDeposits/corporateCurrentAccount/v1/corporate/destAccount/online/delete</v>
      </c>
      <c r="O1228" s="40" t="s">
        <v>6831</v>
      </c>
      <c r="P1228" s="40"/>
      <c r="Q1228" s="61" t="s">
        <v>98</v>
      </c>
      <c r="R1228" s="31" t="s">
        <v>56</v>
      </c>
      <c r="S1228" s="38" t="str">
        <f t="shared" ref="S1228:S1236" si="20">"https://github.com/SF-Bancoppel/"&amp;B1228</f>
        <v>https://github.com/SF-Bancoppel/mx-api-bc-dom-corp-cur-acnt-leg</v>
      </c>
      <c r="T1228" s="40"/>
      <c r="U1228" s="40"/>
      <c r="V1228" s="40"/>
      <c r="W1228" s="40"/>
      <c r="X1228" s="40"/>
      <c r="Y1228" s="40"/>
      <c r="Z1228" s="40"/>
      <c r="AA1228" s="40"/>
      <c r="AB1228" s="40"/>
    </row>
    <row r="1229" ht="18.75" customHeight="1">
      <c r="A1229" s="18" t="str">
        <f t="array" ref="A1229">IFERROR(
  INDEX(
    'api-register-id'!A:A,
    MATCH(F1229, 'api-register-id'!B:B, 0)
  ),
  "Not found Organization"
)</f>
        <v>Empresa Net</v>
      </c>
      <c r="B1229" s="22" t="str">
        <f>IFERROR(VLOOKUP(F1229, 'api-register-id'!B:F, 4, FALSE), "Not found path.")</f>
        <v>mx-api-bc-dom-corp-cur-acnt-leg</v>
      </c>
      <c r="C1229" s="203" t="s">
        <v>41</v>
      </c>
      <c r="D1229" s="200" t="s">
        <v>119</v>
      </c>
      <c r="E1229" s="24" t="str">
        <f>IFERROR(VLOOKUP(F1229, 'api-register-id'!B:F, 5, FALSE), "Not found path.")</f>
        <v>APIMX000186</v>
      </c>
      <c r="F1229" s="204" t="s">
        <v>2815</v>
      </c>
      <c r="G1229" s="26" t="s">
        <v>6832</v>
      </c>
      <c r="H1229" s="205" t="s">
        <v>6833</v>
      </c>
      <c r="I1229" s="29" t="str">
        <f>IFERROR(VLOOKUP(F1229, 'api-register-id'!B:I, 8, FALSE), "Not found path.")</f>
        <v>1.0.0</v>
      </c>
      <c r="J1229" s="40" t="s">
        <v>510</v>
      </c>
      <c r="K1229" s="211" t="s">
        <v>48</v>
      </c>
      <c r="L1229" s="200" t="s">
        <v>49</v>
      </c>
      <c r="M1229" s="212" t="s">
        <v>6834</v>
      </c>
      <c r="N1229" s="3" t="str">
        <f t="shared" si="19"/>
        <v>POST /loansAndDeposits/corporateCurrentAccount/v1/corporate/authorizations/balance</v>
      </c>
      <c r="O1229" s="40" t="s">
        <v>6835</v>
      </c>
      <c r="P1229" s="40"/>
      <c r="Q1229" s="61" t="s">
        <v>98</v>
      </c>
      <c r="R1229" s="31" t="s">
        <v>56</v>
      </c>
      <c r="S1229" s="38" t="str">
        <f t="shared" si="20"/>
        <v>https://github.com/SF-Bancoppel/mx-api-bc-dom-corp-cur-acnt-leg</v>
      </c>
      <c r="T1229" s="40"/>
      <c r="U1229" s="40"/>
      <c r="V1229" s="40"/>
      <c r="W1229" s="40"/>
      <c r="X1229" s="40"/>
      <c r="Y1229" s="40"/>
      <c r="Z1229" s="40"/>
      <c r="AA1229" s="40"/>
      <c r="AB1229" s="40"/>
    </row>
    <row r="1230" ht="18.75" customHeight="1">
      <c r="A1230" s="18" t="str">
        <f t="array" ref="A1230">IFERROR(
  INDEX(
    'api-register-id'!A:A,
    MATCH(F1230, 'api-register-id'!B:B, 0)
  ),
  "Not found Organization"
)</f>
        <v>Empresa Net</v>
      </c>
      <c r="B1230" s="22" t="str">
        <f>IFERROR(VLOOKUP(F1230, 'api-register-id'!B:F, 4, FALSE), "Not found path.")</f>
        <v>mx-api-bc-rec-corp-cur-acnt-leg</v>
      </c>
      <c r="C1230" s="213" t="s">
        <v>112</v>
      </c>
      <c r="D1230" s="213" t="s">
        <v>1417</v>
      </c>
      <c r="E1230" s="24" t="str">
        <f>IFERROR(VLOOKUP(F1230, 'api-register-id'!B:F, 5, FALSE), "Not found path.")</f>
        <v>APIMX000187</v>
      </c>
      <c r="F1230" s="61" t="s">
        <v>2859</v>
      </c>
      <c r="G1230" s="26" t="s">
        <v>6836</v>
      </c>
      <c r="H1230" s="208" t="s">
        <v>6837</v>
      </c>
      <c r="I1230" s="29" t="str">
        <f>IFERROR(VLOOKUP(F1230, 'api-register-id'!B:I, 8, FALSE), "Not found path.")</f>
        <v/>
      </c>
      <c r="J1230" s="205" t="s">
        <v>3946</v>
      </c>
      <c r="K1230" s="214" t="s">
        <v>48</v>
      </c>
      <c r="L1230" s="200" t="s">
        <v>49</v>
      </c>
      <c r="M1230" s="61" t="s">
        <v>6811</v>
      </c>
      <c r="N1230" s="3" t="str">
        <f t="shared" si="19"/>
        <v>POST /experience/loansAndDeposits/corporateCurrentAccount/v1/corporate/destAccount/validate</v>
      </c>
      <c r="O1230" s="32"/>
      <c r="P1230" s="32"/>
      <c r="Q1230" s="61" t="s">
        <v>98</v>
      </c>
      <c r="R1230" s="31" t="s">
        <v>56</v>
      </c>
      <c r="S1230" s="38" t="str">
        <f t="shared" si="20"/>
        <v>https://github.com/SF-Bancoppel/mx-api-bc-rec-corp-cur-acnt-leg</v>
      </c>
      <c r="T1230" s="40"/>
      <c r="U1230" s="40"/>
      <c r="V1230" s="40"/>
      <c r="W1230" s="40"/>
      <c r="X1230" s="40"/>
      <c r="Y1230" s="40"/>
      <c r="Z1230" s="40"/>
      <c r="AA1230" s="40"/>
      <c r="AB1230" s="40"/>
    </row>
    <row r="1231" ht="18.75" customHeight="1">
      <c r="A1231" s="18" t="str">
        <f t="array" ref="A1231">IFERROR(
  INDEX(
    'api-register-id'!A:A,
    MATCH(F1231, 'api-register-id'!B:B, 0)
  ),
  "Not found Organization"
)</f>
        <v>Empresa Net</v>
      </c>
      <c r="B1231" s="22" t="str">
        <f>IFERROR(VLOOKUP(F1231, 'api-register-id'!B:F, 4, FALSE), "Not found path.")</f>
        <v>mx-api-bc-rec-corp-cur-acnt-leg</v>
      </c>
      <c r="C1231" s="200" t="s">
        <v>112</v>
      </c>
      <c r="D1231" s="200" t="s">
        <v>1417</v>
      </c>
      <c r="E1231" s="24" t="str">
        <f>IFERROR(VLOOKUP(F1231, 'api-register-id'!B:F, 5, FALSE), "Not found path.")</f>
        <v>APIMX000187</v>
      </c>
      <c r="F1231" s="204" t="s">
        <v>2859</v>
      </c>
      <c r="G1231" s="26" t="s">
        <v>6838</v>
      </c>
      <c r="H1231" s="205" t="s">
        <v>6839</v>
      </c>
      <c r="I1231" s="29" t="str">
        <f>IFERROR(VLOOKUP(F1231, 'api-register-id'!B:I, 8, FALSE), "Not found path.")</f>
        <v/>
      </c>
      <c r="J1231" s="1" t="s">
        <v>3946</v>
      </c>
      <c r="K1231" s="214" t="s">
        <v>48</v>
      </c>
      <c r="L1231" s="200" t="s">
        <v>49</v>
      </c>
      <c r="M1231" s="212" t="s">
        <v>6814</v>
      </c>
      <c r="N1231" s="3" t="str">
        <f t="shared" si="19"/>
        <v>POST /experience/loansAndDeposits/corporateCurrentAccount/v1/corporate/destAccount/get</v>
      </c>
      <c r="O1231" s="40"/>
      <c r="P1231" s="40"/>
      <c r="Q1231" s="61" t="s">
        <v>98</v>
      </c>
      <c r="R1231" s="31" t="s">
        <v>56</v>
      </c>
      <c r="S1231" s="38" t="str">
        <f t="shared" si="20"/>
        <v>https://github.com/SF-Bancoppel/mx-api-bc-rec-corp-cur-acnt-leg</v>
      </c>
      <c r="T1231" s="40"/>
      <c r="U1231" s="40"/>
      <c r="V1231" s="40"/>
      <c r="W1231" s="40"/>
      <c r="X1231" s="40"/>
      <c r="Y1231" s="40"/>
      <c r="Z1231" s="40"/>
      <c r="AA1231" s="40"/>
      <c r="AB1231" s="40"/>
    </row>
    <row r="1232" ht="18.75" customHeight="1">
      <c r="A1232" s="18" t="str">
        <f t="array" ref="A1232">IFERROR(
  INDEX(
    'api-register-id'!A:A,
    MATCH(F1232, 'api-register-id'!B:B, 0)
  ),
  "Not found Organization"
)</f>
        <v>Empresa Net</v>
      </c>
      <c r="B1232" s="22" t="str">
        <f>IFERROR(VLOOKUP(F1232, 'api-register-id'!B:F, 4, FALSE), "Not found path.")</f>
        <v>mx-api-bc-rec-corp-cur-acnt-leg</v>
      </c>
      <c r="C1232" s="200" t="s">
        <v>112</v>
      </c>
      <c r="D1232" s="200" t="s">
        <v>1417</v>
      </c>
      <c r="E1232" s="24" t="str">
        <f>IFERROR(VLOOKUP(F1232, 'api-register-id'!B:F, 5, FALSE), "Not found path.")</f>
        <v>APIMX000187</v>
      </c>
      <c r="F1232" s="204" t="s">
        <v>2859</v>
      </c>
      <c r="G1232" s="26" t="s">
        <v>6840</v>
      </c>
      <c r="H1232" s="205" t="s">
        <v>6841</v>
      </c>
      <c r="I1232" s="29" t="str">
        <f>IFERROR(VLOOKUP(F1232, 'api-register-id'!B:I, 8, FALSE), "Not found path.")</f>
        <v/>
      </c>
      <c r="J1232" s="1" t="s">
        <v>3946</v>
      </c>
      <c r="K1232" s="214" t="s">
        <v>48</v>
      </c>
      <c r="L1232" s="200" t="s">
        <v>49</v>
      </c>
      <c r="M1232" s="212" t="s">
        <v>6817</v>
      </c>
      <c r="N1232" s="3" t="str">
        <f t="shared" si="19"/>
        <v>POST /experience/loansAndDeposits/corporateCurrentAccount/v1/corporate/destAccount/online/create</v>
      </c>
      <c r="O1232" s="40" t="s">
        <v>6818</v>
      </c>
      <c r="P1232" s="40"/>
      <c r="Q1232" s="61" t="s">
        <v>98</v>
      </c>
      <c r="R1232" s="31" t="s">
        <v>56</v>
      </c>
      <c r="S1232" s="38" t="str">
        <f t="shared" si="20"/>
        <v>https://github.com/SF-Bancoppel/mx-api-bc-rec-corp-cur-acnt-leg</v>
      </c>
      <c r="T1232" s="40"/>
      <c r="U1232" s="40"/>
      <c r="V1232" s="40"/>
      <c r="W1232" s="40"/>
      <c r="X1232" s="40"/>
      <c r="Y1232" s="40"/>
      <c r="Z1232" s="40"/>
      <c r="AA1232" s="40"/>
      <c r="AB1232" s="40"/>
    </row>
    <row r="1233" ht="18.75" customHeight="1">
      <c r="A1233" s="268" t="str">
        <f t="array" ref="A1233">IFERROR(
  INDEX(
    'api-register-id'!A:A,
    MATCH(F1233, 'api-register-id'!B:B, 0)
  ),
  "Not found Organization"
)</f>
        <v>Empresa Net</v>
      </c>
      <c r="B1233" s="269" t="str">
        <f>IFERROR(VLOOKUP(F1233, 'api-register-id'!B:F, 4, FALSE), "Not found path.")</f>
        <v>mx-api-bc-rec-corp-cur-acnt-leg</v>
      </c>
      <c r="C1233" s="270" t="s">
        <v>112</v>
      </c>
      <c r="D1233" s="270" t="s">
        <v>1417</v>
      </c>
      <c r="E1233" s="271" t="str">
        <f>IFERROR(VLOOKUP(F1233, 'api-register-id'!B:F, 5, FALSE), "Not found path.")</f>
        <v>APIMX000187</v>
      </c>
      <c r="F1233" s="272" t="s">
        <v>2859</v>
      </c>
      <c r="G1233" s="273" t="s">
        <v>6842</v>
      </c>
      <c r="H1233" s="274" t="s">
        <v>6843</v>
      </c>
      <c r="I1233" s="275" t="str">
        <f>IFERROR(VLOOKUP(F1233, 'api-register-id'!B:I, 8, FALSE), "Not found path.")</f>
        <v/>
      </c>
      <c r="J1233" s="276" t="s">
        <v>3946</v>
      </c>
      <c r="K1233" s="277" t="s">
        <v>48</v>
      </c>
      <c r="L1233" s="270" t="s">
        <v>49</v>
      </c>
      <c r="M1233" s="278" t="s">
        <v>6821</v>
      </c>
      <c r="N1233" s="279" t="str">
        <f t="shared" si="19"/>
        <v>POST /experience/loansAndDeposits/corporateCurrentAccount/v1/corporate/list/bank/get</v>
      </c>
      <c r="O1233" s="233" t="s">
        <v>6822</v>
      </c>
      <c r="P1233" s="233"/>
      <c r="Q1233" s="280" t="s">
        <v>98</v>
      </c>
      <c r="R1233" s="271" t="s">
        <v>56</v>
      </c>
      <c r="S1233" s="281" t="str">
        <f t="shared" si="20"/>
        <v>https://github.com/SF-Bancoppel/mx-api-bc-rec-corp-cur-acnt-leg</v>
      </c>
      <c r="T1233" s="233"/>
      <c r="U1233" s="40"/>
      <c r="V1233" s="40"/>
      <c r="W1233" s="40"/>
      <c r="X1233" s="40"/>
      <c r="Y1233" s="40"/>
      <c r="Z1233" s="40"/>
      <c r="AA1233" s="40"/>
      <c r="AB1233" s="40"/>
    </row>
    <row r="1234" ht="18.75" customHeight="1">
      <c r="A1234" s="18" t="str">
        <f t="array" ref="A1234">IFERROR(
  INDEX(
    'api-register-id'!A:A,
    MATCH(F1234, 'api-register-id'!B:B, 0)
  ),
  "Not found Organization"
)</f>
        <v>Empresa Net</v>
      </c>
      <c r="B1234" s="22" t="str">
        <f>IFERROR(VLOOKUP(F1234, 'api-register-id'!B:F, 4, FALSE), "Not found path.")</f>
        <v>mx-api-bc-rec-corp-cur-acnt-leg</v>
      </c>
      <c r="C1234" s="200" t="s">
        <v>112</v>
      </c>
      <c r="D1234" s="200" t="s">
        <v>1417</v>
      </c>
      <c r="E1234" s="24" t="str">
        <f>IFERROR(VLOOKUP(F1234, 'api-register-id'!B:F, 5, FALSE), "Not found path.")</f>
        <v>APIMX000187</v>
      </c>
      <c r="F1234" s="204" t="s">
        <v>2859</v>
      </c>
      <c r="G1234" s="26" t="s">
        <v>6844</v>
      </c>
      <c r="H1234" s="205" t="s">
        <v>6845</v>
      </c>
      <c r="I1234" s="29" t="str">
        <f>IFERROR(VLOOKUP(F1234, 'api-register-id'!B:I, 8, FALSE), "Not found path.")</f>
        <v/>
      </c>
      <c r="J1234" s="1" t="s">
        <v>3946</v>
      </c>
      <c r="K1234" s="214" t="s">
        <v>48</v>
      </c>
      <c r="L1234" s="200" t="s">
        <v>49</v>
      </c>
      <c r="M1234" s="212" t="s">
        <v>6825</v>
      </c>
      <c r="N1234" s="3" t="str">
        <f t="shared" si="19"/>
        <v>POST /experience/loansAndDeposits/corporateCurrentAccount/v1/corporate/destAccount/online/update</v>
      </c>
      <c r="O1234" s="40" t="s">
        <v>6826</v>
      </c>
      <c r="P1234" s="40"/>
      <c r="Q1234" s="61" t="s">
        <v>98</v>
      </c>
      <c r="R1234" s="31" t="s">
        <v>56</v>
      </c>
      <c r="S1234" s="38" t="str">
        <f t="shared" si="20"/>
        <v>https://github.com/SF-Bancoppel/mx-api-bc-rec-corp-cur-acnt-leg</v>
      </c>
      <c r="T1234" s="40"/>
      <c r="U1234" s="22"/>
      <c r="V1234" s="22"/>
      <c r="W1234" s="40"/>
      <c r="X1234" s="40"/>
      <c r="Y1234" s="40"/>
      <c r="Z1234" s="22"/>
      <c r="AA1234" s="22"/>
      <c r="AB1234" s="22"/>
    </row>
    <row r="1235" ht="18.75" customHeight="1">
      <c r="A1235" s="18" t="str">
        <f t="array" ref="A1235">IFERROR(
  INDEX(
    'api-register-id'!A:A,
    MATCH(F1235, 'api-register-id'!B:B, 0)
  ),
  "Not found Organization"
)</f>
        <v>Empresa Net</v>
      </c>
      <c r="B1235" s="22" t="str">
        <f>IFERROR(VLOOKUP(F1235, 'api-register-id'!B:F, 4, FALSE), "Not found path.")</f>
        <v>mx-api-bc-rec-corp-cur-acnt-leg</v>
      </c>
      <c r="C1235" s="200" t="s">
        <v>112</v>
      </c>
      <c r="D1235" s="200" t="s">
        <v>1417</v>
      </c>
      <c r="E1235" s="24" t="str">
        <f>IFERROR(VLOOKUP(F1235, 'api-register-id'!B:F, 5, FALSE), "Not found path.")</f>
        <v>APIMX000187</v>
      </c>
      <c r="F1235" s="204" t="s">
        <v>2859</v>
      </c>
      <c r="G1235" s="26" t="s">
        <v>6846</v>
      </c>
      <c r="H1235" s="205" t="s">
        <v>6841</v>
      </c>
      <c r="I1235" s="29" t="str">
        <f>IFERROR(VLOOKUP(F1235, 'api-register-id'!B:I, 8, FALSE), "Not found path.")</f>
        <v/>
      </c>
      <c r="J1235" s="204" t="s">
        <v>3946</v>
      </c>
      <c r="K1235" s="214" t="s">
        <v>48</v>
      </c>
      <c r="L1235" s="200" t="s">
        <v>49</v>
      </c>
      <c r="M1235" s="212" t="s">
        <v>6817</v>
      </c>
      <c r="N1235" s="3" t="str">
        <f t="shared" si="19"/>
        <v>POST /experience/loansAndDeposits/corporateCurrentAccount/v1/corporate/destAccount/online/create</v>
      </c>
      <c r="O1235" s="40" t="s">
        <v>6818</v>
      </c>
      <c r="P1235" s="40"/>
      <c r="Q1235" s="61" t="s">
        <v>98</v>
      </c>
      <c r="R1235" s="31" t="s">
        <v>56</v>
      </c>
      <c r="S1235" s="38" t="str">
        <f t="shared" si="20"/>
        <v>https://github.com/SF-Bancoppel/mx-api-bc-rec-corp-cur-acnt-leg</v>
      </c>
      <c r="T1235" s="40"/>
      <c r="U1235" s="22"/>
      <c r="V1235" s="40"/>
      <c r="W1235" s="40"/>
      <c r="X1235" s="40"/>
      <c r="Y1235" s="40"/>
      <c r="Z1235" s="22"/>
      <c r="AA1235" s="22"/>
      <c r="AB1235" s="22"/>
    </row>
    <row r="1236" ht="18.75" customHeight="1">
      <c r="A1236" s="18" t="str">
        <f t="array" ref="A1236">IFERROR(
  INDEX(
    'api-register-id'!A:A,
    MATCH(F1236, 'api-register-id'!B:B, 0)
  ),
  "Not found Organization"
)</f>
        <v>Empresa Net</v>
      </c>
      <c r="B1236" s="22" t="str">
        <f>IFERROR(VLOOKUP(F1236, 'api-register-id'!B:F, 4, FALSE), "Not found path.")</f>
        <v>mx-api-bc-rec-corp-cur-acnt-leg</v>
      </c>
      <c r="C1236" s="200" t="s">
        <v>112</v>
      </c>
      <c r="D1236" s="200" t="s">
        <v>1417</v>
      </c>
      <c r="E1236" s="24" t="str">
        <f>IFERROR(VLOOKUP(F1236, 'api-register-id'!B:F, 5, FALSE), "Not found path.")</f>
        <v>APIMX000187</v>
      </c>
      <c r="F1236" s="204" t="s">
        <v>2859</v>
      </c>
      <c r="G1236" s="26" t="s">
        <v>6847</v>
      </c>
      <c r="H1236" s="205" t="s">
        <v>6843</v>
      </c>
      <c r="I1236" s="29" t="str">
        <f>IFERROR(VLOOKUP(F1236, 'api-register-id'!B:I, 8, FALSE), "Not found path.")</f>
        <v/>
      </c>
      <c r="J1236" s="204" t="s">
        <v>3946</v>
      </c>
      <c r="K1236" s="214" t="s">
        <v>48</v>
      </c>
      <c r="L1236" s="200" t="s">
        <v>49</v>
      </c>
      <c r="M1236" s="212" t="s">
        <v>6821</v>
      </c>
      <c r="N1236" s="3" t="str">
        <f t="shared" si="19"/>
        <v>POST /experience/loansAndDeposits/corporateCurrentAccount/v1/corporate/list/bank/get</v>
      </c>
      <c r="O1236" s="40" t="s">
        <v>6822</v>
      </c>
      <c r="P1236" s="40"/>
      <c r="Q1236" s="61" t="s">
        <v>98</v>
      </c>
      <c r="R1236" s="31" t="s">
        <v>56</v>
      </c>
      <c r="S1236" s="38" t="str">
        <f t="shared" si="20"/>
        <v>https://github.com/SF-Bancoppel/mx-api-bc-rec-corp-cur-acnt-leg</v>
      </c>
      <c r="T1236" s="40"/>
      <c r="U1236" s="22"/>
      <c r="V1236" s="40"/>
      <c r="W1236" s="40"/>
      <c r="X1236" s="40"/>
      <c r="Y1236" s="40"/>
      <c r="Z1236" s="22"/>
      <c r="AA1236" s="22"/>
      <c r="AB1236" s="22"/>
    </row>
    <row r="1237" ht="18.75" customHeight="1">
      <c r="A1237" s="18"/>
      <c r="B1237" s="22"/>
      <c r="C1237" s="200"/>
      <c r="D1237" s="200"/>
      <c r="E1237" s="24"/>
      <c r="F1237" s="204"/>
      <c r="G1237" s="26" t="s">
        <v>6848</v>
      </c>
      <c r="H1237" s="205"/>
      <c r="I1237" s="29"/>
      <c r="J1237" s="204"/>
      <c r="K1237" s="214"/>
      <c r="L1237" s="200"/>
      <c r="M1237" s="212"/>
      <c r="N1237" s="3"/>
      <c r="O1237" s="40"/>
      <c r="P1237" s="40"/>
      <c r="Q1237" s="61"/>
      <c r="R1237" s="31"/>
      <c r="S1237" s="40"/>
      <c r="T1237" s="40"/>
      <c r="U1237" s="22"/>
      <c r="V1237" s="40"/>
      <c r="W1237" s="40"/>
      <c r="X1237" s="40"/>
      <c r="Y1237" s="40"/>
      <c r="Z1237" s="22"/>
      <c r="AA1237" s="22"/>
      <c r="AB1237" s="22"/>
    </row>
    <row r="1238" ht="18.75" customHeight="1">
      <c r="A1238" s="18"/>
      <c r="B1238" s="22"/>
      <c r="C1238" s="200"/>
      <c r="D1238" s="200"/>
      <c r="E1238" s="24"/>
      <c r="F1238" s="204"/>
      <c r="G1238" s="26" t="s">
        <v>6849</v>
      </c>
      <c r="H1238" s="205"/>
      <c r="I1238" s="29"/>
      <c r="J1238" s="282"/>
      <c r="K1238" s="211"/>
      <c r="L1238" s="200"/>
      <c r="M1238" s="212"/>
      <c r="N1238" s="3"/>
      <c r="O1238" s="40"/>
      <c r="P1238" s="40"/>
      <c r="Q1238" s="61"/>
      <c r="R1238" s="31"/>
      <c r="S1238" s="40"/>
      <c r="T1238" s="40"/>
      <c r="U1238" s="22"/>
      <c r="V1238" s="40"/>
      <c r="W1238" s="40"/>
      <c r="X1238" s="40"/>
      <c r="Y1238" s="40"/>
      <c r="Z1238" s="22"/>
      <c r="AA1238" s="22"/>
      <c r="AB1238" s="22"/>
    </row>
    <row r="1239" ht="18.75" customHeight="1">
      <c r="A1239" s="18" t="str">
        <f t="array" ref="A1239">IFERROR(
  INDEX(
    'api-register-id'!A:A,
    MATCH(F1239, 'api-register-id'!B:B, 0)
  ),
  "Not found Organization"
)</f>
        <v>Empresa Net</v>
      </c>
      <c r="B1239" s="22" t="str">
        <f>IFERROR(VLOOKUP(F1239, 'api-register-id'!B:F, 4, FALSE), "Not found path.")</f>
        <v>mx-api-bc-rec-corp-cur-acnt-leg</v>
      </c>
      <c r="C1239" s="200" t="s">
        <v>112</v>
      </c>
      <c r="D1239" s="200" t="s">
        <v>1417</v>
      </c>
      <c r="E1239" s="24" t="str">
        <f>IFERROR(VLOOKUP(F1239, 'api-register-id'!B:F, 5, FALSE), "Not found path.")</f>
        <v>APIMX000187</v>
      </c>
      <c r="F1239" s="204" t="s">
        <v>2859</v>
      </c>
      <c r="G1239" s="26" t="s">
        <v>6850</v>
      </c>
      <c r="H1239" s="205" t="s">
        <v>6851</v>
      </c>
      <c r="I1239" s="29" t="str">
        <f>IFERROR(VLOOKUP(F1239, 'api-register-id'!B:I, 8, FALSE), "Not found path.")</f>
        <v/>
      </c>
      <c r="J1239" s="282" t="s">
        <v>3946</v>
      </c>
      <c r="K1239" s="211" t="s">
        <v>48</v>
      </c>
      <c r="L1239" s="200" t="s">
        <v>49</v>
      </c>
      <c r="M1239" s="212" t="s">
        <v>6830</v>
      </c>
      <c r="N1239" s="3" t="str">
        <f t="shared" ref="N1239:N1247" si="21">CONCATENATE(L1239," ",J1239,M1239)</f>
        <v>POST /experience/loansAndDeposits/corporateCurrentAccount/v1/corporate/destAccount/online/delete</v>
      </c>
      <c r="O1239" s="40" t="s">
        <v>6831</v>
      </c>
      <c r="P1239" s="40"/>
      <c r="Q1239" s="61" t="s">
        <v>98</v>
      </c>
      <c r="R1239" s="31" t="s">
        <v>56</v>
      </c>
      <c r="S1239" s="38" t="str">
        <f t="shared" ref="S1239:S1247" si="22">"https://github.com/SF-Bancoppel/"&amp;B1239</f>
        <v>https://github.com/SF-Bancoppel/mx-api-bc-rec-corp-cur-acnt-leg</v>
      </c>
      <c r="T1239" s="40"/>
      <c r="U1239" s="22"/>
      <c r="V1239" s="40"/>
      <c r="W1239" s="40"/>
      <c r="X1239" s="40"/>
      <c r="Y1239" s="40"/>
      <c r="Z1239" s="22"/>
      <c r="AA1239" s="22"/>
      <c r="AB1239" s="22"/>
    </row>
    <row r="1240" ht="18.75" customHeight="1">
      <c r="A1240" s="18" t="str">
        <f t="array" ref="A1240">IFERROR(
  INDEX(
    'api-register-id'!A:A,
    MATCH(F1240, 'api-register-id'!B:B, 0)
  ),
  "Not found Organization"
)</f>
        <v>Empresa Net</v>
      </c>
      <c r="B1240" s="22" t="str">
        <f>IFERROR(VLOOKUP(F1240, 'api-register-id'!B:F, 4, FALSE), "Not found path.")</f>
        <v>mx-api-bc-rec-corp-cur-acnt-leg</v>
      </c>
      <c r="C1240" s="29" t="s">
        <v>112</v>
      </c>
      <c r="D1240" s="203" t="s">
        <v>1417</v>
      </c>
      <c r="E1240" s="24" t="str">
        <f>IFERROR(VLOOKUP(F1240, 'api-register-id'!B:F, 5, FALSE), "Not found path.")</f>
        <v>APIMX000187</v>
      </c>
      <c r="F1240" s="204" t="s">
        <v>2859</v>
      </c>
      <c r="G1240" s="26" t="s">
        <v>6852</v>
      </c>
      <c r="H1240" s="205" t="s">
        <v>6853</v>
      </c>
      <c r="I1240" s="29" t="str">
        <f>IFERROR(VLOOKUP(F1240, 'api-register-id'!B:I, 8, FALSE), "Not found path.")</f>
        <v/>
      </c>
      <c r="J1240" s="40" t="s">
        <v>3946</v>
      </c>
      <c r="K1240" s="211" t="s">
        <v>48</v>
      </c>
      <c r="L1240" s="200" t="s">
        <v>49</v>
      </c>
      <c r="M1240" s="212" t="s">
        <v>6834</v>
      </c>
      <c r="N1240" s="3" t="str">
        <f t="shared" si="21"/>
        <v>POST /experience/loansAndDeposits/corporateCurrentAccount/v1/corporate/authorizations/balance</v>
      </c>
      <c r="O1240" s="40" t="s">
        <v>6835</v>
      </c>
      <c r="P1240" s="40"/>
      <c r="Q1240" s="61" t="s">
        <v>98</v>
      </c>
      <c r="R1240" s="31" t="s">
        <v>56</v>
      </c>
      <c r="S1240" s="38" t="str">
        <f t="shared" si="22"/>
        <v>https://github.com/SF-Bancoppel/mx-api-bc-rec-corp-cur-acnt-leg</v>
      </c>
      <c r="T1240" s="40"/>
      <c r="U1240" s="22"/>
      <c r="V1240" s="40"/>
      <c r="W1240" s="40"/>
      <c r="X1240" s="40"/>
      <c r="Y1240" s="40"/>
      <c r="Z1240" s="22"/>
      <c r="AA1240" s="22"/>
      <c r="AB1240" s="22"/>
    </row>
    <row r="1241" ht="18.75" customHeight="1">
      <c r="A1241" s="18" t="str">
        <f t="array" ref="A1241">IFERROR(
  INDEX(
    'api-register-id'!A:A,
    MATCH(F1241, 'api-register-id'!B:B, 0)
  ),
  "Not found Organization"
)</f>
        <v>Empresa Net</v>
      </c>
      <c r="B1241" s="22" t="str">
        <f>IFERROR(VLOOKUP(F1241, 'api-register-id'!B:F, 4, FALSE), "Not found path.")</f>
        <v>mx-api-bc-pro-corp-cur-acnt-leg</v>
      </c>
      <c r="C1241" s="213" t="s">
        <v>41</v>
      </c>
      <c r="D1241" s="213" t="s">
        <v>811</v>
      </c>
      <c r="E1241" s="24" t="str">
        <f>IFERROR(VLOOKUP(F1241, 'api-register-id'!B:F, 5, FALSE), "Not found path.")</f>
        <v>APIMX000188</v>
      </c>
      <c r="F1241" s="61" t="s">
        <v>2890</v>
      </c>
      <c r="G1241" s="26" t="s">
        <v>6854</v>
      </c>
      <c r="H1241" s="208" t="s">
        <v>6855</v>
      </c>
      <c r="I1241" s="29" t="str">
        <f>IFERROR(VLOOKUP(F1241, 'api-register-id'!B:I, 8, FALSE), "Not found path.")</f>
        <v/>
      </c>
      <c r="J1241" s="205" t="s">
        <v>2157</v>
      </c>
      <c r="K1241" s="214" t="s">
        <v>48</v>
      </c>
      <c r="L1241" s="200" t="s">
        <v>49</v>
      </c>
      <c r="M1241" s="61" t="s">
        <v>6811</v>
      </c>
      <c r="N1241" s="3" t="str">
        <f t="shared" si="21"/>
        <v>POST /system/loansAndDeposits/corporateCurrentAccount/v1/corporate/destAccount/validate</v>
      </c>
      <c r="O1241" s="32"/>
      <c r="P1241" s="32"/>
      <c r="Q1241" s="61" t="s">
        <v>98</v>
      </c>
      <c r="R1241" s="31" t="s">
        <v>56</v>
      </c>
      <c r="S1241" s="38" t="str">
        <f t="shared" si="22"/>
        <v>https://github.com/SF-Bancoppel/mx-api-bc-pro-corp-cur-acnt-leg</v>
      </c>
      <c r="T1241" s="40"/>
      <c r="U1241" s="22"/>
      <c r="V1241" s="40"/>
      <c r="W1241" s="40"/>
      <c r="X1241" s="40"/>
      <c r="Y1241" s="40"/>
      <c r="Z1241" s="22"/>
      <c r="AA1241" s="22"/>
      <c r="AB1241" s="22"/>
    </row>
    <row r="1242" ht="18.75" customHeight="1">
      <c r="A1242" s="18" t="str">
        <f t="array" ref="A1242">IFERROR(
  INDEX(
    'api-register-id'!A:A,
    MATCH(F1242, 'api-register-id'!B:B, 0)
  ),
  "Not found Organization"
)</f>
        <v>Empresa Net</v>
      </c>
      <c r="B1242" s="22" t="str">
        <f>IFERROR(VLOOKUP(F1242, 'api-register-id'!B:F, 4, FALSE), "Not found path.")</f>
        <v>mx-api-bc-pro-corp-cur-acnt-leg</v>
      </c>
      <c r="C1242" s="200" t="s">
        <v>41</v>
      </c>
      <c r="D1242" s="200" t="s">
        <v>811</v>
      </c>
      <c r="E1242" s="24" t="str">
        <f>IFERROR(VLOOKUP(F1242, 'api-register-id'!B:F, 5, FALSE), "Not found path.")</f>
        <v>APIMX000188</v>
      </c>
      <c r="F1242" s="204" t="s">
        <v>2890</v>
      </c>
      <c r="G1242" s="26" t="s">
        <v>6856</v>
      </c>
      <c r="H1242" s="205" t="s">
        <v>6857</v>
      </c>
      <c r="I1242" s="29" t="str">
        <f>IFERROR(VLOOKUP(F1242, 'api-register-id'!B:I, 8, FALSE), "Not found path.")</f>
        <v/>
      </c>
      <c r="J1242" s="1" t="s">
        <v>2157</v>
      </c>
      <c r="K1242" s="214" t="s">
        <v>48</v>
      </c>
      <c r="L1242" s="200" t="s">
        <v>49</v>
      </c>
      <c r="M1242" s="212" t="s">
        <v>6814</v>
      </c>
      <c r="N1242" s="3" t="str">
        <f t="shared" si="21"/>
        <v>POST /system/loansAndDeposits/corporateCurrentAccount/v1/corporate/destAccount/get</v>
      </c>
      <c r="O1242" s="40"/>
      <c r="P1242" s="40"/>
      <c r="Q1242" s="61" t="s">
        <v>98</v>
      </c>
      <c r="R1242" s="31" t="s">
        <v>56</v>
      </c>
      <c r="S1242" s="38" t="str">
        <f t="shared" si="22"/>
        <v>https://github.com/SF-Bancoppel/mx-api-bc-pro-corp-cur-acnt-leg</v>
      </c>
      <c r="T1242" s="40"/>
      <c r="U1242" s="22"/>
      <c r="V1242" s="40"/>
      <c r="W1242" s="40"/>
      <c r="X1242" s="40"/>
      <c r="Y1242" s="40"/>
      <c r="Z1242" s="22"/>
      <c r="AA1242" s="22"/>
      <c r="AB1242" s="22"/>
    </row>
    <row r="1243" ht="18.75" customHeight="1">
      <c r="A1243" s="18" t="str">
        <f t="array" ref="A1243">IFERROR(
  INDEX(
    'api-register-id'!A:A,
    MATCH(F1243, 'api-register-id'!B:B, 0)
  ),
  "Not found Organization"
)</f>
        <v>Empresa Net</v>
      </c>
      <c r="B1243" s="22" t="str">
        <f>IFERROR(VLOOKUP(F1243, 'api-register-id'!B:F, 4, FALSE), "Not found path.")</f>
        <v>mx-api-bc-pro-corp-cur-acnt-leg</v>
      </c>
      <c r="C1243" s="200" t="s">
        <v>41</v>
      </c>
      <c r="D1243" s="200" t="s">
        <v>811</v>
      </c>
      <c r="E1243" s="24" t="str">
        <f>IFERROR(VLOOKUP(F1243, 'api-register-id'!B:F, 5, FALSE), "Not found path.")</f>
        <v>APIMX000188</v>
      </c>
      <c r="F1243" s="204" t="s">
        <v>2890</v>
      </c>
      <c r="G1243" s="26" t="s">
        <v>6858</v>
      </c>
      <c r="H1243" s="205" t="s">
        <v>6859</v>
      </c>
      <c r="I1243" s="29" t="str">
        <f>IFERROR(VLOOKUP(F1243, 'api-register-id'!B:I, 8, FALSE), "Not found path.")</f>
        <v/>
      </c>
      <c r="J1243" s="1" t="s">
        <v>2157</v>
      </c>
      <c r="K1243" s="214" t="s">
        <v>48</v>
      </c>
      <c r="L1243" s="200" t="s">
        <v>49</v>
      </c>
      <c r="M1243" s="212" t="s">
        <v>6817</v>
      </c>
      <c r="N1243" s="3" t="str">
        <f t="shared" si="21"/>
        <v>POST /system/loansAndDeposits/corporateCurrentAccount/v1/corporate/destAccount/online/create</v>
      </c>
      <c r="O1243" s="40" t="s">
        <v>6818</v>
      </c>
      <c r="P1243" s="40"/>
      <c r="Q1243" s="61" t="s">
        <v>98</v>
      </c>
      <c r="R1243" s="31" t="s">
        <v>56</v>
      </c>
      <c r="S1243" s="38" t="str">
        <f t="shared" si="22"/>
        <v>https://github.com/SF-Bancoppel/mx-api-bc-pro-corp-cur-acnt-leg</v>
      </c>
      <c r="T1243" s="40"/>
      <c r="U1243" s="22"/>
      <c r="V1243" s="40"/>
      <c r="W1243" s="40"/>
      <c r="X1243" s="40"/>
      <c r="Y1243" s="40"/>
      <c r="Z1243" s="22"/>
      <c r="AA1243" s="22"/>
      <c r="AB1243" s="22"/>
    </row>
    <row r="1244" ht="18.75" customHeight="1">
      <c r="A1244" s="18" t="str">
        <f t="array" ref="A1244">IFERROR(
  INDEX(
    'api-register-id'!A:A,
    MATCH(F1244, 'api-register-id'!B:B, 0)
  ),
  "Not found Organization"
)</f>
        <v>Empresa Net</v>
      </c>
      <c r="B1244" s="22" t="str">
        <f>IFERROR(VLOOKUP(F1244, 'api-register-id'!B:F, 4, FALSE), "Not found path.")</f>
        <v>mx-api-bc-pro-corp-cur-acnt-leg</v>
      </c>
      <c r="C1244" s="200" t="s">
        <v>41</v>
      </c>
      <c r="D1244" s="200" t="s">
        <v>811</v>
      </c>
      <c r="E1244" s="24" t="str">
        <f>IFERROR(VLOOKUP(F1244, 'api-register-id'!B:F, 5, FALSE), "Not found path.")</f>
        <v>APIMX000188</v>
      </c>
      <c r="F1244" s="204" t="s">
        <v>2890</v>
      </c>
      <c r="G1244" s="26" t="s">
        <v>6860</v>
      </c>
      <c r="H1244" s="205" t="s">
        <v>6861</v>
      </c>
      <c r="I1244" s="29" t="str">
        <f>IFERROR(VLOOKUP(F1244, 'api-register-id'!B:I, 8, FALSE), "Not found path.")</f>
        <v/>
      </c>
      <c r="J1244" s="1" t="s">
        <v>2157</v>
      </c>
      <c r="K1244" s="214" t="s">
        <v>48</v>
      </c>
      <c r="L1244" s="200" t="s">
        <v>49</v>
      </c>
      <c r="M1244" s="212" t="s">
        <v>6821</v>
      </c>
      <c r="N1244" s="3" t="str">
        <f t="shared" si="21"/>
        <v>POST /system/loansAndDeposits/corporateCurrentAccount/v1/corporate/list/bank/get</v>
      </c>
      <c r="O1244" s="40" t="s">
        <v>6822</v>
      </c>
      <c r="P1244" s="40"/>
      <c r="Q1244" s="61" t="s">
        <v>98</v>
      </c>
      <c r="R1244" s="31" t="s">
        <v>56</v>
      </c>
      <c r="S1244" s="38" t="str">
        <f t="shared" si="22"/>
        <v>https://github.com/SF-Bancoppel/mx-api-bc-pro-corp-cur-acnt-leg</v>
      </c>
      <c r="T1244" s="40"/>
      <c r="U1244" s="22"/>
      <c r="V1244" s="40"/>
      <c r="W1244" s="40"/>
      <c r="X1244" s="40"/>
      <c r="Y1244" s="40"/>
      <c r="Z1244" s="22"/>
      <c r="AA1244" s="22"/>
      <c r="AB1244" s="22"/>
    </row>
    <row r="1245" ht="18.75" customHeight="1">
      <c r="A1245" s="18" t="str">
        <f t="array" ref="A1245">IFERROR(
  INDEX(
    'api-register-id'!A:A,
    MATCH(F1245, 'api-register-id'!B:B, 0)
  ),
  "Not found Organization"
)</f>
        <v>Empresa Net</v>
      </c>
      <c r="B1245" s="22" t="str">
        <f>IFERROR(VLOOKUP(F1245, 'api-register-id'!B:F, 4, FALSE), "Not found path.")</f>
        <v>mx-api-bc-pro-corp-cur-acnt-leg</v>
      </c>
      <c r="C1245" s="200" t="s">
        <v>41</v>
      </c>
      <c r="D1245" s="200" t="s">
        <v>811</v>
      </c>
      <c r="E1245" s="24" t="str">
        <f>IFERROR(VLOOKUP(F1245, 'api-register-id'!B:F, 5, FALSE), "Not found path.")</f>
        <v>APIMX000188</v>
      </c>
      <c r="F1245" s="204" t="s">
        <v>2890</v>
      </c>
      <c r="G1245" s="26" t="s">
        <v>6862</v>
      </c>
      <c r="H1245" s="205" t="s">
        <v>6863</v>
      </c>
      <c r="I1245" s="29" t="str">
        <f>IFERROR(VLOOKUP(F1245, 'api-register-id'!B:I, 8, FALSE), "Not found path.")</f>
        <v/>
      </c>
      <c r="J1245" s="1" t="s">
        <v>2157</v>
      </c>
      <c r="K1245" s="214" t="s">
        <v>48</v>
      </c>
      <c r="L1245" s="200" t="s">
        <v>49</v>
      </c>
      <c r="M1245" s="212" t="s">
        <v>6825</v>
      </c>
      <c r="N1245" s="3" t="str">
        <f t="shared" si="21"/>
        <v>POST /system/loansAndDeposits/corporateCurrentAccount/v1/corporate/destAccount/online/update</v>
      </c>
      <c r="O1245" s="40" t="s">
        <v>6826</v>
      </c>
      <c r="P1245" s="40"/>
      <c r="Q1245" s="61" t="s">
        <v>98</v>
      </c>
      <c r="R1245" s="31" t="s">
        <v>56</v>
      </c>
      <c r="S1245" s="38" t="str">
        <f t="shared" si="22"/>
        <v>https://github.com/SF-Bancoppel/mx-api-bc-pro-corp-cur-acnt-leg</v>
      </c>
      <c r="T1245" s="40"/>
      <c r="U1245" s="22"/>
      <c r="V1245" s="40"/>
      <c r="W1245" s="40"/>
      <c r="X1245" s="40"/>
      <c r="Y1245" s="40"/>
      <c r="Z1245" s="22"/>
      <c r="AA1245" s="22"/>
      <c r="AB1245" s="22"/>
    </row>
    <row r="1246" ht="18.75" customHeight="1">
      <c r="A1246" s="18" t="str">
        <f t="array" ref="A1246">IFERROR(
  INDEX(
    'api-register-id'!A:A,
    MATCH(F1246, 'api-register-id'!B:B, 0)
  ),
  "Not found Organization"
)</f>
        <v>Empresa Net</v>
      </c>
      <c r="B1246" s="22" t="str">
        <f>IFERROR(VLOOKUP(F1246, 'api-register-id'!B:F, 4, FALSE), "Not found path.")</f>
        <v>mx-api-bc-pro-corp-cur-acnt-leg</v>
      </c>
      <c r="C1246" s="200" t="s">
        <v>41</v>
      </c>
      <c r="D1246" s="200" t="s">
        <v>811</v>
      </c>
      <c r="E1246" s="24" t="str">
        <f>IFERROR(VLOOKUP(F1246, 'api-register-id'!B:F, 5, FALSE), "Not found path.")</f>
        <v>APIMX000188</v>
      </c>
      <c r="F1246" s="204" t="s">
        <v>2890</v>
      </c>
      <c r="G1246" s="26" t="s">
        <v>6864</v>
      </c>
      <c r="H1246" s="205" t="s">
        <v>6859</v>
      </c>
      <c r="I1246" s="29" t="str">
        <f>IFERROR(VLOOKUP(F1246, 'api-register-id'!B:I, 8, FALSE), "Not found path.")</f>
        <v/>
      </c>
      <c r="J1246" s="204" t="s">
        <v>2157</v>
      </c>
      <c r="K1246" s="214" t="s">
        <v>48</v>
      </c>
      <c r="L1246" s="200" t="s">
        <v>49</v>
      </c>
      <c r="M1246" s="212" t="s">
        <v>6817</v>
      </c>
      <c r="N1246" s="3" t="str">
        <f t="shared" si="21"/>
        <v>POST /system/loansAndDeposits/corporateCurrentAccount/v1/corporate/destAccount/online/create</v>
      </c>
      <c r="O1246" s="40" t="s">
        <v>6818</v>
      </c>
      <c r="P1246" s="40"/>
      <c r="Q1246" s="61" t="s">
        <v>98</v>
      </c>
      <c r="R1246" s="31" t="s">
        <v>56</v>
      </c>
      <c r="S1246" s="38" t="str">
        <f t="shared" si="22"/>
        <v>https://github.com/SF-Bancoppel/mx-api-bc-pro-corp-cur-acnt-leg</v>
      </c>
      <c r="T1246" s="40"/>
      <c r="U1246" s="22"/>
      <c r="V1246" s="40"/>
      <c r="W1246" s="40"/>
      <c r="X1246" s="40"/>
      <c r="Y1246" s="40"/>
      <c r="Z1246" s="22"/>
      <c r="AA1246" s="22"/>
      <c r="AB1246" s="22"/>
    </row>
    <row r="1247" ht="18.75" customHeight="1">
      <c r="A1247" s="18" t="str">
        <f t="array" ref="A1247">IFERROR(
  INDEX(
    'api-register-id'!A:A,
    MATCH(F1247, 'api-register-id'!B:B, 0)
  ),
  "Not found Organization"
)</f>
        <v>Empresa Net</v>
      </c>
      <c r="B1247" s="22" t="str">
        <f>IFERROR(VLOOKUP(F1247, 'api-register-id'!B:F, 4, FALSE), "Not found path.")</f>
        <v>mx-api-bc-pro-corp-cur-acnt-leg</v>
      </c>
      <c r="C1247" s="200" t="s">
        <v>41</v>
      </c>
      <c r="D1247" s="200" t="s">
        <v>811</v>
      </c>
      <c r="E1247" s="24" t="str">
        <f>IFERROR(VLOOKUP(F1247, 'api-register-id'!B:F, 5, FALSE), "Not found path.")</f>
        <v>APIMX000188</v>
      </c>
      <c r="F1247" s="204" t="s">
        <v>2890</v>
      </c>
      <c r="G1247" s="26" t="s">
        <v>6865</v>
      </c>
      <c r="H1247" s="205" t="s">
        <v>6861</v>
      </c>
      <c r="I1247" s="29" t="str">
        <f>IFERROR(VLOOKUP(F1247, 'api-register-id'!B:I, 8, FALSE), "Not found path.")</f>
        <v/>
      </c>
      <c r="J1247" s="204" t="s">
        <v>2157</v>
      </c>
      <c r="K1247" s="214" t="s">
        <v>48</v>
      </c>
      <c r="L1247" s="200" t="s">
        <v>49</v>
      </c>
      <c r="M1247" s="212" t="s">
        <v>6821</v>
      </c>
      <c r="N1247" s="3" t="str">
        <f t="shared" si="21"/>
        <v>POST /system/loansAndDeposits/corporateCurrentAccount/v1/corporate/list/bank/get</v>
      </c>
      <c r="O1247" s="40" t="s">
        <v>6822</v>
      </c>
      <c r="P1247" s="40"/>
      <c r="Q1247" s="61" t="s">
        <v>98</v>
      </c>
      <c r="R1247" s="31" t="s">
        <v>56</v>
      </c>
      <c r="S1247" s="38" t="str">
        <f t="shared" si="22"/>
        <v>https://github.com/SF-Bancoppel/mx-api-bc-pro-corp-cur-acnt-leg</v>
      </c>
      <c r="T1247" s="40"/>
      <c r="U1247" s="22"/>
      <c r="V1247" s="40"/>
      <c r="W1247" s="40"/>
      <c r="X1247" s="40"/>
      <c r="Y1247" s="40"/>
      <c r="Z1247" s="22"/>
      <c r="AA1247" s="22"/>
      <c r="AB1247" s="22"/>
    </row>
    <row r="1248" ht="18.75" customHeight="1">
      <c r="A1248" s="256"/>
      <c r="B1248" s="257"/>
      <c r="C1248" s="258"/>
      <c r="D1248" s="258"/>
      <c r="E1248" s="259"/>
      <c r="F1248" s="260"/>
      <c r="G1248" s="261" t="s">
        <v>6866</v>
      </c>
      <c r="H1248" s="262"/>
      <c r="I1248" s="263"/>
      <c r="J1248" s="260"/>
      <c r="K1248" s="283"/>
      <c r="L1248" s="258"/>
      <c r="M1248" s="265"/>
      <c r="N1248" s="266"/>
      <c r="O1248" s="249"/>
      <c r="P1248" s="249"/>
      <c r="Q1248" s="267"/>
      <c r="R1248" s="259"/>
      <c r="S1248" s="249"/>
      <c r="T1248" s="249"/>
      <c r="U1248" s="257"/>
      <c r="V1248" s="249"/>
      <c r="W1248" s="249"/>
      <c r="X1248" s="249"/>
      <c r="Y1248" s="249"/>
      <c r="Z1248" s="257"/>
      <c r="AA1248" s="257"/>
      <c r="AB1248" s="257"/>
    </row>
    <row r="1249" ht="18.75" customHeight="1">
      <c r="A1249" s="256"/>
      <c r="B1249" s="257"/>
      <c r="C1249" s="258"/>
      <c r="D1249" s="258"/>
      <c r="E1249" s="259"/>
      <c r="F1249" s="260"/>
      <c r="G1249" s="261" t="s">
        <v>6867</v>
      </c>
      <c r="H1249" s="262"/>
      <c r="I1249" s="263"/>
      <c r="J1249" s="249"/>
      <c r="K1249" s="264"/>
      <c r="L1249" s="258"/>
      <c r="M1249" s="265"/>
      <c r="N1249" s="266"/>
      <c r="O1249" s="249"/>
      <c r="P1249" s="249"/>
      <c r="Q1249" s="267"/>
      <c r="R1249" s="259"/>
      <c r="S1249" s="249"/>
      <c r="T1249" s="249"/>
      <c r="U1249" s="257"/>
      <c r="V1249" s="249"/>
      <c r="W1249" s="249"/>
      <c r="X1249" s="249"/>
      <c r="Y1249" s="249"/>
      <c r="Z1249" s="257"/>
      <c r="AA1249" s="257"/>
      <c r="AB1249" s="257"/>
    </row>
    <row r="1250" ht="18.75" customHeight="1">
      <c r="A1250" s="18" t="str">
        <f t="array" ref="A1250">IFERROR(
  INDEX(
    'api-register-id'!A:A,
    MATCH(F1250, 'api-register-id'!B:B, 0)
  ),
  "Not found Organization"
)</f>
        <v>Empresa Net</v>
      </c>
      <c r="B1250" s="22" t="str">
        <f>IFERROR(VLOOKUP(F1250, 'api-register-id'!B:F, 4, FALSE), "Not found path.")</f>
        <v>mx-api-bc-pro-corp-cur-acnt-leg</v>
      </c>
      <c r="C1250" s="200" t="s">
        <v>41</v>
      </c>
      <c r="D1250" s="200" t="s">
        <v>811</v>
      </c>
      <c r="E1250" s="24" t="str">
        <f>IFERROR(VLOOKUP(F1250, 'api-register-id'!B:F, 5, FALSE), "Not found path.")</f>
        <v>APIMX000188</v>
      </c>
      <c r="F1250" s="204" t="s">
        <v>2890</v>
      </c>
      <c r="G1250" s="26" t="s">
        <v>6868</v>
      </c>
      <c r="H1250" s="205" t="s">
        <v>6869</v>
      </c>
      <c r="I1250" s="29" t="str">
        <f>IFERROR(VLOOKUP(F1250, 'api-register-id'!B:I, 8, FALSE), "Not found path.")</f>
        <v/>
      </c>
      <c r="J1250" s="40" t="s">
        <v>6870</v>
      </c>
      <c r="K1250" s="211" t="s">
        <v>48</v>
      </c>
      <c r="L1250" s="200" t="s">
        <v>49</v>
      </c>
      <c r="M1250" s="212" t="s">
        <v>6830</v>
      </c>
      <c r="N1250" s="3" t="str">
        <f t="shared" ref="N1250:N1260" si="23">CONCATENATE(L1250," ",J1250,M1250)</f>
        <v>POST /system/operationalServices/internalBankAccount/v1/corporate/destAccount/online/delete</v>
      </c>
      <c r="O1250" s="40" t="s">
        <v>6831</v>
      </c>
      <c r="P1250" s="40"/>
      <c r="Q1250" s="61" t="s">
        <v>98</v>
      </c>
      <c r="R1250" s="31" t="s">
        <v>56</v>
      </c>
      <c r="S1250" s="38" t="str">
        <f t="shared" ref="S1250:S1260" si="24">"https://github.com/SF-Bancoppel/"&amp;B1250</f>
        <v>https://github.com/SF-Bancoppel/mx-api-bc-pro-corp-cur-acnt-leg</v>
      </c>
      <c r="T1250" s="40"/>
      <c r="U1250" s="22"/>
      <c r="V1250" s="40"/>
      <c r="W1250" s="40"/>
      <c r="X1250" s="40"/>
      <c r="Y1250" s="40"/>
      <c r="Z1250" s="22"/>
      <c r="AA1250" s="22"/>
      <c r="AB1250" s="22"/>
    </row>
    <row r="1251" ht="18.75" customHeight="1">
      <c r="A1251" s="18" t="str">
        <f t="array" ref="A1251">IFERROR(
  INDEX(
    'api-register-id'!A:A,
    MATCH(F1251, 'api-register-id'!B:B, 0)
  ),
  "Not found Organization"
)</f>
        <v>Empresa Net</v>
      </c>
      <c r="B1251" s="22" t="str">
        <f>IFERROR(VLOOKUP(F1251, 'api-register-id'!B:F, 4, FALSE), "Not found path.")</f>
        <v>mx-api-bc-pro-corp-cur-acnt-leg</v>
      </c>
      <c r="C1251" s="203" t="s">
        <v>41</v>
      </c>
      <c r="D1251" s="203" t="s">
        <v>811</v>
      </c>
      <c r="E1251" s="24" t="str">
        <f>IFERROR(VLOOKUP(F1251, 'api-register-id'!B:F, 5, FALSE), "Not found path.")</f>
        <v>APIMX000188</v>
      </c>
      <c r="F1251" s="204" t="s">
        <v>2890</v>
      </c>
      <c r="G1251" s="26" t="s">
        <v>6871</v>
      </c>
      <c r="H1251" s="205" t="s">
        <v>6872</v>
      </c>
      <c r="I1251" s="29" t="str">
        <f>IFERROR(VLOOKUP(F1251, 'api-register-id'!B:I, 8, FALSE), "Not found path.")</f>
        <v/>
      </c>
      <c r="J1251" s="40" t="s">
        <v>2157</v>
      </c>
      <c r="K1251" s="211" t="s">
        <v>48</v>
      </c>
      <c r="L1251" s="200" t="s">
        <v>49</v>
      </c>
      <c r="M1251" s="212" t="s">
        <v>6834</v>
      </c>
      <c r="N1251" s="3" t="str">
        <f t="shared" si="23"/>
        <v>POST /system/loansAndDeposits/corporateCurrentAccount/v1/corporate/authorizations/balance</v>
      </c>
      <c r="O1251" s="40" t="s">
        <v>6835</v>
      </c>
      <c r="P1251" s="40"/>
      <c r="Q1251" s="61" t="s">
        <v>98</v>
      </c>
      <c r="R1251" s="31" t="s">
        <v>56</v>
      </c>
      <c r="S1251" s="38" t="str">
        <f t="shared" si="24"/>
        <v>https://github.com/SF-Bancoppel/mx-api-bc-pro-corp-cur-acnt-leg</v>
      </c>
      <c r="T1251" s="40"/>
      <c r="U1251" s="22"/>
      <c r="V1251" s="40"/>
      <c r="W1251" s="40"/>
      <c r="X1251" s="40"/>
      <c r="Y1251" s="40"/>
      <c r="Z1251" s="22"/>
      <c r="AA1251" s="22"/>
      <c r="AB1251" s="22"/>
    </row>
    <row r="1252" ht="18.75" customHeight="1">
      <c r="A1252" s="18" t="str">
        <f t="array" ref="A1252">IFERROR(
  INDEX(
    'api-register-id'!A:A,
    MATCH(F1252, 'api-register-id'!B:B, 0)
  ),
  "Not found Organization"
)</f>
        <v>Empresa Net</v>
      </c>
      <c r="B1252" s="22" t="str">
        <f>IFERROR(VLOOKUP(F1252, 'api-register-id'!B:F, 4, FALSE), "Not found path.")</f>
        <v>mx-api-bc-dom-int-bnk-acnt-corp</v>
      </c>
      <c r="C1252" s="200" t="s">
        <v>41</v>
      </c>
      <c r="D1252" s="200" t="s">
        <v>119</v>
      </c>
      <c r="E1252" s="24" t="str">
        <f>IFERROR(VLOOKUP(F1252, 'api-register-id'!B:F, 5, FALSE), "Not found path.")</f>
        <v>APIMX000189</v>
      </c>
      <c r="F1252" s="204" t="s">
        <v>2926</v>
      </c>
      <c r="G1252" s="26" t="s">
        <v>6873</v>
      </c>
      <c r="H1252" s="205" t="s">
        <v>6874</v>
      </c>
      <c r="I1252" s="29" t="str">
        <f>IFERROR(VLOOKUP(F1252, 'api-register-id'!B:I, 8, FALSE), "Not found path.")</f>
        <v>1.0.0</v>
      </c>
      <c r="J1252" s="1" t="s">
        <v>6875</v>
      </c>
      <c r="K1252" s="214" t="s">
        <v>48</v>
      </c>
      <c r="L1252" s="200" t="s">
        <v>49</v>
      </c>
      <c r="M1252" s="212" t="s">
        <v>6876</v>
      </c>
      <c r="N1252" s="3" t="str">
        <f t="shared" si="23"/>
        <v>POST /operationalServices/internalBankAccount/v1corporate/transfer/validateRules</v>
      </c>
      <c r="O1252" s="40"/>
      <c r="P1252" s="40"/>
      <c r="Q1252" s="61" t="s">
        <v>98</v>
      </c>
      <c r="R1252" s="31" t="s">
        <v>56</v>
      </c>
      <c r="S1252" s="38" t="str">
        <f t="shared" si="24"/>
        <v>https://github.com/SF-Bancoppel/mx-api-bc-dom-int-bnk-acnt-corp</v>
      </c>
      <c r="T1252" s="40"/>
      <c r="U1252" s="22"/>
      <c r="V1252" s="40"/>
      <c r="W1252" s="40"/>
      <c r="X1252" s="40"/>
      <c r="Y1252" s="40"/>
      <c r="Z1252" s="22"/>
      <c r="AA1252" s="22"/>
      <c r="AB1252" s="22"/>
    </row>
    <row r="1253" ht="18.75" customHeight="1">
      <c r="A1253" s="18" t="str">
        <f t="array" ref="A1253">IFERROR(
  INDEX(
    'api-register-id'!A:A,
    MATCH(F1253, 'api-register-id'!B:B, 0)
  ),
  "Not found Organization"
)</f>
        <v>Empresa Net</v>
      </c>
      <c r="B1253" s="22" t="str">
        <f>IFERROR(VLOOKUP(F1253, 'api-register-id'!B:F, 4, FALSE), "Not found path.")</f>
        <v>mx-api-bc-dom-int-bnk-acnt-corp</v>
      </c>
      <c r="C1253" s="200" t="s">
        <v>41</v>
      </c>
      <c r="D1253" s="200" t="s">
        <v>119</v>
      </c>
      <c r="E1253" s="24" t="str">
        <f>IFERROR(VLOOKUP(F1253, 'api-register-id'!B:F, 5, FALSE), "Not found path.")</f>
        <v>APIMX000189</v>
      </c>
      <c r="F1253" s="25" t="s">
        <v>2926</v>
      </c>
      <c r="G1253" s="26" t="s">
        <v>6877</v>
      </c>
      <c r="H1253" s="205" t="s">
        <v>6878</v>
      </c>
      <c r="I1253" s="29" t="str">
        <f>IFERROR(VLOOKUP(F1253, 'api-register-id'!B:I, 8, FALSE), "Not found path.")</f>
        <v>1.0.0</v>
      </c>
      <c r="J1253" s="1" t="s">
        <v>6875</v>
      </c>
      <c r="K1253" s="214" t="s">
        <v>48</v>
      </c>
      <c r="L1253" s="200" t="s">
        <v>49</v>
      </c>
      <c r="M1253" s="212" t="s">
        <v>6879</v>
      </c>
      <c r="N1253" s="3" t="str">
        <f t="shared" si="23"/>
        <v>POST /operationalServices/internalBankAccount/v1/corporate/transfer/validateRules</v>
      </c>
      <c r="O1253" s="40" t="s">
        <v>6880</v>
      </c>
      <c r="P1253" s="40"/>
      <c r="Q1253" s="61" t="s">
        <v>98</v>
      </c>
      <c r="R1253" s="31" t="s">
        <v>56</v>
      </c>
      <c r="S1253" s="38" t="str">
        <f t="shared" si="24"/>
        <v>https://github.com/SF-Bancoppel/mx-api-bc-dom-int-bnk-acnt-corp</v>
      </c>
      <c r="T1253" s="40"/>
      <c r="U1253" s="22"/>
      <c r="V1253" s="40"/>
      <c r="W1253" s="40"/>
      <c r="X1253" s="40"/>
      <c r="Y1253" s="40"/>
      <c r="Z1253" s="22"/>
      <c r="AA1253" s="22"/>
      <c r="AB1253" s="22"/>
    </row>
    <row r="1254" ht="18.75" customHeight="1">
      <c r="A1254" s="18" t="str">
        <f t="array" ref="A1254">IFERROR(
  INDEX(
    'api-register-id'!A:A,
    MATCH(F1254, 'api-register-id'!B:B, 0)
  ),
  "Not found Organization"
)</f>
        <v>Empresa Net</v>
      </c>
      <c r="B1254" s="22" t="str">
        <f>IFERROR(VLOOKUP(F1254, 'api-register-id'!B:F, 4, FALSE), "Not found path.")</f>
        <v>mx-api-bc-dom-int-bnk-acnt-corp</v>
      </c>
      <c r="C1254" s="200" t="s">
        <v>41</v>
      </c>
      <c r="D1254" s="200" t="s">
        <v>119</v>
      </c>
      <c r="E1254" s="24" t="str">
        <f>IFERROR(VLOOKUP(F1254, 'api-register-id'!B:F, 5, FALSE), "Not found path.")</f>
        <v>APIMX000189</v>
      </c>
      <c r="F1254" s="25" t="s">
        <v>2926</v>
      </c>
      <c r="G1254" s="26" t="s">
        <v>6881</v>
      </c>
      <c r="H1254" s="205" t="s">
        <v>6882</v>
      </c>
      <c r="I1254" s="29" t="str">
        <f>IFERROR(VLOOKUP(F1254, 'api-register-id'!B:I, 8, FALSE), "Not found path.")</f>
        <v>1.0.0</v>
      </c>
      <c r="J1254" s="1" t="s">
        <v>6875</v>
      </c>
      <c r="K1254" s="214" t="s">
        <v>48</v>
      </c>
      <c r="L1254" s="200" t="s">
        <v>49</v>
      </c>
      <c r="M1254" s="212" t="s">
        <v>6883</v>
      </c>
      <c r="N1254" s="3" t="str">
        <f t="shared" si="23"/>
        <v>POST /operationalServices/internalBankAccount/v1/corporate/transfer/own</v>
      </c>
      <c r="O1254" s="40" t="s">
        <v>6884</v>
      </c>
      <c r="P1254" s="40"/>
      <c r="Q1254" s="61" t="s">
        <v>98</v>
      </c>
      <c r="R1254" s="31" t="s">
        <v>56</v>
      </c>
      <c r="S1254" s="38" t="str">
        <f t="shared" si="24"/>
        <v>https://github.com/SF-Bancoppel/mx-api-bc-dom-int-bnk-acnt-corp</v>
      </c>
      <c r="T1254" s="40"/>
      <c r="U1254" s="22"/>
      <c r="V1254" s="22"/>
      <c r="W1254" s="40"/>
      <c r="X1254" s="40"/>
      <c r="Y1254" s="40"/>
      <c r="Z1254" s="22"/>
      <c r="AA1254" s="22"/>
      <c r="AB1254" s="22"/>
    </row>
    <row r="1255" ht="18.75" customHeight="1">
      <c r="A1255" s="18" t="str">
        <f t="array" ref="A1255">IFERROR(
  INDEX(
    'api-register-id'!A:A,
    MATCH(F1255, 'api-register-id'!B:B, 0)
  ),
  "Not found Organization"
)</f>
        <v>Empresa Net</v>
      </c>
      <c r="B1255" s="22" t="str">
        <f>IFERROR(VLOOKUP(F1255, 'api-register-id'!B:F, 4, FALSE), "Not found path.")</f>
        <v>mx-api-bc-dom-int-bnk-acnt-corp</v>
      </c>
      <c r="C1255" s="200" t="s">
        <v>41</v>
      </c>
      <c r="D1255" s="200" t="s">
        <v>119</v>
      </c>
      <c r="E1255" s="24" t="str">
        <f>IFERROR(VLOOKUP(F1255, 'api-register-id'!B:F, 5, FALSE), "Not found path.")</f>
        <v>APIMX000189</v>
      </c>
      <c r="F1255" s="25" t="s">
        <v>2926</v>
      </c>
      <c r="G1255" s="26" t="s">
        <v>6885</v>
      </c>
      <c r="H1255" s="205" t="s">
        <v>6886</v>
      </c>
      <c r="I1255" s="29" t="str">
        <f>IFERROR(VLOOKUP(F1255, 'api-register-id'!B:I, 8, FALSE), "Not found path.")</f>
        <v>1.0.0</v>
      </c>
      <c r="J1255" s="1" t="s">
        <v>6875</v>
      </c>
      <c r="K1255" s="214" t="s">
        <v>48</v>
      </c>
      <c r="L1255" s="200" t="s">
        <v>49</v>
      </c>
      <c r="M1255" s="212" t="s">
        <v>6887</v>
      </c>
      <c r="N1255" s="3" t="str">
        <f t="shared" si="23"/>
        <v>POST /operationalServices/internalBankAccount/v1/corporate/transfer/spei</v>
      </c>
      <c r="O1255" s="40" t="s">
        <v>6888</v>
      </c>
      <c r="P1255" s="40"/>
      <c r="Q1255" s="61" t="s">
        <v>98</v>
      </c>
      <c r="R1255" s="31" t="s">
        <v>56</v>
      </c>
      <c r="S1255" s="38" t="str">
        <f t="shared" si="24"/>
        <v>https://github.com/SF-Bancoppel/mx-api-bc-dom-int-bnk-acnt-corp</v>
      </c>
      <c r="T1255" s="40"/>
      <c r="U1255" s="40"/>
      <c r="V1255" s="40"/>
      <c r="W1255" s="40"/>
      <c r="X1255" s="40"/>
      <c r="Y1255" s="40"/>
      <c r="Z1255" s="40"/>
      <c r="AA1255" s="40"/>
      <c r="AB1255" s="40"/>
    </row>
    <row r="1256" ht="18.75" customHeight="1">
      <c r="A1256" s="18" t="str">
        <f t="array" ref="A1256">IFERROR(
  INDEX(
    'api-register-id'!A:A,
    MATCH(F1256, 'api-register-id'!B:B, 0)
  ),
  "Not found Organization"
)</f>
        <v>Empresa Net</v>
      </c>
      <c r="B1256" s="22" t="str">
        <f>IFERROR(VLOOKUP(F1256, 'api-register-id'!B:F, 4, FALSE), "Not found path.")</f>
        <v>mx-api-bc-dom-int-bnk-acnt-corp</v>
      </c>
      <c r="C1256" s="200" t="s">
        <v>41</v>
      </c>
      <c r="D1256" s="200" t="s">
        <v>119</v>
      </c>
      <c r="E1256" s="24" t="str">
        <f>IFERROR(VLOOKUP(F1256, 'api-register-id'!B:F, 5, FALSE), "Not found path.")</f>
        <v>APIMX000189</v>
      </c>
      <c r="F1256" s="25" t="s">
        <v>2926</v>
      </c>
      <c r="G1256" s="26" t="s">
        <v>6889</v>
      </c>
      <c r="H1256" s="205" t="s">
        <v>6890</v>
      </c>
      <c r="I1256" s="29" t="str">
        <f>IFERROR(VLOOKUP(F1256, 'api-register-id'!B:I, 8, FALSE), "Not found path.")</f>
        <v>1.0.0</v>
      </c>
      <c r="J1256" s="1" t="s">
        <v>6875</v>
      </c>
      <c r="K1256" s="214" t="s">
        <v>48</v>
      </c>
      <c r="L1256" s="200" t="s">
        <v>49</v>
      </c>
      <c r="M1256" s="212" t="s">
        <v>6891</v>
      </c>
      <c r="N1256" s="3" t="str">
        <f t="shared" si="23"/>
        <v>POST /operationalServices/internalBankAccount/v1/corporate/products/movements</v>
      </c>
      <c r="O1256" s="40" t="s">
        <v>6892</v>
      </c>
      <c r="P1256" s="40"/>
      <c r="Q1256" s="61" t="s">
        <v>98</v>
      </c>
      <c r="R1256" s="31" t="s">
        <v>56</v>
      </c>
      <c r="S1256" s="38" t="str">
        <f t="shared" si="24"/>
        <v>https://github.com/SF-Bancoppel/mx-api-bc-dom-int-bnk-acnt-corp</v>
      </c>
      <c r="T1256" s="40"/>
      <c r="U1256" s="40"/>
      <c r="V1256" s="40"/>
      <c r="W1256" s="40"/>
      <c r="X1256" s="40"/>
      <c r="Y1256" s="40"/>
      <c r="Z1256" s="40"/>
      <c r="AA1256" s="40"/>
      <c r="AB1256" s="40"/>
    </row>
    <row r="1257" ht="18.75" customHeight="1">
      <c r="A1257" s="18" t="str">
        <f t="array" ref="A1257">IFERROR(
  INDEX(
    'api-register-id'!A:A,
    MATCH(F1257, 'api-register-id'!B:B, 0)
  ),
  "Not found Organization"
)</f>
        <v>Empresa Net</v>
      </c>
      <c r="B1257" s="22" t="str">
        <f>IFERROR(VLOOKUP(F1257, 'api-register-id'!B:F, 4, FALSE), "Not found path.")</f>
        <v>mx-api-bc-dom-int-bnk-acnt-corp</v>
      </c>
      <c r="C1257" s="200" t="s">
        <v>41</v>
      </c>
      <c r="D1257" s="200" t="s">
        <v>119</v>
      </c>
      <c r="E1257" s="24" t="str">
        <f>IFERROR(VLOOKUP(F1257, 'api-register-id'!B:F, 5, FALSE), "Not found path.")</f>
        <v>APIMX000189</v>
      </c>
      <c r="F1257" s="25" t="s">
        <v>2926</v>
      </c>
      <c r="G1257" s="26" t="s">
        <v>6893</v>
      </c>
      <c r="H1257" s="205" t="s">
        <v>6894</v>
      </c>
      <c r="I1257" s="29" t="str">
        <f>IFERROR(VLOOKUP(F1257, 'api-register-id'!B:I, 8, FALSE), "Not found path.")</f>
        <v>1.0.0</v>
      </c>
      <c r="J1257" s="1" t="s">
        <v>6875</v>
      </c>
      <c r="K1257" s="214" t="s">
        <v>48</v>
      </c>
      <c r="L1257" s="200" t="s">
        <v>49</v>
      </c>
      <c r="M1257" s="212" t="s">
        <v>6895</v>
      </c>
      <c r="N1257" s="3" t="str">
        <f t="shared" si="23"/>
        <v>POST /operationalServices/internalBankAccount/v1/corporate/authorizations/transfer/online/sign</v>
      </c>
      <c r="O1257" s="40" t="s">
        <v>6896</v>
      </c>
      <c r="P1257" s="40"/>
      <c r="Q1257" s="61" t="s">
        <v>98</v>
      </c>
      <c r="R1257" s="31" t="s">
        <v>56</v>
      </c>
      <c r="S1257" s="38" t="str">
        <f t="shared" si="24"/>
        <v>https://github.com/SF-Bancoppel/mx-api-bc-dom-int-bnk-acnt-corp</v>
      </c>
      <c r="T1257" s="40"/>
      <c r="U1257" s="40"/>
      <c r="V1257" s="40"/>
      <c r="W1257" s="40"/>
      <c r="X1257" s="40"/>
      <c r="Y1257" s="40"/>
      <c r="Z1257" s="40"/>
      <c r="AA1257" s="40"/>
      <c r="AB1257" s="40"/>
    </row>
    <row r="1258" ht="18.75" customHeight="1">
      <c r="A1258" s="18" t="str">
        <f t="array" ref="A1258">IFERROR(
  INDEX(
    'api-register-id'!A:A,
    MATCH(F1258, 'api-register-id'!B:B, 0)
  ),
  "Not found Organization"
)</f>
        <v>Empresa Net</v>
      </c>
      <c r="B1258" s="22" t="str">
        <f>IFERROR(VLOOKUP(F1258, 'api-register-id'!B:F, 4, FALSE), "Not found path.")</f>
        <v>mx-api-bc-dom-int-bnk-acnt-corp</v>
      </c>
      <c r="C1258" s="200" t="s">
        <v>41</v>
      </c>
      <c r="D1258" s="200" t="s">
        <v>119</v>
      </c>
      <c r="E1258" s="24" t="str">
        <f>IFERROR(VLOOKUP(F1258, 'api-register-id'!B:F, 5, FALSE), "Not found path.")</f>
        <v>APIMX000189</v>
      </c>
      <c r="F1258" s="25" t="s">
        <v>2926</v>
      </c>
      <c r="G1258" s="261"/>
      <c r="H1258" s="205" t="s">
        <v>6897</v>
      </c>
      <c r="I1258" s="29" t="str">
        <f>IFERROR(VLOOKUP(F1258, 'api-register-id'!B:I, 8, FALSE), "Not found path.")</f>
        <v>1.0.0</v>
      </c>
      <c r="J1258" s="1" t="s">
        <v>6875</v>
      </c>
      <c r="K1258" s="214" t="s">
        <v>48</v>
      </c>
      <c r="L1258" s="200" t="s">
        <v>49</v>
      </c>
      <c r="M1258" s="212" t="s">
        <v>6898</v>
      </c>
      <c r="N1258" s="3" t="str">
        <f t="shared" si="23"/>
        <v>POST /operationalServices/internalBankAccountv1/corporate/authorizations/transfer/online/cancel</v>
      </c>
      <c r="O1258" s="40" t="s">
        <v>6899</v>
      </c>
      <c r="P1258" s="40"/>
      <c r="Q1258" s="61" t="s">
        <v>98</v>
      </c>
      <c r="R1258" s="31" t="s">
        <v>56</v>
      </c>
      <c r="S1258" s="38" t="str">
        <f t="shared" si="24"/>
        <v>https://github.com/SF-Bancoppel/mx-api-bc-dom-int-bnk-acnt-corp</v>
      </c>
      <c r="T1258" s="40"/>
      <c r="U1258" s="40"/>
      <c r="V1258" s="40"/>
      <c r="W1258" s="40"/>
      <c r="X1258" s="40"/>
      <c r="Y1258" s="40"/>
      <c r="Z1258" s="40"/>
      <c r="AA1258" s="40"/>
      <c r="AB1258" s="40"/>
    </row>
    <row r="1259" ht="18.75" customHeight="1">
      <c r="A1259" s="18" t="str">
        <f t="array" ref="A1259">IFERROR(
  INDEX(
    'api-register-id'!A:A,
    MATCH(F1259, 'api-register-id'!B:B, 0)
  ),
  "Not found Organization"
)</f>
        <v>Empresa Net</v>
      </c>
      <c r="B1259" s="22" t="str">
        <f>IFERROR(VLOOKUP(F1259, 'api-register-id'!B:F, 4, FALSE), "Not found path.")</f>
        <v>mx-api-bc-dom-int-bnk-acnt-corp</v>
      </c>
      <c r="C1259" s="200" t="s">
        <v>41</v>
      </c>
      <c r="D1259" s="200" t="s">
        <v>119</v>
      </c>
      <c r="E1259" s="24" t="str">
        <f>IFERROR(VLOOKUP(F1259, 'api-register-id'!B:F, 5, FALSE), "Not found path.")</f>
        <v>APIMX000189</v>
      </c>
      <c r="F1259" s="25" t="s">
        <v>2926</v>
      </c>
      <c r="G1259" s="26" t="s">
        <v>6900</v>
      </c>
      <c r="H1259" s="205" t="s">
        <v>6901</v>
      </c>
      <c r="I1259" s="29" t="str">
        <f>IFERROR(VLOOKUP(F1259, 'api-register-id'!B:I, 8, FALSE), "Not found path.")</f>
        <v>1.0.0</v>
      </c>
      <c r="J1259" s="1" t="s">
        <v>6875</v>
      </c>
      <c r="K1259" s="214" t="s">
        <v>48</v>
      </c>
      <c r="L1259" s="200" t="s">
        <v>49</v>
      </c>
      <c r="M1259" s="212" t="s">
        <v>6902</v>
      </c>
      <c r="N1259" s="3" t="str">
        <f t="shared" si="23"/>
        <v>POST /operationalServices/internalBankAccountv1/corporate/authorizations/transfer/online/get</v>
      </c>
      <c r="O1259" s="40" t="s">
        <v>6903</v>
      </c>
      <c r="P1259" s="40"/>
      <c r="Q1259" s="61" t="s">
        <v>98</v>
      </c>
      <c r="R1259" s="31" t="s">
        <v>56</v>
      </c>
      <c r="S1259" s="38" t="str">
        <f t="shared" si="24"/>
        <v>https://github.com/SF-Bancoppel/mx-api-bc-dom-int-bnk-acnt-corp</v>
      </c>
      <c r="T1259" s="40"/>
      <c r="U1259" s="40"/>
      <c r="V1259" s="40"/>
      <c r="W1259" s="40"/>
      <c r="X1259" s="40"/>
      <c r="Y1259" s="40"/>
      <c r="Z1259" s="40"/>
      <c r="AA1259" s="40"/>
      <c r="AB1259" s="40"/>
    </row>
    <row r="1260" ht="18.75" customHeight="1">
      <c r="A1260" s="18" t="str">
        <f t="array" ref="A1260">IFERROR(
  INDEX(
    'api-register-id'!A:A,
    MATCH(F1260, 'api-register-id'!B:B, 0)
  ),
  "Not found Organization"
)</f>
        <v>Empresa Net</v>
      </c>
      <c r="B1260" s="22" t="str">
        <f>IFERROR(VLOOKUP(F1260, 'api-register-id'!B:F, 4, FALSE), "Not found path.")</f>
        <v>mx-api-bc-dom-int-bnk-acnt-corp</v>
      </c>
      <c r="C1260" s="200" t="s">
        <v>41</v>
      </c>
      <c r="D1260" s="200" t="s">
        <v>119</v>
      </c>
      <c r="E1260" s="24" t="str">
        <f>IFERROR(VLOOKUP(F1260, 'api-register-id'!B:F, 5, FALSE), "Not found path.")</f>
        <v>APIMX000189</v>
      </c>
      <c r="F1260" s="25" t="s">
        <v>2926</v>
      </c>
      <c r="G1260" s="26" t="s">
        <v>6904</v>
      </c>
      <c r="H1260" s="205" t="s">
        <v>6905</v>
      </c>
      <c r="I1260" s="29" t="str">
        <f>IFERROR(VLOOKUP(F1260, 'api-register-id'!B:I, 8, FALSE), "Not found path.")</f>
        <v>1.0.0</v>
      </c>
      <c r="J1260" s="1" t="s">
        <v>6875</v>
      </c>
      <c r="K1260" s="214" t="s">
        <v>48</v>
      </c>
      <c r="L1260" s="200" t="s">
        <v>49</v>
      </c>
      <c r="M1260" s="212" t="s">
        <v>6906</v>
      </c>
      <c r="N1260" s="3" t="str">
        <f t="shared" si="23"/>
        <v>POST /operationalServices/internalBankAccountv1/corporate/authorizations/transfer/history/get</v>
      </c>
      <c r="O1260" s="40" t="s">
        <v>6907</v>
      </c>
      <c r="P1260" s="40"/>
      <c r="Q1260" s="61" t="s">
        <v>98</v>
      </c>
      <c r="R1260" s="31" t="s">
        <v>56</v>
      </c>
      <c r="S1260" s="38" t="str">
        <f t="shared" si="24"/>
        <v>https://github.com/SF-Bancoppel/mx-api-bc-dom-int-bnk-acnt-corp</v>
      </c>
      <c r="T1260" s="40"/>
      <c r="U1260" s="40"/>
      <c r="V1260" s="40"/>
      <c r="W1260" s="40"/>
      <c r="X1260" s="40"/>
      <c r="Y1260" s="40"/>
      <c r="Z1260" s="40"/>
      <c r="AA1260" s="40"/>
      <c r="AB1260" s="40"/>
    </row>
    <row r="1261" ht="18.75" customHeight="1">
      <c r="A1261" s="256"/>
      <c r="B1261" s="257"/>
      <c r="C1261" s="258"/>
      <c r="D1261" s="258"/>
      <c r="E1261" s="259"/>
      <c r="F1261" s="260"/>
      <c r="G1261" s="261"/>
      <c r="H1261" s="262"/>
      <c r="I1261" s="263"/>
      <c r="J1261" s="249"/>
      <c r="K1261" s="264"/>
      <c r="L1261" s="258"/>
      <c r="M1261" s="265"/>
      <c r="N1261" s="266"/>
      <c r="O1261" s="249"/>
      <c r="P1261" s="249"/>
      <c r="Q1261" s="267"/>
      <c r="R1261" s="259"/>
      <c r="S1261" s="249"/>
      <c r="T1261" s="249"/>
      <c r="U1261" s="249"/>
      <c r="V1261" s="249"/>
      <c r="W1261" s="249"/>
      <c r="X1261" s="249"/>
      <c r="Y1261" s="249"/>
      <c r="Z1261" s="249"/>
      <c r="AA1261" s="249"/>
      <c r="AB1261" s="249"/>
    </row>
    <row r="1262" ht="18.75" customHeight="1">
      <c r="A1262" s="18" t="str">
        <f t="array" ref="A1262">IFERROR(
  INDEX(
    'api-register-id'!A:A,
    MATCH(F1262, 'api-register-id'!B:B, 0)
  ),
  "Not found Organization"
)</f>
        <v>Empresa Net</v>
      </c>
      <c r="B1262" s="22" t="str">
        <f>IFERROR(VLOOKUP(F1262, 'api-register-id'!B:F, 4, FALSE), "Not found path.")</f>
        <v>mx-api-bc-dom-int-bnk-acnt-corp</v>
      </c>
      <c r="C1262" s="200" t="s">
        <v>41</v>
      </c>
      <c r="D1262" s="200" t="s">
        <v>119</v>
      </c>
      <c r="E1262" s="24" t="str">
        <f>IFERROR(VLOOKUP(F1262, 'api-register-id'!B:F, 5, FALSE), "Not found path.")</f>
        <v>APIMX000189</v>
      </c>
      <c r="F1262" s="204" t="s">
        <v>2926</v>
      </c>
      <c r="G1262" s="26" t="s">
        <v>6908</v>
      </c>
      <c r="H1262" s="205" t="s">
        <v>6894</v>
      </c>
      <c r="I1262" s="29" t="str">
        <f>IFERROR(VLOOKUP(F1262, 'api-register-id'!B:I, 8, FALSE), "Not found path.")</f>
        <v>1.0.0</v>
      </c>
      <c r="J1262" s="40" t="s">
        <v>6875</v>
      </c>
      <c r="K1262" s="211" t="s">
        <v>48</v>
      </c>
      <c r="L1262" s="200" t="s">
        <v>49</v>
      </c>
      <c r="M1262" s="212" t="s">
        <v>6895</v>
      </c>
      <c r="N1262" s="3" t="str">
        <f t="shared" ref="N1262:N1263" si="25">CONCATENATE(L1262," ",J1262,M1262)</f>
        <v>POST /operationalServices/internalBankAccount/v1/corporate/authorizations/transfer/online/sign</v>
      </c>
      <c r="O1262" s="40" t="s">
        <v>6896</v>
      </c>
      <c r="P1262" s="40"/>
      <c r="Q1262" s="61" t="s">
        <v>98</v>
      </c>
      <c r="R1262" s="31" t="s">
        <v>56</v>
      </c>
      <c r="S1262" s="38" t="str">
        <f t="shared" ref="S1262:S1263" si="26">"https://github.com/SF-Bancoppel/"&amp;B1262</f>
        <v>https://github.com/SF-Bancoppel/mx-api-bc-dom-int-bnk-acnt-corp</v>
      </c>
      <c r="T1262" s="40"/>
      <c r="U1262" s="40"/>
      <c r="V1262" s="40"/>
      <c r="W1262" s="40"/>
      <c r="X1262" s="40"/>
      <c r="Y1262" s="40"/>
      <c r="Z1262" s="40"/>
      <c r="AA1262" s="40"/>
      <c r="AB1262" s="40"/>
    </row>
    <row r="1263" ht="18.75" customHeight="1">
      <c r="A1263" s="18" t="str">
        <f t="array" ref="A1263">IFERROR(
  INDEX(
    'api-register-id'!A:A,
    MATCH(F1263, 'api-register-id'!B:B, 0)
  ),
  "Not found Organization"
)</f>
        <v>Empresa Net</v>
      </c>
      <c r="B1263" s="22" t="str">
        <f>IFERROR(VLOOKUP(F1263, 'api-register-id'!B:F, 4, FALSE), "Not found path.")</f>
        <v>mx-api-bc-dom-int-bnk-acnt-corp</v>
      </c>
      <c r="C1263" s="200" t="s">
        <v>41</v>
      </c>
      <c r="D1263" s="200" t="s">
        <v>119</v>
      </c>
      <c r="E1263" s="24" t="str">
        <f>IFERROR(VLOOKUP(F1263, 'api-register-id'!B:F, 5, FALSE), "Not found path.")</f>
        <v>APIMX000189</v>
      </c>
      <c r="F1263" s="204" t="s">
        <v>2926</v>
      </c>
      <c r="G1263" s="26" t="s">
        <v>6909</v>
      </c>
      <c r="H1263" s="205" t="s">
        <v>6886</v>
      </c>
      <c r="I1263" s="29" t="str">
        <f>IFERROR(VLOOKUP(F1263, 'api-register-id'!B:I, 8, FALSE), "Not found path.")</f>
        <v>1.0.0</v>
      </c>
      <c r="J1263" s="40" t="s">
        <v>6875</v>
      </c>
      <c r="K1263" s="211" t="s">
        <v>48</v>
      </c>
      <c r="L1263" s="200" t="s">
        <v>49</v>
      </c>
      <c r="M1263" s="212" t="s">
        <v>6887</v>
      </c>
      <c r="N1263" s="3" t="str">
        <f t="shared" si="25"/>
        <v>POST /operationalServices/internalBankAccount/v1/corporate/transfer/spei</v>
      </c>
      <c r="O1263" s="40" t="s">
        <v>6910</v>
      </c>
      <c r="P1263" s="40"/>
      <c r="Q1263" s="61" t="s">
        <v>98</v>
      </c>
      <c r="R1263" s="31" t="s">
        <v>56</v>
      </c>
      <c r="S1263" s="38" t="str">
        <f t="shared" si="26"/>
        <v>https://github.com/SF-Bancoppel/mx-api-bc-dom-int-bnk-acnt-corp</v>
      </c>
      <c r="T1263" s="40"/>
      <c r="U1263" s="40"/>
      <c r="V1263" s="40"/>
      <c r="W1263" s="40"/>
      <c r="X1263" s="40"/>
      <c r="Y1263" s="40"/>
      <c r="Z1263" s="40"/>
      <c r="AA1263" s="40"/>
      <c r="AB1263" s="40"/>
    </row>
    <row r="1264" ht="18.75" customHeight="1">
      <c r="A1264" s="256"/>
      <c r="B1264" s="257"/>
      <c r="C1264" s="258"/>
      <c r="D1264" s="258"/>
      <c r="E1264" s="259"/>
      <c r="F1264" s="260"/>
      <c r="G1264" s="261"/>
      <c r="H1264" s="262"/>
      <c r="I1264" s="263"/>
      <c r="J1264" s="249"/>
      <c r="K1264" s="264"/>
      <c r="L1264" s="258"/>
      <c r="M1264" s="265"/>
      <c r="N1264" s="266"/>
      <c r="O1264" s="249"/>
      <c r="P1264" s="249"/>
      <c r="Q1264" s="267"/>
      <c r="R1264" s="259"/>
      <c r="S1264" s="249"/>
      <c r="T1264" s="249"/>
      <c r="U1264" s="249"/>
      <c r="V1264" s="249"/>
      <c r="W1264" s="249"/>
      <c r="X1264" s="249"/>
      <c r="Y1264" s="249"/>
      <c r="Z1264" s="249"/>
      <c r="AA1264" s="249"/>
      <c r="AB1264" s="249"/>
    </row>
    <row r="1265" ht="18.75" customHeight="1">
      <c r="A1265" s="18" t="str">
        <f t="array" ref="A1265">IFERROR(
  INDEX(
    'api-register-id'!A:A,
    MATCH(F1265, 'api-register-id'!B:B, 0)
  ),
  "Not found Organization"
)</f>
        <v>Empresa Net</v>
      </c>
      <c r="B1265" s="22" t="str">
        <f>IFERROR(VLOOKUP(F1265, 'api-register-id'!B:F, 4, FALSE), "Not found path.")</f>
        <v>mx-api-bc-rec-int-bnk-acnt-corp</v>
      </c>
      <c r="C1265" s="200" t="s">
        <v>112</v>
      </c>
      <c r="D1265" s="200" t="s">
        <v>1417</v>
      </c>
      <c r="E1265" s="24" t="str">
        <f>IFERROR(VLOOKUP(F1265, 'api-register-id'!B:F, 5, FALSE), "Not found path.")</f>
        <v>APIMX000190</v>
      </c>
      <c r="F1265" s="204" t="s">
        <v>2969</v>
      </c>
      <c r="G1265" s="26" t="s">
        <v>6911</v>
      </c>
      <c r="H1265" s="205" t="s">
        <v>6912</v>
      </c>
      <c r="I1265" s="29" t="str">
        <f>IFERROR(VLOOKUP(F1265, 'api-register-id'!B:I, 8, FALSE), "Not found path.")</f>
        <v/>
      </c>
      <c r="J1265" s="1" t="s">
        <v>6913</v>
      </c>
      <c r="K1265" s="214" t="s">
        <v>48</v>
      </c>
      <c r="L1265" s="200" t="s">
        <v>49</v>
      </c>
      <c r="M1265" s="212" t="s">
        <v>6876</v>
      </c>
      <c r="N1265" s="3" t="str">
        <f t="shared" ref="N1265:N1274" si="27">CONCATENATE(L1265," ",J1265,M1265)</f>
        <v>POST /experience/operationalServices/internalBankAccount/v1corporate/transfer/validateRules</v>
      </c>
      <c r="O1265" s="40"/>
      <c r="P1265" s="40"/>
      <c r="Q1265" s="61" t="s">
        <v>98</v>
      </c>
      <c r="R1265" s="31" t="s">
        <v>56</v>
      </c>
      <c r="S1265" s="38" t="str">
        <f t="shared" ref="S1265:S1274" si="28">"https://github.com/SF-Bancoppel/"&amp;B1265</f>
        <v>https://github.com/SF-Bancoppel/mx-api-bc-rec-int-bnk-acnt-corp</v>
      </c>
      <c r="T1265" s="40"/>
      <c r="U1265" s="40"/>
      <c r="V1265" s="40"/>
      <c r="W1265" s="40"/>
      <c r="X1265" s="40"/>
      <c r="Y1265" s="40"/>
      <c r="Z1265" s="40"/>
      <c r="AA1265" s="40"/>
      <c r="AB1265" s="40"/>
    </row>
    <row r="1266" ht="18.75" customHeight="1">
      <c r="A1266" s="18" t="str">
        <f t="array" ref="A1266">IFERROR(
  INDEX(
    'api-register-id'!A:A,
    MATCH(F1266, 'api-register-id'!B:B, 0)
  ),
  "Not found Organization"
)</f>
        <v>Empresa Net</v>
      </c>
      <c r="B1266" s="22" t="str">
        <f>IFERROR(VLOOKUP(F1266, 'api-register-id'!B:F, 4, FALSE), "Not found path.")</f>
        <v>mx-api-bc-rec-int-bnk-acnt-corp</v>
      </c>
      <c r="C1266" s="200" t="s">
        <v>112</v>
      </c>
      <c r="D1266" s="200" t="s">
        <v>1417</v>
      </c>
      <c r="E1266" s="24" t="str">
        <f>IFERROR(VLOOKUP(F1266, 'api-register-id'!B:F, 5, FALSE), "Not found path.")</f>
        <v>APIMX000190</v>
      </c>
      <c r="F1266" s="25" t="s">
        <v>2969</v>
      </c>
      <c r="G1266" s="26" t="s">
        <v>6914</v>
      </c>
      <c r="H1266" s="205" t="s">
        <v>6915</v>
      </c>
      <c r="I1266" s="29" t="str">
        <f>IFERROR(VLOOKUP(F1266, 'api-register-id'!B:I, 8, FALSE), "Not found path.")</f>
        <v/>
      </c>
      <c r="J1266" s="1" t="s">
        <v>6913</v>
      </c>
      <c r="K1266" s="214" t="s">
        <v>48</v>
      </c>
      <c r="L1266" s="200" t="s">
        <v>49</v>
      </c>
      <c r="M1266" s="212" t="s">
        <v>6879</v>
      </c>
      <c r="N1266" s="3" t="str">
        <f t="shared" si="27"/>
        <v>POST /experience/operationalServices/internalBankAccount/v1/corporate/transfer/validateRules</v>
      </c>
      <c r="O1266" s="40" t="s">
        <v>6880</v>
      </c>
      <c r="P1266" s="40"/>
      <c r="Q1266" s="61" t="s">
        <v>98</v>
      </c>
      <c r="R1266" s="31" t="s">
        <v>56</v>
      </c>
      <c r="S1266" s="38" t="str">
        <f t="shared" si="28"/>
        <v>https://github.com/SF-Bancoppel/mx-api-bc-rec-int-bnk-acnt-corp</v>
      </c>
      <c r="T1266" s="40"/>
      <c r="U1266" s="40"/>
      <c r="V1266" s="40"/>
      <c r="W1266" s="40"/>
      <c r="X1266" s="40"/>
      <c r="Y1266" s="40"/>
      <c r="Z1266" s="40"/>
      <c r="AA1266" s="40"/>
      <c r="AB1266" s="40"/>
    </row>
    <row r="1267" ht="18.75" customHeight="1">
      <c r="A1267" s="18" t="str">
        <f t="array" ref="A1267">IFERROR(
  INDEX(
    'api-register-id'!A:A,
    MATCH(F1267, 'api-register-id'!B:B, 0)
  ),
  "Not found Organization"
)</f>
        <v>Empresa Net</v>
      </c>
      <c r="B1267" s="22" t="str">
        <f>IFERROR(VLOOKUP(F1267, 'api-register-id'!B:F, 4, FALSE), "Not found path.")</f>
        <v>mx-api-bc-rec-int-bnk-acnt-corp</v>
      </c>
      <c r="C1267" s="200" t="s">
        <v>112</v>
      </c>
      <c r="D1267" s="200" t="s">
        <v>1417</v>
      </c>
      <c r="E1267" s="24" t="str">
        <f>IFERROR(VLOOKUP(F1267, 'api-register-id'!B:F, 5, FALSE), "Not found path.")</f>
        <v>APIMX000190</v>
      </c>
      <c r="F1267" s="25" t="s">
        <v>2969</v>
      </c>
      <c r="G1267" s="26" t="s">
        <v>6916</v>
      </c>
      <c r="H1267" s="205" t="s">
        <v>6917</v>
      </c>
      <c r="I1267" s="29" t="str">
        <f>IFERROR(VLOOKUP(F1267, 'api-register-id'!B:I, 8, FALSE), "Not found path.")</f>
        <v/>
      </c>
      <c r="J1267" s="1" t="s">
        <v>6913</v>
      </c>
      <c r="K1267" s="214" t="s">
        <v>48</v>
      </c>
      <c r="L1267" s="200" t="s">
        <v>49</v>
      </c>
      <c r="M1267" s="212" t="s">
        <v>6883</v>
      </c>
      <c r="N1267" s="3" t="str">
        <f t="shared" si="27"/>
        <v>POST /experience/operationalServices/internalBankAccount/v1/corporate/transfer/own</v>
      </c>
      <c r="O1267" s="40" t="s">
        <v>6884</v>
      </c>
      <c r="P1267" s="40"/>
      <c r="Q1267" s="61" t="s">
        <v>98</v>
      </c>
      <c r="R1267" s="31" t="s">
        <v>56</v>
      </c>
      <c r="S1267" s="38" t="str">
        <f t="shared" si="28"/>
        <v>https://github.com/SF-Bancoppel/mx-api-bc-rec-int-bnk-acnt-corp</v>
      </c>
      <c r="T1267" s="40"/>
      <c r="U1267" s="40"/>
      <c r="V1267" s="40"/>
      <c r="W1267" s="40"/>
      <c r="X1267" s="40"/>
      <c r="Y1267" s="40"/>
      <c r="Z1267" s="40"/>
      <c r="AA1267" s="40"/>
      <c r="AB1267" s="40"/>
    </row>
    <row r="1268" ht="18.75" customHeight="1">
      <c r="A1268" s="18" t="str">
        <f t="array" ref="A1268">IFERROR(
  INDEX(
    'api-register-id'!A:A,
    MATCH(F1268, 'api-register-id'!B:B, 0)
  ),
  "Not found Organization"
)</f>
        <v>Empresa Net</v>
      </c>
      <c r="B1268" s="22" t="str">
        <f>IFERROR(VLOOKUP(F1268, 'api-register-id'!B:F, 4, FALSE), "Not found path.")</f>
        <v>mx-api-bc-rec-int-bnk-acnt-corp</v>
      </c>
      <c r="C1268" s="200" t="s">
        <v>112</v>
      </c>
      <c r="D1268" s="200" t="s">
        <v>1417</v>
      </c>
      <c r="E1268" s="24" t="str">
        <f>IFERROR(VLOOKUP(F1268, 'api-register-id'!B:F, 5, FALSE), "Not found path.")</f>
        <v>APIMX000190</v>
      </c>
      <c r="F1268" s="25" t="s">
        <v>2969</v>
      </c>
      <c r="G1268" s="26" t="s">
        <v>6918</v>
      </c>
      <c r="H1268" s="205" t="s">
        <v>6919</v>
      </c>
      <c r="I1268" s="29" t="str">
        <f>IFERROR(VLOOKUP(F1268, 'api-register-id'!B:I, 8, FALSE), "Not found path.")</f>
        <v/>
      </c>
      <c r="J1268" s="1" t="s">
        <v>6913</v>
      </c>
      <c r="K1268" s="214" t="s">
        <v>48</v>
      </c>
      <c r="L1268" s="200" t="s">
        <v>49</v>
      </c>
      <c r="M1268" s="212" t="s">
        <v>6887</v>
      </c>
      <c r="N1268" s="3" t="str">
        <f t="shared" si="27"/>
        <v>POST /experience/operationalServices/internalBankAccount/v1/corporate/transfer/spei</v>
      </c>
      <c r="O1268" s="40" t="s">
        <v>6888</v>
      </c>
      <c r="P1268" s="40"/>
      <c r="Q1268" s="61" t="s">
        <v>98</v>
      </c>
      <c r="R1268" s="31" t="s">
        <v>56</v>
      </c>
      <c r="S1268" s="38" t="str">
        <f t="shared" si="28"/>
        <v>https://github.com/SF-Bancoppel/mx-api-bc-rec-int-bnk-acnt-corp</v>
      </c>
      <c r="T1268" s="40"/>
      <c r="U1268" s="40"/>
      <c r="V1268" s="40"/>
      <c r="W1268" s="40"/>
      <c r="X1268" s="40"/>
      <c r="Y1268" s="40"/>
      <c r="Z1268" s="40"/>
      <c r="AA1268" s="40"/>
      <c r="AB1268" s="40"/>
    </row>
    <row r="1269" ht="18.75" customHeight="1">
      <c r="A1269" s="18" t="str">
        <f t="array" ref="A1269">IFERROR(
  INDEX(
    'api-register-id'!A:A,
    MATCH(F1269, 'api-register-id'!B:B, 0)
  ),
  "Not found Organization"
)</f>
        <v>Empresa Net</v>
      </c>
      <c r="B1269" s="22" t="str">
        <f>IFERROR(VLOOKUP(F1269, 'api-register-id'!B:F, 4, FALSE), "Not found path.")</f>
        <v>mx-api-bc-rec-int-bnk-acnt-corp</v>
      </c>
      <c r="C1269" s="200" t="s">
        <v>112</v>
      </c>
      <c r="D1269" s="200" t="s">
        <v>1417</v>
      </c>
      <c r="E1269" s="24" t="str">
        <f>IFERROR(VLOOKUP(F1269, 'api-register-id'!B:F, 5, FALSE), "Not found path.")</f>
        <v>APIMX000190</v>
      </c>
      <c r="F1269" s="25" t="s">
        <v>2969</v>
      </c>
      <c r="G1269" s="26" t="s">
        <v>6920</v>
      </c>
      <c r="H1269" s="205" t="s">
        <v>6921</v>
      </c>
      <c r="I1269" s="29" t="str">
        <f>IFERROR(VLOOKUP(F1269, 'api-register-id'!B:I, 8, FALSE), "Not found path.")</f>
        <v/>
      </c>
      <c r="J1269" s="1" t="s">
        <v>6913</v>
      </c>
      <c r="K1269" s="214" t="s">
        <v>48</v>
      </c>
      <c r="L1269" s="200" t="s">
        <v>49</v>
      </c>
      <c r="M1269" s="212" t="s">
        <v>6891</v>
      </c>
      <c r="N1269" s="3" t="str">
        <f t="shared" si="27"/>
        <v>POST /experience/operationalServices/internalBankAccount/v1/corporate/products/movements</v>
      </c>
      <c r="O1269" s="40" t="s">
        <v>6892</v>
      </c>
      <c r="P1269" s="40"/>
      <c r="Q1269" s="61" t="s">
        <v>98</v>
      </c>
      <c r="R1269" s="31" t="s">
        <v>56</v>
      </c>
      <c r="S1269" s="38" t="str">
        <f t="shared" si="28"/>
        <v>https://github.com/SF-Bancoppel/mx-api-bc-rec-int-bnk-acnt-corp</v>
      </c>
      <c r="T1269" s="40"/>
      <c r="U1269" s="40"/>
      <c r="V1269" s="40"/>
      <c r="W1269" s="40"/>
      <c r="X1269" s="40"/>
      <c r="Y1269" s="40"/>
      <c r="Z1269" s="40"/>
      <c r="AA1269" s="40"/>
      <c r="AB1269" s="40"/>
    </row>
    <row r="1270" ht="18.75" customHeight="1">
      <c r="A1270" s="18" t="str">
        <f t="array" ref="A1270">IFERROR(
  INDEX(
    'api-register-id'!A:A,
    MATCH(F1270, 'api-register-id'!B:B, 0)
  ),
  "Not found Organization"
)</f>
        <v>Empresa Net</v>
      </c>
      <c r="B1270" s="22" t="str">
        <f>IFERROR(VLOOKUP(F1270, 'api-register-id'!B:F, 4, FALSE), "Not found path.")</f>
        <v>mx-api-bc-rec-int-bnk-acnt-corp</v>
      </c>
      <c r="C1270" s="200" t="s">
        <v>112</v>
      </c>
      <c r="D1270" s="200" t="s">
        <v>1417</v>
      </c>
      <c r="E1270" s="24" t="str">
        <f>IFERROR(VLOOKUP(F1270, 'api-register-id'!B:F, 5, FALSE), "Not found path.")</f>
        <v>APIMX000190</v>
      </c>
      <c r="F1270" s="25" t="s">
        <v>2969</v>
      </c>
      <c r="G1270" s="26" t="s">
        <v>6922</v>
      </c>
      <c r="H1270" s="205" t="s">
        <v>6923</v>
      </c>
      <c r="I1270" s="29" t="str">
        <f>IFERROR(VLOOKUP(F1270, 'api-register-id'!B:I, 8, FALSE), "Not found path.")</f>
        <v/>
      </c>
      <c r="J1270" s="1" t="s">
        <v>6913</v>
      </c>
      <c r="K1270" s="214" t="s">
        <v>48</v>
      </c>
      <c r="L1270" s="200" t="s">
        <v>49</v>
      </c>
      <c r="M1270" s="212" t="s">
        <v>6895</v>
      </c>
      <c r="N1270" s="3" t="str">
        <f t="shared" si="27"/>
        <v>POST /experience/operationalServices/internalBankAccount/v1/corporate/authorizations/transfer/online/sign</v>
      </c>
      <c r="O1270" s="40" t="s">
        <v>6896</v>
      </c>
      <c r="P1270" s="40"/>
      <c r="Q1270" s="61" t="s">
        <v>98</v>
      </c>
      <c r="R1270" s="31" t="s">
        <v>56</v>
      </c>
      <c r="S1270" s="38" t="str">
        <f t="shared" si="28"/>
        <v>https://github.com/SF-Bancoppel/mx-api-bc-rec-int-bnk-acnt-corp</v>
      </c>
      <c r="T1270" s="40"/>
      <c r="U1270" s="40"/>
      <c r="V1270" s="40"/>
      <c r="W1270" s="40"/>
      <c r="X1270" s="40"/>
      <c r="Y1270" s="40"/>
      <c r="Z1270" s="40"/>
      <c r="AA1270" s="40"/>
      <c r="AB1270" s="40"/>
    </row>
    <row r="1271" ht="18.75" customHeight="1">
      <c r="A1271" s="18" t="str">
        <f t="array" ref="A1271">IFERROR(
  INDEX(
    'api-register-id'!A:A,
    MATCH(F1271, 'api-register-id'!B:B, 0)
  ),
  "Not found Organization"
)</f>
        <v>Empresa Net</v>
      </c>
      <c r="B1271" s="22" t="str">
        <f>IFERROR(VLOOKUP(F1271, 'api-register-id'!B:F, 4, FALSE), "Not found path.")</f>
        <v>mx-api-bc-rec-int-bnk-acnt-corp</v>
      </c>
      <c r="C1271" s="200" t="s">
        <v>112</v>
      </c>
      <c r="D1271" s="200" t="s">
        <v>1417</v>
      </c>
      <c r="E1271" s="24" t="str">
        <f>IFERROR(VLOOKUP(F1271, 'api-register-id'!B:F, 5, FALSE), "Not found path.")</f>
        <v>APIMX000190</v>
      </c>
      <c r="F1271" s="25" t="s">
        <v>2969</v>
      </c>
      <c r="G1271" s="26" t="s">
        <v>6924</v>
      </c>
      <c r="H1271" s="205" t="s">
        <v>6925</v>
      </c>
      <c r="I1271" s="29" t="str">
        <f>IFERROR(VLOOKUP(F1271, 'api-register-id'!B:I, 8, FALSE), "Not found path.")</f>
        <v/>
      </c>
      <c r="J1271" s="1" t="s">
        <v>6913</v>
      </c>
      <c r="K1271" s="214" t="s">
        <v>48</v>
      </c>
      <c r="L1271" s="200" t="s">
        <v>49</v>
      </c>
      <c r="M1271" s="212" t="s">
        <v>6898</v>
      </c>
      <c r="N1271" s="3" t="str">
        <f t="shared" si="27"/>
        <v>POST /experience/operationalServices/internalBankAccountv1/corporate/authorizations/transfer/online/cancel</v>
      </c>
      <c r="O1271" s="40" t="s">
        <v>6899</v>
      </c>
      <c r="P1271" s="40"/>
      <c r="Q1271" s="61" t="s">
        <v>98</v>
      </c>
      <c r="R1271" s="31" t="s">
        <v>56</v>
      </c>
      <c r="S1271" s="38" t="str">
        <f t="shared" si="28"/>
        <v>https://github.com/SF-Bancoppel/mx-api-bc-rec-int-bnk-acnt-corp</v>
      </c>
      <c r="T1271" s="40"/>
      <c r="U1271" s="40"/>
      <c r="V1271" s="40"/>
      <c r="W1271" s="40"/>
      <c r="X1271" s="40"/>
      <c r="Y1271" s="40"/>
      <c r="Z1271" s="40"/>
      <c r="AA1271" s="40"/>
      <c r="AB1271" s="40"/>
    </row>
    <row r="1272" ht="18.75" customHeight="1">
      <c r="A1272" s="18" t="str">
        <f t="array" ref="A1272">IFERROR(
  INDEX(
    'api-register-id'!A:A,
    MATCH(F1272, 'api-register-id'!B:B, 0)
  ),
  "Not found Organization"
)</f>
        <v>Empresa Net</v>
      </c>
      <c r="B1272" s="22" t="str">
        <f>IFERROR(VLOOKUP(F1272, 'api-register-id'!B:F, 4, FALSE), "Not found path.")</f>
        <v>mx-api-bc-rec-int-bnk-acnt-corp</v>
      </c>
      <c r="C1272" s="200" t="s">
        <v>112</v>
      </c>
      <c r="D1272" s="200" t="s">
        <v>1417</v>
      </c>
      <c r="E1272" s="24" t="str">
        <f>IFERROR(VLOOKUP(F1272, 'api-register-id'!B:F, 5, FALSE), "Not found path.")</f>
        <v>APIMX000190</v>
      </c>
      <c r="F1272" s="25" t="s">
        <v>2969</v>
      </c>
      <c r="G1272" s="26" t="s">
        <v>6926</v>
      </c>
      <c r="H1272" s="205" t="s">
        <v>6927</v>
      </c>
      <c r="I1272" s="29" t="str">
        <f>IFERROR(VLOOKUP(F1272, 'api-register-id'!B:I, 8, FALSE), "Not found path.")</f>
        <v/>
      </c>
      <c r="J1272" s="1" t="s">
        <v>6913</v>
      </c>
      <c r="K1272" s="214" t="s">
        <v>48</v>
      </c>
      <c r="L1272" s="200" t="s">
        <v>49</v>
      </c>
      <c r="M1272" s="212" t="s">
        <v>6902</v>
      </c>
      <c r="N1272" s="3" t="str">
        <f t="shared" si="27"/>
        <v>POST /experience/operationalServices/internalBankAccountv1/corporate/authorizations/transfer/online/get</v>
      </c>
      <c r="O1272" s="40" t="s">
        <v>6903</v>
      </c>
      <c r="P1272" s="40"/>
      <c r="Q1272" s="61" t="s">
        <v>98</v>
      </c>
      <c r="R1272" s="31" t="s">
        <v>56</v>
      </c>
      <c r="S1272" s="38" t="str">
        <f t="shared" si="28"/>
        <v>https://github.com/SF-Bancoppel/mx-api-bc-rec-int-bnk-acnt-corp</v>
      </c>
      <c r="T1272" s="40"/>
      <c r="U1272" s="40"/>
      <c r="V1272" s="40"/>
      <c r="W1272" s="40"/>
      <c r="X1272" s="40"/>
      <c r="Y1272" s="40"/>
      <c r="Z1272" s="40"/>
      <c r="AA1272" s="40"/>
      <c r="AB1272" s="40"/>
    </row>
    <row r="1273" ht="18.75" customHeight="1">
      <c r="A1273" s="18" t="str">
        <f t="array" ref="A1273">IFERROR(
  INDEX(
    'api-register-id'!A:A,
    MATCH(F1273, 'api-register-id'!B:B, 0)
  ),
  "Not found Organization"
)</f>
        <v>Empresa Net</v>
      </c>
      <c r="B1273" s="22" t="str">
        <f>IFERROR(VLOOKUP(F1273, 'api-register-id'!B:F, 4, FALSE), "Not found path.")</f>
        <v>mx-api-bc-rec-int-bnk-acnt-corp</v>
      </c>
      <c r="C1273" s="200" t="s">
        <v>112</v>
      </c>
      <c r="D1273" s="200" t="s">
        <v>1417</v>
      </c>
      <c r="E1273" s="24" t="str">
        <f>IFERROR(VLOOKUP(F1273, 'api-register-id'!B:F, 5, FALSE), "Not found path.")</f>
        <v>APIMX000190</v>
      </c>
      <c r="F1273" s="25" t="s">
        <v>2969</v>
      </c>
      <c r="G1273" s="26" t="s">
        <v>6928</v>
      </c>
      <c r="H1273" s="205" t="s">
        <v>6929</v>
      </c>
      <c r="I1273" s="29" t="str">
        <f>IFERROR(VLOOKUP(F1273, 'api-register-id'!B:I, 8, FALSE), "Not found path.")</f>
        <v/>
      </c>
      <c r="J1273" s="1" t="s">
        <v>6913</v>
      </c>
      <c r="K1273" s="214" t="s">
        <v>48</v>
      </c>
      <c r="L1273" s="200" t="s">
        <v>49</v>
      </c>
      <c r="M1273" s="212" t="s">
        <v>6906</v>
      </c>
      <c r="N1273" s="3" t="str">
        <f t="shared" si="27"/>
        <v>POST /experience/operationalServices/internalBankAccountv1/corporate/authorizations/transfer/history/get</v>
      </c>
      <c r="O1273" s="40" t="s">
        <v>6907</v>
      </c>
      <c r="P1273" s="40"/>
      <c r="Q1273" s="61" t="s">
        <v>98</v>
      </c>
      <c r="R1273" s="31" t="s">
        <v>56</v>
      </c>
      <c r="S1273" s="38" t="str">
        <f t="shared" si="28"/>
        <v>https://github.com/SF-Bancoppel/mx-api-bc-rec-int-bnk-acnt-corp</v>
      </c>
      <c r="T1273" s="40"/>
      <c r="U1273" s="40"/>
      <c r="V1273" s="40"/>
      <c r="W1273" s="40"/>
      <c r="X1273" s="40"/>
      <c r="Y1273" s="40"/>
      <c r="Z1273" s="40"/>
      <c r="AA1273" s="40"/>
      <c r="AB1273" s="40"/>
    </row>
    <row r="1274" ht="18.75" customHeight="1">
      <c r="A1274" s="18" t="str">
        <f t="array" ref="A1274">IFERROR(
  INDEX(
    'api-register-id'!A:A,
    MATCH(F1274, 'api-register-id'!B:B, 0)
  ),
  "Not found Organization"
)</f>
        <v>Empresa Net</v>
      </c>
      <c r="B1274" s="22" t="str">
        <f>IFERROR(VLOOKUP(F1274, 'api-register-id'!B:F, 4, FALSE), "Not found path.")</f>
        <v>mx-api-bc-rec-int-bnk-acnt-corp</v>
      </c>
      <c r="C1274" s="200" t="s">
        <v>112</v>
      </c>
      <c r="D1274" s="200" t="s">
        <v>1417</v>
      </c>
      <c r="E1274" s="24" t="str">
        <f>IFERROR(VLOOKUP(F1274, 'api-register-id'!B:F, 5, FALSE), "Not found path.")</f>
        <v>APIMX000190</v>
      </c>
      <c r="F1274" s="204" t="s">
        <v>2969</v>
      </c>
      <c r="G1274" s="26" t="s">
        <v>6930</v>
      </c>
      <c r="H1274" s="205" t="s">
        <v>6915</v>
      </c>
      <c r="I1274" s="29" t="str">
        <f>IFERROR(VLOOKUP(F1274, 'api-register-id'!B:I, 8, FALSE), "Not found path.")</f>
        <v/>
      </c>
      <c r="J1274" s="1" t="s">
        <v>6913</v>
      </c>
      <c r="K1274" s="214" t="s">
        <v>48</v>
      </c>
      <c r="L1274" s="200" t="s">
        <v>49</v>
      </c>
      <c r="M1274" s="212" t="s">
        <v>6879</v>
      </c>
      <c r="N1274" s="3" t="str">
        <f t="shared" si="27"/>
        <v>POST /experience/operationalServices/internalBankAccount/v1/corporate/transfer/validateRules</v>
      </c>
      <c r="O1274" s="40" t="s">
        <v>6880</v>
      </c>
      <c r="P1274" s="40"/>
      <c r="Q1274" s="61" t="s">
        <v>98</v>
      </c>
      <c r="R1274" s="31" t="s">
        <v>56</v>
      </c>
      <c r="S1274" s="38" t="str">
        <f t="shared" si="28"/>
        <v>https://github.com/SF-Bancoppel/mx-api-bc-rec-int-bnk-acnt-corp</v>
      </c>
      <c r="T1274" s="40"/>
      <c r="U1274" s="40"/>
      <c r="V1274" s="40"/>
      <c r="W1274" s="40"/>
      <c r="X1274" s="40"/>
      <c r="Y1274" s="40"/>
      <c r="Z1274" s="40"/>
      <c r="AA1274" s="40"/>
      <c r="AB1274" s="40"/>
    </row>
    <row r="1275" ht="18.75" customHeight="1">
      <c r="A1275" s="256"/>
      <c r="B1275" s="257"/>
      <c r="C1275" s="258"/>
      <c r="D1275" s="258"/>
      <c r="E1275" s="259"/>
      <c r="F1275" s="260"/>
      <c r="G1275" s="261" t="s">
        <v>6931</v>
      </c>
      <c r="H1275" s="262"/>
      <c r="I1275" s="263"/>
      <c r="J1275" s="284"/>
      <c r="K1275" s="283"/>
      <c r="L1275" s="258"/>
      <c r="M1275" s="265"/>
      <c r="N1275" s="266"/>
      <c r="O1275" s="249"/>
      <c r="P1275" s="249"/>
      <c r="Q1275" s="267"/>
      <c r="R1275" s="259"/>
      <c r="S1275" s="249"/>
      <c r="T1275" s="249"/>
      <c r="U1275" s="249"/>
      <c r="V1275" s="249"/>
      <c r="W1275" s="249"/>
      <c r="X1275" s="249"/>
      <c r="Y1275" s="249"/>
      <c r="Z1275" s="249"/>
      <c r="AA1275" s="249"/>
      <c r="AB1275" s="249"/>
    </row>
    <row r="1276" ht="18.75" customHeight="1">
      <c r="A1276" s="18" t="str">
        <f t="array" ref="A1276">IFERROR(
  INDEX(
    'api-register-id'!A:A,
    MATCH(F1276, 'api-register-id'!B:B, 0)
  ),
  "Not found Organization"
)</f>
        <v>Empresa Net</v>
      </c>
      <c r="B1276" s="22" t="str">
        <f>IFERROR(VLOOKUP(F1276, 'api-register-id'!B:F, 4, FALSE), "Not found path.")</f>
        <v>mx-api-bc-rec-int-bnk-acnt-corp</v>
      </c>
      <c r="C1276" s="200" t="s">
        <v>112</v>
      </c>
      <c r="D1276" s="200" t="s">
        <v>1417</v>
      </c>
      <c r="E1276" s="24" t="str">
        <f>IFERROR(VLOOKUP(F1276, 'api-register-id'!B:F, 5, FALSE), "Not found path.")</f>
        <v>APIMX000190</v>
      </c>
      <c r="F1276" s="204" t="s">
        <v>2969</v>
      </c>
      <c r="G1276" s="26" t="s">
        <v>6932</v>
      </c>
      <c r="H1276" s="205" t="s">
        <v>6919</v>
      </c>
      <c r="I1276" s="29" t="str">
        <f>IFERROR(VLOOKUP(F1276, 'api-register-id'!B:I, 8, FALSE), "Not found path.")</f>
        <v/>
      </c>
      <c r="J1276" s="1" t="s">
        <v>6913</v>
      </c>
      <c r="K1276" s="214" t="s">
        <v>48</v>
      </c>
      <c r="L1276" s="200" t="s">
        <v>49</v>
      </c>
      <c r="M1276" s="212" t="s">
        <v>6887</v>
      </c>
      <c r="N1276" s="3" t="str">
        <f>CONCATENATE(L1276," ",J1276,M1276)</f>
        <v>POST /experience/operationalServices/internalBankAccount/v1/corporate/transfer/spei</v>
      </c>
      <c r="O1276" s="40" t="s">
        <v>6888</v>
      </c>
      <c r="P1276" s="40"/>
      <c r="Q1276" s="61" t="s">
        <v>98</v>
      </c>
      <c r="R1276" s="31" t="s">
        <v>56</v>
      </c>
      <c r="S1276" s="38" t="str">
        <f>"https://github.com/SF-Bancoppel/"&amp;B1276</f>
        <v>https://github.com/SF-Bancoppel/mx-api-bc-rec-int-bnk-acnt-corp</v>
      </c>
      <c r="T1276" s="40"/>
      <c r="U1276" s="40"/>
      <c r="V1276" s="40"/>
      <c r="W1276" s="40"/>
      <c r="X1276" s="40"/>
      <c r="Y1276" s="40"/>
      <c r="Z1276" s="40"/>
      <c r="AA1276" s="40"/>
      <c r="AB1276" s="40"/>
    </row>
    <row r="1277" ht="18.75" customHeight="1">
      <c r="A1277" s="256"/>
      <c r="B1277" s="257"/>
      <c r="C1277" s="258"/>
      <c r="D1277" s="258"/>
      <c r="E1277" s="259"/>
      <c r="F1277" s="260"/>
      <c r="G1277" s="261" t="s">
        <v>6933</v>
      </c>
      <c r="H1277" s="262"/>
      <c r="I1277" s="263"/>
      <c r="J1277" s="284"/>
      <c r="K1277" s="283"/>
      <c r="L1277" s="258"/>
      <c r="M1277" s="265"/>
      <c r="N1277" s="266"/>
      <c r="O1277" s="249"/>
      <c r="P1277" s="249"/>
      <c r="Q1277" s="267"/>
      <c r="R1277" s="259"/>
      <c r="S1277" s="249"/>
      <c r="T1277" s="249"/>
      <c r="U1277" s="249"/>
      <c r="V1277" s="249"/>
      <c r="W1277" s="249"/>
      <c r="X1277" s="249"/>
      <c r="Y1277" s="249"/>
      <c r="Z1277" s="249"/>
      <c r="AA1277" s="249"/>
      <c r="AB1277" s="249"/>
    </row>
    <row r="1278" ht="18.75" customHeight="1">
      <c r="A1278" s="18" t="str">
        <f t="array" ref="A1278">IFERROR(
  INDEX(
    'api-register-id'!A:A,
    MATCH(F1278, 'api-register-id'!B:B, 0)
  ),
  "Not found Organization"
)</f>
        <v>Empresa Net</v>
      </c>
      <c r="B1278" s="22" t="str">
        <f>IFERROR(VLOOKUP(F1278, 'api-register-id'!B:F, 4, FALSE), "Not found path.")</f>
        <v>mx-api-bc-rec-int-bnk-acnt-corp</v>
      </c>
      <c r="C1278" s="200" t="s">
        <v>112</v>
      </c>
      <c r="D1278" s="200" t="s">
        <v>1417</v>
      </c>
      <c r="E1278" s="24" t="str">
        <f>IFERROR(VLOOKUP(F1278, 'api-register-id'!B:F, 5, FALSE), "Not found path.")</f>
        <v>APIMX000190</v>
      </c>
      <c r="F1278" s="204" t="s">
        <v>2969</v>
      </c>
      <c r="G1278" s="26" t="s">
        <v>6934</v>
      </c>
      <c r="H1278" s="205" t="s">
        <v>6923</v>
      </c>
      <c r="I1278" s="29" t="str">
        <f>IFERROR(VLOOKUP(F1278, 'api-register-id'!B:I, 8, FALSE), "Not found path.")</f>
        <v/>
      </c>
      <c r="J1278" s="1" t="s">
        <v>6913</v>
      </c>
      <c r="K1278" s="214" t="s">
        <v>48</v>
      </c>
      <c r="L1278" s="200" t="s">
        <v>49</v>
      </c>
      <c r="M1278" s="212" t="s">
        <v>6895</v>
      </c>
      <c r="N1278" s="3" t="str">
        <f>CONCATENATE(L1278," ",J1278,M1278)</f>
        <v>POST /experience/operationalServices/internalBankAccount/v1/corporate/authorizations/transfer/online/sign</v>
      </c>
      <c r="O1278" s="40" t="s">
        <v>6896</v>
      </c>
      <c r="P1278" s="40"/>
      <c r="Q1278" s="61" t="s">
        <v>98</v>
      </c>
      <c r="R1278" s="31" t="s">
        <v>56</v>
      </c>
      <c r="S1278" s="38" t="str">
        <f>"https://github.com/SF-Bancoppel/"&amp;B1278</f>
        <v>https://github.com/SF-Bancoppel/mx-api-bc-rec-int-bnk-acnt-corp</v>
      </c>
      <c r="T1278" s="40"/>
      <c r="U1278" s="40"/>
      <c r="V1278" s="40"/>
      <c r="W1278" s="40"/>
      <c r="X1278" s="40"/>
      <c r="Y1278" s="40"/>
      <c r="Z1278" s="40"/>
      <c r="AA1278" s="40"/>
      <c r="AB1278" s="40"/>
    </row>
    <row r="1279" ht="18.75" customHeight="1">
      <c r="A1279" s="256"/>
      <c r="B1279" s="257"/>
      <c r="C1279" s="258"/>
      <c r="D1279" s="258"/>
      <c r="E1279" s="259"/>
      <c r="F1279" s="260"/>
      <c r="G1279" s="261" t="s">
        <v>6935</v>
      </c>
      <c r="H1279" s="262"/>
      <c r="I1279" s="263"/>
      <c r="J1279" s="284"/>
      <c r="K1279" s="283"/>
      <c r="L1279" s="258"/>
      <c r="M1279" s="265"/>
      <c r="N1279" s="266"/>
      <c r="O1279" s="249"/>
      <c r="P1279" s="249"/>
      <c r="Q1279" s="267"/>
      <c r="R1279" s="259"/>
      <c r="S1279" s="249"/>
      <c r="T1279" s="249"/>
      <c r="U1279" s="257"/>
      <c r="V1279" s="249"/>
      <c r="W1279" s="249"/>
      <c r="X1279" s="249"/>
      <c r="Y1279" s="249"/>
      <c r="Z1279" s="257"/>
      <c r="AA1279" s="257"/>
      <c r="AB1279" s="257"/>
    </row>
    <row r="1280" ht="18.75" customHeight="1">
      <c r="A1280" s="256"/>
      <c r="B1280" s="257"/>
      <c r="C1280" s="258"/>
      <c r="D1280" s="258"/>
      <c r="E1280" s="259"/>
      <c r="F1280" s="260"/>
      <c r="G1280" s="261" t="s">
        <v>6936</v>
      </c>
      <c r="H1280" s="262"/>
      <c r="I1280" s="263"/>
      <c r="J1280" s="284"/>
      <c r="K1280" s="283"/>
      <c r="L1280" s="258"/>
      <c r="M1280" s="265"/>
      <c r="N1280" s="266"/>
      <c r="O1280" s="249"/>
      <c r="P1280" s="249"/>
      <c r="Q1280" s="267"/>
      <c r="R1280" s="259"/>
      <c r="S1280" s="249"/>
      <c r="T1280" s="249"/>
      <c r="U1280" s="257"/>
      <c r="V1280" s="249"/>
      <c r="W1280" s="249"/>
      <c r="X1280" s="249"/>
      <c r="Y1280" s="249"/>
      <c r="Z1280" s="257"/>
      <c r="AA1280" s="257"/>
      <c r="AB1280" s="257"/>
    </row>
    <row r="1281" ht="18.75" customHeight="1">
      <c r="A1281" s="256"/>
      <c r="B1281" s="257"/>
      <c r="C1281" s="258"/>
      <c r="D1281" s="258"/>
      <c r="E1281" s="259"/>
      <c r="F1281" s="260"/>
      <c r="G1281" s="261" t="s">
        <v>6937</v>
      </c>
      <c r="H1281" s="262"/>
      <c r="I1281" s="263"/>
      <c r="J1281" s="284"/>
      <c r="K1281" s="283"/>
      <c r="L1281" s="258"/>
      <c r="M1281" s="265"/>
      <c r="N1281" s="266"/>
      <c r="O1281" s="249"/>
      <c r="P1281" s="249"/>
      <c r="Q1281" s="267"/>
      <c r="R1281" s="259"/>
      <c r="S1281" s="249"/>
      <c r="T1281" s="249"/>
      <c r="U1281" s="257"/>
      <c r="V1281" s="249"/>
      <c r="W1281" s="249"/>
      <c r="X1281" s="249"/>
      <c r="Y1281" s="249"/>
      <c r="Z1281" s="257"/>
      <c r="AA1281" s="257"/>
      <c r="AB1281" s="257"/>
    </row>
    <row r="1282" ht="18.75" customHeight="1">
      <c r="A1282" s="256"/>
      <c r="B1282" s="257"/>
      <c r="C1282" s="258"/>
      <c r="D1282" s="285"/>
      <c r="E1282" s="259"/>
      <c r="F1282" s="260"/>
      <c r="G1282" s="261"/>
      <c r="H1282" s="262"/>
      <c r="I1282" s="263"/>
      <c r="J1282" s="260"/>
      <c r="K1282" s="264"/>
      <c r="L1282" s="285"/>
      <c r="M1282" s="265"/>
      <c r="N1282" s="266"/>
      <c r="O1282" s="249"/>
      <c r="P1282" s="249"/>
      <c r="Q1282" s="267"/>
      <c r="R1282" s="259"/>
      <c r="S1282" s="249"/>
      <c r="T1282" s="249"/>
      <c r="U1282" s="257"/>
      <c r="V1282" s="249"/>
      <c r="W1282" s="249"/>
      <c r="X1282" s="249"/>
      <c r="Y1282" s="249"/>
      <c r="Z1282" s="257"/>
      <c r="AA1282" s="257"/>
      <c r="AB1282" s="257"/>
    </row>
    <row r="1283" ht="18.75" customHeight="1">
      <c r="A1283" s="256"/>
      <c r="B1283" s="257"/>
      <c r="C1283" s="258"/>
      <c r="D1283" s="285"/>
      <c r="E1283" s="259"/>
      <c r="F1283" s="260"/>
      <c r="G1283" s="261"/>
      <c r="H1283" s="262"/>
      <c r="I1283" s="263"/>
      <c r="J1283" s="260"/>
      <c r="K1283" s="264"/>
      <c r="L1283" s="285"/>
      <c r="M1283" s="265"/>
      <c r="N1283" s="266"/>
      <c r="O1283" s="249"/>
      <c r="P1283" s="249"/>
      <c r="Q1283" s="267"/>
      <c r="R1283" s="259"/>
      <c r="S1283" s="249"/>
      <c r="T1283" s="249"/>
      <c r="U1283" s="257"/>
      <c r="V1283" s="249"/>
      <c r="W1283" s="249"/>
      <c r="X1283" s="249"/>
      <c r="Y1283" s="249"/>
      <c r="Z1283" s="257"/>
      <c r="AA1283" s="257"/>
      <c r="AB1283" s="257"/>
    </row>
    <row r="1284" ht="18.75" customHeight="1">
      <c r="A1284" s="256"/>
      <c r="B1284" s="257"/>
      <c r="C1284" s="258"/>
      <c r="D1284" s="285"/>
      <c r="E1284" s="259"/>
      <c r="F1284" s="260"/>
      <c r="G1284" s="261" t="s">
        <v>6938</v>
      </c>
      <c r="H1284" s="262"/>
      <c r="I1284" s="263"/>
      <c r="J1284" s="260"/>
      <c r="K1284" s="264"/>
      <c r="L1284" s="285"/>
      <c r="M1284" s="265"/>
      <c r="N1284" s="266"/>
      <c r="O1284" s="249"/>
      <c r="P1284" s="249"/>
      <c r="Q1284" s="267"/>
      <c r="R1284" s="259"/>
      <c r="S1284" s="249"/>
      <c r="T1284" s="249"/>
      <c r="U1284" s="257"/>
      <c r="V1284" s="249"/>
      <c r="W1284" s="249"/>
      <c r="X1284" s="249"/>
      <c r="Y1284" s="249"/>
      <c r="Z1284" s="257"/>
      <c r="AA1284" s="257"/>
      <c r="AB1284" s="257"/>
    </row>
    <row r="1285" ht="18.75" customHeight="1">
      <c r="A1285" s="256"/>
      <c r="B1285" s="257"/>
      <c r="C1285" s="258"/>
      <c r="D1285" s="258"/>
      <c r="E1285" s="259"/>
      <c r="F1285" s="260"/>
      <c r="G1285" s="261"/>
      <c r="H1285" s="262"/>
      <c r="I1285" s="263"/>
      <c r="J1285" s="286"/>
      <c r="K1285" s="264"/>
      <c r="L1285" s="258"/>
      <c r="M1285" s="265"/>
      <c r="N1285" s="266"/>
      <c r="O1285" s="249"/>
      <c r="P1285" s="249"/>
      <c r="Q1285" s="267"/>
      <c r="R1285" s="259"/>
      <c r="S1285" s="249"/>
      <c r="T1285" s="249"/>
      <c r="U1285" s="257"/>
      <c r="V1285" s="249"/>
      <c r="W1285" s="249"/>
      <c r="X1285" s="249"/>
      <c r="Y1285" s="249"/>
      <c r="Z1285" s="257"/>
      <c r="AA1285" s="257"/>
      <c r="AB1285" s="257"/>
    </row>
    <row r="1286" ht="18.75" customHeight="1">
      <c r="A1286" s="18" t="str">
        <f t="array" ref="A1286">IFERROR(
  INDEX(
    'api-register-id'!A:A,
    MATCH(F1286, 'api-register-id'!B:B, 0)
  ),
  "Not found Organization"
)</f>
        <v>Empresa Net</v>
      </c>
      <c r="B1286" s="22" t="str">
        <f>IFERROR(VLOOKUP(F1286, 'api-register-id'!B:F, 4, FALSE), "Not found path.")</f>
        <v>mx-api-bc-rec-int-bnk-acnt-corp</v>
      </c>
      <c r="C1286" s="200" t="s">
        <v>112</v>
      </c>
      <c r="D1286" s="200" t="s">
        <v>1417</v>
      </c>
      <c r="E1286" s="24" t="str">
        <f>IFERROR(VLOOKUP(F1286, 'api-register-id'!B:F, 5, FALSE), "Not found path.")</f>
        <v>APIMX000190</v>
      </c>
      <c r="F1286" s="204" t="s">
        <v>2969</v>
      </c>
      <c r="G1286" s="26" t="s">
        <v>6939</v>
      </c>
      <c r="H1286" s="205" t="s">
        <v>6923</v>
      </c>
      <c r="I1286" s="29" t="str">
        <f>IFERROR(VLOOKUP(F1286, 'api-register-id'!B:I, 8, FALSE), "Not found path.")</f>
        <v/>
      </c>
      <c r="J1286" s="282" t="s">
        <v>6913</v>
      </c>
      <c r="K1286" s="211" t="s">
        <v>48</v>
      </c>
      <c r="L1286" s="200" t="s">
        <v>49</v>
      </c>
      <c r="M1286" s="212" t="s">
        <v>6895</v>
      </c>
      <c r="N1286" s="3" t="str">
        <f t="shared" ref="N1286:N1287" si="29">CONCATENATE(L1286," ",J1286,M1286)</f>
        <v>POST /experience/operationalServices/internalBankAccount/v1/corporate/authorizations/transfer/online/sign</v>
      </c>
      <c r="O1286" s="40" t="s">
        <v>6896</v>
      </c>
      <c r="P1286" s="40"/>
      <c r="Q1286" s="61" t="s">
        <v>98</v>
      </c>
      <c r="R1286" s="31" t="s">
        <v>56</v>
      </c>
      <c r="S1286" s="38" t="str">
        <f t="shared" ref="S1286:S1287" si="30">"https://github.com/SF-Bancoppel/"&amp;B1286</f>
        <v>https://github.com/SF-Bancoppel/mx-api-bc-rec-int-bnk-acnt-corp</v>
      </c>
      <c r="T1286" s="40"/>
      <c r="U1286" s="22"/>
      <c r="V1286" s="40"/>
      <c r="W1286" s="40"/>
      <c r="X1286" s="40"/>
      <c r="Y1286" s="40"/>
      <c r="Z1286" s="22"/>
      <c r="AA1286" s="22"/>
      <c r="AB1286" s="22"/>
    </row>
    <row r="1287" ht="18.75" customHeight="1">
      <c r="A1287" s="18" t="str">
        <f t="array" ref="A1287">IFERROR(
  INDEX(
    'api-register-id'!A:A,
    MATCH(F1287, 'api-register-id'!B:B, 0)
  ),
  "Not found Organization"
)</f>
        <v>Empresa Net</v>
      </c>
      <c r="B1287" s="22" t="str">
        <f>IFERROR(VLOOKUP(F1287, 'api-register-id'!B:F, 4, FALSE), "Not found path.")</f>
        <v>mx-api-bc-rec-int-bnk-acnt-corp</v>
      </c>
      <c r="C1287" s="200" t="s">
        <v>112</v>
      </c>
      <c r="D1287" s="200" t="s">
        <v>1417</v>
      </c>
      <c r="E1287" s="24" t="str">
        <f>IFERROR(VLOOKUP(F1287, 'api-register-id'!B:F, 5, FALSE), "Not found path.")</f>
        <v>APIMX000190</v>
      </c>
      <c r="F1287" s="204" t="s">
        <v>2969</v>
      </c>
      <c r="G1287" s="26" t="s">
        <v>6940</v>
      </c>
      <c r="H1287" s="205" t="s">
        <v>6919</v>
      </c>
      <c r="I1287" s="29" t="str">
        <f>IFERROR(VLOOKUP(F1287, 'api-register-id'!B:I, 8, FALSE), "Not found path.")</f>
        <v/>
      </c>
      <c r="J1287" s="282" t="s">
        <v>6913</v>
      </c>
      <c r="K1287" s="211" t="s">
        <v>48</v>
      </c>
      <c r="L1287" s="200" t="s">
        <v>49</v>
      </c>
      <c r="M1287" s="212" t="s">
        <v>6887</v>
      </c>
      <c r="N1287" s="3" t="str">
        <f t="shared" si="29"/>
        <v>POST /experience/operationalServices/internalBankAccount/v1/corporate/transfer/spei</v>
      </c>
      <c r="O1287" s="40" t="s">
        <v>6910</v>
      </c>
      <c r="P1287" s="40"/>
      <c r="Q1287" s="61" t="s">
        <v>98</v>
      </c>
      <c r="R1287" s="31" t="s">
        <v>56</v>
      </c>
      <c r="S1287" s="38" t="str">
        <f t="shared" si="30"/>
        <v>https://github.com/SF-Bancoppel/mx-api-bc-rec-int-bnk-acnt-corp</v>
      </c>
      <c r="T1287" s="40"/>
      <c r="U1287" s="22"/>
      <c r="V1287" s="40"/>
      <c r="W1287" s="40"/>
      <c r="X1287" s="40"/>
      <c r="Y1287" s="40"/>
      <c r="Z1287" s="22"/>
      <c r="AA1287" s="22"/>
      <c r="AB1287" s="22"/>
    </row>
    <row r="1288" ht="18.75" customHeight="1">
      <c r="A1288" s="256"/>
      <c r="B1288" s="257"/>
      <c r="C1288" s="258"/>
      <c r="D1288" s="258"/>
      <c r="E1288" s="259"/>
      <c r="F1288" s="260"/>
      <c r="G1288" s="261"/>
      <c r="H1288" s="262"/>
      <c r="I1288" s="263"/>
      <c r="J1288" s="286"/>
      <c r="K1288" s="264"/>
      <c r="L1288" s="258"/>
      <c r="M1288" s="265"/>
      <c r="N1288" s="266"/>
      <c r="O1288" s="249"/>
      <c r="P1288" s="249"/>
      <c r="Q1288" s="267"/>
      <c r="R1288" s="259"/>
      <c r="S1288" s="249"/>
      <c r="T1288" s="249"/>
      <c r="U1288" s="257"/>
      <c r="V1288" s="257"/>
      <c r="W1288" s="249"/>
      <c r="X1288" s="249"/>
      <c r="Y1288" s="249"/>
      <c r="Z1288" s="257"/>
      <c r="AA1288" s="257"/>
      <c r="AB1288" s="257"/>
    </row>
    <row r="1289" ht="18.75" customHeight="1">
      <c r="A1289" s="18" t="str">
        <f t="array" ref="A1289">IFERROR(
  INDEX(
    'api-register-id'!A:A,
    MATCH(F1289, 'api-register-id'!B:B, 0)
  ),
  "Not found Organization"
)</f>
        <v>Empresa Net</v>
      </c>
      <c r="B1289" s="22" t="str">
        <f>IFERROR(VLOOKUP(F1289, 'api-register-id'!B:F, 4, FALSE), "Not found path.")</f>
        <v>mx-api-bc-pro-int-bnk-acnt-corp</v>
      </c>
      <c r="C1289" s="200" t="s">
        <v>41</v>
      </c>
      <c r="D1289" s="200" t="s">
        <v>811</v>
      </c>
      <c r="E1289" s="24" t="str">
        <f>IFERROR(VLOOKUP(F1289, 'api-register-id'!B:F, 5, FALSE), "Not found path.")</f>
        <v>APIMX000191</v>
      </c>
      <c r="F1289" s="204" t="s">
        <v>3016</v>
      </c>
      <c r="G1289" s="26" t="s">
        <v>6941</v>
      </c>
      <c r="H1289" s="205" t="s">
        <v>6942</v>
      </c>
      <c r="I1289" s="29" t="str">
        <f>IFERROR(VLOOKUP(F1289, 'api-register-id'!B:I, 8, FALSE), "Not found path.")</f>
        <v/>
      </c>
      <c r="J1289" s="1" t="s">
        <v>6870</v>
      </c>
      <c r="K1289" s="214" t="s">
        <v>48</v>
      </c>
      <c r="L1289" s="200" t="s">
        <v>49</v>
      </c>
      <c r="M1289" s="212" t="s">
        <v>6876</v>
      </c>
      <c r="N1289" s="3" t="str">
        <f t="shared" ref="N1289:N1355" si="31">CONCATENATE(L1289," ",J1289,M1289)</f>
        <v>POST /system/operationalServices/internalBankAccount/v1corporate/transfer/validateRules</v>
      </c>
      <c r="O1289" s="40"/>
      <c r="P1289" s="40"/>
      <c r="Q1289" s="61" t="s">
        <v>98</v>
      </c>
      <c r="R1289" s="31" t="s">
        <v>56</v>
      </c>
      <c r="S1289" s="38" t="str">
        <f t="shared" ref="S1289:S1355" si="32">"https://github.com/SF-Bancoppel/"&amp;B1289</f>
        <v>https://github.com/SF-Bancoppel/mx-api-bc-pro-int-bnk-acnt-corp</v>
      </c>
      <c r="T1289" s="40"/>
      <c r="U1289" s="22"/>
      <c r="V1289" s="22"/>
      <c r="W1289" s="40"/>
      <c r="X1289" s="40"/>
      <c r="Y1289" s="40"/>
      <c r="Z1289" s="22"/>
      <c r="AA1289" s="22"/>
      <c r="AB1289" s="22"/>
    </row>
    <row r="1290" ht="18.75" customHeight="1">
      <c r="A1290" s="18" t="str">
        <f t="array" ref="A1290">IFERROR(
  INDEX(
    'api-register-id'!A:A,
    MATCH(F1290, 'api-register-id'!B:B, 0)
  ),
  "Not found Organization"
)</f>
        <v>Empresa Net</v>
      </c>
      <c r="B1290" s="22" t="str">
        <f>IFERROR(VLOOKUP(F1290, 'api-register-id'!B:F, 4, FALSE), "Not found path.")</f>
        <v>mx-api-bc-pro-int-bnk-acnt-corp</v>
      </c>
      <c r="C1290" s="200" t="s">
        <v>41</v>
      </c>
      <c r="D1290" s="200" t="s">
        <v>811</v>
      </c>
      <c r="E1290" s="24" t="str">
        <f>IFERROR(VLOOKUP(F1290, 'api-register-id'!B:F, 5, FALSE), "Not found path.")</f>
        <v>APIMX000191</v>
      </c>
      <c r="F1290" s="25" t="s">
        <v>3016</v>
      </c>
      <c r="G1290" s="26" t="s">
        <v>6943</v>
      </c>
      <c r="H1290" s="205" t="s">
        <v>6944</v>
      </c>
      <c r="I1290" s="29" t="str">
        <f>IFERROR(VLOOKUP(F1290, 'api-register-id'!B:I, 8, FALSE), "Not found path.")</f>
        <v/>
      </c>
      <c r="J1290" s="1" t="s">
        <v>6870</v>
      </c>
      <c r="K1290" s="214" t="s">
        <v>48</v>
      </c>
      <c r="L1290" s="200" t="s">
        <v>49</v>
      </c>
      <c r="M1290" s="212" t="s">
        <v>6879</v>
      </c>
      <c r="N1290" s="3" t="str">
        <f t="shared" si="31"/>
        <v>POST /system/operationalServices/internalBankAccount/v1/corporate/transfer/validateRules</v>
      </c>
      <c r="O1290" s="40" t="s">
        <v>6880</v>
      </c>
      <c r="P1290" s="40"/>
      <c r="Q1290" s="61" t="s">
        <v>98</v>
      </c>
      <c r="R1290" s="31" t="s">
        <v>56</v>
      </c>
      <c r="S1290" s="38" t="str">
        <f t="shared" si="32"/>
        <v>https://github.com/SF-Bancoppel/mx-api-bc-pro-int-bnk-acnt-corp</v>
      </c>
      <c r="T1290" s="40"/>
      <c r="U1290" s="40"/>
      <c r="V1290" s="40"/>
      <c r="W1290" s="40"/>
      <c r="X1290" s="40"/>
      <c r="Y1290" s="40"/>
      <c r="Z1290" s="40"/>
      <c r="AA1290" s="40"/>
      <c r="AB1290" s="40"/>
    </row>
    <row r="1291" ht="18.75" customHeight="1">
      <c r="A1291" s="18" t="str">
        <f t="array" ref="A1291">IFERROR(
  INDEX(
    'api-register-id'!A:A,
    MATCH(F1291, 'api-register-id'!B:B, 0)
  ),
  "Not found Organization"
)</f>
        <v>Empresa Net</v>
      </c>
      <c r="B1291" s="22" t="str">
        <f>IFERROR(VLOOKUP(F1291, 'api-register-id'!B:F, 4, FALSE), "Not found path.")</f>
        <v>mx-api-bc-pro-int-bnk-acnt-corp</v>
      </c>
      <c r="C1291" s="200" t="s">
        <v>41</v>
      </c>
      <c r="D1291" s="200" t="s">
        <v>811</v>
      </c>
      <c r="E1291" s="24" t="str">
        <f>IFERROR(VLOOKUP(F1291, 'api-register-id'!B:F, 5, FALSE), "Not found path.")</f>
        <v>APIMX000191</v>
      </c>
      <c r="F1291" s="25" t="s">
        <v>3016</v>
      </c>
      <c r="G1291" s="26" t="s">
        <v>6945</v>
      </c>
      <c r="H1291" s="205" t="s">
        <v>6946</v>
      </c>
      <c r="I1291" s="29" t="str">
        <f>IFERROR(VLOOKUP(F1291, 'api-register-id'!B:I, 8, FALSE), "Not found path.")</f>
        <v/>
      </c>
      <c r="J1291" s="1" t="s">
        <v>6870</v>
      </c>
      <c r="K1291" s="214" t="s">
        <v>48</v>
      </c>
      <c r="L1291" s="200" t="s">
        <v>49</v>
      </c>
      <c r="M1291" s="212" t="s">
        <v>6883</v>
      </c>
      <c r="N1291" s="3" t="str">
        <f t="shared" si="31"/>
        <v>POST /system/operationalServices/internalBankAccount/v1/corporate/transfer/own</v>
      </c>
      <c r="O1291" s="40" t="s">
        <v>6884</v>
      </c>
      <c r="P1291" s="40"/>
      <c r="Q1291" s="61" t="s">
        <v>98</v>
      </c>
      <c r="R1291" s="31" t="s">
        <v>56</v>
      </c>
      <c r="S1291" s="38" t="str">
        <f t="shared" si="32"/>
        <v>https://github.com/SF-Bancoppel/mx-api-bc-pro-int-bnk-acnt-corp</v>
      </c>
      <c r="T1291" s="40"/>
      <c r="U1291" s="22"/>
      <c r="V1291" s="40"/>
      <c r="W1291" s="40"/>
      <c r="X1291" s="40"/>
      <c r="Y1291" s="40"/>
      <c r="Z1291" s="22"/>
      <c r="AA1291" s="22"/>
      <c r="AB1291" s="22"/>
    </row>
    <row r="1292" ht="18.75" customHeight="1">
      <c r="A1292" s="18" t="str">
        <f t="array" ref="A1292">IFERROR(
  INDEX(
    'api-register-id'!A:A,
    MATCH(F1292, 'api-register-id'!B:B, 0)
  ),
  "Not found Organization"
)</f>
        <v>Empresa Net</v>
      </c>
      <c r="B1292" s="22" t="str">
        <f>IFERROR(VLOOKUP(F1292, 'api-register-id'!B:F, 4, FALSE), "Not found path.")</f>
        <v>mx-api-bc-pro-int-bnk-acnt-corp</v>
      </c>
      <c r="C1292" s="200" t="s">
        <v>41</v>
      </c>
      <c r="D1292" s="200" t="s">
        <v>811</v>
      </c>
      <c r="E1292" s="24" t="str">
        <f>IFERROR(VLOOKUP(F1292, 'api-register-id'!B:F, 5, FALSE), "Not found path.")</f>
        <v>APIMX000191</v>
      </c>
      <c r="F1292" s="25" t="s">
        <v>3016</v>
      </c>
      <c r="G1292" s="26" t="s">
        <v>6947</v>
      </c>
      <c r="H1292" s="205" t="s">
        <v>6948</v>
      </c>
      <c r="I1292" s="29" t="str">
        <f>IFERROR(VLOOKUP(F1292, 'api-register-id'!B:I, 8, FALSE), "Not found path.")</f>
        <v/>
      </c>
      <c r="J1292" s="1" t="s">
        <v>6870</v>
      </c>
      <c r="K1292" s="214" t="s">
        <v>48</v>
      </c>
      <c r="L1292" s="200" t="s">
        <v>49</v>
      </c>
      <c r="M1292" s="212" t="s">
        <v>6887</v>
      </c>
      <c r="N1292" s="3" t="str">
        <f t="shared" si="31"/>
        <v>POST /system/operationalServices/internalBankAccount/v1/corporate/transfer/spei</v>
      </c>
      <c r="O1292" s="40" t="s">
        <v>6888</v>
      </c>
      <c r="P1292" s="40"/>
      <c r="Q1292" s="61" t="s">
        <v>98</v>
      </c>
      <c r="R1292" s="31" t="s">
        <v>56</v>
      </c>
      <c r="S1292" s="38" t="str">
        <f t="shared" si="32"/>
        <v>https://github.com/SF-Bancoppel/mx-api-bc-pro-int-bnk-acnt-corp</v>
      </c>
      <c r="T1292" s="40"/>
      <c r="U1292" s="22"/>
      <c r="V1292" s="40"/>
      <c r="W1292" s="40"/>
      <c r="X1292" s="40"/>
      <c r="Y1292" s="40"/>
      <c r="Z1292" s="22"/>
      <c r="AA1292" s="22"/>
      <c r="AB1292" s="22"/>
    </row>
    <row r="1293" ht="18.75" customHeight="1">
      <c r="A1293" s="18" t="str">
        <f t="array" ref="A1293">IFERROR(
  INDEX(
    'api-register-id'!A:A,
    MATCH(F1293, 'api-register-id'!B:B, 0)
  ),
  "Not found Organization"
)</f>
        <v>Empresa Net</v>
      </c>
      <c r="B1293" s="22" t="str">
        <f>IFERROR(VLOOKUP(F1293, 'api-register-id'!B:F, 4, FALSE), "Not found path.")</f>
        <v>mx-api-bc-pro-int-bnk-acnt-corp</v>
      </c>
      <c r="C1293" s="200" t="s">
        <v>41</v>
      </c>
      <c r="D1293" s="200" t="s">
        <v>811</v>
      </c>
      <c r="E1293" s="24" t="str">
        <f>IFERROR(VLOOKUP(F1293, 'api-register-id'!B:F, 5, FALSE), "Not found path.")</f>
        <v>APIMX000191</v>
      </c>
      <c r="F1293" s="25" t="s">
        <v>3016</v>
      </c>
      <c r="G1293" s="26" t="s">
        <v>6949</v>
      </c>
      <c r="H1293" s="205" t="s">
        <v>6950</v>
      </c>
      <c r="I1293" s="29" t="str">
        <f>IFERROR(VLOOKUP(F1293, 'api-register-id'!B:I, 8, FALSE), "Not found path.")</f>
        <v/>
      </c>
      <c r="J1293" s="1" t="s">
        <v>6870</v>
      </c>
      <c r="K1293" s="214" t="s">
        <v>48</v>
      </c>
      <c r="L1293" s="200" t="s">
        <v>49</v>
      </c>
      <c r="M1293" s="212" t="s">
        <v>6891</v>
      </c>
      <c r="N1293" s="3" t="str">
        <f t="shared" si="31"/>
        <v>POST /system/operationalServices/internalBankAccount/v1/corporate/products/movements</v>
      </c>
      <c r="O1293" s="40" t="s">
        <v>6892</v>
      </c>
      <c r="P1293" s="40"/>
      <c r="Q1293" s="61" t="s">
        <v>98</v>
      </c>
      <c r="R1293" s="31" t="s">
        <v>56</v>
      </c>
      <c r="S1293" s="38" t="str">
        <f t="shared" si="32"/>
        <v>https://github.com/SF-Bancoppel/mx-api-bc-pro-int-bnk-acnt-corp</v>
      </c>
      <c r="T1293" s="40"/>
      <c r="U1293" s="22"/>
      <c r="V1293" s="40"/>
      <c r="W1293" s="40"/>
      <c r="X1293" s="40"/>
      <c r="Y1293" s="40"/>
      <c r="Z1293" s="22"/>
      <c r="AA1293" s="22"/>
      <c r="AB1293" s="22"/>
    </row>
    <row r="1294" ht="18.75" customHeight="1">
      <c r="A1294" s="18" t="str">
        <f t="array" ref="A1294">IFERROR(
  INDEX(
    'api-register-id'!A:A,
    MATCH(F1294, 'api-register-id'!B:B, 0)
  ),
  "Not found Organization"
)</f>
        <v>Empresa Net</v>
      </c>
      <c r="B1294" s="22" t="str">
        <f>IFERROR(VLOOKUP(F1294, 'api-register-id'!B:F, 4, FALSE), "Not found path.")</f>
        <v>mx-api-bc-pro-int-bnk-acnt-corp</v>
      </c>
      <c r="C1294" s="200" t="s">
        <v>41</v>
      </c>
      <c r="D1294" s="200" t="s">
        <v>811</v>
      </c>
      <c r="E1294" s="24" t="str">
        <f>IFERROR(VLOOKUP(F1294, 'api-register-id'!B:F, 5, FALSE), "Not found path.")</f>
        <v>APIMX000191</v>
      </c>
      <c r="F1294" s="25" t="s">
        <v>3016</v>
      </c>
      <c r="G1294" s="26" t="s">
        <v>6951</v>
      </c>
      <c r="H1294" s="205" t="s">
        <v>6952</v>
      </c>
      <c r="I1294" s="29" t="str">
        <f>IFERROR(VLOOKUP(F1294, 'api-register-id'!B:I, 8, FALSE), "Not found path.")</f>
        <v/>
      </c>
      <c r="J1294" s="1" t="s">
        <v>6870</v>
      </c>
      <c r="K1294" s="214" t="s">
        <v>48</v>
      </c>
      <c r="L1294" s="200" t="s">
        <v>49</v>
      </c>
      <c r="M1294" s="212" t="s">
        <v>6895</v>
      </c>
      <c r="N1294" s="3" t="str">
        <f t="shared" si="31"/>
        <v>POST /system/operationalServices/internalBankAccount/v1/corporate/authorizations/transfer/online/sign</v>
      </c>
      <c r="O1294" s="40" t="s">
        <v>6896</v>
      </c>
      <c r="P1294" s="40"/>
      <c r="Q1294" s="61" t="s">
        <v>98</v>
      </c>
      <c r="R1294" s="31" t="s">
        <v>56</v>
      </c>
      <c r="S1294" s="38" t="str">
        <f t="shared" si="32"/>
        <v>https://github.com/SF-Bancoppel/mx-api-bc-pro-int-bnk-acnt-corp</v>
      </c>
      <c r="T1294" s="40"/>
      <c r="U1294" s="22"/>
      <c r="V1294" s="40"/>
      <c r="W1294" s="40"/>
      <c r="X1294" s="40"/>
      <c r="Y1294" s="40"/>
      <c r="Z1294" s="22"/>
      <c r="AA1294" s="22"/>
      <c r="AB1294" s="22"/>
    </row>
    <row r="1295" ht="18.75" customHeight="1">
      <c r="A1295" s="18" t="str">
        <f t="array" ref="A1295">IFERROR(
  INDEX(
    'api-register-id'!A:A,
    MATCH(F1295, 'api-register-id'!B:B, 0)
  ),
  "Not found Organization"
)</f>
        <v>Empresa Net</v>
      </c>
      <c r="B1295" s="22" t="str">
        <f>IFERROR(VLOOKUP(F1295, 'api-register-id'!B:F, 4, FALSE), "Not found path.")</f>
        <v>mx-api-bc-pro-int-bnk-acnt-corp</v>
      </c>
      <c r="C1295" s="200" t="s">
        <v>41</v>
      </c>
      <c r="D1295" s="200" t="s">
        <v>811</v>
      </c>
      <c r="E1295" s="24" t="str">
        <f>IFERROR(VLOOKUP(F1295, 'api-register-id'!B:F, 5, FALSE), "Not found path.")</f>
        <v>APIMX000191</v>
      </c>
      <c r="F1295" s="25" t="s">
        <v>3016</v>
      </c>
      <c r="G1295" s="26" t="s">
        <v>6953</v>
      </c>
      <c r="H1295" s="205" t="s">
        <v>6954</v>
      </c>
      <c r="I1295" s="29" t="str">
        <f>IFERROR(VLOOKUP(F1295, 'api-register-id'!B:I, 8, FALSE), "Not found path.")</f>
        <v/>
      </c>
      <c r="J1295" s="1" t="s">
        <v>6870</v>
      </c>
      <c r="K1295" s="214" t="s">
        <v>48</v>
      </c>
      <c r="L1295" s="200" t="s">
        <v>49</v>
      </c>
      <c r="M1295" s="212" t="s">
        <v>6955</v>
      </c>
      <c r="N1295" s="3" t="str">
        <f t="shared" si="31"/>
        <v>POST /system/operationalServices/internalBankAccount/v1/corporate/authorizations/transfer/online/cancel</v>
      </c>
      <c r="O1295" s="40" t="s">
        <v>6899</v>
      </c>
      <c r="P1295" s="40"/>
      <c r="Q1295" s="61" t="s">
        <v>98</v>
      </c>
      <c r="R1295" s="31" t="s">
        <v>56</v>
      </c>
      <c r="S1295" s="38" t="str">
        <f t="shared" si="32"/>
        <v>https://github.com/SF-Bancoppel/mx-api-bc-pro-int-bnk-acnt-corp</v>
      </c>
      <c r="T1295" s="40"/>
      <c r="U1295" s="22"/>
      <c r="V1295" s="40"/>
      <c r="W1295" s="40"/>
      <c r="X1295" s="40"/>
      <c r="Y1295" s="40"/>
      <c r="Z1295" s="22"/>
      <c r="AA1295" s="22"/>
      <c r="AB1295" s="22"/>
    </row>
    <row r="1296" ht="18.75" customHeight="1">
      <c r="A1296" s="18" t="str">
        <f t="array" ref="A1296">IFERROR(
  INDEX(
    'api-register-id'!A:A,
    MATCH(F1296, 'api-register-id'!B:B, 0)
  ),
  "Not found Organization"
)</f>
        <v>Empresa Net</v>
      </c>
      <c r="B1296" s="22" t="str">
        <f>IFERROR(VLOOKUP(F1296, 'api-register-id'!B:F, 4, FALSE), "Not found path.")</f>
        <v>mx-api-bc-pro-int-bnk-acnt-corp</v>
      </c>
      <c r="C1296" s="200" t="s">
        <v>41</v>
      </c>
      <c r="D1296" s="200" t="s">
        <v>811</v>
      </c>
      <c r="E1296" s="24" t="str">
        <f>IFERROR(VLOOKUP(F1296, 'api-register-id'!B:F, 5, FALSE), "Not found path.")</f>
        <v>APIMX000191</v>
      </c>
      <c r="F1296" s="25" t="s">
        <v>3016</v>
      </c>
      <c r="G1296" s="26" t="s">
        <v>6956</v>
      </c>
      <c r="H1296" s="205" t="s">
        <v>6957</v>
      </c>
      <c r="I1296" s="29" t="str">
        <f>IFERROR(VLOOKUP(F1296, 'api-register-id'!B:I, 8, FALSE), "Not found path.")</f>
        <v/>
      </c>
      <c r="J1296" s="1" t="s">
        <v>6870</v>
      </c>
      <c r="K1296" s="214" t="s">
        <v>48</v>
      </c>
      <c r="L1296" s="200" t="s">
        <v>49</v>
      </c>
      <c r="M1296" s="212" t="s">
        <v>6958</v>
      </c>
      <c r="N1296" s="3" t="str">
        <f t="shared" si="31"/>
        <v>POST /system/operationalServices/internalBankAccount/v1/corporate/authorizations/transfer/online/get</v>
      </c>
      <c r="O1296" s="40" t="s">
        <v>6903</v>
      </c>
      <c r="P1296" s="40"/>
      <c r="Q1296" s="61" t="s">
        <v>98</v>
      </c>
      <c r="R1296" s="31" t="s">
        <v>56</v>
      </c>
      <c r="S1296" s="38" t="str">
        <f t="shared" si="32"/>
        <v>https://github.com/SF-Bancoppel/mx-api-bc-pro-int-bnk-acnt-corp</v>
      </c>
      <c r="T1296" s="40"/>
      <c r="U1296" s="22"/>
      <c r="V1296" s="40"/>
      <c r="W1296" s="40"/>
      <c r="X1296" s="40"/>
      <c r="Y1296" s="40"/>
      <c r="Z1296" s="22"/>
      <c r="AA1296" s="22"/>
      <c r="AB1296" s="22"/>
    </row>
    <row r="1297" ht="18.75" customHeight="1">
      <c r="A1297" s="18" t="str">
        <f t="array" ref="A1297">IFERROR(
  INDEX(
    'api-register-id'!A:A,
    MATCH(F1297, 'api-register-id'!B:B, 0)
  ),
  "Not found Organization"
)</f>
        <v>Empresa Net</v>
      </c>
      <c r="B1297" s="22" t="str">
        <f>IFERROR(VLOOKUP(F1297, 'api-register-id'!B:F, 4, FALSE), "Not found path.")</f>
        <v>mx-api-bc-pro-int-bnk-acnt-corp</v>
      </c>
      <c r="C1297" s="200" t="s">
        <v>41</v>
      </c>
      <c r="D1297" s="200" t="s">
        <v>811</v>
      </c>
      <c r="E1297" s="24" t="str">
        <f>IFERROR(VLOOKUP(F1297, 'api-register-id'!B:F, 5, FALSE), "Not found path.")</f>
        <v>APIMX000191</v>
      </c>
      <c r="F1297" s="25" t="s">
        <v>3016</v>
      </c>
      <c r="G1297" s="26" t="s">
        <v>6959</v>
      </c>
      <c r="H1297" s="205" t="s">
        <v>6960</v>
      </c>
      <c r="I1297" s="29" t="str">
        <f>IFERROR(VLOOKUP(F1297, 'api-register-id'!B:I, 8, FALSE), "Not found path.")</f>
        <v/>
      </c>
      <c r="J1297" s="1" t="s">
        <v>6870</v>
      </c>
      <c r="K1297" s="214" t="s">
        <v>48</v>
      </c>
      <c r="L1297" s="200" t="s">
        <v>49</v>
      </c>
      <c r="M1297" s="212" t="s">
        <v>6961</v>
      </c>
      <c r="N1297" s="3" t="str">
        <f t="shared" si="31"/>
        <v>POST /system/operationalServices/internalBankAccount/v1/corporate/authorizations/transfer/history/get</v>
      </c>
      <c r="O1297" s="40" t="s">
        <v>6907</v>
      </c>
      <c r="P1297" s="40"/>
      <c r="Q1297" s="61" t="s">
        <v>98</v>
      </c>
      <c r="R1297" s="31" t="s">
        <v>56</v>
      </c>
      <c r="S1297" s="38" t="str">
        <f t="shared" si="32"/>
        <v>https://github.com/SF-Bancoppel/mx-api-bc-pro-int-bnk-acnt-corp</v>
      </c>
      <c r="T1297" s="40"/>
      <c r="U1297" s="22"/>
      <c r="V1297" s="40"/>
      <c r="W1297" s="40"/>
      <c r="X1297" s="40"/>
      <c r="Y1297" s="40"/>
      <c r="Z1297" s="22"/>
      <c r="AA1297" s="22"/>
      <c r="AB1297" s="22"/>
    </row>
    <row r="1298" ht="18.75" customHeight="1">
      <c r="A1298" s="18" t="str">
        <f t="array" ref="A1298">IFERROR(
  INDEX(
    'api-register-id'!A:A,
    MATCH(F1298, 'api-register-id'!B:B, 0)
  ),
  "Not found Organization"
)</f>
        <v>Empresa Net</v>
      </c>
      <c r="B1298" s="22" t="str">
        <f>IFERROR(VLOOKUP(F1298, 'api-register-id'!B:F, 4, FALSE), "Not found path.")</f>
        <v>mx-api-bc-pro-int-bnk-acnt-corp</v>
      </c>
      <c r="C1298" s="200" t="s">
        <v>41</v>
      </c>
      <c r="D1298" s="200" t="s">
        <v>811</v>
      </c>
      <c r="E1298" s="24" t="str">
        <f>IFERROR(VLOOKUP(F1298, 'api-register-id'!B:F, 5, FALSE), "Not found path.")</f>
        <v>APIMX000191</v>
      </c>
      <c r="F1298" s="204" t="s">
        <v>3016</v>
      </c>
      <c r="G1298" s="26" t="s">
        <v>6962</v>
      </c>
      <c r="H1298" s="205" t="s">
        <v>6944</v>
      </c>
      <c r="I1298" s="29" t="str">
        <f>IFERROR(VLOOKUP(F1298, 'api-register-id'!B:I, 8, FALSE), "Not found path.")</f>
        <v/>
      </c>
      <c r="J1298" s="1" t="s">
        <v>6870</v>
      </c>
      <c r="K1298" s="214" t="s">
        <v>48</v>
      </c>
      <c r="L1298" s="200" t="s">
        <v>49</v>
      </c>
      <c r="M1298" s="212" t="s">
        <v>6879</v>
      </c>
      <c r="N1298" s="3" t="str">
        <f t="shared" si="31"/>
        <v>POST /system/operationalServices/internalBankAccount/v1/corporate/transfer/validateRules</v>
      </c>
      <c r="O1298" s="40" t="s">
        <v>6880</v>
      </c>
      <c r="P1298" s="40"/>
      <c r="Q1298" s="61" t="s">
        <v>98</v>
      </c>
      <c r="R1298" s="31" t="s">
        <v>56</v>
      </c>
      <c r="S1298" s="38" t="str">
        <f t="shared" si="32"/>
        <v>https://github.com/SF-Bancoppel/mx-api-bc-pro-int-bnk-acnt-corp</v>
      </c>
      <c r="T1298" s="40"/>
      <c r="U1298" s="22"/>
      <c r="V1298" s="40"/>
      <c r="W1298" s="40"/>
      <c r="X1298" s="40"/>
      <c r="Y1298" s="40"/>
      <c r="Z1298" s="22"/>
      <c r="AA1298" s="22"/>
      <c r="AB1298" s="22"/>
    </row>
    <row r="1299" ht="18.75" customHeight="1">
      <c r="A1299" s="18" t="str">
        <f t="array" ref="A1299">IFERROR(
  INDEX(
    'api-register-id'!A:A,
    MATCH(F1299, 'api-register-id'!B:B, 0)
  ),
  "Not found Organization"
)</f>
        <v>SSFF</v>
      </c>
      <c r="B1299" s="22" t="str">
        <f>IFERROR(VLOOKUP(F1299, 'api-register-id'!B:F, 4, FALSE), "Not found path.")</f>
        <v>mx-api-bc-rec-customer-products-and-services</v>
      </c>
      <c r="C1299" s="29" t="s">
        <v>112</v>
      </c>
      <c r="D1299" s="29" t="s">
        <v>1417</v>
      </c>
      <c r="E1299" s="24" t="str">
        <f>IFERROR(VLOOKUP(F1299, 'api-register-id'!B:F, 5, FALSE), "Not found path.")</f>
        <v>APIMX000128</v>
      </c>
      <c r="F1299" s="1" t="s">
        <v>6963</v>
      </c>
      <c r="G1299" s="26" t="s">
        <v>6964</v>
      </c>
      <c r="H1299" s="22" t="s">
        <v>2868</v>
      </c>
      <c r="I1299" s="29" t="str">
        <f>IFERROR(VLOOKUP(F1299, 'api-register-id'!B:I, 8, FALSE), "Not found path.")</f>
        <v>1.2.0</v>
      </c>
      <c r="J1299" s="3" t="s">
        <v>4198</v>
      </c>
      <c r="K1299" s="31" t="s">
        <v>48</v>
      </c>
      <c r="L1299" s="23" t="s">
        <v>108</v>
      </c>
      <c r="M1299" s="3" t="s">
        <v>948</v>
      </c>
      <c r="N1299" s="3" t="str">
        <f t="shared" si="31"/>
        <v>GET /experience/customerManagement/customerProductsAndServices/v1/depositAccountFacility/{companyReference}/{customerId}/retrieve</v>
      </c>
      <c r="O1299" s="32" t="s">
        <v>949</v>
      </c>
      <c r="P1299" s="40"/>
      <c r="Q1299" s="61" t="s">
        <v>98</v>
      </c>
      <c r="R1299" s="31" t="s">
        <v>56</v>
      </c>
      <c r="S1299" s="38" t="str">
        <f t="shared" si="32"/>
        <v>https://github.com/SF-Bancoppel/mx-api-bc-rec-customer-products-and-services</v>
      </c>
      <c r="T1299" s="40"/>
      <c r="U1299" s="22"/>
      <c r="V1299" s="40"/>
      <c r="W1299" s="40"/>
      <c r="X1299" s="40"/>
      <c r="Y1299" s="40"/>
      <c r="Z1299" s="22"/>
      <c r="AA1299" s="22"/>
      <c r="AB1299" s="22"/>
    </row>
    <row r="1300" ht="18.75" customHeight="1">
      <c r="A1300" s="18" t="str">
        <f t="array" ref="A1300">IFERROR(
  INDEX(
    'api-register-id'!A:A,
    MATCH(F1300, 'api-register-id'!B:B, 0)
  ),
  "Not found Organization"
)</f>
        <v>SSFF</v>
      </c>
      <c r="B1300" s="22" t="str">
        <f>IFERROR(VLOOKUP(F1300, 'api-register-id'!B:F, 4, FALSE), "Not found path.")</f>
        <v>mx-api-bc-rec-customer-products-and-services</v>
      </c>
      <c r="C1300" s="29" t="s">
        <v>112</v>
      </c>
      <c r="D1300" s="29" t="s">
        <v>1417</v>
      </c>
      <c r="E1300" s="24" t="str">
        <f>IFERROR(VLOOKUP(F1300, 'api-register-id'!B:F, 5, FALSE), "Not found path.")</f>
        <v>APIMX000128</v>
      </c>
      <c r="F1300" s="1" t="s">
        <v>6963</v>
      </c>
      <c r="G1300" s="26" t="s">
        <v>6965</v>
      </c>
      <c r="H1300" s="205" t="str">
        <f t="shared" ref="H1300:H1313" si="33">obtenerAPIOperationId(M1300,D1300)</f>
        <v>Rec_RetrievePaymentBalanceFacilityV1</v>
      </c>
      <c r="I1300" s="29" t="str">
        <f>IFERROR(VLOOKUP(F1300, 'api-register-id'!B:I, 8, FALSE), "Not found path.")</f>
        <v>1.2.0</v>
      </c>
      <c r="J1300" s="3" t="s">
        <v>4198</v>
      </c>
      <c r="K1300" s="31" t="s">
        <v>48</v>
      </c>
      <c r="L1300" s="23" t="s">
        <v>49</v>
      </c>
      <c r="M1300" s="3" t="s">
        <v>954</v>
      </c>
      <c r="N1300" s="3" t="str">
        <f t="shared" si="31"/>
        <v>POST /experience/customerManagement/customerProductsAndServices/v1/paymentBalanceFacility/retrieve</v>
      </c>
      <c r="O1300" s="32" t="s">
        <v>955</v>
      </c>
      <c r="P1300" s="40"/>
      <c r="Q1300" s="61" t="s">
        <v>98</v>
      </c>
      <c r="R1300" s="31" t="s">
        <v>56</v>
      </c>
      <c r="S1300" s="38" t="str">
        <f t="shared" si="32"/>
        <v>https://github.com/SF-Bancoppel/mx-api-bc-rec-customer-products-and-services</v>
      </c>
      <c r="T1300" s="40"/>
      <c r="U1300" s="22"/>
      <c r="V1300" s="40"/>
      <c r="W1300" s="40"/>
      <c r="X1300" s="40"/>
      <c r="Y1300" s="40"/>
      <c r="Z1300" s="22"/>
      <c r="AA1300" s="22"/>
      <c r="AB1300" s="22"/>
    </row>
    <row r="1301" ht="18.75" customHeight="1">
      <c r="A1301" s="18" t="str">
        <f t="array" ref="A1301">IFERROR(
  INDEX(
    'api-register-id'!A:A,
    MATCH(F1301, 'api-register-id'!B:B, 0)
  ),
  "Not found Organization"
)</f>
        <v>SSFF</v>
      </c>
      <c r="B1301" s="22" t="str">
        <f>IFERROR(VLOOKUP(F1301, 'api-register-id'!B:F, 4, FALSE), "Not found path.")</f>
        <v>mx-api-bc-rec-customer-products-and-services</v>
      </c>
      <c r="C1301" s="29" t="s">
        <v>112</v>
      </c>
      <c r="D1301" s="29" t="s">
        <v>1417</v>
      </c>
      <c r="E1301" s="24" t="str">
        <f>IFERROR(VLOOKUP(F1301, 'api-register-id'!B:F, 5, FALSE), "Not found path.")</f>
        <v>APIMX000128</v>
      </c>
      <c r="F1301" s="1" t="s">
        <v>6963</v>
      </c>
      <c r="G1301" s="26" t="s">
        <v>6966</v>
      </c>
      <c r="H1301" s="205" t="str">
        <f t="shared" si="33"/>
        <v>Rec_RetrievePositiveBalanceFacilityV1</v>
      </c>
      <c r="I1301" s="29" t="str">
        <f>IFERROR(VLOOKUP(F1301, 'api-register-id'!B:I, 8, FALSE), "Not found path.")</f>
        <v>1.2.0</v>
      </c>
      <c r="J1301" s="3" t="s">
        <v>4198</v>
      </c>
      <c r="K1301" s="31" t="s">
        <v>48</v>
      </c>
      <c r="L1301" s="23" t="s">
        <v>49</v>
      </c>
      <c r="M1301" s="3" t="s">
        <v>961</v>
      </c>
      <c r="N1301" s="3" t="str">
        <f t="shared" si="31"/>
        <v>POST /experience/customerManagement/customerProductsAndServices/v1/positiveBalanceFacility/retrieve</v>
      </c>
      <c r="O1301" s="32" t="s">
        <v>962</v>
      </c>
      <c r="P1301" s="40"/>
      <c r="Q1301" s="61" t="s">
        <v>98</v>
      </c>
      <c r="R1301" s="31" t="s">
        <v>56</v>
      </c>
      <c r="S1301" s="38" t="str">
        <f t="shared" si="32"/>
        <v>https://github.com/SF-Bancoppel/mx-api-bc-rec-customer-products-and-services</v>
      </c>
      <c r="T1301" s="40"/>
      <c r="U1301" s="22"/>
      <c r="V1301" s="40"/>
      <c r="W1301" s="40"/>
      <c r="X1301" s="40"/>
      <c r="Y1301" s="40"/>
      <c r="Z1301" s="22"/>
      <c r="AA1301" s="22"/>
      <c r="AB1301" s="22"/>
    </row>
    <row r="1302" ht="18.75" customHeight="1">
      <c r="A1302" s="18" t="str">
        <f t="array" ref="A1302">IFERROR(
  INDEX(
    'api-register-id'!A:A,
    MATCH(F1302, 'api-register-id'!B:B, 0)
  ),
  "Not found Organization"
)</f>
        <v>SSFF</v>
      </c>
      <c r="B1302" s="22" t="str">
        <f>IFERROR(VLOOKUP(F1302, 'api-register-id'!B:F, 4, FALSE), "Not found path.")</f>
        <v>mx-api-bc-rec-customer-products-and-services</v>
      </c>
      <c r="C1302" s="29" t="s">
        <v>112</v>
      </c>
      <c r="D1302" s="29" t="s">
        <v>1417</v>
      </c>
      <c r="E1302" s="24" t="str">
        <f>IFERROR(VLOOKUP(F1302, 'api-register-id'!B:F, 5, FALSE), "Not found path.")</f>
        <v>APIMX000128</v>
      </c>
      <c r="F1302" s="1" t="s">
        <v>6963</v>
      </c>
      <c r="G1302" s="26" t="s">
        <v>6967</v>
      </c>
      <c r="H1302" s="205" t="str">
        <f t="shared" si="33"/>
        <v>Rec_RetrieveCustomerProductInformationV1</v>
      </c>
      <c r="I1302" s="29" t="str">
        <f>IFERROR(VLOOKUP(F1302, 'api-register-id'!B:I, 8, FALSE), "Not found path.")</f>
        <v>1.2.0</v>
      </c>
      <c r="J1302" s="3" t="s">
        <v>4198</v>
      </c>
      <c r="K1302" s="31" t="s">
        <v>48</v>
      </c>
      <c r="L1302" s="23" t="s">
        <v>49</v>
      </c>
      <c r="M1302" s="3" t="s">
        <v>965</v>
      </c>
      <c r="N1302" s="3" t="str">
        <f t="shared" si="31"/>
        <v>POST /experience/customerManagement/customerProductsAndServices/v1/customerProductInformation/retrieve</v>
      </c>
      <c r="O1302" s="32" t="s">
        <v>966</v>
      </c>
      <c r="P1302" s="40"/>
      <c r="Q1302" s="61" t="s">
        <v>98</v>
      </c>
      <c r="R1302" s="31" t="s">
        <v>56</v>
      </c>
      <c r="S1302" s="38" t="str">
        <f t="shared" si="32"/>
        <v>https://github.com/SF-Bancoppel/mx-api-bc-rec-customer-products-and-services</v>
      </c>
      <c r="T1302" s="40"/>
      <c r="U1302" s="22"/>
      <c r="V1302" s="40"/>
      <c r="W1302" s="40"/>
      <c r="X1302" s="40"/>
      <c r="Y1302" s="40"/>
      <c r="Z1302" s="22"/>
      <c r="AA1302" s="22"/>
      <c r="AB1302" s="22"/>
    </row>
    <row r="1303" ht="18.75" customHeight="1">
      <c r="A1303" s="18" t="str">
        <f t="array" ref="A1303">IFERROR(
  INDEX(
    'api-register-id'!A:A,
    MATCH(F1303, 'api-register-id'!B:B, 0)
  ),
  "Not found Organization"
)</f>
        <v>SSFF</v>
      </c>
      <c r="B1303" s="22" t="str">
        <f>IFERROR(VLOOKUP(F1303, 'api-register-id'!B:F, 4, FALSE), "Not found path.")</f>
        <v>mx-api-bc-rec-customer-products-and-services</v>
      </c>
      <c r="C1303" s="29" t="s">
        <v>112</v>
      </c>
      <c r="D1303" s="29" t="s">
        <v>1417</v>
      </c>
      <c r="E1303" s="24" t="str">
        <f>IFERROR(VLOOKUP(F1303, 'api-register-id'!B:F, 5, FALSE), "Not found path.")</f>
        <v>APIMX000128</v>
      </c>
      <c r="F1303" s="1" t="s">
        <v>6963</v>
      </c>
      <c r="G1303" s="26" t="s">
        <v>6968</v>
      </c>
      <c r="H1303" s="205" t="str">
        <f t="shared" si="33"/>
        <v>Rec_EvaluateCustomerProductInformationV1</v>
      </c>
      <c r="I1303" s="29" t="str">
        <f>IFERROR(VLOOKUP(F1303, 'api-register-id'!B:I, 8, FALSE), "Not found path.")</f>
        <v>1.2.0</v>
      </c>
      <c r="J1303" s="3" t="s">
        <v>4198</v>
      </c>
      <c r="K1303" s="31" t="s">
        <v>48</v>
      </c>
      <c r="L1303" s="23" t="s">
        <v>49</v>
      </c>
      <c r="M1303" s="3" t="s">
        <v>973</v>
      </c>
      <c r="N1303" s="3" t="str">
        <f t="shared" si="31"/>
        <v>POST /experience/customerManagement/customerProductsAndServices/v1/customerProductInformation/evaluate</v>
      </c>
      <c r="O1303" s="32" t="s">
        <v>974</v>
      </c>
      <c r="P1303" s="40"/>
      <c r="Q1303" s="61" t="s">
        <v>98</v>
      </c>
      <c r="R1303" s="31" t="s">
        <v>56</v>
      </c>
      <c r="S1303" s="38" t="str">
        <f t="shared" si="32"/>
        <v>https://github.com/SF-Bancoppel/mx-api-bc-rec-customer-products-and-services</v>
      </c>
      <c r="T1303" s="40"/>
      <c r="U1303" s="22"/>
      <c r="V1303" s="40"/>
      <c r="W1303" s="40"/>
      <c r="X1303" s="40"/>
      <c r="Y1303" s="40"/>
      <c r="Z1303" s="22"/>
      <c r="AA1303" s="22"/>
      <c r="AB1303" s="22"/>
    </row>
    <row r="1304" ht="18.75" customHeight="1">
      <c r="A1304" s="18" t="str">
        <f t="array" ref="A1304">IFERROR(
  INDEX(
    'api-register-id'!A:A,
    MATCH(F1304, 'api-register-id'!B:B, 0)
  ),
  "Not found Organization"
)</f>
        <v>SSFF</v>
      </c>
      <c r="B1304" s="22" t="str">
        <f>IFERROR(VLOOKUP(F1304, 'api-register-id'!B:F, 4, FALSE), "Not found path.")</f>
        <v>mx-api-bc-rec-customer-products-and-services</v>
      </c>
      <c r="C1304" s="29" t="s">
        <v>112</v>
      </c>
      <c r="D1304" s="29" t="s">
        <v>1417</v>
      </c>
      <c r="E1304" s="24" t="str">
        <f>IFERROR(VLOOKUP(F1304, 'api-register-id'!B:F, 5, FALSE), "Not found path.")</f>
        <v>APIMX000128</v>
      </c>
      <c r="F1304" s="1" t="s">
        <v>6963</v>
      </c>
      <c r="G1304" s="26" t="s">
        <v>6969</v>
      </c>
      <c r="H1304" s="205" t="str">
        <f t="shared" si="33"/>
        <v>Rec_RetrieveAccountStatementV1</v>
      </c>
      <c r="I1304" s="29" t="str">
        <f>IFERROR(VLOOKUP(F1304, 'api-register-id'!B:I, 8, FALSE), "Not found path.")</f>
        <v>1.2.0</v>
      </c>
      <c r="J1304" s="3" t="s">
        <v>4198</v>
      </c>
      <c r="K1304" s="31" t="s">
        <v>48</v>
      </c>
      <c r="L1304" s="23" t="s">
        <v>49</v>
      </c>
      <c r="M1304" s="3" t="s">
        <v>978</v>
      </c>
      <c r="N1304" s="3" t="str">
        <f t="shared" si="31"/>
        <v>POST /experience/customerManagement/customerProductsAndServices/v1/accountStatement/retrieve</v>
      </c>
      <c r="O1304" s="32" t="s">
        <v>979</v>
      </c>
      <c r="P1304" s="40"/>
      <c r="Q1304" s="61" t="s">
        <v>98</v>
      </c>
      <c r="R1304" s="31" t="s">
        <v>56</v>
      </c>
      <c r="S1304" s="38" t="str">
        <f t="shared" si="32"/>
        <v>https://github.com/SF-Bancoppel/mx-api-bc-rec-customer-products-and-services</v>
      </c>
      <c r="T1304" s="40"/>
      <c r="U1304" s="22"/>
      <c r="V1304" s="40"/>
      <c r="W1304" s="40"/>
      <c r="X1304" s="40"/>
      <c r="Y1304" s="40"/>
      <c r="Z1304" s="22"/>
      <c r="AA1304" s="22"/>
      <c r="AB1304" s="22"/>
    </row>
    <row r="1305" ht="18.75" customHeight="1">
      <c r="A1305" s="18" t="str">
        <f t="array" ref="A1305">IFERROR(
  INDEX(
    'api-register-id'!A:A,
    MATCH(F1305, 'api-register-id'!B:B, 0)
  ),
  "Not found Organization"
)</f>
        <v>SSFF</v>
      </c>
      <c r="B1305" s="22" t="str">
        <f>IFERROR(VLOOKUP(F1305, 'api-register-id'!B:F, 4, FALSE), "Not found path.")</f>
        <v>mx-api-bc-rec-customer-products-and-services</v>
      </c>
      <c r="C1305" s="29" t="s">
        <v>112</v>
      </c>
      <c r="D1305" s="29" t="s">
        <v>1417</v>
      </c>
      <c r="E1305" s="24" t="str">
        <f>IFERROR(VLOOKUP(F1305, 'api-register-id'!B:F, 5, FALSE), "Not found path.")</f>
        <v>APIMX000128</v>
      </c>
      <c r="F1305" s="1" t="s">
        <v>6963</v>
      </c>
      <c r="G1305" s="26" t="s">
        <v>6970</v>
      </c>
      <c r="H1305" s="205" t="str">
        <f t="shared" si="33"/>
        <v>Rec_RetrieveProductV1</v>
      </c>
      <c r="I1305" s="29" t="str">
        <f>IFERROR(VLOOKUP(F1305, 'api-register-id'!B:I, 8, FALSE), "Not found path.")</f>
        <v>1.2.0</v>
      </c>
      <c r="J1305" s="3" t="s">
        <v>4198</v>
      </c>
      <c r="K1305" s="31" t="s">
        <v>48</v>
      </c>
      <c r="L1305" s="23" t="s">
        <v>49</v>
      </c>
      <c r="M1305" s="3" t="s">
        <v>984</v>
      </c>
      <c r="N1305" s="3" t="str">
        <f t="shared" si="31"/>
        <v>POST /experience/customerManagement/customerProductsAndServices/v1/product/retrieve</v>
      </c>
      <c r="O1305" s="32" t="s">
        <v>985</v>
      </c>
      <c r="P1305" s="40"/>
      <c r="Q1305" s="61" t="s">
        <v>98</v>
      </c>
      <c r="R1305" s="31" t="s">
        <v>56</v>
      </c>
      <c r="S1305" s="38" t="str">
        <f t="shared" si="32"/>
        <v>https://github.com/SF-Bancoppel/mx-api-bc-rec-customer-products-and-services</v>
      </c>
      <c r="T1305" s="40"/>
      <c r="U1305" s="22"/>
      <c r="V1305" s="40"/>
      <c r="W1305" s="40"/>
      <c r="X1305" s="40"/>
      <c r="Y1305" s="40"/>
      <c r="Z1305" s="22"/>
      <c r="AA1305" s="22"/>
      <c r="AB1305" s="22"/>
    </row>
    <row r="1306" ht="18.75" customHeight="1">
      <c r="A1306" s="18" t="str">
        <f t="array" ref="A1306">IFERROR(
  INDEX(
    'api-register-id'!A:A,
    MATCH(F1306, 'api-register-id'!B:B, 0)
  ),
  "Not found Organization"
)</f>
        <v>SSFF</v>
      </c>
      <c r="B1306" s="22" t="str">
        <f>IFERROR(VLOOKUP(F1306, 'api-register-id'!B:F, 4, FALSE), "Not found path.")</f>
        <v>mx-api-bc-rec-customer-products-and-services</v>
      </c>
      <c r="C1306" s="29" t="s">
        <v>112</v>
      </c>
      <c r="D1306" s="29" t="s">
        <v>1417</v>
      </c>
      <c r="E1306" s="24" t="str">
        <f>IFERROR(VLOOKUP(F1306, 'api-register-id'!B:F, 5, FALSE), "Not found path.")</f>
        <v>APIMX000128</v>
      </c>
      <c r="F1306" s="1" t="s">
        <v>6963</v>
      </c>
      <c r="G1306" s="26" t="s">
        <v>6971</v>
      </c>
      <c r="H1306" s="205" t="str">
        <f t="shared" si="33"/>
        <v>Rec_RetrieveCardProductV1</v>
      </c>
      <c r="I1306" s="29" t="str">
        <f>IFERROR(VLOOKUP(F1306, 'api-register-id'!B:I, 8, FALSE), "Not found path.")</f>
        <v>1.2.0</v>
      </c>
      <c r="J1306" s="3" t="s">
        <v>4198</v>
      </c>
      <c r="K1306" s="31" t="s">
        <v>48</v>
      </c>
      <c r="L1306" s="78" t="s">
        <v>49</v>
      </c>
      <c r="M1306" s="3" t="s">
        <v>5413</v>
      </c>
      <c r="N1306" s="3" t="str">
        <f t="shared" si="31"/>
        <v>POST /experience/customerManagement/customerProductsAndServices/v1/cardProduct/retrieve</v>
      </c>
      <c r="O1306" s="32" t="s">
        <v>5414</v>
      </c>
      <c r="P1306" s="40"/>
      <c r="Q1306" s="61" t="s">
        <v>98</v>
      </c>
      <c r="R1306" s="31" t="s">
        <v>56</v>
      </c>
      <c r="S1306" s="38" t="str">
        <f t="shared" si="32"/>
        <v>https://github.com/SF-Bancoppel/mx-api-bc-rec-customer-products-and-services</v>
      </c>
      <c r="T1306" s="40"/>
      <c r="U1306" s="22"/>
      <c r="V1306" s="40"/>
      <c r="W1306" s="40"/>
      <c r="X1306" s="40"/>
      <c r="Y1306" s="40"/>
      <c r="Z1306" s="22"/>
      <c r="AA1306" s="22"/>
      <c r="AB1306" s="22"/>
    </row>
    <row r="1307" ht="18.75" customHeight="1">
      <c r="A1307" s="18" t="str">
        <f t="array" ref="A1307">IFERROR(
  INDEX(
    'api-register-id'!A:A,
    MATCH(F1307, 'api-register-id'!B:B, 0)
  ),
  "Not found Organization"
)</f>
        <v>SSFF</v>
      </c>
      <c r="B1307" s="22" t="str">
        <f>IFERROR(VLOOKUP(F1307, 'api-register-id'!B:F, 4, FALSE), "Not found path.")</f>
        <v>mx-api-bc-rec-customer-products-and-services</v>
      </c>
      <c r="C1307" s="29" t="s">
        <v>112</v>
      </c>
      <c r="D1307" s="29" t="s">
        <v>1417</v>
      </c>
      <c r="E1307" s="24" t="str">
        <f>IFERROR(VLOOKUP(F1307, 'api-register-id'!B:F, 5, FALSE), "Not found path.")</f>
        <v>APIMX000128</v>
      </c>
      <c r="F1307" s="1" t="s">
        <v>6963</v>
      </c>
      <c r="G1307" s="26" t="s">
        <v>6972</v>
      </c>
      <c r="H1307" s="205" t="str">
        <f t="shared" si="33"/>
        <v>Rec_RetrieveAccountStatusV1</v>
      </c>
      <c r="I1307" s="29" t="str">
        <f>IFERROR(VLOOKUP(F1307, 'api-register-id'!B:I, 8, FALSE), "Not found path.")</f>
        <v>1.2.0</v>
      </c>
      <c r="J1307" s="3" t="s">
        <v>4198</v>
      </c>
      <c r="K1307" s="31" t="s">
        <v>48</v>
      </c>
      <c r="L1307" s="78" t="s">
        <v>49</v>
      </c>
      <c r="M1307" s="3" t="s">
        <v>5732</v>
      </c>
      <c r="N1307" s="3" t="str">
        <f t="shared" si="31"/>
        <v>POST /experience/customerManagement/customerProductsAndServices/v1/accountStatus/retrieve</v>
      </c>
      <c r="O1307" s="32" t="s">
        <v>5733</v>
      </c>
      <c r="P1307" s="40"/>
      <c r="Q1307" s="61" t="s">
        <v>98</v>
      </c>
      <c r="R1307" s="31" t="s">
        <v>56</v>
      </c>
      <c r="S1307" s="38" t="str">
        <f t="shared" si="32"/>
        <v>https://github.com/SF-Bancoppel/mx-api-bc-rec-customer-products-and-services</v>
      </c>
      <c r="T1307" s="40"/>
      <c r="U1307" s="40"/>
      <c r="V1307" s="40"/>
      <c r="W1307" s="40"/>
      <c r="X1307" s="40"/>
      <c r="Y1307" s="40"/>
      <c r="Z1307" s="40"/>
      <c r="AA1307" s="40"/>
      <c r="AB1307" s="40"/>
    </row>
    <row r="1308" ht="18.75" customHeight="1">
      <c r="A1308" s="18" t="str">
        <f t="array" ref="A1308">IFERROR(
  INDEX(
    'api-register-id'!A:A,
    MATCH(F1308, 'api-register-id'!B:B, 0)
  ),
  "Not found Organization"
)</f>
        <v>SSFF</v>
      </c>
      <c r="B1308" s="22" t="str">
        <f>IFERROR(VLOOKUP(F1308, 'api-register-id'!B:F, 4, FALSE), "Not found path.")</f>
        <v>mx-api-bc-rec-customer-products-and-services</v>
      </c>
      <c r="C1308" s="29" t="s">
        <v>112</v>
      </c>
      <c r="D1308" s="29" t="s">
        <v>1417</v>
      </c>
      <c r="E1308" s="24" t="str">
        <f>IFERROR(VLOOKUP(F1308, 'api-register-id'!B:F, 5, FALSE), "Not found path.")</f>
        <v>APIMX000128</v>
      </c>
      <c r="F1308" s="1" t="s">
        <v>6963</v>
      </c>
      <c r="G1308" s="26" t="s">
        <v>6973</v>
      </c>
      <c r="H1308" s="205" t="str">
        <f t="shared" si="33"/>
        <v>Rec_RetrieveBankingProductV1</v>
      </c>
      <c r="I1308" s="29" t="str">
        <f>IFERROR(VLOOKUP(F1308, 'api-register-id'!B:I, 8, FALSE), "Not found path.")</f>
        <v>1.2.0</v>
      </c>
      <c r="J1308" s="3" t="s">
        <v>4198</v>
      </c>
      <c r="K1308" s="31" t="s">
        <v>48</v>
      </c>
      <c r="L1308" s="78" t="s">
        <v>49</v>
      </c>
      <c r="M1308" s="3" t="s">
        <v>5737</v>
      </c>
      <c r="N1308" s="3" t="str">
        <f t="shared" si="31"/>
        <v>POST /experience/customerManagement/customerProductsAndServices/v1/bankingProduct/retrieve</v>
      </c>
      <c r="O1308" s="32" t="s">
        <v>5738</v>
      </c>
      <c r="P1308" s="40"/>
      <c r="Q1308" s="61" t="s">
        <v>98</v>
      </c>
      <c r="R1308" s="31" t="s">
        <v>56</v>
      </c>
      <c r="S1308" s="38" t="str">
        <f t="shared" si="32"/>
        <v>https://github.com/SF-Bancoppel/mx-api-bc-rec-customer-products-and-services</v>
      </c>
      <c r="T1308" s="40"/>
      <c r="U1308" s="40"/>
      <c r="V1308" s="40"/>
      <c r="W1308" s="40"/>
      <c r="X1308" s="40"/>
      <c r="Y1308" s="40"/>
      <c r="Z1308" s="40"/>
      <c r="AA1308" s="40"/>
      <c r="AB1308" s="40"/>
    </row>
    <row r="1309" ht="18.75" customHeight="1">
      <c r="A1309" s="18" t="str">
        <f t="array" ref="A1309">IFERROR(
  INDEX(
    'api-register-id'!A:A,
    MATCH(F1309, 'api-register-id'!B:B, 0)
  ),
  "Not found Organization"
)</f>
        <v>SSFF</v>
      </c>
      <c r="B1309" s="22" t="str">
        <f>IFERROR(VLOOKUP(F1309, 'api-register-id'!B:F, 4, FALSE), "Not found path.")</f>
        <v>mx-api-bc-rec-customer-products-and-services</v>
      </c>
      <c r="C1309" s="29" t="s">
        <v>112</v>
      </c>
      <c r="D1309" s="29" t="s">
        <v>1417</v>
      </c>
      <c r="E1309" s="24" t="str">
        <f>IFERROR(VLOOKUP(F1309, 'api-register-id'!B:F, 5, FALSE), "Not found path.")</f>
        <v>APIMX000128</v>
      </c>
      <c r="F1309" s="1" t="s">
        <v>6963</v>
      </c>
      <c r="G1309" s="26" t="s">
        <v>6974</v>
      </c>
      <c r="H1309" s="205" t="str">
        <f t="shared" si="33"/>
        <v>Rec_RetrieveCreditAccountV1</v>
      </c>
      <c r="I1309" s="29" t="str">
        <f>IFERROR(VLOOKUP(F1309, 'api-register-id'!B:I, 8, FALSE), "Not found path.")</f>
        <v>1.2.0</v>
      </c>
      <c r="J1309" s="3" t="s">
        <v>4198</v>
      </c>
      <c r="K1309" s="31" t="s">
        <v>48</v>
      </c>
      <c r="L1309" s="78" t="s">
        <v>49</v>
      </c>
      <c r="M1309" s="3" t="s">
        <v>5742</v>
      </c>
      <c r="N1309" s="3" t="str">
        <f t="shared" si="31"/>
        <v>POST /experience/customerManagement/customerProductsAndServices/v1/creditAccount/retrieve</v>
      </c>
      <c r="O1309" s="32" t="s">
        <v>5743</v>
      </c>
      <c r="P1309" s="40"/>
      <c r="Q1309" s="61" t="s">
        <v>98</v>
      </c>
      <c r="R1309" s="31" t="s">
        <v>56</v>
      </c>
      <c r="S1309" s="38" t="str">
        <f t="shared" si="32"/>
        <v>https://github.com/SF-Bancoppel/mx-api-bc-rec-customer-products-and-services</v>
      </c>
      <c r="T1309" s="40"/>
      <c r="U1309" s="40"/>
      <c r="V1309" s="40"/>
      <c r="W1309" s="40"/>
      <c r="X1309" s="40"/>
      <c r="Y1309" s="40"/>
      <c r="Z1309" s="40"/>
      <c r="AA1309" s="40"/>
      <c r="AB1309" s="40"/>
    </row>
    <row r="1310" ht="18.75" customHeight="1">
      <c r="A1310" s="18" t="str">
        <f t="array" ref="A1310">IFERROR(
  INDEX(
    'api-register-id'!A:A,
    MATCH(F1310, 'api-register-id'!B:B, 0)
  ),
  "Not found Organization"
)</f>
        <v>SSFF</v>
      </c>
      <c r="B1310" s="22" t="str">
        <f>IFERROR(VLOOKUP(F1310, 'api-register-id'!B:F, 4, FALSE), "Not found path.")</f>
        <v>mx-api-bc-rec-customer-products-and-services</v>
      </c>
      <c r="C1310" s="29" t="s">
        <v>112</v>
      </c>
      <c r="D1310" s="29" t="s">
        <v>1417</v>
      </c>
      <c r="E1310" s="24" t="str">
        <f>IFERROR(VLOOKUP(F1310, 'api-register-id'!B:F, 5, FALSE), "Not found path.")</f>
        <v>APIMX000128</v>
      </c>
      <c r="F1310" s="1" t="s">
        <v>6963</v>
      </c>
      <c r="G1310" s="26" t="s">
        <v>6975</v>
      </c>
      <c r="H1310" s="205" t="str">
        <f t="shared" si="33"/>
        <v>Rec_RetrieveCustomerAccountReportV1</v>
      </c>
      <c r="I1310" s="29" t="str">
        <f>IFERROR(VLOOKUP(F1310, 'api-register-id'!B:I, 8, FALSE), "Not found path.")</f>
        <v>1.2.0</v>
      </c>
      <c r="J1310" s="3" t="s">
        <v>4198</v>
      </c>
      <c r="K1310" s="31" t="s">
        <v>48</v>
      </c>
      <c r="L1310" s="78" t="s">
        <v>49</v>
      </c>
      <c r="M1310" s="3" t="s">
        <v>5747</v>
      </c>
      <c r="N1310" s="3" t="str">
        <f t="shared" si="31"/>
        <v>POST /experience/customerManagement/customerProductsAndServices/v1/customerAccountReport/retrieve</v>
      </c>
      <c r="O1310" s="32" t="s">
        <v>5748</v>
      </c>
      <c r="P1310" s="40"/>
      <c r="Q1310" s="61" t="s">
        <v>98</v>
      </c>
      <c r="R1310" s="31" t="s">
        <v>56</v>
      </c>
      <c r="S1310" s="38" t="str">
        <f t="shared" si="32"/>
        <v>https://github.com/SF-Bancoppel/mx-api-bc-rec-customer-products-and-services</v>
      </c>
      <c r="T1310" s="40"/>
      <c r="U1310" s="40"/>
      <c r="V1310" s="40"/>
      <c r="W1310" s="40"/>
      <c r="X1310" s="40"/>
      <c r="Y1310" s="40"/>
      <c r="Z1310" s="40"/>
      <c r="AA1310" s="40"/>
      <c r="AB1310" s="40"/>
    </row>
    <row r="1311" ht="18.75" customHeight="1">
      <c r="A1311" s="18" t="str">
        <f t="array" ref="A1311">IFERROR(
  INDEX(
    'api-register-id'!A:A,
    MATCH(F1311, 'api-register-id'!B:B, 0)
  ),
  "Not found Organization"
)</f>
        <v>SSFF</v>
      </c>
      <c r="B1311" s="22" t="str">
        <f>IFERROR(VLOOKUP(F1311, 'api-register-id'!B:F, 4, FALSE), "Not found path.")</f>
        <v>mx-api-bc-rec-customer-products-and-services</v>
      </c>
      <c r="C1311" s="29" t="s">
        <v>112</v>
      </c>
      <c r="D1311" s="29" t="s">
        <v>1417</v>
      </c>
      <c r="E1311" s="24" t="str">
        <f>IFERROR(VLOOKUP(F1311, 'api-register-id'!B:F, 5, FALSE), "Not found path.")</f>
        <v>APIMX000128</v>
      </c>
      <c r="F1311" s="1" t="s">
        <v>6963</v>
      </c>
      <c r="G1311" s="26" t="s">
        <v>6976</v>
      </c>
      <c r="H1311" s="205" t="str">
        <f t="shared" si="33"/>
        <v>Rec_RetrieveProductInformationCollectionV1</v>
      </c>
      <c r="I1311" s="29" t="str">
        <f>IFERROR(VLOOKUP(F1311, 'api-register-id'!B:I, 8, FALSE), "Not found path.")</f>
        <v>1.2.0</v>
      </c>
      <c r="J1311" s="3" t="s">
        <v>4198</v>
      </c>
      <c r="K1311" s="31" t="s">
        <v>48</v>
      </c>
      <c r="L1311" s="78" t="s">
        <v>49</v>
      </c>
      <c r="M1311" s="3" t="s">
        <v>5752</v>
      </c>
      <c r="N1311" s="3" t="str">
        <f t="shared" si="31"/>
        <v>POST /experience/customerManagement/customerProductsAndServices/v1/productInformationCollection/retrieve</v>
      </c>
      <c r="O1311" s="32" t="s">
        <v>5753</v>
      </c>
      <c r="P1311" s="40"/>
      <c r="Q1311" s="61" t="s">
        <v>98</v>
      </c>
      <c r="R1311" s="31" t="s">
        <v>56</v>
      </c>
      <c r="S1311" s="38" t="str">
        <f t="shared" si="32"/>
        <v>https://github.com/SF-Bancoppel/mx-api-bc-rec-customer-products-and-services</v>
      </c>
      <c r="T1311" s="40"/>
      <c r="U1311" s="40"/>
      <c r="V1311" s="40"/>
      <c r="W1311" s="40"/>
      <c r="X1311" s="40"/>
      <c r="Y1311" s="40"/>
      <c r="Z1311" s="40"/>
      <c r="AA1311" s="40"/>
      <c r="AB1311" s="40"/>
    </row>
    <row r="1312" ht="18.75" customHeight="1">
      <c r="A1312" s="18" t="str">
        <f t="array" ref="A1312">IFERROR(
  INDEX(
    'api-register-id'!A:A,
    MATCH(F1312, 'api-register-id'!B:B, 0)
  ),
  "Not found Organization"
)</f>
        <v>SSFF</v>
      </c>
      <c r="B1312" s="22" t="str">
        <f>IFERROR(VLOOKUP(F1312, 'api-register-id'!B:F, 4, FALSE), "Not found path.")</f>
        <v>mx-api-bc-rec-customer-products-and-services</v>
      </c>
      <c r="C1312" s="29" t="s">
        <v>112</v>
      </c>
      <c r="D1312" s="29" t="s">
        <v>1417</v>
      </c>
      <c r="E1312" s="24" t="str">
        <f>IFERROR(VLOOKUP(F1312, 'api-register-id'!B:F, 5, FALSE), "Not found path.")</f>
        <v>APIMX000128</v>
      </c>
      <c r="F1312" s="1" t="s">
        <v>6963</v>
      </c>
      <c r="G1312" s="26" t="s">
        <v>6977</v>
      </c>
      <c r="H1312" s="205" t="str">
        <f t="shared" si="33"/>
        <v>Rec_RetrieveCustomerProductSummaryV1</v>
      </c>
      <c r="I1312" s="29" t="str">
        <f>IFERROR(VLOOKUP(F1312, 'api-register-id'!B:I, 8, FALSE), "Not found path.")</f>
        <v>1.2.0</v>
      </c>
      <c r="J1312" s="3" t="s">
        <v>4198</v>
      </c>
      <c r="K1312" s="31" t="s">
        <v>48</v>
      </c>
      <c r="L1312" s="78" t="s">
        <v>49</v>
      </c>
      <c r="M1312" s="3" t="s">
        <v>5757</v>
      </c>
      <c r="N1312" s="3" t="str">
        <f t="shared" si="31"/>
        <v>POST /experience/customerManagement/customerProductsAndServices/v1/customerProductSummary/retrieve</v>
      </c>
      <c r="O1312" s="32" t="s">
        <v>5758</v>
      </c>
      <c r="P1312" s="40"/>
      <c r="Q1312" s="61" t="s">
        <v>98</v>
      </c>
      <c r="R1312" s="31" t="s">
        <v>56</v>
      </c>
      <c r="S1312" s="38" t="str">
        <f t="shared" si="32"/>
        <v>https://github.com/SF-Bancoppel/mx-api-bc-rec-customer-products-and-services</v>
      </c>
      <c r="T1312" s="40"/>
      <c r="U1312" s="40"/>
      <c r="V1312" s="40"/>
      <c r="W1312" s="40"/>
      <c r="X1312" s="40"/>
      <c r="Y1312" s="40"/>
      <c r="Z1312" s="40"/>
      <c r="AA1312" s="40"/>
      <c r="AB1312" s="40"/>
    </row>
    <row r="1313" ht="18.75" customHeight="1">
      <c r="A1313" s="18" t="str">
        <f t="array" ref="A1313">IFERROR(
  INDEX(
    'api-register-id'!A:A,
    MATCH(F1313, 'api-register-id'!B:B, 0)
  ),
  "Not found Organization"
)</f>
        <v>SSFF</v>
      </c>
      <c r="B1313" s="22" t="str">
        <f>IFERROR(VLOOKUP(F1313, 'api-register-id'!B:F, 4, FALSE), "Not found path.")</f>
        <v>mx-api-bc-rec-customer-products-and-services</v>
      </c>
      <c r="C1313" s="29" t="s">
        <v>112</v>
      </c>
      <c r="D1313" s="29" t="s">
        <v>1417</v>
      </c>
      <c r="E1313" s="24" t="str">
        <f>IFERROR(VLOOKUP(F1313, 'api-register-id'!B:F, 5, FALSE), "Not found path.")</f>
        <v>APIMX000128</v>
      </c>
      <c r="F1313" s="1" t="s">
        <v>6963</v>
      </c>
      <c r="G1313" s="26" t="s">
        <v>6978</v>
      </c>
      <c r="H1313" s="205" t="str">
        <f t="shared" si="33"/>
        <v>Rec_RetrieveCustomerCreditProductsV1</v>
      </c>
      <c r="I1313" s="29" t="str">
        <f>IFERROR(VLOOKUP(F1313, 'api-register-id'!B:I, 8, FALSE), "Not found path.")</f>
        <v>1.2.0</v>
      </c>
      <c r="J1313" s="3" t="s">
        <v>4198</v>
      </c>
      <c r="K1313" s="31" t="s">
        <v>48</v>
      </c>
      <c r="L1313" s="78" t="s">
        <v>49</v>
      </c>
      <c r="M1313" s="3" t="s">
        <v>5762</v>
      </c>
      <c r="N1313" s="3" t="str">
        <f t="shared" si="31"/>
        <v>POST /experience/customerManagement/customerProductsAndServices/v1/customerCreditProducts/retrieve</v>
      </c>
      <c r="O1313" s="32" t="s">
        <v>5763</v>
      </c>
      <c r="P1313" s="40"/>
      <c r="Q1313" s="61" t="s">
        <v>98</v>
      </c>
      <c r="R1313" s="31" t="s">
        <v>56</v>
      </c>
      <c r="S1313" s="38" t="str">
        <f t="shared" si="32"/>
        <v>https://github.com/SF-Bancoppel/mx-api-bc-rec-customer-products-and-services</v>
      </c>
      <c r="T1313" s="40"/>
      <c r="U1313" s="40"/>
      <c r="V1313" s="40"/>
      <c r="W1313" s="40"/>
      <c r="X1313" s="40"/>
      <c r="Y1313" s="40"/>
      <c r="Z1313" s="40"/>
      <c r="AA1313" s="40"/>
      <c r="AB1313" s="40"/>
    </row>
    <row r="1314" ht="18.75" customHeight="1">
      <c r="A1314" s="18" t="str">
        <f t="array" ref="A1314">IFERROR(
  INDEX(
    'api-register-id'!A:A,
    MATCH(F1314, 'api-register-id'!B:B, 0)
  ),
  "Not found Organization"
)</f>
        <v>SSFF</v>
      </c>
      <c r="B1314" s="22" t="str">
        <f>IFERROR(VLOOKUP(F1314, 'api-register-id'!B:F, 4, FALSE), "Not found path.")</f>
        <v>mx-api-bc-dom-employee-data-mgmt</v>
      </c>
      <c r="C1314" s="200" t="s">
        <v>41</v>
      </c>
      <c r="D1314" s="200" t="s">
        <v>119</v>
      </c>
      <c r="E1314" s="24" t="str">
        <f>IFERROR(VLOOKUP(F1314, 'api-register-id'!B:F, 5, FALSE), "Not found path.")</f>
        <v>APIMX000195</v>
      </c>
      <c r="F1314" s="25" t="s">
        <v>3246</v>
      </c>
      <c r="G1314" s="26" t="s">
        <v>6979</v>
      </c>
      <c r="H1314" s="205" t="s">
        <v>6980</v>
      </c>
      <c r="I1314" s="29" t="str">
        <f>IFERROR(VLOOKUP(F1314, 'api-register-id'!B:I, 8, FALSE), "Not found path.")</f>
        <v>1.1.0</v>
      </c>
      <c r="J1314" s="40" t="s">
        <v>6981</v>
      </c>
      <c r="K1314" s="31" t="s">
        <v>48</v>
      </c>
      <c r="L1314" s="200" t="s">
        <v>108</v>
      </c>
      <c r="M1314" s="212" t="s">
        <v>6982</v>
      </c>
      <c r="N1314" s="3" t="str">
        <f t="shared" si="31"/>
        <v>GET /humanResourceManagement/employeeDataManagement/v1/employee/{employeeNumber}/retrieve</v>
      </c>
      <c r="O1314" s="40" t="s">
        <v>6983</v>
      </c>
      <c r="P1314" s="40"/>
      <c r="Q1314" s="61" t="s">
        <v>98</v>
      </c>
      <c r="R1314" s="31" t="s">
        <v>56</v>
      </c>
      <c r="S1314" s="38" t="str">
        <f t="shared" si="32"/>
        <v>https://github.com/SF-Bancoppel/mx-api-bc-dom-employee-data-mgmt</v>
      </c>
      <c r="T1314" s="40"/>
      <c r="U1314" s="40"/>
      <c r="V1314" s="40"/>
      <c r="W1314" s="40"/>
      <c r="X1314" s="40"/>
      <c r="Y1314" s="40"/>
      <c r="Z1314" s="40"/>
      <c r="AA1314" s="40"/>
      <c r="AB1314" s="40"/>
    </row>
    <row r="1315" ht="18.75" customHeight="1">
      <c r="A1315" s="18" t="str">
        <f t="array" ref="A1315">IFERROR(
  INDEX(
    'api-register-id'!A:A,
    MATCH(F1315, 'api-register-id'!B:B, 0)
  ),
  "Not found Organization"
)</f>
        <v>SSFF</v>
      </c>
      <c r="B1315" s="22" t="str">
        <f>IFERROR(VLOOKUP(F1315, 'api-register-id'!B:F, 4, FALSE), "Not found path.")</f>
        <v>mx-api-bc-pro-employee-data-mgmt</v>
      </c>
      <c r="C1315" s="200" t="s">
        <v>41</v>
      </c>
      <c r="D1315" s="200" t="s">
        <v>811</v>
      </c>
      <c r="E1315" s="24" t="str">
        <f>IFERROR(VLOOKUP(F1315, 'api-register-id'!B:F, 5, FALSE), "Not found path.")</f>
        <v>APIMX000196</v>
      </c>
      <c r="F1315" s="25" t="s">
        <v>3303</v>
      </c>
      <c r="G1315" s="26" t="s">
        <v>6984</v>
      </c>
      <c r="H1315" s="205" t="s">
        <v>6985</v>
      </c>
      <c r="I1315" s="29" t="str">
        <f>IFERROR(VLOOKUP(F1315, 'api-register-id'!B:I, 8, FALSE), "Not found path.")</f>
        <v>1.1.0</v>
      </c>
      <c r="J1315" s="40" t="s">
        <v>6986</v>
      </c>
      <c r="K1315" s="31" t="s">
        <v>48</v>
      </c>
      <c r="L1315" s="200" t="s">
        <v>108</v>
      </c>
      <c r="M1315" s="212" t="s">
        <v>6982</v>
      </c>
      <c r="N1315" s="3" t="str">
        <f t="shared" si="31"/>
        <v>GET /system/humanResourceManagement/employeeDataManagement/v1/employee/{employeeNumber}/retrieve</v>
      </c>
      <c r="O1315" s="40" t="s">
        <v>6983</v>
      </c>
      <c r="P1315" s="40"/>
      <c r="Q1315" s="61" t="s">
        <v>98</v>
      </c>
      <c r="R1315" s="31" t="s">
        <v>56</v>
      </c>
      <c r="S1315" s="38" t="str">
        <f t="shared" si="32"/>
        <v>https://github.com/SF-Bancoppel/mx-api-bc-pro-employee-data-mgmt</v>
      </c>
      <c r="T1315" s="40"/>
      <c r="U1315" s="40"/>
      <c r="V1315" s="40"/>
      <c r="W1315" s="40"/>
      <c r="X1315" s="40"/>
      <c r="Y1315" s="40"/>
      <c r="Z1315" s="40"/>
      <c r="AA1315" s="40"/>
      <c r="AB1315" s="40"/>
    </row>
    <row r="1316" ht="18.75" customHeight="1">
      <c r="A1316" s="18" t="str">
        <f t="array" ref="A1316">IFERROR(
  INDEX(
    'api-register-id'!A:A,
    MATCH(F1316, 'api-register-id'!B:B, 0)
  ),
  "Not found Organization"
)</f>
        <v>SSFF</v>
      </c>
      <c r="B1316" s="22" t="str">
        <f>IFERROR(VLOOKUP(F1316, 'api-register-id'!B:F, 4, FALSE), "Not found path.")</f>
        <v>mx-api-bc-br-location-data-management</v>
      </c>
      <c r="C1316" s="213" t="s">
        <v>112</v>
      </c>
      <c r="D1316" s="200" t="s">
        <v>6207</v>
      </c>
      <c r="E1316" s="24" t="str">
        <f>IFERROR(VLOOKUP(F1316, 'api-register-id'!B:F, 5, FALSE), "Not found path.")</f>
        <v>APIMX000172</v>
      </c>
      <c r="F1316" s="25" t="s">
        <v>2623</v>
      </c>
      <c r="G1316" s="26" t="s">
        <v>6987</v>
      </c>
      <c r="H1316" s="287" t="s">
        <v>6988</v>
      </c>
      <c r="I1316" s="29" t="str">
        <f>IFERROR(VLOOKUP(F1316, 'api-register-id'!B:I, 8, FALSE), "Not found path.")</f>
        <v>1.0.0</v>
      </c>
      <c r="J1316" s="40" t="s">
        <v>6221</v>
      </c>
      <c r="K1316" s="31" t="s">
        <v>48</v>
      </c>
      <c r="L1316" s="200" t="s">
        <v>49</v>
      </c>
      <c r="M1316" s="212" t="s">
        <v>6989</v>
      </c>
      <c r="N1316" s="3" t="str">
        <f t="shared" si="31"/>
        <v>POST /businessRule/marketData/locationDataManagement/v1/evaluateLocation/</v>
      </c>
      <c r="O1316" s="40" t="s">
        <v>6990</v>
      </c>
      <c r="P1316" s="40"/>
      <c r="Q1316" s="61" t="s">
        <v>98</v>
      </c>
      <c r="R1316" s="31" t="s">
        <v>56</v>
      </c>
      <c r="S1316" s="38" t="str">
        <f t="shared" si="32"/>
        <v>https://github.com/SF-Bancoppel/mx-api-bc-br-location-data-management</v>
      </c>
      <c r="T1316" s="40"/>
      <c r="U1316" s="40"/>
      <c r="V1316" s="40"/>
      <c r="W1316" s="40"/>
      <c r="X1316" s="40"/>
      <c r="Y1316" s="40"/>
      <c r="Z1316" s="40"/>
      <c r="AA1316" s="40"/>
      <c r="AB1316" s="40"/>
    </row>
    <row r="1317" ht="18.75" customHeight="1">
      <c r="A1317" s="18" t="str">
        <f t="array" ref="A1317">IFERROR(
  INDEX(
    'api-register-id'!A:A,
    MATCH(F1317, 'api-register-id'!B:B, 0)
  ),
  "Not found Organization"
)</f>
        <v>SSFF</v>
      </c>
      <c r="B1317" s="22" t="str">
        <f>IFERROR(VLOOKUP(F1317, 'api-register-id'!B:F, 4, FALSE), "Not found path.")</f>
        <v>mx-api-bc-rec-employee-data-mgmt</v>
      </c>
      <c r="C1317" s="200" t="s">
        <v>112</v>
      </c>
      <c r="D1317" s="200" t="s">
        <v>1417</v>
      </c>
      <c r="E1317" s="24" t="str">
        <f>IFERROR(VLOOKUP(F1317, 'api-register-id'!B:F, 5, FALSE), "Not found path.")</f>
        <v>APIMX000197</v>
      </c>
      <c r="F1317" s="25" t="s">
        <v>3353</v>
      </c>
      <c r="G1317" s="26" t="s">
        <v>6991</v>
      </c>
      <c r="H1317" s="205" t="s">
        <v>6992</v>
      </c>
      <c r="I1317" s="29" t="str">
        <f>IFERROR(VLOOKUP(F1317, 'api-register-id'!B:I, 8, FALSE), "Not found path.")</f>
        <v>1.0.0</v>
      </c>
      <c r="J1317" s="40" t="s">
        <v>6993</v>
      </c>
      <c r="K1317" s="31" t="s">
        <v>48</v>
      </c>
      <c r="L1317" s="200" t="s">
        <v>108</v>
      </c>
      <c r="M1317" s="212" t="s">
        <v>6982</v>
      </c>
      <c r="N1317" s="3" t="str">
        <f t="shared" si="31"/>
        <v>GET /experience/humanResourceManagement/employeeDataManagement/v1/employee/{employeeNumber}/retrieve</v>
      </c>
      <c r="O1317" s="40" t="s">
        <v>6994</v>
      </c>
      <c r="P1317" s="40"/>
      <c r="Q1317" s="61" t="s">
        <v>98</v>
      </c>
      <c r="R1317" s="31" t="s">
        <v>56</v>
      </c>
      <c r="S1317" s="38" t="str">
        <f t="shared" si="32"/>
        <v>https://github.com/SF-Bancoppel/mx-api-bc-rec-employee-data-mgmt</v>
      </c>
      <c r="T1317" s="40"/>
      <c r="U1317" s="22"/>
      <c r="V1317" s="40"/>
      <c r="W1317" s="40"/>
      <c r="X1317" s="40"/>
      <c r="Y1317" s="40"/>
      <c r="Z1317" s="22"/>
      <c r="AA1317" s="22"/>
      <c r="AB1317" s="22"/>
    </row>
    <row r="1318" ht="18.75" customHeight="1">
      <c r="A1318" s="18" t="str">
        <f t="array" ref="A1318">IFERROR(
  INDEX(
    'api-register-id'!A:A,
    MATCH(F1318, 'api-register-id'!B:B, 0)
  ),
  "Not found Organization"
)</f>
        <v>SSFF</v>
      </c>
      <c r="B1318" s="22" t="str">
        <f>IFERROR(VLOOKUP(F1318, 'api-register-id'!B:F, 4, FALSE), "Not found path.")</f>
        <v>mx-api-bc-rec-issued-device-administration</v>
      </c>
      <c r="C1318" s="200" t="s">
        <v>112</v>
      </c>
      <c r="D1318" s="200" t="s">
        <v>1417</v>
      </c>
      <c r="E1318" s="24" t="str">
        <f>IFERROR(VLOOKUP(F1318, 'api-register-id'!B:F, 5, FALSE), "Not found path.")</f>
        <v>APIMX000133</v>
      </c>
      <c r="F1318" s="25" t="s">
        <v>1604</v>
      </c>
      <c r="G1318" s="26" t="s">
        <v>6995</v>
      </c>
      <c r="H1318" s="205" t="s">
        <v>6996</v>
      </c>
      <c r="I1318" s="29" t="str">
        <f>IFERROR(VLOOKUP(F1318, 'api-register-id'!B:I, 8, FALSE), "Not found path.")</f>
        <v>1.2.1</v>
      </c>
      <c r="J1318" s="40" t="s">
        <v>3849</v>
      </c>
      <c r="K1318" s="31" t="s">
        <v>48</v>
      </c>
      <c r="L1318" s="200" t="s">
        <v>49</v>
      </c>
      <c r="M1318" s="212" t="s">
        <v>5466</v>
      </c>
      <c r="N1318" s="3" t="str">
        <f t="shared" si="31"/>
        <v>POST /experience/operationalServices/issuedDeviceAdministration/v1/tokenAssignment/update</v>
      </c>
      <c r="O1318" s="40" t="s">
        <v>6997</v>
      </c>
      <c r="P1318" s="40"/>
      <c r="Q1318" s="61" t="s">
        <v>98</v>
      </c>
      <c r="R1318" s="31" t="s">
        <v>56</v>
      </c>
      <c r="S1318" s="38" t="str">
        <f t="shared" si="32"/>
        <v>https://github.com/SF-Bancoppel/mx-api-bc-rec-issued-device-administration</v>
      </c>
      <c r="T1318" s="40"/>
      <c r="U1318" s="22"/>
      <c r="V1318" s="40"/>
      <c r="W1318" s="40"/>
      <c r="X1318" s="40"/>
      <c r="Y1318" s="40"/>
      <c r="Z1318" s="22"/>
      <c r="AA1318" s="22"/>
      <c r="AB1318" s="22"/>
    </row>
    <row r="1319" ht="18.75" customHeight="1">
      <c r="A1319" s="18" t="str">
        <f t="array" ref="A1319">IFERROR(
  INDEX(
    'api-register-id'!A:A,
    MATCH(F1319, 'api-register-id'!B:B, 0)
  ),
  "Not found Organization"
)</f>
        <v>SSFF</v>
      </c>
      <c r="B1319" s="22" t="str">
        <f>IFERROR(VLOOKUP(F1319, 'api-register-id'!B:F, 4, FALSE), "Not found path.")</f>
        <v>mx-api-bc-rec-issued-device-administration</v>
      </c>
      <c r="C1319" s="200" t="s">
        <v>112</v>
      </c>
      <c r="D1319" s="200" t="s">
        <v>1417</v>
      </c>
      <c r="E1319" s="24" t="str">
        <f>IFERROR(VLOOKUP(F1319, 'api-register-id'!B:F, 5, FALSE), "Not found path.")</f>
        <v>APIMX000133</v>
      </c>
      <c r="F1319" s="25" t="s">
        <v>1604</v>
      </c>
      <c r="G1319" s="26" t="s">
        <v>6998</v>
      </c>
      <c r="H1319" s="205" t="s">
        <v>6999</v>
      </c>
      <c r="I1319" s="29" t="str">
        <f>IFERROR(VLOOKUP(F1319, 'api-register-id'!B:I, 8, FALSE), "Not found path.")</f>
        <v>1.2.1</v>
      </c>
      <c r="J1319" s="40" t="s">
        <v>3849</v>
      </c>
      <c r="K1319" s="31" t="s">
        <v>48</v>
      </c>
      <c r="L1319" s="200" t="s">
        <v>108</v>
      </c>
      <c r="M1319" s="212" t="s">
        <v>1108</v>
      </c>
      <c r="N1319" s="3" t="str">
        <f t="shared" si="31"/>
        <v>GET /experience/operationalServices/issuedDeviceAdministration/v1/deviceAssignment/retrieve</v>
      </c>
      <c r="O1319" s="40" t="s">
        <v>1109</v>
      </c>
      <c r="P1319" s="40"/>
      <c r="Q1319" s="61" t="s">
        <v>98</v>
      </c>
      <c r="R1319" s="31" t="s">
        <v>56</v>
      </c>
      <c r="S1319" s="38" t="str">
        <f t="shared" si="32"/>
        <v>https://github.com/SF-Bancoppel/mx-api-bc-rec-issued-device-administration</v>
      </c>
      <c r="T1319" s="40"/>
      <c r="U1319" s="22"/>
      <c r="V1319" s="40"/>
      <c r="W1319" s="40"/>
      <c r="X1319" s="40"/>
      <c r="Y1319" s="40"/>
      <c r="Z1319" s="22"/>
      <c r="AA1319" s="22"/>
      <c r="AB1319" s="22"/>
    </row>
    <row r="1320" ht="18.75" customHeight="1">
      <c r="A1320" s="18" t="str">
        <f t="array" ref="A1320">IFERROR(
  INDEX(
    'api-register-id'!A:A,
    MATCH(F1320, 'api-register-id'!B:B, 0)
  ),
  "Not found Organization"
)</f>
        <v>SSFF</v>
      </c>
      <c r="B1320" s="22" t="str">
        <f>IFERROR(VLOOKUP(F1320, 'api-register-id'!B:F, 4, FALSE), "Not found path.")</f>
        <v>mx-api-bc-rec-issued-device-administration</v>
      </c>
      <c r="C1320" s="200" t="s">
        <v>112</v>
      </c>
      <c r="D1320" s="200" t="s">
        <v>1417</v>
      </c>
      <c r="E1320" s="24" t="str">
        <f>IFERROR(VLOOKUP(F1320, 'api-register-id'!B:F, 5, FALSE), "Not found path.")</f>
        <v>APIMX000133</v>
      </c>
      <c r="F1320" s="25" t="s">
        <v>1604</v>
      </c>
      <c r="G1320" s="26" t="s">
        <v>7000</v>
      </c>
      <c r="H1320" s="205" t="s">
        <v>7001</v>
      </c>
      <c r="I1320" s="29" t="str">
        <f>IFERROR(VLOOKUP(F1320, 'api-register-id'!B:I, 8, FALSE), "Not found path.")</f>
        <v>1.2.1</v>
      </c>
      <c r="J1320" s="40" t="s">
        <v>3849</v>
      </c>
      <c r="K1320" s="31" t="s">
        <v>48</v>
      </c>
      <c r="L1320" s="200" t="s">
        <v>49</v>
      </c>
      <c r="M1320" s="212" t="s">
        <v>1122</v>
      </c>
      <c r="N1320" s="3" t="str">
        <f t="shared" si="31"/>
        <v>POST /experience/operationalServices/issuedDeviceAdministration/v1/deviceAssignment/register</v>
      </c>
      <c r="O1320" s="40" t="s">
        <v>1123</v>
      </c>
      <c r="P1320" s="40"/>
      <c r="Q1320" s="61" t="s">
        <v>98</v>
      </c>
      <c r="R1320" s="31" t="s">
        <v>56</v>
      </c>
      <c r="S1320" s="38" t="str">
        <f t="shared" si="32"/>
        <v>https://github.com/SF-Bancoppel/mx-api-bc-rec-issued-device-administration</v>
      </c>
      <c r="T1320" s="40"/>
      <c r="U1320" s="22"/>
      <c r="V1320" s="40"/>
      <c r="W1320" s="40"/>
      <c r="X1320" s="40"/>
      <c r="Y1320" s="40"/>
      <c r="Z1320" s="22"/>
      <c r="AA1320" s="22"/>
      <c r="AB1320" s="22"/>
    </row>
    <row r="1321" ht="18.75" customHeight="1">
      <c r="A1321" s="18" t="str">
        <f t="array" ref="A1321">IFERROR(
  INDEX(
    'api-register-id'!A:A,
    MATCH(F1321, 'api-register-id'!B:B, 0)
  ),
  "Not found Organization"
)</f>
        <v>SSFF</v>
      </c>
      <c r="B1321" s="22" t="str">
        <f>IFERROR(VLOOKUP(F1321, 'api-register-id'!B:F, 4, FALSE), "Not found path.")</f>
        <v>mx-api-bc-rec-issued-device-administration</v>
      </c>
      <c r="C1321" s="200" t="s">
        <v>112</v>
      </c>
      <c r="D1321" s="200" t="s">
        <v>1417</v>
      </c>
      <c r="E1321" s="24" t="str">
        <f>IFERROR(VLOOKUP(F1321, 'api-register-id'!B:F, 5, FALSE), "Not found path.")</f>
        <v>APIMX000133</v>
      </c>
      <c r="F1321" s="25" t="s">
        <v>1604</v>
      </c>
      <c r="G1321" s="26" t="s">
        <v>7002</v>
      </c>
      <c r="H1321" s="205" t="s">
        <v>7003</v>
      </c>
      <c r="I1321" s="29" t="str">
        <f>IFERROR(VLOOKUP(F1321, 'api-register-id'!B:I, 8, FALSE), "Not found path.")</f>
        <v>1.2.1</v>
      </c>
      <c r="J1321" s="40" t="s">
        <v>3849</v>
      </c>
      <c r="K1321" s="31" t="s">
        <v>48</v>
      </c>
      <c r="L1321" s="200" t="s">
        <v>49</v>
      </c>
      <c r="M1321" s="212" t="s">
        <v>1103</v>
      </c>
      <c r="N1321" s="3" t="str">
        <f t="shared" si="31"/>
        <v>POST /experience/operationalServices/issuedDeviceAdministration/v1/deviceAssignment/initiate</v>
      </c>
      <c r="O1321" s="40" t="s">
        <v>7004</v>
      </c>
      <c r="P1321" s="40"/>
      <c r="Q1321" s="61" t="s">
        <v>98</v>
      </c>
      <c r="R1321" s="31" t="s">
        <v>56</v>
      </c>
      <c r="S1321" s="38" t="str">
        <f t="shared" si="32"/>
        <v>https://github.com/SF-Bancoppel/mx-api-bc-rec-issued-device-administration</v>
      </c>
      <c r="T1321" s="40"/>
      <c r="U1321" s="22"/>
      <c r="V1321" s="40"/>
      <c r="W1321" s="40"/>
      <c r="X1321" s="40"/>
      <c r="Y1321" s="40"/>
      <c r="Z1321" s="22"/>
      <c r="AA1321" s="22"/>
      <c r="AB1321" s="22"/>
    </row>
    <row r="1322" ht="18.75" customHeight="1">
      <c r="A1322" s="18" t="str">
        <f t="array" ref="A1322">IFERROR(
  INDEX(
    'api-register-id'!A:A,
    MATCH(F1322, 'api-register-id'!B:B, 0)
  ),
  "Not found Organization"
)</f>
        <v>SSFF</v>
      </c>
      <c r="B1322" s="22" t="str">
        <f>IFERROR(VLOOKUP(F1322, 'api-register-id'!B:F, 4, FALSE), "Not found path.")</f>
        <v>mx-api-bc-rec-party-lifecycle-management</v>
      </c>
      <c r="C1322" s="200" t="s">
        <v>112</v>
      </c>
      <c r="D1322" s="200" t="s">
        <v>1417</v>
      </c>
      <c r="E1322" s="24" t="str">
        <f>IFERROR(VLOOKUP(F1322, 'api-register-id'!B:F, 5, FALSE), "Not found path.")</f>
        <v>APIMX000139</v>
      </c>
      <c r="F1322" s="25" t="s">
        <v>1667</v>
      </c>
      <c r="G1322" s="26" t="s">
        <v>7005</v>
      </c>
      <c r="H1322" s="205" t="s">
        <v>7006</v>
      </c>
      <c r="I1322" s="29" t="str">
        <f>IFERROR(VLOOKUP(F1322, 'api-register-id'!B:I, 8, FALSE), "Not found path.")</f>
        <v>2.1.1</v>
      </c>
      <c r="J1322" s="40" t="s">
        <v>4543</v>
      </c>
      <c r="K1322" s="31" t="s">
        <v>48</v>
      </c>
      <c r="L1322" s="200" t="s">
        <v>49</v>
      </c>
      <c r="M1322" s="212" t="s">
        <v>1422</v>
      </c>
      <c r="N1322" s="3" t="str">
        <f t="shared" si="31"/>
        <v>POST /experience/sales/partyLifecycleManagement/v1/partyRelationshipProcedure/initiate</v>
      </c>
      <c r="O1322" s="40" t="s">
        <v>1424</v>
      </c>
      <c r="P1322" s="40"/>
      <c r="Q1322" s="61" t="s">
        <v>98</v>
      </c>
      <c r="R1322" s="31" t="s">
        <v>56</v>
      </c>
      <c r="S1322" s="38" t="str">
        <f t="shared" si="32"/>
        <v>https://github.com/SF-Bancoppel/mx-api-bc-rec-party-lifecycle-management</v>
      </c>
      <c r="T1322" s="40"/>
      <c r="U1322" s="22"/>
      <c r="V1322" s="40"/>
      <c r="W1322" s="40"/>
      <c r="X1322" s="40"/>
      <c r="Y1322" s="40"/>
      <c r="Z1322" s="22"/>
      <c r="AA1322" s="22"/>
      <c r="AB1322" s="22"/>
    </row>
    <row r="1323" ht="18.75" customHeight="1">
      <c r="A1323" s="18" t="str">
        <f t="array" ref="A1323">IFERROR(
  INDEX(
    'api-register-id'!A:A,
    MATCH(F1323, 'api-register-id'!B:B, 0)
  ),
  "Not found Organization"
)</f>
        <v>SSFF</v>
      </c>
      <c r="B1323" s="22" t="str">
        <f>IFERROR(VLOOKUP(F1323, 'api-register-id'!B:F, 4, FALSE), "Not found path.")</f>
        <v>mx-api-bc-rec-session-dialogue</v>
      </c>
      <c r="C1323" s="200" t="s">
        <v>112</v>
      </c>
      <c r="D1323" s="200" t="s">
        <v>1417</v>
      </c>
      <c r="E1323" s="24" t="str">
        <f>IFERROR(VLOOKUP(F1323, 'api-register-id'!B:F, 5, FALSE), "Not found path.")</f>
        <v>APIMX000149</v>
      </c>
      <c r="F1323" s="25" t="s">
        <v>1773</v>
      </c>
      <c r="G1323" s="26" t="s">
        <v>7007</v>
      </c>
      <c r="H1323" s="205" t="s">
        <v>7008</v>
      </c>
      <c r="I1323" s="29" t="str">
        <f>IFERROR(VLOOKUP(F1323, 'api-register-id'!B:I, 8, FALSE), "Not found path.")</f>
        <v>1.2.0</v>
      </c>
      <c r="J1323" s="40" t="s">
        <v>4924</v>
      </c>
      <c r="K1323" s="31" t="s">
        <v>48</v>
      </c>
      <c r="L1323" s="200" t="s">
        <v>108</v>
      </c>
      <c r="M1323" s="212" t="s">
        <v>1871</v>
      </c>
      <c r="N1323" s="3" t="str">
        <f t="shared" si="31"/>
        <v>GET /experience/crossChannel/sessionDialogue/v1/customerContactSessionProcedure/retrieve</v>
      </c>
      <c r="O1323" s="40" t="s">
        <v>7009</v>
      </c>
      <c r="P1323" s="40"/>
      <c r="Q1323" s="61" t="s">
        <v>98</v>
      </c>
      <c r="R1323" s="31" t="s">
        <v>56</v>
      </c>
      <c r="S1323" s="38" t="str">
        <f t="shared" si="32"/>
        <v>https://github.com/SF-Bancoppel/mx-api-bc-rec-session-dialogue</v>
      </c>
      <c r="T1323" s="40"/>
      <c r="U1323" s="22"/>
      <c r="V1323" s="40"/>
      <c r="W1323" s="40"/>
      <c r="X1323" s="40"/>
      <c r="Y1323" s="40"/>
      <c r="Z1323" s="22"/>
      <c r="AA1323" s="22"/>
      <c r="AB1323" s="22"/>
    </row>
    <row r="1324" ht="18.75" customHeight="1">
      <c r="A1324" s="18" t="str">
        <f t="array" ref="A1324">IFERROR(
  INDEX(
    'api-register-id'!A:A,
    MATCH(F1324, 'api-register-id'!B:B, 0)
  ),
  "Not found Organization"
)</f>
        <v>SSFF</v>
      </c>
      <c r="B1324" s="22" t="str">
        <f>IFERROR(VLOOKUP(F1324, 'api-register-id'!B:F, 4, FALSE), "Not found path.")</f>
        <v>mx-api-bc-rec-session-dialogue</v>
      </c>
      <c r="C1324" s="200" t="s">
        <v>112</v>
      </c>
      <c r="D1324" s="200" t="s">
        <v>1417</v>
      </c>
      <c r="E1324" s="24" t="str">
        <f>IFERROR(VLOOKUP(F1324, 'api-register-id'!B:F, 5, FALSE), "Not found path.")</f>
        <v>APIMX000149</v>
      </c>
      <c r="F1324" s="25" t="s">
        <v>1773</v>
      </c>
      <c r="G1324" s="26" t="s">
        <v>7010</v>
      </c>
      <c r="H1324" s="205" t="s">
        <v>7011</v>
      </c>
      <c r="I1324" s="29" t="str">
        <f>IFERROR(VLOOKUP(F1324, 'api-register-id'!B:I, 8, FALSE), "Not found path.")</f>
        <v>1.2.0</v>
      </c>
      <c r="J1324" s="40" t="s">
        <v>4924</v>
      </c>
      <c r="K1324" s="31" t="s">
        <v>48</v>
      </c>
      <c r="L1324" s="200" t="s">
        <v>49</v>
      </c>
      <c r="M1324" s="212" t="s">
        <v>1863</v>
      </c>
      <c r="N1324" s="3" t="str">
        <f t="shared" si="31"/>
        <v>POST /experience/crossChannel/sessionDialogue/v1/customerContactSessionProcedure/initiate</v>
      </c>
      <c r="O1324" s="40" t="s">
        <v>7012</v>
      </c>
      <c r="P1324" s="40"/>
      <c r="Q1324" s="61" t="s">
        <v>98</v>
      </c>
      <c r="R1324" s="31" t="s">
        <v>56</v>
      </c>
      <c r="S1324" s="38" t="str">
        <f t="shared" si="32"/>
        <v>https://github.com/SF-Bancoppel/mx-api-bc-rec-session-dialogue</v>
      </c>
      <c r="T1324" s="40"/>
      <c r="U1324" s="22"/>
      <c r="V1324" s="40"/>
      <c r="W1324" s="40"/>
      <c r="X1324" s="40"/>
      <c r="Y1324" s="40"/>
      <c r="Z1324" s="22"/>
      <c r="AA1324" s="22"/>
      <c r="AB1324" s="22"/>
    </row>
    <row r="1325" ht="18.75" customHeight="1">
      <c r="A1325" s="18" t="str">
        <f t="array" ref="A1325">IFERROR(
  INDEX(
    'api-register-id'!A:A,
    MATCH(F1325, 'api-register-id'!B:B, 0)
  ),
  "Not found Organization"
)</f>
        <v>SSFF</v>
      </c>
      <c r="B1325" s="22" t="str">
        <f>IFERROR(VLOOKUP(F1325, 'api-register-id'!B:F, 4, FALSE), "Not found path.")</f>
        <v>mx-api-bc-pro-platform-operations</v>
      </c>
      <c r="C1325" s="200" t="s">
        <v>41</v>
      </c>
      <c r="D1325" s="200" t="s">
        <v>811</v>
      </c>
      <c r="E1325" s="24" t="str">
        <f>IFERROR(VLOOKUP(F1325, 'api-register-id'!B:F, 5, FALSE), "Not found path.")</f>
        <v>APIMX000102</v>
      </c>
      <c r="F1325" s="25" t="s">
        <v>1277</v>
      </c>
      <c r="G1325" s="26" t="s">
        <v>7013</v>
      </c>
      <c r="H1325" s="205" t="s">
        <v>7014</v>
      </c>
      <c r="I1325" s="29" t="str">
        <f>IFERROR(VLOOKUP(F1325, 'api-register-id'!B:I, 8, FALSE), "Not found path.")</f>
        <v>1.1.0</v>
      </c>
      <c r="J1325" s="40" t="s">
        <v>3558</v>
      </c>
      <c r="K1325" s="31" t="s">
        <v>48</v>
      </c>
      <c r="L1325" s="200" t="s">
        <v>49</v>
      </c>
      <c r="M1325" s="212" t="s">
        <v>7015</v>
      </c>
      <c r="N1325" s="3" t="str">
        <f t="shared" si="31"/>
        <v>POST /system/iTManagement/platformOperations/v1/creditCardDataSync/retrieve</v>
      </c>
      <c r="O1325" s="40" t="s">
        <v>7016</v>
      </c>
      <c r="P1325" s="40"/>
      <c r="Q1325" s="61" t="s">
        <v>98</v>
      </c>
      <c r="R1325" s="31" t="s">
        <v>56</v>
      </c>
      <c r="S1325" s="38" t="str">
        <f t="shared" si="32"/>
        <v>https://github.com/SF-Bancoppel/mx-api-bc-pro-platform-operations</v>
      </c>
      <c r="T1325" s="40"/>
      <c r="U1325" s="22"/>
      <c r="V1325" s="40"/>
      <c r="W1325" s="40"/>
      <c r="X1325" s="40"/>
      <c r="Y1325" s="40"/>
      <c r="Z1325" s="22"/>
      <c r="AA1325" s="22"/>
      <c r="AB1325" s="22"/>
    </row>
    <row r="1326" ht="18.75" customHeight="1">
      <c r="A1326" s="18" t="str">
        <f t="array" ref="A1326">IFERROR(
  INDEX(
    'api-register-id'!A:A,
    MATCH(F1326, 'api-register-id'!B:B, 0)
  ),
  "Not found Organization"
)</f>
        <v>SSFF</v>
      </c>
      <c r="B1326" s="22" t="str">
        <f>IFERROR(VLOOKUP(F1326, 'api-register-id'!B:F, 4, FALSE), "Not found path.")</f>
        <v>mx-api-bc-dom-platform-operations</v>
      </c>
      <c r="C1326" s="200" t="s">
        <v>41</v>
      </c>
      <c r="D1326" s="200" t="s">
        <v>119</v>
      </c>
      <c r="E1326" s="24" t="str">
        <f>IFERROR(VLOOKUP(F1326, 'api-register-id'!B:F, 5, FALSE), "Not found path.")</f>
        <v>APIMX000046</v>
      </c>
      <c r="F1326" s="25" t="s">
        <v>692</v>
      </c>
      <c r="G1326" s="26" t="s">
        <v>7017</v>
      </c>
      <c r="H1326" s="205" t="s">
        <v>7018</v>
      </c>
      <c r="I1326" s="29" t="str">
        <f>IFERROR(VLOOKUP(F1326, 'api-register-id'!B:I, 8, FALSE), "Not found path.")</f>
        <v>1.0.0</v>
      </c>
      <c r="J1326" s="40" t="s">
        <v>1714</v>
      </c>
      <c r="K1326" s="31" t="s">
        <v>48</v>
      </c>
      <c r="L1326" s="200" t="s">
        <v>49</v>
      </c>
      <c r="M1326" s="212" t="s">
        <v>7015</v>
      </c>
      <c r="N1326" s="3" t="str">
        <f t="shared" si="31"/>
        <v>POST /iTManagement/platformOperations/v1/creditCardDataSync/retrieve</v>
      </c>
      <c r="O1326" s="40" t="s">
        <v>7016</v>
      </c>
      <c r="P1326" s="40"/>
      <c r="Q1326" s="61" t="s">
        <v>98</v>
      </c>
      <c r="R1326" s="31" t="s">
        <v>56</v>
      </c>
      <c r="S1326" s="38" t="str">
        <f t="shared" si="32"/>
        <v>https://github.com/SF-Bancoppel/mx-api-bc-dom-platform-operations</v>
      </c>
      <c r="T1326" s="40"/>
      <c r="U1326" s="22"/>
      <c r="V1326" s="40"/>
      <c r="W1326" s="40"/>
      <c r="X1326" s="40"/>
      <c r="Y1326" s="40"/>
      <c r="Z1326" s="22"/>
      <c r="AA1326" s="22"/>
      <c r="AB1326" s="22"/>
    </row>
    <row r="1327" ht="18.75" customHeight="1">
      <c r="A1327" s="18" t="str">
        <f t="array" ref="A1327">IFERROR(
  INDEX(
    'api-register-id'!A:A,
    MATCH(F1327, 'api-register-id'!B:B, 0)
  ),
  "Not found Organization"
)</f>
        <v>SSFF</v>
      </c>
      <c r="B1327" s="22" t="str">
        <f>IFERROR(VLOOKUP(F1327, 'api-register-id'!B:F, 4, FALSE), "Not found path.")</f>
        <v>mx-api-bc-pro-platform-operations</v>
      </c>
      <c r="C1327" s="200" t="s">
        <v>41</v>
      </c>
      <c r="D1327" s="200" t="s">
        <v>811</v>
      </c>
      <c r="E1327" s="24" t="str">
        <f>IFERROR(VLOOKUP(F1327, 'api-register-id'!B:F, 5, FALSE), "Not found path.")</f>
        <v>APIMX000102</v>
      </c>
      <c r="F1327" s="25" t="s">
        <v>1277</v>
      </c>
      <c r="G1327" s="26" t="s">
        <v>7019</v>
      </c>
      <c r="H1327" s="205" t="s">
        <v>7020</v>
      </c>
      <c r="I1327" s="29" t="str">
        <f>IFERROR(VLOOKUP(F1327, 'api-register-id'!B:I, 8, FALSE), "Not found path.")</f>
        <v>1.1.0</v>
      </c>
      <c r="J1327" s="40" t="s">
        <v>7021</v>
      </c>
      <c r="K1327" s="31" t="s">
        <v>48</v>
      </c>
      <c r="L1327" s="200" t="s">
        <v>49</v>
      </c>
      <c r="M1327" s="212" t="s">
        <v>7022</v>
      </c>
      <c r="N1327" s="3" t="str">
        <f t="shared" si="31"/>
        <v>POST /system/platformOperations/v1/creditCardDataSync/register</v>
      </c>
      <c r="O1327" s="40" t="s">
        <v>7016</v>
      </c>
      <c r="P1327" s="40"/>
      <c r="Q1327" s="61" t="s">
        <v>98</v>
      </c>
      <c r="R1327" s="31" t="s">
        <v>56</v>
      </c>
      <c r="S1327" s="38" t="str">
        <f t="shared" si="32"/>
        <v>https://github.com/SF-Bancoppel/mx-api-bc-pro-platform-operations</v>
      </c>
      <c r="T1327" s="40"/>
      <c r="U1327" s="40"/>
      <c r="V1327" s="40"/>
      <c r="W1327" s="40"/>
      <c r="X1327" s="40"/>
      <c r="Y1327" s="40"/>
      <c r="Z1327" s="40"/>
      <c r="AA1327" s="40"/>
      <c r="AB1327" s="40"/>
    </row>
    <row r="1328" ht="18.75" customHeight="1">
      <c r="A1328" s="18" t="str">
        <f t="array" ref="A1328">IFERROR(
  INDEX(
    'api-register-id'!A:A,
    MATCH(F1328, 'api-register-id'!B:B, 0)
  ),
  "Not found Organization"
)</f>
        <v>SSFF</v>
      </c>
      <c r="B1328" s="22" t="str">
        <f>IFERROR(VLOOKUP(F1328, 'api-register-id'!B:F, 4, FALSE), "Not found path.")</f>
        <v>mx-api-bc-dom-platform-operations</v>
      </c>
      <c r="C1328" s="200" t="s">
        <v>41</v>
      </c>
      <c r="D1328" s="200" t="s">
        <v>119</v>
      </c>
      <c r="E1328" s="24" t="str">
        <f>IFERROR(VLOOKUP(F1328, 'api-register-id'!B:F, 5, FALSE), "Not found path.")</f>
        <v>APIMX000046</v>
      </c>
      <c r="F1328" s="25" t="s">
        <v>692</v>
      </c>
      <c r="G1328" s="26" t="s">
        <v>7023</v>
      </c>
      <c r="H1328" s="205" t="s">
        <v>7024</v>
      </c>
      <c r="I1328" s="29" t="str">
        <f>IFERROR(VLOOKUP(F1328, 'api-register-id'!B:I, 8, FALSE), "Not found path.")</f>
        <v>1.0.0</v>
      </c>
      <c r="J1328" s="40" t="s">
        <v>7025</v>
      </c>
      <c r="K1328" s="31" t="s">
        <v>48</v>
      </c>
      <c r="L1328" s="200" t="s">
        <v>49</v>
      </c>
      <c r="M1328" s="212" t="s">
        <v>7022</v>
      </c>
      <c r="N1328" s="3" t="str">
        <f t="shared" si="31"/>
        <v>POST /platformOperations/v1/creditCardDataSync/register</v>
      </c>
      <c r="O1328" s="40" t="s">
        <v>7016</v>
      </c>
      <c r="P1328" s="40"/>
      <c r="Q1328" s="61" t="s">
        <v>98</v>
      </c>
      <c r="R1328" s="31" t="s">
        <v>56</v>
      </c>
      <c r="S1328" s="38" t="str">
        <f t="shared" si="32"/>
        <v>https://github.com/SF-Bancoppel/mx-api-bc-dom-platform-operations</v>
      </c>
      <c r="T1328" s="40"/>
      <c r="U1328" s="40"/>
      <c r="V1328" s="40"/>
      <c r="W1328" s="40"/>
      <c r="X1328" s="40"/>
      <c r="Y1328" s="40"/>
      <c r="Z1328" s="40"/>
      <c r="AA1328" s="40"/>
      <c r="AB1328" s="40"/>
    </row>
    <row r="1329" ht="18.75" customHeight="1">
      <c r="A1329" s="18" t="str">
        <f t="array" ref="A1329">IFERROR(
  INDEX(
    'api-register-id'!A:A,
    MATCH(F1329, 'api-register-id'!B:B, 0)
  ),
  "Not found Organization"
)</f>
        <v>SSFF</v>
      </c>
      <c r="B1329" s="22" t="str">
        <f>IFERROR(VLOOKUP(F1329, 'api-register-id'!B:F, 4, FALSE), "Not found path.")</f>
        <v>mx-api-bc-rec-utility</v>
      </c>
      <c r="C1329" s="213" t="s">
        <v>112</v>
      </c>
      <c r="D1329" s="213" t="s">
        <v>1417</v>
      </c>
      <c r="E1329" s="24" t="str">
        <f>IFERROR(VLOOKUP(F1329, 'api-register-id'!B:F, 5, FALSE), "Not found path.")</f>
        <v>APIMX000152</v>
      </c>
      <c r="F1329" s="25" t="s">
        <v>1805</v>
      </c>
      <c r="G1329" s="26" t="s">
        <v>7026</v>
      </c>
      <c r="H1329" s="199" t="s">
        <v>7027</v>
      </c>
      <c r="I1329" s="29" t="str">
        <f>IFERROR(VLOOKUP(F1329, 'api-register-id'!B:I, 8, FALSE), "Not found path.")</f>
        <v>1.1.0</v>
      </c>
      <c r="J1329" s="3" t="s">
        <v>4957</v>
      </c>
      <c r="K1329" s="31" t="s">
        <v>48</v>
      </c>
      <c r="L1329" s="200" t="s">
        <v>49</v>
      </c>
      <c r="M1329" s="288" t="s">
        <v>5802</v>
      </c>
      <c r="N1329" s="3" t="str">
        <f t="shared" si="31"/>
        <v>POST /experience/utility/utility/v1/checkPoint/retrieve</v>
      </c>
      <c r="O1329" s="22" t="s">
        <v>7028</v>
      </c>
      <c r="P1329" s="40"/>
      <c r="Q1329" s="61" t="s">
        <v>98</v>
      </c>
      <c r="R1329" s="31" t="s">
        <v>56</v>
      </c>
      <c r="S1329" s="38" t="str">
        <f t="shared" si="32"/>
        <v>https://github.com/SF-Bancoppel/mx-api-bc-rec-utility</v>
      </c>
      <c r="T1329" s="40"/>
      <c r="U1329" s="40"/>
      <c r="V1329" s="40"/>
      <c r="W1329" s="40"/>
      <c r="X1329" s="40"/>
      <c r="Y1329" s="40"/>
      <c r="Z1329" s="40"/>
      <c r="AA1329" s="40"/>
      <c r="AB1329" s="40"/>
    </row>
    <row r="1330" ht="18.75" customHeight="1">
      <c r="A1330" s="18" t="s">
        <v>44</v>
      </c>
      <c r="B1330" s="22" t="str">
        <f>IFERROR(VLOOKUP(F1330, 'api-register-id'!B:F, 4, FALSE), "Not found path.")</f>
        <v>mx-api-bc-dom-credit-card</v>
      </c>
      <c r="C1330" s="200" t="s">
        <v>41</v>
      </c>
      <c r="D1330" s="200" t="s">
        <v>119</v>
      </c>
      <c r="E1330" s="24" t="str">
        <f>IFERROR(VLOOKUP(F1330, 'api-register-id'!B:F, 5, FALSE), "Not found path.")</f>
        <v>APIMX000012</v>
      </c>
      <c r="F1330" s="289" t="s">
        <v>218</v>
      </c>
      <c r="G1330" s="26" t="s">
        <v>7029</v>
      </c>
      <c r="H1330" s="205" t="s">
        <v>7030</v>
      </c>
      <c r="I1330" s="29" t="str">
        <f>IFERROR(VLOOKUP(F1330, 'api-register-id'!B:I, 8, FALSE), "Not found path.")</f>
        <v>1.31.0</v>
      </c>
      <c r="J1330" s="40" t="s">
        <v>560</v>
      </c>
      <c r="K1330" s="31" t="s">
        <v>48</v>
      </c>
      <c r="L1330" s="290" t="s">
        <v>49</v>
      </c>
      <c r="M1330" s="212" t="s">
        <v>7031</v>
      </c>
      <c r="N1330" s="3" t="str">
        <f t="shared" si="31"/>
        <v>POST /cards/creditCard/v1/cardsByBatch/retrieve</v>
      </c>
      <c r="O1330" s="40" t="s">
        <v>7032</v>
      </c>
      <c r="P1330" s="40"/>
      <c r="Q1330" s="61" t="s">
        <v>98</v>
      </c>
      <c r="R1330" s="31" t="s">
        <v>56</v>
      </c>
      <c r="S1330" s="38" t="str">
        <f t="shared" si="32"/>
        <v>https://github.com/SF-Bancoppel/mx-api-bc-dom-credit-card</v>
      </c>
      <c r="T1330" s="40"/>
      <c r="U1330" s="40"/>
      <c r="V1330" s="40"/>
      <c r="W1330" s="40"/>
      <c r="X1330" s="40"/>
      <c r="Y1330" s="40"/>
      <c r="Z1330" s="40"/>
      <c r="AA1330" s="40"/>
      <c r="AB1330" s="40"/>
    </row>
    <row r="1331" ht="18.75" customHeight="1">
      <c r="A1331" s="18" t="str">
        <f t="array" ref="A1331">IFERROR(
  INDEX(
    'api-register-id'!A:A,
    MATCH(F1331, 'api-register-id'!B:B, 0)
  ),
  "Not found Organization"
)</f>
        <v>SSFF</v>
      </c>
      <c r="B1331" s="22" t="str">
        <f>IFERROR(VLOOKUP(F1331, 'api-register-id'!B:F, 4, FALSE), "Not found path.")</f>
        <v>mx-api-bc-pro-credit-card</v>
      </c>
      <c r="C1331" s="200" t="s">
        <v>41</v>
      </c>
      <c r="D1331" s="200" t="s">
        <v>811</v>
      </c>
      <c r="E1331" s="24" t="str">
        <f>IFERROR(VLOOKUP(F1331, 'api-register-id'!B:F, 5, FALSE), "Not found path.")</f>
        <v>APIMX000068</v>
      </c>
      <c r="F1331" s="289" t="s">
        <v>913</v>
      </c>
      <c r="G1331" s="26" t="s">
        <v>7033</v>
      </c>
      <c r="H1331" s="205" t="s">
        <v>7034</v>
      </c>
      <c r="I1331" s="29" t="str">
        <f>IFERROR(VLOOKUP(F1331, 'api-register-id'!B:I, 8, FALSE), "Not found path.")</f>
        <v>1.31.0</v>
      </c>
      <c r="J1331" s="40" t="s">
        <v>2376</v>
      </c>
      <c r="K1331" s="31" t="s">
        <v>48</v>
      </c>
      <c r="L1331" s="290" t="s">
        <v>49</v>
      </c>
      <c r="M1331" s="212" t="s">
        <v>7031</v>
      </c>
      <c r="N1331" s="3" t="str">
        <f t="shared" si="31"/>
        <v>POST /system/cards/creditCard/v1/cardsByBatch/retrieve</v>
      </c>
      <c r="O1331" s="40" t="s">
        <v>7032</v>
      </c>
      <c r="P1331" s="40"/>
      <c r="Q1331" s="61" t="s">
        <v>98</v>
      </c>
      <c r="R1331" s="31" t="s">
        <v>56</v>
      </c>
      <c r="S1331" s="38" t="str">
        <f t="shared" si="32"/>
        <v>https://github.com/SF-Bancoppel/mx-api-bc-pro-credit-card</v>
      </c>
      <c r="T1331" s="40"/>
      <c r="U1331" s="40"/>
      <c r="V1331" s="40"/>
      <c r="W1331" s="40"/>
      <c r="X1331" s="40"/>
      <c r="Y1331" s="40"/>
      <c r="Z1331" s="40"/>
      <c r="AA1331" s="40"/>
      <c r="AB1331" s="40"/>
    </row>
    <row r="1332" ht="18.75" customHeight="1">
      <c r="A1332" s="18" t="str">
        <f t="array" ref="A1332">IFERROR(
  INDEX(
    'api-register-id'!A:A,
    MATCH(F1332, 'api-register-id'!B:B, 0)
  ),
  "Not found Organization"
)</f>
        <v>SSFF</v>
      </c>
      <c r="B1332" s="22" t="str">
        <f>IFERROR(VLOOKUP(F1332, 'api-register-id'!B:F, 4, FALSE), "Not found path.")</f>
        <v>mx-api-bc-rec-credit-card</v>
      </c>
      <c r="C1332" s="200" t="s">
        <v>112</v>
      </c>
      <c r="D1332" s="200" t="s">
        <v>1417</v>
      </c>
      <c r="E1332" s="24" t="str">
        <f>IFERROR(VLOOKUP(F1332, 'api-register-id'!B:F, 5, FALSE), "Not found path.")</f>
        <v>APIMX000120</v>
      </c>
      <c r="F1332" s="289" t="s">
        <v>1471</v>
      </c>
      <c r="G1332" s="26" t="s">
        <v>7035</v>
      </c>
      <c r="H1332" s="205" t="s">
        <v>7036</v>
      </c>
      <c r="I1332" s="29" t="str">
        <f>IFERROR(VLOOKUP(F1332, 'api-register-id'!B:I, 8, FALSE), "Not found path.")</f>
        <v>1.14.0</v>
      </c>
      <c r="J1332" s="40" t="s">
        <v>3959</v>
      </c>
      <c r="K1332" s="31" t="s">
        <v>48</v>
      </c>
      <c r="L1332" s="290" t="s">
        <v>49</v>
      </c>
      <c r="M1332" s="212" t="s">
        <v>7031</v>
      </c>
      <c r="N1332" s="3" t="str">
        <f t="shared" si="31"/>
        <v>POST /experience/cards/creditCard/v1/cardsByBatch/retrieve</v>
      </c>
      <c r="O1332" s="40" t="s">
        <v>7032</v>
      </c>
      <c r="P1332" s="40"/>
      <c r="Q1332" s="61" t="s">
        <v>98</v>
      </c>
      <c r="R1332" s="31" t="s">
        <v>56</v>
      </c>
      <c r="S1332" s="38" t="str">
        <f t="shared" si="32"/>
        <v>https://github.com/SF-Bancoppel/mx-api-bc-rec-credit-card</v>
      </c>
      <c r="T1332" s="40"/>
      <c r="U1332" s="40"/>
      <c r="V1332" s="40"/>
      <c r="W1332" s="40"/>
      <c r="X1332" s="40"/>
      <c r="Y1332" s="40"/>
      <c r="Z1332" s="40"/>
      <c r="AA1332" s="40"/>
      <c r="AB1332" s="40"/>
    </row>
    <row r="1333" ht="18.75" customHeight="1">
      <c r="A1333" s="18" t="str">
        <f t="array" ref="A1333">IFERROR(
  INDEX(
    'api-register-id'!A:A,
    MATCH(F1333, 'api-register-id'!B:B, 0)
  ),
  "Not found Organization"
)</f>
        <v>SSFF</v>
      </c>
      <c r="B1333" s="22" t="str">
        <f>IFERROR(VLOOKUP(F1333, 'api-register-id'!B:F, 4, FALSE), "Not found path.")</f>
        <v>mx-api-bc-dom-credit-card</v>
      </c>
      <c r="C1333" s="200" t="s">
        <v>41</v>
      </c>
      <c r="D1333" s="200" t="s">
        <v>119</v>
      </c>
      <c r="E1333" s="24" t="str">
        <f>IFERROR(VLOOKUP(F1333, 'api-register-id'!B:F, 5, FALSE), "Not found path.")</f>
        <v>APIMX000012</v>
      </c>
      <c r="F1333" s="289" t="s">
        <v>218</v>
      </c>
      <c r="G1333" s="26" t="s">
        <v>7037</v>
      </c>
      <c r="H1333" s="205" t="s">
        <v>7038</v>
      </c>
      <c r="I1333" s="29" t="str">
        <f>IFERROR(VLOOKUP(F1333, 'api-register-id'!B:I, 8, FALSE), "Not found path.")</f>
        <v>1.31.0</v>
      </c>
      <c r="J1333" s="40" t="s">
        <v>560</v>
      </c>
      <c r="K1333" s="31" t="s">
        <v>48</v>
      </c>
      <c r="L1333" s="290" t="s">
        <v>49</v>
      </c>
      <c r="M1333" s="212" t="s">
        <v>7039</v>
      </c>
      <c r="N1333" s="3" t="str">
        <f t="shared" si="31"/>
        <v>POST /cards/creditCard/v1/cardBIN/evaluate</v>
      </c>
      <c r="O1333" s="40" t="s">
        <v>7040</v>
      </c>
      <c r="P1333" s="40"/>
      <c r="Q1333" s="61" t="s">
        <v>98</v>
      </c>
      <c r="R1333" s="31" t="s">
        <v>56</v>
      </c>
      <c r="S1333" s="38" t="str">
        <f t="shared" si="32"/>
        <v>https://github.com/SF-Bancoppel/mx-api-bc-dom-credit-card</v>
      </c>
      <c r="T1333" s="40"/>
      <c r="U1333" s="40"/>
      <c r="V1333" s="40"/>
      <c r="W1333" s="40"/>
      <c r="X1333" s="40"/>
      <c r="Y1333" s="40"/>
      <c r="Z1333" s="40"/>
      <c r="AA1333" s="40"/>
      <c r="AB1333" s="40"/>
    </row>
    <row r="1334" ht="18.75" customHeight="1">
      <c r="A1334" s="18" t="str">
        <f t="array" ref="A1334">IFERROR(
  INDEX(
    'api-register-id'!A:A,
    MATCH(F1334, 'api-register-id'!B:B, 0)
  ),
  "Not found Organization"
)</f>
        <v>SSFF</v>
      </c>
      <c r="B1334" s="22" t="str">
        <f>IFERROR(VLOOKUP(F1334, 'api-register-id'!B:F, 4, FALSE), "Not found path.")</f>
        <v>mx-api-bc-pro-credit-card</v>
      </c>
      <c r="C1334" s="200" t="s">
        <v>41</v>
      </c>
      <c r="D1334" s="200" t="s">
        <v>811</v>
      </c>
      <c r="E1334" s="24" t="str">
        <f>IFERROR(VLOOKUP(F1334, 'api-register-id'!B:F, 5, FALSE), "Not found path.")</f>
        <v>APIMX000068</v>
      </c>
      <c r="F1334" s="289" t="s">
        <v>913</v>
      </c>
      <c r="G1334" s="26" t="s">
        <v>7041</v>
      </c>
      <c r="H1334" s="205" t="s">
        <v>7042</v>
      </c>
      <c r="I1334" s="29" t="str">
        <f>IFERROR(VLOOKUP(F1334, 'api-register-id'!B:I, 8, FALSE), "Not found path.")</f>
        <v>1.31.0</v>
      </c>
      <c r="J1334" s="40" t="s">
        <v>2376</v>
      </c>
      <c r="K1334" s="31" t="s">
        <v>48</v>
      </c>
      <c r="L1334" s="290" t="s">
        <v>49</v>
      </c>
      <c r="M1334" s="212" t="s">
        <v>7039</v>
      </c>
      <c r="N1334" s="3" t="str">
        <f t="shared" si="31"/>
        <v>POST /system/cards/creditCard/v1/cardBIN/evaluate</v>
      </c>
      <c r="O1334" s="40" t="s">
        <v>7040</v>
      </c>
      <c r="P1334" s="40"/>
      <c r="Q1334" s="61" t="s">
        <v>98</v>
      </c>
      <c r="R1334" s="31" t="s">
        <v>56</v>
      </c>
      <c r="S1334" s="38" t="str">
        <f t="shared" si="32"/>
        <v>https://github.com/SF-Bancoppel/mx-api-bc-pro-credit-card</v>
      </c>
      <c r="T1334" s="40"/>
      <c r="U1334" s="40"/>
      <c r="V1334" s="40"/>
      <c r="W1334" s="40"/>
      <c r="X1334" s="40"/>
      <c r="Y1334" s="40"/>
      <c r="Z1334" s="40"/>
      <c r="AA1334" s="40"/>
      <c r="AB1334" s="40"/>
    </row>
    <row r="1335" ht="18.75" customHeight="1">
      <c r="A1335" s="18" t="str">
        <f t="array" ref="A1335">IFERROR(
  INDEX(
    'api-register-id'!A:A,
    MATCH(F1335, 'api-register-id'!B:B, 0)
  ),
  "Not found Organization"
)</f>
        <v>SSFF</v>
      </c>
      <c r="B1335" s="22" t="str">
        <f>IFERROR(VLOOKUP(F1335, 'api-register-id'!B:F, 4, FALSE), "Not found path.")</f>
        <v>mx-api-bc-rec-credit-card</v>
      </c>
      <c r="C1335" s="200" t="s">
        <v>112</v>
      </c>
      <c r="D1335" s="200" t="s">
        <v>1417</v>
      </c>
      <c r="E1335" s="24" t="str">
        <f>IFERROR(VLOOKUP(F1335, 'api-register-id'!B:F, 5, FALSE), "Not found path.")</f>
        <v>APIMX000120</v>
      </c>
      <c r="F1335" s="289" t="s">
        <v>1471</v>
      </c>
      <c r="G1335" s="26" t="s">
        <v>7043</v>
      </c>
      <c r="H1335" s="205" t="s">
        <v>7044</v>
      </c>
      <c r="I1335" s="29" t="str">
        <f>IFERROR(VLOOKUP(F1335, 'api-register-id'!B:I, 8, FALSE), "Not found path.")</f>
        <v>1.14.0</v>
      </c>
      <c r="J1335" s="40" t="s">
        <v>3959</v>
      </c>
      <c r="K1335" s="31" t="s">
        <v>48</v>
      </c>
      <c r="L1335" s="290" t="s">
        <v>49</v>
      </c>
      <c r="M1335" s="212" t="s">
        <v>7039</v>
      </c>
      <c r="N1335" s="3" t="str">
        <f t="shared" si="31"/>
        <v>POST /experience/cards/creditCard/v1/cardBIN/evaluate</v>
      </c>
      <c r="O1335" s="40" t="s">
        <v>7040</v>
      </c>
      <c r="P1335" s="40"/>
      <c r="Q1335" s="61" t="s">
        <v>98</v>
      </c>
      <c r="R1335" s="31" t="s">
        <v>56</v>
      </c>
      <c r="S1335" s="38" t="str">
        <f t="shared" si="32"/>
        <v>https://github.com/SF-Bancoppel/mx-api-bc-rec-credit-card</v>
      </c>
      <c r="T1335" s="40"/>
      <c r="U1335" s="40"/>
      <c r="V1335" s="40"/>
      <c r="W1335" s="40"/>
      <c r="X1335" s="40"/>
      <c r="Y1335" s="40"/>
      <c r="Z1335" s="40"/>
      <c r="AA1335" s="40"/>
      <c r="AB1335" s="40"/>
    </row>
    <row r="1336" ht="18.75" customHeight="1">
      <c r="A1336" s="18" t="str">
        <f t="array" ref="A1336">IFERROR(
  INDEX(
    'api-register-id'!A:A,
    MATCH(F1336, 'api-register-id'!B:B, 0)
  ),
  "Not found Organization"
)</f>
        <v>SSFF</v>
      </c>
      <c r="B1336" s="22" t="str">
        <f>IFERROR(VLOOKUP(F1336, 'api-register-id'!B:F, 4, FALSE), "Not found path.")</f>
        <v>mx-api-bc-dom-employee-data-mgmt</v>
      </c>
      <c r="C1336" s="200" t="s">
        <v>41</v>
      </c>
      <c r="D1336" s="200" t="s">
        <v>119</v>
      </c>
      <c r="E1336" s="24" t="str">
        <f>IFERROR(VLOOKUP(F1336, 'api-register-id'!B:F, 5, FALSE), "Not found path.")</f>
        <v>APIMX000198</v>
      </c>
      <c r="F1336" s="25" t="s">
        <v>3420</v>
      </c>
      <c r="G1336" s="26" t="s">
        <v>7045</v>
      </c>
      <c r="H1336" s="205" t="s">
        <v>7046</v>
      </c>
      <c r="I1336" s="29" t="str">
        <f>IFERROR(VLOOKUP(F1336, 'api-register-id'!B:I, 8, FALSE), "Not found path.")</f>
        <v/>
      </c>
      <c r="J1336" s="40" t="s">
        <v>7047</v>
      </c>
      <c r="K1336" s="31" t="s">
        <v>48</v>
      </c>
      <c r="L1336" s="200" t="s">
        <v>49</v>
      </c>
      <c r="M1336" s="212" t="s">
        <v>7048</v>
      </c>
      <c r="N1336" s="3" t="str">
        <f t="shared" si="31"/>
        <v>POST /marketOperations/mutualFundAdministration/v1/mutualFundAdministration/evaluate</v>
      </c>
      <c r="O1336" s="40" t="s">
        <v>7049</v>
      </c>
      <c r="P1336" s="40"/>
      <c r="Q1336" s="61" t="s">
        <v>98</v>
      </c>
      <c r="R1336" s="31" t="s">
        <v>56</v>
      </c>
      <c r="S1336" s="38" t="str">
        <f t="shared" si="32"/>
        <v>https://github.com/SF-Bancoppel/mx-api-bc-dom-employee-data-mgmt</v>
      </c>
      <c r="T1336" s="40"/>
      <c r="U1336" s="40"/>
      <c r="V1336" s="40"/>
      <c r="W1336" s="40"/>
      <c r="X1336" s="40"/>
      <c r="Y1336" s="40"/>
      <c r="Z1336" s="40"/>
      <c r="AA1336" s="40"/>
      <c r="AB1336" s="40"/>
    </row>
    <row r="1337" ht="18.75" customHeight="1">
      <c r="A1337" s="18" t="str">
        <f t="array" ref="A1337">IFERROR(
  INDEX(
    'api-register-id'!A:A,
    MATCH(F1337, 'api-register-id'!B:B, 0)
  ),
  "Not found Organization"
)</f>
        <v>SSFF</v>
      </c>
      <c r="B1337" s="22" t="str">
        <f>IFERROR(VLOOKUP(F1337, 'api-register-id'!B:F, 4, FALSE), "Not found path.")</f>
        <v>mx-api-bc-dom-employee-data-mgmt</v>
      </c>
      <c r="C1337" s="200" t="s">
        <v>41</v>
      </c>
      <c r="D1337" s="200" t="s">
        <v>119</v>
      </c>
      <c r="E1337" s="24" t="str">
        <f>IFERROR(VLOOKUP(F1337, 'api-register-id'!B:F, 5, FALSE), "Not found path.")</f>
        <v>APIMX000198</v>
      </c>
      <c r="F1337" s="25" t="s">
        <v>3420</v>
      </c>
      <c r="G1337" s="26" t="s">
        <v>7050</v>
      </c>
      <c r="H1337" s="205" t="s">
        <v>7051</v>
      </c>
      <c r="I1337" s="29" t="str">
        <f>IFERROR(VLOOKUP(F1337, 'api-register-id'!B:I, 8, FALSE), "Not found path.")</f>
        <v/>
      </c>
      <c r="J1337" s="40" t="s">
        <v>7047</v>
      </c>
      <c r="K1337" s="31" t="s">
        <v>48</v>
      </c>
      <c r="L1337" s="200" t="s">
        <v>61</v>
      </c>
      <c r="M1337" s="212" t="s">
        <v>7052</v>
      </c>
      <c r="N1337" s="3" t="str">
        <f t="shared" si="31"/>
        <v>PUT /marketOperations/mutualFundAdministration/v1/mutualFundAdministration/capture</v>
      </c>
      <c r="O1337" s="40" t="s">
        <v>7053</v>
      </c>
      <c r="P1337" s="40"/>
      <c r="Q1337" s="61" t="s">
        <v>98</v>
      </c>
      <c r="R1337" s="31" t="s">
        <v>56</v>
      </c>
      <c r="S1337" s="38" t="str">
        <f t="shared" si="32"/>
        <v>https://github.com/SF-Bancoppel/mx-api-bc-dom-employee-data-mgmt</v>
      </c>
      <c r="T1337" s="40"/>
      <c r="U1337" s="40"/>
      <c r="V1337" s="40"/>
      <c r="W1337" s="40"/>
      <c r="X1337" s="40"/>
      <c r="Y1337" s="40"/>
      <c r="Z1337" s="40"/>
      <c r="AA1337" s="40"/>
      <c r="AB1337" s="40"/>
    </row>
    <row r="1338" ht="18.75" customHeight="1">
      <c r="A1338" s="18" t="str">
        <f t="array" ref="A1338">IFERROR(
  INDEX(
    'api-register-id'!A:A,
    MATCH(F1338, 'api-register-id'!B:B, 0)
  ),
  "Not found Organization"
)</f>
        <v>SSFF</v>
      </c>
      <c r="B1338" s="22" t="str">
        <f>IFERROR(VLOOKUP(F1338, 'api-register-id'!B:F, 4, FALSE), "Not found path.")</f>
        <v>mx-api-bc-dom-employee-data-mgmt</v>
      </c>
      <c r="C1338" s="200" t="s">
        <v>41</v>
      </c>
      <c r="D1338" s="200" t="s">
        <v>119</v>
      </c>
      <c r="E1338" s="24" t="str">
        <f>IFERROR(VLOOKUP(F1338, 'api-register-id'!B:F, 5, FALSE), "Not found path.")</f>
        <v>APIMX000198</v>
      </c>
      <c r="F1338" s="25" t="s">
        <v>3420</v>
      </c>
      <c r="G1338" s="26" t="s">
        <v>7054</v>
      </c>
      <c r="H1338" s="205" t="s">
        <v>7055</v>
      </c>
      <c r="I1338" s="29" t="str">
        <f>IFERROR(VLOOKUP(F1338, 'api-register-id'!B:I, 8, FALSE), "Not found path.")</f>
        <v/>
      </c>
      <c r="J1338" s="40" t="s">
        <v>7047</v>
      </c>
      <c r="K1338" s="31" t="s">
        <v>48</v>
      </c>
      <c r="L1338" s="200" t="s">
        <v>49</v>
      </c>
      <c r="M1338" s="212" t="s">
        <v>7056</v>
      </c>
      <c r="N1338" s="3" t="str">
        <f t="shared" si="31"/>
        <v>POST /marketOperations/mutualFundAdministration/v1/mutualFundApplication/initiate</v>
      </c>
      <c r="O1338" s="40" t="s">
        <v>7057</v>
      </c>
      <c r="P1338" s="40"/>
      <c r="Q1338" s="61" t="s">
        <v>98</v>
      </c>
      <c r="R1338" s="31" t="s">
        <v>56</v>
      </c>
      <c r="S1338" s="38" t="str">
        <f t="shared" si="32"/>
        <v>https://github.com/SF-Bancoppel/mx-api-bc-dom-employee-data-mgmt</v>
      </c>
      <c r="T1338" s="40"/>
      <c r="U1338" s="40"/>
      <c r="V1338" s="40"/>
      <c r="W1338" s="40"/>
      <c r="X1338" s="40"/>
      <c r="Y1338" s="40"/>
      <c r="Z1338" s="40"/>
      <c r="AA1338" s="40"/>
      <c r="AB1338" s="40"/>
    </row>
    <row r="1339" ht="18.75" customHeight="1">
      <c r="A1339" s="18" t="str">
        <f t="array" ref="A1339">IFERROR(
  INDEX(
    'api-register-id'!A:A,
    MATCH(F1339, 'api-register-id'!B:B, 0)
  ),
  "Not found Organization"
)</f>
        <v>SSFF</v>
      </c>
      <c r="B1339" s="22" t="str">
        <f>IFERROR(VLOOKUP(F1339, 'api-register-id'!B:F, 4, FALSE), "Not found path.")</f>
        <v>mx-api-bc-dom-party-lifecycle-management</v>
      </c>
      <c r="C1339" s="200" t="s">
        <v>41</v>
      </c>
      <c r="D1339" s="200" t="s">
        <v>119</v>
      </c>
      <c r="E1339" s="24" t="str">
        <f>IFERROR(VLOOKUP(F1339, 'api-register-id'!B:F, 5, FALSE), "Not found path.")</f>
        <v>APIMX000040</v>
      </c>
      <c r="F1339" s="25" t="s">
        <v>624</v>
      </c>
      <c r="G1339" s="26" t="s">
        <v>7058</v>
      </c>
      <c r="H1339" s="205" t="s">
        <v>7059</v>
      </c>
      <c r="I1339" s="29" t="str">
        <f>IFERROR(VLOOKUP(F1339, 'api-register-id'!B:I, 8, FALSE), "Not found path.")</f>
        <v>2.2.2</v>
      </c>
      <c r="J1339" s="40" t="s">
        <v>1315</v>
      </c>
      <c r="K1339" s="31" t="s">
        <v>48</v>
      </c>
      <c r="L1339" s="200" t="s">
        <v>428</v>
      </c>
      <c r="M1339" s="212" t="s">
        <v>7060</v>
      </c>
      <c r="N1339" s="3" t="str">
        <f t="shared" si="31"/>
        <v>PATCH /sales/partyLifecycleManagement/v1/procesar/capture</v>
      </c>
      <c r="O1339" s="40" t="s">
        <v>7061</v>
      </c>
      <c r="P1339" s="40"/>
      <c r="Q1339" s="61" t="s">
        <v>98</v>
      </c>
      <c r="R1339" s="31" t="s">
        <v>56</v>
      </c>
      <c r="S1339" s="38" t="str">
        <f t="shared" si="32"/>
        <v>https://github.com/SF-Bancoppel/mx-api-bc-dom-party-lifecycle-management</v>
      </c>
      <c r="T1339" s="40"/>
      <c r="U1339" s="40"/>
      <c r="V1339" s="40"/>
      <c r="W1339" s="40"/>
      <c r="X1339" s="40"/>
      <c r="Y1339" s="40"/>
      <c r="Z1339" s="40"/>
      <c r="AA1339" s="40"/>
      <c r="AB1339" s="40"/>
    </row>
    <row r="1340" ht="18.75" customHeight="1">
      <c r="A1340" s="18" t="str">
        <f t="array" ref="A1340">IFERROR(
  INDEX(
    'api-register-id'!A:A,
    MATCH(F1340, 'api-register-id'!B:B, 0)
  ),
  "Not found Organization"
)</f>
        <v>SSFF</v>
      </c>
      <c r="B1340" s="22" t="str">
        <f>IFERROR(VLOOKUP(F1340, 'api-register-id'!B:F, 4, FALSE), "Not found path.")</f>
        <v>mx-api-bc-pro-employee-data-mgmt</v>
      </c>
      <c r="C1340" s="200" t="s">
        <v>41</v>
      </c>
      <c r="D1340" s="200" t="s">
        <v>811</v>
      </c>
      <c r="E1340" s="24" t="str">
        <f>IFERROR(VLOOKUP(F1340, 'api-register-id'!B:F, 5, FALSE), "Not found path.")</f>
        <v>APIMX000199</v>
      </c>
      <c r="F1340" s="25" t="s">
        <v>3459</v>
      </c>
      <c r="G1340" s="26" t="s">
        <v>7062</v>
      </c>
      <c r="H1340" s="205" t="s">
        <v>7063</v>
      </c>
      <c r="I1340" s="29" t="str">
        <f>IFERROR(VLOOKUP(F1340, 'api-register-id'!B:I, 8, FALSE), "Not found path.")</f>
        <v/>
      </c>
      <c r="J1340" s="40" t="s">
        <v>7064</v>
      </c>
      <c r="K1340" s="31" t="s">
        <v>48</v>
      </c>
      <c r="L1340" s="200" t="s">
        <v>49</v>
      </c>
      <c r="M1340" s="212" t="s">
        <v>7048</v>
      </c>
      <c r="N1340" s="3" t="str">
        <f t="shared" si="31"/>
        <v>POST /system/marketOperations/mutualFundAdministration/v1/mutualFundAdministration/evaluate</v>
      </c>
      <c r="O1340" s="40" t="s">
        <v>7065</v>
      </c>
      <c r="P1340" s="40"/>
      <c r="Q1340" s="61" t="s">
        <v>98</v>
      </c>
      <c r="R1340" s="31" t="s">
        <v>56</v>
      </c>
      <c r="S1340" s="38" t="str">
        <f t="shared" si="32"/>
        <v>https://github.com/SF-Bancoppel/mx-api-bc-pro-employee-data-mgmt</v>
      </c>
      <c r="T1340" s="40"/>
      <c r="U1340" s="40"/>
      <c r="V1340" s="40"/>
      <c r="W1340" s="40"/>
      <c r="X1340" s="40"/>
      <c r="Y1340" s="40"/>
      <c r="Z1340" s="40"/>
      <c r="AA1340" s="40"/>
      <c r="AB1340" s="40"/>
    </row>
    <row r="1341" ht="18.75" customHeight="1">
      <c r="A1341" s="18" t="str">
        <f t="array" ref="A1341">IFERROR(
  INDEX(
    'api-register-id'!A:A,
    MATCH(F1341, 'api-register-id'!B:B, 0)
  ),
  "Not found Organization"
)</f>
        <v>SSFF</v>
      </c>
      <c r="B1341" s="22" t="str">
        <f>IFERROR(VLOOKUP(F1341, 'api-register-id'!B:F, 4, FALSE), "Not found path.")</f>
        <v>mx-api-bc-pro-employee-data-mgmt</v>
      </c>
      <c r="C1341" s="200" t="s">
        <v>41</v>
      </c>
      <c r="D1341" s="200" t="s">
        <v>811</v>
      </c>
      <c r="E1341" s="24" t="str">
        <f>IFERROR(VLOOKUP(F1341, 'api-register-id'!B:F, 5, FALSE), "Not found path.")</f>
        <v>APIMX000199</v>
      </c>
      <c r="F1341" s="25" t="s">
        <v>3459</v>
      </c>
      <c r="G1341" s="26" t="s">
        <v>7066</v>
      </c>
      <c r="H1341" s="205" t="s">
        <v>7067</v>
      </c>
      <c r="I1341" s="29" t="str">
        <f>IFERROR(VLOOKUP(F1341, 'api-register-id'!B:I, 8, FALSE), "Not found path.")</f>
        <v/>
      </c>
      <c r="J1341" s="40" t="s">
        <v>7064</v>
      </c>
      <c r="K1341" s="31" t="s">
        <v>48</v>
      </c>
      <c r="L1341" s="200" t="s">
        <v>61</v>
      </c>
      <c r="M1341" s="212" t="s">
        <v>7052</v>
      </c>
      <c r="N1341" s="3" t="str">
        <f t="shared" si="31"/>
        <v>PUT /system/marketOperations/mutualFundAdministration/v1/mutualFundAdministration/capture</v>
      </c>
      <c r="O1341" s="40" t="s">
        <v>7068</v>
      </c>
      <c r="P1341" s="40"/>
      <c r="Q1341" s="61" t="s">
        <v>98</v>
      </c>
      <c r="R1341" s="31" t="s">
        <v>56</v>
      </c>
      <c r="S1341" s="38" t="str">
        <f t="shared" si="32"/>
        <v>https://github.com/SF-Bancoppel/mx-api-bc-pro-employee-data-mgmt</v>
      </c>
      <c r="T1341" s="40"/>
      <c r="U1341" s="40"/>
      <c r="V1341" s="40"/>
      <c r="W1341" s="40"/>
      <c r="X1341" s="40"/>
      <c r="Y1341" s="40"/>
      <c r="Z1341" s="40"/>
      <c r="AA1341" s="40"/>
      <c r="AB1341" s="40"/>
    </row>
    <row r="1342" ht="18.75" customHeight="1">
      <c r="A1342" s="18" t="str">
        <f t="array" ref="A1342">IFERROR(
  INDEX(
    'api-register-id'!A:A,
    MATCH(F1342, 'api-register-id'!B:B, 0)
  ),
  "Not found Organization"
)</f>
        <v>SSFF</v>
      </c>
      <c r="B1342" s="22" t="str">
        <f>IFERROR(VLOOKUP(F1342, 'api-register-id'!B:F, 4, FALSE), "Not found path.")</f>
        <v>mx-api-bc-pro-employee-data-mgmt</v>
      </c>
      <c r="C1342" s="200" t="s">
        <v>41</v>
      </c>
      <c r="D1342" s="200" t="s">
        <v>811</v>
      </c>
      <c r="E1342" s="24" t="str">
        <f>IFERROR(VLOOKUP(F1342, 'api-register-id'!B:F, 5, FALSE), "Not found path.")</f>
        <v>APIMX000199</v>
      </c>
      <c r="F1342" s="25" t="s">
        <v>3459</v>
      </c>
      <c r="G1342" s="26" t="s">
        <v>7069</v>
      </c>
      <c r="H1342" s="205" t="s">
        <v>7070</v>
      </c>
      <c r="I1342" s="29" t="str">
        <f>IFERROR(VLOOKUP(F1342, 'api-register-id'!B:I, 8, FALSE), "Not found path.")</f>
        <v/>
      </c>
      <c r="J1342" s="40" t="s">
        <v>7064</v>
      </c>
      <c r="K1342" s="31" t="s">
        <v>48</v>
      </c>
      <c r="L1342" s="200" t="s">
        <v>49</v>
      </c>
      <c r="M1342" s="212" t="s">
        <v>7056</v>
      </c>
      <c r="N1342" s="3" t="str">
        <f t="shared" si="31"/>
        <v>POST /system/marketOperations/mutualFundAdministration/v1/mutualFundApplication/initiate</v>
      </c>
      <c r="O1342" s="40" t="s">
        <v>7071</v>
      </c>
      <c r="P1342" s="40"/>
      <c r="Q1342" s="61" t="s">
        <v>98</v>
      </c>
      <c r="R1342" s="31" t="s">
        <v>56</v>
      </c>
      <c r="S1342" s="38" t="str">
        <f t="shared" si="32"/>
        <v>https://github.com/SF-Bancoppel/mx-api-bc-pro-employee-data-mgmt</v>
      </c>
      <c r="T1342" s="40"/>
      <c r="U1342" s="40"/>
      <c r="V1342" s="40"/>
      <c r="W1342" s="40"/>
      <c r="X1342" s="40"/>
      <c r="Y1342" s="40"/>
      <c r="Z1342" s="40"/>
      <c r="AA1342" s="40"/>
      <c r="AB1342" s="40"/>
    </row>
    <row r="1343" ht="18.75" customHeight="1">
      <c r="A1343" s="18" t="str">
        <f t="array" ref="A1343">IFERROR(
  INDEX(
    'api-register-id'!A:A,
    MATCH(F1343, 'api-register-id'!B:B, 0)
  ),
  "Not found Organization"
)</f>
        <v>SSFF</v>
      </c>
      <c r="B1343" s="22" t="str">
        <f>IFERROR(VLOOKUP(F1343, 'api-register-id'!B:F, 4, FALSE), "Not found path.")</f>
        <v>mx-api-bc-pro-party-lifecycle-management</v>
      </c>
      <c r="C1343" s="200" t="s">
        <v>41</v>
      </c>
      <c r="D1343" s="200" t="s">
        <v>811</v>
      </c>
      <c r="E1343" s="24" t="str">
        <f>IFERROR(VLOOKUP(F1343, 'api-register-id'!B:F, 5, FALSE), "Not found path.")</f>
        <v>APIMX000096</v>
      </c>
      <c r="F1343" s="25" t="s">
        <v>1214</v>
      </c>
      <c r="G1343" s="26" t="s">
        <v>7072</v>
      </c>
      <c r="H1343" s="205" t="s">
        <v>7073</v>
      </c>
      <c r="I1343" s="29" t="str">
        <f>IFERROR(VLOOKUP(F1343, 'api-register-id'!B:I, 8, FALSE), "Not found path.")</f>
        <v>2.3.2</v>
      </c>
      <c r="J1343" s="40" t="s">
        <v>3197</v>
      </c>
      <c r="K1343" s="31" t="s">
        <v>48</v>
      </c>
      <c r="L1343" s="200" t="s">
        <v>428</v>
      </c>
      <c r="M1343" s="212" t="s">
        <v>7060</v>
      </c>
      <c r="N1343" s="3" t="str">
        <f t="shared" si="31"/>
        <v>PATCH /system/sales/partyLifecycleManagement/v1/procesar/capture</v>
      </c>
      <c r="O1343" s="40" t="s">
        <v>7061</v>
      </c>
      <c r="P1343" s="40"/>
      <c r="Q1343" s="61" t="s">
        <v>98</v>
      </c>
      <c r="R1343" s="31" t="s">
        <v>56</v>
      </c>
      <c r="S1343" s="38" t="str">
        <f t="shared" si="32"/>
        <v>https://github.com/SF-Bancoppel/mx-api-bc-pro-party-lifecycle-management</v>
      </c>
      <c r="T1343" s="40"/>
      <c r="U1343" s="40"/>
      <c r="V1343" s="40"/>
      <c r="W1343" s="40"/>
      <c r="X1343" s="40"/>
      <c r="Y1343" s="40"/>
      <c r="Z1343" s="40"/>
      <c r="AA1343" s="40"/>
      <c r="AB1343" s="40"/>
    </row>
    <row r="1344" ht="18.75" customHeight="1">
      <c r="A1344" s="18" t="str">
        <f t="array" ref="A1344">IFERROR(
  INDEX(
    'api-register-id'!A:A,
    MATCH(F1344, 'api-register-id'!B:B, 0)
  ),
  "Not found Organization"
)</f>
        <v>SSFF</v>
      </c>
      <c r="B1344" s="22" t="str">
        <f>IFERROR(VLOOKUP(F1344, 'api-register-id'!B:F, 4, FALSE), "Not found path.")</f>
        <v>mx-api-bc-rec-issued-device-administration</v>
      </c>
      <c r="C1344" s="200" t="s">
        <v>112</v>
      </c>
      <c r="D1344" s="200" t="s">
        <v>1417</v>
      </c>
      <c r="E1344" s="24" t="str">
        <f>IFERROR(VLOOKUP(F1344, 'api-register-id'!B:F, 5, FALSE), "Not found path.")</f>
        <v>APIMX000133</v>
      </c>
      <c r="F1344" s="25" t="s">
        <v>1604</v>
      </c>
      <c r="G1344" s="26" t="s">
        <v>7074</v>
      </c>
      <c r="H1344" s="205" t="s">
        <v>7075</v>
      </c>
      <c r="I1344" s="29" t="str">
        <f>IFERROR(VLOOKUP(F1344, 'api-register-id'!B:I, 8, FALSE), "Not found path.")</f>
        <v>1.2.1</v>
      </c>
      <c r="J1344" s="40" t="s">
        <v>3849</v>
      </c>
      <c r="K1344" s="31" t="s">
        <v>48</v>
      </c>
      <c r="L1344" s="200" t="s">
        <v>61</v>
      </c>
      <c r="M1344" s="212" t="s">
        <v>1176</v>
      </c>
      <c r="N1344" s="3" t="str">
        <f t="shared" si="31"/>
        <v>PUT /experience/operationalServices/issuedDeviceAdministration/v1/tokenAssignment/capture</v>
      </c>
      <c r="O1344" s="40" t="s">
        <v>1177</v>
      </c>
      <c r="P1344" s="40"/>
      <c r="Q1344" s="61" t="s">
        <v>98</v>
      </c>
      <c r="R1344" s="31" t="s">
        <v>56</v>
      </c>
      <c r="S1344" s="38" t="str">
        <f t="shared" si="32"/>
        <v>https://github.com/SF-Bancoppel/mx-api-bc-rec-issued-device-administration</v>
      </c>
      <c r="T1344" s="40"/>
      <c r="U1344" s="40"/>
      <c r="V1344" s="40"/>
      <c r="W1344" s="40"/>
      <c r="X1344" s="40"/>
      <c r="Y1344" s="40"/>
      <c r="Z1344" s="40"/>
      <c r="AA1344" s="40"/>
      <c r="AB1344" s="40"/>
    </row>
    <row r="1345" ht="18.75" customHeight="1">
      <c r="A1345" s="18" t="str">
        <f t="array" ref="A1345">IFERROR(
  INDEX(
    'api-register-id'!A:A,
    MATCH(F1345, 'api-register-id'!B:B, 0)
  ),
  "Not found Organization"
)</f>
        <v>SSFF</v>
      </c>
      <c r="B1345" s="22" t="str">
        <f>IFERROR(VLOOKUP(F1345, 'api-register-id'!B:F, 4, FALSE), "Not found path.")</f>
        <v>mx-api-bc-rec-employee-data-mgmt</v>
      </c>
      <c r="C1345" s="200" t="s">
        <v>112</v>
      </c>
      <c r="D1345" s="200" t="s">
        <v>1417</v>
      </c>
      <c r="E1345" s="24" t="str">
        <f>IFERROR(VLOOKUP(F1345, 'api-register-id'!B:F, 5, FALSE), "Not found path.")</f>
        <v>APIMX000200</v>
      </c>
      <c r="F1345" s="25" t="s">
        <v>3503</v>
      </c>
      <c r="G1345" s="26" t="s">
        <v>7076</v>
      </c>
      <c r="H1345" s="205" t="s">
        <v>7077</v>
      </c>
      <c r="I1345" s="29" t="str">
        <f>IFERROR(VLOOKUP(F1345, 'api-register-id'!B:I, 8, FALSE), "Not found path.")</f>
        <v/>
      </c>
      <c r="J1345" s="40" t="s">
        <v>7078</v>
      </c>
      <c r="K1345" s="31" t="s">
        <v>48</v>
      </c>
      <c r="L1345" s="200" t="s">
        <v>49</v>
      </c>
      <c r="M1345" s="212" t="s">
        <v>7048</v>
      </c>
      <c r="N1345" s="3" t="str">
        <f t="shared" si="31"/>
        <v>POST /experience/marketOperations/mutualFundAdministration/v1/mutualFundAdministration/evaluate</v>
      </c>
      <c r="O1345" s="40" t="s">
        <v>7079</v>
      </c>
      <c r="P1345" s="40"/>
      <c r="Q1345" s="61" t="s">
        <v>98</v>
      </c>
      <c r="R1345" s="31" t="s">
        <v>56</v>
      </c>
      <c r="S1345" s="38" t="str">
        <f t="shared" si="32"/>
        <v>https://github.com/SF-Bancoppel/mx-api-bc-rec-employee-data-mgmt</v>
      </c>
      <c r="T1345" s="40"/>
      <c r="U1345" s="40"/>
      <c r="V1345" s="40"/>
      <c r="W1345" s="40"/>
      <c r="X1345" s="40"/>
      <c r="Y1345" s="40"/>
      <c r="Z1345" s="40"/>
      <c r="AA1345" s="40"/>
      <c r="AB1345" s="40"/>
    </row>
    <row r="1346" ht="18.75" customHeight="1">
      <c r="A1346" s="18" t="str">
        <f t="array" ref="A1346">IFERROR(
  INDEX(
    'api-register-id'!A:A,
    MATCH(F1346, 'api-register-id'!B:B, 0)
  ),
  "Not found Organization"
)</f>
        <v>SSFF</v>
      </c>
      <c r="B1346" s="22" t="str">
        <f>IFERROR(VLOOKUP(F1346, 'api-register-id'!B:F, 4, FALSE), "Not found path.")</f>
        <v>mx-api-bc-rec-employee-data-mgmt</v>
      </c>
      <c r="C1346" s="200" t="s">
        <v>112</v>
      </c>
      <c r="D1346" s="200" t="s">
        <v>1417</v>
      </c>
      <c r="E1346" s="24" t="str">
        <f>IFERROR(VLOOKUP(F1346, 'api-register-id'!B:F, 5, FALSE), "Not found path.")</f>
        <v>APIMX000200</v>
      </c>
      <c r="F1346" s="25" t="s">
        <v>3503</v>
      </c>
      <c r="G1346" s="26" t="s">
        <v>7080</v>
      </c>
      <c r="H1346" s="205" t="s">
        <v>7081</v>
      </c>
      <c r="I1346" s="29" t="str">
        <f>IFERROR(VLOOKUP(F1346, 'api-register-id'!B:I, 8, FALSE), "Not found path.")</f>
        <v/>
      </c>
      <c r="J1346" s="40" t="s">
        <v>7078</v>
      </c>
      <c r="K1346" s="31" t="s">
        <v>48</v>
      </c>
      <c r="L1346" s="200" t="s">
        <v>61</v>
      </c>
      <c r="M1346" s="212" t="s">
        <v>7052</v>
      </c>
      <c r="N1346" s="3" t="str">
        <f t="shared" si="31"/>
        <v>PUT /experience/marketOperations/mutualFundAdministration/v1/mutualFundAdministration/capture</v>
      </c>
      <c r="O1346" s="40" t="s">
        <v>7082</v>
      </c>
      <c r="P1346" s="40"/>
      <c r="Q1346" s="61" t="s">
        <v>98</v>
      </c>
      <c r="R1346" s="31" t="s">
        <v>56</v>
      </c>
      <c r="S1346" s="38" t="str">
        <f t="shared" si="32"/>
        <v>https://github.com/SF-Bancoppel/mx-api-bc-rec-employee-data-mgmt</v>
      </c>
      <c r="T1346" s="40"/>
      <c r="U1346" s="40"/>
      <c r="V1346" s="40"/>
      <c r="W1346" s="40"/>
      <c r="X1346" s="40"/>
      <c r="Y1346" s="40"/>
      <c r="Z1346" s="40"/>
      <c r="AA1346" s="40"/>
      <c r="AB1346" s="40"/>
    </row>
    <row r="1347" ht="18.75" customHeight="1">
      <c r="A1347" s="18" t="str">
        <f t="array" ref="A1347">IFERROR(
  INDEX(
    'api-register-id'!A:A,
    MATCH(F1347, 'api-register-id'!B:B, 0)
  ),
  "Not found Organization"
)</f>
        <v>SSFF</v>
      </c>
      <c r="B1347" s="22" t="str">
        <f>IFERROR(VLOOKUP(F1347, 'api-register-id'!B:F, 4, FALSE), "Not found path.")</f>
        <v>mx-api-bc-rec-employee-data-mgmt</v>
      </c>
      <c r="C1347" s="200" t="s">
        <v>112</v>
      </c>
      <c r="D1347" s="200" t="s">
        <v>1417</v>
      </c>
      <c r="E1347" s="24" t="str">
        <f>IFERROR(VLOOKUP(F1347, 'api-register-id'!B:F, 5, FALSE), "Not found path.")</f>
        <v>APIMX000200</v>
      </c>
      <c r="F1347" s="25" t="s">
        <v>3503</v>
      </c>
      <c r="G1347" s="26" t="s">
        <v>7083</v>
      </c>
      <c r="H1347" s="205" t="s">
        <v>7084</v>
      </c>
      <c r="I1347" s="29" t="str">
        <f>IFERROR(VLOOKUP(F1347, 'api-register-id'!B:I, 8, FALSE), "Not found path.")</f>
        <v/>
      </c>
      <c r="J1347" s="40" t="s">
        <v>7078</v>
      </c>
      <c r="K1347" s="31" t="s">
        <v>48</v>
      </c>
      <c r="L1347" s="200" t="s">
        <v>49</v>
      </c>
      <c r="M1347" s="212" t="s">
        <v>7056</v>
      </c>
      <c r="N1347" s="3" t="str">
        <f t="shared" si="31"/>
        <v>POST /experience/marketOperations/mutualFundAdministration/v1/mutualFundApplication/initiate</v>
      </c>
      <c r="O1347" s="40" t="s">
        <v>7085</v>
      </c>
      <c r="P1347" s="40"/>
      <c r="Q1347" s="61" t="s">
        <v>98</v>
      </c>
      <c r="R1347" s="31" t="s">
        <v>56</v>
      </c>
      <c r="S1347" s="38" t="str">
        <f t="shared" si="32"/>
        <v>https://github.com/SF-Bancoppel/mx-api-bc-rec-employee-data-mgmt</v>
      </c>
      <c r="T1347" s="40"/>
      <c r="U1347" s="40"/>
      <c r="V1347" s="40"/>
      <c r="W1347" s="40"/>
      <c r="X1347" s="40"/>
      <c r="Y1347" s="40"/>
      <c r="Z1347" s="40"/>
      <c r="AA1347" s="40"/>
      <c r="AB1347" s="40"/>
    </row>
    <row r="1348" ht="18.75" customHeight="1">
      <c r="A1348" s="18" t="str">
        <f t="array" ref="A1348">IFERROR(
  INDEX(
    'api-register-id'!A:A,
    MATCH(F1348, 'api-register-id'!B:B, 0)
  ),
  "Not found Organization"
)</f>
        <v>SSFF</v>
      </c>
      <c r="B1348" s="22" t="str">
        <f>IFERROR(VLOOKUP(F1348, 'api-register-id'!B:F, 4, FALSE), "Not found path.")</f>
        <v>mx-api-bc-rec-party-lifecycle-management</v>
      </c>
      <c r="C1348" s="200" t="s">
        <v>112</v>
      </c>
      <c r="D1348" s="200" t="s">
        <v>1417</v>
      </c>
      <c r="E1348" s="24" t="str">
        <f>IFERROR(VLOOKUP(F1348, 'api-register-id'!B:F, 5, FALSE), "Not found path.")</f>
        <v>APIMX000139</v>
      </c>
      <c r="F1348" s="25" t="s">
        <v>1667</v>
      </c>
      <c r="G1348" s="26" t="s">
        <v>7086</v>
      </c>
      <c r="H1348" s="205" t="s">
        <v>7087</v>
      </c>
      <c r="I1348" s="29" t="str">
        <f>IFERROR(VLOOKUP(F1348, 'api-register-id'!B:I, 8, FALSE), "Not found path.")</f>
        <v>2.1.1</v>
      </c>
      <c r="J1348" s="40" t="s">
        <v>4543</v>
      </c>
      <c r="K1348" s="31" t="s">
        <v>48</v>
      </c>
      <c r="L1348" s="200" t="s">
        <v>49</v>
      </c>
      <c r="M1348" s="212" t="s">
        <v>1385</v>
      </c>
      <c r="N1348" s="3" t="str">
        <f t="shared" si="31"/>
        <v>POST /experience/sales/partyLifecycleManagement/v1/renapo/retrieve</v>
      </c>
      <c r="O1348" s="40" t="s">
        <v>7088</v>
      </c>
      <c r="P1348" s="40"/>
      <c r="Q1348" s="61" t="s">
        <v>98</v>
      </c>
      <c r="R1348" s="31" t="s">
        <v>56</v>
      </c>
      <c r="S1348" s="38" t="str">
        <f t="shared" si="32"/>
        <v>https://github.com/SF-Bancoppel/mx-api-bc-rec-party-lifecycle-management</v>
      </c>
      <c r="T1348" s="40"/>
      <c r="U1348" s="40"/>
      <c r="V1348" s="40"/>
      <c r="W1348" s="40"/>
      <c r="X1348" s="40"/>
      <c r="Y1348" s="40"/>
      <c r="Z1348" s="40"/>
      <c r="AA1348" s="40"/>
      <c r="AB1348" s="40"/>
    </row>
    <row r="1349" ht="18.75" customHeight="1">
      <c r="A1349" s="18" t="str">
        <f t="array" ref="A1349">IFERROR(
  INDEX(
    'api-register-id'!A:A,
    MATCH(F1349, 'api-register-id'!B:B, 0)
  ),
  "Not found Organization"
)</f>
        <v>SSFF</v>
      </c>
      <c r="B1349" s="22" t="str">
        <f>IFERROR(VLOOKUP(F1349, 'api-register-id'!B:F, 4, FALSE), "Not found path.")</f>
        <v>mx-api-bc-rec-party-lifecycle-management</v>
      </c>
      <c r="C1349" s="200" t="s">
        <v>112</v>
      </c>
      <c r="D1349" s="200" t="s">
        <v>1417</v>
      </c>
      <c r="E1349" s="24" t="str">
        <f>IFERROR(VLOOKUP(F1349, 'api-register-id'!B:F, 5, FALSE), "Not found path.")</f>
        <v>APIMX000139</v>
      </c>
      <c r="F1349" s="25" t="s">
        <v>1667</v>
      </c>
      <c r="G1349" s="26" t="s">
        <v>7089</v>
      </c>
      <c r="H1349" s="205" t="s">
        <v>7090</v>
      </c>
      <c r="I1349" s="29" t="str">
        <f>IFERROR(VLOOKUP(F1349, 'api-register-id'!B:I, 8, FALSE), "Not found path.")</f>
        <v>2.1.1</v>
      </c>
      <c r="J1349" s="40" t="s">
        <v>4543</v>
      </c>
      <c r="K1349" s="31" t="s">
        <v>48</v>
      </c>
      <c r="L1349" s="200" t="s">
        <v>49</v>
      </c>
      <c r="M1349" s="212" t="s">
        <v>7060</v>
      </c>
      <c r="N1349" s="3" t="str">
        <f t="shared" si="31"/>
        <v>POST /experience/sales/partyLifecycleManagement/v1/procesar/capture</v>
      </c>
      <c r="O1349" s="40" t="s">
        <v>7061</v>
      </c>
      <c r="P1349" s="40"/>
      <c r="Q1349" s="61" t="s">
        <v>98</v>
      </c>
      <c r="R1349" s="31" t="s">
        <v>56</v>
      </c>
      <c r="S1349" s="38" t="str">
        <f t="shared" si="32"/>
        <v>https://github.com/SF-Bancoppel/mx-api-bc-rec-party-lifecycle-management</v>
      </c>
      <c r="T1349" s="40"/>
      <c r="U1349" s="40"/>
      <c r="V1349" s="40"/>
      <c r="W1349" s="40"/>
      <c r="X1349" s="40"/>
      <c r="Y1349" s="40"/>
      <c r="Z1349" s="40"/>
      <c r="AA1349" s="40"/>
      <c r="AB1349" s="40"/>
    </row>
    <row r="1350" ht="18.75" customHeight="1">
      <c r="A1350" s="18" t="str">
        <f t="array" ref="A1350">IFERROR(
  INDEX(
    'api-register-id'!A:A,
    MATCH(F1350, 'api-register-id'!B:B, 0)
  ),
  "Not found Organization"
)</f>
        <v>SSFF</v>
      </c>
      <c r="B1350" s="22" t="str">
        <f>IFERROR(VLOOKUP(F1350, 'api-register-id'!B:F, 4, FALSE), "Not found path.")</f>
        <v>mx-api-bc-rec-payments</v>
      </c>
      <c r="C1350" s="200" t="s">
        <v>112</v>
      </c>
      <c r="D1350" s="200" t="s">
        <v>1417</v>
      </c>
      <c r="E1350" s="24" t="str">
        <f>IFERROR(VLOOKUP(F1350, 'api-register-id'!B:F, 5, FALSE), "Not found path.")</f>
        <v>APIMX000169</v>
      </c>
      <c r="F1350" s="25" t="s">
        <v>2568</v>
      </c>
      <c r="G1350" s="26" t="s">
        <v>7091</v>
      </c>
      <c r="H1350" s="205" t="s">
        <v>7092</v>
      </c>
      <c r="I1350" s="29" t="str">
        <f>IFERROR(VLOOKUP(F1350, 'api-register-id'!B:I, 8, FALSE), "Not found path.")</f>
        <v>1.0.1</v>
      </c>
      <c r="J1350" s="40" t="s">
        <v>6197</v>
      </c>
      <c r="K1350" s="31" t="s">
        <v>48</v>
      </c>
      <c r="L1350" s="200" t="s">
        <v>49</v>
      </c>
      <c r="M1350" s="212" t="s">
        <v>7093</v>
      </c>
      <c r="N1350" s="3" t="str">
        <f t="shared" si="31"/>
        <v>POST /experience/payments/cardPaymentTransaction/execute</v>
      </c>
      <c r="O1350" s="40" t="s">
        <v>7094</v>
      </c>
      <c r="P1350" s="40"/>
      <c r="Q1350" s="61" t="s">
        <v>98</v>
      </c>
      <c r="R1350" s="31" t="s">
        <v>56</v>
      </c>
      <c r="S1350" s="38" t="str">
        <f t="shared" si="32"/>
        <v>https://github.com/SF-Bancoppel/mx-api-bc-rec-payments</v>
      </c>
      <c r="T1350" s="40"/>
      <c r="U1350" s="40"/>
      <c r="V1350" s="40"/>
      <c r="W1350" s="40"/>
      <c r="X1350" s="40"/>
      <c r="Y1350" s="40"/>
      <c r="Z1350" s="40"/>
      <c r="AA1350" s="40"/>
      <c r="AB1350" s="40"/>
    </row>
    <row r="1351" ht="18.75" customHeight="1">
      <c r="A1351" s="18" t="str">
        <f t="array" ref="A1351">IFERROR(
  INDEX(
    'api-register-id'!A:A,
    MATCH(F1351, 'api-register-id'!B:B, 0)
  ),
  "Not found Organization"
)</f>
        <v>SSFF</v>
      </c>
      <c r="B1351" s="22" t="str">
        <f>IFERROR(VLOOKUP(F1351, 'api-register-id'!B:F, 4, FALSE), "Not found path.")</f>
        <v>mx-api-bc-bus-payments</v>
      </c>
      <c r="C1351" s="213" t="s">
        <v>41</v>
      </c>
      <c r="D1351" s="213" t="s">
        <v>42</v>
      </c>
      <c r="E1351" s="24" t="str">
        <f>IFERROR(VLOOKUP(F1351, 'api-register-id'!B:F, 5, FALSE), "Not found path.")</f>
        <v>APIMX000165</v>
      </c>
      <c r="F1351" s="25" t="s">
        <v>2295</v>
      </c>
      <c r="G1351" s="26" t="s">
        <v>7095</v>
      </c>
      <c r="H1351" s="205" t="s">
        <v>7096</v>
      </c>
      <c r="I1351" s="29" t="str">
        <f>IFERROR(VLOOKUP(F1351, 'api-register-id'!B:I, 8, FALSE), "Not found path.")</f>
        <v>1.0.1</v>
      </c>
      <c r="J1351" s="22" t="s">
        <v>6103</v>
      </c>
      <c r="K1351" s="31" t="s">
        <v>48</v>
      </c>
      <c r="L1351" s="200" t="s">
        <v>49</v>
      </c>
      <c r="M1351" s="212" t="s">
        <v>7093</v>
      </c>
      <c r="N1351" s="3" t="str">
        <f t="shared" si="31"/>
        <v>POST /payments/cardPaymentTransaction/execute</v>
      </c>
      <c r="O1351" s="40" t="s">
        <v>7094</v>
      </c>
      <c r="P1351" s="40"/>
      <c r="Q1351" s="291" t="s">
        <v>7097</v>
      </c>
      <c r="R1351" s="31" t="s">
        <v>56</v>
      </c>
      <c r="S1351" s="38" t="str">
        <f t="shared" si="32"/>
        <v>https://github.com/SF-Bancoppel/mx-api-bc-bus-payments</v>
      </c>
      <c r="T1351" s="40"/>
      <c r="U1351" s="40"/>
      <c r="V1351" s="40"/>
      <c r="W1351" s="40"/>
      <c r="X1351" s="40"/>
      <c r="Y1351" s="40"/>
      <c r="Z1351" s="40"/>
      <c r="AA1351" s="40"/>
      <c r="AB1351" s="40"/>
    </row>
    <row r="1352" ht="18.75" customHeight="1">
      <c r="A1352" s="18" t="str">
        <f t="array" ref="A1352">IFERROR(
  INDEX(
    'api-register-id'!A:A,
    MATCH(F1352, 'api-register-id'!B:B, 0)
  ),
  "Not found Organization"
)</f>
        <v>SSFF</v>
      </c>
      <c r="B1352" s="22" t="str">
        <f>IFERROR(VLOOKUP(F1352, 'api-register-id'!B:F, 4, FALSE), "Not found path.")</f>
        <v>mx-api-bc-dom-utility</v>
      </c>
      <c r="C1352" s="213" t="s">
        <v>41</v>
      </c>
      <c r="D1352" s="213" t="s">
        <v>119</v>
      </c>
      <c r="E1352" s="24" t="str">
        <f>IFERROR(VLOOKUP(F1352, 'api-register-id'!B:F, 5, FALSE), "Not found path.")</f>
        <v>APIMX000058</v>
      </c>
      <c r="F1352" s="25" t="s">
        <v>802</v>
      </c>
      <c r="G1352" s="26" t="s">
        <v>7098</v>
      </c>
      <c r="H1352" s="205" t="s">
        <v>7099</v>
      </c>
      <c r="I1352" s="29" t="str">
        <f>IFERROR(VLOOKUP(F1352, 'api-register-id'!B:I, 8, FALSE), "Not found path.")</f>
        <v>1.1.0</v>
      </c>
      <c r="J1352" s="40" t="s">
        <v>1949</v>
      </c>
      <c r="K1352" s="31" t="s">
        <v>48</v>
      </c>
      <c r="L1352" s="200" t="s">
        <v>49</v>
      </c>
      <c r="M1352" s="212" t="s">
        <v>7100</v>
      </c>
      <c r="N1352" s="3" t="str">
        <f t="shared" si="31"/>
        <v>POST /utility/utility/calendarReference/evaluate</v>
      </c>
      <c r="O1352" s="40" t="s">
        <v>7101</v>
      </c>
      <c r="P1352" s="40"/>
      <c r="Q1352" s="61" t="s">
        <v>98</v>
      </c>
      <c r="R1352" s="31" t="s">
        <v>56</v>
      </c>
      <c r="S1352" s="38" t="str">
        <f t="shared" si="32"/>
        <v>https://github.com/SF-Bancoppel/mx-api-bc-dom-utility</v>
      </c>
      <c r="T1352" s="40"/>
      <c r="U1352" s="40"/>
      <c r="V1352" s="40"/>
      <c r="W1352" s="40"/>
      <c r="X1352" s="40"/>
      <c r="Y1352" s="40"/>
      <c r="Z1352" s="40"/>
      <c r="AA1352" s="40"/>
      <c r="AB1352" s="40"/>
    </row>
    <row r="1353" ht="18.75" customHeight="1">
      <c r="A1353" s="18" t="str">
        <f t="array" ref="A1353">IFERROR(
  INDEX(
    'api-register-id'!A:A,
    MATCH(F1353, 'api-register-id'!B:B, 0)
  ),
  "Not found Organization"
)</f>
        <v>SSFF</v>
      </c>
      <c r="B1353" s="22" t="str">
        <f>IFERROR(VLOOKUP(F1353, 'api-register-id'!B:F, 4, FALSE), "Not found path.")</f>
        <v>mx-api-bc-pro-utility</v>
      </c>
      <c r="C1353" s="213" t="s">
        <v>41</v>
      </c>
      <c r="D1353" s="213" t="s">
        <v>811</v>
      </c>
      <c r="E1353" s="24" t="str">
        <f>IFERROR(VLOOKUP(F1353, 'api-register-id'!B:F, 5, FALSE), "Not found path.")</f>
        <v>APIMX000114</v>
      </c>
      <c r="F1353" s="25" t="s">
        <v>1404</v>
      </c>
      <c r="G1353" s="26" t="s">
        <v>7102</v>
      </c>
      <c r="H1353" s="205" t="s">
        <v>7103</v>
      </c>
      <c r="I1353" s="29" t="str">
        <f>IFERROR(VLOOKUP(F1353, 'api-register-id'!B:I, 8, FALSE), "Not found path.")</f>
        <v>1.2.0</v>
      </c>
      <c r="J1353" s="40" t="s">
        <v>4600</v>
      </c>
      <c r="K1353" s="31" t="s">
        <v>48</v>
      </c>
      <c r="L1353" s="200" t="s">
        <v>49</v>
      </c>
      <c r="M1353" s="212" t="s">
        <v>7100</v>
      </c>
      <c r="N1353" s="3" t="str">
        <f t="shared" si="31"/>
        <v>POST /system/utility/utility/calendarReference/evaluate</v>
      </c>
      <c r="O1353" s="40" t="s">
        <v>7101</v>
      </c>
      <c r="P1353" s="40"/>
      <c r="Q1353" s="61" t="s">
        <v>98</v>
      </c>
      <c r="R1353" s="31" t="s">
        <v>56</v>
      </c>
      <c r="S1353" s="38" t="str">
        <f t="shared" si="32"/>
        <v>https://github.com/SF-Bancoppel/mx-api-bc-pro-utility</v>
      </c>
      <c r="T1353" s="40"/>
      <c r="U1353" s="40"/>
      <c r="V1353" s="40"/>
      <c r="W1353" s="40"/>
      <c r="X1353" s="40"/>
      <c r="Y1353" s="40"/>
      <c r="Z1353" s="40"/>
      <c r="AA1353" s="40"/>
      <c r="AB1353" s="40"/>
    </row>
    <row r="1354" ht="18.75" customHeight="1">
      <c r="A1354" s="18" t="str">
        <f t="array" ref="A1354">IFERROR(
  INDEX(
    'api-register-id'!A:A,
    MATCH(F1354, 'api-register-id'!B:B, 0)
  ),
  "Not found Organization"
)</f>
        <v>SSFF</v>
      </c>
      <c r="B1354" s="22" t="str">
        <f>IFERROR(VLOOKUP(F1354, 'api-register-id'!B:F, 4, FALSE), "Not found path.")</f>
        <v>mx-api-bc-rec-payments</v>
      </c>
      <c r="C1354" s="200" t="s">
        <v>112</v>
      </c>
      <c r="D1354" s="200" t="s">
        <v>1417</v>
      </c>
      <c r="E1354" s="24" t="str">
        <f>IFERROR(VLOOKUP(F1354, 'api-register-id'!B:F, 5, FALSE), "Not found path.")</f>
        <v>APIMX000169</v>
      </c>
      <c r="F1354" s="25" t="s">
        <v>2568</v>
      </c>
      <c r="G1354" s="26" t="s">
        <v>7104</v>
      </c>
      <c r="H1354" s="199" t="s">
        <v>7105</v>
      </c>
      <c r="I1354" s="29" t="str">
        <f>IFERROR(VLOOKUP(F1354, 'api-register-id'!B:I, 8, FALSE), "Not found path.")</f>
        <v>1.0.1</v>
      </c>
      <c r="J1354" s="40" t="s">
        <v>6197</v>
      </c>
      <c r="K1354" s="31" t="s">
        <v>48</v>
      </c>
      <c r="L1354" s="200" t="s">
        <v>49</v>
      </c>
      <c r="M1354" s="3" t="s">
        <v>7106</v>
      </c>
      <c r="N1354" s="3" t="str">
        <f t="shared" si="31"/>
        <v>POST /experience/payments/cardPaymentTransaction/initiate</v>
      </c>
      <c r="O1354" s="22" t="s">
        <v>7094</v>
      </c>
      <c r="P1354" s="40"/>
      <c r="Q1354" s="61" t="s">
        <v>98</v>
      </c>
      <c r="R1354" s="31" t="s">
        <v>56</v>
      </c>
      <c r="S1354" s="38" t="str">
        <f t="shared" si="32"/>
        <v>https://github.com/SF-Bancoppel/mx-api-bc-rec-payments</v>
      </c>
      <c r="T1354" s="40"/>
      <c r="U1354" s="40"/>
      <c r="V1354" s="40"/>
      <c r="W1354" s="40"/>
      <c r="X1354" s="40"/>
      <c r="Y1354" s="40"/>
      <c r="Z1354" s="40"/>
      <c r="AA1354" s="40"/>
      <c r="AB1354" s="40"/>
    </row>
    <row r="1355" ht="18.75" customHeight="1">
      <c r="A1355" s="18" t="s">
        <v>44</v>
      </c>
      <c r="B1355" s="22" t="str">
        <f>IFERROR(VLOOKUP(F1355, 'api-register-id'!B:F, 4, FALSE), "Not found path.")</f>
        <v>mx-api-bc-bus-payments</v>
      </c>
      <c r="C1355" s="213" t="s">
        <v>41</v>
      </c>
      <c r="D1355" s="213" t="s">
        <v>42</v>
      </c>
      <c r="E1355" s="24" t="str">
        <f>IFERROR(VLOOKUP(F1355, 'api-register-id'!B:F, 5, FALSE), "Not found path.")</f>
        <v>APIMX000165</v>
      </c>
      <c r="F1355" s="25" t="s">
        <v>2295</v>
      </c>
      <c r="G1355" s="26" t="s">
        <v>7107</v>
      </c>
      <c r="H1355" s="199" t="s">
        <v>7108</v>
      </c>
      <c r="I1355" s="29" t="str">
        <f>IFERROR(VLOOKUP(F1355, 'api-register-id'!B:I, 8, FALSE), "Not found path.")</f>
        <v>1.0.1</v>
      </c>
      <c r="J1355" s="22" t="s">
        <v>6103</v>
      </c>
      <c r="K1355" s="31" t="s">
        <v>48</v>
      </c>
      <c r="L1355" s="213" t="s">
        <v>49</v>
      </c>
      <c r="M1355" s="3" t="s">
        <v>7106</v>
      </c>
      <c r="N1355" s="3" t="str">
        <f t="shared" si="31"/>
        <v>POST /payments/cardPaymentTransaction/initiate</v>
      </c>
      <c r="O1355" s="292" t="s">
        <v>7109</v>
      </c>
      <c r="P1355" s="40"/>
      <c r="Q1355" s="61" t="s">
        <v>7097</v>
      </c>
      <c r="R1355" s="31" t="s">
        <v>56</v>
      </c>
      <c r="S1355" s="38" t="str">
        <f t="shared" si="32"/>
        <v>https://github.com/SF-Bancoppel/mx-api-bc-bus-payments</v>
      </c>
      <c r="T1355" s="40"/>
      <c r="U1355" s="40"/>
      <c r="V1355" s="40"/>
      <c r="W1355" s="40"/>
      <c r="X1355" s="40"/>
      <c r="Y1355" s="40"/>
      <c r="Z1355" s="40"/>
      <c r="AA1355" s="40"/>
      <c r="AB1355" s="40"/>
    </row>
    <row r="1356" ht="18.75" customHeight="1">
      <c r="A1356" s="256"/>
      <c r="B1356" s="257"/>
      <c r="C1356" s="258"/>
      <c r="D1356" s="258"/>
      <c r="E1356" s="259"/>
      <c r="F1356" s="260"/>
      <c r="G1356" s="261"/>
      <c r="H1356" s="262"/>
      <c r="I1356" s="263"/>
      <c r="J1356" s="284"/>
      <c r="K1356" s="283"/>
      <c r="L1356" s="258"/>
      <c r="M1356" s="265"/>
      <c r="N1356" s="266"/>
      <c r="O1356" s="249"/>
      <c r="P1356" s="249"/>
      <c r="Q1356" s="267"/>
      <c r="R1356" s="259"/>
      <c r="S1356" s="249"/>
      <c r="T1356" s="249"/>
      <c r="U1356" s="249"/>
      <c r="V1356" s="249"/>
      <c r="W1356" s="249"/>
      <c r="X1356" s="249"/>
      <c r="Y1356" s="249"/>
      <c r="Z1356" s="249"/>
      <c r="AA1356" s="249"/>
      <c r="AB1356" s="249"/>
    </row>
    <row r="1357" ht="18.75" customHeight="1">
      <c r="A1357" s="18" t="str">
        <f t="array" ref="A1357">IFERROR(
  INDEX(
    'api-register-id'!A:A,
    MATCH(F1357, 'api-register-id'!B:B, 0)
  ),
  "Not found Organization"
)</f>
        <v>Empresa Net</v>
      </c>
      <c r="B1357" s="22" t="str">
        <f>IFERROR(VLOOKUP(F1357, 'api-register-id'!B:F, 4, FALSE), "Not found path.")</f>
        <v>mx-api-bc-pro-int-bnk-acnt-corp</v>
      </c>
      <c r="C1357" s="200" t="s">
        <v>41</v>
      </c>
      <c r="D1357" s="200" t="s">
        <v>811</v>
      </c>
      <c r="E1357" s="24" t="str">
        <f>IFERROR(VLOOKUP(F1357, 'api-register-id'!B:F, 5, FALSE), "Not found path.")</f>
        <v>APIMX000191</v>
      </c>
      <c r="F1357" s="204" t="s">
        <v>3016</v>
      </c>
      <c r="G1357" s="26" t="s">
        <v>7110</v>
      </c>
      <c r="H1357" s="205" t="s">
        <v>6948</v>
      </c>
      <c r="I1357" s="29" t="str">
        <f>IFERROR(VLOOKUP(F1357, 'api-register-id'!B:I, 8, FALSE), "Not found path.")</f>
        <v/>
      </c>
      <c r="J1357" s="1" t="s">
        <v>6870</v>
      </c>
      <c r="K1357" s="214" t="s">
        <v>48</v>
      </c>
      <c r="L1357" s="200" t="s">
        <v>49</v>
      </c>
      <c r="M1357" s="212" t="s">
        <v>6887</v>
      </c>
      <c r="N1357" s="3" t="str">
        <f>CONCATENATE(L1357," ",J1357,M1357)</f>
        <v>POST /system/operationalServices/internalBankAccount/v1/corporate/transfer/spei</v>
      </c>
      <c r="O1357" s="40" t="s">
        <v>6888</v>
      </c>
      <c r="P1357" s="40"/>
      <c r="Q1357" s="61" t="s">
        <v>98</v>
      </c>
      <c r="R1357" s="31" t="s">
        <v>56</v>
      </c>
      <c r="S1357" s="38" t="str">
        <f>"https://github.com/SF-Bancoppel/"&amp;B1357</f>
        <v>https://github.com/SF-Bancoppel/mx-api-bc-pro-int-bnk-acnt-corp</v>
      </c>
      <c r="T1357" s="40"/>
      <c r="U1357" s="40"/>
      <c r="V1357" s="40"/>
      <c r="W1357" s="40"/>
      <c r="X1357" s="40"/>
      <c r="Y1357" s="40"/>
      <c r="Z1357" s="40"/>
      <c r="AA1357" s="40"/>
      <c r="AB1357" s="40"/>
    </row>
    <row r="1358" ht="18.75" customHeight="1">
      <c r="A1358" s="256"/>
      <c r="B1358" s="257"/>
      <c r="C1358" s="258"/>
      <c r="D1358" s="258"/>
      <c r="E1358" s="259"/>
      <c r="F1358" s="260"/>
      <c r="G1358" s="261" t="s">
        <v>7111</v>
      </c>
      <c r="H1358" s="262"/>
      <c r="I1358" s="263"/>
      <c r="J1358" s="284"/>
      <c r="K1358" s="283"/>
      <c r="L1358" s="258"/>
      <c r="M1358" s="265"/>
      <c r="N1358" s="266"/>
      <c r="O1358" s="249"/>
      <c r="P1358" s="249"/>
      <c r="Q1358" s="267"/>
      <c r="R1358" s="259"/>
      <c r="S1358" s="249"/>
      <c r="T1358" s="249"/>
      <c r="U1358" s="249"/>
      <c r="V1358" s="249"/>
      <c r="W1358" s="249"/>
      <c r="X1358" s="249"/>
      <c r="Y1358" s="249"/>
      <c r="Z1358" s="249"/>
      <c r="AA1358" s="249"/>
      <c r="AB1358" s="249"/>
    </row>
    <row r="1359" ht="18.75" customHeight="1">
      <c r="A1359" s="18" t="str">
        <f t="array" ref="A1359">IFERROR(
  INDEX(
    'api-register-id'!A:A,
    MATCH(F1359, 'api-register-id'!B:B, 0)
  ),
  "Not found Organization"
)</f>
        <v>Empresa Net</v>
      </c>
      <c r="B1359" s="22" t="str">
        <f>IFERROR(VLOOKUP(F1359, 'api-register-id'!B:F, 4, FALSE), "Not found path.")</f>
        <v>mx-api-bc-pro-int-bnk-acnt-corp</v>
      </c>
      <c r="C1359" s="200" t="s">
        <v>41</v>
      </c>
      <c r="D1359" s="200" t="s">
        <v>811</v>
      </c>
      <c r="E1359" s="24" t="str">
        <f>IFERROR(VLOOKUP(F1359, 'api-register-id'!B:F, 5, FALSE), "Not found path.")</f>
        <v>APIMX000191</v>
      </c>
      <c r="F1359" s="204" t="s">
        <v>3016</v>
      </c>
      <c r="G1359" s="26" t="s">
        <v>7112</v>
      </c>
      <c r="H1359" s="205" t="s">
        <v>6952</v>
      </c>
      <c r="I1359" s="29" t="str">
        <f>IFERROR(VLOOKUP(F1359, 'api-register-id'!B:I, 8, FALSE), "Not found path.")</f>
        <v/>
      </c>
      <c r="J1359" s="1" t="s">
        <v>6870</v>
      </c>
      <c r="K1359" s="214" t="s">
        <v>48</v>
      </c>
      <c r="L1359" s="200" t="s">
        <v>49</v>
      </c>
      <c r="M1359" s="212" t="s">
        <v>6895</v>
      </c>
      <c r="N1359" s="3" t="str">
        <f>CONCATENATE(L1359," ",J1359,M1359)</f>
        <v>POST /system/operationalServices/internalBankAccount/v1/corporate/authorizations/transfer/online/sign</v>
      </c>
      <c r="O1359" s="40" t="s">
        <v>6896</v>
      </c>
      <c r="P1359" s="40"/>
      <c r="Q1359" s="61" t="s">
        <v>98</v>
      </c>
      <c r="R1359" s="31" t="s">
        <v>56</v>
      </c>
      <c r="S1359" s="38" t="str">
        <f>"https://github.com/SF-Bancoppel/"&amp;B1359</f>
        <v>https://github.com/SF-Bancoppel/mx-api-bc-pro-int-bnk-acnt-corp</v>
      </c>
      <c r="T1359" s="40"/>
      <c r="U1359" s="40"/>
      <c r="V1359" s="40"/>
      <c r="W1359" s="40"/>
      <c r="X1359" s="40"/>
      <c r="Y1359" s="40"/>
      <c r="Z1359" s="40"/>
      <c r="AA1359" s="40"/>
      <c r="AB1359" s="40"/>
    </row>
    <row r="1360" ht="18.75" customHeight="1">
      <c r="A1360" s="256"/>
      <c r="B1360" s="257"/>
      <c r="C1360" s="258"/>
      <c r="D1360" s="258"/>
      <c r="E1360" s="259"/>
      <c r="F1360" s="260"/>
      <c r="G1360" s="261"/>
      <c r="H1360" s="262"/>
      <c r="I1360" s="263"/>
      <c r="J1360" s="284"/>
      <c r="K1360" s="283"/>
      <c r="L1360" s="258"/>
      <c r="M1360" s="265"/>
      <c r="N1360" s="266"/>
      <c r="O1360" s="249"/>
      <c r="P1360" s="249"/>
      <c r="Q1360" s="267"/>
      <c r="R1360" s="259"/>
      <c r="S1360" s="249"/>
      <c r="T1360" s="249"/>
      <c r="U1360" s="249"/>
      <c r="V1360" s="249"/>
      <c r="W1360" s="249"/>
      <c r="X1360" s="249"/>
      <c r="Y1360" s="249"/>
      <c r="Z1360" s="249"/>
      <c r="AA1360" s="249"/>
      <c r="AB1360" s="249"/>
    </row>
    <row r="1361" ht="18.75" customHeight="1">
      <c r="A1361" s="256"/>
      <c r="B1361" s="257"/>
      <c r="C1361" s="258"/>
      <c r="D1361" s="258"/>
      <c r="E1361" s="259"/>
      <c r="F1361" s="260"/>
      <c r="G1361" s="261"/>
      <c r="H1361" s="262"/>
      <c r="I1361" s="263"/>
      <c r="J1361" s="284"/>
      <c r="K1361" s="283"/>
      <c r="L1361" s="258"/>
      <c r="M1361" s="265"/>
      <c r="N1361" s="266"/>
      <c r="O1361" s="249"/>
      <c r="P1361" s="249"/>
      <c r="Q1361" s="267"/>
      <c r="R1361" s="259"/>
      <c r="S1361" s="249"/>
      <c r="T1361" s="249"/>
      <c r="U1361" s="249"/>
      <c r="V1361" s="249"/>
      <c r="W1361" s="249"/>
      <c r="X1361" s="249"/>
      <c r="Y1361" s="249"/>
      <c r="Z1361" s="249"/>
      <c r="AA1361" s="249"/>
      <c r="AB1361" s="249"/>
    </row>
    <row r="1362" ht="18.75" customHeight="1">
      <c r="A1362" s="256"/>
      <c r="B1362" s="257"/>
      <c r="C1362" s="258"/>
      <c r="D1362" s="258"/>
      <c r="E1362" s="259"/>
      <c r="F1362" s="260"/>
      <c r="G1362" s="261" t="s">
        <v>7113</v>
      </c>
      <c r="H1362" s="262"/>
      <c r="I1362" s="263"/>
      <c r="J1362" s="284"/>
      <c r="K1362" s="283"/>
      <c r="L1362" s="258"/>
      <c r="M1362" s="265"/>
      <c r="N1362" s="266"/>
      <c r="O1362" s="249"/>
      <c r="P1362" s="249"/>
      <c r="Q1362" s="267"/>
      <c r="R1362" s="259"/>
      <c r="S1362" s="249"/>
      <c r="T1362" s="249"/>
      <c r="U1362" s="249"/>
      <c r="V1362" s="249"/>
      <c r="W1362" s="249"/>
      <c r="X1362" s="249"/>
      <c r="Y1362" s="249"/>
      <c r="Z1362" s="249"/>
      <c r="AA1362" s="249"/>
      <c r="AB1362" s="249"/>
    </row>
    <row r="1363" ht="18.75" customHeight="1">
      <c r="A1363" s="256"/>
      <c r="B1363" s="257"/>
      <c r="C1363" s="258"/>
      <c r="D1363" s="258"/>
      <c r="E1363" s="259"/>
      <c r="F1363" s="260"/>
      <c r="G1363" s="261"/>
      <c r="H1363" s="262"/>
      <c r="I1363" s="263"/>
      <c r="J1363" s="249"/>
      <c r="K1363" s="264"/>
      <c r="L1363" s="258"/>
      <c r="M1363" s="265"/>
      <c r="N1363" s="266"/>
      <c r="O1363" s="249"/>
      <c r="P1363" s="249"/>
      <c r="Q1363" s="267"/>
      <c r="R1363" s="259"/>
      <c r="S1363" s="249"/>
      <c r="T1363" s="249"/>
      <c r="U1363" s="249"/>
      <c r="V1363" s="249"/>
      <c r="W1363" s="249"/>
      <c r="X1363" s="249"/>
      <c r="Y1363" s="249"/>
      <c r="Z1363" s="249"/>
      <c r="AA1363" s="249"/>
      <c r="AB1363" s="249"/>
    </row>
    <row r="1364" ht="18.75" customHeight="1">
      <c r="A1364" s="18" t="str">
        <f t="array" ref="A1364">IFERROR(
  INDEX(
    'api-register-id'!A:A,
    MATCH(F1364, 'api-register-id'!B:B, 0)
  ),
  "Not found Organization"
)</f>
        <v>Empresa Net</v>
      </c>
      <c r="B1364" s="22" t="str">
        <f>IFERROR(VLOOKUP(F1364, 'api-register-id'!B:F, 4, FALSE), "Not found path.")</f>
        <v>mx-api-bc-pro-int-bnk-acnt-corp</v>
      </c>
      <c r="C1364" s="200" t="s">
        <v>41</v>
      </c>
      <c r="D1364" s="200" t="s">
        <v>811</v>
      </c>
      <c r="E1364" s="24" t="str">
        <f>IFERROR(VLOOKUP(F1364, 'api-register-id'!B:F, 5, FALSE), "Not found path.")</f>
        <v>APIMX000191</v>
      </c>
      <c r="F1364" s="204" t="s">
        <v>3016</v>
      </c>
      <c r="G1364" s="26" t="s">
        <v>7114</v>
      </c>
      <c r="H1364" s="205" t="s">
        <v>6952</v>
      </c>
      <c r="I1364" s="29" t="str">
        <f>IFERROR(VLOOKUP(F1364, 'api-register-id'!B:I, 8, FALSE), "Not found path.")</f>
        <v/>
      </c>
      <c r="J1364" s="40" t="s">
        <v>7115</v>
      </c>
      <c r="K1364" s="211" t="s">
        <v>48</v>
      </c>
      <c r="L1364" s="200" t="s">
        <v>49</v>
      </c>
      <c r="M1364" s="212" t="s">
        <v>6895</v>
      </c>
      <c r="N1364" s="3" t="str">
        <f t="shared" ref="N1364:N1365" si="34">CONCATENATE(L1364," ",J1364,M1364)</f>
        <v>POST /system/system/operationalServices/internalBankAccount/v1/corporate/authorizations/transfer/online/sign</v>
      </c>
      <c r="O1364" s="40" t="s">
        <v>6896</v>
      </c>
      <c r="P1364" s="40"/>
      <c r="Q1364" s="61" t="s">
        <v>98</v>
      </c>
      <c r="R1364" s="31" t="s">
        <v>56</v>
      </c>
      <c r="S1364" s="38" t="str">
        <f t="shared" ref="S1364:S1365" si="35">"https://github.com/SF-Bancoppel/"&amp;B1364</f>
        <v>https://github.com/SF-Bancoppel/mx-api-bc-pro-int-bnk-acnt-corp</v>
      </c>
      <c r="T1364" s="40"/>
      <c r="U1364" s="40"/>
      <c r="V1364" s="40"/>
      <c r="W1364" s="40"/>
      <c r="X1364" s="40"/>
      <c r="Y1364" s="40"/>
      <c r="Z1364" s="40"/>
      <c r="AA1364" s="40"/>
      <c r="AB1364" s="40"/>
    </row>
    <row r="1365" ht="18.75" customHeight="1">
      <c r="A1365" s="18" t="str">
        <f t="array" ref="A1365">IFERROR(
  INDEX(
    'api-register-id'!A:A,
    MATCH(F1365, 'api-register-id'!B:B, 0)
  ),
  "Not found Organization"
)</f>
        <v>Empresa Net</v>
      </c>
      <c r="B1365" s="22" t="str">
        <f>IFERROR(VLOOKUP(F1365, 'api-register-id'!B:F, 4, FALSE), "Not found path.")</f>
        <v>mx-api-bc-pro-int-bnk-acnt-corp</v>
      </c>
      <c r="C1365" s="200" t="s">
        <v>41</v>
      </c>
      <c r="D1365" s="200" t="s">
        <v>811</v>
      </c>
      <c r="E1365" s="24" t="str">
        <f>IFERROR(VLOOKUP(F1365, 'api-register-id'!B:F, 5, FALSE), "Not found path.")</f>
        <v>APIMX000191</v>
      </c>
      <c r="F1365" s="204" t="s">
        <v>3016</v>
      </c>
      <c r="G1365" s="26" t="s">
        <v>7116</v>
      </c>
      <c r="H1365" s="205" t="s">
        <v>6948</v>
      </c>
      <c r="I1365" s="29" t="str">
        <f>IFERROR(VLOOKUP(F1365, 'api-register-id'!B:I, 8, FALSE), "Not found path.")</f>
        <v/>
      </c>
      <c r="J1365" s="40" t="s">
        <v>7117</v>
      </c>
      <c r="K1365" s="211" t="s">
        <v>48</v>
      </c>
      <c r="L1365" s="200" t="s">
        <v>49</v>
      </c>
      <c r="M1365" s="212" t="s">
        <v>6887</v>
      </c>
      <c r="N1365" s="3" t="str">
        <f t="shared" si="34"/>
        <v>POST /system/system/system/operationalServices/internalBankAccount/v1/corporate/transfer/spei</v>
      </c>
      <c r="O1365" s="40" t="s">
        <v>6910</v>
      </c>
      <c r="P1365" s="40"/>
      <c r="Q1365" s="61" t="s">
        <v>98</v>
      </c>
      <c r="R1365" s="31" t="s">
        <v>56</v>
      </c>
      <c r="S1365" s="38" t="str">
        <f t="shared" si="35"/>
        <v>https://github.com/SF-Bancoppel/mx-api-bc-pro-int-bnk-acnt-corp</v>
      </c>
      <c r="T1365" s="40"/>
      <c r="U1365" s="40"/>
      <c r="V1365" s="40"/>
      <c r="W1365" s="40"/>
      <c r="X1365" s="40"/>
      <c r="Y1365" s="40"/>
      <c r="Z1365" s="40"/>
      <c r="AA1365" s="40"/>
      <c r="AB1365" s="40"/>
    </row>
    <row r="1366" ht="18.75" customHeight="1">
      <c r="A1366" s="256"/>
      <c r="B1366" s="257"/>
      <c r="C1366" s="258"/>
      <c r="D1366" s="258"/>
      <c r="E1366" s="259"/>
      <c r="F1366" s="260"/>
      <c r="G1366" s="261"/>
      <c r="H1366" s="262"/>
      <c r="I1366" s="263"/>
      <c r="J1366" s="249"/>
      <c r="K1366" s="264"/>
      <c r="L1366" s="258"/>
      <c r="M1366" s="265"/>
      <c r="N1366" s="266"/>
      <c r="O1366" s="249"/>
      <c r="P1366" s="249"/>
      <c r="Q1366" s="267"/>
      <c r="R1366" s="259"/>
      <c r="S1366" s="249"/>
      <c r="T1366" s="249"/>
      <c r="U1366" s="249"/>
      <c r="V1366" s="249"/>
      <c r="W1366" s="249"/>
      <c r="X1366" s="249"/>
      <c r="Y1366" s="249"/>
      <c r="Z1366" s="249"/>
      <c r="AA1366" s="249"/>
      <c r="AB1366" s="249"/>
    </row>
    <row r="1367" ht="18.75" customHeight="1">
      <c r="A1367" s="18" t="str">
        <f t="array" ref="A1367">IFERROR(
  INDEX(
    'api-register-id'!A:A,
    MATCH(F1367, 'api-register-id'!B:B, 0)
  ),
  "Not found Organization"
)</f>
        <v>Empresa Net</v>
      </c>
      <c r="B1367" s="22" t="str">
        <f>IFERROR(VLOOKUP(F1367, 'api-register-id'!B:F, 4, FALSE), "Not found path.")</f>
        <v>mx-api-bc-dom-document-services-corp</v>
      </c>
      <c r="C1367" s="200" t="s">
        <v>41</v>
      </c>
      <c r="D1367" s="200" t="s">
        <v>119</v>
      </c>
      <c r="E1367" s="24" t="str">
        <f>IFERROR(VLOOKUP(F1367, 'api-register-id'!B:F, 5, FALSE), "Not found path.")</f>
        <v>APIMX000192</v>
      </c>
      <c r="F1367" s="204" t="s">
        <v>3057</v>
      </c>
      <c r="G1367" s="26" t="s">
        <v>7118</v>
      </c>
      <c r="H1367" s="205" t="str">
        <f>obtenerAPIOperationId(M1367,D1367)</f>
        <v>Dom_TermStatementProductsCorporateV1</v>
      </c>
      <c r="I1367" s="29" t="str">
        <f>IFERROR(VLOOKUP(F1367, 'api-register-id'!B:I, 8, FALSE), "Not found path.")</f>
        <v>1.0.0</v>
      </c>
      <c r="J1367" s="204" t="s">
        <v>1028</v>
      </c>
      <c r="K1367" s="214" t="s">
        <v>48</v>
      </c>
      <c r="L1367" s="200" t="s">
        <v>49</v>
      </c>
      <c r="M1367" s="212" t="s">
        <v>7119</v>
      </c>
      <c r="N1367" s="3" t="str">
        <f t="shared" ref="N1367:N1369" si="36">CONCATENATE(L1367," ",J1367,M1367)</f>
        <v>POST /documentManagementAndArchive/documentServices/v1/corporate/products/statement/term</v>
      </c>
      <c r="O1367" s="40" t="s">
        <v>7120</v>
      </c>
      <c r="P1367" s="40"/>
      <c r="Q1367" s="61" t="s">
        <v>98</v>
      </c>
      <c r="R1367" s="31" t="s">
        <v>56</v>
      </c>
      <c r="S1367" s="38" t="str">
        <f t="shared" ref="S1367:S1403" si="37">"https://github.com/SF-Bancoppel/"&amp;B1367</f>
        <v>https://github.com/SF-Bancoppel/mx-api-bc-dom-document-services-corp</v>
      </c>
      <c r="T1367" s="40"/>
      <c r="U1367" s="40"/>
      <c r="V1367" s="40"/>
      <c r="W1367" s="40"/>
      <c r="X1367" s="40"/>
      <c r="Y1367" s="40"/>
      <c r="Z1367" s="40"/>
      <c r="AA1367" s="40"/>
      <c r="AB1367" s="40"/>
    </row>
    <row r="1368" ht="18.75" customHeight="1">
      <c r="A1368" s="293" t="s">
        <v>44</v>
      </c>
      <c r="B1368" s="294" t="str">
        <f>IFERROR(VLOOKUP(F1368, 'api-register-id'!B:F, 4, FALSE), "Not found path.")</f>
        <v>mx-api-bc-bus-operations-and-execution</v>
      </c>
      <c r="C1368" s="295" t="s">
        <v>41</v>
      </c>
      <c r="D1368" s="295" t="s">
        <v>42</v>
      </c>
      <c r="E1368" s="296" t="str">
        <f>IFERROR(VLOOKUP(F1368, 'api-register-id'!B:F, 5, FALSE), "Not found path.")</f>
        <v>APIMX000002</v>
      </c>
      <c r="F1368" s="297" t="s">
        <v>72</v>
      </c>
      <c r="G1368" s="26" t="s">
        <v>7121</v>
      </c>
      <c r="H1368" s="298" t="s">
        <v>7122</v>
      </c>
      <c r="I1368" s="299"/>
      <c r="J1368" s="3" t="s">
        <v>93</v>
      </c>
      <c r="K1368" s="250" t="s">
        <v>48</v>
      </c>
      <c r="L1368" s="300" t="s">
        <v>49</v>
      </c>
      <c r="M1368" s="301" t="s">
        <v>7123</v>
      </c>
      <c r="N1368" s="3" t="str">
        <f t="shared" si="36"/>
        <v>POST /operationsAndExecution/v1/customerCreditCardsIssued/retrieve</v>
      </c>
      <c r="O1368" s="302"/>
      <c r="P1368" s="302"/>
      <c r="Q1368" s="302"/>
      <c r="R1368" s="303" t="s">
        <v>56</v>
      </c>
      <c r="S1368" s="218" t="str">
        <f t="shared" si="37"/>
        <v>https://github.com/SF-Bancoppel/mx-api-bc-bus-operations-and-execution</v>
      </c>
      <c r="T1368" s="302"/>
      <c r="U1368" s="302"/>
      <c r="V1368" s="302"/>
      <c r="W1368" s="302"/>
      <c r="X1368" s="302"/>
      <c r="Y1368" s="302"/>
      <c r="Z1368" s="302"/>
      <c r="AA1368" s="302"/>
      <c r="AB1368" s="302"/>
    </row>
    <row r="1369" ht="18.75" customHeight="1">
      <c r="A1369" s="293" t="s">
        <v>44</v>
      </c>
      <c r="B1369" s="304" t="str">
        <f>IFERROR(VLOOKUP(F1369, 'api-register-id'!B:F, 4, FALSE), "Not found path.")</f>
        <v>mx-api-bc-bus-operations-and-execution</v>
      </c>
      <c r="C1369" s="305" t="s">
        <v>41</v>
      </c>
      <c r="D1369" s="305" t="s">
        <v>42</v>
      </c>
      <c r="E1369" s="296" t="str">
        <f>IFERROR(VLOOKUP(F1369, 'api-register-id'!B:F, 5, FALSE), "Not found path.")</f>
        <v>APIMX000002</v>
      </c>
      <c r="F1369" s="297" t="s">
        <v>72</v>
      </c>
      <c r="G1369" s="26" t="s">
        <v>7124</v>
      </c>
      <c r="H1369" s="298" t="s">
        <v>7125</v>
      </c>
      <c r="I1369" s="299"/>
      <c r="J1369" s="3" t="s">
        <v>93</v>
      </c>
      <c r="K1369" s="250" t="s">
        <v>48</v>
      </c>
      <c r="L1369" s="300" t="s">
        <v>49</v>
      </c>
      <c r="M1369" s="306" t="s">
        <v>7126</v>
      </c>
      <c r="N1369" s="3" t="str">
        <f t="shared" si="36"/>
        <v>POST /operationsAndExecution/v1/customerCreditCardsProcessed/retrieve</v>
      </c>
      <c r="O1369" s="302"/>
      <c r="P1369" s="302"/>
      <c r="Q1369" s="302"/>
      <c r="R1369" s="303" t="s">
        <v>56</v>
      </c>
      <c r="S1369" s="218" t="str">
        <f t="shared" si="37"/>
        <v>https://github.com/SF-Bancoppel/mx-api-bc-bus-operations-and-execution</v>
      </c>
      <c r="T1369" s="302"/>
      <c r="U1369" s="302"/>
      <c r="V1369" s="302"/>
      <c r="W1369" s="302"/>
      <c r="X1369" s="302"/>
      <c r="Y1369" s="302"/>
      <c r="Z1369" s="302"/>
      <c r="AA1369" s="302"/>
      <c r="AB1369" s="302"/>
    </row>
    <row r="1370" ht="18.75" customHeight="1">
      <c r="A1370" s="18" t="s">
        <v>44</v>
      </c>
      <c r="B1370" s="22" t="str">
        <f>IFERROR(VLOOKUP(F1370, 'api-register-id'!B:F, 4, FALSE), "Not found path.")</f>
        <v>mx-api-bc-rec-party-lifecycle-management</v>
      </c>
      <c r="C1370" s="213" t="s">
        <v>112</v>
      </c>
      <c r="D1370" s="213" t="s">
        <v>1417</v>
      </c>
      <c r="E1370" s="24" t="str">
        <f>IFERROR(VLOOKUP(F1370, 'api-register-id'!B:F, 5, FALSE), "Not found path.")</f>
        <v>APIMX000139</v>
      </c>
      <c r="F1370" s="1" t="s">
        <v>1667</v>
      </c>
      <c r="G1370" s="26" t="s">
        <v>7127</v>
      </c>
      <c r="H1370" s="22" t="s">
        <v>7128</v>
      </c>
      <c r="I1370" s="29"/>
      <c r="J1370" s="22" t="s">
        <v>4543</v>
      </c>
      <c r="K1370" s="31" t="s">
        <v>48</v>
      </c>
      <c r="L1370" s="213" t="s">
        <v>49</v>
      </c>
      <c r="M1370" s="3" t="s">
        <v>1371</v>
      </c>
      <c r="N1370" s="3" t="s">
        <v>7129</v>
      </c>
      <c r="O1370" s="22" t="s">
        <v>7130</v>
      </c>
      <c r="P1370" s="40"/>
      <c r="Q1370" s="212"/>
      <c r="R1370" s="31"/>
      <c r="S1370" s="218" t="str">
        <f t="shared" si="37"/>
        <v>https://github.com/SF-Bancoppel/mx-api-bc-rec-party-lifecycle-management</v>
      </c>
      <c r="T1370" s="40"/>
      <c r="U1370" s="40"/>
      <c r="V1370" s="40"/>
      <c r="W1370" s="40"/>
      <c r="X1370" s="40"/>
      <c r="Y1370" s="40"/>
      <c r="Z1370" s="40"/>
      <c r="AA1370" s="40"/>
      <c r="AB1370" s="40"/>
    </row>
    <row r="1371" ht="18.75" customHeight="1">
      <c r="A1371" s="18" t="s">
        <v>44</v>
      </c>
      <c r="B1371" s="22" t="str">
        <f>IFERROR(VLOOKUP(F1371, 'api-register-id'!B:F, 4, FALSE), "Not found path.")</f>
        <v>mx-api-bc-rec-customer-management</v>
      </c>
      <c r="C1371" s="23" t="s">
        <v>112</v>
      </c>
      <c r="D1371" s="23" t="s">
        <v>1417</v>
      </c>
      <c r="E1371" s="24" t="str">
        <f>IFERROR(VLOOKUP(F1371, 'api-register-id'!B:F, 5, FALSE), "Not found path.")</f>
        <v>APIMX000163</v>
      </c>
      <c r="F1371" s="25" t="s">
        <v>2133</v>
      </c>
      <c r="G1371" s="26" t="s">
        <v>7131</v>
      </c>
      <c r="H1371" s="199" t="s">
        <v>7132</v>
      </c>
      <c r="I1371" s="29"/>
      <c r="J1371" s="3" t="s">
        <v>6186</v>
      </c>
      <c r="K1371" s="31" t="s">
        <v>48</v>
      </c>
      <c r="L1371" s="213" t="s">
        <v>49</v>
      </c>
      <c r="M1371" s="212"/>
      <c r="N1371" s="3"/>
      <c r="O1371" s="40"/>
      <c r="P1371" s="40"/>
      <c r="Q1371" s="212"/>
      <c r="R1371" s="31"/>
      <c r="S1371" s="218" t="str">
        <f t="shared" si="37"/>
        <v>https://github.com/SF-Bancoppel/mx-api-bc-rec-customer-management</v>
      </c>
      <c r="T1371" s="40"/>
      <c r="U1371" s="40"/>
      <c r="V1371" s="40"/>
      <c r="W1371" s="40"/>
      <c r="X1371" s="40"/>
      <c r="Y1371" s="40"/>
      <c r="Z1371" s="40"/>
      <c r="AA1371" s="40"/>
      <c r="AB1371" s="40"/>
    </row>
    <row r="1372" ht="18.75" customHeight="1">
      <c r="A1372" s="18" t="s">
        <v>44</v>
      </c>
      <c r="B1372" s="22" t="str">
        <f>IFERROR(VLOOKUP(F1372, 'api-register-id'!B:F, 4, FALSE), "Not found path.")</f>
        <v>mx-api-bc-bus-customer-management</v>
      </c>
      <c r="C1372" s="213" t="s">
        <v>41</v>
      </c>
      <c r="D1372" s="213" t="s">
        <v>42</v>
      </c>
      <c r="E1372" s="24" t="str">
        <f>IFERROR(VLOOKUP(F1372, 'api-register-id'!B:F, 5, FALSE), "Not found path.")</f>
        <v>APIMX000161</v>
      </c>
      <c r="F1372" s="25" t="s">
        <v>1993</v>
      </c>
      <c r="G1372" s="26" t="s">
        <v>7133</v>
      </c>
      <c r="H1372" s="199" t="s">
        <v>7134</v>
      </c>
      <c r="I1372" s="29" t="s">
        <v>162</v>
      </c>
      <c r="J1372" s="3" t="s">
        <v>6051</v>
      </c>
      <c r="K1372" s="31" t="s">
        <v>6671</v>
      </c>
      <c r="L1372" s="213" t="s">
        <v>49</v>
      </c>
      <c r="M1372" s="212"/>
      <c r="N1372" s="3"/>
      <c r="O1372" s="40"/>
      <c r="P1372" s="40"/>
      <c r="Q1372" s="212"/>
      <c r="R1372" s="31" t="s">
        <v>56</v>
      </c>
      <c r="S1372" s="218" t="str">
        <f t="shared" si="37"/>
        <v>https://github.com/SF-Bancoppel/mx-api-bc-bus-customer-management</v>
      </c>
      <c r="T1372" s="40"/>
      <c r="U1372" s="40"/>
      <c r="V1372" s="40"/>
      <c r="W1372" s="40"/>
      <c r="X1372" s="40"/>
      <c r="Y1372" s="40"/>
      <c r="Z1372" s="40"/>
      <c r="AA1372" s="40"/>
      <c r="AB1372" s="40"/>
    </row>
    <row r="1373" ht="18.75" customHeight="1">
      <c r="A1373" s="18" t="s">
        <v>44</v>
      </c>
      <c r="B1373" s="22" t="str">
        <f>IFERROR(VLOOKUP(F1373, 'api-register-id'!B:F, 4, FALSE), "Not found path.")</f>
        <v>mx-api-bc-rec-party-lifecycle-management</v>
      </c>
      <c r="C1373" s="213" t="s">
        <v>112</v>
      </c>
      <c r="D1373" s="213" t="s">
        <v>1417</v>
      </c>
      <c r="E1373" s="24" t="str">
        <f>IFERROR(VLOOKUP(F1373, 'api-register-id'!B:F, 5, FALSE), "Not found path.")</f>
        <v>APIMX000139</v>
      </c>
      <c r="F1373" s="307" t="s">
        <v>1667</v>
      </c>
      <c r="G1373" s="26" t="s">
        <v>7135</v>
      </c>
      <c r="H1373" s="199" t="s">
        <v>7136</v>
      </c>
      <c r="I1373" s="29" t="s">
        <v>7137</v>
      </c>
      <c r="J1373" s="3" t="s">
        <v>1315</v>
      </c>
      <c r="K1373" s="31" t="s">
        <v>48</v>
      </c>
      <c r="L1373" s="213" t="s">
        <v>49</v>
      </c>
      <c r="M1373" s="3" t="s">
        <v>7138</v>
      </c>
      <c r="N1373" s="3" t="s">
        <v>7139</v>
      </c>
      <c r="O1373" s="196" t="s">
        <v>7140</v>
      </c>
      <c r="P1373" s="40"/>
      <c r="Q1373" s="212"/>
      <c r="R1373" s="31" t="s">
        <v>56</v>
      </c>
      <c r="S1373" s="218" t="str">
        <f t="shared" si="37"/>
        <v>https://github.com/SF-Bancoppel/mx-api-bc-rec-party-lifecycle-management</v>
      </c>
      <c r="T1373" s="40"/>
      <c r="U1373" s="40"/>
      <c r="V1373" s="40"/>
      <c r="W1373" s="40"/>
      <c r="X1373" s="40"/>
      <c r="Y1373" s="40"/>
      <c r="Z1373" s="40"/>
      <c r="AA1373" s="40"/>
      <c r="AB1373" s="40"/>
    </row>
    <row r="1374" ht="18.75" customHeight="1">
      <c r="A1374" s="18" t="s">
        <v>44</v>
      </c>
      <c r="B1374" s="22" t="str">
        <f>IFERROR(VLOOKUP(F1374, 'api-register-id'!B:F, 4, FALSE), "Not found path.")</f>
        <v>mx-api-bc-rec-party-lifecycle-management</v>
      </c>
      <c r="C1374" s="213" t="s">
        <v>112</v>
      </c>
      <c r="D1374" s="213" t="s">
        <v>1417</v>
      </c>
      <c r="E1374" s="24" t="str">
        <f>IFERROR(VLOOKUP(F1374, 'api-register-id'!B:F, 5, FALSE), "Not found path.")</f>
        <v>APIMX000139</v>
      </c>
      <c r="F1374" s="307" t="s">
        <v>1667</v>
      </c>
      <c r="G1374" s="26" t="s">
        <v>7141</v>
      </c>
      <c r="H1374" s="199" t="s">
        <v>7142</v>
      </c>
      <c r="I1374" s="29" t="s">
        <v>7143</v>
      </c>
      <c r="J1374" s="3" t="s">
        <v>7144</v>
      </c>
      <c r="K1374" s="31" t="s">
        <v>48</v>
      </c>
      <c r="L1374" s="213" t="s">
        <v>49</v>
      </c>
      <c r="M1374" s="3" t="s">
        <v>7145</v>
      </c>
      <c r="N1374" s="3" t="s">
        <v>7146</v>
      </c>
      <c r="O1374" s="196" t="s">
        <v>7147</v>
      </c>
      <c r="P1374" s="40"/>
      <c r="Q1374" s="212"/>
      <c r="R1374" s="31" t="s">
        <v>56</v>
      </c>
      <c r="S1374" s="218" t="str">
        <f t="shared" si="37"/>
        <v>https://github.com/SF-Bancoppel/mx-api-bc-rec-party-lifecycle-management</v>
      </c>
      <c r="T1374" s="40"/>
      <c r="U1374" s="40"/>
      <c r="V1374" s="40"/>
      <c r="W1374" s="40"/>
      <c r="X1374" s="40"/>
      <c r="Y1374" s="40"/>
      <c r="Z1374" s="40"/>
      <c r="AA1374" s="40"/>
      <c r="AB1374" s="40"/>
    </row>
    <row r="1375" ht="18.75" customHeight="1">
      <c r="A1375" s="18" t="s">
        <v>44</v>
      </c>
      <c r="B1375" s="22" t="str">
        <f>IFERROR(VLOOKUP(F1375, 'api-register-id'!B:F, 4, FALSE), "Not found path.")</f>
        <v>mx-api-bc-dom-party-lifecycle-management</v>
      </c>
      <c r="C1375" s="213" t="s">
        <v>41</v>
      </c>
      <c r="D1375" s="213" t="s">
        <v>119</v>
      </c>
      <c r="E1375" s="24" t="str">
        <f>IFERROR(VLOOKUP(F1375, 'api-register-id'!B:F, 5, FALSE), "Not found path.")</f>
        <v>APIMX000040</v>
      </c>
      <c r="F1375" s="307" t="s">
        <v>624</v>
      </c>
      <c r="G1375" s="26" t="s">
        <v>7148</v>
      </c>
      <c r="H1375" s="199" t="s">
        <v>7149</v>
      </c>
      <c r="I1375" s="29" t="s">
        <v>7150</v>
      </c>
      <c r="J1375" s="3" t="s">
        <v>7151</v>
      </c>
      <c r="K1375" s="31" t="s">
        <v>48</v>
      </c>
      <c r="L1375" s="213" t="s">
        <v>49</v>
      </c>
      <c r="M1375" s="3" t="s">
        <v>7152</v>
      </c>
      <c r="N1375" s="3" t="s">
        <v>7153</v>
      </c>
      <c r="O1375" s="196" t="s">
        <v>7154</v>
      </c>
      <c r="P1375" s="40"/>
      <c r="Q1375" s="212"/>
      <c r="R1375" s="31" t="s">
        <v>56</v>
      </c>
      <c r="S1375" s="218" t="str">
        <f t="shared" si="37"/>
        <v>https://github.com/SF-Bancoppel/mx-api-bc-dom-party-lifecycle-management</v>
      </c>
      <c r="T1375" s="40"/>
      <c r="U1375" s="40"/>
      <c r="V1375" s="40"/>
      <c r="W1375" s="40"/>
      <c r="X1375" s="40"/>
      <c r="Y1375" s="40"/>
      <c r="Z1375" s="40"/>
      <c r="AA1375" s="40"/>
      <c r="AB1375" s="40"/>
    </row>
    <row r="1376" ht="18.75" customHeight="1">
      <c r="A1376" s="18" t="s">
        <v>44</v>
      </c>
      <c r="B1376" s="22" t="str">
        <f>IFERROR(VLOOKUP(F1376, 'api-register-id'!B:F, 4, FALSE), "Not found path.")</f>
        <v>mx-api-bc-pro-party-lifecycle-management</v>
      </c>
      <c r="C1376" s="213" t="s">
        <v>41</v>
      </c>
      <c r="D1376" s="213" t="s">
        <v>811</v>
      </c>
      <c r="E1376" s="24" t="str">
        <f>IFERROR(VLOOKUP(F1376, 'api-register-id'!B:F, 5, FALSE), "Not found path.")</f>
        <v>APIMX000096</v>
      </c>
      <c r="F1376" s="307" t="s">
        <v>1214</v>
      </c>
      <c r="G1376" s="26" t="s">
        <v>7155</v>
      </c>
      <c r="H1376" s="199" t="s">
        <v>7156</v>
      </c>
      <c r="I1376" s="29" t="s">
        <v>7157</v>
      </c>
      <c r="J1376" s="3" t="s">
        <v>7158</v>
      </c>
      <c r="K1376" s="31" t="s">
        <v>48</v>
      </c>
      <c r="L1376" s="213" t="s">
        <v>49</v>
      </c>
      <c r="M1376" s="3" t="s">
        <v>7159</v>
      </c>
      <c r="N1376" s="3" t="s">
        <v>7160</v>
      </c>
      <c r="O1376" s="196" t="s">
        <v>7161</v>
      </c>
      <c r="P1376" s="40"/>
      <c r="Q1376" s="212"/>
      <c r="R1376" s="31" t="s">
        <v>56</v>
      </c>
      <c r="S1376" s="218" t="str">
        <f t="shared" si="37"/>
        <v>https://github.com/SF-Bancoppel/mx-api-bc-pro-party-lifecycle-management</v>
      </c>
      <c r="T1376" s="40"/>
      <c r="U1376" s="40"/>
      <c r="V1376" s="40"/>
      <c r="W1376" s="40"/>
      <c r="X1376" s="40"/>
      <c r="Y1376" s="40"/>
      <c r="Z1376" s="40"/>
      <c r="AA1376" s="40"/>
      <c r="AB1376" s="40"/>
    </row>
    <row r="1377" ht="18.75" customHeight="1">
      <c r="A1377" s="18" t="s">
        <v>44</v>
      </c>
      <c r="B1377" s="22" t="str">
        <f>IFERROR(VLOOKUP(F1377, 'api-register-id'!B:F, 4, FALSE), "Not found path.")</f>
        <v>mx-api-bc-rec-reference-data</v>
      </c>
      <c r="C1377" s="213" t="s">
        <v>112</v>
      </c>
      <c r="D1377" s="213" t="s">
        <v>1417</v>
      </c>
      <c r="E1377" s="24" t="str">
        <f>IFERROR(VLOOKUP(F1377, 'api-register-id'!B:F, 5, FALSE), "Not found path.")</f>
        <v>APIMX000146</v>
      </c>
      <c r="F1377" s="308" t="s">
        <v>1744</v>
      </c>
      <c r="G1377" s="26" t="s">
        <v>7162</v>
      </c>
      <c r="H1377" s="199" t="s">
        <v>7163</v>
      </c>
      <c r="I1377" s="29" t="s">
        <v>7164</v>
      </c>
      <c r="J1377" s="309" t="s">
        <v>7165</v>
      </c>
      <c r="K1377" s="31" t="s">
        <v>48</v>
      </c>
      <c r="L1377" s="213" t="s">
        <v>49</v>
      </c>
      <c r="M1377" s="310" t="s">
        <v>7166</v>
      </c>
      <c r="N1377" s="3" t="s">
        <v>7167</v>
      </c>
      <c r="O1377" s="196" t="s">
        <v>7168</v>
      </c>
      <c r="P1377" s="40"/>
      <c r="Q1377" s="212"/>
      <c r="R1377" s="31" t="s">
        <v>56</v>
      </c>
      <c r="S1377" s="218" t="str">
        <f t="shared" si="37"/>
        <v>https://github.com/SF-Bancoppel/mx-api-bc-rec-reference-data</v>
      </c>
      <c r="T1377" s="40"/>
      <c r="U1377" s="40"/>
      <c r="V1377" s="40"/>
      <c r="W1377" s="40"/>
      <c r="X1377" s="40"/>
      <c r="Y1377" s="40"/>
      <c r="Z1377" s="40"/>
      <c r="AA1377" s="40"/>
      <c r="AB1377" s="40"/>
    </row>
    <row r="1378" ht="18.75" customHeight="1">
      <c r="A1378" s="18" t="s">
        <v>44</v>
      </c>
      <c r="B1378" s="22" t="str">
        <f>IFERROR(VLOOKUP(F1378, 'api-register-id'!B:F, 4, FALSE), "Not found path.")</f>
        <v>mx-api-bc-bus-reference-data</v>
      </c>
      <c r="C1378" s="213" t="s">
        <v>41</v>
      </c>
      <c r="D1378" s="213" t="s">
        <v>42</v>
      </c>
      <c r="E1378" s="24" t="str">
        <f>IFERROR(VLOOKUP(F1378, 'api-register-id'!B:F, 5, FALSE), "Not found path.")</f>
        <v>APIMX000003</v>
      </c>
      <c r="F1378" s="308" t="s">
        <v>86</v>
      </c>
      <c r="G1378" s="26" t="s">
        <v>7169</v>
      </c>
      <c r="H1378" s="199" t="s">
        <v>7170</v>
      </c>
      <c r="I1378" s="29" t="s">
        <v>7171</v>
      </c>
      <c r="J1378" s="309" t="s">
        <v>7172</v>
      </c>
      <c r="K1378" s="31" t="s">
        <v>48</v>
      </c>
      <c r="L1378" s="213" t="s">
        <v>49</v>
      </c>
      <c r="M1378" s="310" t="s">
        <v>7166</v>
      </c>
      <c r="N1378" s="3" t="s">
        <v>7173</v>
      </c>
      <c r="O1378" s="196" t="s">
        <v>7174</v>
      </c>
      <c r="P1378" s="40"/>
      <c r="Q1378" s="212"/>
      <c r="R1378" s="31" t="s">
        <v>56</v>
      </c>
      <c r="S1378" s="218" t="str">
        <f t="shared" si="37"/>
        <v>https://github.com/SF-Bancoppel/mx-api-bc-bus-reference-data</v>
      </c>
      <c r="T1378" s="40"/>
      <c r="U1378" s="40"/>
      <c r="V1378" s="40"/>
      <c r="W1378" s="40"/>
      <c r="X1378" s="40"/>
      <c r="Y1378" s="40"/>
      <c r="Z1378" s="40"/>
      <c r="AA1378" s="40"/>
      <c r="AB1378" s="40"/>
    </row>
    <row r="1379" ht="18.75" customHeight="1">
      <c r="A1379" s="18" t="s">
        <v>44</v>
      </c>
      <c r="B1379" s="22" t="str">
        <f>IFERROR(VLOOKUP(F1379, 'api-register-id'!B:F, 4, FALSE), "Not found path.")</f>
        <v>mx-api-bc-rec-location-data-management</v>
      </c>
      <c r="C1379" s="213" t="s">
        <v>112</v>
      </c>
      <c r="D1379" s="213" t="s">
        <v>1417</v>
      </c>
      <c r="E1379" s="24" t="str">
        <f>IFERROR(VLOOKUP(F1379, 'api-register-id'!B:F, 5, FALSE), "Not found path.")</f>
        <v>APIMX000136</v>
      </c>
      <c r="F1379" s="311" t="s">
        <v>1638</v>
      </c>
      <c r="G1379" s="26" t="s">
        <v>7175</v>
      </c>
      <c r="H1379" s="199" t="s">
        <v>7176</v>
      </c>
      <c r="I1379" s="29" t="s">
        <v>92</v>
      </c>
      <c r="J1379" s="309" t="s">
        <v>4708</v>
      </c>
      <c r="K1379" s="31" t="s">
        <v>48</v>
      </c>
      <c r="L1379" s="213" t="s">
        <v>49</v>
      </c>
      <c r="M1379" s="310" t="s">
        <v>7177</v>
      </c>
      <c r="N1379" s="3" t="s">
        <v>7178</v>
      </c>
      <c r="O1379" s="196" t="s">
        <v>7179</v>
      </c>
      <c r="P1379" s="40"/>
      <c r="Q1379" s="212"/>
      <c r="R1379" s="31" t="s">
        <v>56</v>
      </c>
      <c r="S1379" s="218" t="str">
        <f t="shared" si="37"/>
        <v>https://github.com/SF-Bancoppel/mx-api-bc-rec-location-data-management</v>
      </c>
      <c r="T1379" s="40"/>
      <c r="U1379" s="40"/>
      <c r="V1379" s="40"/>
      <c r="W1379" s="40"/>
      <c r="X1379" s="40"/>
      <c r="Y1379" s="40"/>
      <c r="Z1379" s="40"/>
      <c r="AA1379" s="40"/>
      <c r="AB1379" s="40"/>
    </row>
    <row r="1380" ht="18.75" customHeight="1">
      <c r="A1380" s="18" t="s">
        <v>44</v>
      </c>
      <c r="B1380" s="22" t="str">
        <f>IFERROR(VLOOKUP(F1380, 'api-register-id'!B:F, 4, FALSE), "Not found path.")</f>
        <v>mx-api-bc-dom-location-data-management</v>
      </c>
      <c r="C1380" s="213" t="s">
        <v>41</v>
      </c>
      <c r="D1380" s="213" t="s">
        <v>119</v>
      </c>
      <c r="E1380" s="24" t="str">
        <f>IFERROR(VLOOKUP(F1380, 'api-register-id'!B:F, 5, FALSE), "Not found path.")</f>
        <v>APIMX000038</v>
      </c>
      <c r="F1380" s="311" t="s">
        <v>603</v>
      </c>
      <c r="G1380" s="26" t="s">
        <v>7180</v>
      </c>
      <c r="H1380" s="199" t="s">
        <v>7181</v>
      </c>
      <c r="I1380" s="29" t="s">
        <v>1747</v>
      </c>
      <c r="J1380" s="309" t="s">
        <v>1261</v>
      </c>
      <c r="K1380" s="31" t="s">
        <v>48</v>
      </c>
      <c r="L1380" s="213" t="s">
        <v>49</v>
      </c>
      <c r="M1380" s="310" t="s">
        <v>7177</v>
      </c>
      <c r="N1380" s="3" t="s">
        <v>7182</v>
      </c>
      <c r="O1380" s="196" t="s">
        <v>7179</v>
      </c>
      <c r="P1380" s="40"/>
      <c r="Q1380" s="212"/>
      <c r="R1380" s="31" t="s">
        <v>56</v>
      </c>
      <c r="S1380" s="218" t="str">
        <f t="shared" si="37"/>
        <v>https://github.com/SF-Bancoppel/mx-api-bc-dom-location-data-management</v>
      </c>
      <c r="T1380" s="40"/>
      <c r="U1380" s="40"/>
      <c r="V1380" s="40"/>
      <c r="W1380" s="40"/>
      <c r="X1380" s="40"/>
      <c r="Y1380" s="40"/>
      <c r="Z1380" s="40"/>
      <c r="AA1380" s="40"/>
      <c r="AB1380" s="40"/>
    </row>
    <row r="1381" ht="18.75" customHeight="1">
      <c r="A1381" s="18" t="s">
        <v>44</v>
      </c>
      <c r="B1381" s="22" t="str">
        <f>IFERROR(VLOOKUP(F1381, 'api-register-id'!B:F, 4, FALSE), "Not found path.")</f>
        <v>mx-api-bc-pro-location-data-management</v>
      </c>
      <c r="C1381" s="213" t="s">
        <v>41</v>
      </c>
      <c r="D1381" s="213" t="s">
        <v>811</v>
      </c>
      <c r="E1381" s="24" t="str">
        <f>IFERROR(VLOOKUP(F1381, 'api-register-id'!B:F, 5, FALSE), "Not found path.")</f>
        <v>APIMX000094</v>
      </c>
      <c r="F1381" s="311" t="s">
        <v>1198</v>
      </c>
      <c r="G1381" s="26" t="s">
        <v>7183</v>
      </c>
      <c r="H1381" s="199" t="s">
        <v>7184</v>
      </c>
      <c r="I1381" s="29" t="s">
        <v>1747</v>
      </c>
      <c r="J1381" s="309" t="s">
        <v>3154</v>
      </c>
      <c r="K1381" s="31" t="s">
        <v>48</v>
      </c>
      <c r="L1381" s="213" t="s">
        <v>49</v>
      </c>
      <c r="M1381" s="310" t="s">
        <v>7177</v>
      </c>
      <c r="N1381" s="3" t="s">
        <v>7185</v>
      </c>
      <c r="O1381" s="196" t="s">
        <v>7179</v>
      </c>
      <c r="P1381" s="40"/>
      <c r="Q1381" s="212"/>
      <c r="R1381" s="31" t="s">
        <v>56</v>
      </c>
      <c r="S1381" s="218" t="str">
        <f t="shared" si="37"/>
        <v>https://github.com/SF-Bancoppel/mx-api-bc-pro-location-data-management</v>
      </c>
      <c r="T1381" s="40"/>
      <c r="U1381" s="40"/>
      <c r="V1381" s="40"/>
      <c r="W1381" s="40"/>
      <c r="X1381" s="40"/>
      <c r="Y1381" s="40"/>
      <c r="Z1381" s="40"/>
      <c r="AA1381" s="40"/>
      <c r="AB1381" s="40"/>
    </row>
    <row r="1382" ht="18.75" customHeight="1">
      <c r="A1382" s="18" t="s">
        <v>44</v>
      </c>
      <c r="B1382" s="22" t="str">
        <f>IFERROR(VLOOKUP(F1382, 'api-register-id'!B:F, 4, FALSE), "Not found path.")</f>
        <v>mx-api-bc-br-counterparty-risk</v>
      </c>
      <c r="C1382" s="213" t="s">
        <v>112</v>
      </c>
      <c r="D1382" s="213" t="s">
        <v>6207</v>
      </c>
      <c r="E1382" s="24" t="str">
        <f>IFERROR(VLOOKUP(F1382, 'api-register-id'!B:F, 5, FALSE), "Not found path.")</f>
        <v>APIMX000218</v>
      </c>
      <c r="F1382" s="318" t="s">
        <v>3770</v>
      </c>
      <c r="G1382" s="26" t="s">
        <v>7186</v>
      </c>
      <c r="H1382" s="199" t="s">
        <v>7187</v>
      </c>
      <c r="I1382" s="29" t="s">
        <v>255</v>
      </c>
      <c r="J1382" s="40" t="s">
        <v>7188</v>
      </c>
      <c r="K1382" s="31" t="s">
        <v>48</v>
      </c>
      <c r="L1382" s="213" t="s">
        <v>49</v>
      </c>
      <c r="M1382" s="310" t="s">
        <v>7189</v>
      </c>
      <c r="N1382" s="3" t="s">
        <v>7190</v>
      </c>
      <c r="O1382" s="196" t="s">
        <v>7191</v>
      </c>
      <c r="P1382" s="40"/>
      <c r="Q1382" s="212"/>
      <c r="R1382" s="31" t="s">
        <v>56</v>
      </c>
      <c r="S1382" s="218" t="str">
        <f t="shared" si="37"/>
        <v>https://github.com/SF-Bancoppel/mx-api-bc-br-counterparty-risk</v>
      </c>
      <c r="T1382" s="40"/>
      <c r="U1382" s="40"/>
      <c r="V1382" s="40"/>
      <c r="W1382" s="40"/>
      <c r="X1382" s="40"/>
      <c r="Y1382" s="40"/>
      <c r="Z1382" s="40"/>
      <c r="AA1382" s="40"/>
      <c r="AB1382" s="40"/>
    </row>
    <row r="1383" ht="18.75" customHeight="1">
      <c r="A1383" s="18" t="s">
        <v>44</v>
      </c>
      <c r="B1383" s="22" t="str">
        <f>IFERROR(VLOOKUP(F1383, 'api-register-id'!B:F, 4, FALSE), "Not found path.")</f>
        <v>mx-api-bc-rec-customer-credit-rating</v>
      </c>
      <c r="C1383" s="213" t="s">
        <v>112</v>
      </c>
      <c r="D1383" s="213" t="s">
        <v>1417</v>
      </c>
      <c r="E1383" s="24" t="str">
        <f>IFERROR(VLOOKUP(F1383, 'api-register-id'!B:F, 5, FALSE), "Not found path.")</f>
        <v>APIMX000126</v>
      </c>
      <c r="F1383" s="311" t="s">
        <v>1537</v>
      </c>
      <c r="G1383" s="26" t="s">
        <v>7192</v>
      </c>
      <c r="H1383" s="199" t="s">
        <v>7193</v>
      </c>
      <c r="I1383" s="29" t="s">
        <v>1747</v>
      </c>
      <c r="J1383" s="309" t="s">
        <v>7194</v>
      </c>
      <c r="K1383" s="31" t="s">
        <v>48</v>
      </c>
      <c r="L1383" s="213" t="s">
        <v>49</v>
      </c>
      <c r="M1383" s="310" t="s">
        <v>7195</v>
      </c>
      <c r="N1383" s="3" t="s">
        <v>7196</v>
      </c>
      <c r="O1383" s="196" t="s">
        <v>7197</v>
      </c>
      <c r="P1383" s="40"/>
      <c r="Q1383" s="212"/>
      <c r="R1383" s="31" t="s">
        <v>56</v>
      </c>
      <c r="S1383" s="218" t="str">
        <f t="shared" si="37"/>
        <v>https://github.com/SF-Bancoppel/mx-api-bc-rec-customer-credit-rating</v>
      </c>
      <c r="T1383" s="40"/>
      <c r="U1383" s="40"/>
      <c r="V1383" s="40"/>
      <c r="W1383" s="40"/>
      <c r="X1383" s="40"/>
      <c r="Y1383" s="40"/>
      <c r="Z1383" s="40"/>
      <c r="AA1383" s="40"/>
      <c r="AB1383" s="40"/>
    </row>
    <row r="1384" ht="18.75" customHeight="1">
      <c r="A1384" s="18" t="s">
        <v>44</v>
      </c>
      <c r="B1384" s="22" t="str">
        <f>IFERROR(VLOOKUP(F1384, 'api-register-id'!B:F, 4, FALSE), "Not found path.")</f>
        <v>mx-api-bc-dom-customer-credit-rating</v>
      </c>
      <c r="C1384" s="213" t="s">
        <v>41</v>
      </c>
      <c r="D1384" s="213" t="s">
        <v>119</v>
      </c>
      <c r="E1384" s="24" t="str">
        <f>IFERROR(VLOOKUP(F1384, 'api-register-id'!B:F, 5, FALSE), "Not found path.")</f>
        <v>APIMX000019</v>
      </c>
      <c r="F1384" s="311" t="s">
        <v>325</v>
      </c>
      <c r="G1384" s="26" t="s">
        <v>7198</v>
      </c>
      <c r="H1384" s="199" t="s">
        <v>7199</v>
      </c>
      <c r="I1384" s="29" t="s">
        <v>92</v>
      </c>
      <c r="J1384" s="309" t="s">
        <v>7200</v>
      </c>
      <c r="K1384" s="31" t="s">
        <v>48</v>
      </c>
      <c r="L1384" s="213" t="s">
        <v>49</v>
      </c>
      <c r="M1384" s="310" t="s">
        <v>7195</v>
      </c>
      <c r="N1384" s="3" t="s">
        <v>7201</v>
      </c>
      <c r="O1384" s="196" t="s">
        <v>7197</v>
      </c>
      <c r="P1384" s="40"/>
      <c r="Q1384" s="212"/>
      <c r="R1384" s="31" t="s">
        <v>56</v>
      </c>
      <c r="S1384" s="218" t="str">
        <f t="shared" si="37"/>
        <v>https://github.com/SF-Bancoppel/mx-api-bc-dom-customer-credit-rating</v>
      </c>
      <c r="T1384" s="40"/>
      <c r="U1384" s="40"/>
      <c r="V1384" s="40"/>
      <c r="W1384" s="40"/>
      <c r="X1384" s="40"/>
      <c r="Y1384" s="40"/>
      <c r="Z1384" s="40"/>
      <c r="AA1384" s="40"/>
      <c r="AB1384" s="40"/>
    </row>
    <row r="1385" ht="18.75" customHeight="1">
      <c r="A1385" s="18" t="s">
        <v>44</v>
      </c>
      <c r="B1385" s="22" t="str">
        <f>IFERROR(VLOOKUP(F1385, 'api-register-id'!B:F, 4, FALSE), "Not found path.")</f>
        <v>mx-api-bc-pro-customer-credit-rating</v>
      </c>
      <c r="C1385" s="213" t="s">
        <v>41</v>
      </c>
      <c r="D1385" s="213" t="s">
        <v>811</v>
      </c>
      <c r="E1385" s="24" t="str">
        <f>IFERROR(VLOOKUP(F1385, 'api-register-id'!B:F, 5, FALSE), "Not found path.")</f>
        <v>APIMX000075</v>
      </c>
      <c r="F1385" s="311" t="s">
        <v>986</v>
      </c>
      <c r="G1385" s="26" t="s">
        <v>7202</v>
      </c>
      <c r="H1385" s="199" t="s">
        <v>7203</v>
      </c>
      <c r="I1385" s="29" t="s">
        <v>92</v>
      </c>
      <c r="J1385" s="309" t="s">
        <v>7204</v>
      </c>
      <c r="K1385" s="31" t="s">
        <v>48</v>
      </c>
      <c r="L1385" s="213" t="s">
        <v>49</v>
      </c>
      <c r="M1385" s="310" t="s">
        <v>7195</v>
      </c>
      <c r="N1385" s="3" t="s">
        <v>7205</v>
      </c>
      <c r="O1385" s="196" t="s">
        <v>7197</v>
      </c>
      <c r="P1385" s="40"/>
      <c r="Q1385" s="212"/>
      <c r="R1385" s="31" t="s">
        <v>56</v>
      </c>
      <c r="S1385" s="218" t="str">
        <f t="shared" si="37"/>
        <v>https://github.com/SF-Bancoppel/mx-api-bc-pro-customer-credit-rating</v>
      </c>
      <c r="T1385" s="40"/>
      <c r="U1385" s="40"/>
      <c r="V1385" s="40"/>
      <c r="W1385" s="40"/>
      <c r="X1385" s="40"/>
      <c r="Y1385" s="40"/>
      <c r="Z1385" s="40"/>
      <c r="AA1385" s="40"/>
      <c r="AB1385" s="40"/>
    </row>
    <row r="1386" ht="18.75" customHeight="1">
      <c r="A1386" s="18" t="s">
        <v>44</v>
      </c>
      <c r="B1386" s="22" t="str">
        <f>IFERROR(VLOOKUP(F1386, 'api-register-id'!B:F, 4, FALSE), "Not found path.")</f>
        <v>mx-api-bc-dom-counterparty-risk</v>
      </c>
      <c r="C1386" s="213" t="s">
        <v>41</v>
      </c>
      <c r="D1386" s="213" t="s">
        <v>119</v>
      </c>
      <c r="E1386" s="24" t="str">
        <f>IFERROR(VLOOKUP(F1386, 'api-register-id'!B:F, 5, FALSE), "Not found path.")</f>
        <v>APIMX000011</v>
      </c>
      <c r="F1386" s="319" t="s">
        <v>202</v>
      </c>
      <c r="G1386" s="26" t="s">
        <v>7206</v>
      </c>
      <c r="H1386" s="199" t="s">
        <v>7207</v>
      </c>
      <c r="I1386" s="29" t="s">
        <v>57</v>
      </c>
      <c r="J1386" s="309" t="s">
        <v>531</v>
      </c>
      <c r="K1386" s="31" t="s">
        <v>48</v>
      </c>
      <c r="L1386" s="213" t="s">
        <v>49</v>
      </c>
      <c r="M1386" s="320" t="s">
        <v>5185</v>
      </c>
      <c r="N1386" s="3" t="s">
        <v>7208</v>
      </c>
      <c r="O1386" s="196" t="s">
        <v>7209</v>
      </c>
      <c r="P1386" s="40"/>
      <c r="Q1386" s="212"/>
      <c r="R1386" s="31" t="s">
        <v>56</v>
      </c>
      <c r="S1386" s="218" t="str">
        <f t="shared" si="37"/>
        <v>https://github.com/SF-Bancoppel/mx-api-bc-dom-counterparty-risk</v>
      </c>
      <c r="T1386" s="40"/>
      <c r="U1386" s="40"/>
      <c r="V1386" s="40"/>
      <c r="W1386" s="40"/>
      <c r="X1386" s="40"/>
      <c r="Y1386" s="40"/>
      <c r="Z1386" s="40"/>
      <c r="AA1386" s="40"/>
      <c r="AB1386" s="40"/>
    </row>
    <row r="1387" ht="18.75" customHeight="1">
      <c r="A1387" s="18" t="s">
        <v>44</v>
      </c>
      <c r="B1387" s="22" t="str">
        <f>IFERROR(VLOOKUP(F1387, 'api-register-id'!B:F, 4, FALSE), "Not found path.")</f>
        <v>mx-api-bc-pro-counterparty-risk</v>
      </c>
      <c r="C1387" s="213" t="s">
        <v>41</v>
      </c>
      <c r="D1387" s="213" t="s">
        <v>811</v>
      </c>
      <c r="E1387" s="24" t="str">
        <f>IFERROR(VLOOKUP(F1387, 'api-register-id'!B:F, 5, FALSE), "Not found path.")</f>
        <v>APIMX000067</v>
      </c>
      <c r="F1387" s="319" t="s">
        <v>905</v>
      </c>
      <c r="G1387" s="26" t="s">
        <v>7210</v>
      </c>
      <c r="H1387" s="199" t="s">
        <v>7211</v>
      </c>
      <c r="I1387" s="29" t="s">
        <v>134</v>
      </c>
      <c r="J1387" s="309" t="s">
        <v>2249</v>
      </c>
      <c r="K1387" s="31" t="s">
        <v>48</v>
      </c>
      <c r="L1387" s="213" t="s">
        <v>49</v>
      </c>
      <c r="M1387" s="320" t="s">
        <v>5185</v>
      </c>
      <c r="N1387" s="3" t="s">
        <v>7212</v>
      </c>
      <c r="O1387" s="196" t="s">
        <v>7209</v>
      </c>
      <c r="P1387" s="40"/>
      <c r="Q1387" s="212"/>
      <c r="R1387" s="31" t="s">
        <v>56</v>
      </c>
      <c r="S1387" s="218" t="str">
        <f t="shared" si="37"/>
        <v>https://github.com/SF-Bancoppel/mx-api-bc-pro-counterparty-risk</v>
      </c>
      <c r="T1387" s="40"/>
      <c r="U1387" s="40"/>
      <c r="V1387" s="40"/>
      <c r="W1387" s="40"/>
      <c r="X1387" s="40"/>
      <c r="Y1387" s="40"/>
      <c r="Z1387" s="40"/>
      <c r="AA1387" s="40"/>
      <c r="AB1387" s="40"/>
    </row>
    <row r="1388" ht="18.75" customHeight="1">
      <c r="A1388" s="18" t="s">
        <v>44</v>
      </c>
      <c r="B1388" s="22" t="str">
        <f>IFERROR(VLOOKUP(F1388, 'api-register-id'!B:F, 4, FALSE), "Not found path.")</f>
        <v>mx-api-bc-rec-utility</v>
      </c>
      <c r="C1388" s="213" t="s">
        <v>112</v>
      </c>
      <c r="D1388" s="213" t="s">
        <v>1417</v>
      </c>
      <c r="E1388" s="24" t="str">
        <f>IFERROR(VLOOKUP(F1388, 'api-register-id'!B:F, 5, FALSE), "Not found path.")</f>
        <v>APIMX000152</v>
      </c>
      <c r="F1388" s="307" t="s">
        <v>1805</v>
      </c>
      <c r="G1388" s="26" t="s">
        <v>7213</v>
      </c>
      <c r="H1388" s="199" t="s">
        <v>7214</v>
      </c>
      <c r="I1388" s="29" t="s">
        <v>134</v>
      </c>
      <c r="J1388" s="309" t="s">
        <v>7215</v>
      </c>
      <c r="K1388" s="31" t="s">
        <v>48</v>
      </c>
      <c r="L1388" s="213" t="s">
        <v>49</v>
      </c>
      <c r="M1388" s="321" t="s">
        <v>7216</v>
      </c>
      <c r="N1388" s="3" t="s">
        <v>7217</v>
      </c>
      <c r="O1388" s="196" t="s">
        <v>7218</v>
      </c>
      <c r="P1388" s="40"/>
      <c r="Q1388" s="212"/>
      <c r="R1388" s="31" t="s">
        <v>56</v>
      </c>
      <c r="S1388" s="218" t="str">
        <f t="shared" si="37"/>
        <v>https://github.com/SF-Bancoppel/mx-api-bc-rec-utility</v>
      </c>
      <c r="T1388" s="40"/>
      <c r="U1388" s="40"/>
      <c r="V1388" s="40"/>
      <c r="W1388" s="40"/>
      <c r="X1388" s="40"/>
      <c r="Y1388" s="40"/>
      <c r="Z1388" s="40"/>
      <c r="AA1388" s="40"/>
      <c r="AB1388" s="40"/>
    </row>
    <row r="1389" ht="18.75" customHeight="1">
      <c r="A1389" s="18" t="s">
        <v>44</v>
      </c>
      <c r="B1389" s="22" t="str">
        <f>IFERROR(VLOOKUP(F1389, 'api-register-id'!B:F, 4, FALSE), "Not found path.")</f>
        <v>mx-api-bc-dom-utility</v>
      </c>
      <c r="C1389" s="213" t="s">
        <v>41</v>
      </c>
      <c r="D1389" s="213" t="s">
        <v>119</v>
      </c>
      <c r="E1389" s="24" t="str">
        <f>IFERROR(VLOOKUP(F1389, 'api-register-id'!B:F, 5, FALSE), "Not found path.")</f>
        <v>APIMX000058</v>
      </c>
      <c r="F1389" s="307" t="s">
        <v>802</v>
      </c>
      <c r="G1389" s="26" t="s">
        <v>7219</v>
      </c>
      <c r="H1389" s="199" t="s">
        <v>7220</v>
      </c>
      <c r="I1389" s="29" t="s">
        <v>57</v>
      </c>
      <c r="J1389" s="309" t="s">
        <v>7221</v>
      </c>
      <c r="K1389" s="31" t="s">
        <v>48</v>
      </c>
      <c r="L1389" s="213" t="s">
        <v>49</v>
      </c>
      <c r="M1389" s="321" t="s">
        <v>7216</v>
      </c>
      <c r="N1389" s="3" t="s">
        <v>7222</v>
      </c>
      <c r="O1389" s="196" t="s">
        <v>7218</v>
      </c>
      <c r="P1389" s="40"/>
      <c r="Q1389" s="212"/>
      <c r="R1389" s="31" t="s">
        <v>56</v>
      </c>
      <c r="S1389" s="218" t="str">
        <f t="shared" si="37"/>
        <v>https://github.com/SF-Bancoppel/mx-api-bc-dom-utility</v>
      </c>
      <c r="T1389" s="40"/>
      <c r="U1389" s="40"/>
      <c r="V1389" s="40"/>
      <c r="W1389" s="40"/>
      <c r="X1389" s="40"/>
      <c r="Y1389" s="40"/>
      <c r="Z1389" s="40"/>
      <c r="AA1389" s="40"/>
      <c r="AB1389" s="40"/>
    </row>
    <row r="1390" ht="18.75" customHeight="1">
      <c r="A1390" s="18" t="s">
        <v>44</v>
      </c>
      <c r="B1390" s="22" t="str">
        <f>IFERROR(VLOOKUP(F1390, 'api-register-id'!B:F, 4, FALSE), "Not found path.")</f>
        <v>mx-api-bc-pro-utility</v>
      </c>
      <c r="C1390" s="213" t="s">
        <v>41</v>
      </c>
      <c r="D1390" s="213" t="s">
        <v>811</v>
      </c>
      <c r="E1390" s="24" t="str">
        <f>IFERROR(VLOOKUP(F1390, 'api-register-id'!B:F, 5, FALSE), "Not found path.")</f>
        <v>APIMX000114</v>
      </c>
      <c r="F1390" s="307" t="s">
        <v>1404</v>
      </c>
      <c r="G1390" s="26" t="s">
        <v>7223</v>
      </c>
      <c r="H1390" s="199" t="s">
        <v>7224</v>
      </c>
      <c r="I1390" s="29" t="s">
        <v>7225</v>
      </c>
      <c r="J1390" s="309" t="s">
        <v>7226</v>
      </c>
      <c r="K1390" s="31" t="s">
        <v>48</v>
      </c>
      <c r="L1390" s="213" t="s">
        <v>49</v>
      </c>
      <c r="M1390" s="321" t="s">
        <v>7216</v>
      </c>
      <c r="N1390" s="3" t="s">
        <v>7227</v>
      </c>
      <c r="O1390" s="196" t="s">
        <v>7218</v>
      </c>
      <c r="P1390" s="40"/>
      <c r="Q1390" s="212"/>
      <c r="R1390" s="31" t="s">
        <v>56</v>
      </c>
      <c r="S1390" s="218" t="str">
        <f t="shared" si="37"/>
        <v>https://github.com/SF-Bancoppel/mx-api-bc-pro-utility</v>
      </c>
      <c r="T1390" s="40"/>
      <c r="U1390" s="40"/>
      <c r="V1390" s="40"/>
      <c r="W1390" s="40"/>
      <c r="X1390" s="40"/>
      <c r="Y1390" s="40"/>
      <c r="Z1390" s="40"/>
      <c r="AA1390" s="40"/>
      <c r="AB1390" s="40"/>
    </row>
    <row r="1391" ht="18.75" customHeight="1">
      <c r="A1391" s="18" t="s">
        <v>44</v>
      </c>
      <c r="B1391" s="22" t="str">
        <f>IFERROR(VLOOKUP(F1391, 'api-register-id'!B:F, 4, FALSE), "Not found path.")</f>
        <v>mx-api-bc-rec-credit-card</v>
      </c>
      <c r="C1391" s="213" t="s">
        <v>112</v>
      </c>
      <c r="D1391" s="213" t="s">
        <v>1417</v>
      </c>
      <c r="E1391" s="24" t="str">
        <f>IFERROR(VLOOKUP(F1391, 'api-register-id'!B:F, 5, FALSE), "Not found path.")</f>
        <v>APIMX000120</v>
      </c>
      <c r="F1391" s="1" t="s">
        <v>1471</v>
      </c>
      <c r="G1391" s="26" t="s">
        <v>7228</v>
      </c>
      <c r="H1391" s="199" t="s">
        <v>7229</v>
      </c>
      <c r="I1391" s="29" t="s">
        <v>7230</v>
      </c>
      <c r="J1391" s="309" t="s">
        <v>3959</v>
      </c>
      <c r="K1391" s="31" t="s">
        <v>48</v>
      </c>
      <c r="L1391" s="213" t="s">
        <v>49</v>
      </c>
      <c r="M1391" s="321" t="s">
        <v>561</v>
      </c>
      <c r="N1391" s="3" t="s">
        <v>7231</v>
      </c>
      <c r="O1391" s="196" t="s">
        <v>562</v>
      </c>
      <c r="P1391" s="40"/>
      <c r="Q1391" s="212"/>
      <c r="R1391" s="31" t="s">
        <v>56</v>
      </c>
      <c r="S1391" s="218" t="str">
        <f t="shared" si="37"/>
        <v>https://github.com/SF-Bancoppel/mx-api-bc-rec-credit-card</v>
      </c>
      <c r="T1391" s="40"/>
      <c r="U1391" s="40"/>
      <c r="V1391" s="40"/>
      <c r="W1391" s="40"/>
      <c r="X1391" s="40"/>
      <c r="Y1391" s="40"/>
      <c r="Z1391" s="40"/>
      <c r="AA1391" s="40"/>
      <c r="AB1391" s="40"/>
    </row>
    <row r="1392" ht="18.75" customHeight="1">
      <c r="A1392" s="18" t="s">
        <v>44</v>
      </c>
      <c r="B1392" s="22" t="str">
        <f>IFERROR(VLOOKUP(F1392, 'api-register-id'!B:F, 4, FALSE), "Not found path.")</f>
        <v>mx-api-bc-bus-sales-and-service</v>
      </c>
      <c r="C1392" s="213" t="s">
        <v>41</v>
      </c>
      <c r="D1392" s="213" t="s">
        <v>42</v>
      </c>
      <c r="E1392" s="24" t="str">
        <f>IFERROR(VLOOKUP(F1392, 'api-register-id'!B:F, 5, FALSE), "Not found path.")</f>
        <v>APIMX000004</v>
      </c>
      <c r="F1392" s="319" t="s">
        <v>101</v>
      </c>
      <c r="G1392" s="26" t="s">
        <v>7232</v>
      </c>
      <c r="H1392" s="199" t="s">
        <v>7233</v>
      </c>
      <c r="I1392" s="29" t="s">
        <v>7234</v>
      </c>
      <c r="J1392" s="3" t="s">
        <v>352</v>
      </c>
      <c r="K1392" s="31" t="s">
        <v>48</v>
      </c>
      <c r="L1392" s="213" t="s">
        <v>49</v>
      </c>
      <c r="M1392" s="322" t="s">
        <v>7235</v>
      </c>
      <c r="N1392" s="3" t="s">
        <v>7236</v>
      </c>
      <c r="O1392" s="196" t="s">
        <v>7237</v>
      </c>
      <c r="P1392" s="40"/>
      <c r="Q1392" s="36" t="s">
        <v>7238</v>
      </c>
      <c r="R1392" s="31" t="s">
        <v>56</v>
      </c>
      <c r="S1392" s="218" t="str">
        <f t="shared" si="37"/>
        <v>https://github.com/SF-Bancoppel/mx-api-bc-bus-sales-and-service</v>
      </c>
      <c r="T1392" s="40"/>
      <c r="U1392" s="40"/>
      <c r="V1392" s="40"/>
      <c r="W1392" s="40"/>
      <c r="X1392" s="40"/>
      <c r="Y1392" s="40"/>
      <c r="Z1392" s="40"/>
      <c r="AA1392" s="40"/>
      <c r="AB1392" s="40"/>
    </row>
    <row r="1393" ht="18.75" customHeight="1">
      <c r="A1393" s="18" t="s">
        <v>44</v>
      </c>
      <c r="B1393" s="22" t="str">
        <f>IFERROR(VLOOKUP(F1393, 'api-register-id'!B:F, 4, FALSE), "Not found path.")</f>
        <v>mx-api-bc-rec-sales-and-service</v>
      </c>
      <c r="C1393" s="213" t="s">
        <v>112</v>
      </c>
      <c r="D1393" s="213" t="s">
        <v>1417</v>
      </c>
      <c r="E1393" s="24" t="str">
        <f>IFERROR(VLOOKUP(F1393, 'api-register-id'!B:F, 5, FALSE), "Not found path.")</f>
        <v>APIMX000148</v>
      </c>
      <c r="F1393" s="1" t="s">
        <v>7239</v>
      </c>
      <c r="G1393" s="26" t="s">
        <v>7240</v>
      </c>
      <c r="I1393" s="29" t="s">
        <v>7241</v>
      </c>
      <c r="J1393" s="309" t="s">
        <v>4891</v>
      </c>
      <c r="K1393" s="31" t="s">
        <v>48</v>
      </c>
      <c r="L1393" s="213" t="s">
        <v>49</v>
      </c>
      <c r="M1393" s="322" t="s">
        <v>7242</v>
      </c>
      <c r="N1393" s="3" t="str">
        <f t="shared" ref="N1393:N1394" si="38">CONCATENATE(L1393, " ",J1393,M1393)</f>
        <v>POST /experience/salesAndService/v1/customerCreditRatingState/register</v>
      </c>
      <c r="O1393" s="196" t="s">
        <v>7243</v>
      </c>
      <c r="P1393" s="40"/>
      <c r="Q1393" s="212"/>
      <c r="R1393" s="31" t="s">
        <v>56</v>
      </c>
      <c r="S1393" s="218" t="str">
        <f t="shared" si="37"/>
        <v>https://github.com/SF-Bancoppel/mx-api-bc-rec-sales-and-service</v>
      </c>
      <c r="T1393" s="40"/>
      <c r="U1393" s="40"/>
      <c r="V1393" s="40"/>
      <c r="W1393" s="40"/>
      <c r="X1393" s="40"/>
      <c r="Y1393" s="40"/>
      <c r="Z1393" s="40"/>
      <c r="AA1393" s="40"/>
      <c r="AB1393" s="40"/>
    </row>
    <row r="1394" ht="18.75" customHeight="1">
      <c r="A1394" s="18" t="s">
        <v>44</v>
      </c>
      <c r="B1394" s="22" t="str">
        <f>IFERROR(VLOOKUP(F1394, 'api-register-id'!B:F, 4, FALSE), "Not found path.")</f>
        <v>mx-api-bc-bus-sales-and-service</v>
      </c>
      <c r="C1394" s="213" t="s">
        <v>41</v>
      </c>
      <c r="D1394" s="213" t="s">
        <v>42</v>
      </c>
      <c r="E1394" s="24" t="str">
        <f>IFERROR(VLOOKUP(F1394, 'api-register-id'!B:F, 5, FALSE), "Not found path.")</f>
        <v>APIMX000004</v>
      </c>
      <c r="F1394" s="1" t="s">
        <v>7244</v>
      </c>
      <c r="G1394" s="26" t="s">
        <v>7245</v>
      </c>
      <c r="H1394" s="199" t="s">
        <v>7246</v>
      </c>
      <c r="I1394" s="29" t="s">
        <v>78</v>
      </c>
      <c r="J1394" s="3" t="s">
        <v>352</v>
      </c>
      <c r="K1394" s="31" t="s">
        <v>48</v>
      </c>
      <c r="L1394" s="213" t="s">
        <v>49</v>
      </c>
      <c r="M1394" s="322" t="s">
        <v>7242</v>
      </c>
      <c r="N1394" s="3" t="str">
        <f t="shared" si="38"/>
        <v>POST /salesAndService/v1/customerCreditRatingState/register</v>
      </c>
      <c r="O1394" s="196" t="s">
        <v>7247</v>
      </c>
      <c r="P1394" s="40"/>
      <c r="Q1394" s="36" t="s">
        <v>7248</v>
      </c>
      <c r="R1394" s="31" t="s">
        <v>56</v>
      </c>
      <c r="S1394" s="218" t="str">
        <f t="shared" si="37"/>
        <v>https://github.com/SF-Bancoppel/mx-api-bc-bus-sales-and-service</v>
      </c>
      <c r="T1394" s="40"/>
      <c r="U1394" s="40"/>
      <c r="V1394" s="40"/>
      <c r="W1394" s="40"/>
      <c r="X1394" s="40"/>
      <c r="Y1394" s="40"/>
      <c r="Z1394" s="40"/>
      <c r="AA1394" s="40"/>
      <c r="AB1394" s="40"/>
    </row>
    <row r="1395" ht="18.75" customHeight="1">
      <c r="A1395" s="18" t="s">
        <v>44</v>
      </c>
      <c r="B1395" s="22" t="str">
        <f>IFERROR(VLOOKUP(F1395, 'api-register-id'!B:F, 4, FALSE), "Not found path.")</f>
        <v>mx-api-bc-bus-sales-and-service</v>
      </c>
      <c r="C1395" s="213" t="s">
        <v>112</v>
      </c>
      <c r="D1395" s="295" t="s">
        <v>1417</v>
      </c>
      <c r="E1395" s="24" t="str">
        <f>IFERROR(VLOOKUP(F1395, 'api-register-id'!B:F, 5, FALSE), "Not found path.")</f>
        <v>APIMX000004</v>
      </c>
      <c r="F1395" s="318" t="s">
        <v>101</v>
      </c>
      <c r="G1395" s="26" t="s">
        <v>7249</v>
      </c>
      <c r="H1395" s="199" t="s">
        <v>7233</v>
      </c>
      <c r="I1395" s="29" t="s">
        <v>7234</v>
      </c>
      <c r="J1395" s="40" t="s">
        <v>7250</v>
      </c>
      <c r="K1395" s="31" t="s">
        <v>48</v>
      </c>
      <c r="L1395" s="213" t="s">
        <v>49</v>
      </c>
      <c r="M1395" s="310" t="s">
        <v>7235</v>
      </c>
      <c r="N1395" s="3" t="s">
        <v>7236</v>
      </c>
      <c r="O1395" s="196" t="s">
        <v>458</v>
      </c>
      <c r="P1395" s="40"/>
      <c r="Q1395" s="36" t="s">
        <v>7251</v>
      </c>
      <c r="R1395" s="31" t="s">
        <v>56</v>
      </c>
      <c r="S1395" s="218" t="str">
        <f t="shared" si="37"/>
        <v>https://github.com/SF-Bancoppel/mx-api-bc-bus-sales-and-service</v>
      </c>
      <c r="T1395" s="40"/>
      <c r="U1395" s="40"/>
      <c r="V1395" s="40"/>
      <c r="W1395" s="40"/>
      <c r="X1395" s="40"/>
      <c r="Y1395" s="40"/>
      <c r="Z1395" s="40"/>
      <c r="AA1395" s="40"/>
      <c r="AB1395" s="40"/>
    </row>
    <row r="1396" ht="18.75" customHeight="1">
      <c r="A1396" s="18" t="str">
        <f t="array" ref="A1396">IFERROR(
  INDEX(
    'api-register-id'!A:A,
    MATCH(F1396, 'api-register-id'!B:B, 0)
  ),
  "Not found Organization"
)</f>
        <v>Empresa Net</v>
      </c>
      <c r="B1396" s="22" t="str">
        <f>IFERROR(VLOOKUP(F1396, 'api-register-id'!B:F, 4, FALSE), "Not found path.")</f>
        <v>mx-api-bc-dom-document-services-corp</v>
      </c>
      <c r="C1396" s="200" t="s">
        <v>41</v>
      </c>
      <c r="D1396" s="200" t="s">
        <v>119</v>
      </c>
      <c r="E1396" s="24" t="str">
        <f>IFERROR(VLOOKUP(F1396, 'api-register-id'!B:F, 5, FALSE), "Not found path.")</f>
        <v>APIMX000192</v>
      </c>
      <c r="F1396" s="204" t="s">
        <v>3057</v>
      </c>
      <c r="G1396" s="26" t="s">
        <v>7252</v>
      </c>
      <c r="H1396" s="205" t="str">
        <f t="shared" ref="H1396:H1399" si="39">obtenerAPIOperationId(M1396,D1396)</f>
        <v>Dom_GetStatementProductsCorporateV1</v>
      </c>
      <c r="I1396" s="29" t="str">
        <f>IFERROR(VLOOKUP(F1396, 'api-register-id'!B:I, 8, FALSE), "Not found path.")</f>
        <v>1.0.0</v>
      </c>
      <c r="J1396" s="204" t="s">
        <v>1028</v>
      </c>
      <c r="K1396" s="214" t="s">
        <v>48</v>
      </c>
      <c r="L1396" s="200" t="s">
        <v>49</v>
      </c>
      <c r="M1396" s="212" t="s">
        <v>7253</v>
      </c>
      <c r="N1396" s="3" t="str">
        <f t="shared" ref="N1396:N1403" si="40">CONCATENATE(L1396," ",J1396,M1396)</f>
        <v>POST /documentManagementAndArchive/documentServices/v1/corporate/products/statement/get</v>
      </c>
      <c r="O1396" s="40" t="s">
        <v>7254</v>
      </c>
      <c r="P1396" s="40"/>
      <c r="Q1396" s="61" t="s">
        <v>98</v>
      </c>
      <c r="R1396" s="31" t="s">
        <v>56</v>
      </c>
      <c r="S1396" s="38" t="str">
        <f t="shared" si="37"/>
        <v>https://github.com/SF-Bancoppel/mx-api-bc-dom-document-services-corp</v>
      </c>
      <c r="T1396" s="40"/>
      <c r="U1396" s="22"/>
      <c r="V1396" s="40"/>
      <c r="W1396" s="40"/>
      <c r="X1396" s="40"/>
      <c r="Y1396" s="40"/>
      <c r="Z1396" s="40"/>
      <c r="AA1396" s="40"/>
      <c r="AB1396" s="40"/>
    </row>
    <row r="1397" ht="18.75" customHeight="1">
      <c r="A1397" s="18" t="str">
        <f t="array" ref="A1397">IFERROR(
  INDEX(
    'api-register-id'!A:A,
    MATCH(F1397, 'api-register-id'!B:B, 0)
  ),
  "Not found Organization"
)</f>
        <v>Empresa Net</v>
      </c>
      <c r="B1397" s="22" t="str">
        <f>IFERROR(VLOOKUP(F1397, 'api-register-id'!B:F, 4, FALSE), "Not found path.")</f>
        <v>mx-api-bc-dom-document-services-corp</v>
      </c>
      <c r="C1397" s="200" t="s">
        <v>41</v>
      </c>
      <c r="D1397" s="200" t="s">
        <v>119</v>
      </c>
      <c r="E1397" s="24" t="str">
        <f>IFERROR(VLOOKUP(F1397, 'api-register-id'!B:F, 5, FALSE), "Not found path.")</f>
        <v>APIMX000192</v>
      </c>
      <c r="F1397" s="204" t="s">
        <v>3057</v>
      </c>
      <c r="G1397" s="26" t="s">
        <v>7255</v>
      </c>
      <c r="H1397" s="205" t="str">
        <f t="shared" si="39"/>
        <v>Dom_GetFileListCorporateV1</v>
      </c>
      <c r="I1397" s="29" t="str">
        <f>IFERROR(VLOOKUP(F1397, 'api-register-id'!B:I, 8, FALSE), "Not found path.")</f>
        <v>1.0.0</v>
      </c>
      <c r="J1397" s="204" t="s">
        <v>1028</v>
      </c>
      <c r="K1397" s="214" t="s">
        <v>48</v>
      </c>
      <c r="L1397" s="200" t="s">
        <v>49</v>
      </c>
      <c r="M1397" s="212" t="s">
        <v>7256</v>
      </c>
      <c r="N1397" s="3" t="str">
        <f t="shared" si="40"/>
        <v>POST /documentManagementAndArchive/documentServices/v1/corporate/list/file/get</v>
      </c>
      <c r="O1397" s="40" t="s">
        <v>7257</v>
      </c>
      <c r="P1397" s="40"/>
      <c r="Q1397" s="61" t="s">
        <v>98</v>
      </c>
      <c r="R1397" s="31" t="s">
        <v>56</v>
      </c>
      <c r="S1397" s="38" t="str">
        <f t="shared" si="37"/>
        <v>https://github.com/SF-Bancoppel/mx-api-bc-dom-document-services-corp</v>
      </c>
      <c r="T1397" s="40"/>
      <c r="U1397" s="22"/>
      <c r="V1397" s="40"/>
      <c r="W1397" s="40"/>
      <c r="X1397" s="40"/>
      <c r="Y1397" s="40"/>
      <c r="Z1397" s="40"/>
      <c r="AA1397" s="40"/>
      <c r="AB1397" s="40"/>
    </row>
    <row r="1398" ht="18.75" customHeight="1">
      <c r="A1398" s="18" t="str">
        <f t="array" ref="A1398">IFERROR(
  INDEX(
    'api-register-id'!A:A,
    MATCH(F1398, 'api-register-id'!B:B, 0)
  ),
  "Not found Organization"
)</f>
        <v>Empresa Net</v>
      </c>
      <c r="B1398" s="22" t="str">
        <f>IFERROR(VLOOKUP(F1398, 'api-register-id'!B:F, 4, FALSE), "Not found path.")</f>
        <v>mx-api-bc-dom-document-services-corp</v>
      </c>
      <c r="C1398" s="200" t="s">
        <v>41</v>
      </c>
      <c r="D1398" s="200" t="s">
        <v>119</v>
      </c>
      <c r="E1398" s="24" t="str">
        <f>IFERROR(VLOOKUP(F1398, 'api-register-id'!B:F, 5, FALSE), "Not found path.")</f>
        <v>APIMX000192</v>
      </c>
      <c r="F1398" s="204" t="s">
        <v>3057</v>
      </c>
      <c r="G1398" s="26" t="s">
        <v>7258</v>
      </c>
      <c r="H1398" s="205" t="str">
        <f t="shared" si="39"/>
        <v>Dom_GetFileFileTransferAuthorizationsCorporateV1</v>
      </c>
      <c r="I1398" s="29" t="str">
        <f>IFERROR(VLOOKUP(F1398, 'api-register-id'!B:I, 8, FALSE), "Not found path.")</f>
        <v>1.0.0</v>
      </c>
      <c r="J1398" s="40" t="s">
        <v>1028</v>
      </c>
      <c r="K1398" s="211" t="s">
        <v>48</v>
      </c>
      <c r="L1398" s="200" t="s">
        <v>49</v>
      </c>
      <c r="M1398" s="323" t="s">
        <v>6358</v>
      </c>
      <c r="N1398" s="3" t="str">
        <f t="shared" si="40"/>
        <v>POST /documentManagementAndArchive/documentServices/v1/corporate/authorizations/transfer/file/getFile</v>
      </c>
      <c r="O1398" s="40" t="s">
        <v>7257</v>
      </c>
      <c r="P1398" s="40"/>
      <c r="Q1398" s="61" t="s">
        <v>98</v>
      </c>
      <c r="R1398" s="31" t="s">
        <v>56</v>
      </c>
      <c r="S1398" s="38" t="str">
        <f t="shared" si="37"/>
        <v>https://github.com/SF-Bancoppel/mx-api-bc-dom-document-services-corp</v>
      </c>
      <c r="T1398" s="40"/>
      <c r="U1398" s="22"/>
      <c r="V1398" s="40"/>
      <c r="W1398" s="40"/>
      <c r="X1398" s="40"/>
      <c r="Y1398" s="40"/>
      <c r="Z1398" s="40"/>
      <c r="AA1398" s="40"/>
      <c r="AB1398" s="40"/>
    </row>
    <row r="1399" ht="18.75" customHeight="1">
      <c r="A1399" s="18" t="str">
        <f t="array" ref="A1399">IFERROR(
  INDEX(
    'api-register-id'!A:A,
    MATCH(F1399, 'api-register-id'!B:B, 0)
  ),
  "Not found Organization"
)</f>
        <v>Empresa Net</v>
      </c>
      <c r="B1399" s="22" t="str">
        <f>IFERROR(VLOOKUP(F1399, 'api-register-id'!B:F, 4, FALSE), "Not found path.")</f>
        <v>mx-api-bc-dom-document-services-corp</v>
      </c>
      <c r="C1399" s="200" t="s">
        <v>41</v>
      </c>
      <c r="D1399" s="200" t="s">
        <v>119</v>
      </c>
      <c r="E1399" s="24" t="str">
        <f>IFERROR(VLOOKUP(F1399, 'api-register-id'!B:F, 5, FALSE), "Not found path.")</f>
        <v>APIMX000192</v>
      </c>
      <c r="F1399" s="204" t="s">
        <v>3057</v>
      </c>
      <c r="G1399" s="26" t="s">
        <v>7259</v>
      </c>
      <c r="H1399" s="205" t="str">
        <f t="shared" si="39"/>
        <v>Dom_MovementsProductsCorporateV1</v>
      </c>
      <c r="I1399" s="29" t="str">
        <f>IFERROR(VLOOKUP(F1399, 'api-register-id'!B:I, 8, FALSE), "Not found path.")</f>
        <v>1.0.0</v>
      </c>
      <c r="J1399" s="40" t="s">
        <v>1028</v>
      </c>
      <c r="K1399" s="211" t="s">
        <v>48</v>
      </c>
      <c r="L1399" s="200" t="s">
        <v>49</v>
      </c>
      <c r="M1399" s="212" t="s">
        <v>6891</v>
      </c>
      <c r="N1399" s="3" t="str">
        <f t="shared" si="40"/>
        <v>POST /documentManagementAndArchive/documentServices/v1/corporate/products/movements</v>
      </c>
      <c r="O1399" s="40" t="s">
        <v>7260</v>
      </c>
      <c r="P1399" s="40"/>
      <c r="Q1399" s="61" t="s">
        <v>98</v>
      </c>
      <c r="R1399" s="31" t="s">
        <v>56</v>
      </c>
      <c r="S1399" s="38" t="str">
        <f t="shared" si="37"/>
        <v>https://github.com/SF-Bancoppel/mx-api-bc-dom-document-services-corp</v>
      </c>
      <c r="T1399" s="40"/>
      <c r="U1399" s="22"/>
      <c r="V1399" s="40"/>
      <c r="W1399" s="40"/>
      <c r="X1399" s="40"/>
      <c r="Y1399" s="40"/>
      <c r="Z1399" s="40"/>
      <c r="AA1399" s="40"/>
      <c r="AB1399" s="40"/>
    </row>
    <row r="1400" ht="18.75" customHeight="1">
      <c r="A1400" s="18" t="s">
        <v>1827</v>
      </c>
      <c r="B1400" s="22" t="str">
        <f>IFERROR(VLOOKUP(F1400, 'api-register-id'!B:F, 4, FALSE), "Not found path.")</f>
        <v>mx-api-bc-dom-document-services-corp</v>
      </c>
      <c r="C1400" s="213" t="s">
        <v>41</v>
      </c>
      <c r="D1400" s="213" t="s">
        <v>119</v>
      </c>
      <c r="E1400" s="24" t="str">
        <f>IFERROR(VLOOKUP(F1400, 'api-register-id'!B:F, 5, FALSE), "Not found path.")</f>
        <v>APIMX000192</v>
      </c>
      <c r="F1400" s="1" t="s">
        <v>3057</v>
      </c>
      <c r="G1400" s="26" t="s">
        <v>7261</v>
      </c>
      <c r="H1400" s="199" t="s">
        <v>7262</v>
      </c>
      <c r="I1400" s="29" t="str">
        <f>IFERROR(VLOOKUP(F1400, 'api-register-id'!B:I, 8, FALSE), "Not found path.")</f>
        <v>1.0.0</v>
      </c>
      <c r="J1400" s="22" t="s">
        <v>1028</v>
      </c>
      <c r="K1400" s="31" t="s">
        <v>48</v>
      </c>
      <c r="L1400" s="213" t="s">
        <v>49</v>
      </c>
      <c r="M1400" s="3" t="s">
        <v>7263</v>
      </c>
      <c r="N1400" s="3" t="str">
        <f t="shared" si="40"/>
        <v>POST /documentManagementAndArchive/documentServices/v1/corporate/template/execute</v>
      </c>
      <c r="O1400" s="40"/>
      <c r="P1400" s="40"/>
      <c r="Q1400" s="61" t="s">
        <v>98</v>
      </c>
      <c r="R1400" s="31" t="s">
        <v>56</v>
      </c>
      <c r="S1400" s="38" t="str">
        <f t="shared" si="37"/>
        <v>https://github.com/SF-Bancoppel/mx-api-bc-dom-document-services-corp</v>
      </c>
      <c r="T1400" s="40"/>
      <c r="U1400" s="22"/>
      <c r="V1400" s="40"/>
      <c r="W1400" s="40"/>
      <c r="X1400" s="40"/>
      <c r="Y1400" s="40"/>
      <c r="Z1400" s="40"/>
      <c r="AA1400" s="40"/>
      <c r="AB1400" s="40"/>
    </row>
    <row r="1401" ht="18.75" customHeight="1">
      <c r="A1401" s="18" t="str">
        <f t="array" ref="A1401">IFERROR(
  INDEX(
    'api-register-id'!A:A,
    MATCH(F1401, 'api-register-id'!B:B, 0)
  ),
  "Not found Organization"
)</f>
        <v>Empresa Net</v>
      </c>
      <c r="B1401" s="22" t="str">
        <f>IFERROR(VLOOKUP(F1401, 'api-register-id'!B:F, 4, FALSE), "Not found path.")</f>
        <v>mx-api-bc-rec-document-services-corp</v>
      </c>
      <c r="C1401" s="200" t="s">
        <v>112</v>
      </c>
      <c r="D1401" s="200" t="s">
        <v>1417</v>
      </c>
      <c r="E1401" s="24" t="str">
        <f>IFERROR(VLOOKUP(F1401, 'api-register-id'!B:F, 5, FALSE), "Not found path.")</f>
        <v>APIMX000193</v>
      </c>
      <c r="F1401" s="204" t="s">
        <v>3090</v>
      </c>
      <c r="G1401" s="26" t="s">
        <v>7264</v>
      </c>
      <c r="H1401" s="205" t="s">
        <v>7265</v>
      </c>
      <c r="I1401" s="29" t="str">
        <f>IFERROR(VLOOKUP(F1401, 'api-register-id'!B:I, 8, FALSE), "Not found path.")</f>
        <v/>
      </c>
      <c r="J1401" s="1" t="s">
        <v>3841</v>
      </c>
      <c r="K1401" s="214" t="s">
        <v>48</v>
      </c>
      <c r="L1401" s="200" t="s">
        <v>49</v>
      </c>
      <c r="M1401" s="212" t="s">
        <v>7119</v>
      </c>
      <c r="N1401" s="3" t="str">
        <f t="shared" si="40"/>
        <v>POST /experience/documentManagementAndArchive/documentServices/v1/corporate/products/statement/term</v>
      </c>
      <c r="O1401" s="40" t="s">
        <v>7120</v>
      </c>
      <c r="P1401" s="40"/>
      <c r="Q1401" s="61" t="s">
        <v>98</v>
      </c>
      <c r="R1401" s="31" t="s">
        <v>56</v>
      </c>
      <c r="S1401" s="38" t="str">
        <f t="shared" si="37"/>
        <v>https://github.com/SF-Bancoppel/mx-api-bc-rec-document-services-corp</v>
      </c>
      <c r="T1401" s="40"/>
      <c r="U1401" s="22"/>
      <c r="V1401" s="40"/>
      <c r="W1401" s="40"/>
      <c r="X1401" s="40"/>
      <c r="Y1401" s="40"/>
      <c r="Z1401" s="40"/>
      <c r="AA1401" s="40"/>
      <c r="AB1401" s="40"/>
    </row>
    <row r="1402" ht="18.75" customHeight="1">
      <c r="A1402" s="18" t="str">
        <f t="array" ref="A1402">IFERROR(
  INDEX(
    'api-register-id'!A:A,
    MATCH(F1402, 'api-register-id'!B:B, 0)
  ),
  "Not found Organization"
)</f>
        <v>Empresa Net</v>
      </c>
      <c r="B1402" s="22" t="str">
        <f>IFERROR(VLOOKUP(F1402, 'api-register-id'!B:F, 4, FALSE), "Not found path.")</f>
        <v>mx-api-bc-rec-document-services-corp</v>
      </c>
      <c r="C1402" s="200" t="s">
        <v>112</v>
      </c>
      <c r="D1402" s="200" t="s">
        <v>1417</v>
      </c>
      <c r="E1402" s="24" t="str">
        <f>IFERROR(VLOOKUP(F1402, 'api-register-id'!B:F, 5, FALSE), "Not found path.")</f>
        <v>APIMX000193</v>
      </c>
      <c r="F1402" s="204" t="s">
        <v>3090</v>
      </c>
      <c r="G1402" s="26" t="s">
        <v>7266</v>
      </c>
      <c r="H1402" s="205" t="s">
        <v>7125</v>
      </c>
      <c r="I1402" s="29" t="str">
        <f>IFERROR(VLOOKUP(F1402, 'api-register-id'!B:I, 8, FALSE), "Not found path.")</f>
        <v/>
      </c>
      <c r="J1402" s="1" t="s">
        <v>3841</v>
      </c>
      <c r="K1402" s="214" t="s">
        <v>48</v>
      </c>
      <c r="L1402" s="200" t="s">
        <v>49</v>
      </c>
      <c r="M1402" s="212" t="s">
        <v>7253</v>
      </c>
      <c r="N1402" s="3" t="str">
        <f t="shared" si="40"/>
        <v>POST /experience/documentManagementAndArchive/documentServices/v1/corporate/products/statement/get</v>
      </c>
      <c r="O1402" s="40" t="s">
        <v>7254</v>
      </c>
      <c r="P1402" s="40"/>
      <c r="Q1402" s="61" t="s">
        <v>98</v>
      </c>
      <c r="R1402" s="31" t="s">
        <v>56</v>
      </c>
      <c r="S1402" s="38" t="str">
        <f t="shared" si="37"/>
        <v>https://github.com/SF-Bancoppel/mx-api-bc-rec-document-services-corp</v>
      </c>
      <c r="T1402" s="40"/>
      <c r="U1402" s="22"/>
      <c r="V1402" s="40"/>
      <c r="W1402" s="40"/>
      <c r="X1402" s="40"/>
      <c r="Y1402" s="40"/>
      <c r="Z1402" s="40"/>
      <c r="AA1402" s="40"/>
      <c r="AB1402" s="40"/>
    </row>
    <row r="1403" ht="18.75" customHeight="1">
      <c r="A1403" s="18" t="str">
        <f t="array" ref="A1403">IFERROR(
  INDEX(
    'api-register-id'!A:A,
    MATCH(F1403, 'api-register-id'!B:B, 0)
  ),
  "Not found Organization"
)</f>
        <v>Empresa Net</v>
      </c>
      <c r="B1403" s="22" t="str">
        <f>IFERROR(VLOOKUP(F1403, 'api-register-id'!B:F, 4, FALSE), "Not found path.")</f>
        <v>mx-api-bc-rec-document-services-corp</v>
      </c>
      <c r="C1403" s="200" t="s">
        <v>112</v>
      </c>
      <c r="D1403" s="200" t="s">
        <v>1417</v>
      </c>
      <c r="E1403" s="24" t="str">
        <f>IFERROR(VLOOKUP(F1403, 'api-register-id'!B:F, 5, FALSE), "Not found path.")</f>
        <v>APIMX000193</v>
      </c>
      <c r="F1403" s="204" t="s">
        <v>3090</v>
      </c>
      <c r="G1403" s="26" t="s">
        <v>7267</v>
      </c>
      <c r="H1403" s="205" t="s">
        <v>7268</v>
      </c>
      <c r="I1403" s="29" t="str">
        <f>IFERROR(VLOOKUP(F1403, 'api-register-id'!B:I, 8, FALSE), "Not found path.")</f>
        <v/>
      </c>
      <c r="J1403" s="1" t="s">
        <v>3841</v>
      </c>
      <c r="K1403" s="214" t="s">
        <v>48</v>
      </c>
      <c r="L1403" s="200" t="s">
        <v>49</v>
      </c>
      <c r="M1403" s="212" t="s">
        <v>7256</v>
      </c>
      <c r="N1403" s="3" t="str">
        <f t="shared" si="40"/>
        <v>POST /experience/documentManagementAndArchive/documentServices/v1/corporate/list/file/get</v>
      </c>
      <c r="O1403" s="40" t="s">
        <v>7257</v>
      </c>
      <c r="P1403" s="40"/>
      <c r="Q1403" s="61" t="s">
        <v>98</v>
      </c>
      <c r="R1403" s="31" t="s">
        <v>56</v>
      </c>
      <c r="S1403" s="38" t="str">
        <f t="shared" si="37"/>
        <v>https://github.com/SF-Bancoppel/mx-api-bc-rec-document-services-corp</v>
      </c>
      <c r="T1403" s="40"/>
      <c r="U1403" s="22"/>
      <c r="V1403" s="40"/>
      <c r="W1403" s="40"/>
      <c r="X1403" s="40"/>
      <c r="Y1403" s="40"/>
      <c r="Z1403" s="40"/>
      <c r="AA1403" s="40"/>
      <c r="AB1403" s="40"/>
    </row>
    <row r="1404" ht="18.75" customHeight="1">
      <c r="A1404" s="256"/>
      <c r="B1404" s="257"/>
      <c r="C1404" s="258"/>
      <c r="D1404" s="258"/>
      <c r="E1404" s="259"/>
      <c r="F1404" s="260"/>
      <c r="G1404" s="261" t="s">
        <v>7269</v>
      </c>
      <c r="H1404" s="262"/>
      <c r="I1404" s="263"/>
      <c r="J1404" s="260"/>
      <c r="K1404" s="283"/>
      <c r="L1404" s="258"/>
      <c r="M1404" s="265"/>
      <c r="N1404" s="266"/>
      <c r="O1404" s="249"/>
      <c r="P1404" s="249"/>
      <c r="Q1404" s="267"/>
      <c r="R1404" s="259"/>
      <c r="S1404" s="249"/>
      <c r="T1404" s="249"/>
      <c r="U1404" s="257"/>
      <c r="V1404" s="249"/>
      <c r="W1404" s="249"/>
      <c r="X1404" s="249"/>
      <c r="Y1404" s="249"/>
      <c r="Z1404" s="249"/>
      <c r="AA1404" s="249"/>
      <c r="AB1404" s="249"/>
    </row>
    <row r="1405" ht="18.75" customHeight="1">
      <c r="A1405" s="18" t="str">
        <f t="array" ref="A1405">IFERROR(
  INDEX(
    'api-register-id'!A:A,
    MATCH(F1405, 'api-register-id'!B:B, 0)
  ),
  "Not found Organization"
)</f>
        <v>Empresa Net</v>
      </c>
      <c r="B1405" s="22" t="str">
        <f>IFERROR(VLOOKUP(F1405, 'api-register-id'!B:F, 4, FALSE), "Not found path.")</f>
        <v>mx-api-bc-rec-document-services-corp</v>
      </c>
      <c r="C1405" s="200" t="s">
        <v>112</v>
      </c>
      <c r="D1405" s="200" t="s">
        <v>1417</v>
      </c>
      <c r="E1405" s="24" t="str">
        <f>IFERROR(VLOOKUP(F1405, 'api-register-id'!B:F, 5, FALSE), "Not found path.")</f>
        <v>APIMX000193</v>
      </c>
      <c r="F1405" s="204" t="s">
        <v>3090</v>
      </c>
      <c r="G1405" s="26" t="s">
        <v>7270</v>
      </c>
      <c r="H1405" s="205" t="s">
        <v>7125</v>
      </c>
      <c r="I1405" s="29" t="str">
        <f>IFERROR(VLOOKUP(F1405, 'api-register-id'!B:I, 8, FALSE), "Not found path.")</f>
        <v/>
      </c>
      <c r="J1405" s="204" t="s">
        <v>3841</v>
      </c>
      <c r="K1405" s="214" t="s">
        <v>48</v>
      </c>
      <c r="L1405" s="200" t="s">
        <v>49</v>
      </c>
      <c r="M1405" s="212" t="s">
        <v>7253</v>
      </c>
      <c r="N1405" s="3" t="str">
        <f>CONCATENATE(L1405," ",J1405,M1405)</f>
        <v>POST /experience/documentManagementAndArchive/documentServices/v1/corporate/products/statement/get</v>
      </c>
      <c r="O1405" s="40" t="s">
        <v>7254</v>
      </c>
      <c r="P1405" s="40"/>
      <c r="Q1405" s="61" t="s">
        <v>98</v>
      </c>
      <c r="R1405" s="31" t="s">
        <v>56</v>
      </c>
      <c r="S1405" s="38" t="str">
        <f>"https://github.com/SF-Bancoppel/"&amp;B1405</f>
        <v>https://github.com/SF-Bancoppel/mx-api-bc-rec-document-services-corp</v>
      </c>
      <c r="T1405" s="40"/>
      <c r="U1405" s="22"/>
      <c r="V1405" s="40"/>
      <c r="W1405" s="40"/>
      <c r="X1405" s="40"/>
      <c r="Y1405" s="40"/>
      <c r="Z1405" s="40"/>
      <c r="AA1405" s="40"/>
      <c r="AB1405" s="40"/>
    </row>
    <row r="1406" ht="18.75" customHeight="1">
      <c r="A1406" s="256"/>
      <c r="B1406" s="257"/>
      <c r="C1406" s="258"/>
      <c r="D1406" s="258"/>
      <c r="E1406" s="259"/>
      <c r="F1406" s="260"/>
      <c r="G1406" s="261" t="s">
        <v>7271</v>
      </c>
      <c r="H1406" s="262"/>
      <c r="I1406" s="263"/>
      <c r="J1406" s="260"/>
      <c r="K1406" s="283"/>
      <c r="L1406" s="258"/>
      <c r="M1406" s="265"/>
      <c r="N1406" s="266"/>
      <c r="O1406" s="249"/>
      <c r="P1406" s="249"/>
      <c r="Q1406" s="267"/>
      <c r="R1406" s="259"/>
      <c r="S1406" s="249"/>
      <c r="T1406" s="249"/>
      <c r="U1406" s="257"/>
      <c r="V1406" s="249"/>
      <c r="W1406" s="249"/>
      <c r="X1406" s="249"/>
      <c r="Y1406" s="249"/>
      <c r="Z1406" s="249"/>
      <c r="AA1406" s="249"/>
      <c r="AB1406" s="249"/>
    </row>
    <row r="1407" ht="18.75" customHeight="1">
      <c r="A1407" s="256"/>
      <c r="B1407" s="257"/>
      <c r="C1407" s="258"/>
      <c r="D1407" s="258"/>
      <c r="E1407" s="259"/>
      <c r="F1407" s="260"/>
      <c r="G1407" s="261" t="s">
        <v>7272</v>
      </c>
      <c r="H1407" s="262"/>
      <c r="I1407" s="263"/>
      <c r="J1407" s="286"/>
      <c r="K1407" s="264"/>
      <c r="L1407" s="258"/>
      <c r="M1407" s="265"/>
      <c r="N1407" s="266"/>
      <c r="O1407" s="249"/>
      <c r="P1407" s="249"/>
      <c r="Q1407" s="267"/>
      <c r="R1407" s="259"/>
      <c r="S1407" s="249"/>
      <c r="T1407" s="249"/>
      <c r="U1407" s="257"/>
      <c r="V1407" s="249"/>
      <c r="W1407" s="249"/>
      <c r="X1407" s="249"/>
      <c r="Y1407" s="249"/>
      <c r="Z1407" s="249"/>
      <c r="AA1407" s="249"/>
      <c r="AB1407" s="249"/>
    </row>
    <row r="1408" ht="18.75" customHeight="1">
      <c r="A1408" s="18" t="str">
        <f t="array" ref="A1408">IFERROR(
  INDEX(
    'api-register-id'!A:A,
    MATCH(F1408, 'api-register-id'!B:B, 0)
  ),
  "Not found Organization"
)</f>
        <v>Empresa Net</v>
      </c>
      <c r="B1408" s="22" t="str">
        <f>IFERROR(VLOOKUP(F1408, 'api-register-id'!B:F, 4, FALSE), "Not found path.")</f>
        <v>mx-api-bc-rec-document-services-corp</v>
      </c>
      <c r="C1408" s="200" t="s">
        <v>112</v>
      </c>
      <c r="D1408" s="200" t="s">
        <v>1417</v>
      </c>
      <c r="E1408" s="24" t="str">
        <f>IFERROR(VLOOKUP(F1408, 'api-register-id'!B:F, 5, FALSE), "Not found path.")</f>
        <v>APIMX000193</v>
      </c>
      <c r="F1408" s="204" t="s">
        <v>3090</v>
      </c>
      <c r="G1408" s="26" t="s">
        <v>7273</v>
      </c>
      <c r="H1408" s="205" t="s">
        <v>7125</v>
      </c>
      <c r="I1408" s="29" t="str">
        <f>IFERROR(VLOOKUP(F1408, 'api-register-id'!B:I, 8, FALSE), "Not found path.")</f>
        <v/>
      </c>
      <c r="J1408" s="282" t="s">
        <v>3841</v>
      </c>
      <c r="K1408" s="211" t="s">
        <v>48</v>
      </c>
      <c r="L1408" s="200" t="s">
        <v>49</v>
      </c>
      <c r="M1408" s="212" t="s">
        <v>7253</v>
      </c>
      <c r="N1408" s="3" t="str">
        <f t="shared" ref="N1408:N1409" si="41">CONCATENATE(L1408," ",J1408,M1408)</f>
        <v>POST /experience/documentManagementAndArchive/documentServices/v1/corporate/products/statement/get</v>
      </c>
      <c r="O1408" s="40" t="s">
        <v>7254</v>
      </c>
      <c r="P1408" s="40"/>
      <c r="Q1408" s="61" t="s">
        <v>98</v>
      </c>
      <c r="R1408" s="31" t="s">
        <v>56</v>
      </c>
      <c r="S1408" s="38" t="str">
        <f t="shared" ref="S1408:S1409" si="42">"https://github.com/SF-Bancoppel/"&amp;B1408</f>
        <v>https://github.com/SF-Bancoppel/mx-api-bc-rec-document-services-corp</v>
      </c>
      <c r="T1408" s="40"/>
      <c r="U1408" s="22"/>
      <c r="V1408" s="40"/>
      <c r="W1408" s="40"/>
      <c r="X1408" s="40"/>
      <c r="Y1408" s="40"/>
      <c r="Z1408" s="40"/>
      <c r="AA1408" s="40"/>
      <c r="AB1408" s="40"/>
    </row>
    <row r="1409" ht="18.75" customHeight="1">
      <c r="A1409" s="18" t="str">
        <f t="array" ref="A1409">IFERROR(
  INDEX(
    'api-register-id'!A:A,
    MATCH(F1409, 'api-register-id'!B:B, 0)
  ),
  "Not found Organization"
)</f>
        <v>Empresa Net</v>
      </c>
      <c r="B1409" s="22" t="str">
        <f>IFERROR(VLOOKUP(F1409, 'api-register-id'!B:F, 4, FALSE), "Not found path.")</f>
        <v>mx-api-bc-rec-document-services-corp</v>
      </c>
      <c r="C1409" s="200" t="s">
        <v>112</v>
      </c>
      <c r="D1409" s="200" t="s">
        <v>1417</v>
      </c>
      <c r="E1409" s="24" t="str">
        <f>IFERROR(VLOOKUP(F1409, 'api-register-id'!B:F, 5, FALSE), "Not found path.")</f>
        <v>APIMX000193</v>
      </c>
      <c r="F1409" s="204" t="s">
        <v>3090</v>
      </c>
      <c r="G1409" s="26" t="s">
        <v>7274</v>
      </c>
      <c r="H1409" s="205" t="s">
        <v>6921</v>
      </c>
      <c r="I1409" s="29" t="str">
        <f>IFERROR(VLOOKUP(F1409, 'api-register-id'!B:I, 8, FALSE), "Not found path.")</f>
        <v/>
      </c>
      <c r="J1409" s="282" t="s">
        <v>3841</v>
      </c>
      <c r="K1409" s="211" t="s">
        <v>48</v>
      </c>
      <c r="L1409" s="200" t="s">
        <v>49</v>
      </c>
      <c r="M1409" s="212" t="s">
        <v>6891</v>
      </c>
      <c r="N1409" s="3" t="str">
        <f t="shared" si="41"/>
        <v>POST /experience/documentManagementAndArchive/documentServices/v1/corporate/products/movements</v>
      </c>
      <c r="O1409" s="40" t="s">
        <v>7260</v>
      </c>
      <c r="P1409" s="40"/>
      <c r="Q1409" s="61" t="s">
        <v>98</v>
      </c>
      <c r="R1409" s="31" t="s">
        <v>56</v>
      </c>
      <c r="S1409" s="38" t="str">
        <f t="shared" si="42"/>
        <v>https://github.com/SF-Bancoppel/mx-api-bc-rec-document-services-corp</v>
      </c>
      <c r="T1409" s="40"/>
      <c r="U1409" s="22"/>
      <c r="V1409" s="40"/>
      <c r="W1409" s="40"/>
      <c r="X1409" s="40"/>
      <c r="Y1409" s="40"/>
      <c r="Z1409" s="40"/>
      <c r="AA1409" s="40"/>
      <c r="AB1409" s="40"/>
    </row>
    <row r="1410" ht="18.75" customHeight="1">
      <c r="A1410" s="256"/>
      <c r="B1410" s="257"/>
      <c r="C1410" s="258"/>
      <c r="D1410" s="258"/>
      <c r="E1410" s="259"/>
      <c r="F1410" s="260"/>
      <c r="G1410" s="261" t="s">
        <v>7275</v>
      </c>
      <c r="H1410" s="262"/>
      <c r="I1410" s="263"/>
      <c r="J1410" s="286"/>
      <c r="K1410" s="264"/>
      <c r="L1410" s="258"/>
      <c r="M1410" s="265"/>
      <c r="N1410" s="266"/>
      <c r="O1410" s="249"/>
      <c r="P1410" s="249"/>
      <c r="Q1410" s="267"/>
      <c r="R1410" s="259"/>
      <c r="S1410" s="249"/>
      <c r="T1410" s="249"/>
      <c r="U1410" s="257"/>
      <c r="V1410" s="249"/>
      <c r="W1410" s="249"/>
      <c r="X1410" s="249"/>
      <c r="Y1410" s="249"/>
      <c r="Z1410" s="249"/>
      <c r="AA1410" s="249"/>
      <c r="AB1410" s="249"/>
    </row>
    <row r="1411" ht="18.75" customHeight="1">
      <c r="A1411" s="18" t="str">
        <f t="array" ref="A1411">IFERROR(
  INDEX(
    'api-register-id'!A:A,
    MATCH(F1411, 'api-register-id'!B:B, 0)
  ),
  "Not found Organization"
)</f>
        <v>Empresa Net</v>
      </c>
      <c r="B1411" s="22" t="str">
        <f>IFERROR(VLOOKUP(F1411, 'api-register-id'!B:F, 4, FALSE), "Not found path.")</f>
        <v>mx-api-bc-pro-document-services-corp</v>
      </c>
      <c r="C1411" s="200" t="s">
        <v>41</v>
      </c>
      <c r="D1411" s="200" t="s">
        <v>811</v>
      </c>
      <c r="E1411" s="24" t="str">
        <f>IFERROR(VLOOKUP(F1411, 'api-register-id'!B:F, 5, FALSE), "Not found path.")</f>
        <v>APIMX000194</v>
      </c>
      <c r="F1411" s="204" t="s">
        <v>3187</v>
      </c>
      <c r="G1411" s="26" t="s">
        <v>7276</v>
      </c>
      <c r="H1411" s="205" t="str">
        <f t="shared" ref="H1411:H1415" si="43">obtenerAPIOperationId(M1411,D1411)</f>
        <v>Pro_TermStatementProductsCorporateV1</v>
      </c>
      <c r="I1411" s="29" t="str">
        <f>IFERROR(VLOOKUP(F1411, 'api-register-id'!B:I, 8, FALSE), "Not found path.")</f>
        <v/>
      </c>
      <c r="J1411" s="1" t="s">
        <v>2950</v>
      </c>
      <c r="K1411" s="214" t="s">
        <v>48</v>
      </c>
      <c r="L1411" s="200" t="s">
        <v>49</v>
      </c>
      <c r="M1411" s="212" t="s">
        <v>7119</v>
      </c>
      <c r="N1411" s="3" t="str">
        <f t="shared" ref="N1411:N1420" si="44">CONCATENATE(L1411," ",J1411,M1411)</f>
        <v>POST /system/documentManagementAndArchive/documentServices/v1/corporate/products/statement/term</v>
      </c>
      <c r="O1411" s="40" t="s">
        <v>7120</v>
      </c>
      <c r="P1411" s="40"/>
      <c r="Q1411" s="61" t="s">
        <v>98</v>
      </c>
      <c r="R1411" s="31" t="s">
        <v>56</v>
      </c>
      <c r="S1411" s="38" t="str">
        <f t="shared" ref="S1411:S1433" si="45">"https://github.com/SF-Bancoppel/"&amp;B1411</f>
        <v>https://github.com/SF-Bancoppel/mx-api-bc-pro-document-services-corp</v>
      </c>
      <c r="T1411" s="40"/>
      <c r="U1411" s="22"/>
      <c r="V1411" s="40"/>
      <c r="W1411" s="40"/>
      <c r="X1411" s="40"/>
      <c r="Y1411" s="40"/>
      <c r="Z1411" s="40"/>
      <c r="AA1411" s="40"/>
      <c r="AB1411" s="40"/>
    </row>
    <row r="1412" ht="18.75" customHeight="1">
      <c r="A1412" s="18" t="str">
        <f t="array" ref="A1412">IFERROR(
  INDEX(
    'api-register-id'!A:A,
    MATCH(F1412, 'api-register-id'!B:B, 0)
  ),
  "Not found Organization"
)</f>
        <v>Empresa Net</v>
      </c>
      <c r="B1412" s="22" t="str">
        <f>IFERROR(VLOOKUP(F1412, 'api-register-id'!B:F, 4, FALSE), "Not found path.")</f>
        <v>mx-api-bc-pro-document-services-corp</v>
      </c>
      <c r="C1412" s="200" t="s">
        <v>41</v>
      </c>
      <c r="D1412" s="200" t="s">
        <v>811</v>
      </c>
      <c r="E1412" s="24" t="str">
        <f>IFERROR(VLOOKUP(F1412, 'api-register-id'!B:F, 5, FALSE), "Not found path.")</f>
        <v>APIMX000194</v>
      </c>
      <c r="F1412" s="204" t="s">
        <v>3187</v>
      </c>
      <c r="G1412" s="26" t="s">
        <v>7277</v>
      </c>
      <c r="H1412" s="205" t="str">
        <f t="shared" si="43"/>
        <v>Pro_GetStatementProductsCorporateV1</v>
      </c>
      <c r="I1412" s="29" t="str">
        <f>IFERROR(VLOOKUP(F1412, 'api-register-id'!B:I, 8, FALSE), "Not found path.")</f>
        <v/>
      </c>
      <c r="J1412" s="1" t="s">
        <v>2950</v>
      </c>
      <c r="K1412" s="214" t="s">
        <v>48</v>
      </c>
      <c r="L1412" s="200" t="s">
        <v>49</v>
      </c>
      <c r="M1412" s="212" t="s">
        <v>7253</v>
      </c>
      <c r="N1412" s="3" t="str">
        <f t="shared" si="44"/>
        <v>POST /system/documentManagementAndArchive/documentServices/v1/corporate/products/statement/get</v>
      </c>
      <c r="O1412" s="40" t="s">
        <v>7254</v>
      </c>
      <c r="P1412" s="40"/>
      <c r="Q1412" s="61" t="s">
        <v>98</v>
      </c>
      <c r="R1412" s="31" t="s">
        <v>56</v>
      </c>
      <c r="S1412" s="38" t="str">
        <f t="shared" si="45"/>
        <v>https://github.com/SF-Bancoppel/mx-api-bc-pro-document-services-corp</v>
      </c>
      <c r="T1412" s="40"/>
      <c r="U1412" s="22"/>
      <c r="V1412" s="40"/>
      <c r="W1412" s="40"/>
      <c r="X1412" s="40"/>
      <c r="Y1412" s="40"/>
      <c r="Z1412" s="40"/>
      <c r="AA1412" s="40"/>
      <c r="AB1412" s="40"/>
    </row>
    <row r="1413" ht="18.75" customHeight="1">
      <c r="A1413" s="18" t="str">
        <f t="array" ref="A1413">IFERROR(
  INDEX(
    'api-register-id'!A:A,
    MATCH(F1413, 'api-register-id'!B:B, 0)
  ),
  "Not found Organization"
)</f>
        <v>Empresa Net</v>
      </c>
      <c r="B1413" s="22" t="str">
        <f>IFERROR(VLOOKUP(F1413, 'api-register-id'!B:F, 4, FALSE), "Not found path.")</f>
        <v>mx-api-bc-pro-document-services-corp</v>
      </c>
      <c r="C1413" s="200" t="s">
        <v>41</v>
      </c>
      <c r="D1413" s="200" t="s">
        <v>811</v>
      </c>
      <c r="E1413" s="24" t="str">
        <f>IFERROR(VLOOKUP(F1413, 'api-register-id'!B:F, 5, FALSE), "Not found path.")</f>
        <v>APIMX000194</v>
      </c>
      <c r="F1413" s="204" t="s">
        <v>3187</v>
      </c>
      <c r="G1413" s="26" t="s">
        <v>7278</v>
      </c>
      <c r="H1413" s="205" t="str">
        <f t="shared" si="43"/>
        <v>Pro_GetFileListCorporateV1</v>
      </c>
      <c r="I1413" s="29" t="str">
        <f>IFERROR(VLOOKUP(F1413, 'api-register-id'!B:I, 8, FALSE), "Not found path.")</f>
        <v/>
      </c>
      <c r="J1413" s="1" t="s">
        <v>2950</v>
      </c>
      <c r="K1413" s="214" t="s">
        <v>48</v>
      </c>
      <c r="L1413" s="200" t="s">
        <v>49</v>
      </c>
      <c r="M1413" s="212" t="s">
        <v>7256</v>
      </c>
      <c r="N1413" s="3" t="str">
        <f t="shared" si="44"/>
        <v>POST /system/documentManagementAndArchive/documentServices/v1/corporate/list/file/get</v>
      </c>
      <c r="O1413" s="40" t="s">
        <v>7257</v>
      </c>
      <c r="P1413" s="40"/>
      <c r="Q1413" s="61" t="s">
        <v>98</v>
      </c>
      <c r="R1413" s="31" t="s">
        <v>56</v>
      </c>
      <c r="S1413" s="38" t="str">
        <f t="shared" si="45"/>
        <v>https://github.com/SF-Bancoppel/mx-api-bc-pro-document-services-corp</v>
      </c>
      <c r="T1413" s="40"/>
      <c r="U1413" s="22"/>
      <c r="V1413" s="40"/>
      <c r="W1413" s="40"/>
      <c r="X1413" s="40"/>
      <c r="Y1413" s="40"/>
      <c r="Z1413" s="40"/>
      <c r="AA1413" s="40"/>
      <c r="AB1413" s="40"/>
    </row>
    <row r="1414" ht="18.75" customHeight="1">
      <c r="A1414" s="18" t="str">
        <f t="array" ref="A1414">IFERROR(
  INDEX(
    'api-register-id'!A:A,
    MATCH(F1414, 'api-register-id'!B:B, 0)
  ),
  "Not found Organization"
)</f>
        <v>Empresa Net</v>
      </c>
      <c r="B1414" s="22" t="str">
        <f>IFERROR(VLOOKUP(F1414, 'api-register-id'!B:F, 4, FALSE), "Not found path.")</f>
        <v>mx-api-bc-pro-document-services-corp</v>
      </c>
      <c r="C1414" s="200" t="s">
        <v>41</v>
      </c>
      <c r="D1414" s="200" t="s">
        <v>811</v>
      </c>
      <c r="E1414" s="24" t="str">
        <f>IFERROR(VLOOKUP(F1414, 'api-register-id'!B:F, 5, FALSE), "Not found path.")</f>
        <v>APIMX000194</v>
      </c>
      <c r="F1414" s="204" t="s">
        <v>3187</v>
      </c>
      <c r="G1414" s="26" t="s">
        <v>7279</v>
      </c>
      <c r="H1414" s="205" t="str">
        <f t="shared" si="43"/>
        <v>Pro_GetFileFileTransferAuthorizationsCorporateV1</v>
      </c>
      <c r="I1414" s="29" t="str">
        <f>IFERROR(VLOOKUP(F1414, 'api-register-id'!B:I, 8, FALSE), "Not found path.")</f>
        <v/>
      </c>
      <c r="J1414" s="1" t="s">
        <v>2950</v>
      </c>
      <c r="K1414" s="214" t="s">
        <v>48</v>
      </c>
      <c r="L1414" s="200" t="s">
        <v>49</v>
      </c>
      <c r="M1414" s="323" t="s">
        <v>6358</v>
      </c>
      <c r="N1414" s="3" t="str">
        <f t="shared" si="44"/>
        <v>POST /system/documentManagementAndArchive/documentServices/v1/corporate/authorizations/transfer/file/getFile</v>
      </c>
      <c r="O1414" s="40" t="s">
        <v>7120</v>
      </c>
      <c r="P1414" s="40"/>
      <c r="Q1414" s="61" t="s">
        <v>98</v>
      </c>
      <c r="R1414" s="31" t="s">
        <v>56</v>
      </c>
      <c r="S1414" s="38" t="str">
        <f t="shared" si="45"/>
        <v>https://github.com/SF-Bancoppel/mx-api-bc-pro-document-services-corp</v>
      </c>
      <c r="T1414" s="40"/>
      <c r="U1414" s="22"/>
      <c r="V1414" s="40"/>
      <c r="W1414" s="40"/>
      <c r="X1414" s="40"/>
      <c r="Y1414" s="40"/>
      <c r="Z1414" s="40"/>
      <c r="AA1414" s="40"/>
      <c r="AB1414" s="40"/>
    </row>
    <row r="1415" ht="18.75" customHeight="1">
      <c r="A1415" s="18" t="str">
        <f t="array" ref="A1415">IFERROR(
  INDEX(
    'api-register-id'!A:A,
    MATCH(F1415, 'api-register-id'!B:B, 0)
  ),
  "Not found Organization"
)</f>
        <v>Empresa Net</v>
      </c>
      <c r="B1415" s="22" t="str">
        <f>IFERROR(VLOOKUP(F1415, 'api-register-id'!B:F, 4, FALSE), "Not found path.")</f>
        <v>mx-api-bc-pro-document-services-corp</v>
      </c>
      <c r="C1415" s="200" t="s">
        <v>41</v>
      </c>
      <c r="D1415" s="200" t="s">
        <v>811</v>
      </c>
      <c r="E1415" s="24" t="str">
        <f>IFERROR(VLOOKUP(F1415, 'api-register-id'!B:F, 5, FALSE), "Not found path.")</f>
        <v>APIMX000194</v>
      </c>
      <c r="F1415" s="204" t="s">
        <v>3187</v>
      </c>
      <c r="G1415" s="26" t="s">
        <v>7280</v>
      </c>
      <c r="H1415" s="205" t="str">
        <f t="shared" si="43"/>
        <v>Pro_MovementsProductsCorporateV1</v>
      </c>
      <c r="I1415" s="29" t="str">
        <f>IFERROR(VLOOKUP(F1415, 'api-register-id'!B:I, 8, FALSE), "Not found path.")</f>
        <v/>
      </c>
      <c r="J1415" s="1" t="s">
        <v>2950</v>
      </c>
      <c r="K1415" s="211" t="s">
        <v>48</v>
      </c>
      <c r="L1415" s="200" t="s">
        <v>49</v>
      </c>
      <c r="M1415" s="212" t="s">
        <v>6891</v>
      </c>
      <c r="N1415" s="3" t="str">
        <f t="shared" si="44"/>
        <v>POST /system/documentManagementAndArchive/documentServices/v1/corporate/products/movements</v>
      </c>
      <c r="O1415" s="40" t="s">
        <v>7260</v>
      </c>
      <c r="P1415" s="40"/>
      <c r="Q1415" s="61" t="s">
        <v>98</v>
      </c>
      <c r="R1415" s="31" t="s">
        <v>56</v>
      </c>
      <c r="S1415" s="38" t="str">
        <f t="shared" si="45"/>
        <v>https://github.com/SF-Bancoppel/mx-api-bc-pro-document-services-corp</v>
      </c>
      <c r="T1415" s="40"/>
      <c r="U1415" s="22"/>
      <c r="V1415" s="40"/>
      <c r="W1415" s="40"/>
      <c r="X1415" s="40"/>
      <c r="Y1415" s="40"/>
      <c r="Z1415" s="40"/>
      <c r="AA1415" s="40"/>
      <c r="AB1415" s="40"/>
    </row>
    <row r="1416" ht="18.75" customHeight="1">
      <c r="A1416" s="18" t="s">
        <v>1827</v>
      </c>
      <c r="B1416" s="22" t="str">
        <f>IFERROR(VLOOKUP(F1416, 'api-register-id'!B:F, 4, FALSE), "Not found path.")</f>
        <v>mx-api-bc-pro-document-services-corp</v>
      </c>
      <c r="C1416" s="213" t="s">
        <v>41</v>
      </c>
      <c r="D1416" s="213" t="s">
        <v>811</v>
      </c>
      <c r="E1416" s="24" t="str">
        <f>IFERROR(VLOOKUP(F1416, 'api-register-id'!B:F, 5, FALSE), "Not found path.")</f>
        <v>APIMX000194</v>
      </c>
      <c r="F1416" s="1" t="s">
        <v>3187</v>
      </c>
      <c r="G1416" s="26" t="s">
        <v>7281</v>
      </c>
      <c r="H1416" s="199" t="s">
        <v>7282</v>
      </c>
      <c r="I1416" s="29" t="str">
        <f>IFERROR(VLOOKUP(F1416, 'api-register-id'!B:I, 8, FALSE), "Not found path.")</f>
        <v/>
      </c>
      <c r="J1416" s="22" t="s">
        <v>2950</v>
      </c>
      <c r="K1416" s="31" t="s">
        <v>48</v>
      </c>
      <c r="L1416" s="213" t="s">
        <v>49</v>
      </c>
      <c r="M1416" s="3" t="s">
        <v>7263</v>
      </c>
      <c r="N1416" s="3" t="str">
        <f t="shared" si="44"/>
        <v>POST /system/documentManagementAndArchive/documentServices/v1/corporate/template/execute</v>
      </c>
      <c r="O1416" s="40"/>
      <c r="P1416" s="40"/>
      <c r="Q1416" s="61" t="s">
        <v>98</v>
      </c>
      <c r="R1416" s="31" t="s">
        <v>56</v>
      </c>
      <c r="S1416" s="38" t="str">
        <f t="shared" si="45"/>
        <v>https://github.com/SF-Bancoppel/mx-api-bc-pro-document-services-corp</v>
      </c>
      <c r="T1416" s="40"/>
      <c r="U1416" s="22"/>
      <c r="V1416" s="40"/>
      <c r="W1416" s="40"/>
      <c r="X1416" s="40"/>
      <c r="Y1416" s="40"/>
      <c r="Z1416" s="40"/>
      <c r="AA1416" s="40"/>
      <c r="AB1416" s="40"/>
    </row>
    <row r="1417" ht="18.75" customHeight="1">
      <c r="A1417" s="18" t="s">
        <v>1827</v>
      </c>
      <c r="B1417" s="22" t="str">
        <f>IFERROR(VLOOKUP(F1417, 'api-register-id'!B:F, 4, FALSE), "Not found path.")</f>
        <v>mx-api-bc-rec-doc-mgmt-arch-corp</v>
      </c>
      <c r="C1417" s="213" t="s">
        <v>112</v>
      </c>
      <c r="D1417" s="213" t="s">
        <v>1417</v>
      </c>
      <c r="E1417" s="24" t="str">
        <f>IFERROR(VLOOKUP(F1417, 'api-register-id'!B:F, 5, FALSE), "Not found path.")</f>
        <v>APIMX000201</v>
      </c>
      <c r="F1417" s="1" t="s">
        <v>3543</v>
      </c>
      <c r="G1417" s="26" t="s">
        <v>7283</v>
      </c>
      <c r="H1417" s="199" t="s">
        <v>6795</v>
      </c>
      <c r="I1417" s="29" t="str">
        <f>IFERROR(VLOOKUP(F1417, 'api-register-id'!B:I, 8, FALSE), "Not found path.")</f>
        <v/>
      </c>
      <c r="J1417" s="22" t="s">
        <v>7284</v>
      </c>
      <c r="K1417" s="31" t="s">
        <v>48</v>
      </c>
      <c r="L1417" s="213" t="s">
        <v>49</v>
      </c>
      <c r="M1417" s="3" t="s">
        <v>6559</v>
      </c>
      <c r="N1417" s="3" t="str">
        <f t="shared" si="44"/>
        <v>POST /experience/businessSupport/documentManagementAndArchive/v1/corporate/notification/email</v>
      </c>
      <c r="O1417" s="40"/>
      <c r="P1417" s="40"/>
      <c r="Q1417" s="61" t="s">
        <v>98</v>
      </c>
      <c r="R1417" s="31" t="s">
        <v>56</v>
      </c>
      <c r="S1417" s="38" t="str">
        <f t="shared" si="45"/>
        <v>https://github.com/SF-Bancoppel/mx-api-bc-rec-doc-mgmt-arch-corp</v>
      </c>
      <c r="T1417" s="40"/>
      <c r="U1417" s="22"/>
      <c r="V1417" s="40"/>
      <c r="W1417" s="40"/>
      <c r="X1417" s="40"/>
      <c r="Y1417" s="40"/>
      <c r="Z1417" s="40"/>
      <c r="AA1417" s="40"/>
      <c r="AB1417" s="40"/>
    </row>
    <row r="1418" ht="18.75" customHeight="1">
      <c r="A1418" s="303" t="str">
        <f t="array" ref="A1418">IFERROR(
  INDEX(
    'api-register-id'!A:A,
    MATCH(F1418, 'api-register-id'!B:B, 0)
  ),
  "Not found Organization"
)</f>
        <v>Empresa Net</v>
      </c>
      <c r="B1418" s="304" t="str">
        <f>IFERROR(VLOOKUP(F1418, 'api-register-id'!B:F, 4, FALSE), "Not found path.")</f>
        <v>mx-api-bc-rec-doc-mgmt-arch-corp</v>
      </c>
      <c r="C1418" s="295" t="s">
        <v>112</v>
      </c>
      <c r="D1418" s="295" t="s">
        <v>1417</v>
      </c>
      <c r="E1418" s="296" t="str">
        <f>IFERROR(VLOOKUP(F1418, 'api-register-id'!B:F, 5, FALSE), "Not found path.")</f>
        <v>APIMX000201</v>
      </c>
      <c r="F1418" s="215" t="s">
        <v>3543</v>
      </c>
      <c r="G1418" s="26" t="s">
        <v>7285</v>
      </c>
      <c r="H1418" s="205" t="s">
        <v>7125</v>
      </c>
      <c r="I1418" s="29"/>
      <c r="J1418" s="22" t="s">
        <v>7284</v>
      </c>
      <c r="K1418" s="31" t="s">
        <v>48</v>
      </c>
      <c r="L1418" s="200" t="s">
        <v>49</v>
      </c>
      <c r="M1418" s="212" t="s">
        <v>7253</v>
      </c>
      <c r="N1418" s="3" t="str">
        <f t="shared" si="44"/>
        <v>POST /experience/businessSupport/documentManagementAndArchive/v1/corporate/products/statement/get</v>
      </c>
      <c r="O1418" s="40"/>
      <c r="P1418" s="40"/>
      <c r="Q1418" s="36" t="s">
        <v>7286</v>
      </c>
      <c r="R1418" s="31" t="s">
        <v>56</v>
      </c>
      <c r="S1418" s="38" t="str">
        <f t="shared" si="45"/>
        <v>https://github.com/SF-Bancoppel/mx-api-bc-rec-doc-mgmt-arch-corp</v>
      </c>
      <c r="T1418" s="40"/>
      <c r="U1418" s="22"/>
      <c r="V1418" s="40"/>
      <c r="W1418" s="40"/>
      <c r="X1418" s="40"/>
      <c r="Y1418" s="40"/>
      <c r="Z1418" s="40"/>
      <c r="AA1418" s="40"/>
      <c r="AB1418" s="40"/>
    </row>
    <row r="1419" ht="18.75" customHeight="1">
      <c r="A1419" s="18" t="s">
        <v>1827</v>
      </c>
      <c r="B1419" s="22" t="str">
        <f>IFERROR(VLOOKUP(F1419, 'api-register-id'!B:F, 4, FALSE), "Not found path.")</f>
        <v>mx-api-bc-bus-doc-mgmt-arch-corp</v>
      </c>
      <c r="C1419" s="213" t="s">
        <v>41</v>
      </c>
      <c r="D1419" s="213" t="s">
        <v>42</v>
      </c>
      <c r="E1419" s="24" t="str">
        <f>IFERROR(VLOOKUP(F1419, 'api-register-id'!B:F, 5, FALSE), "Not found path.")</f>
        <v>APIMX000202</v>
      </c>
      <c r="F1419" s="1" t="s">
        <v>3570</v>
      </c>
      <c r="G1419" s="26" t="s">
        <v>7287</v>
      </c>
      <c r="H1419" s="199" t="s">
        <v>7288</v>
      </c>
      <c r="I1419" s="29" t="str">
        <f>IFERROR(VLOOKUP(F1419, 'api-register-id'!B:I, 8, FALSE), "Not found path.")</f>
        <v/>
      </c>
      <c r="J1419" s="22" t="s">
        <v>47</v>
      </c>
      <c r="K1419" s="31" t="s">
        <v>48</v>
      </c>
      <c r="L1419" s="213" t="s">
        <v>49</v>
      </c>
      <c r="M1419" s="3" t="s">
        <v>6559</v>
      </c>
      <c r="N1419" s="3" t="str">
        <f t="shared" si="44"/>
        <v>POST /businessSupport/v1/corporate/notification/email</v>
      </c>
      <c r="O1419" s="40"/>
      <c r="P1419" s="40"/>
      <c r="Q1419" s="61" t="s">
        <v>98</v>
      </c>
      <c r="R1419" s="31" t="s">
        <v>56</v>
      </c>
      <c r="S1419" s="38" t="str">
        <f t="shared" si="45"/>
        <v>https://github.com/SF-Bancoppel/mx-api-bc-bus-doc-mgmt-arch-corp</v>
      </c>
      <c r="T1419" s="40"/>
      <c r="U1419" s="22"/>
      <c r="V1419" s="40"/>
      <c r="W1419" s="40"/>
      <c r="X1419" s="40"/>
      <c r="Y1419" s="40"/>
      <c r="Z1419" s="40"/>
      <c r="AA1419" s="40"/>
      <c r="AB1419" s="40"/>
    </row>
    <row r="1420" ht="18.75" customHeight="1">
      <c r="A1420" s="303" t="str">
        <f t="array" ref="A1420">IFERROR(
  INDEX(
    'api-register-id'!A:A,
    MATCH(F1420, 'api-register-id'!B:B, 0)
  ),
  "Not found Organization"
)</f>
        <v>Empresa Net</v>
      </c>
      <c r="B1420" s="304" t="str">
        <f>IFERROR(VLOOKUP(F1420, 'api-register-id'!B:F, 4, FALSE), "Not found path.")</f>
        <v>mx-api-bc-bus-doc-mgmt-arch-corp</v>
      </c>
      <c r="C1420" s="295" t="s">
        <v>41</v>
      </c>
      <c r="D1420" s="295" t="s">
        <v>42</v>
      </c>
      <c r="E1420" s="296" t="str">
        <f>IFERROR(VLOOKUP(F1420, 'api-register-id'!B:F, 5, FALSE), "Not found path.")</f>
        <v>APIMX000202</v>
      </c>
      <c r="F1420" s="215" t="s">
        <v>3570</v>
      </c>
      <c r="G1420" s="26" t="s">
        <v>7289</v>
      </c>
      <c r="H1420" s="205" t="s">
        <v>7122</v>
      </c>
      <c r="I1420" s="29"/>
      <c r="J1420" s="22" t="s">
        <v>47</v>
      </c>
      <c r="K1420" s="31" t="s">
        <v>48</v>
      </c>
      <c r="L1420" s="200" t="s">
        <v>49</v>
      </c>
      <c r="M1420" s="212" t="s">
        <v>7253</v>
      </c>
      <c r="N1420" s="3" t="str">
        <f t="shared" si="44"/>
        <v>POST /businessSupport/v1/corporate/products/statement/get</v>
      </c>
      <c r="O1420" s="40"/>
      <c r="P1420" s="40"/>
      <c r="Q1420" s="36" t="s">
        <v>7290</v>
      </c>
      <c r="R1420" s="31" t="s">
        <v>56</v>
      </c>
      <c r="S1420" s="38" t="str">
        <f t="shared" si="45"/>
        <v>https://github.com/SF-Bancoppel/mx-api-bc-bus-doc-mgmt-arch-corp</v>
      </c>
      <c r="T1420" s="40"/>
      <c r="U1420" s="22"/>
      <c r="V1420" s="40"/>
      <c r="W1420" s="40"/>
      <c r="X1420" s="40"/>
      <c r="Y1420" s="40"/>
      <c r="Z1420" s="40"/>
      <c r="AA1420" s="40"/>
      <c r="AB1420" s="40"/>
    </row>
    <row r="1421" ht="18.75" customHeight="1">
      <c r="A1421" s="18" t="s">
        <v>1827</v>
      </c>
      <c r="B1421" s="22" t="s">
        <v>3571</v>
      </c>
      <c r="C1421" s="213" t="s">
        <v>41</v>
      </c>
      <c r="D1421" s="213" t="s">
        <v>42</v>
      </c>
      <c r="E1421" s="24" t="str">
        <f>IFERROR(VLOOKUP(F1421, 'api-register-id'!B:F, 5, FALSE), "Not found path.")</f>
        <v>APIMX000202</v>
      </c>
      <c r="F1421" s="215" t="s">
        <v>3570</v>
      </c>
      <c r="G1421" s="26" t="s">
        <v>7291</v>
      </c>
      <c r="H1421" s="199" t="s">
        <v>7292</v>
      </c>
      <c r="I1421" s="29"/>
      <c r="J1421" s="194" t="s">
        <v>47</v>
      </c>
      <c r="K1421" s="31" t="s">
        <v>48</v>
      </c>
      <c r="L1421" s="213" t="s">
        <v>49</v>
      </c>
      <c r="M1421" s="216" t="s">
        <v>6358</v>
      </c>
      <c r="N1421" s="217" t="str">
        <f t="shared" ref="N1421:N1422" si="46">CONCATENATE(L1421, " ", J1421, M1421)</f>
        <v>POST /businessSupport/v1/corporate/authorizations/transfer/file/getFile</v>
      </c>
      <c r="O1421" s="40"/>
      <c r="P1421" s="40"/>
      <c r="Q1421" s="36" t="s">
        <v>7293</v>
      </c>
      <c r="R1421" s="31" t="s">
        <v>56</v>
      </c>
      <c r="S1421" s="218" t="str">
        <f t="shared" si="45"/>
        <v>https://github.com/SF-Bancoppel/mx-api-bc-bus-doc-mgmt-arch-corp</v>
      </c>
      <c r="T1421" s="40"/>
      <c r="U1421" s="22"/>
      <c r="V1421" s="40"/>
      <c r="W1421" s="40"/>
      <c r="X1421" s="40"/>
      <c r="Y1421" s="40"/>
      <c r="Z1421" s="40"/>
      <c r="AA1421" s="40"/>
      <c r="AB1421" s="40"/>
    </row>
    <row r="1422" ht="18.75" customHeight="1">
      <c r="A1422" s="18" t="s">
        <v>1827</v>
      </c>
      <c r="B1422" s="22" t="s">
        <v>3571</v>
      </c>
      <c r="C1422" s="213" t="s">
        <v>41</v>
      </c>
      <c r="D1422" s="213" t="s">
        <v>42</v>
      </c>
      <c r="E1422" s="24" t="str">
        <f>IFERROR(VLOOKUP(F1422, 'api-register-id'!B:F, 5, FALSE), "Not found path.")</f>
        <v>APIMX000202</v>
      </c>
      <c r="F1422" s="215" t="s">
        <v>3570</v>
      </c>
      <c r="G1422" s="26" t="s">
        <v>7294</v>
      </c>
      <c r="H1422" s="199" t="s">
        <v>7295</v>
      </c>
      <c r="I1422" s="29"/>
      <c r="J1422" s="194" t="s">
        <v>47</v>
      </c>
      <c r="K1422" s="31" t="s">
        <v>48</v>
      </c>
      <c r="L1422" s="213" t="s">
        <v>49</v>
      </c>
      <c r="M1422" s="216" t="s">
        <v>7296</v>
      </c>
      <c r="N1422" s="217" t="str">
        <f t="shared" si="46"/>
        <v>POST /businessSupport/v1/corporate/documents/capture</v>
      </c>
      <c r="O1422" s="40"/>
      <c r="P1422" s="40"/>
      <c r="Q1422" s="36" t="s">
        <v>7297</v>
      </c>
      <c r="R1422" s="31" t="s">
        <v>56</v>
      </c>
      <c r="S1422" s="218" t="str">
        <f t="shared" si="45"/>
        <v>https://github.com/SF-Bancoppel/mx-api-bc-bus-doc-mgmt-arch-corp</v>
      </c>
      <c r="T1422" s="40"/>
      <c r="U1422" s="22"/>
      <c r="V1422" s="40"/>
      <c r="W1422" s="40"/>
      <c r="X1422" s="40"/>
      <c r="Y1422" s="40"/>
      <c r="Z1422" s="40"/>
      <c r="AA1422" s="40"/>
      <c r="AB1422" s="40"/>
    </row>
    <row r="1423" ht="18.75" customHeight="1">
      <c r="A1423" s="18" t="s">
        <v>1827</v>
      </c>
      <c r="B1423" s="22" t="str">
        <f>IFERROR(VLOOKUP(F1423, 'api-register-id'!B:F, 4, FALSE), "Not found path.")</f>
        <v>mx-api-bc-dom-correspondence-corp</v>
      </c>
      <c r="C1423" s="213" t="s">
        <v>41</v>
      </c>
      <c r="D1423" s="213" t="s">
        <v>119</v>
      </c>
      <c r="E1423" s="24" t="str">
        <f>IFERROR(VLOOKUP(F1423, 'api-register-id'!B:F, 5, FALSE), "Not found path.")</f>
        <v>APIMX000203</v>
      </c>
      <c r="F1423" s="1" t="s">
        <v>3576</v>
      </c>
      <c r="G1423" s="26" t="s">
        <v>7298</v>
      </c>
      <c r="H1423" s="199" t="s">
        <v>7299</v>
      </c>
      <c r="I1423" s="29" t="str">
        <f>IFERROR(VLOOKUP(F1423, 'api-register-id'!B:I, 8, FALSE), "Not found path.")</f>
        <v/>
      </c>
      <c r="J1423" s="22" t="s">
        <v>520</v>
      </c>
      <c r="K1423" s="31" t="s">
        <v>48</v>
      </c>
      <c r="L1423" s="213" t="s">
        <v>49</v>
      </c>
      <c r="M1423" s="3" t="s">
        <v>7300</v>
      </c>
      <c r="N1423" s="3" t="str">
        <f t="shared" ref="N1423:N1425" si="47">CONCATENATE(L1423," ",J1423,M1423)</f>
        <v>POST /documentManagementAndArchive/correspondence/v1/corporate/email/notify</v>
      </c>
      <c r="O1423" s="40"/>
      <c r="P1423" s="40"/>
      <c r="Q1423" s="61" t="s">
        <v>98</v>
      </c>
      <c r="R1423" s="31" t="s">
        <v>56</v>
      </c>
      <c r="S1423" s="38" t="str">
        <f t="shared" si="45"/>
        <v>https://github.com/SF-Bancoppel/mx-api-bc-dom-correspondence-corp</v>
      </c>
      <c r="T1423" s="40"/>
      <c r="U1423" s="22"/>
      <c r="V1423" s="40"/>
      <c r="W1423" s="40"/>
      <c r="X1423" s="40"/>
      <c r="Y1423" s="40"/>
      <c r="Z1423" s="40"/>
      <c r="AA1423" s="40"/>
      <c r="AB1423" s="40"/>
    </row>
    <row r="1424" ht="18.75" customHeight="1">
      <c r="A1424" s="18" t="s">
        <v>1827</v>
      </c>
      <c r="B1424" s="22" t="str">
        <f>IFERROR(VLOOKUP(F1424, 'api-register-id'!B:F, 4, FALSE), "Not found path.")</f>
        <v>mx-api-bc-pro-correspondence-corp</v>
      </c>
      <c r="C1424" s="213" t="s">
        <v>41</v>
      </c>
      <c r="D1424" s="213" t="s">
        <v>811</v>
      </c>
      <c r="E1424" s="24" t="str">
        <f>IFERROR(VLOOKUP(F1424, 'api-register-id'!B:F, 5, FALSE), "Not found path.")</f>
        <v>APIMX000204</v>
      </c>
      <c r="F1424" s="1" t="s">
        <v>3581</v>
      </c>
      <c r="G1424" s="26" t="s">
        <v>7301</v>
      </c>
      <c r="H1424" s="199" t="s">
        <v>7302</v>
      </c>
      <c r="I1424" s="29" t="str">
        <f>IFERROR(VLOOKUP(F1424, 'api-register-id'!B:I, 8, FALSE), "Not found path.")</f>
        <v/>
      </c>
      <c r="J1424" s="22" t="s">
        <v>2195</v>
      </c>
      <c r="K1424" s="31" t="s">
        <v>48</v>
      </c>
      <c r="L1424" s="213" t="s">
        <v>49</v>
      </c>
      <c r="M1424" s="3" t="s">
        <v>7300</v>
      </c>
      <c r="N1424" s="3" t="str">
        <f t="shared" si="47"/>
        <v>POST /system/documentManagementAndArchive/correspondence/v1/corporate/email/notify</v>
      </c>
      <c r="O1424" s="40"/>
      <c r="P1424" s="40"/>
      <c r="Q1424" s="61" t="s">
        <v>98</v>
      </c>
      <c r="R1424" s="31" t="s">
        <v>56</v>
      </c>
      <c r="S1424" s="38" t="str">
        <f t="shared" si="45"/>
        <v>https://github.com/SF-Bancoppel/mx-api-bc-pro-correspondence-corp</v>
      </c>
      <c r="T1424" s="40"/>
      <c r="U1424" s="22"/>
      <c r="V1424" s="40"/>
      <c r="W1424" s="40"/>
      <c r="X1424" s="40"/>
      <c r="Y1424" s="40"/>
      <c r="Z1424" s="40"/>
      <c r="AA1424" s="40"/>
      <c r="AB1424" s="40"/>
    </row>
    <row r="1425" ht="18.75" customHeight="1">
      <c r="A1425" s="18" t="s">
        <v>1827</v>
      </c>
      <c r="B1425" s="22" t="str">
        <f>IFERROR(VLOOKUP(F1425, 'api-register-id'!B:F, 4, FALSE), "Not found path.")</f>
        <v>mx-api-bc-bus-pty-auth-corp</v>
      </c>
      <c r="C1425" s="213" t="s">
        <v>41</v>
      </c>
      <c r="D1425" s="213" t="s">
        <v>42</v>
      </c>
      <c r="E1425" s="24" t="str">
        <f>IFERROR(VLOOKUP(F1425, 'api-register-id'!B:F, 5, FALSE), "Not found path.")</f>
        <v>APIMX000205</v>
      </c>
      <c r="F1425" s="25" t="s">
        <v>3591</v>
      </c>
      <c r="G1425" s="26" t="s">
        <v>7303</v>
      </c>
      <c r="H1425" s="205" t="s">
        <v>7304</v>
      </c>
      <c r="I1425" s="29" t="str">
        <f>IFERROR(VLOOKUP(F1425, 'api-register-id'!B:I, 8, FALSE), "Not found path.")</f>
        <v>1.0.0</v>
      </c>
      <c r="J1425" s="40" t="s">
        <v>1295</v>
      </c>
      <c r="K1425" s="31" t="s">
        <v>48</v>
      </c>
      <c r="L1425" s="213" t="s">
        <v>49</v>
      </c>
      <c r="M1425" s="3" t="s">
        <v>6465</v>
      </c>
      <c r="N1425" s="3" t="str">
        <f t="shared" si="47"/>
        <v>POST /crossChannel/partyAuthentication/v1/corporate/hardToken/sync</v>
      </c>
      <c r="O1425" s="196" t="s">
        <v>7305</v>
      </c>
      <c r="P1425" s="40"/>
      <c r="Q1425" s="61" t="s">
        <v>7306</v>
      </c>
      <c r="R1425" s="31" t="s">
        <v>56</v>
      </c>
      <c r="S1425" s="38" t="str">
        <f t="shared" si="45"/>
        <v>https://github.com/SF-Bancoppel/mx-api-bc-bus-pty-auth-corp</v>
      </c>
      <c r="T1425" s="40"/>
      <c r="U1425" s="22"/>
      <c r="V1425" s="40"/>
      <c r="W1425" s="40"/>
      <c r="X1425" s="40"/>
      <c r="Y1425" s="40"/>
      <c r="Z1425" s="40"/>
      <c r="AA1425" s="40"/>
      <c r="AB1425" s="40"/>
    </row>
    <row r="1426" ht="18.75" customHeight="1">
      <c r="A1426" s="268" t="s">
        <v>1827</v>
      </c>
      <c r="B1426" s="269" t="s">
        <v>3592</v>
      </c>
      <c r="C1426" s="324" t="s">
        <v>41</v>
      </c>
      <c r="D1426" s="324" t="s">
        <v>42</v>
      </c>
      <c r="E1426" s="271" t="str">
        <f>IFERROR(VLOOKUP(F1426, 'api-register-id'!B:F, 5, FALSE), "Not found path.")</f>
        <v>APIMX000205</v>
      </c>
      <c r="F1426" s="325" t="s">
        <v>3591</v>
      </c>
      <c r="G1426" s="26" t="s">
        <v>7307</v>
      </c>
      <c r="H1426" s="326" t="s">
        <v>7308</v>
      </c>
      <c r="I1426" s="275"/>
      <c r="J1426" s="240" t="s">
        <v>1295</v>
      </c>
      <c r="K1426" s="271" t="s">
        <v>48</v>
      </c>
      <c r="L1426" s="324" t="s">
        <v>49</v>
      </c>
      <c r="M1426" s="327" t="s">
        <v>6468</v>
      </c>
      <c r="N1426" s="237" t="str">
        <f t="shared" ref="N1426:N1433" si="48">CONCATENATE(L1426, " ", J1426, M1426)</f>
        <v>POST /crossChannel/partyAuthentication/v1/corporate/hardToken/otp/validate</v>
      </c>
      <c r="O1426" s="233"/>
      <c r="P1426" s="233"/>
      <c r="Q1426" s="328" t="s">
        <v>7309</v>
      </c>
      <c r="R1426" s="31" t="s">
        <v>56</v>
      </c>
      <c r="S1426" s="218" t="str">
        <f t="shared" si="45"/>
        <v>https://github.com/SF-Bancoppel/mx-api-bc-bus-pty-auth-corp</v>
      </c>
      <c r="T1426" s="40"/>
      <c r="U1426" s="22"/>
      <c r="V1426" s="40"/>
      <c r="W1426" s="40"/>
      <c r="X1426" s="40"/>
      <c r="Y1426" s="40"/>
      <c r="Z1426" s="40"/>
      <c r="AA1426" s="40"/>
      <c r="AB1426" s="40"/>
    </row>
    <row r="1427" ht="18.75" customHeight="1">
      <c r="A1427" s="18" t="s">
        <v>1827</v>
      </c>
      <c r="B1427" s="22" t="s">
        <v>3592</v>
      </c>
      <c r="C1427" s="213" t="s">
        <v>41</v>
      </c>
      <c r="D1427" s="213" t="s">
        <v>42</v>
      </c>
      <c r="E1427" s="24" t="str">
        <f>IFERROR(VLOOKUP(F1427, 'api-register-id'!B:F, 5, FALSE), "Not found path.")</f>
        <v>APIMX000205</v>
      </c>
      <c r="F1427" s="219" t="s">
        <v>3591</v>
      </c>
      <c r="G1427" s="26" t="s">
        <v>7310</v>
      </c>
      <c r="H1427" s="199" t="s">
        <v>7311</v>
      </c>
      <c r="I1427" s="29"/>
      <c r="J1427" s="192" t="s">
        <v>1295</v>
      </c>
      <c r="K1427" s="31" t="s">
        <v>48</v>
      </c>
      <c r="L1427" s="213" t="s">
        <v>49</v>
      </c>
      <c r="M1427" s="192" t="s">
        <v>6492</v>
      </c>
      <c r="N1427" s="217" t="str">
        <f t="shared" si="48"/>
        <v>POST /crossChannel/partyAuthentication/v1/corporate/user/recoveryCode/validate</v>
      </c>
      <c r="O1427" s="40"/>
      <c r="P1427" s="40"/>
      <c r="Q1427" s="36" t="s">
        <v>7312</v>
      </c>
      <c r="R1427" s="31" t="s">
        <v>56</v>
      </c>
      <c r="S1427" s="218" t="str">
        <f t="shared" si="45"/>
        <v>https://github.com/SF-Bancoppel/mx-api-bc-bus-pty-auth-corp</v>
      </c>
      <c r="T1427" s="40"/>
      <c r="U1427" s="22"/>
      <c r="V1427" s="40"/>
      <c r="W1427" s="40"/>
      <c r="X1427" s="40"/>
      <c r="Y1427" s="40"/>
      <c r="Z1427" s="40"/>
      <c r="AA1427" s="40"/>
      <c r="AB1427" s="40"/>
    </row>
    <row r="1428" ht="18.75" customHeight="1">
      <c r="A1428" s="18" t="s">
        <v>1827</v>
      </c>
      <c r="B1428" s="22" t="s">
        <v>3592</v>
      </c>
      <c r="C1428" s="213" t="s">
        <v>41</v>
      </c>
      <c r="D1428" s="213" t="s">
        <v>42</v>
      </c>
      <c r="E1428" s="24" t="str">
        <f>IFERROR(VLOOKUP(F1428, 'api-register-id'!B:F, 5, FALSE), "Not found path.")</f>
        <v>APIMX000205</v>
      </c>
      <c r="F1428" s="219" t="s">
        <v>3591</v>
      </c>
      <c r="G1428" s="26" t="s">
        <v>7313</v>
      </c>
      <c r="H1428" s="199" t="s">
        <v>7314</v>
      </c>
      <c r="I1428" s="29"/>
      <c r="J1428" s="192" t="s">
        <v>1295</v>
      </c>
      <c r="K1428" s="31" t="s">
        <v>48</v>
      </c>
      <c r="L1428" s="213" t="s">
        <v>49</v>
      </c>
      <c r="M1428" s="216" t="s">
        <v>7315</v>
      </c>
      <c r="N1428" s="217" t="str">
        <f t="shared" si="48"/>
        <v>POST /crossChannel/partyAuthentication/v1/corporate/recoveryCode/execute</v>
      </c>
      <c r="O1428" s="40"/>
      <c r="P1428" s="40"/>
      <c r="Q1428" s="36" t="s">
        <v>7316</v>
      </c>
      <c r="R1428" s="31" t="s">
        <v>56</v>
      </c>
      <c r="S1428" s="218" t="str">
        <f t="shared" si="45"/>
        <v>https://github.com/SF-Bancoppel/mx-api-bc-bus-pty-auth-corp</v>
      </c>
      <c r="T1428" s="40"/>
      <c r="U1428" s="22"/>
      <c r="V1428" s="40"/>
      <c r="W1428" s="40"/>
      <c r="X1428" s="40"/>
      <c r="Y1428" s="40"/>
      <c r="Z1428" s="40"/>
      <c r="AA1428" s="40"/>
      <c r="AB1428" s="40"/>
    </row>
    <row r="1429" ht="18.75" customHeight="1">
      <c r="A1429" s="18" t="s">
        <v>1827</v>
      </c>
      <c r="B1429" s="22" t="s">
        <v>3599</v>
      </c>
      <c r="C1429" s="213" t="s">
        <v>41</v>
      </c>
      <c r="D1429" s="213" t="s">
        <v>42</v>
      </c>
      <c r="E1429" s="24" t="str">
        <f>IFERROR(VLOOKUP(F1429, 'api-register-id'!B:F, 5, FALSE), "Not found path.")</f>
        <v>APIMX000206</v>
      </c>
      <c r="F1429" s="219" t="s">
        <v>3597</v>
      </c>
      <c r="G1429" s="26" t="s">
        <v>7317</v>
      </c>
      <c r="H1429" s="199" t="s">
        <v>7318</v>
      </c>
      <c r="I1429" s="29"/>
      <c r="J1429" s="193" t="s">
        <v>6081</v>
      </c>
      <c r="K1429" s="31" t="s">
        <v>48</v>
      </c>
      <c r="L1429" s="213" t="s">
        <v>49</v>
      </c>
      <c r="M1429" s="216" t="s">
        <v>7319</v>
      </c>
      <c r="N1429" s="217" t="str">
        <f t="shared" si="48"/>
        <v>POST /operationalServices/v1/corporate/statusHardToken/editStatus</v>
      </c>
      <c r="O1429" s="40"/>
      <c r="P1429" s="40"/>
      <c r="Q1429" s="36" t="s">
        <v>7320</v>
      </c>
      <c r="R1429" s="31" t="s">
        <v>56</v>
      </c>
      <c r="S1429" s="218" t="str">
        <f t="shared" si="45"/>
        <v>https://github.com/SF-Bancoppel/mx-api-bc-bus-iss-dev-admin-corp</v>
      </c>
      <c r="T1429" s="40"/>
      <c r="U1429" s="22"/>
      <c r="V1429" s="40"/>
      <c r="W1429" s="40"/>
      <c r="X1429" s="40"/>
      <c r="Y1429" s="40"/>
      <c r="Z1429" s="40"/>
      <c r="AA1429" s="40"/>
      <c r="AB1429" s="40"/>
    </row>
    <row r="1430" ht="18.75" customHeight="1">
      <c r="A1430" s="18" t="s">
        <v>1827</v>
      </c>
      <c r="B1430" s="22" t="s">
        <v>3610</v>
      </c>
      <c r="C1430" s="213" t="s">
        <v>41</v>
      </c>
      <c r="D1430" s="213" t="s">
        <v>119</v>
      </c>
      <c r="E1430" s="24" t="str">
        <f>IFERROR(VLOOKUP(F1430, 'api-register-id'!B:F, 5, FALSE), "Not found path.")</f>
        <v>APIMX000207</v>
      </c>
      <c r="F1430" s="219" t="s">
        <v>3607</v>
      </c>
      <c r="G1430" s="26" t="s">
        <v>7321</v>
      </c>
      <c r="H1430" s="199" t="s">
        <v>7322</v>
      </c>
      <c r="I1430" s="29"/>
      <c r="J1430" s="192" t="s">
        <v>5199</v>
      </c>
      <c r="K1430" s="31" t="s">
        <v>48</v>
      </c>
      <c r="L1430" s="213" t="s">
        <v>49</v>
      </c>
      <c r="M1430" s="192" t="s">
        <v>7323</v>
      </c>
      <c r="N1430" s="217" t="str">
        <f t="shared" si="48"/>
        <v>POST /customerManagement/customerRelationshipManagement/v1/corporate/enrollmentPhase/update</v>
      </c>
      <c r="O1430" s="40"/>
      <c r="P1430" s="40"/>
      <c r="Q1430" s="36" t="s">
        <v>7324</v>
      </c>
      <c r="R1430" s="31" t="s">
        <v>56</v>
      </c>
      <c r="S1430" s="218" t="str">
        <f t="shared" si="45"/>
        <v>https://github.com/SF-Bancoppel/mx-api-bc-dom-cust-rel-mgmt-corp</v>
      </c>
      <c r="T1430" s="40"/>
      <c r="U1430" s="22"/>
      <c r="V1430" s="40"/>
      <c r="W1430" s="40"/>
      <c r="X1430" s="40"/>
      <c r="Y1430" s="40"/>
      <c r="Z1430" s="40"/>
      <c r="AA1430" s="40"/>
      <c r="AB1430" s="40"/>
    </row>
    <row r="1431" ht="18.75" customHeight="1">
      <c r="A1431" s="18" t="s">
        <v>1827</v>
      </c>
      <c r="B1431" s="22" t="s">
        <v>3622</v>
      </c>
      <c r="C1431" s="213" t="s">
        <v>41</v>
      </c>
      <c r="D1431" s="213" t="s">
        <v>811</v>
      </c>
      <c r="E1431" s="24" t="str">
        <f>IFERROR(VLOOKUP(F1431, 'api-register-id'!B:F, 5, FALSE), "Not found path.")</f>
        <v>APIMX000208</v>
      </c>
      <c r="F1431" s="219" t="s">
        <v>3618</v>
      </c>
      <c r="G1431" s="26" t="s">
        <v>7325</v>
      </c>
      <c r="H1431" s="199" t="s">
        <v>7326</v>
      </c>
      <c r="I1431" s="29"/>
      <c r="J1431" s="193" t="s">
        <v>5239</v>
      </c>
      <c r="K1431" s="31" t="s">
        <v>48</v>
      </c>
      <c r="L1431" s="213" t="s">
        <v>49</v>
      </c>
      <c r="M1431" s="192" t="s">
        <v>7323</v>
      </c>
      <c r="N1431" s="217" t="str">
        <f t="shared" si="48"/>
        <v>POST /system/customerManagement/customerRelationshipManagement/v1/corporate/enrollmentPhase/update</v>
      </c>
      <c r="O1431" s="40"/>
      <c r="P1431" s="40"/>
      <c r="Q1431" s="36" t="s">
        <v>7327</v>
      </c>
      <c r="R1431" s="31" t="s">
        <v>56</v>
      </c>
      <c r="S1431" s="218" t="str">
        <f t="shared" si="45"/>
        <v>https://github.com/SF-Bancoppel/mx-api-bc-pro-cust-rel-mgmt-corp</v>
      </c>
      <c r="T1431" s="40"/>
      <c r="U1431" s="22"/>
      <c r="V1431" s="40"/>
      <c r="W1431" s="40"/>
      <c r="X1431" s="40"/>
      <c r="Y1431" s="40"/>
      <c r="Z1431" s="40"/>
      <c r="AA1431" s="40"/>
      <c r="AB1431" s="40"/>
    </row>
    <row r="1432" ht="18.75" customHeight="1">
      <c r="A1432" s="18" t="s">
        <v>1827</v>
      </c>
      <c r="B1432" s="22" t="s">
        <v>3736</v>
      </c>
      <c r="C1432" s="213" t="s">
        <v>41</v>
      </c>
      <c r="D1432" s="213" t="s">
        <v>42</v>
      </c>
      <c r="E1432" s="24" t="str">
        <f>IFERROR(VLOOKUP(F1432, 'api-register-id'!B:F, 5, FALSE), "Not found path.")</f>
        <v>APIMX000215</v>
      </c>
      <c r="F1432" s="219" t="s">
        <v>7328</v>
      </c>
      <c r="G1432" s="26" t="s">
        <v>7329</v>
      </c>
      <c r="H1432" s="199" t="s">
        <v>7330</v>
      </c>
      <c r="I1432" s="29"/>
      <c r="J1432" s="192" t="s">
        <v>7331</v>
      </c>
      <c r="K1432" s="31" t="s">
        <v>48</v>
      </c>
      <c r="L1432" s="213" t="s">
        <v>49</v>
      </c>
      <c r="M1432" s="192" t="s">
        <v>6338</v>
      </c>
      <c r="N1432" s="217" t="str">
        <f t="shared" si="48"/>
        <v>POST /documentManagementAndArchive/archiveServices/v1/corporate/file/delete</v>
      </c>
      <c r="O1432" s="40"/>
      <c r="P1432" s="40"/>
      <c r="Q1432" s="36" t="s">
        <v>7332</v>
      </c>
      <c r="R1432" s="31" t="s">
        <v>56</v>
      </c>
      <c r="S1432" s="218" t="str">
        <f t="shared" si="45"/>
        <v>https://github.com/SF-Bancoppel/mx-api-bc-bus-archive-svcs-corp</v>
      </c>
      <c r="T1432" s="40"/>
      <c r="U1432" s="22"/>
      <c r="V1432" s="40"/>
      <c r="W1432" s="40"/>
      <c r="X1432" s="40"/>
      <c r="Y1432" s="40"/>
      <c r="Z1432" s="40"/>
      <c r="AA1432" s="40"/>
      <c r="AB1432" s="40"/>
    </row>
    <row r="1433" ht="18.75" customHeight="1">
      <c r="A1433" s="18" t="s">
        <v>1827</v>
      </c>
      <c r="B1433" s="22" t="s">
        <v>3761</v>
      </c>
      <c r="C1433" s="213" t="s">
        <v>41</v>
      </c>
      <c r="D1433" s="213" t="s">
        <v>42</v>
      </c>
      <c r="E1433" s="24" t="str">
        <f>IFERROR(VLOOKUP(F1433, 'api-register-id'!B:F, 5, FALSE), "Not found path.")</f>
        <v>APIMX000217</v>
      </c>
      <c r="F1433" s="215" t="s">
        <v>3759</v>
      </c>
      <c r="G1433" s="26" t="s">
        <v>7333</v>
      </c>
      <c r="H1433" s="199" t="s">
        <v>7334</v>
      </c>
      <c r="I1433" s="29"/>
      <c r="J1433" s="216" t="s">
        <v>7335</v>
      </c>
      <c r="K1433" s="31" t="s">
        <v>48</v>
      </c>
      <c r="L1433" s="213" t="s">
        <v>49</v>
      </c>
      <c r="M1433" s="192" t="s">
        <v>7336</v>
      </c>
      <c r="N1433" s="217" t="str">
        <f t="shared" si="48"/>
        <v>POST /crossChanel/transactionAuthorization/v1/corporate/transfer/file/sign</v>
      </c>
      <c r="O1433" s="40"/>
      <c r="P1433" s="40"/>
      <c r="Q1433" s="36" t="s">
        <v>7337</v>
      </c>
      <c r="R1433" s="31" t="s">
        <v>56</v>
      </c>
      <c r="S1433" s="218" t="str">
        <f t="shared" si="45"/>
        <v>https://github.com/SF-Bancoppel/mx-api-bc-bus-trans-auth-corp</v>
      </c>
      <c r="T1433" s="40"/>
      <c r="U1433" s="22"/>
      <c r="V1433" s="40"/>
      <c r="W1433" s="40"/>
      <c r="X1433" s="40"/>
      <c r="Y1433" s="40"/>
      <c r="Z1433" s="40"/>
      <c r="AA1433" s="40"/>
      <c r="AB1433" s="40"/>
    </row>
    <row r="1434" ht="18.75" customHeight="1">
      <c r="A1434" s="256"/>
      <c r="B1434" s="257"/>
      <c r="C1434" s="285"/>
      <c r="D1434" s="285"/>
      <c r="E1434" s="259"/>
      <c r="F1434" s="329"/>
      <c r="G1434" s="261"/>
      <c r="H1434" s="330"/>
      <c r="I1434" s="263"/>
      <c r="J1434" s="331"/>
      <c r="K1434" s="259"/>
      <c r="L1434" s="285"/>
      <c r="M1434" s="332"/>
      <c r="N1434" s="333"/>
      <c r="O1434" s="249"/>
      <c r="P1434" s="249"/>
      <c r="Q1434" s="265"/>
      <c r="R1434" s="259"/>
      <c r="S1434" s="334"/>
      <c r="T1434" s="249"/>
      <c r="U1434" s="257"/>
      <c r="V1434" s="249"/>
      <c r="W1434" s="249"/>
      <c r="X1434" s="249"/>
      <c r="Y1434" s="249"/>
      <c r="Z1434" s="249"/>
      <c r="AA1434" s="249"/>
      <c r="AB1434" s="249"/>
    </row>
    <row r="1435" ht="18.75" customHeight="1">
      <c r="A1435" s="18" t="s">
        <v>1827</v>
      </c>
      <c r="B1435" s="22" t="s">
        <v>3697</v>
      </c>
      <c r="C1435" s="213" t="s">
        <v>41</v>
      </c>
      <c r="D1435" s="213" t="s">
        <v>119</v>
      </c>
      <c r="E1435" s="24" t="str">
        <f>IFERROR(VLOOKUP(F1435, 'api-register-id'!B:F, 5, FALSE), "Not found path.")</f>
        <v>APIMX000212</v>
      </c>
      <c r="F1435" s="215" t="s">
        <v>3694</v>
      </c>
      <c r="G1435" s="26" t="s">
        <v>7338</v>
      </c>
      <c r="H1435" s="199" t="s">
        <v>7339</v>
      </c>
      <c r="I1435" s="29"/>
      <c r="J1435" s="194" t="s">
        <v>7340</v>
      </c>
      <c r="K1435" s="31" t="s">
        <v>48</v>
      </c>
      <c r="L1435" s="213" t="s">
        <v>49</v>
      </c>
      <c r="M1435" s="192" t="s">
        <v>7341</v>
      </c>
      <c r="N1435" s="217" t="str">
        <f t="shared" ref="N1435:N1450" si="49">CONCATENATE(L1435, " ", J1435, M1435)</f>
        <v>POST /businessSupport/documentManagementAndArchive/v1/corporate/products/statement/status/retrieve</v>
      </c>
      <c r="O1435" s="40"/>
      <c r="P1435" s="40"/>
      <c r="Q1435" s="49" t="s">
        <v>7342</v>
      </c>
      <c r="R1435" s="31" t="s">
        <v>56</v>
      </c>
      <c r="S1435" s="218" t="str">
        <f t="shared" ref="S1435:S1450" si="50">"https://github.com/SF-Bancoppel/"&amp;B1435</f>
        <v>https://github.com/SF-Bancoppel/mx-api-bc-dom-doc-mgmt-arch-corp</v>
      </c>
      <c r="T1435" s="40"/>
      <c r="U1435" s="22"/>
      <c r="V1435" s="40"/>
      <c r="W1435" s="40"/>
      <c r="X1435" s="40"/>
      <c r="Y1435" s="40"/>
      <c r="Z1435" s="40"/>
      <c r="AA1435" s="40"/>
      <c r="AB1435" s="40"/>
    </row>
    <row r="1436" ht="18.75" customHeight="1">
      <c r="A1436" s="18" t="s">
        <v>1827</v>
      </c>
      <c r="B1436" s="22" t="s">
        <v>3063</v>
      </c>
      <c r="C1436" s="213" t="s">
        <v>41</v>
      </c>
      <c r="D1436" s="213" t="s">
        <v>119</v>
      </c>
      <c r="E1436" s="24" t="str">
        <f>IFERROR(VLOOKUP(F1436, 'api-register-id'!B:F, 5, FALSE), "Not found path.")</f>
        <v>APIMX000192</v>
      </c>
      <c r="F1436" s="215" t="s">
        <v>3057</v>
      </c>
      <c r="G1436" s="26" t="s">
        <v>7343</v>
      </c>
      <c r="H1436" s="199" t="s">
        <v>7344</v>
      </c>
      <c r="I1436" s="29"/>
      <c r="J1436" s="216" t="s">
        <v>1028</v>
      </c>
      <c r="K1436" s="31" t="s">
        <v>48</v>
      </c>
      <c r="L1436" s="213" t="s">
        <v>49</v>
      </c>
      <c r="M1436" s="216" t="s">
        <v>7345</v>
      </c>
      <c r="N1436" s="217" t="str">
        <f t="shared" si="49"/>
        <v>POST /documentManagementAndArchive/documentServices/v1/corporate/products/statement/retrieve</v>
      </c>
      <c r="O1436" s="40"/>
      <c r="P1436" s="40"/>
      <c r="Q1436" s="36" t="s">
        <v>7346</v>
      </c>
      <c r="R1436" s="31" t="s">
        <v>56</v>
      </c>
      <c r="S1436" s="218" t="str">
        <f t="shared" si="50"/>
        <v>https://github.com/SF-Bancoppel/mx-api-bc-dom-document-services-corp</v>
      </c>
      <c r="T1436" s="40"/>
      <c r="U1436" s="22"/>
      <c r="V1436" s="40"/>
      <c r="W1436" s="40"/>
      <c r="X1436" s="40"/>
      <c r="Y1436" s="40"/>
      <c r="Z1436" s="40"/>
      <c r="AA1436" s="40"/>
      <c r="AB1436" s="40"/>
    </row>
    <row r="1437" ht="18.75" customHeight="1">
      <c r="A1437" s="18" t="s">
        <v>1827</v>
      </c>
      <c r="B1437" s="22" t="s">
        <v>2650</v>
      </c>
      <c r="C1437" s="213" t="s">
        <v>41</v>
      </c>
      <c r="D1437" s="213" t="s">
        <v>119</v>
      </c>
      <c r="E1437" s="24" t="str">
        <f>IFERROR(VLOOKUP(F1437, 'api-register-id'!B:F, 5, FALSE), "Not found path.")</f>
        <v>APIMX000176</v>
      </c>
      <c r="F1437" s="219" t="s">
        <v>2649</v>
      </c>
      <c r="G1437" s="26" t="s">
        <v>7347</v>
      </c>
      <c r="H1437" s="199" t="s">
        <v>7348</v>
      </c>
      <c r="I1437" s="29"/>
      <c r="J1437" s="192" t="s">
        <v>6568</v>
      </c>
      <c r="K1437" s="31" t="s">
        <v>48</v>
      </c>
      <c r="L1437" s="213" t="s">
        <v>49</v>
      </c>
      <c r="M1437" s="232" t="s">
        <v>7349</v>
      </c>
      <c r="N1437" s="217" t="str">
        <f t="shared" si="49"/>
        <v>POST /crossChanel/partyAuthentication/v1/corporate/password/record</v>
      </c>
      <c r="O1437" s="40"/>
      <c r="P1437" s="40"/>
      <c r="Q1437" s="36" t="s">
        <v>7350</v>
      </c>
      <c r="R1437" s="31" t="s">
        <v>56</v>
      </c>
      <c r="S1437" s="218" t="str">
        <f t="shared" si="50"/>
        <v>https://github.com/SF-Bancoppel/mx-api-bc-dom-pty-auth-corp</v>
      </c>
      <c r="T1437" s="40"/>
      <c r="U1437" s="22"/>
      <c r="V1437" s="40"/>
      <c r="W1437" s="40"/>
      <c r="X1437" s="40"/>
      <c r="Y1437" s="40"/>
      <c r="Z1437" s="40"/>
      <c r="AA1437" s="40"/>
      <c r="AB1437" s="40"/>
    </row>
    <row r="1438" ht="18.75" customHeight="1">
      <c r="A1438" s="18" t="s">
        <v>1827</v>
      </c>
      <c r="B1438" s="22" t="s">
        <v>2650</v>
      </c>
      <c r="C1438" s="213" t="s">
        <v>41</v>
      </c>
      <c r="D1438" s="213" t="s">
        <v>119</v>
      </c>
      <c r="E1438" s="24" t="str">
        <f>IFERROR(VLOOKUP(F1438, 'api-register-id'!B:F, 5, FALSE), "Not found path.")</f>
        <v>APIMX000176</v>
      </c>
      <c r="F1438" s="219" t="s">
        <v>2649</v>
      </c>
      <c r="G1438" s="26" t="s">
        <v>7351</v>
      </c>
      <c r="H1438" s="199" t="s">
        <v>7352</v>
      </c>
      <c r="I1438" s="29"/>
      <c r="J1438" s="192" t="s">
        <v>6568</v>
      </c>
      <c r="K1438" s="31" t="s">
        <v>48</v>
      </c>
      <c r="L1438" s="213" t="s">
        <v>49</v>
      </c>
      <c r="M1438" s="232" t="s">
        <v>7353</v>
      </c>
      <c r="N1438" s="217" t="str">
        <f t="shared" si="49"/>
        <v>POST /crossChanel/partyAuthentication/v1/corporate/user/recoveryCode/generateOTP/execute</v>
      </c>
      <c r="O1438" s="40"/>
      <c r="P1438" s="40"/>
      <c r="Q1438" s="36" t="s">
        <v>7354</v>
      </c>
      <c r="R1438" s="31" t="s">
        <v>56</v>
      </c>
      <c r="S1438" s="218" t="str">
        <f t="shared" si="50"/>
        <v>https://github.com/SF-Bancoppel/mx-api-bc-dom-pty-auth-corp</v>
      </c>
      <c r="T1438" s="40"/>
      <c r="U1438" s="22"/>
      <c r="V1438" s="40"/>
      <c r="W1438" s="40"/>
      <c r="X1438" s="40"/>
      <c r="Y1438" s="40"/>
      <c r="Z1438" s="40"/>
      <c r="AA1438" s="40"/>
      <c r="AB1438" s="40"/>
    </row>
    <row r="1439" ht="18.75" customHeight="1">
      <c r="A1439" s="18" t="s">
        <v>1827</v>
      </c>
      <c r="B1439" s="22" t="s">
        <v>3063</v>
      </c>
      <c r="C1439" s="213" t="s">
        <v>41</v>
      </c>
      <c r="D1439" s="213" t="s">
        <v>119</v>
      </c>
      <c r="E1439" s="24" t="str">
        <f>IFERROR(VLOOKUP(F1439, 'api-register-id'!B:F, 5, FALSE), "Not found path.")</f>
        <v>APIMX000192</v>
      </c>
      <c r="F1439" s="215" t="s">
        <v>3057</v>
      </c>
      <c r="G1439" s="26" t="s">
        <v>7355</v>
      </c>
      <c r="H1439" s="199" t="s">
        <v>7356</v>
      </c>
      <c r="I1439" s="29"/>
      <c r="J1439" s="216" t="s">
        <v>1028</v>
      </c>
      <c r="K1439" s="31" t="s">
        <v>48</v>
      </c>
      <c r="L1439" s="213" t="s">
        <v>49</v>
      </c>
      <c r="M1439" s="216" t="s">
        <v>7357</v>
      </c>
      <c r="N1439" s="217" t="str">
        <f t="shared" si="49"/>
        <v>POST /documentManagementAndArchive/documentServices/v1/corporate/products/statement/createFile</v>
      </c>
      <c r="O1439" s="40"/>
      <c r="P1439" s="40"/>
      <c r="Q1439" s="36" t="s">
        <v>7358</v>
      </c>
      <c r="R1439" s="31" t="s">
        <v>56</v>
      </c>
      <c r="S1439" s="218" t="str">
        <f t="shared" si="50"/>
        <v>https://github.com/SF-Bancoppel/mx-api-bc-dom-document-services-corp</v>
      </c>
      <c r="T1439" s="40"/>
      <c r="U1439" s="22"/>
      <c r="V1439" s="40"/>
      <c r="W1439" s="40"/>
      <c r="X1439" s="40"/>
      <c r="Y1439" s="40"/>
      <c r="Z1439" s="40"/>
      <c r="AA1439" s="40"/>
      <c r="AB1439" s="40"/>
    </row>
    <row r="1440" ht="18.75" customHeight="1">
      <c r="A1440" s="18" t="s">
        <v>1827</v>
      </c>
      <c r="B1440" s="22" t="s">
        <v>2650</v>
      </c>
      <c r="C1440" s="213" t="s">
        <v>41</v>
      </c>
      <c r="D1440" s="213" t="s">
        <v>119</v>
      </c>
      <c r="E1440" s="24" t="str">
        <f>IFERROR(VLOOKUP(F1440, 'api-register-id'!B:F, 5, FALSE), "Not found path.")</f>
        <v>APIMX000176</v>
      </c>
      <c r="F1440" s="219" t="s">
        <v>2649</v>
      </c>
      <c r="G1440" s="26" t="s">
        <v>7359</v>
      </c>
      <c r="H1440" s="199" t="s">
        <v>7360</v>
      </c>
      <c r="I1440" s="29"/>
      <c r="J1440" s="192" t="s">
        <v>6568</v>
      </c>
      <c r="K1440" s="31" t="s">
        <v>48</v>
      </c>
      <c r="L1440" s="213" t="s">
        <v>49</v>
      </c>
      <c r="M1440" s="232" t="s">
        <v>7361</v>
      </c>
      <c r="N1440" s="217" t="str">
        <f t="shared" si="49"/>
        <v>POST /crossChanel/partyAuthenticationv1/corporeate/user/recoveryCode/validate/status/otp/check</v>
      </c>
      <c r="O1440" s="40"/>
      <c r="P1440" s="40"/>
      <c r="Q1440" s="36" t="s">
        <v>7362</v>
      </c>
      <c r="R1440" s="31" t="s">
        <v>56</v>
      </c>
      <c r="S1440" s="218" t="str">
        <f t="shared" si="50"/>
        <v>https://github.com/SF-Bancoppel/mx-api-bc-dom-pty-auth-corp</v>
      </c>
      <c r="T1440" s="40"/>
      <c r="U1440" s="22"/>
      <c r="V1440" s="40"/>
      <c r="W1440" s="40"/>
      <c r="X1440" s="40"/>
      <c r="Y1440" s="40"/>
      <c r="Z1440" s="40"/>
      <c r="AA1440" s="40"/>
      <c r="AB1440" s="40"/>
    </row>
    <row r="1441" ht="18.75" customHeight="1">
      <c r="A1441" s="18" t="s">
        <v>1827</v>
      </c>
      <c r="B1441" s="22" t="s">
        <v>2666</v>
      </c>
      <c r="C1441" s="213" t="s">
        <v>41</v>
      </c>
      <c r="D1441" s="213" t="s">
        <v>811</v>
      </c>
      <c r="E1441" s="24" t="str">
        <f>IFERROR(VLOOKUP(F1441, 'api-register-id'!B:F, 5, FALSE), "Not found path.")</f>
        <v>APIMX000178</v>
      </c>
      <c r="F1441" s="215" t="s">
        <v>7363</v>
      </c>
      <c r="G1441" s="26" t="s">
        <v>7364</v>
      </c>
      <c r="H1441" s="199" t="s">
        <v>7365</v>
      </c>
      <c r="I1441" s="29"/>
      <c r="J1441" s="216" t="s">
        <v>3395</v>
      </c>
      <c r="K1441" s="31" t="s">
        <v>48</v>
      </c>
      <c r="L1441" s="213" t="s">
        <v>49</v>
      </c>
      <c r="M1441" s="216" t="s">
        <v>6454</v>
      </c>
      <c r="N1441" s="217" t="str">
        <f t="shared" si="49"/>
        <v>POST /system/customerManagement/partyReferenceDataDirectory/v1/corporate/partyContactData/validate</v>
      </c>
      <c r="O1441" s="40"/>
      <c r="P1441" s="40"/>
      <c r="Q1441" s="36" t="s">
        <v>7366</v>
      </c>
      <c r="R1441" s="31" t="s">
        <v>56</v>
      </c>
      <c r="S1441" s="218" t="str">
        <f t="shared" si="50"/>
        <v>https://github.com/SF-Bancoppel/mx-api-bc-pro-party-ref-dat-dir-corp</v>
      </c>
      <c r="T1441" s="40"/>
      <c r="U1441" s="22"/>
      <c r="V1441" s="40"/>
      <c r="W1441" s="40"/>
      <c r="X1441" s="40"/>
      <c r="Y1441" s="40"/>
      <c r="Z1441" s="40"/>
      <c r="AA1441" s="40"/>
      <c r="AB1441" s="40"/>
    </row>
    <row r="1442" ht="18.75" customHeight="1">
      <c r="A1442" s="18" t="s">
        <v>1827</v>
      </c>
      <c r="B1442" s="22" t="s">
        <v>2681</v>
      </c>
      <c r="C1442" s="213" t="s">
        <v>41</v>
      </c>
      <c r="D1442" s="213" t="s">
        <v>811</v>
      </c>
      <c r="E1442" s="24" t="str">
        <f>IFERROR(VLOOKUP(F1442, 'api-register-id'!B:F, 5, FALSE), "Not found path.")</f>
        <v>APIMX000180</v>
      </c>
      <c r="F1442" s="219" t="s">
        <v>2678</v>
      </c>
      <c r="G1442" s="26" t="s">
        <v>7367</v>
      </c>
      <c r="H1442" s="199" t="s">
        <v>7368</v>
      </c>
      <c r="I1442" s="29"/>
      <c r="J1442" s="216" t="s">
        <v>3179</v>
      </c>
      <c r="K1442" s="31" t="s">
        <v>48</v>
      </c>
      <c r="L1442" s="213" t="s">
        <v>49</v>
      </c>
      <c r="M1442" s="216" t="s">
        <v>6581</v>
      </c>
      <c r="N1442" s="217" t="str">
        <f t="shared" si="49"/>
        <v>POST /system/crossChannel/partyAuthenticationv1/corporeate/user/recoveryCode/validate/status/otp/update</v>
      </c>
      <c r="O1442" s="40"/>
      <c r="P1442" s="40"/>
      <c r="Q1442" s="36" t="s">
        <v>7369</v>
      </c>
      <c r="R1442" s="31" t="s">
        <v>56</v>
      </c>
      <c r="S1442" s="218" t="str">
        <f t="shared" si="50"/>
        <v>https://github.com/SF-Bancoppel/mx-api-bc-pro-pty-auth-corp</v>
      </c>
      <c r="T1442" s="40"/>
      <c r="U1442" s="22"/>
      <c r="V1442" s="40"/>
      <c r="W1442" s="40"/>
      <c r="X1442" s="40"/>
      <c r="Y1442" s="40"/>
      <c r="Z1442" s="40"/>
      <c r="AA1442" s="40"/>
      <c r="AB1442" s="40"/>
    </row>
    <row r="1443" ht="18.75" customHeight="1">
      <c r="A1443" s="18" t="s">
        <v>1827</v>
      </c>
      <c r="B1443" s="22" t="s">
        <v>3709</v>
      </c>
      <c r="C1443" s="213" t="s">
        <v>41</v>
      </c>
      <c r="D1443" s="213" t="s">
        <v>811</v>
      </c>
      <c r="E1443" s="24" t="str">
        <f>IFERROR(VLOOKUP(F1443, 'api-register-id'!B:F, 5, FALSE), "Not found path.")</f>
        <v>APIMX000213</v>
      </c>
      <c r="F1443" s="219" t="s">
        <v>3707</v>
      </c>
      <c r="G1443" s="26" t="s">
        <v>7370</v>
      </c>
      <c r="H1443" s="199" t="s">
        <v>7371</v>
      </c>
      <c r="I1443" s="29"/>
      <c r="J1443" s="194" t="s">
        <v>7372</v>
      </c>
      <c r="K1443" s="31" t="s">
        <v>48</v>
      </c>
      <c r="L1443" s="213" t="s">
        <v>49</v>
      </c>
      <c r="M1443" s="192" t="s">
        <v>7341</v>
      </c>
      <c r="N1443" s="217" t="str">
        <f t="shared" si="49"/>
        <v>POST /system/businessSupport/documentManagementAndArchive/v1/corporate/products/statement/status/retrieve</v>
      </c>
      <c r="O1443" s="40"/>
      <c r="P1443" s="40"/>
      <c r="Q1443" s="36" t="s">
        <v>7373</v>
      </c>
      <c r="R1443" s="31" t="s">
        <v>56</v>
      </c>
      <c r="S1443" s="218" t="str">
        <f t="shared" si="50"/>
        <v>https://github.com/SF-Bancoppel/mx-api-bc-pro-doc-mgmt-arch-corp</v>
      </c>
      <c r="T1443" s="40"/>
      <c r="U1443" s="22"/>
      <c r="V1443" s="40"/>
      <c r="W1443" s="40"/>
      <c r="X1443" s="40"/>
      <c r="Y1443" s="40"/>
      <c r="Z1443" s="40"/>
      <c r="AA1443" s="40"/>
      <c r="AB1443" s="40"/>
    </row>
    <row r="1444" ht="18.75" customHeight="1">
      <c r="A1444" s="18" t="s">
        <v>1827</v>
      </c>
      <c r="B1444" s="22" t="s">
        <v>3198</v>
      </c>
      <c r="C1444" s="213" t="s">
        <v>41</v>
      </c>
      <c r="D1444" s="213" t="s">
        <v>811</v>
      </c>
      <c r="E1444" s="24" t="str">
        <f>IFERROR(VLOOKUP(F1444, 'api-register-id'!B:F, 5, FALSE), "Not found path.")</f>
        <v>APIMX000194</v>
      </c>
      <c r="F1444" s="215" t="s">
        <v>3187</v>
      </c>
      <c r="G1444" s="26" t="s">
        <v>7374</v>
      </c>
      <c r="H1444" s="199" t="s">
        <v>7375</v>
      </c>
      <c r="I1444" s="29"/>
      <c r="J1444" s="216" t="s">
        <v>2950</v>
      </c>
      <c r="K1444" s="31" t="s">
        <v>48</v>
      </c>
      <c r="L1444" s="213" t="s">
        <v>49</v>
      </c>
      <c r="M1444" s="216" t="s">
        <v>7345</v>
      </c>
      <c r="N1444" s="217" t="str">
        <f t="shared" si="49"/>
        <v>POST /system/documentManagementAndArchive/documentServices/v1/corporate/products/statement/retrieve</v>
      </c>
      <c r="O1444" s="40"/>
      <c r="P1444" s="40"/>
      <c r="Q1444" s="36" t="s">
        <v>7376</v>
      </c>
      <c r="R1444" s="31" t="s">
        <v>56</v>
      </c>
      <c r="S1444" s="218" t="str">
        <f t="shared" si="50"/>
        <v>https://github.com/SF-Bancoppel/mx-api-bc-pro-document-services-corp</v>
      </c>
      <c r="T1444" s="40"/>
      <c r="U1444" s="22"/>
      <c r="V1444" s="40"/>
      <c r="W1444" s="40"/>
      <c r="X1444" s="40"/>
      <c r="Y1444" s="40"/>
      <c r="Z1444" s="40"/>
      <c r="AA1444" s="40"/>
      <c r="AB1444" s="40"/>
    </row>
    <row r="1445" ht="18.75" customHeight="1">
      <c r="A1445" s="18" t="s">
        <v>1827</v>
      </c>
      <c r="B1445" s="22" t="s">
        <v>2681</v>
      </c>
      <c r="C1445" s="213" t="s">
        <v>41</v>
      </c>
      <c r="D1445" s="213" t="s">
        <v>811</v>
      </c>
      <c r="E1445" s="24" t="str">
        <f>IFERROR(VLOOKUP(F1445, 'api-register-id'!B:F, 5, FALSE), "Not found path.")</f>
        <v>APIMX000180</v>
      </c>
      <c r="F1445" s="219" t="s">
        <v>2678</v>
      </c>
      <c r="G1445" s="26" t="s">
        <v>7377</v>
      </c>
      <c r="H1445" s="199" t="s">
        <v>7378</v>
      </c>
      <c r="I1445" s="29"/>
      <c r="J1445" s="192" t="s">
        <v>6693</v>
      </c>
      <c r="K1445" s="31" t="s">
        <v>48</v>
      </c>
      <c r="L1445" s="213" t="s">
        <v>49</v>
      </c>
      <c r="M1445" s="232" t="s">
        <v>7349</v>
      </c>
      <c r="N1445" s="217" t="str">
        <f t="shared" si="49"/>
        <v>POST /system/crossChanel/partyAuthentication/v1/corporate/password/record</v>
      </c>
      <c r="O1445" s="40"/>
      <c r="P1445" s="40"/>
      <c r="Q1445" s="36" t="s">
        <v>7379</v>
      </c>
      <c r="R1445" s="31" t="s">
        <v>56</v>
      </c>
      <c r="S1445" s="218" t="str">
        <f t="shared" si="50"/>
        <v>https://github.com/SF-Bancoppel/mx-api-bc-pro-pty-auth-corp</v>
      </c>
      <c r="T1445" s="40"/>
      <c r="U1445" s="22"/>
      <c r="V1445" s="40"/>
      <c r="W1445" s="40"/>
      <c r="X1445" s="40"/>
      <c r="Y1445" s="40"/>
      <c r="Z1445" s="40"/>
      <c r="AA1445" s="40"/>
      <c r="AB1445" s="40"/>
    </row>
    <row r="1446" ht="18.75" customHeight="1">
      <c r="A1446" s="18" t="s">
        <v>1827</v>
      </c>
      <c r="B1446" s="22" t="s">
        <v>2681</v>
      </c>
      <c r="C1446" s="213" t="s">
        <v>41</v>
      </c>
      <c r="D1446" s="213" t="s">
        <v>811</v>
      </c>
      <c r="E1446" s="24" t="str">
        <f>IFERROR(VLOOKUP(F1446, 'api-register-id'!B:F, 5, FALSE), "Not found path.")</f>
        <v>APIMX000180</v>
      </c>
      <c r="F1446" s="219" t="s">
        <v>2678</v>
      </c>
      <c r="G1446" s="26" t="s">
        <v>7380</v>
      </c>
      <c r="H1446" s="199" t="s">
        <v>7381</v>
      </c>
      <c r="I1446" s="29"/>
      <c r="J1446" s="192" t="s">
        <v>6693</v>
      </c>
      <c r="K1446" s="31" t="s">
        <v>48</v>
      </c>
      <c r="L1446" s="213" t="s">
        <v>49</v>
      </c>
      <c r="M1446" s="232" t="s">
        <v>7353</v>
      </c>
      <c r="N1446" s="217" t="str">
        <f t="shared" si="49"/>
        <v>POST /system/crossChanel/partyAuthentication/v1/corporate/user/recoveryCode/generateOTP/execute</v>
      </c>
      <c r="O1446" s="40"/>
      <c r="P1446" s="40"/>
      <c r="Q1446" s="36" t="s">
        <v>7382</v>
      </c>
      <c r="R1446" s="31" t="s">
        <v>56</v>
      </c>
      <c r="S1446" s="218" t="str">
        <f t="shared" si="50"/>
        <v>https://github.com/SF-Bancoppel/mx-api-bc-pro-pty-auth-corp</v>
      </c>
      <c r="T1446" s="40"/>
      <c r="U1446" s="22"/>
      <c r="V1446" s="40"/>
      <c r="W1446" s="40"/>
      <c r="X1446" s="40"/>
      <c r="Y1446" s="40"/>
      <c r="Z1446" s="40"/>
      <c r="AA1446" s="40"/>
      <c r="AB1446" s="40"/>
    </row>
    <row r="1447" ht="18.75" customHeight="1">
      <c r="A1447" s="18" t="s">
        <v>1827</v>
      </c>
      <c r="B1447" s="22" t="s">
        <v>3198</v>
      </c>
      <c r="C1447" s="213" t="s">
        <v>41</v>
      </c>
      <c r="D1447" s="213" t="s">
        <v>811</v>
      </c>
      <c r="E1447" s="24" t="str">
        <f>IFERROR(VLOOKUP(F1447, 'api-register-id'!B:F, 5, FALSE), "Not found path.")</f>
        <v>APIMX000194</v>
      </c>
      <c r="F1447" s="215" t="s">
        <v>3187</v>
      </c>
      <c r="G1447" s="26" t="s">
        <v>7383</v>
      </c>
      <c r="H1447" s="199" t="s">
        <v>7384</v>
      </c>
      <c r="I1447" s="29"/>
      <c r="J1447" s="216" t="s">
        <v>2950</v>
      </c>
      <c r="K1447" s="31" t="s">
        <v>48</v>
      </c>
      <c r="L1447" s="213" t="s">
        <v>49</v>
      </c>
      <c r="M1447" s="216" t="s">
        <v>7357</v>
      </c>
      <c r="N1447" s="217" t="str">
        <f t="shared" si="49"/>
        <v>POST /system/documentManagementAndArchive/documentServices/v1/corporate/products/statement/createFile</v>
      </c>
      <c r="O1447" s="40"/>
      <c r="P1447" s="40"/>
      <c r="Q1447" s="36" t="s">
        <v>7385</v>
      </c>
      <c r="R1447" s="31" t="s">
        <v>56</v>
      </c>
      <c r="S1447" s="218" t="str">
        <f t="shared" si="50"/>
        <v>https://github.com/SF-Bancoppel/mx-api-bc-pro-document-services-corp</v>
      </c>
      <c r="T1447" s="40"/>
      <c r="U1447" s="22"/>
      <c r="V1447" s="40"/>
      <c r="W1447" s="40"/>
      <c r="X1447" s="40"/>
      <c r="Y1447" s="40"/>
      <c r="Z1447" s="40"/>
      <c r="AA1447" s="40"/>
      <c r="AB1447" s="40"/>
    </row>
    <row r="1448" ht="18.75" customHeight="1">
      <c r="A1448" s="18" t="s">
        <v>1827</v>
      </c>
      <c r="B1448" s="22" t="s">
        <v>2681</v>
      </c>
      <c r="C1448" s="213" t="s">
        <v>41</v>
      </c>
      <c r="D1448" s="213" t="s">
        <v>811</v>
      </c>
      <c r="E1448" s="24" t="str">
        <f>IFERROR(VLOOKUP(F1448, 'api-register-id'!B:F, 5, FALSE), "Not found path.")</f>
        <v>APIMX000180</v>
      </c>
      <c r="F1448" s="219" t="s">
        <v>2678</v>
      </c>
      <c r="G1448" s="26" t="s">
        <v>7386</v>
      </c>
      <c r="H1448" s="199" t="s">
        <v>7387</v>
      </c>
      <c r="I1448" s="29"/>
      <c r="J1448" s="192" t="s">
        <v>6693</v>
      </c>
      <c r="K1448" s="31" t="s">
        <v>48</v>
      </c>
      <c r="L1448" s="213" t="s">
        <v>49</v>
      </c>
      <c r="M1448" s="232" t="s">
        <v>7361</v>
      </c>
      <c r="N1448" s="217" t="str">
        <f t="shared" si="49"/>
        <v>POST /system/crossChanel/partyAuthenticationv1/corporeate/user/recoveryCode/validate/status/otp/check</v>
      </c>
      <c r="O1448" s="40"/>
      <c r="P1448" s="40"/>
      <c r="Q1448" s="36" t="s">
        <v>7388</v>
      </c>
      <c r="R1448" s="31" t="s">
        <v>56</v>
      </c>
      <c r="S1448" s="218" t="str">
        <f t="shared" si="50"/>
        <v>https://github.com/SF-Bancoppel/mx-api-bc-pro-pty-auth-corp</v>
      </c>
      <c r="T1448" s="40"/>
      <c r="U1448" s="22"/>
      <c r="V1448" s="40"/>
      <c r="W1448" s="40"/>
      <c r="X1448" s="40"/>
      <c r="Y1448" s="40"/>
      <c r="Z1448" s="40"/>
      <c r="AA1448" s="40"/>
      <c r="AB1448" s="40"/>
    </row>
    <row r="1449" ht="18.75" customHeight="1">
      <c r="A1449" s="18" t="s">
        <v>1827</v>
      </c>
      <c r="B1449" s="22" t="s">
        <v>2674</v>
      </c>
      <c r="C1449" s="213" t="s">
        <v>41</v>
      </c>
      <c r="D1449" s="213" t="s">
        <v>811</v>
      </c>
      <c r="E1449" s="24" t="str">
        <f>IFERROR(VLOOKUP(F1449, 'api-register-id'!B:F, 5, FALSE), "Not found path.")</f>
        <v>APIMX000179</v>
      </c>
      <c r="F1449" s="219" t="s">
        <v>2673</v>
      </c>
      <c r="G1449" s="26" t="s">
        <v>7389</v>
      </c>
      <c r="H1449" s="199" t="s">
        <v>7390</v>
      </c>
      <c r="I1449" s="29"/>
      <c r="J1449" s="192" t="s">
        <v>3022</v>
      </c>
      <c r="K1449" s="31" t="s">
        <v>48</v>
      </c>
      <c r="L1449" s="213" t="s">
        <v>49</v>
      </c>
      <c r="M1449" s="192" t="s">
        <v>6542</v>
      </c>
      <c r="N1449" s="217" t="str">
        <f t="shared" si="49"/>
        <v>POST /system/operationalServices/issuedDeviceAdministration/v1/corporate/hardToken/validateStatusChanged</v>
      </c>
      <c r="O1449" s="40"/>
      <c r="P1449" s="40"/>
      <c r="Q1449" s="36" t="s">
        <v>7391</v>
      </c>
      <c r="R1449" s="31" t="s">
        <v>56</v>
      </c>
      <c r="S1449" s="218" t="str">
        <f t="shared" si="50"/>
        <v>https://github.com/SF-Bancoppel/mx-api-bc-pro-iss-dev-admin-corp</v>
      </c>
      <c r="T1449" s="40"/>
      <c r="U1449" s="22"/>
      <c r="V1449" s="40"/>
      <c r="W1449" s="40"/>
      <c r="X1449" s="40"/>
      <c r="Y1449" s="40"/>
      <c r="Z1449" s="40"/>
      <c r="AA1449" s="40"/>
      <c r="AB1449" s="40"/>
    </row>
    <row r="1450" ht="18.75" customHeight="1">
      <c r="A1450" s="18" t="s">
        <v>1827</v>
      </c>
      <c r="B1450" s="22" t="s">
        <v>2674</v>
      </c>
      <c r="C1450" s="213" t="s">
        <v>41</v>
      </c>
      <c r="D1450" s="213" t="s">
        <v>811</v>
      </c>
      <c r="E1450" s="24" t="str">
        <f>IFERROR(VLOOKUP(F1450, 'api-register-id'!B:F, 5, FALSE), "Not found path.")</f>
        <v>APIMX000179</v>
      </c>
      <c r="F1450" s="219" t="s">
        <v>2673</v>
      </c>
      <c r="G1450" s="26" t="s">
        <v>7392</v>
      </c>
      <c r="H1450" s="199" t="s">
        <v>7393</v>
      </c>
      <c r="I1450" s="29"/>
      <c r="J1450" s="192" t="s">
        <v>3022</v>
      </c>
      <c r="K1450" s="31" t="s">
        <v>48</v>
      </c>
      <c r="L1450" s="213" t="s">
        <v>49</v>
      </c>
      <c r="M1450" s="192" t="s">
        <v>6546</v>
      </c>
      <c r="N1450" s="217" t="str">
        <f t="shared" si="49"/>
        <v>POST /system/operationalServices/issuedDeviceAdministration/v1/corporate/hardToken/editStatus/enabledToken</v>
      </c>
      <c r="O1450" s="40"/>
      <c r="P1450" s="40"/>
      <c r="Q1450" s="36" t="s">
        <v>7394</v>
      </c>
      <c r="R1450" s="31" t="s">
        <v>56</v>
      </c>
      <c r="S1450" s="218" t="str">
        <f t="shared" si="50"/>
        <v>https://github.com/SF-Bancoppel/mx-api-bc-pro-iss-dev-admin-corp</v>
      </c>
      <c r="T1450" s="40"/>
      <c r="U1450" s="22"/>
      <c r="V1450" s="40"/>
      <c r="W1450" s="40"/>
      <c r="X1450" s="40"/>
      <c r="Y1450" s="40"/>
      <c r="Z1450" s="40"/>
      <c r="AA1450" s="40"/>
      <c r="AB1450" s="40"/>
    </row>
    <row r="1451" ht="18.75" customHeight="1">
      <c r="A1451" s="256"/>
      <c r="B1451" s="257"/>
      <c r="C1451" s="285"/>
      <c r="D1451" s="285"/>
      <c r="E1451" s="259"/>
      <c r="F1451" s="335"/>
      <c r="G1451" s="261"/>
      <c r="H1451" s="330"/>
      <c r="I1451" s="263"/>
      <c r="J1451" s="332"/>
      <c r="K1451" s="259"/>
      <c r="L1451" s="285"/>
      <c r="M1451" s="332"/>
      <c r="N1451" s="333"/>
      <c r="O1451" s="249"/>
      <c r="P1451" s="249"/>
      <c r="Q1451" s="265"/>
      <c r="R1451" s="259"/>
      <c r="S1451" s="334"/>
      <c r="T1451" s="249"/>
      <c r="U1451" s="257"/>
      <c r="V1451" s="249"/>
      <c r="W1451" s="249"/>
      <c r="X1451" s="249"/>
      <c r="Y1451" s="249"/>
      <c r="Z1451" s="249"/>
      <c r="AA1451" s="249"/>
      <c r="AB1451" s="249"/>
    </row>
    <row r="1452" ht="18.75" customHeight="1">
      <c r="A1452" s="18" t="s">
        <v>1827</v>
      </c>
      <c r="B1452" s="22" t="s">
        <v>2742</v>
      </c>
      <c r="C1452" s="213" t="s">
        <v>112</v>
      </c>
      <c r="D1452" s="213" t="s">
        <v>1417</v>
      </c>
      <c r="E1452" s="24" t="str">
        <f>IFERROR(VLOOKUP(F1452, 'api-register-id'!B:F, 5, FALSE), "Not found path.")</f>
        <v>APIMX000184</v>
      </c>
      <c r="F1452" s="219" t="s">
        <v>2736</v>
      </c>
      <c r="G1452" s="26" t="s">
        <v>7395</v>
      </c>
      <c r="H1452" s="199" t="s">
        <v>6775</v>
      </c>
      <c r="I1452" s="29"/>
      <c r="J1452" s="192" t="s">
        <v>4443</v>
      </c>
      <c r="K1452" s="31" t="s">
        <v>48</v>
      </c>
      <c r="L1452" s="213" t="s">
        <v>49</v>
      </c>
      <c r="M1452" s="192" t="s">
        <v>6492</v>
      </c>
      <c r="N1452" s="217" t="str">
        <f t="shared" ref="N1452:N1480" si="51">CONCATENATE(L1452, " ", J1452, M1452)</f>
        <v>POST /experience/crossChannel/partyAuthentication/v1/corporate/user/recoveryCode/validate</v>
      </c>
      <c r="O1452" s="40"/>
      <c r="P1452" s="40"/>
      <c r="Q1452" s="36" t="s">
        <v>7396</v>
      </c>
      <c r="R1452" s="31" t="s">
        <v>56</v>
      </c>
      <c r="S1452" s="218" t="str">
        <f t="shared" ref="S1452:S1480" si="52">"https://github.com/SF-Bancoppel/"&amp;B1452</f>
        <v>https://github.com/SF-Bancoppel/mx-api-bc-rec-pty-auth-corp</v>
      </c>
      <c r="T1452" s="40"/>
      <c r="U1452" s="22"/>
      <c r="V1452" s="40"/>
      <c r="W1452" s="40"/>
      <c r="X1452" s="40"/>
      <c r="Y1452" s="40"/>
      <c r="Z1452" s="40"/>
      <c r="AA1452" s="40"/>
      <c r="AB1452" s="40"/>
    </row>
    <row r="1453" ht="18.75" customHeight="1">
      <c r="A1453" s="18" t="s">
        <v>1827</v>
      </c>
      <c r="B1453" s="22" t="s">
        <v>3551</v>
      </c>
      <c r="C1453" s="213" t="s">
        <v>112</v>
      </c>
      <c r="D1453" s="213" t="s">
        <v>1417</v>
      </c>
      <c r="E1453" s="24" t="str">
        <f>IFERROR(VLOOKUP(F1453, 'api-register-id'!B:F, 5, FALSE), "Not found path.")</f>
        <v>APIMX000201</v>
      </c>
      <c r="F1453" s="215" t="s">
        <v>3543</v>
      </c>
      <c r="G1453" s="26" t="s">
        <v>7397</v>
      </c>
      <c r="H1453" s="199" t="s">
        <v>6411</v>
      </c>
      <c r="I1453" s="29"/>
      <c r="J1453" s="194" t="s">
        <v>7284</v>
      </c>
      <c r="K1453" s="31" t="s">
        <v>48</v>
      </c>
      <c r="L1453" s="213" t="s">
        <v>49</v>
      </c>
      <c r="M1453" s="216" t="s">
        <v>6358</v>
      </c>
      <c r="N1453" s="217" t="str">
        <f t="shared" si="51"/>
        <v>POST /experience/businessSupport/documentManagementAndArchive/v1/corporate/authorizations/transfer/file/getFile</v>
      </c>
      <c r="O1453" s="40"/>
      <c r="P1453" s="40"/>
      <c r="Q1453" s="36" t="s">
        <v>7398</v>
      </c>
      <c r="R1453" s="31" t="s">
        <v>56</v>
      </c>
      <c r="S1453" s="218" t="str">
        <f t="shared" si="52"/>
        <v>https://github.com/SF-Bancoppel/mx-api-bc-rec-doc-mgmt-arch-corp</v>
      </c>
      <c r="T1453" s="40"/>
      <c r="U1453" s="22"/>
      <c r="V1453" s="40"/>
      <c r="W1453" s="40"/>
      <c r="X1453" s="40"/>
      <c r="Y1453" s="40"/>
      <c r="Z1453" s="40"/>
      <c r="AA1453" s="40"/>
      <c r="AB1453" s="40"/>
    </row>
    <row r="1454" ht="18.75" customHeight="1">
      <c r="A1454" s="18" t="s">
        <v>1827</v>
      </c>
      <c r="B1454" s="22" t="s">
        <v>2742</v>
      </c>
      <c r="C1454" s="213" t="s">
        <v>112</v>
      </c>
      <c r="D1454" s="213" t="s">
        <v>1417</v>
      </c>
      <c r="E1454" s="24" t="str">
        <f>IFERROR(VLOOKUP(F1454, 'api-register-id'!B:F, 5, FALSE), "Not found path.")</f>
        <v>APIMX000184</v>
      </c>
      <c r="F1454" s="219" t="s">
        <v>2736</v>
      </c>
      <c r="G1454" s="26" t="s">
        <v>7399</v>
      </c>
      <c r="H1454" s="199" t="s">
        <v>7400</v>
      </c>
      <c r="I1454" s="29"/>
      <c r="J1454" s="192" t="s">
        <v>4443</v>
      </c>
      <c r="K1454" s="31" t="s">
        <v>48</v>
      </c>
      <c r="L1454" s="213" t="s">
        <v>49</v>
      </c>
      <c r="M1454" s="216" t="s">
        <v>7315</v>
      </c>
      <c r="N1454" s="217" t="str">
        <f t="shared" si="51"/>
        <v>POST /experience/crossChannel/partyAuthentication/v1/corporate/recoveryCode/execute</v>
      </c>
      <c r="O1454" s="40"/>
      <c r="P1454" s="40"/>
      <c r="Q1454" s="36" t="s">
        <v>7401</v>
      </c>
      <c r="R1454" s="31" t="s">
        <v>56</v>
      </c>
      <c r="S1454" s="218" t="str">
        <f t="shared" si="52"/>
        <v>https://github.com/SF-Bancoppel/mx-api-bc-rec-pty-auth-corp</v>
      </c>
      <c r="T1454" s="40"/>
      <c r="U1454" s="22"/>
      <c r="V1454" s="40"/>
      <c r="W1454" s="40"/>
      <c r="X1454" s="40"/>
      <c r="Y1454" s="40"/>
      <c r="Z1454" s="40"/>
      <c r="AA1454" s="40"/>
      <c r="AB1454" s="40"/>
    </row>
    <row r="1455" ht="18.75" customHeight="1">
      <c r="A1455" s="18" t="s">
        <v>1827</v>
      </c>
      <c r="B1455" s="22" t="s">
        <v>3722</v>
      </c>
      <c r="C1455" s="213" t="s">
        <v>112</v>
      </c>
      <c r="D1455" s="213" t="s">
        <v>1417</v>
      </c>
      <c r="E1455" s="24" t="str">
        <f>IFERROR(VLOOKUP(F1455, 'api-register-id'!B:F, 5, FALSE), "Not found path.")</f>
        <v>APIMX000214</v>
      </c>
      <c r="F1455" s="219" t="s">
        <v>7402</v>
      </c>
      <c r="G1455" s="26" t="s">
        <v>7403</v>
      </c>
      <c r="H1455" s="199" t="s">
        <v>6401</v>
      </c>
      <c r="I1455" s="29"/>
      <c r="J1455" s="192" t="s">
        <v>7404</v>
      </c>
      <c r="K1455" s="31" t="s">
        <v>48</v>
      </c>
      <c r="L1455" s="213" t="s">
        <v>49</v>
      </c>
      <c r="M1455" s="192" t="s">
        <v>6338</v>
      </c>
      <c r="N1455" s="217" t="str">
        <f t="shared" si="51"/>
        <v>POST /experience/documentManagementAndArchive/archiveServices/v1/corporate/file/delete</v>
      </c>
      <c r="O1455" s="40"/>
      <c r="P1455" s="40"/>
      <c r="Q1455" s="36" t="s">
        <v>7405</v>
      </c>
      <c r="R1455" s="31" t="s">
        <v>56</v>
      </c>
      <c r="S1455" s="218" t="str">
        <f t="shared" si="52"/>
        <v>https://github.com/SF-Bancoppel/mx-api-bc-rec-archive-svcs-corp</v>
      </c>
      <c r="T1455" s="40"/>
      <c r="U1455" s="22"/>
      <c r="V1455" s="40"/>
      <c r="W1455" s="40"/>
      <c r="X1455" s="40"/>
      <c r="Y1455" s="40"/>
      <c r="Z1455" s="40"/>
      <c r="AA1455" s="40"/>
      <c r="AB1455" s="40"/>
    </row>
    <row r="1456" ht="18.75" customHeight="1">
      <c r="A1456" s="18" t="s">
        <v>1827</v>
      </c>
      <c r="B1456" s="22" t="s">
        <v>3551</v>
      </c>
      <c r="C1456" s="213" t="s">
        <v>112</v>
      </c>
      <c r="D1456" s="213" t="s">
        <v>1417</v>
      </c>
      <c r="E1456" s="24" t="str">
        <f>IFERROR(VLOOKUP(F1456, 'api-register-id'!B:F, 5, FALSE), "Not found path.")</f>
        <v>APIMX000201</v>
      </c>
      <c r="F1456" s="215" t="s">
        <v>3543</v>
      </c>
      <c r="G1456" s="26" t="s">
        <v>7406</v>
      </c>
      <c r="H1456" s="199" t="s">
        <v>7407</v>
      </c>
      <c r="I1456" s="29"/>
      <c r="J1456" s="194" t="s">
        <v>7284</v>
      </c>
      <c r="K1456" s="31" t="s">
        <v>48</v>
      </c>
      <c r="L1456" s="213" t="s">
        <v>49</v>
      </c>
      <c r="M1456" s="216" t="s">
        <v>7296</v>
      </c>
      <c r="N1456" s="217" t="str">
        <f t="shared" si="51"/>
        <v>POST /experience/businessSupport/documentManagementAndArchive/v1/corporate/documents/capture</v>
      </c>
      <c r="O1456" s="40"/>
      <c r="P1456" s="40"/>
      <c r="Q1456" s="36" t="s">
        <v>7408</v>
      </c>
      <c r="R1456" s="31" t="s">
        <v>56</v>
      </c>
      <c r="S1456" s="218" t="str">
        <f t="shared" si="52"/>
        <v>https://github.com/SF-Bancoppel/mx-api-bc-rec-doc-mgmt-arch-corp</v>
      </c>
      <c r="T1456" s="40"/>
      <c r="U1456" s="22"/>
      <c r="V1456" s="40"/>
      <c r="W1456" s="40"/>
      <c r="X1456" s="40"/>
      <c r="Y1456" s="40"/>
      <c r="Z1456" s="40"/>
      <c r="AA1456" s="40"/>
      <c r="AB1456" s="40"/>
    </row>
    <row r="1457" ht="18.75" customHeight="1">
      <c r="A1457" s="18" t="s">
        <v>1827</v>
      </c>
      <c r="B1457" s="22" t="s">
        <v>3749</v>
      </c>
      <c r="C1457" s="213" t="s">
        <v>112</v>
      </c>
      <c r="D1457" s="213" t="s">
        <v>1417</v>
      </c>
      <c r="E1457" s="24" t="str">
        <f>IFERROR(VLOOKUP(F1457, 'api-register-id'!B:F, 5, FALSE), "Not found path.")</f>
        <v>APIMX000216</v>
      </c>
      <c r="F1457" s="215" t="s">
        <v>3746</v>
      </c>
      <c r="G1457" s="26" t="s">
        <v>7409</v>
      </c>
      <c r="H1457" s="199" t="s">
        <v>7410</v>
      </c>
      <c r="I1457" s="29"/>
      <c r="J1457" s="216" t="s">
        <v>7411</v>
      </c>
      <c r="K1457" s="31" t="s">
        <v>48</v>
      </c>
      <c r="L1457" s="213" t="s">
        <v>49</v>
      </c>
      <c r="M1457" s="192" t="s">
        <v>7336</v>
      </c>
      <c r="N1457" s="217" t="str">
        <f t="shared" si="51"/>
        <v>POST /experience/crossChanel/transactionAuthorization/v1/corporate/transfer/file/sign</v>
      </c>
      <c r="O1457" s="40"/>
      <c r="P1457" s="40"/>
      <c r="Q1457" s="36" t="s">
        <v>7412</v>
      </c>
      <c r="R1457" s="31" t="s">
        <v>56</v>
      </c>
      <c r="S1457" s="218" t="str">
        <f t="shared" si="52"/>
        <v>https://github.com/SF-Bancoppel/mx-api-bc-rec-trans-auth-corp</v>
      </c>
      <c r="T1457" s="40"/>
      <c r="U1457" s="22"/>
      <c r="V1457" s="40"/>
      <c r="W1457" s="40"/>
      <c r="X1457" s="40"/>
      <c r="Y1457" s="40"/>
      <c r="Z1457" s="40"/>
      <c r="AA1457" s="40"/>
      <c r="AB1457" s="40"/>
    </row>
    <row r="1458" ht="18.75" customHeight="1">
      <c r="A1458" s="18" t="s">
        <v>1827</v>
      </c>
      <c r="B1458" s="22" t="s">
        <v>3670</v>
      </c>
      <c r="C1458" s="213" t="s">
        <v>7413</v>
      </c>
      <c r="D1458" s="213" t="s">
        <v>3669</v>
      </c>
      <c r="E1458" s="24" t="str">
        <f>IFERROR(VLOOKUP(F1458, 'api-register-id'!B:F, 5, FALSE), "Not found path.")</f>
        <v>WRKMX000001</v>
      </c>
      <c r="F1458" s="219" t="s">
        <v>3666</v>
      </c>
      <c r="G1458" s="26" t="s">
        <v>7414</v>
      </c>
      <c r="H1458" s="199" t="s">
        <v>7415</v>
      </c>
      <c r="I1458" s="29"/>
      <c r="J1458" s="192" t="s">
        <v>7416</v>
      </c>
      <c r="K1458" s="31" t="s">
        <v>48</v>
      </c>
      <c r="L1458" s="213" t="s">
        <v>7417</v>
      </c>
      <c r="M1458" s="193" t="s">
        <v>7418</v>
      </c>
      <c r="N1458" s="217" t="str">
        <f t="shared" si="51"/>
        <v>QUEUE NA[Queue] q.destinationAccount.register
[Dead Leter Queue] dlq.destinationAccount.register</v>
      </c>
      <c r="O1458" s="40"/>
      <c r="P1458" s="40"/>
      <c r="Q1458" s="36" t="s">
        <v>7419</v>
      </c>
      <c r="R1458" s="31" t="s">
        <v>56</v>
      </c>
      <c r="S1458" s="218" t="str">
        <f t="shared" si="52"/>
        <v>https://github.com/SF-Bancoppel/mx-api-bc-wrk-payment-initiation-corp</v>
      </c>
      <c r="T1458" s="40"/>
      <c r="U1458" s="22"/>
      <c r="V1458" s="40"/>
      <c r="W1458" s="40"/>
      <c r="X1458" s="40"/>
      <c r="Y1458" s="40"/>
      <c r="Z1458" s="40"/>
      <c r="AA1458" s="40"/>
      <c r="AB1458" s="40"/>
    </row>
    <row r="1459" ht="18.75" customHeight="1">
      <c r="A1459" s="18" t="s">
        <v>1827</v>
      </c>
      <c r="B1459" s="22" t="s">
        <v>3063</v>
      </c>
      <c r="C1459" s="213" t="s">
        <v>41</v>
      </c>
      <c r="D1459" s="213" t="s">
        <v>119</v>
      </c>
      <c r="E1459" s="24" t="str">
        <f>IFERROR(VLOOKUP(F1459, 'api-register-id'!B:F, 5, FALSE), "Not found path.")</f>
        <v>APIMX000192</v>
      </c>
      <c r="F1459" s="215" t="s">
        <v>3057</v>
      </c>
      <c r="G1459" s="26" t="s">
        <v>7420</v>
      </c>
      <c r="H1459" s="199" t="s">
        <v>7421</v>
      </c>
      <c r="I1459" s="29"/>
      <c r="J1459" s="216" t="s">
        <v>1028</v>
      </c>
      <c r="K1459" s="31" t="s">
        <v>48</v>
      </c>
      <c r="L1459" s="213" t="s">
        <v>49</v>
      </c>
      <c r="M1459" s="216" t="s">
        <v>7422</v>
      </c>
      <c r="N1459" s="217" t="str">
        <f t="shared" si="51"/>
        <v>POST /documentManagementAndArchive/documentServices/v1/corporate/authorizations/transfer/file/download</v>
      </c>
      <c r="O1459" s="40"/>
      <c r="P1459" s="40"/>
      <c r="Q1459" s="36" t="s">
        <v>7423</v>
      </c>
      <c r="R1459" s="31" t="s">
        <v>56</v>
      </c>
      <c r="S1459" s="218" t="str">
        <f t="shared" si="52"/>
        <v>https://github.com/SF-Bancoppel/mx-api-bc-dom-document-services-corp</v>
      </c>
      <c r="T1459" s="40"/>
      <c r="U1459" s="22"/>
      <c r="V1459" s="40"/>
      <c r="W1459" s="40"/>
      <c r="X1459" s="40"/>
      <c r="Y1459" s="40"/>
      <c r="Z1459" s="40"/>
      <c r="AA1459" s="40"/>
      <c r="AB1459" s="40"/>
    </row>
    <row r="1460" ht="18.75" customHeight="1">
      <c r="A1460" s="18" t="s">
        <v>1827</v>
      </c>
      <c r="B1460" s="22" t="s">
        <v>3198</v>
      </c>
      <c r="C1460" s="213" t="s">
        <v>41</v>
      </c>
      <c r="D1460" s="213" t="s">
        <v>811</v>
      </c>
      <c r="E1460" s="24" t="str">
        <f>IFERROR(VLOOKUP(F1460, 'api-register-id'!B:F, 5, FALSE), "Not found path.")</f>
        <v>APIMX000194</v>
      </c>
      <c r="F1460" s="215" t="s">
        <v>3187</v>
      </c>
      <c r="G1460" s="26" t="s">
        <v>7424</v>
      </c>
      <c r="H1460" s="199" t="s">
        <v>7425</v>
      </c>
      <c r="I1460" s="29"/>
      <c r="J1460" s="216" t="s">
        <v>2950</v>
      </c>
      <c r="K1460" s="31" t="s">
        <v>48</v>
      </c>
      <c r="L1460" s="213" t="s">
        <v>49</v>
      </c>
      <c r="M1460" s="216" t="s">
        <v>7422</v>
      </c>
      <c r="N1460" s="217" t="str">
        <f t="shared" si="51"/>
        <v>POST /system/documentManagementAndArchive/documentServices/v1/corporate/authorizations/transfer/file/download</v>
      </c>
      <c r="O1460" s="40"/>
      <c r="P1460" s="40"/>
      <c r="Q1460" s="36" t="s">
        <v>7426</v>
      </c>
      <c r="R1460" s="31" t="s">
        <v>56</v>
      </c>
      <c r="S1460" s="218" t="str">
        <f t="shared" si="52"/>
        <v>https://github.com/SF-Bancoppel/mx-api-bc-pro-document-services-corp</v>
      </c>
      <c r="T1460" s="40"/>
      <c r="U1460" s="22"/>
      <c r="V1460" s="40"/>
      <c r="W1460" s="40"/>
      <c r="X1460" s="40"/>
      <c r="Y1460" s="40"/>
      <c r="Z1460" s="40"/>
      <c r="AA1460" s="40"/>
      <c r="AB1460" s="40"/>
    </row>
    <row r="1461" ht="18.75" customHeight="1">
      <c r="A1461" s="18" t="s">
        <v>1827</v>
      </c>
      <c r="B1461" s="22" t="s">
        <v>1852</v>
      </c>
      <c r="C1461" s="213" t="s">
        <v>41</v>
      </c>
      <c r="D1461" s="213" t="s">
        <v>119</v>
      </c>
      <c r="E1461" s="24" t="str">
        <f>IFERROR(VLOOKUP(F1461, 'api-register-id'!B:F, 5, FALSE), "Not found path.")</f>
        <v>APIMX000154</v>
      </c>
      <c r="F1461" s="215" t="s">
        <v>1851</v>
      </c>
      <c r="G1461" s="26" t="s">
        <v>7427</v>
      </c>
      <c r="H1461" s="199" t="s">
        <v>7428</v>
      </c>
      <c r="I1461" s="29"/>
      <c r="J1461" s="336" t="s">
        <v>1614</v>
      </c>
      <c r="K1461" s="31" t="s">
        <v>48</v>
      </c>
      <c r="L1461" s="213" t="s">
        <v>49</v>
      </c>
      <c r="M1461" s="216" t="s">
        <v>7429</v>
      </c>
      <c r="N1461" s="217" t="str">
        <f t="shared" si="51"/>
        <v>POST /payments/paymentExecution/v1/corporate/authorizations/transfer/online/register</v>
      </c>
      <c r="O1461" s="40"/>
      <c r="P1461" s="40"/>
      <c r="Q1461" s="36" t="s">
        <v>7430</v>
      </c>
      <c r="R1461" s="31" t="s">
        <v>56</v>
      </c>
      <c r="S1461" s="218" t="str">
        <f t="shared" si="52"/>
        <v>https://github.com/SF-Bancoppel/mx-api-bc-dom-payment-execution-corp</v>
      </c>
      <c r="T1461" s="40"/>
      <c r="U1461" s="22"/>
      <c r="V1461" s="40"/>
      <c r="W1461" s="40"/>
      <c r="X1461" s="40"/>
      <c r="Y1461" s="40"/>
      <c r="Z1461" s="40"/>
      <c r="AA1461" s="40"/>
      <c r="AB1461" s="40"/>
    </row>
    <row r="1462" ht="18.75" customHeight="1">
      <c r="A1462" s="18" t="s">
        <v>1827</v>
      </c>
      <c r="B1462" s="22" t="s">
        <v>1876</v>
      </c>
      <c r="C1462" s="213" t="s">
        <v>41</v>
      </c>
      <c r="D1462" s="213" t="s">
        <v>811</v>
      </c>
      <c r="E1462" s="24" t="str">
        <f>IFERROR(VLOOKUP(F1462, 'api-register-id'!B:F, 5, FALSE), "Not found path.")</f>
        <v>APIMX000155</v>
      </c>
      <c r="F1462" s="215" t="s">
        <v>1874</v>
      </c>
      <c r="G1462" s="26" t="s">
        <v>7431</v>
      </c>
      <c r="H1462" s="199" t="s">
        <v>7432</v>
      </c>
      <c r="I1462" s="29"/>
      <c r="J1462" s="337" t="s">
        <v>3463</v>
      </c>
      <c r="K1462" s="31" t="s">
        <v>48</v>
      </c>
      <c r="L1462" s="213" t="s">
        <v>49</v>
      </c>
      <c r="M1462" s="216" t="s">
        <v>7429</v>
      </c>
      <c r="N1462" s="217" t="str">
        <f t="shared" si="51"/>
        <v>POST /system/payments/paymentExecution/v1/corporate/authorizations/transfer/online/register</v>
      </c>
      <c r="O1462" s="40"/>
      <c r="P1462" s="40"/>
      <c r="Q1462" s="36" t="s">
        <v>7433</v>
      </c>
      <c r="R1462" s="31" t="s">
        <v>56</v>
      </c>
      <c r="S1462" s="218" t="str">
        <f t="shared" si="52"/>
        <v>https://github.com/SF-Bancoppel/mx-api-bc-pro-payment-execution-corp</v>
      </c>
      <c r="T1462" s="40"/>
      <c r="U1462" s="22"/>
      <c r="V1462" s="40"/>
      <c r="W1462" s="40"/>
      <c r="X1462" s="40"/>
      <c r="Y1462" s="40"/>
      <c r="Z1462" s="40"/>
      <c r="AA1462" s="40"/>
      <c r="AB1462" s="40"/>
    </row>
    <row r="1463" ht="18.75" customHeight="1">
      <c r="A1463" s="18" t="s">
        <v>1827</v>
      </c>
      <c r="B1463" s="22" t="s">
        <v>3871</v>
      </c>
      <c r="C1463" s="213" t="s">
        <v>41</v>
      </c>
      <c r="D1463" s="213" t="s">
        <v>119</v>
      </c>
      <c r="E1463" s="24" t="str">
        <f>IFERROR(VLOOKUP(F1463, 'api-register-id'!B:F, 5, FALSE), "Not found path.")</f>
        <v>APIMX000225</v>
      </c>
      <c r="F1463" s="215" t="s">
        <v>3869</v>
      </c>
      <c r="G1463" s="26" t="s">
        <v>7434</v>
      </c>
      <c r="H1463" s="199" t="s">
        <v>7435</v>
      </c>
      <c r="I1463" s="29"/>
      <c r="J1463" s="216" t="s">
        <v>7436</v>
      </c>
      <c r="K1463" s="31" t="s">
        <v>48</v>
      </c>
      <c r="L1463" s="213" t="s">
        <v>49</v>
      </c>
      <c r="M1463" s="216" t="s">
        <v>7336</v>
      </c>
      <c r="N1463" s="217" t="str">
        <f t="shared" si="51"/>
        <v>POST /accountManagement/transactionAuthorization/v1/corporate/transfer/file/sign</v>
      </c>
      <c r="O1463" s="40"/>
      <c r="P1463" s="40"/>
      <c r="Q1463" s="36" t="s">
        <v>7437</v>
      </c>
      <c r="R1463" s="31" t="s">
        <v>56</v>
      </c>
      <c r="S1463" s="218" t="str">
        <f t="shared" si="52"/>
        <v>https://github.com/SF-Bancoppel/mx-api-bc-dom-trans-auth-corp</v>
      </c>
      <c r="T1463" s="40"/>
      <c r="U1463" s="22"/>
      <c r="V1463" s="40"/>
      <c r="W1463" s="40"/>
      <c r="X1463" s="40"/>
      <c r="Y1463" s="40"/>
      <c r="Z1463" s="40"/>
      <c r="AA1463" s="40"/>
      <c r="AB1463" s="40"/>
    </row>
    <row r="1464" ht="18.75" customHeight="1">
      <c r="A1464" s="18" t="s">
        <v>1827</v>
      </c>
      <c r="B1464" s="22" t="s">
        <v>3876</v>
      </c>
      <c r="C1464" s="213" t="s">
        <v>41</v>
      </c>
      <c r="D1464" s="213" t="s">
        <v>811</v>
      </c>
      <c r="E1464" s="24" t="str">
        <f>IFERROR(VLOOKUP(F1464, 'api-register-id'!B:F, 5, FALSE), "Not found path.")</f>
        <v>APIMX000226</v>
      </c>
      <c r="F1464" s="215" t="s">
        <v>3875</v>
      </c>
      <c r="G1464" s="26" t="s">
        <v>7438</v>
      </c>
      <c r="H1464" s="199" t="s">
        <v>7439</v>
      </c>
      <c r="I1464" s="29"/>
      <c r="J1464" s="194" t="s">
        <v>7440</v>
      </c>
      <c r="K1464" s="31" t="s">
        <v>48</v>
      </c>
      <c r="L1464" s="213" t="s">
        <v>49</v>
      </c>
      <c r="M1464" s="216" t="s">
        <v>7336</v>
      </c>
      <c r="N1464" s="217" t="str">
        <f t="shared" si="51"/>
        <v>POST /system/crossChannel/transactionAuthorization/v1/corporate/transfer/file/sign</v>
      </c>
      <c r="O1464" s="40"/>
      <c r="P1464" s="40"/>
      <c r="Q1464" s="36" t="s">
        <v>7441</v>
      </c>
      <c r="R1464" s="31" t="s">
        <v>56</v>
      </c>
      <c r="S1464" s="218" t="str">
        <f t="shared" si="52"/>
        <v>https://github.com/SF-Bancoppel/mx-api-bc-pro-trans-auth-corp</v>
      </c>
      <c r="T1464" s="40"/>
      <c r="U1464" s="22"/>
      <c r="V1464" s="40"/>
      <c r="W1464" s="40"/>
      <c r="X1464" s="40"/>
      <c r="Y1464" s="40"/>
      <c r="Z1464" s="40"/>
      <c r="AA1464" s="40"/>
      <c r="AB1464" s="40"/>
    </row>
    <row r="1465" ht="18.75" customHeight="1">
      <c r="A1465" s="18" t="s">
        <v>1827</v>
      </c>
      <c r="B1465" s="22" t="s">
        <v>4109</v>
      </c>
      <c r="C1465" s="213" t="s">
        <v>7413</v>
      </c>
      <c r="D1465" s="213" t="s">
        <v>3669</v>
      </c>
      <c r="E1465" s="24" t="str">
        <f>IFERROR(VLOOKUP(F1465, 'api-register-id'!B:F, 5, FALSE), "Not found path.")</f>
        <v>WRKMX000003</v>
      </c>
      <c r="F1465" s="219" t="s">
        <v>4107</v>
      </c>
      <c r="G1465" s="26" t="s">
        <v>7442</v>
      </c>
      <c r="H1465" s="199" t="s">
        <v>7443</v>
      </c>
      <c r="I1465" s="29"/>
      <c r="J1465" s="192" t="s">
        <v>7416</v>
      </c>
      <c r="K1465" s="31" t="s">
        <v>48</v>
      </c>
      <c r="L1465" s="213" t="s">
        <v>7417</v>
      </c>
      <c r="M1465" s="192"/>
      <c r="N1465" s="217" t="str">
        <f t="shared" si="51"/>
        <v>QUEUE NA</v>
      </c>
      <c r="O1465" s="40"/>
      <c r="P1465" s="40"/>
      <c r="Q1465" s="36" t="s">
        <v>7444</v>
      </c>
      <c r="R1465" s="31" t="s">
        <v>56</v>
      </c>
      <c r="S1465" s="218" t="str">
        <f t="shared" si="52"/>
        <v>https://github.com/SF-Bancoppel/mx-api-bc-wrk-payment-instruction-corp</v>
      </c>
      <c r="T1465" s="40"/>
      <c r="U1465" s="22"/>
      <c r="V1465" s="40"/>
      <c r="W1465" s="40"/>
      <c r="X1465" s="40"/>
      <c r="Y1465" s="40"/>
      <c r="Z1465" s="40"/>
      <c r="AA1465" s="40"/>
      <c r="AB1465" s="40"/>
    </row>
    <row r="1466" ht="18.75" customHeight="1">
      <c r="A1466" s="18" t="s">
        <v>1827</v>
      </c>
      <c r="B1466" s="22" t="s">
        <v>3697</v>
      </c>
      <c r="C1466" s="213" t="s">
        <v>41</v>
      </c>
      <c r="D1466" s="213" t="s">
        <v>119</v>
      </c>
      <c r="E1466" s="24" t="str">
        <f>IFERROR(VLOOKUP(F1466, 'api-register-id'!B:F, 5, FALSE), "Not found path.")</f>
        <v>APIMX000212</v>
      </c>
      <c r="F1466" s="215" t="s">
        <v>3694</v>
      </c>
      <c r="G1466" s="26" t="s">
        <v>7445</v>
      </c>
      <c r="H1466" s="199" t="s">
        <v>7446</v>
      </c>
      <c r="I1466" s="29"/>
      <c r="J1466" s="194" t="s">
        <v>7340</v>
      </c>
      <c r="K1466" s="31" t="s">
        <v>48</v>
      </c>
      <c r="L1466" s="213" t="s">
        <v>49</v>
      </c>
      <c r="M1466" s="216" t="s">
        <v>7447</v>
      </c>
      <c r="N1466" s="217" t="str">
        <f t="shared" si="51"/>
        <v>POST /businessSupport/documentManagementAndArchive/v1/corporate/document/verification/evaluate</v>
      </c>
      <c r="O1466" s="40"/>
      <c r="P1466" s="40"/>
      <c r="Q1466" s="36" t="s">
        <v>7448</v>
      </c>
      <c r="R1466" s="31" t="s">
        <v>56</v>
      </c>
      <c r="S1466" s="218" t="str">
        <f t="shared" si="52"/>
        <v>https://github.com/SF-Bancoppel/mx-api-bc-dom-doc-mgmt-arch-corp</v>
      </c>
      <c r="T1466" s="40"/>
      <c r="U1466" s="22"/>
      <c r="V1466" s="40"/>
      <c r="W1466" s="40"/>
      <c r="X1466" s="40"/>
      <c r="Y1466" s="40"/>
      <c r="Z1466" s="40"/>
      <c r="AA1466" s="40"/>
      <c r="AB1466" s="40"/>
    </row>
    <row r="1467" ht="18.75" customHeight="1">
      <c r="A1467" s="18" t="s">
        <v>1827</v>
      </c>
      <c r="B1467" s="338" t="s">
        <v>3709</v>
      </c>
      <c r="C1467" s="213" t="s">
        <v>41</v>
      </c>
      <c r="D1467" s="213" t="s">
        <v>811</v>
      </c>
      <c r="E1467" s="24" t="str">
        <f>IFERROR(VLOOKUP(F1467, 'api-register-id'!B:F, 5, FALSE), "Not found path.")</f>
        <v>APIMX000213</v>
      </c>
      <c r="F1467" s="215" t="s">
        <v>3707</v>
      </c>
      <c r="G1467" s="26" t="s">
        <v>7449</v>
      </c>
      <c r="H1467" s="199" t="s">
        <v>7450</v>
      </c>
      <c r="I1467" s="29"/>
      <c r="J1467" s="194" t="s">
        <v>7372</v>
      </c>
      <c r="K1467" s="31" t="s">
        <v>48</v>
      </c>
      <c r="L1467" s="213" t="s">
        <v>49</v>
      </c>
      <c r="M1467" s="216" t="s">
        <v>7447</v>
      </c>
      <c r="N1467" s="217" t="str">
        <f t="shared" si="51"/>
        <v>POST /system/businessSupport/documentManagementAndArchive/v1/corporate/document/verification/evaluate</v>
      </c>
      <c r="O1467" s="40"/>
      <c r="P1467" s="40"/>
      <c r="Q1467" s="36" t="s">
        <v>7451</v>
      </c>
      <c r="R1467" s="31" t="s">
        <v>56</v>
      </c>
      <c r="S1467" s="218" t="str">
        <f t="shared" si="52"/>
        <v>https://github.com/SF-Bancoppel/mx-api-bc-pro-doc-mgmt-arch-corp</v>
      </c>
      <c r="T1467" s="40"/>
      <c r="U1467" s="22"/>
      <c r="V1467" s="40"/>
      <c r="W1467" s="40"/>
      <c r="X1467" s="40"/>
      <c r="Y1467" s="40"/>
      <c r="Z1467" s="40"/>
      <c r="AA1467" s="40"/>
      <c r="AB1467" s="40"/>
    </row>
    <row r="1468" ht="18.75" customHeight="1">
      <c r="A1468" s="18" t="s">
        <v>1827</v>
      </c>
      <c r="B1468" s="22" t="s">
        <v>3198</v>
      </c>
      <c r="C1468" s="213" t="s">
        <v>41</v>
      </c>
      <c r="D1468" s="213" t="s">
        <v>811</v>
      </c>
      <c r="E1468" s="24" t="str">
        <f>IFERROR(VLOOKUP(F1468, 'api-register-id'!B:F, 5, FALSE), "Not found path.")</f>
        <v>APIMX000194</v>
      </c>
      <c r="F1468" s="215" t="s">
        <v>3187</v>
      </c>
      <c r="G1468" s="26" t="s">
        <v>7452</v>
      </c>
      <c r="H1468" s="199" t="s">
        <v>6337</v>
      </c>
      <c r="I1468" s="29"/>
      <c r="J1468" s="216" t="s">
        <v>2950</v>
      </c>
      <c r="K1468" s="250" t="s">
        <v>48</v>
      </c>
      <c r="L1468" s="213" t="s">
        <v>49</v>
      </c>
      <c r="M1468" s="216" t="s">
        <v>6338</v>
      </c>
      <c r="N1468" s="217" t="str">
        <f t="shared" si="51"/>
        <v>POST /system/documentManagementAndArchive/documentServices/v1/corporate/file/delete</v>
      </c>
      <c r="O1468" s="40"/>
      <c r="P1468" s="40"/>
      <c r="Q1468" s="36" t="s">
        <v>7453</v>
      </c>
      <c r="R1468" s="31" t="s">
        <v>56</v>
      </c>
      <c r="S1468" s="218" t="str">
        <f t="shared" si="52"/>
        <v>https://github.com/SF-Bancoppel/mx-api-bc-pro-document-services-corp</v>
      </c>
      <c r="T1468" s="40"/>
      <c r="U1468" s="22"/>
      <c r="V1468" s="40"/>
      <c r="W1468" s="40"/>
      <c r="X1468" s="40"/>
      <c r="Y1468" s="40"/>
      <c r="Z1468" s="40"/>
      <c r="AA1468" s="40"/>
      <c r="AB1468" s="40"/>
    </row>
    <row r="1469" ht="18.75" customHeight="1">
      <c r="A1469" s="18" t="s">
        <v>1827</v>
      </c>
      <c r="B1469" s="22" t="s">
        <v>3063</v>
      </c>
      <c r="C1469" s="213" t="s">
        <v>41</v>
      </c>
      <c r="D1469" s="213" t="s">
        <v>119</v>
      </c>
      <c r="E1469" s="24" t="str">
        <f>IFERROR(VLOOKUP(F1469, 'api-register-id'!B:F, 5, FALSE), "Not found path.")</f>
        <v>APIMX000192</v>
      </c>
      <c r="F1469" s="215" t="s">
        <v>3057</v>
      </c>
      <c r="G1469" s="26" t="s">
        <v>7454</v>
      </c>
      <c r="H1469" s="199" t="s">
        <v>6378</v>
      </c>
      <c r="I1469" s="29"/>
      <c r="J1469" s="216" t="s">
        <v>1028</v>
      </c>
      <c r="K1469" s="250" t="s">
        <v>48</v>
      </c>
      <c r="L1469" s="213" t="s">
        <v>49</v>
      </c>
      <c r="M1469" s="216" t="s">
        <v>6338</v>
      </c>
      <c r="N1469" s="217" t="str">
        <f t="shared" si="51"/>
        <v>POST /documentManagementAndArchive/documentServices/v1/corporate/file/delete</v>
      </c>
      <c r="O1469" s="40"/>
      <c r="P1469" s="40"/>
      <c r="Q1469" s="36" t="s">
        <v>7455</v>
      </c>
      <c r="R1469" s="31" t="s">
        <v>56</v>
      </c>
      <c r="S1469" s="218" t="str">
        <f t="shared" si="52"/>
        <v>https://github.com/SF-Bancoppel/mx-api-bc-dom-document-services-corp</v>
      </c>
      <c r="T1469" s="40"/>
      <c r="U1469" s="22"/>
      <c r="V1469" s="40"/>
      <c r="W1469" s="40"/>
      <c r="X1469" s="40"/>
      <c r="Y1469" s="40"/>
      <c r="Z1469" s="40"/>
      <c r="AA1469" s="40"/>
      <c r="AB1469" s="40"/>
    </row>
    <row r="1470" ht="18.75" customHeight="1">
      <c r="A1470" s="18" t="s">
        <v>1827</v>
      </c>
      <c r="B1470" s="22" t="s">
        <v>1921</v>
      </c>
      <c r="C1470" s="213" t="s">
        <v>41</v>
      </c>
      <c r="D1470" s="213" t="s">
        <v>811</v>
      </c>
      <c r="E1470" s="24" t="str">
        <f>IFERROR(VLOOKUP(F1470, 'api-register-id'!B:F, 5, FALSE), "Not found path.")</f>
        <v>APIMX000157</v>
      </c>
      <c r="F1470" s="215" t="s">
        <v>1917</v>
      </c>
      <c r="G1470" s="26" t="s">
        <v>7456</v>
      </c>
      <c r="H1470" s="199" t="s">
        <v>7457</v>
      </c>
      <c r="I1470" s="29"/>
      <c r="J1470" s="194" t="s">
        <v>5276</v>
      </c>
      <c r="K1470" s="31" t="s">
        <v>48</v>
      </c>
      <c r="L1470" s="213" t="s">
        <v>49</v>
      </c>
      <c r="M1470" s="216" t="s">
        <v>7458</v>
      </c>
      <c r="N1470" s="217" t="str">
        <f t="shared" si="51"/>
        <v>POST /system/accountManagement/transactionEngine/v1/corporate/fileRecords/delete</v>
      </c>
      <c r="O1470" s="40"/>
      <c r="P1470" s="40"/>
      <c r="Q1470" s="36" t="s">
        <v>7459</v>
      </c>
      <c r="R1470" s="31" t="s">
        <v>56</v>
      </c>
      <c r="S1470" s="218" t="str">
        <f t="shared" si="52"/>
        <v>https://github.com/SF-Bancoppel/mx-api-bc-pro-transaction-engine-corp</v>
      </c>
      <c r="T1470" s="40"/>
      <c r="U1470" s="22"/>
      <c r="V1470" s="40"/>
      <c r="W1470" s="40"/>
      <c r="X1470" s="40"/>
      <c r="Y1470" s="40"/>
      <c r="Z1470" s="40"/>
      <c r="AA1470" s="40"/>
      <c r="AB1470" s="40"/>
    </row>
    <row r="1471" ht="18.75" customHeight="1">
      <c r="A1471" s="18" t="s">
        <v>1827</v>
      </c>
      <c r="B1471" s="22" t="s">
        <v>1964</v>
      </c>
      <c r="C1471" s="213" t="s">
        <v>41</v>
      </c>
      <c r="D1471" s="213" t="s">
        <v>119</v>
      </c>
      <c r="E1471" s="24" t="str">
        <f>IFERROR(VLOOKUP(F1471, 'api-register-id'!B:F, 5, FALSE), "Not found path.")</f>
        <v>APIMX000159</v>
      </c>
      <c r="F1471" s="215" t="s">
        <v>1963</v>
      </c>
      <c r="G1471" s="26" t="s">
        <v>7460</v>
      </c>
      <c r="H1471" s="199" t="s">
        <v>7461</v>
      </c>
      <c r="I1471" s="29"/>
      <c r="J1471" s="194" t="s">
        <v>1938</v>
      </c>
      <c r="K1471" s="31" t="s">
        <v>48</v>
      </c>
      <c r="L1471" s="213" t="s">
        <v>49</v>
      </c>
      <c r="M1471" s="216" t="s">
        <v>7458</v>
      </c>
      <c r="N1471" s="217" t="str">
        <f t="shared" si="51"/>
        <v>POST /accountManagement/transactionEngine/v1/corporate/fileRecords/delete</v>
      </c>
      <c r="O1471" s="40"/>
      <c r="P1471" s="40"/>
      <c r="Q1471" s="36" t="s">
        <v>7462</v>
      </c>
      <c r="R1471" s="31" t="s">
        <v>56</v>
      </c>
      <c r="S1471" s="218" t="str">
        <f t="shared" si="52"/>
        <v>https://github.com/SF-Bancoppel/mx-api-bc-dom-transaction-engine-corp</v>
      </c>
      <c r="T1471" s="40"/>
      <c r="U1471" s="22"/>
      <c r="V1471" s="40"/>
      <c r="W1471" s="40"/>
      <c r="X1471" s="40"/>
      <c r="Y1471" s="40"/>
      <c r="Z1471" s="40"/>
      <c r="AA1471" s="40"/>
      <c r="AB1471" s="40"/>
    </row>
    <row r="1472" ht="18.75" customHeight="1">
      <c r="A1472" s="18" t="s">
        <v>1827</v>
      </c>
      <c r="B1472" s="22" t="s">
        <v>3063</v>
      </c>
      <c r="C1472" s="213" t="s">
        <v>41</v>
      </c>
      <c r="D1472" s="213" t="s">
        <v>119</v>
      </c>
      <c r="E1472" s="24" t="str">
        <f>IFERROR(VLOOKUP(F1472, 'api-register-id'!B:F, 5, FALSE), "Not found path.")</f>
        <v>APIMX000192</v>
      </c>
      <c r="F1472" s="215" t="s">
        <v>3057</v>
      </c>
      <c r="G1472" s="26" t="s">
        <v>7463</v>
      </c>
      <c r="H1472" s="199" t="s">
        <v>7464</v>
      </c>
      <c r="I1472" s="29"/>
      <c r="J1472" s="216" t="s">
        <v>1028</v>
      </c>
      <c r="K1472" s="31" t="s">
        <v>6671</v>
      </c>
      <c r="L1472" s="213" t="s">
        <v>49</v>
      </c>
      <c r="M1472" s="216" t="s">
        <v>7465</v>
      </c>
      <c r="N1472" s="217" t="str">
        <f t="shared" si="51"/>
        <v>POST /documentManagementAndArchive/documentServices/v1/corporate/file/register</v>
      </c>
      <c r="O1472" s="40"/>
      <c r="P1472" s="40"/>
      <c r="Q1472" s="36" t="s">
        <v>7466</v>
      </c>
      <c r="R1472" s="31" t="s">
        <v>56</v>
      </c>
      <c r="S1472" s="218" t="str">
        <f t="shared" si="52"/>
        <v>https://github.com/SF-Bancoppel/mx-api-bc-dom-document-services-corp</v>
      </c>
      <c r="T1472" s="40"/>
      <c r="U1472" s="22"/>
      <c r="V1472" s="40"/>
      <c r="W1472" s="40"/>
      <c r="X1472" s="40"/>
      <c r="Y1472" s="40"/>
      <c r="Z1472" s="40"/>
      <c r="AA1472" s="40"/>
      <c r="AB1472" s="40"/>
    </row>
    <row r="1473" ht="18.75" customHeight="1">
      <c r="A1473" s="18" t="s">
        <v>1827</v>
      </c>
      <c r="B1473" s="22" t="s">
        <v>3864</v>
      </c>
      <c r="C1473" s="213" t="s">
        <v>41</v>
      </c>
      <c r="D1473" s="213" t="s">
        <v>119</v>
      </c>
      <c r="E1473" s="24" t="str">
        <f>IFERROR(VLOOKUP(F1473, 'api-register-id'!B:F, 5, FALSE), "Not found path.")</f>
        <v>APIMX000224</v>
      </c>
      <c r="F1473" s="215" t="s">
        <v>3863</v>
      </c>
      <c r="G1473" s="26" t="s">
        <v>7467</v>
      </c>
      <c r="H1473" s="199" t="s">
        <v>7468</v>
      </c>
      <c r="I1473" s="29"/>
      <c r="J1473" s="216" t="s">
        <v>7469</v>
      </c>
      <c r="K1473" s="31" t="s">
        <v>48</v>
      </c>
      <c r="L1473" s="213" t="s">
        <v>49</v>
      </c>
      <c r="M1473" s="192" t="s">
        <v>7470</v>
      </c>
      <c r="N1473" s="217" t="str">
        <f t="shared" si="51"/>
        <v>POST /itManagement/operationalGateway/v1/corporate/message/exchange</v>
      </c>
      <c r="O1473" s="40"/>
      <c r="P1473" s="40"/>
      <c r="Q1473" s="36" t="s">
        <v>7471</v>
      </c>
      <c r="R1473" s="31" t="s">
        <v>56</v>
      </c>
      <c r="S1473" s="218" t="str">
        <f t="shared" si="52"/>
        <v>https://github.com/SF-Bancoppel/mx-api-bc-dom-operational-gateway-corp</v>
      </c>
      <c r="T1473" s="40"/>
      <c r="U1473" s="22"/>
      <c r="V1473" s="40"/>
      <c r="W1473" s="40"/>
      <c r="X1473" s="40"/>
      <c r="Y1473" s="40"/>
      <c r="Z1473" s="40"/>
      <c r="AA1473" s="40"/>
      <c r="AB1473" s="40"/>
    </row>
    <row r="1474" ht="18.75" customHeight="1">
      <c r="A1474" s="18" t="s">
        <v>1827</v>
      </c>
      <c r="B1474" s="22" t="s">
        <v>3063</v>
      </c>
      <c r="C1474" s="213" t="s">
        <v>41</v>
      </c>
      <c r="D1474" s="213" t="s">
        <v>119</v>
      </c>
      <c r="E1474" s="24" t="str">
        <f>IFERROR(VLOOKUP(F1474, 'api-register-id'!B:F, 5, FALSE), "Not found path.")</f>
        <v>APIMX000192</v>
      </c>
      <c r="F1474" s="215" t="s">
        <v>3057</v>
      </c>
      <c r="G1474" s="26" t="s">
        <v>7472</v>
      </c>
      <c r="H1474" s="199" t="s">
        <v>7473</v>
      </c>
      <c r="I1474" s="29"/>
      <c r="J1474" s="216" t="s">
        <v>1028</v>
      </c>
      <c r="K1474" s="31" t="s">
        <v>48</v>
      </c>
      <c r="L1474" s="213" t="s">
        <v>49</v>
      </c>
      <c r="M1474" s="216" t="s">
        <v>7474</v>
      </c>
      <c r="N1474" s="217" t="str">
        <f t="shared" si="51"/>
        <v>POST /documentManagementAndArchive/documentServices/v1/corporate/fileRecords/create</v>
      </c>
      <c r="O1474" s="40"/>
      <c r="P1474" s="40"/>
      <c r="Q1474" s="36" t="s">
        <v>7475</v>
      </c>
      <c r="R1474" s="31" t="s">
        <v>56</v>
      </c>
      <c r="S1474" s="218" t="str">
        <f t="shared" si="52"/>
        <v>https://github.com/SF-Bancoppel/mx-api-bc-dom-document-services-corp</v>
      </c>
      <c r="T1474" s="40"/>
      <c r="U1474" s="22"/>
      <c r="V1474" s="40"/>
      <c r="W1474" s="40"/>
      <c r="X1474" s="40"/>
      <c r="Y1474" s="40"/>
      <c r="Z1474" s="40"/>
      <c r="AA1474" s="40"/>
      <c r="AB1474" s="40"/>
    </row>
    <row r="1475" ht="18.75" customHeight="1">
      <c r="A1475" s="18" t="s">
        <v>1827</v>
      </c>
      <c r="B1475" s="22" t="s">
        <v>3198</v>
      </c>
      <c r="C1475" s="213" t="s">
        <v>41</v>
      </c>
      <c r="D1475" s="213" t="s">
        <v>811</v>
      </c>
      <c r="E1475" s="24" t="str">
        <f>IFERROR(VLOOKUP(F1475, 'api-register-id'!B:F, 5, FALSE), "Not found path.")</f>
        <v>APIMX000194</v>
      </c>
      <c r="F1475" s="215" t="s">
        <v>3187</v>
      </c>
      <c r="G1475" s="26" t="s">
        <v>7476</v>
      </c>
      <c r="H1475" s="199" t="s">
        <v>7477</v>
      </c>
      <c r="I1475" s="29"/>
      <c r="J1475" s="216" t="s">
        <v>2950</v>
      </c>
      <c r="K1475" s="31" t="s">
        <v>48</v>
      </c>
      <c r="L1475" s="213" t="s">
        <v>49</v>
      </c>
      <c r="M1475" s="216" t="s">
        <v>7474</v>
      </c>
      <c r="N1475" s="217" t="str">
        <f t="shared" si="51"/>
        <v>POST /system/documentManagementAndArchive/documentServices/v1/corporate/fileRecords/create</v>
      </c>
      <c r="O1475" s="40"/>
      <c r="P1475" s="40"/>
      <c r="Q1475" s="36" t="s">
        <v>7478</v>
      </c>
      <c r="R1475" s="31" t="s">
        <v>56</v>
      </c>
      <c r="S1475" s="218" t="str">
        <f t="shared" si="52"/>
        <v>https://github.com/SF-Bancoppel/mx-api-bc-pro-document-services-corp</v>
      </c>
      <c r="T1475" s="40"/>
      <c r="U1475" s="22"/>
      <c r="V1475" s="40"/>
      <c r="W1475" s="40"/>
      <c r="X1475" s="40"/>
      <c r="Y1475" s="40"/>
      <c r="Z1475" s="40"/>
      <c r="AA1475" s="40"/>
      <c r="AB1475" s="40"/>
    </row>
    <row r="1476" ht="18.75" customHeight="1">
      <c r="A1476" s="18" t="s">
        <v>1827</v>
      </c>
      <c r="B1476" s="22" t="s">
        <v>4091</v>
      </c>
      <c r="C1476" s="213" t="s">
        <v>7413</v>
      </c>
      <c r="D1476" s="213" t="s">
        <v>3669</v>
      </c>
      <c r="E1476" s="24" t="str">
        <f>IFERROR(VLOOKUP(F1476, 'api-register-id'!B:F, 5, FALSE), "Not found path.")</f>
        <v>WRKMX000002</v>
      </c>
      <c r="F1476" s="215" t="s">
        <v>4086</v>
      </c>
      <c r="G1476" s="26" t="s">
        <v>7479</v>
      </c>
      <c r="H1476" s="199" t="s">
        <v>7480</v>
      </c>
      <c r="I1476" s="29"/>
      <c r="J1476" s="192" t="s">
        <v>7416</v>
      </c>
      <c r="K1476" s="31" t="s">
        <v>48</v>
      </c>
      <c r="L1476" s="213" t="s">
        <v>7417</v>
      </c>
      <c r="M1476" s="216" t="s">
        <v>7481</v>
      </c>
      <c r="N1476" s="217" t="str">
        <f t="shared" si="51"/>
        <v>QUEUE NA[Queue] q.transferFunds.initiate
[Dead Leter Queue] dlq.transferFunds.initiate</v>
      </c>
      <c r="O1476" s="40"/>
      <c r="P1476" s="40"/>
      <c r="Q1476" s="36" t="s">
        <v>7482</v>
      </c>
      <c r="R1476" s="31" t="s">
        <v>56</v>
      </c>
      <c r="S1476" s="218" t="str">
        <f t="shared" si="52"/>
        <v>https://github.com/SF-Bancoppel/mx-api-bc-wrk-payment-execution-corp</v>
      </c>
      <c r="T1476" s="40"/>
      <c r="U1476" s="22"/>
      <c r="V1476" s="40"/>
      <c r="W1476" s="40"/>
      <c r="X1476" s="40"/>
      <c r="Y1476" s="40"/>
      <c r="Z1476" s="40"/>
      <c r="AA1476" s="40"/>
      <c r="AB1476" s="40"/>
    </row>
    <row r="1477" ht="18.75" customHeight="1">
      <c r="A1477" s="18" t="s">
        <v>1827</v>
      </c>
      <c r="B1477" s="22" t="s">
        <v>4091</v>
      </c>
      <c r="C1477" s="213" t="s">
        <v>7413</v>
      </c>
      <c r="D1477" s="213" t="s">
        <v>3669</v>
      </c>
      <c r="E1477" s="24" t="str">
        <f>IFERROR(VLOOKUP(F1477, 'api-register-id'!B:F, 5, FALSE), "Not found path.")</f>
        <v>WRKMX000002</v>
      </c>
      <c r="F1477" s="215" t="s">
        <v>4086</v>
      </c>
      <c r="G1477" s="26" t="s">
        <v>7483</v>
      </c>
      <c r="H1477" s="199" t="s">
        <v>7484</v>
      </c>
      <c r="I1477" s="29"/>
      <c r="J1477" s="192" t="s">
        <v>7416</v>
      </c>
      <c r="K1477" s="31" t="s">
        <v>48</v>
      </c>
      <c r="L1477" s="213" t="s">
        <v>7417</v>
      </c>
      <c r="M1477" s="192"/>
      <c r="N1477" s="217" t="str">
        <f t="shared" si="51"/>
        <v>QUEUE NA</v>
      </c>
      <c r="O1477" s="40"/>
      <c r="P1477" s="40"/>
      <c r="Q1477" s="36" t="s">
        <v>7485</v>
      </c>
      <c r="R1477" s="31" t="s">
        <v>56</v>
      </c>
      <c r="S1477" s="218" t="str">
        <f t="shared" si="52"/>
        <v>https://github.com/SF-Bancoppel/mx-api-bc-wrk-payment-execution-corp</v>
      </c>
      <c r="T1477" s="40"/>
      <c r="U1477" s="22"/>
      <c r="V1477" s="40"/>
      <c r="W1477" s="40"/>
      <c r="X1477" s="40"/>
      <c r="Y1477" s="40"/>
      <c r="Z1477" s="40"/>
      <c r="AA1477" s="40"/>
      <c r="AB1477" s="40"/>
    </row>
    <row r="1478" ht="18.75" customHeight="1">
      <c r="A1478" s="18" t="s">
        <v>1827</v>
      </c>
      <c r="B1478" s="22" t="s">
        <v>4091</v>
      </c>
      <c r="C1478" s="213" t="s">
        <v>7413</v>
      </c>
      <c r="D1478" s="213" t="s">
        <v>3669</v>
      </c>
      <c r="E1478" s="24" t="str">
        <f>IFERROR(VLOOKUP(F1478, 'api-register-id'!B:F, 5, FALSE), "Not found path.")</f>
        <v>WRKMX000002</v>
      </c>
      <c r="F1478" s="215" t="s">
        <v>4086</v>
      </c>
      <c r="G1478" s="26" t="s">
        <v>7486</v>
      </c>
      <c r="H1478" s="199" t="s">
        <v>7487</v>
      </c>
      <c r="I1478" s="29"/>
      <c r="J1478" s="192" t="s">
        <v>7416</v>
      </c>
      <c r="K1478" s="31" t="s">
        <v>48</v>
      </c>
      <c r="L1478" s="213" t="s">
        <v>7417</v>
      </c>
      <c r="M1478" s="192" t="s">
        <v>7488</v>
      </c>
      <c r="N1478" s="217" t="str">
        <f t="shared" si="51"/>
        <v>QUEUE NA[Queue] q.fundsTransferSPEI.execute
[Dead Leter Queue] dlq.fundsTransferSPEI.execute</v>
      </c>
      <c r="O1478" s="40"/>
      <c r="P1478" s="40"/>
      <c r="Q1478" s="36" t="s">
        <v>7489</v>
      </c>
      <c r="R1478" s="31" t="s">
        <v>56</v>
      </c>
      <c r="S1478" s="218" t="str">
        <f t="shared" si="52"/>
        <v>https://github.com/SF-Bancoppel/mx-api-bc-wrk-payment-execution-corp</v>
      </c>
      <c r="T1478" s="40"/>
      <c r="U1478" s="22"/>
      <c r="V1478" s="40"/>
      <c r="W1478" s="40"/>
      <c r="X1478" s="40"/>
      <c r="Y1478" s="40"/>
      <c r="Z1478" s="40"/>
      <c r="AA1478" s="40"/>
      <c r="AB1478" s="40"/>
    </row>
    <row r="1479" ht="18.75" customHeight="1">
      <c r="A1479" s="18" t="s">
        <v>1827</v>
      </c>
      <c r="B1479" s="22" t="s">
        <v>4091</v>
      </c>
      <c r="C1479" s="213" t="s">
        <v>7413</v>
      </c>
      <c r="D1479" s="213" t="s">
        <v>3669</v>
      </c>
      <c r="E1479" s="24" t="str">
        <f>IFERROR(VLOOKUP(F1479, 'api-register-id'!B:F, 5, FALSE), "Not found path.")</f>
        <v>WRKMX000002</v>
      </c>
      <c r="F1479" s="215" t="s">
        <v>4086</v>
      </c>
      <c r="G1479" s="26" t="s">
        <v>7490</v>
      </c>
      <c r="H1479" s="199" t="s">
        <v>7491</v>
      </c>
      <c r="I1479" s="29"/>
      <c r="J1479" s="192" t="s">
        <v>7416</v>
      </c>
      <c r="K1479" s="31" t="s">
        <v>48</v>
      </c>
      <c r="L1479" s="213" t="s">
        <v>7417</v>
      </c>
      <c r="M1479" s="192" t="s">
        <v>7492</v>
      </c>
      <c r="N1479" s="217" t="str">
        <f t="shared" si="51"/>
        <v>QUEUE NA[Queue] q.fundsTransferIntraBanckMassive.execute
[Dead Leter Queue] dlq.fundsTransferIntraBanckMassive.execute</v>
      </c>
      <c r="O1479" s="40"/>
      <c r="P1479" s="40"/>
      <c r="Q1479" s="36" t="s">
        <v>7493</v>
      </c>
      <c r="R1479" s="31" t="s">
        <v>56</v>
      </c>
      <c r="S1479" s="218" t="str">
        <f t="shared" si="52"/>
        <v>https://github.com/SF-Bancoppel/mx-api-bc-wrk-payment-execution-corp</v>
      </c>
      <c r="T1479" s="40"/>
      <c r="U1479" s="22"/>
      <c r="V1479" s="40"/>
      <c r="W1479" s="40"/>
      <c r="X1479" s="40"/>
      <c r="Y1479" s="40"/>
      <c r="Z1479" s="40"/>
      <c r="AA1479" s="40"/>
      <c r="AB1479" s="40"/>
    </row>
    <row r="1480" ht="18.75" customHeight="1">
      <c r="A1480" s="18" t="s">
        <v>1827</v>
      </c>
      <c r="B1480" s="311" t="s">
        <v>2638</v>
      </c>
      <c r="C1480" s="213" t="s">
        <v>41</v>
      </c>
      <c r="D1480" s="213" t="s">
        <v>119</v>
      </c>
      <c r="E1480" s="24" t="str">
        <f>IFERROR(VLOOKUP(F1480, 'api-register-id'!B:F, 5, FALSE), "Not found path.")</f>
        <v>APIMX000174</v>
      </c>
      <c r="F1480" s="219" t="s">
        <v>2636</v>
      </c>
      <c r="G1480" s="26" t="s">
        <v>7494</v>
      </c>
      <c r="H1480" s="339" t="s">
        <v>6446</v>
      </c>
      <c r="I1480" s="29"/>
      <c r="J1480" s="318" t="s">
        <v>1504</v>
      </c>
      <c r="K1480" s="31" t="s">
        <v>48</v>
      </c>
      <c r="L1480" s="213" t="s">
        <v>61</v>
      </c>
      <c r="M1480" s="192" t="s">
        <v>6447</v>
      </c>
      <c r="N1480" s="217" t="str">
        <f t="shared" si="51"/>
        <v>PUT /customerManagement/partyReferenceDataDirectory/v1/corporate/user/update</v>
      </c>
      <c r="O1480" s="40"/>
      <c r="P1480" s="40"/>
      <c r="Q1480" s="36" t="s">
        <v>7495</v>
      </c>
      <c r="R1480" s="31" t="s">
        <v>56</v>
      </c>
      <c r="S1480" s="218" t="str">
        <f t="shared" si="52"/>
        <v>https://github.com/SF-Bancoppel/mx-api-bc-dom-party-ref-dat-dir-corp</v>
      </c>
      <c r="T1480" s="40"/>
      <c r="U1480" s="22"/>
      <c r="V1480" s="40"/>
      <c r="W1480" s="40"/>
      <c r="X1480" s="40"/>
      <c r="Y1480" s="40"/>
      <c r="Z1480" s="40"/>
      <c r="AA1480" s="40"/>
      <c r="AB1480" s="40"/>
    </row>
    <row r="1481" ht="18.75" customHeight="1">
      <c r="A1481" s="340"/>
      <c r="B1481" s="341"/>
      <c r="C1481" s="342"/>
      <c r="D1481" s="342"/>
      <c r="E1481" s="340"/>
      <c r="F1481" s="343"/>
      <c r="G1481" s="344"/>
      <c r="H1481" s="345"/>
      <c r="I1481" s="346"/>
      <c r="J1481" s="347"/>
      <c r="K1481" s="340"/>
      <c r="L1481" s="342"/>
      <c r="M1481" s="348"/>
      <c r="N1481" s="349"/>
      <c r="O1481" s="350"/>
      <c r="P1481" s="350"/>
      <c r="Q1481" s="351"/>
      <c r="R1481" s="340"/>
      <c r="S1481" s="352"/>
      <c r="T1481" s="350"/>
      <c r="U1481" s="353"/>
      <c r="V1481" s="350"/>
      <c r="W1481" s="350"/>
      <c r="X1481" s="350"/>
      <c r="Y1481" s="350"/>
      <c r="Z1481" s="350"/>
      <c r="AA1481" s="350"/>
      <c r="AB1481" s="350"/>
    </row>
    <row r="1482" ht="18.75" customHeight="1">
      <c r="A1482" s="18" t="s">
        <v>44</v>
      </c>
      <c r="B1482" s="22" t="str">
        <f>IFERROR(VLOOKUP(F1482, 'api-register-id'!B:F, 4, FALSE), "Not found path.")</f>
        <v>mx-api-cpp-rec-party-retail-reference-data-directory</v>
      </c>
      <c r="C1482" s="213" t="s">
        <v>112</v>
      </c>
      <c r="D1482" s="213" t="s">
        <v>1417</v>
      </c>
      <c r="E1482" s="24" t="str">
        <f>IFERROR(VLOOKUP(F1482, 'api-register-id'!B:F, 5, FALSE), "Not found path.")</f>
        <v>APIMX000223</v>
      </c>
      <c r="F1482" s="219" t="s">
        <v>3847</v>
      </c>
      <c r="G1482" s="26" t="s">
        <v>7496</v>
      </c>
      <c r="H1482" s="199" t="s">
        <v>7497</v>
      </c>
      <c r="I1482" s="29" t="s">
        <v>162</v>
      </c>
      <c r="J1482" s="318" t="s">
        <v>7498</v>
      </c>
      <c r="K1482" s="31" t="s">
        <v>48</v>
      </c>
      <c r="L1482" s="213" t="s">
        <v>61</v>
      </c>
      <c r="M1482" s="192" t="s">
        <v>7499</v>
      </c>
      <c r="N1482" s="217" t="s">
        <v>7500</v>
      </c>
      <c r="O1482" s="22" t="s">
        <v>1610</v>
      </c>
      <c r="P1482" s="40"/>
      <c r="Q1482" s="212"/>
      <c r="R1482" s="31" t="s">
        <v>56</v>
      </c>
      <c r="S1482" s="218" t="str">
        <f t="shared" ref="S1482:S1549" si="53">"https://github.com/SF-Bancoppel/"&amp;B1482</f>
        <v>https://github.com/SF-Bancoppel/mx-api-cpp-rec-party-retail-reference-data-directory</v>
      </c>
      <c r="T1482" s="40"/>
      <c r="U1482" s="40"/>
      <c r="V1482" s="40"/>
      <c r="W1482" s="40"/>
      <c r="X1482" s="40"/>
      <c r="Y1482" s="40"/>
      <c r="Z1482" s="40"/>
      <c r="AA1482" s="40"/>
      <c r="AB1482" s="40"/>
    </row>
    <row r="1483" ht="18.75" customHeight="1">
      <c r="A1483" s="18" t="s">
        <v>44</v>
      </c>
      <c r="B1483" s="22" t="str">
        <f>IFERROR(VLOOKUP(F1483, 'api-register-id'!B:F, 4, FALSE), "Not found path.")</f>
        <v>mx-api-bc-rec-sales-and-service</v>
      </c>
      <c r="C1483" s="213" t="s">
        <v>112</v>
      </c>
      <c r="D1483" s="213" t="s">
        <v>1417</v>
      </c>
      <c r="E1483" s="24" t="str">
        <f>IFERROR(VLOOKUP(F1483, 'api-register-id'!B:F, 5, FALSE), "Not found path.")</f>
        <v>APIMX000148</v>
      </c>
      <c r="F1483" s="219" t="s">
        <v>1764</v>
      </c>
      <c r="G1483" s="26" t="s">
        <v>7501</v>
      </c>
      <c r="H1483" s="199" t="s">
        <v>7502</v>
      </c>
      <c r="I1483" s="29" t="s">
        <v>7503</v>
      </c>
      <c r="J1483" s="318" t="s">
        <v>7504</v>
      </c>
      <c r="K1483" s="31" t="s">
        <v>48</v>
      </c>
      <c r="L1483" s="213" t="s">
        <v>49</v>
      </c>
      <c r="M1483" s="192" t="s">
        <v>7505</v>
      </c>
      <c r="N1483" s="217" t="s">
        <v>7506</v>
      </c>
      <c r="O1483" s="22" t="s">
        <v>7507</v>
      </c>
      <c r="P1483" s="40"/>
      <c r="Q1483" s="212"/>
      <c r="R1483" s="31" t="s">
        <v>56</v>
      </c>
      <c r="S1483" s="218" t="str">
        <f t="shared" si="53"/>
        <v>https://github.com/SF-Bancoppel/mx-api-bc-rec-sales-and-service</v>
      </c>
      <c r="T1483" s="40"/>
      <c r="U1483" s="40"/>
      <c r="V1483" s="40"/>
      <c r="W1483" s="40"/>
      <c r="X1483" s="40"/>
      <c r="Y1483" s="40"/>
      <c r="Z1483" s="40"/>
      <c r="AA1483" s="40"/>
      <c r="AB1483" s="40"/>
    </row>
    <row r="1484" ht="18.75" customHeight="1">
      <c r="A1484" s="18" t="s">
        <v>44</v>
      </c>
      <c r="B1484" s="22" t="str">
        <f>IFERROR(VLOOKUP(F1484, 'api-register-id'!B:F, 4, FALSE), "Not found path.")</f>
        <v>mx-api-bc-bus-sales-and-service</v>
      </c>
      <c r="C1484" s="213" t="s">
        <v>41</v>
      </c>
      <c r="D1484" s="213" t="s">
        <v>42</v>
      </c>
      <c r="E1484" s="24" t="str">
        <f>IFERROR(VLOOKUP(F1484, 'api-register-id'!B:F, 5, FALSE), "Not found path.")</f>
        <v>APIMX000004</v>
      </c>
      <c r="F1484" s="219" t="s">
        <v>101</v>
      </c>
      <c r="G1484" s="26" t="s">
        <v>7508</v>
      </c>
      <c r="H1484" s="199" t="s">
        <v>7509</v>
      </c>
      <c r="I1484" s="29" t="s">
        <v>7503</v>
      </c>
      <c r="J1484" s="318" t="s">
        <v>7250</v>
      </c>
      <c r="K1484" s="31" t="s">
        <v>48</v>
      </c>
      <c r="L1484" s="213" t="s">
        <v>49</v>
      </c>
      <c r="M1484" s="192" t="s">
        <v>7505</v>
      </c>
      <c r="N1484" s="217" t="s">
        <v>7510</v>
      </c>
      <c r="O1484" s="22" t="s">
        <v>7507</v>
      </c>
      <c r="P1484" s="40"/>
      <c r="Q1484" s="36" t="s">
        <v>7511</v>
      </c>
      <c r="R1484" s="31" t="s">
        <v>56</v>
      </c>
      <c r="S1484" s="218" t="str">
        <f t="shared" si="53"/>
        <v>https://github.com/SF-Bancoppel/mx-api-bc-bus-sales-and-service</v>
      </c>
      <c r="T1484" s="40"/>
      <c r="U1484" s="40"/>
      <c r="V1484" s="40"/>
      <c r="W1484" s="40"/>
      <c r="X1484" s="40"/>
      <c r="Y1484" s="40"/>
      <c r="Z1484" s="40"/>
      <c r="AA1484" s="40"/>
      <c r="AB1484" s="40"/>
    </row>
    <row r="1485" ht="18.75" customHeight="1">
      <c r="A1485" s="18" t="s">
        <v>44</v>
      </c>
      <c r="B1485" s="22" t="str">
        <f>IFERROR(VLOOKUP(F1485, 'api-register-id'!B:F, 4, FALSE), "Not found path.")</f>
        <v>mx-api-bc-dom-counterparty-risk</v>
      </c>
      <c r="C1485" s="213" t="s">
        <v>41</v>
      </c>
      <c r="D1485" s="213" t="s">
        <v>119</v>
      </c>
      <c r="E1485" s="24" t="str">
        <f>IFERROR(VLOOKUP(F1485, 'api-register-id'!B:F, 5, FALSE), "Not found path.")</f>
        <v>APIMX000011</v>
      </c>
      <c r="F1485" s="219" t="s">
        <v>202</v>
      </c>
      <c r="G1485" s="26" t="s">
        <v>7512</v>
      </c>
      <c r="H1485" s="199" t="s">
        <v>7513</v>
      </c>
      <c r="I1485" s="29" t="s">
        <v>1541</v>
      </c>
      <c r="J1485" s="318" t="s">
        <v>531</v>
      </c>
      <c r="K1485" s="31" t="s">
        <v>48</v>
      </c>
      <c r="L1485" s="213" t="s">
        <v>49</v>
      </c>
      <c r="M1485" s="192" t="s">
        <v>7505</v>
      </c>
      <c r="N1485" s="217" t="s">
        <v>7514</v>
      </c>
      <c r="O1485" s="22" t="s">
        <v>7515</v>
      </c>
      <c r="P1485" s="40"/>
      <c r="Q1485" s="212"/>
      <c r="R1485" s="31" t="s">
        <v>56</v>
      </c>
      <c r="S1485" s="218" t="str">
        <f t="shared" si="53"/>
        <v>https://github.com/SF-Bancoppel/mx-api-bc-dom-counterparty-risk</v>
      </c>
      <c r="T1485" s="40"/>
      <c r="U1485" s="40"/>
      <c r="V1485" s="40"/>
      <c r="W1485" s="40"/>
      <c r="X1485" s="40"/>
      <c r="Y1485" s="40"/>
      <c r="Z1485" s="40"/>
      <c r="AA1485" s="40"/>
      <c r="AB1485" s="40"/>
    </row>
    <row r="1486" ht="18.75" customHeight="1">
      <c r="A1486" s="18" t="s">
        <v>44</v>
      </c>
      <c r="B1486" s="22" t="str">
        <f>IFERROR(VLOOKUP(F1486, 'api-register-id'!B:F, 4, FALSE), "Not found path.")</f>
        <v>mx-api-bc-pro-counterparty-risk</v>
      </c>
      <c r="C1486" s="213" t="s">
        <v>41</v>
      </c>
      <c r="D1486" s="213" t="s">
        <v>811</v>
      </c>
      <c r="E1486" s="24" t="str">
        <f>IFERROR(VLOOKUP(F1486, 'api-register-id'!B:F, 5, FALSE), "Not found path.")</f>
        <v>APIMX000067</v>
      </c>
      <c r="F1486" s="219" t="s">
        <v>905</v>
      </c>
      <c r="G1486" s="26" t="s">
        <v>7516</v>
      </c>
      <c r="H1486" s="199" t="s">
        <v>7517</v>
      </c>
      <c r="I1486" s="29" t="s">
        <v>1541</v>
      </c>
      <c r="J1486" s="318" t="s">
        <v>2249</v>
      </c>
      <c r="K1486" s="31" t="s">
        <v>48</v>
      </c>
      <c r="L1486" s="213" t="s">
        <v>49</v>
      </c>
      <c r="M1486" s="192" t="s">
        <v>7505</v>
      </c>
      <c r="N1486" s="217" t="s">
        <v>7518</v>
      </c>
      <c r="O1486" s="22" t="s">
        <v>7519</v>
      </c>
      <c r="P1486" s="40"/>
      <c r="Q1486" s="212"/>
      <c r="R1486" s="31" t="s">
        <v>56</v>
      </c>
      <c r="S1486" s="218" t="str">
        <f t="shared" si="53"/>
        <v>https://github.com/SF-Bancoppel/mx-api-bc-pro-counterparty-risk</v>
      </c>
      <c r="T1486" s="40"/>
      <c r="U1486" s="40"/>
      <c r="V1486" s="40"/>
      <c r="W1486" s="40"/>
      <c r="X1486" s="40"/>
      <c r="Y1486" s="40"/>
      <c r="Z1486" s="40"/>
      <c r="AA1486" s="40"/>
      <c r="AB1486" s="40"/>
    </row>
    <row r="1487" ht="18.75" customHeight="1">
      <c r="A1487" s="18" t="s">
        <v>44</v>
      </c>
      <c r="B1487" s="22" t="str">
        <f>IFERROR(VLOOKUP(F1487, 'api-register-id'!B:F, 4, FALSE), "Not found path.")</f>
        <v>mx-api-bc-rec-cards</v>
      </c>
      <c r="C1487" s="213" t="s">
        <v>112</v>
      </c>
      <c r="D1487" s="213" t="s">
        <v>1417</v>
      </c>
      <c r="E1487" s="24" t="str">
        <f>IFERROR(VLOOKUP(F1487, 'api-register-id'!B:F, 5, FALSE), "Not found path.")</f>
        <v>APIMX000153</v>
      </c>
      <c r="F1487" s="219" t="s">
        <v>1816</v>
      </c>
      <c r="G1487" s="26" t="s">
        <v>7520</v>
      </c>
      <c r="H1487" s="199" t="s">
        <v>7521</v>
      </c>
      <c r="I1487" s="29" t="s">
        <v>7522</v>
      </c>
      <c r="J1487" s="318" t="s">
        <v>5923</v>
      </c>
      <c r="K1487" s="31" t="s">
        <v>48</v>
      </c>
      <c r="L1487" s="213" t="s">
        <v>61</v>
      </c>
      <c r="M1487" s="192" t="s">
        <v>7523</v>
      </c>
      <c r="N1487" s="217" t="s">
        <v>7524</v>
      </c>
      <c r="O1487" s="22" t="s">
        <v>7525</v>
      </c>
      <c r="P1487" s="40"/>
      <c r="Q1487" s="212"/>
      <c r="R1487" s="31" t="s">
        <v>56</v>
      </c>
      <c r="S1487" s="218" t="str">
        <f t="shared" si="53"/>
        <v>https://github.com/SF-Bancoppel/mx-api-bc-rec-cards</v>
      </c>
      <c r="T1487" s="40"/>
      <c r="U1487" s="40"/>
      <c r="V1487" s="40"/>
      <c r="W1487" s="40"/>
      <c r="X1487" s="40"/>
      <c r="Y1487" s="40"/>
      <c r="Z1487" s="40"/>
      <c r="AA1487" s="40"/>
      <c r="AB1487" s="40"/>
    </row>
    <row r="1488" ht="18.75" customHeight="1">
      <c r="A1488" s="18" t="s">
        <v>44</v>
      </c>
      <c r="B1488" s="22" t="str">
        <f>IFERROR(VLOOKUP(F1488, 'api-register-id'!B:F, 4, FALSE), "Not found path.")</f>
        <v>mx-api-bc-bus-cards</v>
      </c>
      <c r="C1488" s="213" t="s">
        <v>41</v>
      </c>
      <c r="D1488" s="213" t="s">
        <v>42</v>
      </c>
      <c r="E1488" s="24" t="str">
        <f>IFERROR(VLOOKUP(F1488, 'api-register-id'!B:F, 5, FALSE), "Not found path.")</f>
        <v>APIMX000156</v>
      </c>
      <c r="F1488" s="219" t="s">
        <v>1895</v>
      </c>
      <c r="G1488" s="26" t="s">
        <v>7526</v>
      </c>
      <c r="H1488" s="199" t="s">
        <v>7527</v>
      </c>
      <c r="I1488" s="29" t="s">
        <v>7522</v>
      </c>
      <c r="J1488" s="318" t="s">
        <v>5947</v>
      </c>
      <c r="K1488" s="31" t="s">
        <v>48</v>
      </c>
      <c r="L1488" s="213" t="s">
        <v>61</v>
      </c>
      <c r="M1488" s="192" t="s">
        <v>7523</v>
      </c>
      <c r="N1488" s="217" t="s">
        <v>7528</v>
      </c>
      <c r="O1488" s="22" t="s">
        <v>7525</v>
      </c>
      <c r="P1488" s="40"/>
      <c r="Q1488" s="212"/>
      <c r="R1488" s="31" t="s">
        <v>56</v>
      </c>
      <c r="S1488" s="218" t="str">
        <f t="shared" si="53"/>
        <v>https://github.com/SF-Bancoppel/mx-api-bc-bus-cards</v>
      </c>
      <c r="T1488" s="40"/>
      <c r="U1488" s="40"/>
      <c r="V1488" s="40"/>
      <c r="W1488" s="40"/>
      <c r="X1488" s="40"/>
      <c r="Y1488" s="40"/>
      <c r="Z1488" s="40"/>
      <c r="AA1488" s="40"/>
      <c r="AB1488" s="40"/>
    </row>
    <row r="1489" ht="18.75" customHeight="1">
      <c r="A1489" s="18" t="s">
        <v>44</v>
      </c>
      <c r="B1489" s="22" t="str">
        <f>IFERROR(VLOOKUP(F1489, 'api-register-id'!B:F, 4, FALSE), "Not found path.")</f>
        <v>mx-api-bc-rec-operation-support</v>
      </c>
      <c r="C1489" s="213" t="s">
        <v>112</v>
      </c>
      <c r="D1489" s="213" t="s">
        <v>1417</v>
      </c>
      <c r="E1489" s="24" t="str">
        <f>IFERROR(VLOOKUP(F1489, 'api-register-id'!B:F, 5, FALSE), "Not found path.")</f>
        <v>APIMX000229</v>
      </c>
      <c r="F1489" s="297" t="s">
        <v>3896</v>
      </c>
      <c r="G1489" s="26" t="s">
        <v>7529</v>
      </c>
      <c r="H1489" s="199" t="s">
        <v>7530</v>
      </c>
      <c r="I1489" s="29" t="s">
        <v>162</v>
      </c>
      <c r="J1489" s="193" t="s">
        <v>7531</v>
      </c>
      <c r="K1489" s="31" t="s">
        <v>48</v>
      </c>
      <c r="L1489" s="213" t="s">
        <v>49</v>
      </c>
      <c r="M1489" s="3" t="s">
        <v>7532</v>
      </c>
      <c r="N1489" s="217" t="s">
        <v>7533</v>
      </c>
      <c r="O1489" s="22" t="s">
        <v>7534</v>
      </c>
      <c r="P1489" s="40"/>
      <c r="Q1489" s="212"/>
      <c r="R1489" s="31" t="s">
        <v>56</v>
      </c>
      <c r="S1489" s="218" t="str">
        <f t="shared" si="53"/>
        <v>https://github.com/SF-Bancoppel/mx-api-bc-rec-operation-support</v>
      </c>
      <c r="T1489" s="40"/>
      <c r="U1489" s="40"/>
      <c r="V1489" s="40"/>
      <c r="W1489" s="40"/>
      <c r="X1489" s="40"/>
      <c r="Y1489" s="40"/>
      <c r="Z1489" s="40"/>
      <c r="AA1489" s="40"/>
      <c r="AB1489" s="40"/>
    </row>
    <row r="1490" ht="18.75" customHeight="1">
      <c r="A1490" s="18" t="s">
        <v>44</v>
      </c>
      <c r="B1490" s="22" t="str">
        <f>IFERROR(VLOOKUP(F1490, 'api-register-id'!B:F, 4, FALSE), "Not found path.")</f>
        <v>mx-api-bc-bus-operation-support</v>
      </c>
      <c r="C1490" s="213" t="s">
        <v>41</v>
      </c>
      <c r="D1490" s="213" t="s">
        <v>42</v>
      </c>
      <c r="E1490" s="24" t="str">
        <f>IFERROR(VLOOKUP(F1490, 'api-register-id'!B:F, 5, FALSE), "Not found path.")</f>
        <v>APIMX000230</v>
      </c>
      <c r="F1490" s="297" t="s">
        <v>3915</v>
      </c>
      <c r="G1490" s="26" t="s">
        <v>7535</v>
      </c>
      <c r="H1490" s="199" t="s">
        <v>7536</v>
      </c>
      <c r="I1490" s="29" t="s">
        <v>162</v>
      </c>
      <c r="J1490" s="193" t="s">
        <v>7537</v>
      </c>
      <c r="K1490" s="31" t="s">
        <v>48</v>
      </c>
      <c r="L1490" s="213" t="s">
        <v>49</v>
      </c>
      <c r="M1490" s="3" t="s">
        <v>7532</v>
      </c>
      <c r="N1490" s="217" t="s">
        <v>7538</v>
      </c>
      <c r="O1490" s="22" t="s">
        <v>7534</v>
      </c>
      <c r="P1490" s="40"/>
      <c r="Q1490" s="212"/>
      <c r="R1490" s="31" t="s">
        <v>56</v>
      </c>
      <c r="S1490" s="218" t="str">
        <f t="shared" si="53"/>
        <v>https://github.com/SF-Bancoppel/mx-api-bc-bus-operation-support</v>
      </c>
      <c r="T1490" s="40"/>
      <c r="U1490" s="40"/>
      <c r="V1490" s="40"/>
      <c r="W1490" s="40"/>
      <c r="X1490" s="40"/>
      <c r="Y1490" s="40"/>
      <c r="Z1490" s="40"/>
      <c r="AA1490" s="40"/>
      <c r="AB1490" s="40"/>
    </row>
    <row r="1491" ht="18.75" customHeight="1">
      <c r="A1491" s="18" t="s">
        <v>44</v>
      </c>
      <c r="B1491" s="22" t="str">
        <f>IFERROR(VLOOKUP(F1491, 'api-register-id'!B:F, 4, FALSE), "Not found path.")</f>
        <v>mx-api-bc-rec-sales-and-service</v>
      </c>
      <c r="C1491" s="213" t="s">
        <v>112</v>
      </c>
      <c r="D1491" s="300" t="s">
        <v>1417</v>
      </c>
      <c r="E1491" s="24" t="str">
        <f>IFERROR(VLOOKUP(F1491, 'api-register-id'!B:F, 5, FALSE), "Not found path.")</f>
        <v>APIMX000148</v>
      </c>
      <c r="F1491" s="1" t="s">
        <v>1764</v>
      </c>
      <c r="G1491" s="26" t="s">
        <v>7539</v>
      </c>
      <c r="H1491" s="199" t="s">
        <v>7540</v>
      </c>
      <c r="I1491" s="29" t="s">
        <v>7541</v>
      </c>
      <c r="J1491" s="193" t="s">
        <v>7504</v>
      </c>
      <c r="K1491" s="31" t="s">
        <v>48</v>
      </c>
      <c r="L1491" s="213" t="s">
        <v>49</v>
      </c>
      <c r="M1491" s="192" t="s">
        <v>7542</v>
      </c>
      <c r="N1491" s="217" t="s">
        <v>7543</v>
      </c>
      <c r="O1491" s="22" t="s">
        <v>7544</v>
      </c>
      <c r="P1491" s="40"/>
      <c r="Q1491" s="212"/>
      <c r="R1491" s="31" t="s">
        <v>56</v>
      </c>
      <c r="S1491" s="218" t="str">
        <f t="shared" si="53"/>
        <v>https://github.com/SF-Bancoppel/mx-api-bc-rec-sales-and-service</v>
      </c>
      <c r="T1491" s="40"/>
      <c r="U1491" s="40"/>
      <c r="V1491" s="40"/>
      <c r="W1491" s="40"/>
      <c r="X1491" s="40"/>
      <c r="Y1491" s="40"/>
      <c r="Z1491" s="40"/>
      <c r="AA1491" s="40"/>
      <c r="AB1491" s="40"/>
    </row>
    <row r="1492" ht="18.75" customHeight="1">
      <c r="A1492" s="79" t="s">
        <v>44</v>
      </c>
      <c r="B1492" s="65" t="str">
        <f>IFERROR(VLOOKUP(F1492, 'api-register-id'!B:F, 4, FALSE), "Not found path.")</f>
        <v>mx-api-bc-bus-sales-and-service</v>
      </c>
      <c r="C1492" s="354" t="s">
        <v>41</v>
      </c>
      <c r="D1492" s="355" t="s">
        <v>42</v>
      </c>
      <c r="E1492" s="81" t="str">
        <f>IFERROR(VLOOKUP(F1492, 'api-register-id'!B:F, 5, FALSE), "Not found path.")</f>
        <v>APIMX000004</v>
      </c>
      <c r="F1492" s="82" t="s">
        <v>101</v>
      </c>
      <c r="G1492" s="83" t="s">
        <v>7545</v>
      </c>
      <c r="H1492" s="356" t="s">
        <v>7546</v>
      </c>
      <c r="I1492" s="84" t="s">
        <v>7541</v>
      </c>
      <c r="J1492" s="357" t="s">
        <v>7250</v>
      </c>
      <c r="K1492" s="81" t="s">
        <v>48</v>
      </c>
      <c r="L1492" s="354" t="s">
        <v>49</v>
      </c>
      <c r="M1492" s="358" t="s">
        <v>7542</v>
      </c>
      <c r="N1492" s="359" t="s">
        <v>7547</v>
      </c>
      <c r="O1492" s="65" t="s">
        <v>7548</v>
      </c>
      <c r="P1492" s="66"/>
      <c r="Q1492" s="360"/>
      <c r="R1492" s="81" t="s">
        <v>56</v>
      </c>
      <c r="S1492" s="361" t="str">
        <f t="shared" si="53"/>
        <v>https://github.com/SF-Bancoppel/mx-api-bc-bus-sales-and-service</v>
      </c>
      <c r="T1492" s="66"/>
      <c r="U1492" s="40"/>
      <c r="V1492" s="40"/>
      <c r="W1492" s="40"/>
      <c r="X1492" s="40"/>
      <c r="Y1492" s="40"/>
      <c r="Z1492" s="40"/>
      <c r="AA1492" s="40"/>
      <c r="AB1492" s="40"/>
    </row>
    <row r="1493" ht="18.75" customHeight="1">
      <c r="A1493" s="18" t="s">
        <v>44</v>
      </c>
      <c r="B1493" s="22" t="str">
        <f>IFERROR(VLOOKUP(F1493, 'api-register-id'!B:F, 4, FALSE), "Not found path.")</f>
        <v>mx-api-bc-rec-customer-management</v>
      </c>
      <c r="C1493" s="213" t="s">
        <v>112</v>
      </c>
      <c r="D1493" s="362" t="s">
        <v>1417</v>
      </c>
      <c r="E1493" s="24" t="str">
        <f>IFERROR(VLOOKUP(F1493, 'api-register-id'!B:F, 5, FALSE), "Not found path.")</f>
        <v>APIMX000163</v>
      </c>
      <c r="F1493" s="297" t="s">
        <v>2133</v>
      </c>
      <c r="G1493" s="26" t="s">
        <v>7549</v>
      </c>
      <c r="H1493" s="199" t="s">
        <v>7550</v>
      </c>
      <c r="I1493" s="29" t="s">
        <v>7234</v>
      </c>
      <c r="J1493" s="193" t="s">
        <v>6186</v>
      </c>
      <c r="K1493" s="31" t="s">
        <v>48</v>
      </c>
      <c r="L1493" s="213" t="s">
        <v>49</v>
      </c>
      <c r="M1493" s="3" t="s">
        <v>7551</v>
      </c>
      <c r="N1493" s="217" t="s">
        <v>7552</v>
      </c>
      <c r="O1493" s="22" t="s">
        <v>7553</v>
      </c>
      <c r="P1493" s="40"/>
      <c r="Q1493" s="212"/>
      <c r="R1493" s="31" t="s">
        <v>56</v>
      </c>
      <c r="S1493" s="218" t="str">
        <f t="shared" si="53"/>
        <v>https://github.com/SF-Bancoppel/mx-api-bc-rec-customer-management</v>
      </c>
      <c r="T1493" s="40"/>
      <c r="U1493" s="40"/>
      <c r="V1493" s="40"/>
      <c r="W1493" s="40"/>
      <c r="X1493" s="40"/>
      <c r="Y1493" s="40"/>
      <c r="Z1493" s="40"/>
      <c r="AA1493" s="40"/>
      <c r="AB1493" s="40"/>
    </row>
    <row r="1494" ht="18.75" customHeight="1">
      <c r="A1494" s="18" t="s">
        <v>44</v>
      </c>
      <c r="B1494" s="22" t="str">
        <f>IFERROR(VLOOKUP(F1494, 'api-register-id'!B:F, 4, FALSE), "Not found path.")</f>
        <v>mx-api-bc-bus-customer-management</v>
      </c>
      <c r="C1494" s="213" t="s">
        <v>41</v>
      </c>
      <c r="D1494" s="300" t="s">
        <v>42</v>
      </c>
      <c r="E1494" s="24" t="str">
        <f>IFERROR(VLOOKUP(F1494, 'api-register-id'!B:F, 5, FALSE), "Not found path.")</f>
        <v>APIMX000161</v>
      </c>
      <c r="F1494" s="297" t="s">
        <v>1993</v>
      </c>
      <c r="G1494" s="26" t="s">
        <v>7554</v>
      </c>
      <c r="H1494" s="199" t="s">
        <v>7555</v>
      </c>
      <c r="I1494" s="29" t="s">
        <v>7556</v>
      </c>
      <c r="J1494" s="193" t="s">
        <v>6051</v>
      </c>
      <c r="K1494" s="31" t="s">
        <v>48</v>
      </c>
      <c r="L1494" s="213" t="s">
        <v>49</v>
      </c>
      <c r="M1494" s="3" t="s">
        <v>7551</v>
      </c>
      <c r="N1494" s="3" t="s">
        <v>7557</v>
      </c>
      <c r="O1494" s="22" t="s">
        <v>7553</v>
      </c>
      <c r="P1494" s="40"/>
      <c r="Q1494" s="212"/>
      <c r="R1494" s="31" t="s">
        <v>56</v>
      </c>
      <c r="S1494" s="218" t="str">
        <f t="shared" si="53"/>
        <v>https://github.com/SF-Bancoppel/mx-api-bc-bus-customer-management</v>
      </c>
      <c r="T1494" s="40"/>
      <c r="U1494" s="40"/>
      <c r="V1494" s="40"/>
      <c r="W1494" s="40"/>
      <c r="X1494" s="40"/>
      <c r="Y1494" s="40"/>
      <c r="Z1494" s="40"/>
      <c r="AA1494" s="40"/>
      <c r="AB1494" s="40"/>
    </row>
    <row r="1495" ht="18.75" customHeight="1">
      <c r="A1495" s="18" t="s">
        <v>44</v>
      </c>
      <c r="B1495" s="22" t="str">
        <f>IFERROR(VLOOKUP(F1495, 'api-register-id'!B:F, 4, FALSE), "Not found path.")</f>
        <v>mx-api-bc-rec-sales-and-service</v>
      </c>
      <c r="C1495" s="213" t="s">
        <v>112</v>
      </c>
      <c r="D1495" s="362" t="s">
        <v>1417</v>
      </c>
      <c r="E1495" s="24" t="str">
        <f>IFERROR(VLOOKUP(F1495, 'api-register-id'!B:F, 5, FALSE), "Not found path.")</f>
        <v>APIMX000148</v>
      </c>
      <c r="F1495" s="363" t="s">
        <v>7239</v>
      </c>
      <c r="G1495" s="26" t="s">
        <v>7558</v>
      </c>
      <c r="H1495" s="199" t="s">
        <v>7559</v>
      </c>
      <c r="I1495" s="29" t="s">
        <v>7556</v>
      </c>
      <c r="J1495" s="364" t="s">
        <v>4891</v>
      </c>
      <c r="K1495" s="31" t="s">
        <v>48</v>
      </c>
      <c r="L1495" s="213" t="s">
        <v>49</v>
      </c>
      <c r="M1495" s="365" t="s">
        <v>7560</v>
      </c>
      <c r="N1495" s="366" t="str">
        <f t="shared" ref="N1495:N1496" si="54">CONCATENATE(L1495, " ",J1495,M1495)</f>
        <v>POST /experience/salesAndService/v1/creditProfile/register</v>
      </c>
      <c r="O1495" s="367" t="s">
        <v>7561</v>
      </c>
      <c r="P1495" s="40"/>
      <c r="Q1495" s="212"/>
      <c r="R1495" s="31" t="s">
        <v>56</v>
      </c>
      <c r="S1495" s="218" t="str">
        <f t="shared" si="53"/>
        <v>https://github.com/SF-Bancoppel/mx-api-bc-rec-sales-and-service</v>
      </c>
      <c r="T1495" s="40"/>
      <c r="U1495" s="40"/>
      <c r="V1495" s="40"/>
      <c r="W1495" s="40"/>
      <c r="X1495" s="40"/>
      <c r="Y1495" s="40"/>
      <c r="Z1495" s="40"/>
      <c r="AA1495" s="40"/>
      <c r="AB1495" s="40"/>
    </row>
    <row r="1496" ht="18.75" customHeight="1">
      <c r="A1496" s="79" t="s">
        <v>44</v>
      </c>
      <c r="B1496" s="65" t="str">
        <f>IFERROR(VLOOKUP(F1496, 'api-register-id'!B:F, 4, FALSE), "Not found path.")</f>
        <v>mx-api-bc-bus-sales-and-service</v>
      </c>
      <c r="C1496" s="354" t="s">
        <v>41</v>
      </c>
      <c r="D1496" s="368" t="s">
        <v>42</v>
      </c>
      <c r="E1496" s="81" t="str">
        <f>IFERROR(VLOOKUP(F1496, 'api-register-id'!B:F, 5, FALSE), "Not found path.")</f>
        <v>APIMX000004</v>
      </c>
      <c r="F1496" s="369" t="s">
        <v>101</v>
      </c>
      <c r="G1496" s="83" t="s">
        <v>7562</v>
      </c>
      <c r="H1496" s="356" t="s">
        <v>7563</v>
      </c>
      <c r="I1496" s="84" t="s">
        <v>7556</v>
      </c>
      <c r="J1496" s="370" t="s">
        <v>352</v>
      </c>
      <c r="K1496" s="81" t="s">
        <v>48</v>
      </c>
      <c r="L1496" s="354" t="s">
        <v>49</v>
      </c>
      <c r="M1496" s="371" t="s">
        <v>7560</v>
      </c>
      <c r="N1496" s="372" t="str">
        <f t="shared" si="54"/>
        <v>POST /salesAndService/v1/creditProfile/register</v>
      </c>
      <c r="O1496" s="373" t="s">
        <v>7561</v>
      </c>
      <c r="P1496" s="66"/>
      <c r="Q1496" s="360"/>
      <c r="R1496" s="81" t="s">
        <v>56</v>
      </c>
      <c r="S1496" s="361" t="str">
        <f t="shared" si="53"/>
        <v>https://github.com/SF-Bancoppel/mx-api-bc-bus-sales-and-service</v>
      </c>
      <c r="T1496" s="66"/>
      <c r="U1496" s="40"/>
      <c r="V1496" s="40"/>
      <c r="W1496" s="40"/>
      <c r="X1496" s="40"/>
      <c r="Y1496" s="40"/>
      <c r="Z1496" s="40"/>
      <c r="AA1496" s="40"/>
      <c r="AB1496" s="40"/>
    </row>
    <row r="1497" ht="18.75" customHeight="1">
      <c r="A1497" s="18" t="s">
        <v>44</v>
      </c>
      <c r="B1497" s="22" t="str">
        <f>IFERROR(VLOOKUP(F1497, 'api-register-id'!B:F, 4, FALSE), "Not found path.")</f>
        <v>mx-api-bc-dom-customer-credit-rating</v>
      </c>
      <c r="C1497" s="213" t="s">
        <v>41</v>
      </c>
      <c r="D1497" s="362" t="s">
        <v>119</v>
      </c>
      <c r="E1497" s="24" t="str">
        <f>IFERROR(VLOOKUP(F1497, 'api-register-id'!B:F, 5, FALSE), "Not found path.")</f>
        <v>APIMX000019</v>
      </c>
      <c r="F1497" s="374" t="s">
        <v>325</v>
      </c>
      <c r="G1497" s="26" t="s">
        <v>7564</v>
      </c>
      <c r="H1497" s="199" t="s">
        <v>7565</v>
      </c>
      <c r="I1497" s="29" t="s">
        <v>111</v>
      </c>
      <c r="J1497" s="364" t="s">
        <v>5325</v>
      </c>
      <c r="K1497" s="31" t="s">
        <v>48</v>
      </c>
      <c r="L1497" s="213" t="s">
        <v>49</v>
      </c>
      <c r="M1497" s="320" t="s">
        <v>7566</v>
      </c>
      <c r="N1497" s="375" t="s">
        <v>7567</v>
      </c>
      <c r="O1497" s="376" t="s">
        <v>7568</v>
      </c>
      <c r="P1497" s="40"/>
      <c r="Q1497" s="212"/>
      <c r="R1497" s="31" t="s">
        <v>56</v>
      </c>
      <c r="S1497" s="218" t="str">
        <f t="shared" si="53"/>
        <v>https://github.com/SF-Bancoppel/mx-api-bc-dom-customer-credit-rating</v>
      </c>
      <c r="T1497" s="40"/>
      <c r="U1497" s="40"/>
      <c r="V1497" s="40"/>
      <c r="W1497" s="40"/>
      <c r="X1497" s="40"/>
      <c r="Y1497" s="40"/>
      <c r="Z1497" s="40"/>
      <c r="AA1497" s="40"/>
      <c r="AB1497" s="40"/>
    </row>
    <row r="1498" ht="18.75" customHeight="1">
      <c r="A1498" s="18" t="s">
        <v>44</v>
      </c>
      <c r="B1498" s="22" t="str">
        <f>IFERROR(VLOOKUP(F1498, 'api-register-id'!B:F, 4, FALSE), "Not found path.")</f>
        <v>mx-api-bc-pro-customer-credit-rating</v>
      </c>
      <c r="C1498" s="213" t="s">
        <v>41</v>
      </c>
      <c r="D1498" s="362" t="s">
        <v>811</v>
      </c>
      <c r="E1498" s="24" t="str">
        <f>IFERROR(VLOOKUP(F1498, 'api-register-id'!B:F, 5, FALSE), "Not found path.")</f>
        <v>APIMX000075</v>
      </c>
      <c r="F1498" s="374" t="s">
        <v>986</v>
      </c>
      <c r="G1498" s="26" t="s">
        <v>7569</v>
      </c>
      <c r="H1498" s="199" t="s">
        <v>7570</v>
      </c>
      <c r="I1498" s="29" t="s">
        <v>111</v>
      </c>
      <c r="J1498" s="364" t="s">
        <v>5647</v>
      </c>
      <c r="K1498" s="31" t="s">
        <v>48</v>
      </c>
      <c r="L1498" s="213" t="s">
        <v>49</v>
      </c>
      <c r="M1498" s="320" t="s">
        <v>7566</v>
      </c>
      <c r="N1498" s="310" t="s">
        <v>7571</v>
      </c>
      <c r="O1498" s="376" t="s">
        <v>7572</v>
      </c>
      <c r="P1498" s="40"/>
      <c r="Q1498" s="212"/>
      <c r="R1498" s="31" t="s">
        <v>56</v>
      </c>
      <c r="S1498" s="218" t="str">
        <f t="shared" si="53"/>
        <v>https://github.com/SF-Bancoppel/mx-api-bc-pro-customer-credit-rating</v>
      </c>
      <c r="T1498" s="40"/>
      <c r="U1498" s="40"/>
      <c r="V1498" s="40"/>
      <c r="W1498" s="40"/>
      <c r="X1498" s="40"/>
      <c r="Y1498" s="40"/>
      <c r="Z1498" s="40"/>
      <c r="AA1498" s="40"/>
      <c r="AB1498" s="40"/>
    </row>
    <row r="1499" ht="18.75" customHeight="1">
      <c r="A1499" s="303" t="s">
        <v>44</v>
      </c>
      <c r="B1499" s="22" t="str">
        <f>IFERROR(VLOOKUP(F1499, 'api-register-id'!B:F, 4, FALSE), "Not found path.")</f>
        <v>mx-api-bc-dom-customer-credit-rating</v>
      </c>
      <c r="C1499" s="213" t="s">
        <v>41</v>
      </c>
      <c r="D1499" s="362" t="s">
        <v>119</v>
      </c>
      <c r="E1499" s="24" t="str">
        <f>IFERROR(VLOOKUP(F1499, 'api-register-id'!B:F, 5, FALSE), "Not found path.")</f>
        <v>APIMX000019</v>
      </c>
      <c r="F1499" s="377" t="s">
        <v>325</v>
      </c>
      <c r="G1499" s="26" t="s">
        <v>7573</v>
      </c>
      <c r="H1499" s="199" t="s">
        <v>7574</v>
      </c>
      <c r="I1499" s="29" t="s">
        <v>111</v>
      </c>
      <c r="J1499" s="364" t="s">
        <v>5325</v>
      </c>
      <c r="K1499" s="31" t="s">
        <v>48</v>
      </c>
      <c r="L1499" s="213" t="s">
        <v>49</v>
      </c>
      <c r="M1499" s="320" t="s">
        <v>7575</v>
      </c>
      <c r="N1499" s="375" t="s">
        <v>7576</v>
      </c>
      <c r="O1499" s="378" t="s">
        <v>7577</v>
      </c>
      <c r="P1499" s="40"/>
      <c r="Q1499" s="212"/>
      <c r="R1499" s="31" t="s">
        <v>56</v>
      </c>
      <c r="S1499" s="218" t="str">
        <f t="shared" si="53"/>
        <v>https://github.com/SF-Bancoppel/mx-api-bc-dom-customer-credit-rating</v>
      </c>
      <c r="T1499" s="40"/>
      <c r="U1499" s="40"/>
      <c r="V1499" s="40"/>
      <c r="W1499" s="40"/>
      <c r="X1499" s="40"/>
      <c r="Y1499" s="40"/>
      <c r="Z1499" s="40"/>
      <c r="AA1499" s="40"/>
      <c r="AB1499" s="40"/>
    </row>
    <row r="1500" ht="18.75" customHeight="1">
      <c r="A1500" s="303" t="s">
        <v>44</v>
      </c>
      <c r="B1500" s="22" t="str">
        <f>IFERROR(VLOOKUP(F1500, 'api-register-id'!B:F, 4, FALSE), "Not found path.")</f>
        <v>mx-api-bc-pro-customer-credit-rating</v>
      </c>
      <c r="C1500" s="213" t="s">
        <v>41</v>
      </c>
      <c r="D1500" s="362" t="s">
        <v>811</v>
      </c>
      <c r="E1500" s="24" t="str">
        <f>IFERROR(VLOOKUP(F1500, 'api-register-id'!B:F, 5, FALSE), "Not found path.")</f>
        <v>APIMX000075</v>
      </c>
      <c r="F1500" s="377" t="s">
        <v>986</v>
      </c>
      <c r="G1500" s="26" t="s">
        <v>7578</v>
      </c>
      <c r="H1500" s="199" t="s">
        <v>7579</v>
      </c>
      <c r="I1500" s="29" t="s">
        <v>111</v>
      </c>
      <c r="J1500" s="364" t="s">
        <v>5647</v>
      </c>
      <c r="K1500" s="31" t="s">
        <v>48</v>
      </c>
      <c r="L1500" s="213" t="s">
        <v>49</v>
      </c>
      <c r="M1500" s="320" t="s">
        <v>7575</v>
      </c>
      <c r="N1500" s="375" t="s">
        <v>7580</v>
      </c>
      <c r="O1500" s="378" t="s">
        <v>7577</v>
      </c>
      <c r="P1500" s="40"/>
      <c r="Q1500" s="212"/>
      <c r="R1500" s="31" t="s">
        <v>56</v>
      </c>
      <c r="S1500" s="218" t="str">
        <f t="shared" si="53"/>
        <v>https://github.com/SF-Bancoppel/mx-api-bc-pro-customer-credit-rating</v>
      </c>
      <c r="T1500" s="40"/>
      <c r="U1500" s="40"/>
      <c r="V1500" s="40"/>
      <c r="W1500" s="40"/>
      <c r="X1500" s="40"/>
      <c r="Y1500" s="40"/>
      <c r="Z1500" s="40"/>
      <c r="AA1500" s="40"/>
      <c r="AB1500" s="40"/>
    </row>
    <row r="1501" ht="18.75" customHeight="1">
      <c r="A1501" s="303" t="s">
        <v>44</v>
      </c>
      <c r="B1501" s="22" t="str">
        <f>IFERROR(VLOOKUP(F1501, 'api-register-id'!B:F, 4, FALSE), "Not found path.")</f>
        <v>mx-api-bc-bus-operational-services</v>
      </c>
      <c r="C1501" s="213" t="s">
        <v>41</v>
      </c>
      <c r="D1501" s="362" t="s">
        <v>42</v>
      </c>
      <c r="E1501" s="24" t="str">
        <f>IFERROR(VLOOKUP(F1501, 'api-register-id'!B:F, 5, FALSE), "Not found path.")</f>
        <v>APIMX000162</v>
      </c>
      <c r="F1501" s="297" t="s">
        <v>2085</v>
      </c>
      <c r="G1501" s="26" t="s">
        <v>7581</v>
      </c>
      <c r="H1501" s="199" t="s">
        <v>7582</v>
      </c>
      <c r="I1501" s="29" t="s">
        <v>162</v>
      </c>
      <c r="J1501" s="193" t="s">
        <v>6081</v>
      </c>
      <c r="K1501" s="31" t="s">
        <v>48</v>
      </c>
      <c r="L1501" s="213" t="s">
        <v>49</v>
      </c>
      <c r="M1501" s="3" t="s">
        <v>5712</v>
      </c>
      <c r="N1501" s="3" t="s">
        <v>7583</v>
      </c>
      <c r="O1501" s="22" t="s">
        <v>7584</v>
      </c>
      <c r="P1501" s="40"/>
      <c r="Q1501" s="212"/>
      <c r="R1501" s="31" t="s">
        <v>56</v>
      </c>
      <c r="S1501" s="218" t="str">
        <f t="shared" si="53"/>
        <v>https://github.com/SF-Bancoppel/mx-api-bc-bus-operational-services</v>
      </c>
      <c r="T1501" s="40"/>
      <c r="U1501" s="40"/>
      <c r="V1501" s="40"/>
      <c r="W1501" s="40"/>
      <c r="X1501" s="40"/>
      <c r="Y1501" s="40"/>
      <c r="Z1501" s="40"/>
      <c r="AA1501" s="40"/>
      <c r="AB1501" s="40"/>
    </row>
    <row r="1502" ht="18.75" customHeight="1">
      <c r="A1502" s="303" t="s">
        <v>44</v>
      </c>
      <c r="B1502" s="22" t="str">
        <f>IFERROR(VLOOKUP(F1502, 'api-register-id'!B:F, 4, FALSE), "Not found path.")</f>
        <v>mx-api-bc-rec-operational-services</v>
      </c>
      <c r="C1502" s="213" t="s">
        <v>112</v>
      </c>
      <c r="D1502" s="362" t="s">
        <v>1417</v>
      </c>
      <c r="E1502" s="24" t="str">
        <f>IFERROR(VLOOKUP(F1502, 'api-register-id'!B:F, 5, FALSE), "Not found path.")</f>
        <v>APIMX000164</v>
      </c>
      <c r="F1502" s="297" t="s">
        <v>2204</v>
      </c>
      <c r="G1502" s="26" t="s">
        <v>7585</v>
      </c>
      <c r="H1502" s="199" t="s">
        <v>7586</v>
      </c>
      <c r="I1502" s="29" t="s">
        <v>162</v>
      </c>
      <c r="J1502" s="193" t="s">
        <v>6764</v>
      </c>
      <c r="K1502" s="31" t="s">
        <v>48</v>
      </c>
      <c r="L1502" s="213" t="s">
        <v>49</v>
      </c>
      <c r="M1502" s="3" t="s">
        <v>5712</v>
      </c>
      <c r="N1502" s="3" t="s">
        <v>7587</v>
      </c>
      <c r="O1502" s="22" t="s">
        <v>7584</v>
      </c>
      <c r="P1502" s="40"/>
      <c r="Q1502" s="212"/>
      <c r="R1502" s="31" t="s">
        <v>56</v>
      </c>
      <c r="S1502" s="218" t="str">
        <f t="shared" si="53"/>
        <v>https://github.com/SF-Bancoppel/mx-api-bc-rec-operational-services</v>
      </c>
      <c r="T1502" s="40"/>
      <c r="U1502" s="40"/>
      <c r="V1502" s="40"/>
      <c r="W1502" s="40"/>
      <c r="X1502" s="40"/>
      <c r="Y1502" s="40"/>
      <c r="Z1502" s="40"/>
      <c r="AA1502" s="40"/>
      <c r="AB1502" s="40"/>
    </row>
    <row r="1503" ht="18.75" customHeight="1">
      <c r="A1503" s="18" t="s">
        <v>44</v>
      </c>
      <c r="B1503" s="22" t="str">
        <f>IFERROR(VLOOKUP(F1503, 'api-register-id'!B:F, 4, FALSE), "Not found path.")</f>
        <v>mx-api-bc-rec-customer-management</v>
      </c>
      <c r="C1503" s="213" t="s">
        <v>112</v>
      </c>
      <c r="D1503" s="362" t="s">
        <v>1417</v>
      </c>
      <c r="E1503" s="24" t="str">
        <f>IFERROR(VLOOKUP(F1503, 'api-register-id'!B:F, 5, FALSE), "Not found path.")</f>
        <v>APIMX000163</v>
      </c>
      <c r="F1503" s="379" t="s">
        <v>2133</v>
      </c>
      <c r="G1503" s="26" t="s">
        <v>7588</v>
      </c>
      <c r="H1503" s="199" t="s">
        <v>7589</v>
      </c>
      <c r="I1503" s="29"/>
      <c r="J1503" s="364" t="s">
        <v>5385</v>
      </c>
      <c r="K1503" s="31" t="s">
        <v>48</v>
      </c>
      <c r="L1503" s="213" t="s">
        <v>49</v>
      </c>
      <c r="M1503" s="3" t="s">
        <v>7590</v>
      </c>
      <c r="N1503" s="3" t="s">
        <v>7591</v>
      </c>
      <c r="O1503" s="22" t="s">
        <v>7592</v>
      </c>
      <c r="P1503" s="40"/>
      <c r="Q1503" s="212"/>
      <c r="R1503" s="31" t="s">
        <v>56</v>
      </c>
      <c r="S1503" s="218" t="str">
        <f t="shared" si="53"/>
        <v>https://github.com/SF-Bancoppel/mx-api-bc-rec-customer-management</v>
      </c>
      <c r="T1503" s="40"/>
      <c r="U1503" s="40"/>
      <c r="V1503" s="40"/>
      <c r="W1503" s="40"/>
      <c r="X1503" s="40"/>
      <c r="Y1503" s="40"/>
      <c r="Z1503" s="40"/>
      <c r="AA1503" s="40"/>
      <c r="AB1503" s="40"/>
    </row>
    <row r="1504" ht="18.75" customHeight="1">
      <c r="A1504" s="18" t="s">
        <v>44</v>
      </c>
      <c r="B1504" s="22" t="str">
        <f>IFERROR(VLOOKUP(F1504, 'api-register-id'!B:F, 4, FALSE), "Not found path.")</f>
        <v>mx-api-bc-bus-customer-management</v>
      </c>
      <c r="C1504" s="213" t="s">
        <v>41</v>
      </c>
      <c r="D1504" s="362" t="s">
        <v>42</v>
      </c>
      <c r="E1504" s="24" t="str">
        <f>IFERROR(VLOOKUP(F1504, 'api-register-id'!B:F, 5, FALSE), "Not found path.")</f>
        <v>APIMX000161</v>
      </c>
      <c r="F1504" s="379" t="s">
        <v>1993</v>
      </c>
      <c r="G1504" s="26" t="s">
        <v>7593</v>
      </c>
      <c r="H1504" s="199" t="s">
        <v>7594</v>
      </c>
      <c r="I1504" s="29"/>
      <c r="J1504" s="364" t="s">
        <v>5647</v>
      </c>
      <c r="K1504" s="31" t="s">
        <v>48</v>
      </c>
      <c r="L1504" s="213" t="s">
        <v>49</v>
      </c>
      <c r="M1504" s="3" t="s">
        <v>7595</v>
      </c>
      <c r="N1504" s="3" t="s">
        <v>7596</v>
      </c>
      <c r="O1504" s="22" t="s">
        <v>7592</v>
      </c>
      <c r="P1504" s="40"/>
      <c r="Q1504" s="212"/>
      <c r="R1504" s="31" t="s">
        <v>56</v>
      </c>
      <c r="S1504" s="218" t="str">
        <f t="shared" si="53"/>
        <v>https://github.com/SF-Bancoppel/mx-api-bc-bus-customer-management</v>
      </c>
      <c r="T1504" s="40"/>
      <c r="U1504" s="40"/>
      <c r="V1504" s="40"/>
      <c r="W1504" s="40"/>
      <c r="X1504" s="40"/>
      <c r="Y1504" s="40"/>
      <c r="Z1504" s="40"/>
      <c r="AA1504" s="40"/>
      <c r="AB1504" s="40"/>
    </row>
    <row r="1505" ht="18.75" customHeight="1">
      <c r="A1505" s="18" t="s">
        <v>44</v>
      </c>
      <c r="B1505" s="22" t="str">
        <f>IFERROR(VLOOKUP(F1505, 'api-register-id'!B:F, 4, FALSE), "Not found path.")</f>
        <v>mx-api-bc-dom-customer-credit-rating</v>
      </c>
      <c r="C1505" s="213" t="s">
        <v>41</v>
      </c>
      <c r="D1505" s="362" t="s">
        <v>119</v>
      </c>
      <c r="E1505" s="24" t="str">
        <f>IFERROR(VLOOKUP(F1505, 'api-register-id'!B:F, 5, FALSE), "Not found path.")</f>
        <v>APIMX000019</v>
      </c>
      <c r="F1505" s="380" t="s">
        <v>325</v>
      </c>
      <c r="G1505" s="26" t="s">
        <v>7597</v>
      </c>
      <c r="H1505" s="199" t="s">
        <v>7598</v>
      </c>
      <c r="I1505" s="29"/>
      <c r="J1505" s="364" t="s">
        <v>5325</v>
      </c>
      <c r="K1505" s="31" t="s">
        <v>48</v>
      </c>
      <c r="L1505" s="213" t="s">
        <v>49</v>
      </c>
      <c r="M1505" s="3" t="s">
        <v>7599</v>
      </c>
      <c r="N1505" s="3" t="s">
        <v>7600</v>
      </c>
      <c r="O1505" s="22" t="s">
        <v>7592</v>
      </c>
      <c r="P1505" s="40"/>
      <c r="Q1505" s="212"/>
      <c r="R1505" s="31" t="s">
        <v>56</v>
      </c>
      <c r="S1505" s="218" t="str">
        <f t="shared" si="53"/>
        <v>https://github.com/SF-Bancoppel/mx-api-bc-dom-customer-credit-rating</v>
      </c>
      <c r="T1505" s="40"/>
      <c r="U1505" s="40"/>
      <c r="V1505" s="40"/>
      <c r="W1505" s="40"/>
      <c r="X1505" s="40"/>
      <c r="Y1505" s="40"/>
      <c r="Z1505" s="40"/>
      <c r="AA1505" s="40"/>
      <c r="AB1505" s="40"/>
    </row>
    <row r="1506" ht="18.75" customHeight="1">
      <c r="A1506" s="18" t="s">
        <v>44</v>
      </c>
      <c r="B1506" s="22" t="str">
        <f>IFERROR(VLOOKUP(F1506, 'api-register-id'!B:F, 4, FALSE), "Not found path.")</f>
        <v>mx-api-bc-pro-customer-credit-rating</v>
      </c>
      <c r="C1506" s="213" t="s">
        <v>41</v>
      </c>
      <c r="D1506" s="362" t="s">
        <v>811</v>
      </c>
      <c r="E1506" s="24" t="str">
        <f>IFERROR(VLOOKUP(F1506, 'api-register-id'!B:F, 5, FALSE), "Not found path.")</f>
        <v>APIMX000075</v>
      </c>
      <c r="F1506" s="380" t="s">
        <v>986</v>
      </c>
      <c r="G1506" s="26" t="s">
        <v>7601</v>
      </c>
      <c r="H1506" s="199" t="s">
        <v>7602</v>
      </c>
      <c r="I1506" s="29"/>
      <c r="J1506" s="364" t="s">
        <v>5647</v>
      </c>
      <c r="K1506" s="31" t="s">
        <v>48</v>
      </c>
      <c r="L1506" s="213" t="s">
        <v>49</v>
      </c>
      <c r="M1506" s="3" t="s">
        <v>7599</v>
      </c>
      <c r="N1506" s="3" t="s">
        <v>7603</v>
      </c>
      <c r="O1506" s="22" t="s">
        <v>7592</v>
      </c>
      <c r="P1506" s="40"/>
      <c r="Q1506" s="212"/>
      <c r="R1506" s="31" t="s">
        <v>56</v>
      </c>
      <c r="S1506" s="218" t="str">
        <f t="shared" si="53"/>
        <v>https://github.com/SF-Bancoppel/mx-api-bc-pro-customer-credit-rating</v>
      </c>
      <c r="T1506" s="40"/>
      <c r="U1506" s="40"/>
      <c r="V1506" s="40"/>
      <c r="W1506" s="40"/>
      <c r="X1506" s="40"/>
      <c r="Y1506" s="40"/>
      <c r="Z1506" s="40"/>
      <c r="AA1506" s="40"/>
      <c r="AB1506" s="40"/>
    </row>
    <row r="1507" ht="18.75" customHeight="1">
      <c r="A1507" s="303" t="s">
        <v>44</v>
      </c>
      <c r="B1507" s="22" t="str">
        <f>IFERROR(VLOOKUP(F1507, 'api-register-id'!B:F, 4, FALSE), "Not found path.")</f>
        <v>mx-api-bc-dom-customer-credit-rating</v>
      </c>
      <c r="C1507" s="213" t="s">
        <v>41</v>
      </c>
      <c r="D1507" s="362" t="s">
        <v>119</v>
      </c>
      <c r="E1507" s="24" t="str">
        <f>IFERROR(VLOOKUP(F1507, 'api-register-id'!B:F, 5, FALSE), "Not found path.")</f>
        <v>APIMX000019</v>
      </c>
      <c r="F1507" s="380" t="s">
        <v>325</v>
      </c>
      <c r="G1507" s="26" t="s">
        <v>7604</v>
      </c>
      <c r="H1507" s="199" t="s">
        <v>7605</v>
      </c>
      <c r="I1507" s="29"/>
      <c r="J1507" s="364" t="s">
        <v>5325</v>
      </c>
      <c r="K1507" s="31" t="s">
        <v>48</v>
      </c>
      <c r="L1507" s="213" t="s">
        <v>49</v>
      </c>
      <c r="M1507" s="3" t="s">
        <v>7606</v>
      </c>
      <c r="N1507" s="3" t="s">
        <v>7607</v>
      </c>
      <c r="O1507" s="22" t="s">
        <v>7592</v>
      </c>
      <c r="P1507" s="40"/>
      <c r="Q1507" s="212"/>
      <c r="R1507" s="31" t="s">
        <v>56</v>
      </c>
      <c r="S1507" s="218" t="str">
        <f t="shared" si="53"/>
        <v>https://github.com/SF-Bancoppel/mx-api-bc-dom-customer-credit-rating</v>
      </c>
      <c r="T1507" s="40"/>
      <c r="U1507" s="40"/>
      <c r="V1507" s="40"/>
      <c r="W1507" s="40"/>
      <c r="X1507" s="40"/>
      <c r="Y1507" s="40"/>
      <c r="Z1507" s="40"/>
      <c r="AA1507" s="40"/>
      <c r="AB1507" s="40"/>
    </row>
    <row r="1508" ht="18.75" customHeight="1">
      <c r="A1508" s="303" t="s">
        <v>44</v>
      </c>
      <c r="B1508" s="22" t="str">
        <f>IFERROR(VLOOKUP(F1508, 'api-register-id'!B:F, 4, FALSE), "Not found path.")</f>
        <v>mx-api-bc-pro-customer-credit-rating</v>
      </c>
      <c r="C1508" s="213" t="s">
        <v>41</v>
      </c>
      <c r="D1508" s="362" t="s">
        <v>811</v>
      </c>
      <c r="E1508" s="24" t="str">
        <f>IFERROR(VLOOKUP(F1508, 'api-register-id'!B:F, 5, FALSE), "Not found path.")</f>
        <v>APIMX000075</v>
      </c>
      <c r="F1508" s="380" t="s">
        <v>986</v>
      </c>
      <c r="G1508" s="26" t="s">
        <v>7608</v>
      </c>
      <c r="H1508" s="199" t="s">
        <v>7609</v>
      </c>
      <c r="I1508" s="29"/>
      <c r="J1508" s="364" t="s">
        <v>5647</v>
      </c>
      <c r="K1508" s="31" t="s">
        <v>48</v>
      </c>
      <c r="L1508" s="213" t="s">
        <v>49</v>
      </c>
      <c r="M1508" s="3" t="s">
        <v>7606</v>
      </c>
      <c r="N1508" s="3" t="s">
        <v>7610</v>
      </c>
      <c r="O1508" s="22" t="s">
        <v>7592</v>
      </c>
      <c r="P1508" s="40"/>
      <c r="Q1508" s="212"/>
      <c r="R1508" s="31" t="s">
        <v>56</v>
      </c>
      <c r="S1508" s="218" t="str">
        <f t="shared" si="53"/>
        <v>https://github.com/SF-Bancoppel/mx-api-bc-pro-customer-credit-rating</v>
      </c>
      <c r="T1508" s="40"/>
      <c r="U1508" s="40"/>
      <c r="V1508" s="40"/>
      <c r="W1508" s="40"/>
      <c r="X1508" s="40"/>
      <c r="Y1508" s="40"/>
      <c r="Z1508" s="40"/>
      <c r="AA1508" s="40"/>
      <c r="AB1508" s="40"/>
    </row>
    <row r="1509" ht="18.75" customHeight="1">
      <c r="A1509" s="303" t="s">
        <v>44</v>
      </c>
      <c r="B1509" s="22" t="str">
        <f>IFERROR(VLOOKUP(F1509, 'api-register-id'!B:F, 4, FALSE), "Not found path.")</f>
        <v>mx-api-bc-dom-customer-credit-rating</v>
      </c>
      <c r="C1509" s="213" t="s">
        <v>41</v>
      </c>
      <c r="D1509" s="362" t="s">
        <v>119</v>
      </c>
      <c r="E1509" s="24" t="str">
        <f>IFERROR(VLOOKUP(F1509, 'api-register-id'!B:F, 5, FALSE), "Not found path.")</f>
        <v>APIMX000019</v>
      </c>
      <c r="F1509" s="380" t="s">
        <v>325</v>
      </c>
      <c r="G1509" s="26" t="s">
        <v>7611</v>
      </c>
      <c r="H1509" s="199" t="s">
        <v>7612</v>
      </c>
      <c r="I1509" s="29"/>
      <c r="J1509" s="364" t="s">
        <v>5325</v>
      </c>
      <c r="K1509" s="31" t="s">
        <v>48</v>
      </c>
      <c r="L1509" s="213" t="s">
        <v>49</v>
      </c>
      <c r="M1509" s="3" t="s">
        <v>7613</v>
      </c>
      <c r="N1509" s="3" t="s">
        <v>7614</v>
      </c>
      <c r="O1509" s="22" t="s">
        <v>7592</v>
      </c>
      <c r="P1509" s="40"/>
      <c r="Q1509" s="212"/>
      <c r="R1509" s="31" t="s">
        <v>56</v>
      </c>
      <c r="S1509" s="218" t="str">
        <f t="shared" si="53"/>
        <v>https://github.com/SF-Bancoppel/mx-api-bc-dom-customer-credit-rating</v>
      </c>
      <c r="T1509" s="40"/>
      <c r="U1509" s="40"/>
      <c r="V1509" s="40"/>
      <c r="W1509" s="40"/>
      <c r="X1509" s="40"/>
      <c r="Y1509" s="40"/>
      <c r="Z1509" s="40"/>
      <c r="AA1509" s="40"/>
      <c r="AB1509" s="40"/>
    </row>
    <row r="1510" ht="18.75" customHeight="1">
      <c r="A1510" s="303" t="s">
        <v>44</v>
      </c>
      <c r="B1510" s="22" t="str">
        <f>IFERROR(VLOOKUP(F1510, 'api-register-id'!B:F, 4, FALSE), "Not found path.")</f>
        <v>mx-api-bc-pro-customer-credit-rating</v>
      </c>
      <c r="C1510" s="213" t="s">
        <v>41</v>
      </c>
      <c r="D1510" s="362" t="s">
        <v>811</v>
      </c>
      <c r="E1510" s="24" t="str">
        <f>IFERROR(VLOOKUP(F1510, 'api-register-id'!B:F, 5, FALSE), "Not found path.")</f>
        <v>APIMX000075</v>
      </c>
      <c r="F1510" s="380" t="s">
        <v>986</v>
      </c>
      <c r="G1510" s="26" t="s">
        <v>7615</v>
      </c>
      <c r="H1510" s="199" t="s">
        <v>7616</v>
      </c>
      <c r="I1510" s="29"/>
      <c r="J1510" s="364" t="s">
        <v>5647</v>
      </c>
      <c r="K1510" s="31" t="s">
        <v>48</v>
      </c>
      <c r="L1510" s="213" t="s">
        <v>49</v>
      </c>
      <c r="M1510" s="3" t="s">
        <v>7613</v>
      </c>
      <c r="N1510" s="3" t="s">
        <v>7617</v>
      </c>
      <c r="O1510" s="22" t="s">
        <v>7592</v>
      </c>
      <c r="P1510" s="40"/>
      <c r="Q1510" s="212"/>
      <c r="R1510" s="31" t="s">
        <v>56</v>
      </c>
      <c r="S1510" s="218" t="str">
        <f t="shared" si="53"/>
        <v>https://github.com/SF-Bancoppel/mx-api-bc-pro-customer-credit-rating</v>
      </c>
      <c r="T1510" s="40"/>
      <c r="U1510" s="40"/>
      <c r="V1510" s="40"/>
      <c r="W1510" s="40"/>
      <c r="X1510" s="40"/>
      <c r="Y1510" s="40"/>
      <c r="Z1510" s="40"/>
      <c r="AA1510" s="40"/>
      <c r="AB1510" s="40"/>
    </row>
    <row r="1511" ht="18.75" customHeight="1">
      <c r="A1511" s="303" t="s">
        <v>44</v>
      </c>
      <c r="B1511" s="22" t="str">
        <f>IFERROR(VLOOKUP(F1511, 'api-register-id'!B:F, 4, FALSE), "Not found path.")</f>
        <v>mx-api-bc-rec-reference-data</v>
      </c>
      <c r="C1511" s="213" t="s">
        <v>112</v>
      </c>
      <c r="D1511" s="362" t="s">
        <v>1417</v>
      </c>
      <c r="E1511" s="24" t="str">
        <f>IFERROR(VLOOKUP(F1511, 'api-register-id'!B:F, 5, FALSE), "Not found path.")</f>
        <v>APIMX000146</v>
      </c>
      <c r="F1511" s="381" t="s">
        <v>1744</v>
      </c>
      <c r="G1511" s="26" t="s">
        <v>7618</v>
      </c>
      <c r="H1511" s="199" t="s">
        <v>7619</v>
      </c>
      <c r="I1511" s="29"/>
      <c r="J1511" s="364" t="s">
        <v>4448</v>
      </c>
      <c r="K1511" s="31" t="s">
        <v>48</v>
      </c>
      <c r="L1511" s="213" t="s">
        <v>49</v>
      </c>
      <c r="M1511" s="3" t="s">
        <v>7620</v>
      </c>
      <c r="N1511" s="3" t="s">
        <v>7621</v>
      </c>
      <c r="O1511" s="22" t="s">
        <v>7622</v>
      </c>
      <c r="P1511" s="40"/>
      <c r="Q1511" s="212"/>
      <c r="R1511" s="31" t="s">
        <v>56</v>
      </c>
      <c r="S1511" s="218" t="str">
        <f t="shared" si="53"/>
        <v>https://github.com/SF-Bancoppel/mx-api-bc-rec-reference-data</v>
      </c>
      <c r="T1511" s="40"/>
      <c r="U1511" s="40"/>
      <c r="V1511" s="40"/>
      <c r="W1511" s="40"/>
      <c r="X1511" s="40"/>
      <c r="Y1511" s="40"/>
      <c r="Z1511" s="40"/>
      <c r="AA1511" s="40"/>
      <c r="AB1511" s="40"/>
    </row>
    <row r="1512" ht="18.75" customHeight="1">
      <c r="A1512" s="303" t="s">
        <v>44</v>
      </c>
      <c r="B1512" s="22" t="str">
        <f>IFERROR(VLOOKUP(F1512, 'api-register-id'!B:F, 4, FALSE), "Not found path.")</f>
        <v>mx-api-bc-bus-reference-data</v>
      </c>
      <c r="C1512" s="213" t="s">
        <v>41</v>
      </c>
      <c r="D1512" s="362" t="s">
        <v>42</v>
      </c>
      <c r="E1512" s="24" t="str">
        <f>IFERROR(VLOOKUP(F1512, 'api-register-id'!B:F, 5, FALSE), "Not found path.")</f>
        <v>APIMX000003</v>
      </c>
      <c r="F1512" s="381" t="s">
        <v>86</v>
      </c>
      <c r="G1512" s="26" t="s">
        <v>7623</v>
      </c>
      <c r="H1512" s="199" t="s">
        <v>7624</v>
      </c>
      <c r="I1512" s="29"/>
      <c r="J1512" s="364" t="s">
        <v>274</v>
      </c>
      <c r="K1512" s="31" t="s">
        <v>48</v>
      </c>
      <c r="L1512" s="213" t="s">
        <v>49</v>
      </c>
      <c r="M1512" s="3" t="s">
        <v>7620</v>
      </c>
      <c r="N1512" s="3" t="s">
        <v>7625</v>
      </c>
      <c r="O1512" s="22" t="s">
        <v>7626</v>
      </c>
      <c r="P1512" s="40"/>
      <c r="Q1512" s="212"/>
      <c r="R1512" s="31" t="s">
        <v>56</v>
      </c>
      <c r="S1512" s="218" t="str">
        <f t="shared" si="53"/>
        <v>https://github.com/SF-Bancoppel/mx-api-bc-bus-reference-data</v>
      </c>
      <c r="T1512" s="40"/>
      <c r="U1512" s="40"/>
      <c r="V1512" s="40"/>
      <c r="W1512" s="40"/>
      <c r="X1512" s="40"/>
      <c r="Y1512" s="40"/>
      <c r="Z1512" s="40"/>
      <c r="AA1512" s="40"/>
      <c r="AB1512" s="40"/>
    </row>
    <row r="1513" ht="18.75" customHeight="1">
      <c r="A1513" s="303" t="s">
        <v>44</v>
      </c>
      <c r="B1513" s="22" t="str">
        <f>IFERROR(VLOOKUP(F1513, 'api-register-id'!B:F, 4, FALSE), "Not found path.")</f>
        <v>mx-api-bc-rec-market-data</v>
      </c>
      <c r="C1513" s="213" t="s">
        <v>112</v>
      </c>
      <c r="D1513" s="362" t="s">
        <v>1417</v>
      </c>
      <c r="E1513" s="24" t="str">
        <f>IFERROR(VLOOKUP(F1513, 'api-register-id'!B:F, 5, FALSE), "Not found path.")</f>
        <v>APIMX000222</v>
      </c>
      <c r="F1513" s="377" t="s">
        <v>3831</v>
      </c>
      <c r="G1513" s="26" t="s">
        <v>7627</v>
      </c>
      <c r="H1513" s="199" t="s">
        <v>7628</v>
      </c>
      <c r="I1513" s="29" t="s">
        <v>162</v>
      </c>
      <c r="J1513" s="364" t="s">
        <v>7629</v>
      </c>
      <c r="K1513" s="31" t="s">
        <v>48</v>
      </c>
      <c r="L1513" s="213" t="s">
        <v>49</v>
      </c>
      <c r="M1513" s="320" t="s">
        <v>7630</v>
      </c>
      <c r="N1513" s="375" t="s">
        <v>7631</v>
      </c>
      <c r="O1513" s="22" t="s">
        <v>7632</v>
      </c>
      <c r="P1513" s="40"/>
      <c r="Q1513" s="212"/>
      <c r="R1513" s="31" t="s">
        <v>56</v>
      </c>
      <c r="S1513" s="218" t="str">
        <f t="shared" si="53"/>
        <v>https://github.com/SF-Bancoppel/mx-api-bc-rec-market-data</v>
      </c>
      <c r="T1513" s="40"/>
      <c r="U1513" s="40"/>
      <c r="V1513" s="40"/>
      <c r="W1513" s="40"/>
      <c r="X1513" s="40"/>
      <c r="Y1513" s="40"/>
      <c r="Z1513" s="40"/>
      <c r="AA1513" s="40"/>
      <c r="AB1513" s="40"/>
    </row>
    <row r="1514" ht="18.75" customHeight="1">
      <c r="A1514" s="303" t="s">
        <v>44</v>
      </c>
      <c r="B1514" s="22" t="str">
        <f>IFERROR(VLOOKUP(F1514, 'api-register-id'!B:F, 4, FALSE), "Not found path.")</f>
        <v>mx-api-bc-bus-market-data</v>
      </c>
      <c r="C1514" s="213" t="s">
        <v>41</v>
      </c>
      <c r="D1514" s="362" t="s">
        <v>42</v>
      </c>
      <c r="E1514" s="24" t="str">
        <f>IFERROR(VLOOKUP(F1514, 'api-register-id'!B:F, 5, FALSE), "Not found path.")</f>
        <v>APIMX000221</v>
      </c>
      <c r="F1514" s="377" t="s">
        <v>3813</v>
      </c>
      <c r="G1514" s="26" t="s">
        <v>7633</v>
      </c>
      <c r="H1514" s="199" t="s">
        <v>7634</v>
      </c>
      <c r="I1514" s="29" t="s">
        <v>162</v>
      </c>
      <c r="J1514" s="364" t="s">
        <v>7635</v>
      </c>
      <c r="K1514" s="31" t="s">
        <v>48</v>
      </c>
      <c r="L1514" s="213" t="s">
        <v>49</v>
      </c>
      <c r="M1514" s="320" t="s">
        <v>7630</v>
      </c>
      <c r="N1514" s="375" t="s">
        <v>7636</v>
      </c>
      <c r="O1514" s="22" t="s">
        <v>7637</v>
      </c>
      <c r="P1514" s="40"/>
      <c r="Q1514" s="212"/>
      <c r="R1514" s="31" t="s">
        <v>56</v>
      </c>
      <c r="S1514" s="218" t="str">
        <f t="shared" si="53"/>
        <v>https://github.com/SF-Bancoppel/mx-api-bc-bus-market-data</v>
      </c>
      <c r="T1514" s="40"/>
      <c r="U1514" s="40"/>
      <c r="V1514" s="40"/>
      <c r="W1514" s="40"/>
      <c r="X1514" s="40"/>
      <c r="Y1514" s="40"/>
      <c r="Z1514" s="40"/>
      <c r="AA1514" s="40"/>
      <c r="AB1514" s="40"/>
    </row>
    <row r="1515" ht="18.75" customHeight="1">
      <c r="A1515" s="303" t="s">
        <v>44</v>
      </c>
      <c r="B1515" s="22" t="str">
        <f>IFERROR(VLOOKUP(F1515, 'api-register-id'!B:F, 4, FALSE), "Not found path.")</f>
        <v>mx-api-bc-rec-regulations-and-compliance</v>
      </c>
      <c r="C1515" s="213" t="s">
        <v>112</v>
      </c>
      <c r="D1515" s="362" t="s">
        <v>1417</v>
      </c>
      <c r="E1515" s="24" t="str">
        <f>IFERROR(VLOOKUP(F1515, 'api-register-id'!B:F, 5, FALSE), "Not found path.")</f>
        <v>APIMX000220</v>
      </c>
      <c r="F1515" s="377" t="s">
        <v>7638</v>
      </c>
      <c r="G1515" s="26" t="s">
        <v>7639</v>
      </c>
      <c r="H1515" s="199" t="s">
        <v>7640</v>
      </c>
      <c r="I1515" s="29"/>
      <c r="J1515" s="382" t="s">
        <v>7641</v>
      </c>
      <c r="K1515" s="31" t="s">
        <v>48</v>
      </c>
      <c r="L1515" s="213" t="s">
        <v>49</v>
      </c>
      <c r="M1515" s="322" t="s">
        <v>1815</v>
      </c>
      <c r="N1515" s="322" t="s">
        <v>7642</v>
      </c>
      <c r="O1515" s="22" t="s">
        <v>7643</v>
      </c>
      <c r="P1515" s="40"/>
      <c r="Q1515" s="212"/>
      <c r="R1515" s="31" t="s">
        <v>56</v>
      </c>
      <c r="S1515" s="218" t="str">
        <f t="shared" si="53"/>
        <v>https://github.com/SF-Bancoppel/mx-api-bc-rec-regulations-and-compliance</v>
      </c>
      <c r="T1515" s="40"/>
      <c r="U1515" s="40"/>
      <c r="V1515" s="40"/>
      <c r="W1515" s="40"/>
      <c r="X1515" s="40"/>
      <c r="Y1515" s="40"/>
      <c r="Z1515" s="40"/>
      <c r="AA1515" s="40"/>
      <c r="AB1515" s="40"/>
    </row>
    <row r="1516" ht="18.75" customHeight="1">
      <c r="A1516" s="303" t="s">
        <v>44</v>
      </c>
      <c r="B1516" s="22" t="str">
        <f>IFERROR(VLOOKUP(F1516, 'api-register-id'!B:F, 4, FALSE), "Not found path.")</f>
        <v>mx-api-bc-bus-regulations-and-compliance</v>
      </c>
      <c r="C1516" s="213" t="s">
        <v>41</v>
      </c>
      <c r="D1516" s="362" t="s">
        <v>42</v>
      </c>
      <c r="E1516" s="24" t="str">
        <f>IFERROR(VLOOKUP(F1516, 'api-register-id'!B:F, 5, FALSE), "Not found path.")</f>
        <v>APIMX000219</v>
      </c>
      <c r="F1516" s="377" t="s">
        <v>7644</v>
      </c>
      <c r="G1516" s="26" t="s">
        <v>7645</v>
      </c>
      <c r="H1516" s="199" t="s">
        <v>7646</v>
      </c>
      <c r="I1516" s="29"/>
      <c r="J1516" s="382" t="s">
        <v>7647</v>
      </c>
      <c r="K1516" s="31" t="s">
        <v>48</v>
      </c>
      <c r="L1516" s="213" t="s">
        <v>49</v>
      </c>
      <c r="M1516" s="322" t="s">
        <v>1815</v>
      </c>
      <c r="N1516" s="322" t="s">
        <v>7648</v>
      </c>
      <c r="O1516" s="22" t="s">
        <v>7649</v>
      </c>
      <c r="P1516" s="40"/>
      <c r="Q1516" s="212"/>
      <c r="R1516" s="31" t="s">
        <v>56</v>
      </c>
      <c r="S1516" s="218" t="str">
        <f t="shared" si="53"/>
        <v>https://github.com/SF-Bancoppel/mx-api-bc-bus-regulations-and-compliance</v>
      </c>
      <c r="T1516" s="40"/>
      <c r="U1516" s="40"/>
      <c r="V1516" s="40"/>
      <c r="W1516" s="40"/>
      <c r="X1516" s="40"/>
      <c r="Y1516" s="40"/>
      <c r="Z1516" s="40"/>
      <c r="AA1516" s="40"/>
      <c r="AB1516" s="40"/>
    </row>
    <row r="1517" ht="18.75" customHeight="1">
      <c r="A1517" s="303" t="s">
        <v>44</v>
      </c>
      <c r="B1517" s="22" t="str">
        <f>IFERROR(VLOOKUP(F1517, 'api-register-id'!B:F, 4, FALSE), "Not found path.")</f>
        <v>mx-api-bc-rec-regulations-and-compliance</v>
      </c>
      <c r="C1517" s="213" t="s">
        <v>112</v>
      </c>
      <c r="D1517" s="362" t="s">
        <v>1417</v>
      </c>
      <c r="E1517" s="24" t="str">
        <f>IFERROR(VLOOKUP(F1517, 'api-register-id'!B:F, 5, FALSE), "Not found path.")</f>
        <v>APIMX000220</v>
      </c>
      <c r="F1517" s="377" t="s">
        <v>7638</v>
      </c>
      <c r="G1517" s="26" t="s">
        <v>7650</v>
      </c>
      <c r="H1517" s="199" t="s">
        <v>7651</v>
      </c>
      <c r="I1517" s="29" t="s">
        <v>162</v>
      </c>
      <c r="J1517" s="52" t="s">
        <v>7652</v>
      </c>
      <c r="K1517" s="31" t="s">
        <v>48</v>
      </c>
      <c r="L1517" s="213" t="s">
        <v>49</v>
      </c>
      <c r="M1517" s="52" t="s">
        <v>7653</v>
      </c>
      <c r="N1517" s="383" t="s">
        <v>7654</v>
      </c>
      <c r="O1517" s="22" t="s">
        <v>7655</v>
      </c>
      <c r="P1517" s="40"/>
      <c r="Q1517" s="212"/>
      <c r="R1517" s="31" t="s">
        <v>56</v>
      </c>
      <c r="S1517" s="218" t="str">
        <f t="shared" si="53"/>
        <v>https://github.com/SF-Bancoppel/mx-api-bc-rec-regulations-and-compliance</v>
      </c>
      <c r="T1517" s="40"/>
      <c r="U1517" s="40"/>
      <c r="V1517" s="40"/>
      <c r="W1517" s="40"/>
      <c r="X1517" s="40"/>
      <c r="Y1517" s="40"/>
      <c r="Z1517" s="40"/>
      <c r="AA1517" s="40"/>
      <c r="AB1517" s="40"/>
    </row>
    <row r="1518" ht="18.75" customHeight="1">
      <c r="A1518" s="303" t="s">
        <v>44</v>
      </c>
      <c r="B1518" s="22" t="str">
        <f>IFERROR(VLOOKUP(F1518, 'api-register-id'!B:F, 4, FALSE), "Not found path.")</f>
        <v>mx-api-bc-bus-regulations-and-compliance</v>
      </c>
      <c r="C1518" s="213" t="s">
        <v>41</v>
      </c>
      <c r="D1518" s="362" t="s">
        <v>42</v>
      </c>
      <c r="E1518" s="24" t="str">
        <f>IFERROR(VLOOKUP(F1518, 'api-register-id'!B:F, 5, FALSE), "Not found path.")</f>
        <v>APIMX000219</v>
      </c>
      <c r="F1518" s="377" t="s">
        <v>7644</v>
      </c>
      <c r="G1518" s="26" t="s">
        <v>7656</v>
      </c>
      <c r="H1518" s="199" t="s">
        <v>7657</v>
      </c>
      <c r="I1518" s="29" t="s">
        <v>162</v>
      </c>
      <c r="J1518" s="52" t="s">
        <v>7647</v>
      </c>
      <c r="K1518" s="31" t="s">
        <v>48</v>
      </c>
      <c r="L1518" s="213" t="s">
        <v>49</v>
      </c>
      <c r="M1518" s="52" t="s">
        <v>7653</v>
      </c>
      <c r="N1518" s="383" t="s">
        <v>7658</v>
      </c>
      <c r="O1518" s="22" t="s">
        <v>7659</v>
      </c>
      <c r="P1518" s="40"/>
      <c r="Q1518" s="212"/>
      <c r="R1518" s="31" t="s">
        <v>56</v>
      </c>
      <c r="S1518" s="218" t="str">
        <f t="shared" si="53"/>
        <v>https://github.com/SF-Bancoppel/mx-api-bc-bus-regulations-and-compliance</v>
      </c>
      <c r="T1518" s="40"/>
      <c r="U1518" s="40"/>
      <c r="V1518" s="40"/>
      <c r="W1518" s="40"/>
      <c r="X1518" s="40"/>
      <c r="Y1518" s="40"/>
      <c r="Z1518" s="40"/>
      <c r="AA1518" s="40"/>
      <c r="AB1518" s="40"/>
    </row>
    <row r="1519" ht="18.75" customHeight="1">
      <c r="A1519" s="303" t="s">
        <v>44</v>
      </c>
      <c r="B1519" s="22" t="str">
        <f>IFERROR(VLOOKUP(F1519, 'api-register-id'!B:F, 4, FALSE), "Not found path.")</f>
        <v>mx-api-bc-rec-process-instance-management</v>
      </c>
      <c r="C1519" s="213" t="s">
        <v>112</v>
      </c>
      <c r="D1519" s="362" t="s">
        <v>1417</v>
      </c>
      <c r="E1519" s="24" t="str">
        <f>IFERROR(VLOOKUP(F1519, 'api-register-id'!B:F, 5, FALSE), "Not found path.")</f>
        <v>APIMX000232</v>
      </c>
      <c r="F1519" s="297" t="s">
        <v>3956</v>
      </c>
      <c r="G1519" s="26" t="s">
        <v>7660</v>
      </c>
      <c r="H1519" s="199" t="s">
        <v>7661</v>
      </c>
      <c r="I1519" s="29" t="s">
        <v>1249</v>
      </c>
      <c r="J1519" s="52" t="s">
        <v>7662</v>
      </c>
      <c r="K1519" s="31" t="s">
        <v>48</v>
      </c>
      <c r="L1519" s="213" t="s">
        <v>49</v>
      </c>
      <c r="M1519" s="384" t="s">
        <v>7663</v>
      </c>
      <c r="N1519" s="383" t="str">
        <f>CONCATENATE(L1519, " ",J1519,M1519)</f>
        <v>POST /experience/processInstanceManagement/v1/taskAssign/retrieve</v>
      </c>
      <c r="O1519" s="22" t="s">
        <v>7664</v>
      </c>
      <c r="P1519" s="40"/>
      <c r="Q1519" s="212"/>
      <c r="R1519" s="31" t="s">
        <v>56</v>
      </c>
      <c r="S1519" s="218" t="str">
        <f t="shared" si="53"/>
        <v>https://github.com/SF-Bancoppel/mx-api-bc-rec-process-instance-management</v>
      </c>
      <c r="T1519" s="40"/>
      <c r="U1519" s="40"/>
      <c r="V1519" s="40"/>
      <c r="W1519" s="40"/>
      <c r="X1519" s="40"/>
      <c r="Y1519" s="40"/>
      <c r="Z1519" s="40"/>
      <c r="AA1519" s="40"/>
      <c r="AB1519" s="40"/>
    </row>
    <row r="1520" ht="18.75" customHeight="1">
      <c r="A1520" s="303" t="s">
        <v>44</v>
      </c>
      <c r="B1520" s="22" t="str">
        <f>IFERROR(VLOOKUP(F1520, 'api-register-id'!B:F, 4, FALSE), "Not found path.")</f>
        <v>mx-api-bc-rec-process-instance-management</v>
      </c>
      <c r="C1520" s="213" t="s">
        <v>112</v>
      </c>
      <c r="D1520" s="362" t="s">
        <v>1417</v>
      </c>
      <c r="E1520" s="24" t="str">
        <f>IFERROR(VLOOKUP(F1520, 'api-register-id'!B:F, 5, FALSE), "Not found path.")</f>
        <v>APIMX000232</v>
      </c>
      <c r="F1520" s="297" t="s">
        <v>3956</v>
      </c>
      <c r="G1520" s="26" t="s">
        <v>7665</v>
      </c>
      <c r="H1520" s="199" t="s">
        <v>7666</v>
      </c>
      <c r="I1520" s="29" t="s">
        <v>162</v>
      </c>
      <c r="J1520" s="52" t="s">
        <v>7667</v>
      </c>
      <c r="K1520" s="31" t="s">
        <v>48</v>
      </c>
      <c r="L1520" s="213" t="s">
        <v>428</v>
      </c>
      <c r="M1520" s="322" t="s">
        <v>7668</v>
      </c>
      <c r="N1520" s="322" t="s">
        <v>7669</v>
      </c>
      <c r="O1520" s="22" t="s">
        <v>7670</v>
      </c>
      <c r="P1520" s="40"/>
      <c r="Q1520" s="212"/>
      <c r="R1520" s="31" t="s">
        <v>56</v>
      </c>
      <c r="S1520" s="218" t="str">
        <f t="shared" si="53"/>
        <v>https://github.com/SF-Bancoppel/mx-api-bc-rec-process-instance-management</v>
      </c>
      <c r="T1520" s="40"/>
      <c r="U1520" s="40"/>
      <c r="V1520" s="40"/>
      <c r="W1520" s="40"/>
      <c r="X1520" s="40"/>
      <c r="Y1520" s="40"/>
      <c r="Z1520" s="40"/>
      <c r="AA1520" s="40"/>
      <c r="AB1520" s="40"/>
    </row>
    <row r="1521" ht="18.75" customHeight="1">
      <c r="A1521" s="303" t="s">
        <v>44</v>
      </c>
      <c r="B1521" s="22" t="str">
        <f>IFERROR(VLOOKUP(F1521, 'api-register-id'!B:F, 4, FALSE), "Not found path.")</f>
        <v>mx-api-bc-rec-process-instance-management</v>
      </c>
      <c r="C1521" s="213" t="s">
        <v>112</v>
      </c>
      <c r="D1521" s="362" t="s">
        <v>1417</v>
      </c>
      <c r="E1521" s="24" t="str">
        <f>IFERROR(VLOOKUP(F1521, 'api-register-id'!B:F, 5, FALSE), "Not found path.")</f>
        <v>APIMX000232</v>
      </c>
      <c r="F1521" s="297" t="s">
        <v>3956</v>
      </c>
      <c r="G1521" s="26" t="s">
        <v>7671</v>
      </c>
      <c r="H1521" s="199" t="s">
        <v>7672</v>
      </c>
      <c r="I1521" s="29" t="s">
        <v>162</v>
      </c>
      <c r="J1521" s="382" t="s">
        <v>7667</v>
      </c>
      <c r="K1521" s="31" t="s">
        <v>48</v>
      </c>
      <c r="L1521" s="213" t="s">
        <v>49</v>
      </c>
      <c r="M1521" s="322" t="s">
        <v>7673</v>
      </c>
      <c r="N1521" s="322" t="s">
        <v>7674</v>
      </c>
      <c r="O1521" s="22" t="s">
        <v>7675</v>
      </c>
      <c r="P1521" s="40"/>
      <c r="Q1521" s="212"/>
      <c r="R1521" s="31" t="s">
        <v>56</v>
      </c>
      <c r="S1521" s="218" t="str">
        <f t="shared" si="53"/>
        <v>https://github.com/SF-Bancoppel/mx-api-bc-rec-process-instance-management</v>
      </c>
      <c r="T1521" s="40"/>
      <c r="U1521" s="40"/>
      <c r="V1521" s="40"/>
      <c r="W1521" s="40"/>
      <c r="X1521" s="40"/>
      <c r="Y1521" s="40"/>
      <c r="Z1521" s="40"/>
      <c r="AA1521" s="40"/>
      <c r="AB1521" s="40"/>
    </row>
    <row r="1522" ht="18.75" customHeight="1">
      <c r="A1522" s="303" t="s">
        <v>44</v>
      </c>
      <c r="B1522" s="22" t="str">
        <f>IFERROR(VLOOKUP(F1522, 'api-register-id'!B:F, 4, FALSE), "Not found path.")</f>
        <v>mx-api-bc-rec-process-instance-management</v>
      </c>
      <c r="C1522" s="213" t="s">
        <v>112</v>
      </c>
      <c r="D1522" s="362" t="s">
        <v>1417</v>
      </c>
      <c r="E1522" s="24" t="str">
        <f>IFERROR(VLOOKUP(F1522, 'api-register-id'!B:F, 5, FALSE), "Not found path.")</f>
        <v>APIMX000232</v>
      </c>
      <c r="F1522" s="297" t="s">
        <v>3956</v>
      </c>
      <c r="G1522" s="26" t="s">
        <v>7676</v>
      </c>
      <c r="H1522" s="199" t="s">
        <v>7677</v>
      </c>
      <c r="I1522" s="29" t="s">
        <v>162</v>
      </c>
      <c r="J1522" s="382" t="s">
        <v>7667</v>
      </c>
      <c r="K1522" s="31" t="s">
        <v>48</v>
      </c>
      <c r="L1522" s="213" t="s">
        <v>428</v>
      </c>
      <c r="M1522" s="322" t="s">
        <v>7678</v>
      </c>
      <c r="N1522" s="322" t="s">
        <v>7679</v>
      </c>
      <c r="O1522" s="22" t="s">
        <v>7680</v>
      </c>
      <c r="P1522" s="40"/>
      <c r="Q1522" s="212"/>
      <c r="R1522" s="31" t="s">
        <v>56</v>
      </c>
      <c r="S1522" s="218" t="str">
        <f t="shared" si="53"/>
        <v>https://github.com/SF-Bancoppel/mx-api-bc-rec-process-instance-management</v>
      </c>
      <c r="T1522" s="40"/>
      <c r="U1522" s="40"/>
      <c r="V1522" s="40"/>
      <c r="W1522" s="40"/>
      <c r="X1522" s="40"/>
      <c r="Y1522" s="40"/>
      <c r="Z1522" s="40"/>
      <c r="AA1522" s="40"/>
      <c r="AB1522" s="40"/>
    </row>
    <row r="1523" ht="18.75" customHeight="1">
      <c r="A1523" s="303" t="s">
        <v>44</v>
      </c>
      <c r="B1523" s="22" t="str">
        <f>IFERROR(VLOOKUP(F1523, 'api-register-id'!B:F, 4, FALSE), "Not found path.")</f>
        <v>mx-api-bc-rec-security-advisory</v>
      </c>
      <c r="C1523" s="213" t="s">
        <v>112</v>
      </c>
      <c r="D1523" s="362" t="s">
        <v>1417</v>
      </c>
      <c r="E1523" s="24" t="str">
        <f>IFERROR(VLOOKUP(F1523, 'api-register-id'!B:F, 5, FALSE), "Not found path.")</f>
        <v>APIMX000233</v>
      </c>
      <c r="F1523" s="363" t="s">
        <v>3980</v>
      </c>
      <c r="G1523" s="26" t="s">
        <v>7681</v>
      </c>
      <c r="H1523" s="199" t="s">
        <v>7682</v>
      </c>
      <c r="I1523" s="29" t="s">
        <v>162</v>
      </c>
      <c r="J1523" s="385" t="s">
        <v>7683</v>
      </c>
      <c r="K1523" s="31" t="s">
        <v>48</v>
      </c>
      <c r="L1523" s="213" t="s">
        <v>61</v>
      </c>
      <c r="M1523" s="384" t="s">
        <v>7684</v>
      </c>
      <c r="N1523" s="322" t="str">
        <f t="shared" ref="N1523:N1525" si="55">CONCATENATE(L1523, " ",J1523,M1523)</f>
        <v>PUT /experience/nonITAndNonHREnterpriseServices/securityAdvisory/v1/outboundMessage/execute</v>
      </c>
      <c r="O1523" s="22" t="s">
        <v>7685</v>
      </c>
      <c r="P1523" s="40"/>
      <c r="Q1523" s="212"/>
      <c r="R1523" s="31" t="s">
        <v>56</v>
      </c>
      <c r="S1523" s="218" t="str">
        <f t="shared" si="53"/>
        <v>https://github.com/SF-Bancoppel/mx-api-bc-rec-security-advisory</v>
      </c>
      <c r="T1523" s="40"/>
      <c r="U1523" s="40"/>
      <c r="V1523" s="40"/>
      <c r="W1523" s="40"/>
      <c r="X1523" s="40"/>
      <c r="Y1523" s="40"/>
      <c r="Z1523" s="40"/>
      <c r="AA1523" s="40"/>
      <c r="AB1523" s="40"/>
    </row>
    <row r="1524" ht="18.75" customHeight="1">
      <c r="A1524" s="303" t="s">
        <v>44</v>
      </c>
      <c r="B1524" s="22" t="str">
        <f>IFERROR(VLOOKUP(F1524, 'api-register-id'!B:F, 4, FALSE), "Not found path.")</f>
        <v>mx-api-bc-dom-security-advisory</v>
      </c>
      <c r="C1524" s="213" t="s">
        <v>41</v>
      </c>
      <c r="D1524" s="362" t="s">
        <v>119</v>
      </c>
      <c r="E1524" s="24" t="str">
        <f>IFERROR(VLOOKUP(F1524, 'api-register-id'!B:F, 5, FALSE), "Not found path.")</f>
        <v>APIMX000234</v>
      </c>
      <c r="F1524" s="363" t="s">
        <v>4003</v>
      </c>
      <c r="G1524" s="26" t="s">
        <v>7686</v>
      </c>
      <c r="H1524" s="199" t="s">
        <v>7687</v>
      </c>
      <c r="I1524" s="29" t="s">
        <v>162</v>
      </c>
      <c r="J1524" s="364" t="s">
        <v>7688</v>
      </c>
      <c r="K1524" s="31" t="s">
        <v>48</v>
      </c>
      <c r="L1524" s="213" t="s">
        <v>61</v>
      </c>
      <c r="M1524" s="384" t="s">
        <v>7684</v>
      </c>
      <c r="N1524" s="384" t="str">
        <f t="shared" si="55"/>
        <v>PUT /nonITAndNonHREnterpriseServices/securityAdvisory/v1/outboundMessage/execute</v>
      </c>
      <c r="O1524" s="22" t="s">
        <v>7685</v>
      </c>
      <c r="P1524" s="40"/>
      <c r="Q1524" s="212"/>
      <c r="R1524" s="31" t="s">
        <v>56</v>
      </c>
      <c r="S1524" s="218" t="str">
        <f t="shared" si="53"/>
        <v>https://github.com/SF-Bancoppel/mx-api-bc-dom-security-advisory</v>
      </c>
      <c r="T1524" s="40"/>
      <c r="U1524" s="40"/>
      <c r="V1524" s="40"/>
      <c r="W1524" s="40"/>
      <c r="X1524" s="40"/>
      <c r="Y1524" s="40"/>
      <c r="Z1524" s="40"/>
      <c r="AA1524" s="40"/>
      <c r="AB1524" s="40"/>
    </row>
    <row r="1525" ht="18.75" customHeight="1">
      <c r="A1525" s="303" t="s">
        <v>44</v>
      </c>
      <c r="B1525" s="22" t="str">
        <f>IFERROR(VLOOKUP(F1525, 'api-register-id'!B:F, 4, FALSE), "Not found path.")</f>
        <v>mx-api-bc-pro-security-advisory</v>
      </c>
      <c r="C1525" s="213" t="s">
        <v>41</v>
      </c>
      <c r="D1525" s="362" t="s">
        <v>811</v>
      </c>
      <c r="E1525" s="24" t="str">
        <f>IFERROR(VLOOKUP(F1525, 'api-register-id'!B:F, 5, FALSE), "Not found path.")</f>
        <v>APIMX000235</v>
      </c>
      <c r="F1525" s="363" t="s">
        <v>4022</v>
      </c>
      <c r="G1525" s="26" t="s">
        <v>7689</v>
      </c>
      <c r="H1525" s="199" t="s">
        <v>7690</v>
      </c>
      <c r="I1525" s="29" t="s">
        <v>162</v>
      </c>
      <c r="J1525" s="364" t="s">
        <v>7691</v>
      </c>
      <c r="K1525" s="31" t="s">
        <v>48</v>
      </c>
      <c r="L1525" s="213" t="s">
        <v>61</v>
      </c>
      <c r="M1525" s="384" t="s">
        <v>7684</v>
      </c>
      <c r="N1525" s="384" t="str">
        <f t="shared" si="55"/>
        <v>PUT /system/nonITAndNonHREnterpriseServices/securityAdvisory/v1/outboundMessage/execute</v>
      </c>
      <c r="O1525" s="22" t="s">
        <v>7685</v>
      </c>
      <c r="P1525" s="40"/>
      <c r="Q1525" s="212"/>
      <c r="R1525" s="31" t="s">
        <v>56</v>
      </c>
      <c r="S1525" s="218" t="str">
        <f t="shared" si="53"/>
        <v>https://github.com/SF-Bancoppel/mx-api-bc-pro-security-advisory</v>
      </c>
      <c r="T1525" s="40"/>
      <c r="U1525" s="40"/>
      <c r="V1525" s="40"/>
      <c r="W1525" s="40"/>
      <c r="X1525" s="40"/>
      <c r="Y1525" s="40"/>
      <c r="Z1525" s="40"/>
      <c r="AA1525" s="40"/>
      <c r="AB1525" s="40"/>
    </row>
    <row r="1526" ht="18.75" customHeight="1">
      <c r="A1526" s="18" t="s">
        <v>1827</v>
      </c>
      <c r="B1526" s="22" t="str">
        <f>IFERROR(VLOOKUP(F1526, 'api-register-id'!B:F, 4, FALSE), "Not found path.")</f>
        <v>mx-api-bc-pro-document-services-corp</v>
      </c>
      <c r="C1526" s="234" t="s">
        <v>41</v>
      </c>
      <c r="D1526" s="234" t="s">
        <v>811</v>
      </c>
      <c r="E1526" s="24" t="str">
        <f>IFERROR(VLOOKUP(F1526, 'api-register-id'!B:F, 5, FALSE), "Not found path.")</f>
        <v>APIMX000194</v>
      </c>
      <c r="F1526" s="217" t="s">
        <v>3187</v>
      </c>
      <c r="G1526" s="26" t="s">
        <v>7692</v>
      </c>
      <c r="H1526" s="194" t="s">
        <v>7693</v>
      </c>
      <c r="I1526" s="29" t="s">
        <v>162</v>
      </c>
      <c r="J1526" s="216" t="s">
        <v>2950</v>
      </c>
      <c r="K1526" s="31" t="s">
        <v>48</v>
      </c>
      <c r="L1526" s="213" t="s">
        <v>49</v>
      </c>
      <c r="M1526" s="216" t="s">
        <v>7465</v>
      </c>
      <c r="N1526" s="386" t="str">
        <f t="shared" ref="N1526:N1544" si="56">CONCATENATE(L1526, " ", J1526, M1526)</f>
        <v>POST /system/documentManagementAndArchive/documentServices/v1/corporate/file/register</v>
      </c>
      <c r="O1526" s="234"/>
      <c r="P1526" s="216"/>
      <c r="Q1526" s="387" t="s">
        <v>7694</v>
      </c>
      <c r="R1526" s="31" t="s">
        <v>56</v>
      </c>
      <c r="S1526" s="218" t="str">
        <f t="shared" si="53"/>
        <v>https://github.com/SF-Bancoppel/mx-api-bc-pro-document-services-corp</v>
      </c>
      <c r="T1526" s="192"/>
      <c r="U1526" s="216"/>
      <c r="V1526" s="192"/>
      <c r="W1526" s="40"/>
      <c r="X1526" s="40"/>
      <c r="Y1526" s="40"/>
      <c r="Z1526" s="40"/>
      <c r="AA1526" s="40"/>
      <c r="AB1526" s="40"/>
    </row>
    <row r="1527" ht="18.75" customHeight="1">
      <c r="A1527" s="18" t="s">
        <v>1827</v>
      </c>
      <c r="B1527" s="22" t="str">
        <f>IFERROR(VLOOKUP(F1527, 'api-register-id'!B:F, 4, FALSE), "Not found path.")</f>
        <v>mx-api-bc-pro-operational-gateway-corp</v>
      </c>
      <c r="C1527" s="234" t="s">
        <v>41</v>
      </c>
      <c r="D1527" s="234" t="s">
        <v>811</v>
      </c>
      <c r="E1527" s="24" t="str">
        <f>IFERROR(VLOOKUP(F1527, 'api-register-id'!B:F, 5, FALSE), "Not found path.")</f>
        <v>APIMX000236</v>
      </c>
      <c r="F1527" s="217" t="s">
        <v>4039</v>
      </c>
      <c r="G1527" s="26" t="s">
        <v>7695</v>
      </c>
      <c r="H1527" s="217" t="s">
        <v>7696</v>
      </c>
      <c r="I1527" s="29" t="s">
        <v>162</v>
      </c>
      <c r="J1527" s="216" t="s">
        <v>7697</v>
      </c>
      <c r="K1527" s="31" t="s">
        <v>48</v>
      </c>
      <c r="L1527" s="213" t="s">
        <v>49</v>
      </c>
      <c r="M1527" s="192" t="s">
        <v>7470</v>
      </c>
      <c r="N1527" s="386" t="str">
        <f t="shared" si="56"/>
        <v>POST /system/itManagement/operationalGateway/v1/corporate/message/exchange</v>
      </c>
      <c r="O1527" s="234"/>
      <c r="P1527" s="192"/>
      <c r="Q1527" s="387" t="s">
        <v>7698</v>
      </c>
      <c r="R1527" s="31" t="s">
        <v>56</v>
      </c>
      <c r="S1527" s="218" t="str">
        <f t="shared" si="53"/>
        <v>https://github.com/SF-Bancoppel/mx-api-bc-pro-operational-gateway-corp</v>
      </c>
      <c r="T1527" s="192"/>
      <c r="U1527" s="216"/>
      <c r="V1527" s="192"/>
      <c r="W1527" s="40"/>
      <c r="X1527" s="40"/>
      <c r="Y1527" s="40"/>
      <c r="Z1527" s="40"/>
      <c r="AA1527" s="40"/>
      <c r="AB1527" s="40"/>
    </row>
    <row r="1528" ht="18.75" customHeight="1">
      <c r="A1528" s="18" t="s">
        <v>1827</v>
      </c>
      <c r="B1528" s="22" t="str">
        <f>IFERROR(VLOOKUP(F1528, 'api-register-id'!B:F, 4, FALSE), "Not found path.")</f>
        <v>mx-api-bc-bus-pty-auth-corp</v>
      </c>
      <c r="C1528" s="234" t="s">
        <v>41</v>
      </c>
      <c r="D1528" s="234" t="s">
        <v>42</v>
      </c>
      <c r="E1528" s="24" t="str">
        <f>IFERROR(VLOOKUP(F1528, 'api-register-id'!B:F, 5, FALSE), "Not found path.")</f>
        <v>APIMX000205</v>
      </c>
      <c r="F1528" s="377" t="s">
        <v>3591</v>
      </c>
      <c r="G1528" s="26" t="s">
        <v>7699</v>
      </c>
      <c r="H1528" s="217" t="s">
        <v>7700</v>
      </c>
      <c r="I1528" s="29" t="s">
        <v>162</v>
      </c>
      <c r="J1528" s="192" t="s">
        <v>7701</v>
      </c>
      <c r="K1528" s="31" t="s">
        <v>48</v>
      </c>
      <c r="L1528" s="213" t="s">
        <v>49</v>
      </c>
      <c r="M1528" s="388" t="s">
        <v>6566</v>
      </c>
      <c r="N1528" s="386" t="str">
        <f t="shared" si="56"/>
        <v>POST /crossChannel/v1/corporate/security/password/validate</v>
      </c>
      <c r="O1528" s="234"/>
      <c r="P1528" s="388"/>
      <c r="Q1528" s="387" t="s">
        <v>7702</v>
      </c>
      <c r="R1528" s="31" t="s">
        <v>56</v>
      </c>
      <c r="S1528" s="218" t="str">
        <f t="shared" si="53"/>
        <v>https://github.com/SF-Bancoppel/mx-api-bc-bus-pty-auth-corp</v>
      </c>
      <c r="T1528" s="242"/>
      <c r="U1528" s="216"/>
      <c r="V1528" s="192"/>
      <c r="W1528" s="40"/>
      <c r="X1528" s="40"/>
      <c r="Y1528" s="40"/>
      <c r="Z1528" s="40"/>
      <c r="AA1528" s="40"/>
      <c r="AB1528" s="40"/>
    </row>
    <row r="1529" ht="18.75" customHeight="1">
      <c r="A1529" s="18" t="s">
        <v>1827</v>
      </c>
      <c r="B1529" s="22" t="str">
        <f>IFERROR(VLOOKUP(F1529, 'api-register-id'!B:F, 4, FALSE), "Not found path.")</f>
        <v>mx-api-bc-dom-pty-auth-corp</v>
      </c>
      <c r="C1529" s="234" t="s">
        <v>41</v>
      </c>
      <c r="D1529" s="234" t="s">
        <v>119</v>
      </c>
      <c r="E1529" s="24" t="str">
        <f>IFERROR(VLOOKUP(F1529, 'api-register-id'!B:F, 5, FALSE), "Not found path.")</f>
        <v>APIMX000176</v>
      </c>
      <c r="F1529" s="377" t="s">
        <v>2649</v>
      </c>
      <c r="G1529" s="26" t="s">
        <v>7703</v>
      </c>
      <c r="H1529" s="217" t="s">
        <v>6457</v>
      </c>
      <c r="I1529" s="29" t="s">
        <v>162</v>
      </c>
      <c r="J1529" s="192" t="s">
        <v>6568</v>
      </c>
      <c r="K1529" s="31" t="s">
        <v>48</v>
      </c>
      <c r="L1529" s="213" t="s">
        <v>49</v>
      </c>
      <c r="M1529" s="192" t="s">
        <v>6458</v>
      </c>
      <c r="N1529" s="386" t="str">
        <f t="shared" si="56"/>
        <v>POST /crossChanel/partyAuthentication/v1/corporate/userRsa/create</v>
      </c>
      <c r="O1529" s="234"/>
      <c r="P1529" s="192"/>
      <c r="Q1529" s="387" t="s">
        <v>7698</v>
      </c>
      <c r="R1529" s="31" t="s">
        <v>56</v>
      </c>
      <c r="S1529" s="218" t="str">
        <f t="shared" si="53"/>
        <v>https://github.com/SF-Bancoppel/mx-api-bc-dom-pty-auth-corp</v>
      </c>
      <c r="T1529" s="242"/>
      <c r="U1529" s="216"/>
      <c r="V1529" s="192"/>
      <c r="W1529" s="40"/>
      <c r="X1529" s="40"/>
      <c r="Y1529" s="40"/>
      <c r="Z1529" s="40"/>
      <c r="AA1529" s="40"/>
      <c r="AB1529" s="40"/>
    </row>
    <row r="1530" ht="18.75" customHeight="1">
      <c r="A1530" s="18" t="s">
        <v>1827</v>
      </c>
      <c r="B1530" s="22" t="str">
        <f>IFERROR(VLOOKUP(F1530, 'api-register-id'!B:F, 4, FALSE), "Not found path.")</f>
        <v>mx-api-bc-dom-pty-auth-corp</v>
      </c>
      <c r="C1530" s="234" t="s">
        <v>41</v>
      </c>
      <c r="D1530" s="234" t="s">
        <v>119</v>
      </c>
      <c r="E1530" s="24" t="str">
        <f>IFERROR(VLOOKUP(F1530, 'api-register-id'!B:F, 5, FALSE), "Not found path.")</f>
        <v>APIMX000176</v>
      </c>
      <c r="F1530" s="377" t="s">
        <v>2649</v>
      </c>
      <c r="G1530" s="26" t="s">
        <v>7704</v>
      </c>
      <c r="H1530" s="217" t="s">
        <v>7705</v>
      </c>
      <c r="I1530" s="29" t="s">
        <v>162</v>
      </c>
      <c r="J1530" s="192" t="s">
        <v>6568</v>
      </c>
      <c r="K1530" s="31" t="s">
        <v>48</v>
      </c>
      <c r="L1530" s="213" t="s">
        <v>49</v>
      </c>
      <c r="M1530" s="192" t="s">
        <v>7706</v>
      </c>
      <c r="N1530" s="386" t="str">
        <f t="shared" si="56"/>
        <v>POST /crossChanel/partyAuthentication/v1/corporate/authentication/user/update</v>
      </c>
      <c r="O1530" s="234"/>
      <c r="P1530" s="192"/>
      <c r="Q1530" s="387" t="s">
        <v>7707</v>
      </c>
      <c r="R1530" s="31" t="s">
        <v>56</v>
      </c>
      <c r="S1530" s="218" t="str">
        <f t="shared" si="53"/>
        <v>https://github.com/SF-Bancoppel/mx-api-bc-dom-pty-auth-corp</v>
      </c>
      <c r="T1530" s="242"/>
      <c r="U1530" s="216"/>
      <c r="V1530" s="192"/>
      <c r="W1530" s="40"/>
      <c r="X1530" s="40"/>
      <c r="Y1530" s="40"/>
      <c r="Z1530" s="40"/>
      <c r="AA1530" s="40"/>
      <c r="AB1530" s="40"/>
    </row>
    <row r="1531" ht="18.75" customHeight="1">
      <c r="A1531" s="18" t="s">
        <v>1827</v>
      </c>
      <c r="B1531" s="22" t="str">
        <f>IFERROR(VLOOKUP(F1531, 'api-register-id'!B:F, 4, FALSE), "Not found path.")</f>
        <v>mx-api-bc-dom-pty-auth-corp</v>
      </c>
      <c r="C1531" s="234" t="s">
        <v>41</v>
      </c>
      <c r="D1531" s="234" t="s">
        <v>119</v>
      </c>
      <c r="E1531" s="24" t="str">
        <f>IFERROR(VLOOKUP(F1531, 'api-register-id'!B:F, 5, FALSE), "Not found path.")</f>
        <v>APIMX000176</v>
      </c>
      <c r="F1531" s="377" t="s">
        <v>2649</v>
      </c>
      <c r="G1531" s="26" t="s">
        <v>7708</v>
      </c>
      <c r="H1531" s="217" t="s">
        <v>7709</v>
      </c>
      <c r="I1531" s="29" t="s">
        <v>162</v>
      </c>
      <c r="J1531" s="192" t="s">
        <v>6568</v>
      </c>
      <c r="K1531" s="31" t="s">
        <v>48</v>
      </c>
      <c r="L1531" s="213" t="s">
        <v>49</v>
      </c>
      <c r="M1531" s="192" t="s">
        <v>7710</v>
      </c>
      <c r="N1531" s="386" t="str">
        <f t="shared" si="56"/>
        <v>POST /crossChanel/partyAuthentication/v1/corporate/authentication/token</v>
      </c>
      <c r="O1531" s="234"/>
      <c r="P1531" s="192"/>
      <c r="Q1531" s="387" t="s">
        <v>7711</v>
      </c>
      <c r="R1531" s="31" t="s">
        <v>56</v>
      </c>
      <c r="S1531" s="218" t="str">
        <f t="shared" si="53"/>
        <v>https://github.com/SF-Bancoppel/mx-api-bc-dom-pty-auth-corp</v>
      </c>
      <c r="T1531" s="242"/>
      <c r="U1531" s="216"/>
      <c r="V1531" s="192"/>
      <c r="W1531" s="40"/>
      <c r="X1531" s="40"/>
      <c r="Y1531" s="40"/>
      <c r="Z1531" s="40"/>
      <c r="AA1531" s="40"/>
      <c r="AB1531" s="40"/>
    </row>
    <row r="1532" ht="18.75" customHeight="1">
      <c r="A1532" s="18" t="s">
        <v>1827</v>
      </c>
      <c r="B1532" s="22" t="str">
        <f>IFERROR(VLOOKUP(F1532, 'api-register-id'!B:F, 4, FALSE), "Not found path.")</f>
        <v>mx-api-bc-dom-pty-auth-corp</v>
      </c>
      <c r="C1532" s="234" t="s">
        <v>41</v>
      </c>
      <c r="D1532" s="234" t="s">
        <v>119</v>
      </c>
      <c r="E1532" s="24" t="str">
        <f>IFERROR(VLOOKUP(F1532, 'api-register-id'!B:F, 5, FALSE), "Not found path.")</f>
        <v>APIMX000176</v>
      </c>
      <c r="F1532" s="377" t="s">
        <v>2649</v>
      </c>
      <c r="G1532" s="26" t="s">
        <v>7712</v>
      </c>
      <c r="H1532" s="217" t="s">
        <v>7713</v>
      </c>
      <c r="I1532" s="389"/>
      <c r="J1532" s="216" t="s">
        <v>1295</v>
      </c>
      <c r="K1532" s="31" t="s">
        <v>48</v>
      </c>
      <c r="L1532" s="213" t="s">
        <v>49</v>
      </c>
      <c r="M1532" s="192" t="s">
        <v>7714</v>
      </c>
      <c r="N1532" s="386" t="str">
        <f t="shared" si="56"/>
        <v>POST /crossChannel/partyAuthentication/v1/corporate/user/logs</v>
      </c>
      <c r="O1532" s="234"/>
      <c r="P1532" s="192"/>
      <c r="Q1532" s="387" t="s">
        <v>7715</v>
      </c>
      <c r="R1532" s="31" t="s">
        <v>56</v>
      </c>
      <c r="S1532" s="218" t="str">
        <f t="shared" si="53"/>
        <v>https://github.com/SF-Bancoppel/mx-api-bc-dom-pty-auth-corp</v>
      </c>
      <c r="T1532" s="242"/>
      <c r="U1532" s="216"/>
      <c r="V1532" s="192"/>
      <c r="W1532" s="40"/>
      <c r="X1532" s="40"/>
      <c r="Y1532" s="40"/>
      <c r="Z1532" s="40"/>
      <c r="AA1532" s="40"/>
      <c r="AB1532" s="40"/>
    </row>
    <row r="1533" ht="18.75" customHeight="1">
      <c r="A1533" s="18" t="s">
        <v>1827</v>
      </c>
      <c r="B1533" s="22" t="str">
        <f>IFERROR(VLOOKUP(F1533, 'api-register-id'!B:F, 4, FALSE), "Not found path.")</f>
        <v>mx-api-bc-dom-pty-auth-corp</v>
      </c>
      <c r="C1533" s="234" t="s">
        <v>41</v>
      </c>
      <c r="D1533" s="234" t="s">
        <v>119</v>
      </c>
      <c r="E1533" s="24" t="str">
        <f>IFERROR(VLOOKUP(F1533, 'api-register-id'!B:F, 5, FALSE), "Not found path.")</f>
        <v>APIMX000176</v>
      </c>
      <c r="F1533" s="377" t="s">
        <v>2649</v>
      </c>
      <c r="G1533" s="26" t="s">
        <v>7716</v>
      </c>
      <c r="H1533" s="217" t="s">
        <v>7717</v>
      </c>
      <c r="I1533" s="389"/>
      <c r="J1533" s="216" t="s">
        <v>1295</v>
      </c>
      <c r="K1533" s="31" t="s">
        <v>48</v>
      </c>
      <c r="L1533" s="213" t="s">
        <v>49</v>
      </c>
      <c r="M1533" s="388" t="s">
        <v>7718</v>
      </c>
      <c r="N1533" s="386" t="str">
        <f t="shared" si="56"/>
        <v>POST /crossChannel/partyAuthentication/v1/corporate/authentication/user/validate</v>
      </c>
      <c r="O1533" s="234"/>
      <c r="P1533" s="388"/>
      <c r="Q1533" s="387" t="s">
        <v>7719</v>
      </c>
      <c r="R1533" s="31" t="s">
        <v>56</v>
      </c>
      <c r="S1533" s="218" t="str">
        <f t="shared" si="53"/>
        <v>https://github.com/SF-Bancoppel/mx-api-bc-dom-pty-auth-corp</v>
      </c>
      <c r="T1533" s="242"/>
      <c r="U1533" s="216"/>
      <c r="V1533" s="192"/>
      <c r="W1533" s="40"/>
      <c r="X1533" s="40"/>
      <c r="Y1533" s="40"/>
      <c r="Z1533" s="40"/>
      <c r="AA1533" s="40"/>
      <c r="AB1533" s="40"/>
    </row>
    <row r="1534" ht="18.75" customHeight="1">
      <c r="A1534" s="18" t="s">
        <v>1827</v>
      </c>
      <c r="B1534" s="22" t="str">
        <f>IFERROR(VLOOKUP(F1534, 'api-register-id'!B:F, 4, FALSE), "Not found path.")</f>
        <v>mx-api-bc-dom-pty-auth-corp</v>
      </c>
      <c r="C1534" s="234" t="s">
        <v>41</v>
      </c>
      <c r="D1534" s="234" t="s">
        <v>119</v>
      </c>
      <c r="E1534" s="24" t="str">
        <f>IFERROR(VLOOKUP(F1534, 'api-register-id'!B:F, 5, FALSE), "Not found path.")</f>
        <v>APIMX000176</v>
      </c>
      <c r="F1534" s="377" t="s">
        <v>2649</v>
      </c>
      <c r="G1534" s="26" t="s">
        <v>7720</v>
      </c>
      <c r="H1534" s="217" t="s">
        <v>7721</v>
      </c>
      <c r="I1534" s="389"/>
      <c r="J1534" s="216" t="s">
        <v>1295</v>
      </c>
      <c r="K1534" s="31" t="s">
        <v>48</v>
      </c>
      <c r="L1534" s="213" t="s">
        <v>49</v>
      </c>
      <c r="M1534" s="390" t="s">
        <v>7722</v>
      </c>
      <c r="N1534" s="386" t="str">
        <f t="shared" si="56"/>
        <v>POST /crossChannel/partyAuthentication/v1/corporate/user/status/update</v>
      </c>
      <c r="O1534" s="234"/>
      <c r="P1534" s="390"/>
      <c r="Q1534" s="387" t="s">
        <v>7723</v>
      </c>
      <c r="R1534" s="31" t="s">
        <v>56</v>
      </c>
      <c r="S1534" s="218" t="str">
        <f t="shared" si="53"/>
        <v>https://github.com/SF-Bancoppel/mx-api-bc-dom-pty-auth-corp</v>
      </c>
      <c r="T1534" s="242"/>
      <c r="U1534" s="216"/>
      <c r="V1534" s="192"/>
      <c r="W1534" s="40"/>
      <c r="X1534" s="40"/>
      <c r="Y1534" s="40"/>
      <c r="Z1534" s="40"/>
      <c r="AA1534" s="40"/>
      <c r="AB1534" s="40"/>
    </row>
    <row r="1535" ht="18.75" customHeight="1">
      <c r="A1535" s="18" t="s">
        <v>1827</v>
      </c>
      <c r="B1535" s="22" t="str">
        <f>IFERROR(VLOOKUP(F1535, 'api-register-id'!B:F, 4, FALSE), "Not found path.")</f>
        <v>mx-api-bc-dom-pty-auth-corp</v>
      </c>
      <c r="C1535" s="234" t="s">
        <v>41</v>
      </c>
      <c r="D1535" s="234" t="s">
        <v>119</v>
      </c>
      <c r="E1535" s="24" t="str">
        <f>IFERROR(VLOOKUP(F1535, 'api-register-id'!B:F, 5, FALSE), "Not found path.")</f>
        <v>APIMX000176</v>
      </c>
      <c r="F1535" s="377" t="s">
        <v>2649</v>
      </c>
      <c r="G1535" s="26" t="s">
        <v>7724</v>
      </c>
      <c r="H1535" s="217" t="s">
        <v>7725</v>
      </c>
      <c r="I1535" s="389"/>
      <c r="J1535" s="192" t="s">
        <v>6568</v>
      </c>
      <c r="K1535" s="31" t="s">
        <v>48</v>
      </c>
      <c r="L1535" s="213" t="s">
        <v>49</v>
      </c>
      <c r="M1535" s="192" t="s">
        <v>7726</v>
      </c>
      <c r="N1535" s="386" t="str">
        <f t="shared" si="56"/>
        <v>POST /crossChanel/partyAuthentication/v1/corporate/session/close</v>
      </c>
      <c r="O1535" s="234"/>
      <c r="P1535" s="192"/>
      <c r="Q1535" s="387" t="s">
        <v>7727</v>
      </c>
      <c r="R1535" s="31" t="s">
        <v>56</v>
      </c>
      <c r="S1535" s="218" t="str">
        <f t="shared" si="53"/>
        <v>https://github.com/SF-Bancoppel/mx-api-bc-dom-pty-auth-corp</v>
      </c>
      <c r="T1535" s="242"/>
      <c r="U1535" s="216"/>
      <c r="V1535" s="192"/>
      <c r="W1535" s="40"/>
      <c r="X1535" s="40"/>
      <c r="Y1535" s="40"/>
      <c r="Z1535" s="40"/>
      <c r="AA1535" s="40"/>
      <c r="AB1535" s="40"/>
    </row>
    <row r="1536" ht="18.75" customHeight="1">
      <c r="A1536" s="18" t="s">
        <v>1827</v>
      </c>
      <c r="B1536" s="22" t="str">
        <f>IFERROR(VLOOKUP(F1536, 'api-register-id'!B:F, 4, FALSE), "Not found path.")</f>
        <v>mx-api-bc-pro-pty-auth-corp</v>
      </c>
      <c r="C1536" s="234" t="s">
        <v>41</v>
      </c>
      <c r="D1536" s="234" t="s">
        <v>811</v>
      </c>
      <c r="E1536" s="24" t="str">
        <f>IFERROR(VLOOKUP(F1536, 'api-register-id'!B:F, 5, FALSE), "Not found path.")</f>
        <v>APIMX000180</v>
      </c>
      <c r="F1536" s="377" t="s">
        <v>2678</v>
      </c>
      <c r="G1536" s="26" t="s">
        <v>7728</v>
      </c>
      <c r="H1536" s="217" t="s">
        <v>7729</v>
      </c>
      <c r="I1536" s="389"/>
      <c r="J1536" s="192" t="s">
        <v>6693</v>
      </c>
      <c r="K1536" s="31" t="s">
        <v>48</v>
      </c>
      <c r="L1536" s="213" t="s">
        <v>49</v>
      </c>
      <c r="M1536" s="192" t="s">
        <v>6458</v>
      </c>
      <c r="N1536" s="386" t="str">
        <f t="shared" si="56"/>
        <v>POST /system/crossChanel/partyAuthentication/v1/corporate/userRsa/create</v>
      </c>
      <c r="O1536" s="234"/>
      <c r="P1536" s="192"/>
      <c r="Q1536" s="387" t="s">
        <v>7730</v>
      </c>
      <c r="R1536" s="31" t="s">
        <v>56</v>
      </c>
      <c r="S1536" s="218" t="str">
        <f t="shared" si="53"/>
        <v>https://github.com/SF-Bancoppel/mx-api-bc-pro-pty-auth-corp</v>
      </c>
      <c r="T1536" s="242"/>
      <c r="U1536" s="216"/>
      <c r="V1536" s="192"/>
      <c r="W1536" s="40"/>
      <c r="X1536" s="40"/>
      <c r="Y1536" s="40"/>
      <c r="Z1536" s="40"/>
      <c r="AA1536" s="40"/>
      <c r="AB1536" s="40"/>
    </row>
    <row r="1537" ht="18.75" customHeight="1">
      <c r="A1537" s="18" t="s">
        <v>1827</v>
      </c>
      <c r="B1537" s="22" t="str">
        <f>IFERROR(VLOOKUP(F1537, 'api-register-id'!B:F, 4, FALSE), "Not found path.")</f>
        <v>mx-api-bc-pro-pty-auth-corp</v>
      </c>
      <c r="C1537" s="234" t="s">
        <v>41</v>
      </c>
      <c r="D1537" s="234" t="s">
        <v>811</v>
      </c>
      <c r="E1537" s="24" t="str">
        <f>IFERROR(VLOOKUP(F1537, 'api-register-id'!B:F, 5, FALSE), "Not found path.")</f>
        <v>APIMX000180</v>
      </c>
      <c r="F1537" s="377" t="s">
        <v>2678</v>
      </c>
      <c r="G1537" s="26" t="s">
        <v>7731</v>
      </c>
      <c r="H1537" s="217" t="s">
        <v>7732</v>
      </c>
      <c r="I1537" s="389"/>
      <c r="J1537" s="192" t="s">
        <v>6693</v>
      </c>
      <c r="K1537" s="31" t="s">
        <v>48</v>
      </c>
      <c r="L1537" s="213" t="s">
        <v>49</v>
      </c>
      <c r="M1537" s="192" t="s">
        <v>7706</v>
      </c>
      <c r="N1537" s="386" t="str">
        <f t="shared" si="56"/>
        <v>POST /system/crossChanel/partyAuthentication/v1/corporate/authentication/user/update</v>
      </c>
      <c r="O1537" s="234"/>
      <c r="P1537" s="192"/>
      <c r="Q1537" s="387" t="s">
        <v>7733</v>
      </c>
      <c r="R1537" s="31" t="s">
        <v>56</v>
      </c>
      <c r="S1537" s="218" t="str">
        <f t="shared" si="53"/>
        <v>https://github.com/SF-Bancoppel/mx-api-bc-pro-pty-auth-corp</v>
      </c>
      <c r="T1537" s="242"/>
      <c r="U1537" s="216"/>
      <c r="V1537" s="192"/>
      <c r="W1537" s="40"/>
      <c r="X1537" s="40"/>
      <c r="Y1537" s="40"/>
      <c r="Z1537" s="40"/>
      <c r="AA1537" s="40"/>
      <c r="AB1537" s="40"/>
    </row>
    <row r="1538" ht="18.75" customHeight="1">
      <c r="A1538" s="18" t="s">
        <v>1827</v>
      </c>
      <c r="B1538" s="22" t="str">
        <f>IFERROR(VLOOKUP(F1538, 'api-register-id'!B:F, 4, FALSE), "Not found path.")</f>
        <v>mx-api-bc-pro-pty-auth-corp</v>
      </c>
      <c r="C1538" s="234" t="s">
        <v>41</v>
      </c>
      <c r="D1538" s="234" t="s">
        <v>811</v>
      </c>
      <c r="E1538" s="24" t="str">
        <f>IFERROR(VLOOKUP(F1538, 'api-register-id'!B:F, 5, FALSE), "Not found path.")</f>
        <v>APIMX000180</v>
      </c>
      <c r="F1538" s="377" t="s">
        <v>2678</v>
      </c>
      <c r="G1538" s="26" t="s">
        <v>7734</v>
      </c>
      <c r="H1538" s="217" t="s">
        <v>7735</v>
      </c>
      <c r="I1538" s="389"/>
      <c r="J1538" s="192" t="s">
        <v>6693</v>
      </c>
      <c r="K1538" s="31" t="s">
        <v>48</v>
      </c>
      <c r="L1538" s="213" t="s">
        <v>49</v>
      </c>
      <c r="M1538" s="192" t="s">
        <v>7710</v>
      </c>
      <c r="N1538" s="386" t="str">
        <f t="shared" si="56"/>
        <v>POST /system/crossChanel/partyAuthentication/v1/corporate/authentication/token</v>
      </c>
      <c r="O1538" s="234"/>
      <c r="P1538" s="192"/>
      <c r="Q1538" s="387" t="s">
        <v>7736</v>
      </c>
      <c r="R1538" s="31" t="s">
        <v>56</v>
      </c>
      <c r="S1538" s="218" t="str">
        <f t="shared" si="53"/>
        <v>https://github.com/SF-Bancoppel/mx-api-bc-pro-pty-auth-corp</v>
      </c>
      <c r="T1538" s="242"/>
      <c r="U1538" s="216"/>
      <c r="V1538" s="192"/>
      <c r="W1538" s="40"/>
      <c r="X1538" s="40"/>
      <c r="Y1538" s="40"/>
      <c r="Z1538" s="40"/>
      <c r="AA1538" s="40"/>
      <c r="AB1538" s="40"/>
    </row>
    <row r="1539" ht="18.75" customHeight="1">
      <c r="A1539" s="18" t="s">
        <v>1827</v>
      </c>
      <c r="B1539" s="22" t="str">
        <f>IFERROR(VLOOKUP(F1539, 'api-register-id'!B:F, 4, FALSE), "Not found path.")</f>
        <v>mx-api-bc-pro-pty-auth-corp</v>
      </c>
      <c r="C1539" s="234" t="s">
        <v>41</v>
      </c>
      <c r="D1539" s="234" t="s">
        <v>811</v>
      </c>
      <c r="E1539" s="24" t="str">
        <f>IFERROR(VLOOKUP(F1539, 'api-register-id'!B:F, 5, FALSE), "Not found path.")</f>
        <v>APIMX000180</v>
      </c>
      <c r="F1539" s="377" t="s">
        <v>2678</v>
      </c>
      <c r="G1539" s="26" t="s">
        <v>7737</v>
      </c>
      <c r="H1539" s="217" t="s">
        <v>7738</v>
      </c>
      <c r="I1539" s="389"/>
      <c r="J1539" s="192" t="s">
        <v>6693</v>
      </c>
      <c r="K1539" s="31" t="s">
        <v>48</v>
      </c>
      <c r="L1539" s="213" t="s">
        <v>49</v>
      </c>
      <c r="M1539" s="192" t="s">
        <v>7714</v>
      </c>
      <c r="N1539" s="386" t="str">
        <f t="shared" si="56"/>
        <v>POST /system/crossChanel/partyAuthentication/v1/corporate/user/logs</v>
      </c>
      <c r="O1539" s="234"/>
      <c r="P1539" s="192"/>
      <c r="Q1539" s="387" t="s">
        <v>7739</v>
      </c>
      <c r="R1539" s="31" t="s">
        <v>56</v>
      </c>
      <c r="S1539" s="218" t="str">
        <f t="shared" si="53"/>
        <v>https://github.com/SF-Bancoppel/mx-api-bc-pro-pty-auth-corp</v>
      </c>
      <c r="T1539" s="242"/>
      <c r="U1539" s="216"/>
      <c r="V1539" s="192"/>
      <c r="W1539" s="40"/>
      <c r="X1539" s="40"/>
      <c r="Y1539" s="40"/>
      <c r="Z1539" s="40"/>
      <c r="AA1539" s="40"/>
      <c r="AB1539" s="40"/>
    </row>
    <row r="1540" ht="18.75" customHeight="1">
      <c r="A1540" s="18" t="s">
        <v>1827</v>
      </c>
      <c r="B1540" s="22" t="str">
        <f>IFERROR(VLOOKUP(F1540, 'api-register-id'!B:F, 4, FALSE), "Not found path.")</f>
        <v>mx-api-bc-pro-pty-auth-corp</v>
      </c>
      <c r="C1540" s="234" t="s">
        <v>41</v>
      </c>
      <c r="D1540" s="234" t="s">
        <v>811</v>
      </c>
      <c r="E1540" s="24" t="str">
        <f>IFERROR(VLOOKUP(F1540, 'api-register-id'!B:F, 5, FALSE), "Not found path.")</f>
        <v>APIMX000180</v>
      </c>
      <c r="F1540" s="377" t="s">
        <v>2678</v>
      </c>
      <c r="G1540" s="26" t="s">
        <v>7740</v>
      </c>
      <c r="H1540" s="217" t="s">
        <v>7741</v>
      </c>
      <c r="I1540" s="389"/>
      <c r="J1540" s="192" t="s">
        <v>6693</v>
      </c>
      <c r="K1540" s="31" t="s">
        <v>48</v>
      </c>
      <c r="L1540" s="213" t="s">
        <v>49</v>
      </c>
      <c r="M1540" s="388" t="s">
        <v>7718</v>
      </c>
      <c r="N1540" s="386" t="str">
        <f t="shared" si="56"/>
        <v>POST /system/crossChanel/partyAuthentication/v1/corporate/authentication/user/validate</v>
      </c>
      <c r="O1540" s="234"/>
      <c r="P1540" s="388"/>
      <c r="Q1540" s="387" t="s">
        <v>7742</v>
      </c>
      <c r="R1540" s="31" t="s">
        <v>56</v>
      </c>
      <c r="S1540" s="218" t="str">
        <f t="shared" si="53"/>
        <v>https://github.com/SF-Bancoppel/mx-api-bc-pro-pty-auth-corp</v>
      </c>
      <c r="T1540" s="242"/>
      <c r="U1540" s="216"/>
      <c r="V1540" s="192"/>
      <c r="W1540" s="40"/>
      <c r="X1540" s="40"/>
      <c r="Y1540" s="40"/>
      <c r="Z1540" s="40"/>
      <c r="AA1540" s="40"/>
      <c r="AB1540" s="40"/>
    </row>
    <row r="1541" ht="18.75" customHeight="1">
      <c r="A1541" s="18" t="s">
        <v>1827</v>
      </c>
      <c r="B1541" s="22" t="str">
        <f>IFERROR(VLOOKUP(F1541, 'api-register-id'!B:F, 4, FALSE), "Not found path.")</f>
        <v>mx-api-bc-pro-pty-auth-corp</v>
      </c>
      <c r="C1541" s="234" t="s">
        <v>41</v>
      </c>
      <c r="D1541" s="234" t="s">
        <v>811</v>
      </c>
      <c r="E1541" s="24" t="str">
        <f>IFERROR(VLOOKUP(F1541, 'api-register-id'!B:F, 5, FALSE), "Not found path.")</f>
        <v>APIMX000180</v>
      </c>
      <c r="F1541" s="377" t="s">
        <v>2678</v>
      </c>
      <c r="G1541" s="26" t="s">
        <v>7743</v>
      </c>
      <c r="H1541" s="217" t="s">
        <v>7744</v>
      </c>
      <c r="I1541" s="389"/>
      <c r="J1541" s="192" t="s">
        <v>6693</v>
      </c>
      <c r="K1541" s="31" t="s">
        <v>48</v>
      </c>
      <c r="L1541" s="213" t="s">
        <v>49</v>
      </c>
      <c r="M1541" s="390" t="s">
        <v>7722</v>
      </c>
      <c r="N1541" s="386" t="str">
        <f t="shared" si="56"/>
        <v>POST /system/crossChanel/partyAuthentication/v1/corporate/user/status/update</v>
      </c>
      <c r="O1541" s="234"/>
      <c r="P1541" s="390"/>
      <c r="Q1541" s="387" t="s">
        <v>7745</v>
      </c>
      <c r="R1541" s="31" t="s">
        <v>56</v>
      </c>
      <c r="S1541" s="218" t="str">
        <f t="shared" si="53"/>
        <v>https://github.com/SF-Bancoppel/mx-api-bc-pro-pty-auth-corp</v>
      </c>
      <c r="T1541" s="242"/>
      <c r="U1541" s="216"/>
      <c r="V1541" s="192"/>
      <c r="W1541" s="40"/>
      <c r="X1541" s="40"/>
      <c r="Y1541" s="40"/>
      <c r="Z1541" s="40"/>
      <c r="AA1541" s="40"/>
      <c r="AB1541" s="40"/>
    </row>
    <row r="1542" ht="18.75" customHeight="1">
      <c r="A1542" s="18" t="s">
        <v>1827</v>
      </c>
      <c r="B1542" s="22" t="str">
        <f>IFERROR(VLOOKUP(F1542, 'api-register-id'!B:F, 4, FALSE), "Not found path.")</f>
        <v>mx-api-bc-pro-pty-auth-corp</v>
      </c>
      <c r="C1542" s="234" t="s">
        <v>41</v>
      </c>
      <c r="D1542" s="234" t="s">
        <v>811</v>
      </c>
      <c r="E1542" s="24" t="str">
        <f>IFERROR(VLOOKUP(F1542, 'api-register-id'!B:F, 5, FALSE), "Not found path.")</f>
        <v>APIMX000180</v>
      </c>
      <c r="F1542" s="377" t="s">
        <v>2678</v>
      </c>
      <c r="G1542" s="26" t="s">
        <v>7746</v>
      </c>
      <c r="H1542" s="217" t="s">
        <v>7747</v>
      </c>
      <c r="I1542" s="389"/>
      <c r="J1542" s="192" t="s">
        <v>6693</v>
      </c>
      <c r="K1542" s="31" t="s">
        <v>48</v>
      </c>
      <c r="L1542" s="213" t="s">
        <v>49</v>
      </c>
      <c r="M1542" s="192" t="s">
        <v>7726</v>
      </c>
      <c r="N1542" s="386" t="str">
        <f t="shared" si="56"/>
        <v>POST /system/crossChanel/partyAuthentication/v1/corporate/session/close</v>
      </c>
      <c r="O1542" s="234"/>
      <c r="P1542" s="192"/>
      <c r="Q1542" s="387" t="s">
        <v>7748</v>
      </c>
      <c r="R1542" s="31" t="s">
        <v>56</v>
      </c>
      <c r="S1542" s="218" t="str">
        <f t="shared" si="53"/>
        <v>https://github.com/SF-Bancoppel/mx-api-bc-pro-pty-auth-corp</v>
      </c>
      <c r="T1542" s="242"/>
      <c r="U1542" s="216"/>
      <c r="V1542" s="192"/>
      <c r="W1542" s="40"/>
      <c r="X1542" s="40"/>
      <c r="Y1542" s="40"/>
      <c r="Z1542" s="40"/>
      <c r="AA1542" s="40"/>
      <c r="AB1542" s="40"/>
    </row>
    <row r="1543" ht="18.75" customHeight="1">
      <c r="A1543" s="18" t="s">
        <v>1827</v>
      </c>
      <c r="B1543" s="22" t="str">
        <f>IFERROR(VLOOKUP(F1543, 'api-register-id'!B:F, 4, FALSE), "Not found path.")</f>
        <v>mx-api-bc-rec-pty-auth-corp</v>
      </c>
      <c r="C1543" s="234" t="s">
        <v>112</v>
      </c>
      <c r="D1543" s="234" t="s">
        <v>1417</v>
      </c>
      <c r="E1543" s="24" t="str">
        <f>IFERROR(VLOOKUP(F1543, 'api-register-id'!B:F, 5, FALSE), "Not found path.")</f>
        <v>APIMX000184</v>
      </c>
      <c r="F1543" s="377" t="s">
        <v>2736</v>
      </c>
      <c r="G1543" s="26" t="s">
        <v>7749</v>
      </c>
      <c r="H1543" s="217" t="s">
        <v>7750</v>
      </c>
      <c r="I1543" s="389"/>
      <c r="J1543" s="192" t="s">
        <v>7751</v>
      </c>
      <c r="K1543" s="31" t="s">
        <v>48</v>
      </c>
      <c r="L1543" s="213" t="s">
        <v>49</v>
      </c>
      <c r="M1543" s="192" t="s">
        <v>7726</v>
      </c>
      <c r="N1543" s="386" t="str">
        <f t="shared" si="56"/>
        <v>POST /experience/crossChanel/partyAuthentication/v1/corporate/session/close</v>
      </c>
      <c r="O1543" s="234"/>
      <c r="P1543" s="192"/>
      <c r="Q1543" s="387" t="s">
        <v>7752</v>
      </c>
      <c r="R1543" s="31" t="s">
        <v>56</v>
      </c>
      <c r="S1543" s="218" t="str">
        <f t="shared" si="53"/>
        <v>https://github.com/SF-Bancoppel/mx-api-bc-rec-pty-auth-corp</v>
      </c>
      <c r="T1543" s="242"/>
      <c r="U1543" s="216"/>
      <c r="V1543" s="192"/>
      <c r="W1543" s="40"/>
      <c r="X1543" s="40"/>
      <c r="Y1543" s="40"/>
      <c r="Z1543" s="40"/>
      <c r="AA1543" s="40"/>
      <c r="AB1543" s="40"/>
    </row>
    <row r="1544" ht="18.75" customHeight="1">
      <c r="A1544" s="18" t="s">
        <v>1827</v>
      </c>
      <c r="B1544" s="22" t="str">
        <f>IFERROR(VLOOKUP(F1544, 'api-register-id'!B:F, 4, FALSE), "Not found path.")</f>
        <v>mx-api-bc-bus-party-ref-dat-dir-corp</v>
      </c>
      <c r="C1544" s="234" t="s">
        <v>41</v>
      </c>
      <c r="D1544" s="234" t="s">
        <v>42</v>
      </c>
      <c r="E1544" s="24" t="str">
        <f>IFERROR(VLOOKUP(F1544, 'api-register-id'!B:F, 5, FALSE), "Not found path.")</f>
        <v>APIMX000211</v>
      </c>
      <c r="F1544" s="217" t="s">
        <v>3682</v>
      </c>
      <c r="G1544" s="26" t="s">
        <v>7753</v>
      </c>
      <c r="H1544" s="217" t="s">
        <v>7754</v>
      </c>
      <c r="I1544" s="389"/>
      <c r="J1544" s="336" t="s">
        <v>6051</v>
      </c>
      <c r="K1544" s="31" t="s">
        <v>48</v>
      </c>
      <c r="L1544" s="213" t="s">
        <v>49</v>
      </c>
      <c r="M1544" s="192" t="s">
        <v>7755</v>
      </c>
      <c r="N1544" s="386" t="str">
        <f t="shared" si="56"/>
        <v>POST /customerManagement/v1/corporate/user/credentials/update</v>
      </c>
      <c r="O1544" s="234"/>
      <c r="P1544" s="192"/>
      <c r="Q1544" s="387" t="s">
        <v>7756</v>
      </c>
      <c r="R1544" s="31" t="s">
        <v>56</v>
      </c>
      <c r="S1544" s="218" t="str">
        <f t="shared" si="53"/>
        <v>https://github.com/SF-Bancoppel/mx-api-bc-bus-party-ref-dat-dir-corp</v>
      </c>
      <c r="T1544" s="242"/>
      <c r="U1544" s="216"/>
      <c r="V1544" s="192"/>
      <c r="W1544" s="40"/>
      <c r="X1544" s="40"/>
      <c r="Y1544" s="40"/>
      <c r="Z1544" s="40"/>
      <c r="AA1544" s="40"/>
      <c r="AB1544" s="40"/>
    </row>
    <row r="1545" ht="18.75" customHeight="1">
      <c r="A1545" s="391" t="s">
        <v>1827</v>
      </c>
      <c r="B1545" s="392" t="str">
        <f>IFERROR(VLOOKUP(F1545, 'api-register-id'!B:F, 4, FALSE), "Not found path.")</f>
        <v>mx-api-bc-bus-party-ref-dat-dir-corp</v>
      </c>
      <c r="C1545" s="393" t="s">
        <v>41</v>
      </c>
      <c r="D1545" s="393" t="s">
        <v>42</v>
      </c>
      <c r="E1545" s="394" t="str">
        <f>IFERROR(VLOOKUP(F1545, 'api-register-id'!B:F, 5, FALSE), "Not found path.")</f>
        <v>APIMX000211</v>
      </c>
      <c r="F1545" s="395" t="s">
        <v>3682</v>
      </c>
      <c r="G1545" s="396" t="s">
        <v>7757</v>
      </c>
      <c r="H1545" s="397" t="s">
        <v>7758</v>
      </c>
      <c r="I1545" s="398"/>
      <c r="J1545" s="399" t="s">
        <v>6051</v>
      </c>
      <c r="K1545" s="394" t="s">
        <v>48</v>
      </c>
      <c r="L1545" s="400" t="s">
        <v>49</v>
      </c>
      <c r="M1545" s="401" t="s">
        <v>7759</v>
      </c>
      <c r="N1545" s="397" t="str">
        <f>CONCATENATE(L1545," ",J1545,M1545)</f>
        <v>POST /customerManagement/v1/corporate/users/register</v>
      </c>
      <c r="O1545" s="393"/>
      <c r="P1545" s="401"/>
      <c r="Q1545" s="399"/>
      <c r="R1545" s="394" t="s">
        <v>56</v>
      </c>
      <c r="S1545" s="402" t="str">
        <f t="shared" si="53"/>
        <v>https://github.com/SF-Bancoppel/mx-api-bc-bus-party-ref-dat-dir-corp</v>
      </c>
      <c r="T1545" s="399"/>
      <c r="U1545" s="399"/>
      <c r="V1545" s="403" t="s">
        <v>7760</v>
      </c>
      <c r="W1545" s="404"/>
      <c r="X1545" s="404"/>
      <c r="Y1545" s="404"/>
      <c r="Z1545" s="404"/>
      <c r="AA1545" s="404"/>
      <c r="AB1545" s="404"/>
    </row>
    <row r="1546" ht="18.75" customHeight="1">
      <c r="A1546" s="18" t="s">
        <v>1827</v>
      </c>
      <c r="B1546" s="22" t="str">
        <f>IFERROR(VLOOKUP(F1546, 'api-register-id'!B:F, 4, FALSE), "Not found path.")</f>
        <v>mx-api-bc-dom-party-ref-dat-dir-corp</v>
      </c>
      <c r="C1546" s="234" t="s">
        <v>41</v>
      </c>
      <c r="D1546" s="234" t="s">
        <v>119</v>
      </c>
      <c r="E1546" s="24" t="str">
        <f>IFERROR(VLOOKUP(F1546, 'api-register-id'!B:F, 5, FALSE), "Not found path.")</f>
        <v>APIMX000174</v>
      </c>
      <c r="F1546" s="377" t="s">
        <v>2636</v>
      </c>
      <c r="G1546" s="26" t="s">
        <v>7761</v>
      </c>
      <c r="H1546" s="217" t="s">
        <v>7762</v>
      </c>
      <c r="I1546" s="389"/>
      <c r="J1546" s="192" t="s">
        <v>1504</v>
      </c>
      <c r="K1546" s="31" t="s">
        <v>48</v>
      </c>
      <c r="L1546" s="213" t="s">
        <v>49</v>
      </c>
      <c r="M1546" s="192" t="s">
        <v>7763</v>
      </c>
      <c r="N1546" s="386" t="str">
        <f t="shared" ref="N1546:N1547" si="57">CONCATENATE(L1546, " ", J1546, M1546)</f>
        <v>POST /customerManagement/partyReferenceDataDirectory/v1/corporate/records/validate</v>
      </c>
      <c r="O1546" s="234"/>
      <c r="P1546" s="192"/>
      <c r="Q1546" s="387" t="s">
        <v>7764</v>
      </c>
      <c r="R1546" s="31" t="s">
        <v>56</v>
      </c>
      <c r="S1546" s="218" t="str">
        <f t="shared" si="53"/>
        <v>https://github.com/SF-Bancoppel/mx-api-bc-dom-party-ref-dat-dir-corp</v>
      </c>
      <c r="T1546" s="192"/>
      <c r="U1546" s="216"/>
      <c r="V1546" s="192"/>
      <c r="W1546" s="40"/>
      <c r="X1546" s="40"/>
      <c r="Y1546" s="40"/>
      <c r="Z1546" s="40"/>
      <c r="AA1546" s="40"/>
      <c r="AB1546" s="40"/>
    </row>
    <row r="1547" ht="18.75" customHeight="1">
      <c r="A1547" s="18" t="s">
        <v>1827</v>
      </c>
      <c r="B1547" s="22" t="str">
        <f>IFERROR(VLOOKUP(F1547, 'api-register-id'!B:F, 4, FALSE), "Not found path.")</f>
        <v>mx-api-bc-dom-party-ref-dat-dir-corp</v>
      </c>
      <c r="C1547" s="234" t="s">
        <v>41</v>
      </c>
      <c r="D1547" s="234" t="s">
        <v>119</v>
      </c>
      <c r="E1547" s="24" t="str">
        <f>IFERROR(VLOOKUP(F1547, 'api-register-id'!B:F, 5, FALSE), "Not found path.")</f>
        <v>APIMX000174</v>
      </c>
      <c r="F1547" s="377" t="s">
        <v>2636</v>
      </c>
      <c r="G1547" s="26" t="s">
        <v>7765</v>
      </c>
      <c r="H1547" s="217" t="s">
        <v>7766</v>
      </c>
      <c r="I1547" s="389"/>
      <c r="J1547" s="192" t="s">
        <v>1504</v>
      </c>
      <c r="K1547" s="31" t="s">
        <v>48</v>
      </c>
      <c r="L1547" s="213" t="s">
        <v>49</v>
      </c>
      <c r="M1547" s="192" t="s">
        <v>7767</v>
      </c>
      <c r="N1547" s="386" t="str">
        <f t="shared" si="57"/>
        <v>POST /customerManagement/partyReferenceDataDirectory/v1/corporate/user/contactData</v>
      </c>
      <c r="O1547" s="234"/>
      <c r="P1547" s="192"/>
      <c r="Q1547" s="387" t="s">
        <v>7768</v>
      </c>
      <c r="R1547" s="31" t="s">
        <v>56</v>
      </c>
      <c r="S1547" s="218" t="str">
        <f t="shared" si="53"/>
        <v>https://github.com/SF-Bancoppel/mx-api-bc-dom-party-ref-dat-dir-corp</v>
      </c>
      <c r="T1547" s="242"/>
      <c r="U1547" s="216"/>
      <c r="V1547" s="192"/>
      <c r="W1547" s="40"/>
      <c r="X1547" s="40"/>
      <c r="Y1547" s="40"/>
      <c r="Z1547" s="40"/>
      <c r="AA1547" s="40"/>
      <c r="AB1547" s="40"/>
    </row>
    <row r="1548" ht="18.75" customHeight="1">
      <c r="A1548" s="18" t="s">
        <v>1827</v>
      </c>
      <c r="B1548" s="22" t="str">
        <f>IFERROR(VLOOKUP(F1548, 'api-register-id'!B:F, 4, FALSE), "Not found path.")</f>
        <v>mx-api-bc-dom-party-ref-dat-dir-corp</v>
      </c>
      <c r="C1548" s="234" t="s">
        <v>41</v>
      </c>
      <c r="D1548" s="234" t="s">
        <v>119</v>
      </c>
      <c r="E1548" s="24" t="str">
        <f>IFERROR(VLOOKUP(F1548, 'api-register-id'!B:F, 5, FALSE), "Not found path.")</f>
        <v>APIMX000174</v>
      </c>
      <c r="F1548" s="377" t="s">
        <v>2636</v>
      </c>
      <c r="G1548" s="26" t="s">
        <v>7769</v>
      </c>
      <c r="H1548" s="217" t="s">
        <v>7770</v>
      </c>
      <c r="I1548" s="389"/>
      <c r="J1548" s="216" t="s">
        <v>1504</v>
      </c>
      <c r="K1548" s="31" t="s">
        <v>48</v>
      </c>
      <c r="L1548" s="213" t="s">
        <v>49</v>
      </c>
      <c r="M1548" s="192" t="s">
        <v>7759</v>
      </c>
      <c r="N1548" s="217" t="str">
        <f>CONCATENATE(L1548," ",J1548,M1548)</f>
        <v>POST /customerManagement/partyReferenceDataDirectory/v1/corporate/users/register</v>
      </c>
      <c r="O1548" s="234"/>
      <c r="P1548" s="192"/>
      <c r="Q1548" s="387" t="s">
        <v>7771</v>
      </c>
      <c r="R1548" s="31" t="s">
        <v>56</v>
      </c>
      <c r="S1548" s="218" t="str">
        <f t="shared" si="53"/>
        <v>https://github.com/SF-Bancoppel/mx-api-bc-dom-party-ref-dat-dir-corp</v>
      </c>
      <c r="T1548" s="242"/>
      <c r="U1548" s="216"/>
      <c r="V1548" s="192"/>
      <c r="W1548" s="40"/>
      <c r="X1548" s="40"/>
      <c r="Y1548" s="40"/>
      <c r="Z1548" s="40"/>
      <c r="AA1548" s="40"/>
      <c r="AB1548" s="40"/>
    </row>
    <row r="1549" ht="18.75" customHeight="1">
      <c r="A1549" s="18" t="s">
        <v>1827</v>
      </c>
      <c r="B1549" s="22" t="str">
        <f>IFERROR(VLOOKUP(F1549, 'api-register-id'!B:F, 4, FALSE), "Not found path.")</f>
        <v>mx-api-bc-dom-party-ref-dat-dir-corp</v>
      </c>
      <c r="C1549" s="234" t="s">
        <v>41</v>
      </c>
      <c r="D1549" s="234" t="s">
        <v>119</v>
      </c>
      <c r="E1549" s="24" t="str">
        <f>IFERROR(VLOOKUP(F1549, 'api-register-id'!B:F, 5, FALSE), "Not found path.")</f>
        <v>APIMX000174</v>
      </c>
      <c r="F1549" s="377" t="s">
        <v>2636</v>
      </c>
      <c r="G1549" s="26" t="s">
        <v>7772</v>
      </c>
      <c r="H1549" s="217" t="s">
        <v>7773</v>
      </c>
      <c r="I1549" s="389"/>
      <c r="J1549" s="216" t="s">
        <v>1295</v>
      </c>
      <c r="K1549" s="31" t="s">
        <v>48</v>
      </c>
      <c r="L1549" s="213" t="s">
        <v>49</v>
      </c>
      <c r="M1549" s="390" t="s">
        <v>7774</v>
      </c>
      <c r="N1549" s="386" t="str">
        <f t="shared" ref="N1549:N1552" si="58">CONCATENATE(L1549, " ", J1549, M1549)</f>
        <v>POST /crossChannel/partyAuthentication/v1/corporate/users/update</v>
      </c>
      <c r="O1549" s="234"/>
      <c r="P1549" s="390"/>
      <c r="Q1549" s="387" t="s">
        <v>7775</v>
      </c>
      <c r="R1549" s="31" t="s">
        <v>56</v>
      </c>
      <c r="S1549" s="218" t="str">
        <f t="shared" si="53"/>
        <v>https://github.com/SF-Bancoppel/mx-api-bc-dom-party-ref-dat-dir-corp</v>
      </c>
      <c r="T1549" s="242"/>
      <c r="U1549" s="216"/>
      <c r="V1549" s="192"/>
      <c r="W1549" s="40"/>
      <c r="X1549" s="40"/>
      <c r="Y1549" s="40"/>
      <c r="Z1549" s="40"/>
      <c r="AA1549" s="40"/>
      <c r="AB1549" s="40"/>
    </row>
    <row r="1550" ht="18.75" customHeight="1">
      <c r="A1550" s="18" t="s">
        <v>7776</v>
      </c>
      <c r="B1550" s="22" t="str">
        <f>IFERROR(VLOOKUP(F1550, 'api-register-id'!B:F, 4, FALSE), "Not found path.")</f>
        <v/>
      </c>
      <c r="C1550" s="234" t="s">
        <v>41</v>
      </c>
      <c r="D1550" s="405" t="s">
        <v>42</v>
      </c>
      <c r="E1550" s="24" t="str">
        <f>IFERROR(VLOOKUP(F1550, 'api-register-id'!B:F, 5, FALSE), "Not found path.")</f>
        <v>APIMX000249</v>
      </c>
      <c r="F1550" s="406" t="s">
        <v>4282</v>
      </c>
      <c r="G1550" s="26" t="s">
        <v>7777</v>
      </c>
      <c r="H1550" s="3" t="s">
        <v>7778</v>
      </c>
      <c r="I1550" s="389"/>
      <c r="J1550" s="194" t="s">
        <v>7779</v>
      </c>
      <c r="K1550" s="31" t="s">
        <v>48</v>
      </c>
      <c r="L1550" s="213" t="s">
        <v>49</v>
      </c>
      <c r="M1550" s="193" t="s">
        <v>7780</v>
      </c>
      <c r="N1550" s="386" t="str">
        <f t="shared" si="58"/>
        <v>POST /tradeBanking/v1/hub/businessUnits/charges/retrieve</v>
      </c>
      <c r="O1550" s="234"/>
      <c r="P1550" s="192"/>
      <c r="Q1550" s="387" t="s">
        <v>7781</v>
      </c>
      <c r="R1550" s="31" t="s">
        <v>56</v>
      </c>
      <c r="S1550" s="218"/>
      <c r="T1550" s="242"/>
      <c r="U1550" s="216"/>
      <c r="V1550" s="193"/>
      <c r="W1550" s="40"/>
      <c r="X1550" s="40"/>
      <c r="Y1550" s="40"/>
      <c r="Z1550" s="40"/>
      <c r="AA1550" s="40"/>
      <c r="AB1550" s="40"/>
    </row>
    <row r="1551" ht="18.75" customHeight="1">
      <c r="A1551" s="18" t="s">
        <v>1827</v>
      </c>
      <c r="B1551" s="22" t="str">
        <f>IFERROR(VLOOKUP(F1551, 'api-register-id'!B:F, 4, FALSE), "Not found path.")</f>
        <v>mx-api-bc-pro-party-ref-dat-dir-corp</v>
      </c>
      <c r="C1551" s="234" t="s">
        <v>41</v>
      </c>
      <c r="D1551" s="234" t="s">
        <v>811</v>
      </c>
      <c r="E1551" s="24" t="str">
        <f>IFERROR(VLOOKUP(F1551, 'api-register-id'!B:F, 5, FALSE), "Not found path.")</f>
        <v>APIMX000178</v>
      </c>
      <c r="F1551" s="377" t="s">
        <v>2664</v>
      </c>
      <c r="G1551" s="26" t="s">
        <v>7782</v>
      </c>
      <c r="H1551" s="217" t="s">
        <v>7783</v>
      </c>
      <c r="I1551" s="389"/>
      <c r="J1551" s="192" t="s">
        <v>3395</v>
      </c>
      <c r="K1551" s="31" t="s">
        <v>48</v>
      </c>
      <c r="L1551" s="213" t="s">
        <v>49</v>
      </c>
      <c r="M1551" s="192" t="s">
        <v>7763</v>
      </c>
      <c r="N1551" s="386" t="str">
        <f t="shared" si="58"/>
        <v>POST /system/customerManagement/partyReferenceDataDirectory/v1/corporate/records/validate</v>
      </c>
      <c r="O1551" s="234"/>
      <c r="P1551" s="192"/>
      <c r="Q1551" s="387" t="s">
        <v>7784</v>
      </c>
      <c r="R1551" s="31" t="s">
        <v>56</v>
      </c>
      <c r="S1551" s="218" t="str">
        <f t="shared" ref="S1551:S1554" si="59">"https://github.com/SF-Bancoppel/"&amp;B1551</f>
        <v>https://github.com/SF-Bancoppel/mx-api-bc-pro-party-ref-dat-dir-corp</v>
      </c>
      <c r="T1551" s="192"/>
      <c r="U1551" s="216"/>
      <c r="V1551" s="192"/>
      <c r="W1551" s="40"/>
      <c r="X1551" s="40"/>
      <c r="Y1551" s="40"/>
      <c r="Z1551" s="40"/>
      <c r="AA1551" s="40"/>
      <c r="AB1551" s="40"/>
    </row>
    <row r="1552" ht="18.75" customHeight="1">
      <c r="A1552" s="18" t="s">
        <v>1827</v>
      </c>
      <c r="B1552" s="22" t="str">
        <f>IFERROR(VLOOKUP(F1552, 'api-register-id'!B:F, 4, FALSE), "Not found path.")</f>
        <v>mx-api-bc-pro-party-ref-dat-dir-corp</v>
      </c>
      <c r="C1552" s="234" t="s">
        <v>41</v>
      </c>
      <c r="D1552" s="234" t="s">
        <v>811</v>
      </c>
      <c r="E1552" s="24" t="str">
        <f>IFERROR(VLOOKUP(F1552, 'api-register-id'!B:F, 5, FALSE), "Not found path.")</f>
        <v>APIMX000178</v>
      </c>
      <c r="F1552" s="377" t="s">
        <v>2664</v>
      </c>
      <c r="G1552" s="26" t="s">
        <v>7785</v>
      </c>
      <c r="H1552" s="217" t="s">
        <v>7786</v>
      </c>
      <c r="I1552" s="389"/>
      <c r="J1552" s="192" t="s">
        <v>3395</v>
      </c>
      <c r="K1552" s="31" t="s">
        <v>48</v>
      </c>
      <c r="L1552" s="213" t="s">
        <v>49</v>
      </c>
      <c r="M1552" s="192" t="s">
        <v>7767</v>
      </c>
      <c r="N1552" s="386" t="str">
        <f t="shared" si="58"/>
        <v>POST /system/customerManagement/partyReferenceDataDirectory/v1/corporate/user/contactData</v>
      </c>
      <c r="O1552" s="234"/>
      <c r="P1552" s="192"/>
      <c r="Q1552" s="387" t="s">
        <v>7787</v>
      </c>
      <c r="R1552" s="31" t="s">
        <v>56</v>
      </c>
      <c r="S1552" s="218" t="str">
        <f t="shared" si="59"/>
        <v>https://github.com/SF-Bancoppel/mx-api-bc-pro-party-ref-dat-dir-corp</v>
      </c>
      <c r="T1552" s="242"/>
      <c r="U1552" s="216"/>
      <c r="V1552" s="192"/>
      <c r="W1552" s="40"/>
      <c r="X1552" s="40"/>
      <c r="Y1552" s="40"/>
      <c r="Z1552" s="40"/>
      <c r="AA1552" s="40"/>
      <c r="AB1552" s="40"/>
    </row>
    <row r="1553" ht="18.75" customHeight="1">
      <c r="A1553" s="18" t="s">
        <v>1827</v>
      </c>
      <c r="B1553" s="22" t="str">
        <f>IFERROR(VLOOKUP(F1553, 'api-register-id'!B:F, 4, FALSE), "Not found path.")</f>
        <v>mx-api-bc-pro-party-ref-dat-dir-corp</v>
      </c>
      <c r="C1553" s="234" t="s">
        <v>41</v>
      </c>
      <c r="D1553" s="234" t="s">
        <v>811</v>
      </c>
      <c r="E1553" s="24" t="str">
        <f>IFERROR(VLOOKUP(F1553, 'api-register-id'!B:F, 5, FALSE), "Not found path.")</f>
        <v>APIMX000178</v>
      </c>
      <c r="F1553" s="377" t="s">
        <v>2664</v>
      </c>
      <c r="G1553" s="26" t="s">
        <v>7788</v>
      </c>
      <c r="H1553" s="217" t="s">
        <v>7789</v>
      </c>
      <c r="I1553" s="389"/>
      <c r="J1553" s="216" t="s">
        <v>3395</v>
      </c>
      <c r="K1553" s="31" t="s">
        <v>48</v>
      </c>
      <c r="L1553" s="213" t="s">
        <v>49</v>
      </c>
      <c r="M1553" s="192" t="s">
        <v>7759</v>
      </c>
      <c r="N1553" s="386" t="str">
        <f>CONCATENATE(L1553," ",J1553,M1553)</f>
        <v>POST /system/customerManagement/partyReferenceDataDirectory/v1/corporate/users/register</v>
      </c>
      <c r="O1553" s="234"/>
      <c r="P1553" s="192"/>
      <c r="Q1553" s="387" t="s">
        <v>7790</v>
      </c>
      <c r="R1553" s="31" t="s">
        <v>56</v>
      </c>
      <c r="S1553" s="218" t="str">
        <f t="shared" si="59"/>
        <v>https://github.com/SF-Bancoppel/mx-api-bc-pro-party-ref-dat-dir-corp</v>
      </c>
      <c r="T1553" s="242"/>
      <c r="U1553" s="216"/>
      <c r="V1553" s="192"/>
      <c r="W1553" s="40"/>
      <c r="X1553" s="40"/>
      <c r="Y1553" s="40"/>
      <c r="Z1553" s="40"/>
      <c r="AA1553" s="40"/>
      <c r="AB1553" s="40"/>
    </row>
    <row r="1554" ht="18.75" customHeight="1">
      <c r="A1554" s="18" t="s">
        <v>1827</v>
      </c>
      <c r="B1554" s="22" t="str">
        <f>IFERROR(VLOOKUP(F1554, 'api-register-id'!B:F, 4, FALSE), "Not found path.")</f>
        <v>mx-api-bc-pro-party-ref-dat-dir-corp</v>
      </c>
      <c r="C1554" s="234" t="s">
        <v>41</v>
      </c>
      <c r="D1554" s="234" t="s">
        <v>811</v>
      </c>
      <c r="E1554" s="24" t="str">
        <f>IFERROR(VLOOKUP(F1554, 'api-register-id'!B:F, 5, FALSE), "Not found path.")</f>
        <v>APIMX000178</v>
      </c>
      <c r="F1554" s="377" t="s">
        <v>2664</v>
      </c>
      <c r="G1554" s="26" t="s">
        <v>7791</v>
      </c>
      <c r="H1554" s="217" t="s">
        <v>7792</v>
      </c>
      <c r="I1554" s="389"/>
      <c r="J1554" s="192" t="s">
        <v>6693</v>
      </c>
      <c r="K1554" s="31" t="s">
        <v>48</v>
      </c>
      <c r="L1554" s="213" t="s">
        <v>49</v>
      </c>
      <c r="M1554" s="390" t="s">
        <v>7774</v>
      </c>
      <c r="N1554" s="386" t="str">
        <f>CONCATENATE(L1554, " ", J1554, M1554)</f>
        <v>POST /system/crossChanel/partyAuthentication/v1/corporate/users/update</v>
      </c>
      <c r="O1554" s="234"/>
      <c r="P1554" s="390"/>
      <c r="Q1554" s="387" t="s">
        <v>7793</v>
      </c>
      <c r="R1554" s="31" t="s">
        <v>56</v>
      </c>
      <c r="S1554" s="218" t="str">
        <f t="shared" si="59"/>
        <v>https://github.com/SF-Bancoppel/mx-api-bc-pro-party-ref-dat-dir-corp</v>
      </c>
      <c r="T1554" s="242"/>
      <c r="U1554" s="216"/>
      <c r="V1554" s="192"/>
      <c r="W1554" s="40"/>
      <c r="X1554" s="40"/>
      <c r="Y1554" s="40"/>
      <c r="Z1554" s="40"/>
      <c r="AA1554" s="40"/>
      <c r="AB1554" s="40"/>
    </row>
    <row r="1555" ht="18.75" customHeight="1">
      <c r="A1555" s="256"/>
      <c r="B1555" s="257"/>
      <c r="C1555" s="407"/>
      <c r="D1555" s="407"/>
      <c r="E1555" s="259"/>
      <c r="F1555" s="408"/>
      <c r="G1555" s="26" t="s">
        <v>7794</v>
      </c>
      <c r="H1555" s="333"/>
      <c r="I1555" s="409"/>
      <c r="J1555" s="331"/>
      <c r="K1555" s="259"/>
      <c r="L1555" s="285"/>
      <c r="M1555" s="332"/>
      <c r="N1555" s="333"/>
      <c r="O1555" s="407"/>
      <c r="P1555" s="332"/>
      <c r="Q1555" s="331"/>
      <c r="R1555" s="259"/>
      <c r="S1555" s="334"/>
      <c r="T1555" s="410"/>
      <c r="U1555" s="331"/>
      <c r="V1555" s="411"/>
      <c r="W1555" s="249"/>
      <c r="X1555" s="249"/>
      <c r="Y1555" s="249"/>
      <c r="Z1555" s="249"/>
      <c r="AA1555" s="249"/>
      <c r="AB1555" s="249"/>
    </row>
    <row r="1556" ht="18.75" customHeight="1">
      <c r="A1556" s="18" t="s">
        <v>1827</v>
      </c>
      <c r="B1556" s="22" t="str">
        <f>IFERROR(VLOOKUP(F1556, 'api-register-id'!B:F, 4, FALSE), "Not found path.")</f>
        <v>mx-api-bc-rec-party-ref-dat-dir-corp</v>
      </c>
      <c r="C1556" s="234" t="s">
        <v>112</v>
      </c>
      <c r="D1556" s="234" t="s">
        <v>1417</v>
      </c>
      <c r="E1556" s="24" t="str">
        <f>IFERROR(VLOOKUP(F1556, 'api-register-id'!B:F, 5, FALSE), "Not found path.")</f>
        <v>APIMX000182</v>
      </c>
      <c r="F1556" s="377" t="s">
        <v>2691</v>
      </c>
      <c r="G1556" s="26" t="s">
        <v>7795</v>
      </c>
      <c r="H1556" s="217" t="s">
        <v>7796</v>
      </c>
      <c r="I1556" s="389"/>
      <c r="J1556" s="192" t="s">
        <v>4550</v>
      </c>
      <c r="K1556" s="31" t="s">
        <v>48</v>
      </c>
      <c r="L1556" s="213" t="s">
        <v>49</v>
      </c>
      <c r="M1556" s="192" t="s">
        <v>7767</v>
      </c>
      <c r="N1556" s="386" t="str">
        <f t="shared" ref="N1556:N1573" si="60">CONCATENATE(L1556, " ", J1556, M1556)</f>
        <v>POST /experience/customerManagement/partyReferenceDataDirectory/v1/corporate/user/contactData</v>
      </c>
      <c r="O1556" s="234"/>
      <c r="P1556" s="192"/>
      <c r="Q1556" s="387" t="s">
        <v>7797</v>
      </c>
      <c r="R1556" s="31" t="s">
        <v>56</v>
      </c>
      <c r="S1556" s="218" t="str">
        <f t="shared" ref="S1556:S1617" si="61">"https://github.com/SF-Bancoppel/"&amp;B1556</f>
        <v>https://github.com/SF-Bancoppel/mx-api-bc-rec-party-ref-dat-dir-corp</v>
      </c>
      <c r="T1556" s="242"/>
      <c r="U1556" s="216"/>
      <c r="V1556" s="192"/>
      <c r="W1556" s="40"/>
      <c r="X1556" s="40"/>
      <c r="Y1556" s="40"/>
      <c r="Z1556" s="40"/>
      <c r="AA1556" s="40"/>
      <c r="AB1556" s="40"/>
    </row>
    <row r="1557" ht="18.75" customHeight="1">
      <c r="A1557" s="18" t="s">
        <v>1827</v>
      </c>
      <c r="B1557" s="22" t="str">
        <f>IFERROR(VLOOKUP(F1557, 'api-register-id'!B:F, 4, FALSE), "Not found path.")</f>
        <v>mx-api-bc-bus-payment-execution-corp</v>
      </c>
      <c r="C1557" s="234" t="s">
        <v>41</v>
      </c>
      <c r="D1557" s="234" t="s">
        <v>42</v>
      </c>
      <c r="E1557" s="24" t="str">
        <f>IFERROR(VLOOKUP(F1557, 'api-register-id'!B:F, 5, FALSE), "Not found path.")</f>
        <v>APIMX000227</v>
      </c>
      <c r="F1557" s="217" t="s">
        <v>3880</v>
      </c>
      <c r="G1557" s="26" t="s">
        <v>7798</v>
      </c>
      <c r="H1557" s="217" t="s">
        <v>7799</v>
      </c>
      <c r="I1557" s="389"/>
      <c r="J1557" s="336" t="s">
        <v>6103</v>
      </c>
      <c r="K1557" s="31" t="s">
        <v>48</v>
      </c>
      <c r="L1557" s="213" t="s">
        <v>49</v>
      </c>
      <c r="M1557" s="192" t="s">
        <v>6257</v>
      </c>
      <c r="N1557" s="386" t="str">
        <f t="shared" si="60"/>
        <v>POST /payments/v1/corporate/authorizations/transfer/file/sign</v>
      </c>
      <c r="O1557" s="234"/>
      <c r="P1557" s="192"/>
      <c r="Q1557" s="387" t="s">
        <v>7800</v>
      </c>
      <c r="R1557" s="31" t="s">
        <v>56</v>
      </c>
      <c r="S1557" s="218" t="str">
        <f t="shared" si="61"/>
        <v>https://github.com/SF-Bancoppel/mx-api-bc-bus-payment-execution-corp</v>
      </c>
      <c r="T1557" s="242"/>
      <c r="U1557" s="216"/>
      <c r="V1557" s="192"/>
      <c r="W1557" s="40"/>
      <c r="X1557" s="40"/>
      <c r="Y1557" s="40"/>
      <c r="Z1557" s="40"/>
      <c r="AA1557" s="40"/>
      <c r="AB1557" s="40"/>
    </row>
    <row r="1558" ht="18.75" customHeight="1">
      <c r="A1558" s="18" t="s">
        <v>1827</v>
      </c>
      <c r="B1558" s="22" t="str">
        <f>IFERROR(VLOOKUP(F1558, 'api-register-id'!B:F, 4, FALSE), "Not found path.")</f>
        <v>mx-api-bc-dom-payment-execution-corp</v>
      </c>
      <c r="C1558" s="234" t="s">
        <v>41</v>
      </c>
      <c r="D1558" s="234" t="s">
        <v>119</v>
      </c>
      <c r="E1558" s="24" t="str">
        <f>IFERROR(VLOOKUP(F1558, 'api-register-id'!B:F, 5, FALSE), "Not found path.")</f>
        <v>APIMX000154</v>
      </c>
      <c r="F1558" s="217" t="s">
        <v>1851</v>
      </c>
      <c r="G1558" s="26" t="s">
        <v>7801</v>
      </c>
      <c r="H1558" s="217" t="s">
        <v>7802</v>
      </c>
      <c r="I1558" s="389"/>
      <c r="J1558" s="336" t="s">
        <v>1614</v>
      </c>
      <c r="K1558" s="31" t="s">
        <v>48</v>
      </c>
      <c r="L1558" s="213" t="s">
        <v>49</v>
      </c>
      <c r="M1558" s="192" t="s">
        <v>7803</v>
      </c>
      <c r="N1558" s="386" t="str">
        <f t="shared" si="60"/>
        <v>POST /payments/paymentExecution/v1/corporate/file/records/transfer/retrieve</v>
      </c>
      <c r="O1558" s="234"/>
      <c r="P1558" s="192"/>
      <c r="Q1558" s="387" t="s">
        <v>7804</v>
      </c>
      <c r="R1558" s="31" t="s">
        <v>56</v>
      </c>
      <c r="S1558" s="218" t="str">
        <f t="shared" si="61"/>
        <v>https://github.com/SF-Bancoppel/mx-api-bc-dom-payment-execution-corp</v>
      </c>
      <c r="T1558" s="242"/>
      <c r="U1558" s="216"/>
      <c r="V1558" s="192"/>
      <c r="W1558" s="40"/>
      <c r="X1558" s="40"/>
      <c r="Y1558" s="40"/>
      <c r="Z1558" s="40"/>
      <c r="AA1558" s="40"/>
      <c r="AB1558" s="40"/>
    </row>
    <row r="1559" ht="18.75" customHeight="1">
      <c r="A1559" s="18" t="s">
        <v>1827</v>
      </c>
      <c r="B1559" s="22" t="str">
        <f>IFERROR(VLOOKUP(F1559, 'api-register-id'!B:F, 4, FALSE), "Not found path.")</f>
        <v>mx-api-bc-dom-payment-execution-corp</v>
      </c>
      <c r="C1559" s="234" t="s">
        <v>41</v>
      </c>
      <c r="D1559" s="234" t="s">
        <v>119</v>
      </c>
      <c r="E1559" s="24" t="str">
        <f>IFERROR(VLOOKUP(F1559, 'api-register-id'!B:F, 5, FALSE), "Not found path.")</f>
        <v>APIMX000154</v>
      </c>
      <c r="F1559" s="217" t="s">
        <v>1851</v>
      </c>
      <c r="G1559" s="26" t="s">
        <v>7805</v>
      </c>
      <c r="H1559" s="217" t="s">
        <v>7806</v>
      </c>
      <c r="I1559" s="389"/>
      <c r="J1559" s="336" t="s">
        <v>1614</v>
      </c>
      <c r="K1559" s="31" t="s">
        <v>48</v>
      </c>
      <c r="L1559" s="213" t="s">
        <v>49</v>
      </c>
      <c r="M1559" s="192" t="s">
        <v>7807</v>
      </c>
      <c r="N1559" s="386" t="str">
        <f t="shared" si="60"/>
        <v>POST /payments/paymentExecution/v1/corporate/file/status/update</v>
      </c>
      <c r="O1559" s="234"/>
      <c r="P1559" s="192"/>
      <c r="Q1559" s="387" t="s">
        <v>7808</v>
      </c>
      <c r="R1559" s="31" t="s">
        <v>56</v>
      </c>
      <c r="S1559" s="218" t="str">
        <f t="shared" si="61"/>
        <v>https://github.com/SF-Bancoppel/mx-api-bc-dom-payment-execution-corp</v>
      </c>
      <c r="T1559" s="242"/>
      <c r="U1559" s="216"/>
      <c r="V1559" s="192"/>
      <c r="W1559" s="40"/>
      <c r="X1559" s="40"/>
      <c r="Y1559" s="40"/>
      <c r="Z1559" s="40"/>
      <c r="AA1559" s="40"/>
      <c r="AB1559" s="40"/>
    </row>
    <row r="1560" ht="18.75" customHeight="1">
      <c r="A1560" s="18" t="s">
        <v>1827</v>
      </c>
      <c r="B1560" s="22" t="str">
        <f>IFERROR(VLOOKUP(F1560, 'api-register-id'!B:F, 4, FALSE), "Not found path.")</f>
        <v>mx-api-bc-dom-payment-execution-corp</v>
      </c>
      <c r="C1560" s="234" t="s">
        <v>41</v>
      </c>
      <c r="D1560" s="234" t="s">
        <v>119</v>
      </c>
      <c r="E1560" s="24" t="str">
        <f>IFERROR(VLOOKUP(F1560, 'api-register-id'!B:F, 5, FALSE), "Not found path.")</f>
        <v>APIMX000154</v>
      </c>
      <c r="F1560" s="217" t="s">
        <v>1851</v>
      </c>
      <c r="G1560" s="26" t="s">
        <v>7809</v>
      </c>
      <c r="H1560" s="217" t="s">
        <v>7810</v>
      </c>
      <c r="I1560" s="389"/>
      <c r="J1560" s="336" t="s">
        <v>1614</v>
      </c>
      <c r="K1560" s="31" t="s">
        <v>48</v>
      </c>
      <c r="L1560" s="213" t="s">
        <v>49</v>
      </c>
      <c r="M1560" s="192" t="s">
        <v>7811</v>
      </c>
      <c r="N1560" s="386" t="str">
        <f t="shared" si="60"/>
        <v>POST /payments/paymentExecution/v1/corporate/transfer/error/create</v>
      </c>
      <c r="O1560" s="234"/>
      <c r="P1560" s="192"/>
      <c r="Q1560" s="387" t="s">
        <v>7812</v>
      </c>
      <c r="R1560" s="31" t="s">
        <v>56</v>
      </c>
      <c r="S1560" s="218" t="str">
        <f t="shared" si="61"/>
        <v>https://github.com/SF-Bancoppel/mx-api-bc-dom-payment-execution-corp</v>
      </c>
      <c r="T1560" s="242"/>
      <c r="U1560" s="216"/>
      <c r="V1560" s="192"/>
      <c r="W1560" s="40"/>
      <c r="X1560" s="40"/>
      <c r="Y1560" s="40"/>
      <c r="Z1560" s="40"/>
      <c r="AA1560" s="40"/>
      <c r="AB1560" s="40"/>
    </row>
    <row r="1561" ht="18.75" customHeight="1">
      <c r="A1561" s="18" t="s">
        <v>1827</v>
      </c>
      <c r="B1561" s="22" t="str">
        <f>IFERROR(VLOOKUP(F1561, 'api-register-id'!B:F, 4, FALSE), "Not found path.")</f>
        <v>mx-api-bc-dom-payment-execution-corp</v>
      </c>
      <c r="C1561" s="234" t="s">
        <v>41</v>
      </c>
      <c r="D1561" s="234" t="s">
        <v>119</v>
      </c>
      <c r="E1561" s="24" t="str">
        <f>IFERROR(VLOOKUP(F1561, 'api-register-id'!B:F, 5, FALSE), "Not found path.")</f>
        <v>APIMX000154</v>
      </c>
      <c r="F1561" s="217" t="s">
        <v>1851</v>
      </c>
      <c r="G1561" s="26" t="s">
        <v>7813</v>
      </c>
      <c r="H1561" s="217" t="s">
        <v>7814</v>
      </c>
      <c r="I1561" s="389"/>
      <c r="J1561" s="336" t="s">
        <v>1614</v>
      </c>
      <c r="K1561" s="31" t="s">
        <v>48</v>
      </c>
      <c r="L1561" s="213" t="s">
        <v>49</v>
      </c>
      <c r="M1561" s="192" t="s">
        <v>7815</v>
      </c>
      <c r="N1561" s="386" t="str">
        <f t="shared" si="60"/>
        <v>POST /payments/paymentExecution/v1/corporate/transfer/folio/create</v>
      </c>
      <c r="O1561" s="234"/>
      <c r="P1561" s="192"/>
      <c r="Q1561" s="387" t="s">
        <v>7816</v>
      </c>
      <c r="R1561" s="31" t="s">
        <v>56</v>
      </c>
      <c r="S1561" s="218" t="str">
        <f t="shared" si="61"/>
        <v>https://github.com/SF-Bancoppel/mx-api-bc-dom-payment-execution-corp</v>
      </c>
      <c r="T1561" s="242"/>
      <c r="U1561" s="216"/>
      <c r="V1561" s="192"/>
      <c r="W1561" s="40"/>
      <c r="X1561" s="40"/>
      <c r="Y1561" s="40"/>
      <c r="Z1561" s="40"/>
      <c r="AA1561" s="40"/>
      <c r="AB1561" s="40"/>
    </row>
    <row r="1562" ht="18.75" customHeight="1">
      <c r="A1562" s="18" t="s">
        <v>1827</v>
      </c>
      <c r="B1562" s="22" t="str">
        <f>IFERROR(VLOOKUP(F1562, 'api-register-id'!B:F, 4, FALSE), "Not found path.")</f>
        <v>mx-api-bc-dom-payment-execution-corp</v>
      </c>
      <c r="C1562" s="234" t="s">
        <v>41</v>
      </c>
      <c r="D1562" s="234" t="s">
        <v>119</v>
      </c>
      <c r="E1562" s="24" t="str">
        <f>IFERROR(VLOOKUP(F1562, 'api-register-id'!B:F, 5, FALSE), "Not found path.")</f>
        <v>APIMX000154</v>
      </c>
      <c r="F1562" s="217" t="s">
        <v>1851</v>
      </c>
      <c r="G1562" s="26" t="s">
        <v>7817</v>
      </c>
      <c r="H1562" s="217" t="s">
        <v>7818</v>
      </c>
      <c r="I1562" s="389"/>
      <c r="J1562" s="336" t="s">
        <v>1614</v>
      </c>
      <c r="K1562" s="31" t="s">
        <v>48</v>
      </c>
      <c r="L1562" s="213" t="s">
        <v>49</v>
      </c>
      <c r="M1562" s="192" t="s">
        <v>7819</v>
      </c>
      <c r="N1562" s="386" t="str">
        <f t="shared" si="60"/>
        <v>POST /payments/paymentExecution/v1/corporate/file/status/retrieve</v>
      </c>
      <c r="O1562" s="234"/>
      <c r="P1562" s="192"/>
      <c r="Q1562" s="387" t="s">
        <v>7820</v>
      </c>
      <c r="R1562" s="31" t="s">
        <v>56</v>
      </c>
      <c r="S1562" s="218" t="str">
        <f t="shared" si="61"/>
        <v>https://github.com/SF-Bancoppel/mx-api-bc-dom-payment-execution-corp</v>
      </c>
      <c r="T1562" s="242"/>
      <c r="U1562" s="216"/>
      <c r="V1562" s="192"/>
      <c r="W1562" s="40"/>
      <c r="X1562" s="40"/>
      <c r="Y1562" s="40"/>
      <c r="Z1562" s="40"/>
      <c r="AA1562" s="40"/>
      <c r="AB1562" s="40"/>
    </row>
    <row r="1563" ht="18.75" customHeight="1">
      <c r="A1563" s="18" t="s">
        <v>1827</v>
      </c>
      <c r="B1563" s="22" t="str">
        <f>IFERROR(VLOOKUP(F1563, 'api-register-id'!B:F, 4, FALSE), "Not found path.")</f>
        <v>mx-api-bc-pro-payment-execution-corp</v>
      </c>
      <c r="C1563" s="234" t="s">
        <v>41</v>
      </c>
      <c r="D1563" s="234" t="s">
        <v>811</v>
      </c>
      <c r="E1563" s="24" t="str">
        <f>IFERROR(VLOOKUP(F1563, 'api-register-id'!B:F, 5, FALSE), "Not found path.")</f>
        <v>APIMX000155</v>
      </c>
      <c r="F1563" s="217" t="s">
        <v>1874</v>
      </c>
      <c r="G1563" s="26" t="s">
        <v>7821</v>
      </c>
      <c r="H1563" s="217" t="s">
        <v>7822</v>
      </c>
      <c r="I1563" s="389"/>
      <c r="J1563" s="337" t="s">
        <v>3463</v>
      </c>
      <c r="K1563" s="31" t="s">
        <v>48</v>
      </c>
      <c r="L1563" s="213" t="s">
        <v>49</v>
      </c>
      <c r="M1563" s="192" t="s">
        <v>7803</v>
      </c>
      <c r="N1563" s="386" t="str">
        <f t="shared" si="60"/>
        <v>POST /system/payments/paymentExecution/v1/corporate/file/records/transfer/retrieve</v>
      </c>
      <c r="O1563" s="234"/>
      <c r="P1563" s="192"/>
      <c r="Q1563" s="387" t="s">
        <v>7823</v>
      </c>
      <c r="R1563" s="31" t="s">
        <v>56</v>
      </c>
      <c r="S1563" s="218" t="str">
        <f t="shared" si="61"/>
        <v>https://github.com/SF-Bancoppel/mx-api-bc-pro-payment-execution-corp</v>
      </c>
      <c r="T1563" s="242"/>
      <c r="U1563" s="216"/>
      <c r="V1563" s="192"/>
      <c r="W1563" s="40"/>
      <c r="X1563" s="40"/>
      <c r="Y1563" s="40"/>
      <c r="Z1563" s="40"/>
      <c r="AA1563" s="40"/>
      <c r="AB1563" s="40"/>
    </row>
    <row r="1564" ht="18.75" customHeight="1">
      <c r="A1564" s="18" t="s">
        <v>1827</v>
      </c>
      <c r="B1564" s="22" t="str">
        <f>IFERROR(VLOOKUP(F1564, 'api-register-id'!B:F, 4, FALSE), "Not found path.")</f>
        <v>mx-api-bc-pro-payment-execution-corp</v>
      </c>
      <c r="C1564" s="234" t="s">
        <v>41</v>
      </c>
      <c r="D1564" s="234" t="s">
        <v>811</v>
      </c>
      <c r="E1564" s="24" t="str">
        <f>IFERROR(VLOOKUP(F1564, 'api-register-id'!B:F, 5, FALSE), "Not found path.")</f>
        <v>APIMX000155</v>
      </c>
      <c r="F1564" s="217" t="s">
        <v>1874</v>
      </c>
      <c r="G1564" s="26" t="s">
        <v>7824</v>
      </c>
      <c r="H1564" s="217" t="s">
        <v>7825</v>
      </c>
      <c r="I1564" s="389"/>
      <c r="J1564" s="337" t="s">
        <v>3463</v>
      </c>
      <c r="K1564" s="31" t="s">
        <v>48</v>
      </c>
      <c r="L1564" s="213" t="s">
        <v>49</v>
      </c>
      <c r="M1564" s="192" t="s">
        <v>7807</v>
      </c>
      <c r="N1564" s="386" t="str">
        <f t="shared" si="60"/>
        <v>POST /system/payments/paymentExecution/v1/corporate/file/status/update</v>
      </c>
      <c r="O1564" s="234"/>
      <c r="P1564" s="192"/>
      <c r="Q1564" s="387" t="s">
        <v>7826</v>
      </c>
      <c r="R1564" s="31" t="s">
        <v>56</v>
      </c>
      <c r="S1564" s="218" t="str">
        <f t="shared" si="61"/>
        <v>https://github.com/SF-Bancoppel/mx-api-bc-pro-payment-execution-corp</v>
      </c>
      <c r="T1564" s="242"/>
      <c r="U1564" s="216"/>
      <c r="V1564" s="192"/>
      <c r="W1564" s="40"/>
      <c r="X1564" s="40"/>
      <c r="Y1564" s="40"/>
      <c r="Z1564" s="40"/>
      <c r="AA1564" s="40"/>
      <c r="AB1564" s="40"/>
    </row>
    <row r="1565" ht="18.75" customHeight="1">
      <c r="A1565" s="18" t="s">
        <v>1827</v>
      </c>
      <c r="B1565" s="22" t="str">
        <f>IFERROR(VLOOKUP(F1565, 'api-register-id'!B:F, 4, FALSE), "Not found path.")</f>
        <v>mx-api-bc-pro-payment-execution-corp</v>
      </c>
      <c r="C1565" s="234" t="s">
        <v>41</v>
      </c>
      <c r="D1565" s="234" t="s">
        <v>811</v>
      </c>
      <c r="E1565" s="24" t="str">
        <f>IFERROR(VLOOKUP(F1565, 'api-register-id'!B:F, 5, FALSE), "Not found path.")</f>
        <v>APIMX000155</v>
      </c>
      <c r="F1565" s="217" t="s">
        <v>1874</v>
      </c>
      <c r="G1565" s="26" t="s">
        <v>7827</v>
      </c>
      <c r="H1565" s="217" t="s">
        <v>7828</v>
      </c>
      <c r="I1565" s="389"/>
      <c r="J1565" s="337" t="s">
        <v>3463</v>
      </c>
      <c r="K1565" s="31" t="s">
        <v>48</v>
      </c>
      <c r="L1565" s="213" t="s">
        <v>49</v>
      </c>
      <c r="M1565" s="192" t="s">
        <v>7811</v>
      </c>
      <c r="N1565" s="386" t="str">
        <f t="shared" si="60"/>
        <v>POST /system/payments/paymentExecution/v1/corporate/transfer/error/create</v>
      </c>
      <c r="O1565" s="234"/>
      <c r="P1565" s="192"/>
      <c r="Q1565" s="387" t="s">
        <v>7829</v>
      </c>
      <c r="R1565" s="31" t="s">
        <v>56</v>
      </c>
      <c r="S1565" s="218" t="str">
        <f t="shared" si="61"/>
        <v>https://github.com/SF-Bancoppel/mx-api-bc-pro-payment-execution-corp</v>
      </c>
      <c r="T1565" s="242"/>
      <c r="U1565" s="216"/>
      <c r="V1565" s="192"/>
      <c r="W1565" s="40"/>
      <c r="X1565" s="40"/>
      <c r="Y1565" s="40"/>
      <c r="Z1565" s="40"/>
      <c r="AA1565" s="40"/>
      <c r="AB1565" s="40"/>
    </row>
    <row r="1566" ht="18.75" customHeight="1">
      <c r="A1566" s="18" t="s">
        <v>1827</v>
      </c>
      <c r="B1566" s="22" t="str">
        <f>IFERROR(VLOOKUP(F1566, 'api-register-id'!B:F, 4, FALSE), "Not found path.")</f>
        <v>mx-api-bc-pro-payment-execution-corp</v>
      </c>
      <c r="C1566" s="234" t="s">
        <v>41</v>
      </c>
      <c r="D1566" s="234" t="s">
        <v>811</v>
      </c>
      <c r="E1566" s="24" t="str">
        <f>IFERROR(VLOOKUP(F1566, 'api-register-id'!B:F, 5, FALSE), "Not found path.")</f>
        <v>APIMX000155</v>
      </c>
      <c r="F1566" s="217" t="s">
        <v>1874</v>
      </c>
      <c r="G1566" s="26" t="s">
        <v>7830</v>
      </c>
      <c r="H1566" s="217" t="s">
        <v>7831</v>
      </c>
      <c r="I1566" s="389"/>
      <c r="J1566" s="336" t="s">
        <v>3463</v>
      </c>
      <c r="K1566" s="31" t="s">
        <v>48</v>
      </c>
      <c r="L1566" s="213" t="s">
        <v>49</v>
      </c>
      <c r="M1566" s="192" t="s">
        <v>7815</v>
      </c>
      <c r="N1566" s="386" t="str">
        <f t="shared" si="60"/>
        <v>POST /system/payments/paymentExecution/v1/corporate/transfer/folio/create</v>
      </c>
      <c r="O1566" s="234"/>
      <c r="P1566" s="192"/>
      <c r="Q1566" s="387" t="s">
        <v>7832</v>
      </c>
      <c r="R1566" s="31" t="s">
        <v>56</v>
      </c>
      <c r="S1566" s="218" t="str">
        <f t="shared" si="61"/>
        <v>https://github.com/SF-Bancoppel/mx-api-bc-pro-payment-execution-corp</v>
      </c>
      <c r="T1566" s="242"/>
      <c r="U1566" s="216"/>
      <c r="V1566" s="192"/>
      <c r="W1566" s="40"/>
      <c r="X1566" s="40"/>
      <c r="Y1566" s="40"/>
      <c r="Z1566" s="40"/>
      <c r="AA1566" s="40"/>
      <c r="AB1566" s="40"/>
    </row>
    <row r="1567" ht="18.75" customHeight="1">
      <c r="A1567" s="18" t="s">
        <v>1827</v>
      </c>
      <c r="B1567" s="22" t="str">
        <f>IFERROR(VLOOKUP(F1567, 'api-register-id'!B:F, 4, FALSE), "Not found path.")</f>
        <v>mx-api-bc-pro-payment-execution-corp</v>
      </c>
      <c r="C1567" s="234" t="s">
        <v>41</v>
      </c>
      <c r="D1567" s="234" t="s">
        <v>811</v>
      </c>
      <c r="E1567" s="24" t="str">
        <f>IFERROR(VLOOKUP(F1567, 'api-register-id'!B:F, 5, FALSE), "Not found path.")</f>
        <v>APIMX000155</v>
      </c>
      <c r="F1567" s="217" t="s">
        <v>1874</v>
      </c>
      <c r="G1567" s="26" t="s">
        <v>7833</v>
      </c>
      <c r="H1567" s="217" t="s">
        <v>7834</v>
      </c>
      <c r="I1567" s="389"/>
      <c r="J1567" s="336" t="s">
        <v>3463</v>
      </c>
      <c r="K1567" s="31" t="s">
        <v>48</v>
      </c>
      <c r="L1567" s="213" t="s">
        <v>49</v>
      </c>
      <c r="M1567" s="192" t="s">
        <v>7819</v>
      </c>
      <c r="N1567" s="386" t="str">
        <f t="shared" si="60"/>
        <v>POST /system/payments/paymentExecution/v1/corporate/file/status/retrieve</v>
      </c>
      <c r="O1567" s="234"/>
      <c r="P1567" s="192"/>
      <c r="Q1567" s="387" t="s">
        <v>7835</v>
      </c>
      <c r="R1567" s="31" t="s">
        <v>56</v>
      </c>
      <c r="S1567" s="218" t="str">
        <f t="shared" si="61"/>
        <v>https://github.com/SF-Bancoppel/mx-api-bc-pro-payment-execution-corp</v>
      </c>
      <c r="T1567" s="242"/>
      <c r="U1567" s="216"/>
      <c r="V1567" s="192"/>
      <c r="W1567" s="40"/>
      <c r="X1567" s="40"/>
      <c r="Y1567" s="40"/>
      <c r="Z1567" s="40"/>
      <c r="AA1567" s="40"/>
      <c r="AB1567" s="40"/>
    </row>
    <row r="1568" ht="18.75" customHeight="1">
      <c r="A1568" s="18" t="s">
        <v>1827</v>
      </c>
      <c r="B1568" s="22" t="str">
        <f>IFERROR(VLOOKUP(F1568, 'api-register-id'!B:F, 4, FALSE), "Not found path.")</f>
        <v>mx-api-bc-dom-trans-auth-corp</v>
      </c>
      <c r="C1568" s="234" t="s">
        <v>41</v>
      </c>
      <c r="D1568" s="234" t="s">
        <v>119</v>
      </c>
      <c r="E1568" s="24" t="str">
        <f>IFERROR(VLOOKUP(F1568, 'api-register-id'!B:F, 5, FALSE), "Not found path.")</f>
        <v>APIMX000225</v>
      </c>
      <c r="F1568" s="217" t="s">
        <v>3869</v>
      </c>
      <c r="G1568" s="26" t="s">
        <v>7836</v>
      </c>
      <c r="H1568" s="217" t="s">
        <v>7837</v>
      </c>
      <c r="I1568" s="389"/>
      <c r="J1568" s="216" t="s">
        <v>7436</v>
      </c>
      <c r="K1568" s="31" t="s">
        <v>48</v>
      </c>
      <c r="L1568" s="213" t="s">
        <v>49</v>
      </c>
      <c r="M1568" s="216" t="s">
        <v>7838</v>
      </c>
      <c r="N1568" s="386" t="str">
        <f t="shared" si="60"/>
        <v>POST /accountManagement/transactionAuthorization/v1/corporate/authorizations/file/register</v>
      </c>
      <c r="O1568" s="234"/>
      <c r="P1568" s="216"/>
      <c r="Q1568" s="387" t="s">
        <v>7839</v>
      </c>
      <c r="R1568" s="31" t="s">
        <v>56</v>
      </c>
      <c r="S1568" s="218" t="str">
        <f t="shared" si="61"/>
        <v>https://github.com/SF-Bancoppel/mx-api-bc-dom-trans-auth-corp</v>
      </c>
      <c r="T1568" s="242"/>
      <c r="U1568" s="216"/>
      <c r="V1568" s="192"/>
      <c r="W1568" s="40"/>
      <c r="X1568" s="40"/>
      <c r="Y1568" s="40"/>
      <c r="Z1568" s="40"/>
      <c r="AA1568" s="40"/>
      <c r="AB1568" s="40"/>
    </row>
    <row r="1569" ht="18.75" customHeight="1">
      <c r="A1569" s="18" t="s">
        <v>1827</v>
      </c>
      <c r="B1569" s="22" t="str">
        <f>IFERROR(VLOOKUP(F1569, 'api-register-id'!B:F, 4, FALSE), "Not found path.")</f>
        <v>mx-api-bc-dom-trans-auth-corp</v>
      </c>
      <c r="C1569" s="234" t="s">
        <v>41</v>
      </c>
      <c r="D1569" s="234" t="s">
        <v>119</v>
      </c>
      <c r="E1569" s="24" t="str">
        <f>IFERROR(VLOOKUP(F1569, 'api-register-id'!B:F, 5, FALSE), "Not found path.")</f>
        <v>APIMX000225</v>
      </c>
      <c r="F1569" s="377" t="s">
        <v>3869</v>
      </c>
      <c r="G1569" s="26" t="s">
        <v>7840</v>
      </c>
      <c r="H1569" s="217" t="s">
        <v>7841</v>
      </c>
      <c r="I1569" s="389"/>
      <c r="J1569" s="216" t="s">
        <v>7436</v>
      </c>
      <c r="K1569" s="31" t="s">
        <v>48</v>
      </c>
      <c r="L1569" s="213" t="s">
        <v>49</v>
      </c>
      <c r="M1569" s="192" t="s">
        <v>7842</v>
      </c>
      <c r="N1569" s="386" t="str">
        <f t="shared" si="60"/>
        <v>POST /accountManagement/transactionAuthorization/v1/corporate/authorizations/file/rollback</v>
      </c>
      <c r="O1569" s="234"/>
      <c r="P1569" s="192"/>
      <c r="Q1569" s="387" t="s">
        <v>7843</v>
      </c>
      <c r="R1569" s="31" t="s">
        <v>56</v>
      </c>
      <c r="S1569" s="218" t="str">
        <f t="shared" si="61"/>
        <v>https://github.com/SF-Bancoppel/mx-api-bc-dom-trans-auth-corp</v>
      </c>
      <c r="T1569" s="242"/>
      <c r="U1569" s="216"/>
      <c r="V1569" s="192"/>
      <c r="W1569" s="40"/>
      <c r="X1569" s="40"/>
      <c r="Y1569" s="40"/>
      <c r="Z1569" s="40"/>
      <c r="AA1569" s="40"/>
      <c r="AB1569" s="40"/>
    </row>
    <row r="1570" ht="18.75" customHeight="1">
      <c r="A1570" s="18" t="s">
        <v>1827</v>
      </c>
      <c r="B1570" s="22" t="str">
        <f>IFERROR(VLOOKUP(F1570, 'api-register-id'!B:F, 4, FALSE), "Not found path.")</f>
        <v>mx-api-bc-pro-trans-auth-corp</v>
      </c>
      <c r="C1570" s="234" t="s">
        <v>41</v>
      </c>
      <c r="D1570" s="234" t="s">
        <v>811</v>
      </c>
      <c r="E1570" s="24" t="str">
        <f>IFERROR(VLOOKUP(F1570, 'api-register-id'!B:F, 5, FALSE), "Not found path.")</f>
        <v>APIMX000226</v>
      </c>
      <c r="F1570" s="217" t="s">
        <v>3875</v>
      </c>
      <c r="G1570" s="26" t="s">
        <v>7844</v>
      </c>
      <c r="H1570" s="217" t="s">
        <v>7845</v>
      </c>
      <c r="I1570" s="389"/>
      <c r="J1570" s="194" t="s">
        <v>7440</v>
      </c>
      <c r="K1570" s="31" t="s">
        <v>48</v>
      </c>
      <c r="L1570" s="213" t="s">
        <v>49</v>
      </c>
      <c r="M1570" s="216" t="s">
        <v>7838</v>
      </c>
      <c r="N1570" s="386" t="str">
        <f t="shared" si="60"/>
        <v>POST /system/crossChannel/transactionAuthorization/v1/corporate/authorizations/file/register</v>
      </c>
      <c r="O1570" s="234"/>
      <c r="P1570" s="216"/>
      <c r="Q1570" s="387" t="s">
        <v>7846</v>
      </c>
      <c r="R1570" s="31" t="s">
        <v>56</v>
      </c>
      <c r="S1570" s="218" t="str">
        <f t="shared" si="61"/>
        <v>https://github.com/SF-Bancoppel/mx-api-bc-pro-trans-auth-corp</v>
      </c>
      <c r="T1570" s="242"/>
      <c r="U1570" s="216"/>
      <c r="V1570" s="192"/>
      <c r="W1570" s="40"/>
      <c r="X1570" s="40"/>
      <c r="Y1570" s="40"/>
      <c r="Z1570" s="40"/>
      <c r="AA1570" s="40"/>
      <c r="AB1570" s="40"/>
    </row>
    <row r="1571" ht="18.75" customHeight="1">
      <c r="A1571" s="18" t="s">
        <v>1827</v>
      </c>
      <c r="B1571" s="22" t="str">
        <f>IFERROR(VLOOKUP(F1571, 'api-register-id'!B:F, 4, FALSE), "Not found path.")</f>
        <v>mx-api-bc-pro-trans-auth-corp</v>
      </c>
      <c r="C1571" s="234" t="s">
        <v>41</v>
      </c>
      <c r="D1571" s="234" t="s">
        <v>811</v>
      </c>
      <c r="E1571" s="24" t="str">
        <f>IFERROR(VLOOKUP(F1571, 'api-register-id'!B:F, 5, FALSE), "Not found path.")</f>
        <v>APIMX000226</v>
      </c>
      <c r="F1571" s="377" t="s">
        <v>3875</v>
      </c>
      <c r="G1571" s="26" t="s">
        <v>7847</v>
      </c>
      <c r="H1571" s="217" t="s">
        <v>7848</v>
      </c>
      <c r="I1571" s="389"/>
      <c r="J1571" s="194" t="s">
        <v>7440</v>
      </c>
      <c r="K1571" s="31" t="s">
        <v>48</v>
      </c>
      <c r="L1571" s="213" t="s">
        <v>49</v>
      </c>
      <c r="M1571" s="192" t="s">
        <v>7842</v>
      </c>
      <c r="N1571" s="386" t="str">
        <f t="shared" si="60"/>
        <v>POST /system/crossChannel/transactionAuthorization/v1/corporate/authorizations/file/rollback</v>
      </c>
      <c r="O1571" s="234"/>
      <c r="P1571" s="192"/>
      <c r="Q1571" s="387" t="s">
        <v>7849</v>
      </c>
      <c r="R1571" s="31" t="s">
        <v>56</v>
      </c>
      <c r="S1571" s="218" t="str">
        <f t="shared" si="61"/>
        <v>https://github.com/SF-Bancoppel/mx-api-bc-pro-trans-auth-corp</v>
      </c>
      <c r="T1571" s="242"/>
      <c r="U1571" s="216"/>
      <c r="V1571" s="192"/>
      <c r="W1571" s="40"/>
      <c r="X1571" s="40"/>
      <c r="Y1571" s="40"/>
      <c r="Z1571" s="40"/>
      <c r="AA1571" s="40"/>
      <c r="AB1571" s="40"/>
    </row>
    <row r="1572" ht="18.75" customHeight="1">
      <c r="A1572" s="18" t="s">
        <v>1827</v>
      </c>
      <c r="B1572" s="22" t="str">
        <f>IFERROR(VLOOKUP(F1572, 'api-register-id'!B:F, 4, FALSE), "Not found path.")</f>
        <v>mx-api-bc-bus-transaction-engine-corp</v>
      </c>
      <c r="C1572" s="234" t="s">
        <v>41</v>
      </c>
      <c r="D1572" s="234" t="s">
        <v>42</v>
      </c>
      <c r="E1572" s="24" t="str">
        <f>IFERROR(VLOOKUP(F1572, 'api-register-id'!B:F, 5, FALSE), "Not found path.")</f>
        <v>APIMX000237</v>
      </c>
      <c r="F1572" s="377" t="s">
        <v>4056</v>
      </c>
      <c r="G1572" s="26" t="s">
        <v>7850</v>
      </c>
      <c r="H1572" s="217" t="s">
        <v>7851</v>
      </c>
      <c r="I1572" s="389"/>
      <c r="J1572" s="192" t="s">
        <v>7852</v>
      </c>
      <c r="K1572" s="31" t="s">
        <v>48</v>
      </c>
      <c r="L1572" s="213" t="s">
        <v>49</v>
      </c>
      <c r="M1572" s="192" t="s">
        <v>7853</v>
      </c>
      <c r="N1572" s="386" t="str">
        <f t="shared" si="60"/>
        <v>POST /accountManagement/v1/corporate/main/file/process</v>
      </c>
      <c r="O1572" s="234"/>
      <c r="P1572" s="192"/>
      <c r="Q1572" s="387" t="s">
        <v>7854</v>
      </c>
      <c r="R1572" s="31" t="s">
        <v>56</v>
      </c>
      <c r="S1572" s="218" t="str">
        <f t="shared" si="61"/>
        <v>https://github.com/SF-Bancoppel/mx-api-bc-bus-transaction-engine-corp</v>
      </c>
      <c r="T1572" s="242"/>
      <c r="U1572" s="216"/>
      <c r="V1572" s="192"/>
      <c r="W1572" s="40"/>
      <c r="X1572" s="40"/>
      <c r="Y1572" s="40"/>
      <c r="Z1572" s="40"/>
      <c r="AA1572" s="40"/>
      <c r="AB1572" s="40"/>
    </row>
    <row r="1573" ht="18.75" customHeight="1">
      <c r="A1573" s="18" t="s">
        <v>1827</v>
      </c>
      <c r="B1573" s="22" t="str">
        <f>IFERROR(VLOOKUP(F1573, 'api-register-id'!B:F, 4, FALSE), "Not found path.")</f>
        <v>mx-api-bc-bus-transaction-engine-corp</v>
      </c>
      <c r="C1573" s="234" t="s">
        <v>41</v>
      </c>
      <c r="D1573" s="234" t="s">
        <v>42</v>
      </c>
      <c r="E1573" s="24" t="str">
        <f>IFERROR(VLOOKUP(F1573, 'api-register-id'!B:F, 5, FALSE), "Not found path.")</f>
        <v>APIMX000237</v>
      </c>
      <c r="F1573" s="377" t="s">
        <v>4056</v>
      </c>
      <c r="G1573" s="26" t="s">
        <v>7855</v>
      </c>
      <c r="H1573" s="217" t="s">
        <v>7856</v>
      </c>
      <c r="I1573" s="29"/>
      <c r="J1573" s="192" t="s">
        <v>7852</v>
      </c>
      <c r="K1573" s="31" t="s">
        <v>48</v>
      </c>
      <c r="L1573" s="213" t="s">
        <v>49</v>
      </c>
      <c r="M1573" s="192" t="s">
        <v>7857</v>
      </c>
      <c r="N1573" s="386" t="str">
        <f t="shared" si="60"/>
        <v>POST /accountManagement/v1/corporate/records/file/process</v>
      </c>
      <c r="O1573" s="234"/>
      <c r="P1573" s="192"/>
      <c r="Q1573" s="387" t="s">
        <v>7858</v>
      </c>
      <c r="R1573" s="31" t="s">
        <v>56</v>
      </c>
      <c r="S1573" s="218" t="str">
        <f t="shared" si="61"/>
        <v>https://github.com/SF-Bancoppel/mx-api-bc-bus-transaction-engine-corp</v>
      </c>
      <c r="T1573" s="242"/>
      <c r="U1573" s="216"/>
      <c r="V1573" s="192"/>
      <c r="W1573" s="40"/>
      <c r="X1573" s="40"/>
      <c r="Y1573" s="40"/>
      <c r="Z1573" s="40"/>
      <c r="AA1573" s="40"/>
      <c r="AB1573" s="40"/>
    </row>
    <row r="1574" ht="18.75" customHeight="1">
      <c r="A1574" s="18" t="s">
        <v>4122</v>
      </c>
      <c r="B1574" s="22" t="str">
        <f>IFERROR(VLOOKUP(F1574, 'api-register-id'!B:F, 4, FALSE), "Not found path.")</f>
        <v>mx-api-bc-rec-dir-deb-mand-hub</v>
      </c>
      <c r="C1574" s="405" t="s">
        <v>112</v>
      </c>
      <c r="D1574" s="405" t="s">
        <v>1417</v>
      </c>
      <c r="E1574" s="24" t="str">
        <f>IFERROR(VLOOKUP(F1574, 'api-register-id'!B:F, 5, FALSE), "Not found path.")</f>
        <v>APIMX000238</v>
      </c>
      <c r="F1574" s="412" t="s">
        <v>4124</v>
      </c>
      <c r="G1574" s="413" t="s">
        <v>7859</v>
      </c>
      <c r="H1574" s="194" t="s">
        <v>7860</v>
      </c>
      <c r="I1574" s="29" t="s">
        <v>162</v>
      </c>
      <c r="J1574" s="193" t="s">
        <v>6197</v>
      </c>
      <c r="K1574" s="31" t="s">
        <v>48</v>
      </c>
      <c r="L1574" s="213" t="s">
        <v>49</v>
      </c>
      <c r="M1574" s="193" t="s">
        <v>7861</v>
      </c>
      <c r="N1574" s="414" t="s">
        <v>7862</v>
      </c>
      <c r="O1574" s="405" t="s">
        <v>7863</v>
      </c>
      <c r="P1574" s="192"/>
      <c r="Q1574" s="194"/>
      <c r="R1574" s="31" t="s">
        <v>56</v>
      </c>
      <c r="S1574" s="218" t="str">
        <f t="shared" si="61"/>
        <v>https://github.com/SF-Bancoppel/mx-api-bc-rec-dir-deb-mand-hub</v>
      </c>
      <c r="T1574" s="242"/>
      <c r="U1574" s="216"/>
      <c r="V1574" s="192"/>
      <c r="W1574" s="40"/>
      <c r="X1574" s="40"/>
      <c r="Y1574" s="40"/>
      <c r="Z1574" s="40"/>
      <c r="AA1574" s="40"/>
      <c r="AB1574" s="40"/>
    </row>
    <row r="1575" ht="18.75" customHeight="1">
      <c r="A1575" s="18" t="s">
        <v>4122</v>
      </c>
      <c r="B1575" s="22" t="str">
        <f>IFERROR(VLOOKUP(F1575, 'api-register-id'!B:F, 4, FALSE), "Not found path.")</f>
        <v>mx-api-bc-rec-dir-deb-mand-hub</v>
      </c>
      <c r="C1575" s="405" t="s">
        <v>112</v>
      </c>
      <c r="D1575" s="405" t="s">
        <v>1417</v>
      </c>
      <c r="E1575" s="24" t="str">
        <f>IFERROR(VLOOKUP(F1575, 'api-register-id'!B:F, 5, FALSE), "Not found path.")</f>
        <v>APIMX000238</v>
      </c>
      <c r="F1575" s="297" t="s">
        <v>4124</v>
      </c>
      <c r="G1575" s="413" t="s">
        <v>7864</v>
      </c>
      <c r="H1575" s="199" t="s">
        <v>7865</v>
      </c>
      <c r="I1575" s="29" t="s">
        <v>162</v>
      </c>
      <c r="J1575" s="193" t="s">
        <v>6197</v>
      </c>
      <c r="K1575" s="31" t="s">
        <v>48</v>
      </c>
      <c r="L1575" s="213" t="s">
        <v>61</v>
      </c>
      <c r="M1575" s="3" t="s">
        <v>7866</v>
      </c>
      <c r="N1575" s="3" t="s">
        <v>7867</v>
      </c>
      <c r="O1575" s="405" t="s">
        <v>7863</v>
      </c>
      <c r="P1575" s="40"/>
      <c r="Q1575" s="212"/>
      <c r="R1575" s="31" t="s">
        <v>56</v>
      </c>
      <c r="S1575" s="218" t="str">
        <f t="shared" si="61"/>
        <v>https://github.com/SF-Bancoppel/mx-api-bc-rec-dir-deb-mand-hub</v>
      </c>
      <c r="T1575" s="40"/>
      <c r="U1575" s="40"/>
      <c r="V1575" s="40"/>
      <c r="W1575" s="40"/>
      <c r="X1575" s="40"/>
      <c r="Y1575" s="40"/>
      <c r="Z1575" s="40"/>
      <c r="AA1575" s="40"/>
      <c r="AB1575" s="40"/>
    </row>
    <row r="1576" ht="18.75" customHeight="1">
      <c r="A1576" s="18" t="s">
        <v>4122</v>
      </c>
      <c r="B1576" s="22" t="str">
        <f>IFERROR(VLOOKUP(F1576, 'api-register-id'!B:F, 4, FALSE), "Not found path.")</f>
        <v>mx-api-bc-rec-dir-deb-mand-hub</v>
      </c>
      <c r="C1576" s="405" t="s">
        <v>112</v>
      </c>
      <c r="D1576" s="405" t="s">
        <v>1417</v>
      </c>
      <c r="E1576" s="24" t="str">
        <f>IFERROR(VLOOKUP(F1576, 'api-register-id'!B:F, 5, FALSE), "Not found path.")</f>
        <v>APIMX000238</v>
      </c>
      <c r="F1576" s="297" t="s">
        <v>4124</v>
      </c>
      <c r="G1576" s="413" t="s">
        <v>7868</v>
      </c>
      <c r="H1576" s="199" t="s">
        <v>7869</v>
      </c>
      <c r="I1576" s="29" t="s">
        <v>162</v>
      </c>
      <c r="J1576" s="193" t="s">
        <v>6197</v>
      </c>
      <c r="K1576" s="31" t="s">
        <v>48</v>
      </c>
      <c r="L1576" s="213" t="s">
        <v>428</v>
      </c>
      <c r="M1576" s="3" t="s">
        <v>7870</v>
      </c>
      <c r="N1576" s="3" t="s">
        <v>7871</v>
      </c>
      <c r="O1576" s="405" t="s">
        <v>7863</v>
      </c>
      <c r="P1576" s="40"/>
      <c r="Q1576" s="212"/>
      <c r="R1576" s="31" t="s">
        <v>56</v>
      </c>
      <c r="S1576" s="218" t="str">
        <f t="shared" si="61"/>
        <v>https://github.com/SF-Bancoppel/mx-api-bc-rec-dir-deb-mand-hub</v>
      </c>
      <c r="T1576" s="40"/>
      <c r="U1576" s="40"/>
      <c r="V1576" s="40"/>
      <c r="W1576" s="40"/>
      <c r="X1576" s="40"/>
      <c r="Y1576" s="40"/>
      <c r="Z1576" s="40"/>
      <c r="AA1576" s="40"/>
      <c r="AB1576" s="40"/>
    </row>
    <row r="1577" ht="18.75" customHeight="1">
      <c r="A1577" s="18" t="s">
        <v>4122</v>
      </c>
      <c r="B1577" s="22" t="str">
        <f>IFERROR(VLOOKUP(F1577, 'api-register-id'!B:F, 4, FALSE), "Not found path.")</f>
        <v>mx-api-bc-rec-dir-deb-mand-hub</v>
      </c>
      <c r="C1577" s="405" t="s">
        <v>112</v>
      </c>
      <c r="D1577" s="405" t="s">
        <v>1417</v>
      </c>
      <c r="E1577" s="24" t="str">
        <f>IFERROR(VLOOKUP(F1577, 'api-register-id'!B:F, 5, FALSE), "Not found path.")</f>
        <v>APIMX000238</v>
      </c>
      <c r="F1577" s="297" t="s">
        <v>4124</v>
      </c>
      <c r="G1577" s="413" t="s">
        <v>7872</v>
      </c>
      <c r="H1577" s="199" t="s">
        <v>7873</v>
      </c>
      <c r="I1577" s="29" t="s">
        <v>162</v>
      </c>
      <c r="J1577" s="193" t="s">
        <v>6197</v>
      </c>
      <c r="K1577" s="31" t="s">
        <v>48</v>
      </c>
      <c r="L1577" s="213" t="s">
        <v>49</v>
      </c>
      <c r="M1577" s="3" t="s">
        <v>7874</v>
      </c>
      <c r="N1577" s="3" t="s">
        <v>7875</v>
      </c>
      <c r="O1577" s="405" t="s">
        <v>7863</v>
      </c>
      <c r="P1577" s="40"/>
      <c r="Q1577" s="212"/>
      <c r="R1577" s="31" t="s">
        <v>56</v>
      </c>
      <c r="S1577" s="218" t="str">
        <f t="shared" si="61"/>
        <v>https://github.com/SF-Bancoppel/mx-api-bc-rec-dir-deb-mand-hub</v>
      </c>
      <c r="T1577" s="40"/>
      <c r="U1577" s="40"/>
      <c r="V1577" s="40"/>
      <c r="W1577" s="40"/>
      <c r="X1577" s="40"/>
      <c r="Y1577" s="40"/>
      <c r="Z1577" s="40"/>
      <c r="AA1577" s="40"/>
      <c r="AB1577" s="40"/>
    </row>
    <row r="1578" ht="18.75" customHeight="1">
      <c r="A1578" s="18" t="s">
        <v>4122</v>
      </c>
      <c r="B1578" s="22" t="str">
        <f>IFERROR(VLOOKUP(F1578, 'api-register-id'!B:F, 4, FALSE), "Not found path.")</f>
        <v>mx-api-bc-rec-dir-deb-mand-hub</v>
      </c>
      <c r="C1578" s="405" t="s">
        <v>112</v>
      </c>
      <c r="D1578" s="405" t="s">
        <v>1417</v>
      </c>
      <c r="E1578" s="24" t="str">
        <f>IFERROR(VLOOKUP(F1578, 'api-register-id'!B:F, 5, FALSE), "Not found path.")</f>
        <v>APIMX000238</v>
      </c>
      <c r="F1578" s="297" t="s">
        <v>4124</v>
      </c>
      <c r="G1578" s="413" t="s">
        <v>7876</v>
      </c>
      <c r="H1578" s="199" t="s">
        <v>7877</v>
      </c>
      <c r="I1578" s="29" t="s">
        <v>162</v>
      </c>
      <c r="J1578" s="193" t="s">
        <v>6197</v>
      </c>
      <c r="K1578" s="31" t="s">
        <v>48</v>
      </c>
      <c r="L1578" s="213" t="s">
        <v>49</v>
      </c>
      <c r="M1578" s="3" t="s">
        <v>7878</v>
      </c>
      <c r="N1578" s="3" t="s">
        <v>7879</v>
      </c>
      <c r="O1578" s="405" t="s">
        <v>7863</v>
      </c>
      <c r="P1578" s="40"/>
      <c r="Q1578" s="212"/>
      <c r="R1578" s="31" t="s">
        <v>56</v>
      </c>
      <c r="S1578" s="218" t="str">
        <f t="shared" si="61"/>
        <v>https://github.com/SF-Bancoppel/mx-api-bc-rec-dir-deb-mand-hub</v>
      </c>
      <c r="T1578" s="40"/>
      <c r="U1578" s="40"/>
      <c r="V1578" s="40"/>
      <c r="W1578" s="40"/>
      <c r="X1578" s="40"/>
      <c r="Y1578" s="40"/>
      <c r="Z1578" s="40"/>
      <c r="AA1578" s="40"/>
      <c r="AB1578" s="40"/>
    </row>
    <row r="1579" ht="18.75" customHeight="1">
      <c r="A1579" s="18" t="s">
        <v>4122</v>
      </c>
      <c r="B1579" s="22" t="str">
        <f>IFERROR(VLOOKUP(F1579, 'api-register-id'!B:F, 4, FALSE), "Not found path.")</f>
        <v>mx-api-bc-rec-cash-mgmt-acct-services-hub</v>
      </c>
      <c r="C1579" s="405" t="s">
        <v>112</v>
      </c>
      <c r="D1579" s="405" t="s">
        <v>1417</v>
      </c>
      <c r="E1579" s="24" t="str">
        <f>IFERROR(VLOOKUP(F1579, 'api-register-id'!B:F, 5, FALSE), "Not found path.")</f>
        <v>APIMX000239</v>
      </c>
      <c r="F1579" s="297" t="s">
        <v>4147</v>
      </c>
      <c r="G1579" s="26" t="s">
        <v>7880</v>
      </c>
      <c r="H1579" s="199" t="s">
        <v>7881</v>
      </c>
      <c r="I1579" s="29" t="s">
        <v>162</v>
      </c>
      <c r="J1579" s="193" t="s">
        <v>7882</v>
      </c>
      <c r="K1579" s="31" t="s">
        <v>48</v>
      </c>
      <c r="L1579" s="213" t="s">
        <v>49</v>
      </c>
      <c r="M1579" s="3" t="s">
        <v>7883</v>
      </c>
      <c r="N1579" s="3" t="s">
        <v>7884</v>
      </c>
      <c r="O1579" s="405" t="s">
        <v>7863</v>
      </c>
      <c r="P1579" s="40"/>
      <c r="Q1579" s="212"/>
      <c r="R1579" s="31" t="s">
        <v>56</v>
      </c>
      <c r="S1579" s="218" t="str">
        <f t="shared" si="61"/>
        <v>https://github.com/SF-Bancoppel/mx-api-bc-rec-cash-mgmt-acct-services-hub</v>
      </c>
      <c r="T1579" s="40"/>
      <c r="U1579" s="40"/>
      <c r="V1579" s="40"/>
      <c r="W1579" s="40"/>
      <c r="X1579" s="40"/>
      <c r="Y1579" s="40"/>
      <c r="Z1579" s="40"/>
      <c r="AA1579" s="40"/>
      <c r="AB1579" s="40"/>
    </row>
    <row r="1580" ht="18.75" customHeight="1">
      <c r="A1580" s="18" t="s">
        <v>4122</v>
      </c>
      <c r="B1580" s="22" t="str">
        <f>IFERROR(VLOOKUP(F1580, 'api-register-id'!B:F, 4, FALSE), "Not found path.")</f>
        <v>mx-api-bc-pro-dir-deb-mand-hub</v>
      </c>
      <c r="C1580" s="405" t="s">
        <v>41</v>
      </c>
      <c r="D1580" s="405" t="s">
        <v>811</v>
      </c>
      <c r="E1580" s="24" t="str">
        <f>IFERROR(VLOOKUP(F1580, 'api-register-id'!B:F, 5, FALSE), "Not found path.")</f>
        <v>APIMX000240</v>
      </c>
      <c r="F1580" s="297" t="s">
        <v>4168</v>
      </c>
      <c r="G1580" s="413" t="s">
        <v>7885</v>
      </c>
      <c r="H1580" s="199" t="s">
        <v>7886</v>
      </c>
      <c r="I1580" s="29" t="s">
        <v>162</v>
      </c>
      <c r="J1580" s="193" t="s">
        <v>7887</v>
      </c>
      <c r="K1580" s="31" t="s">
        <v>48</v>
      </c>
      <c r="L1580" s="234" t="s">
        <v>428</v>
      </c>
      <c r="M1580" s="3" t="s">
        <v>7888</v>
      </c>
      <c r="N1580" s="3" t="s">
        <v>7889</v>
      </c>
      <c r="O1580" s="405" t="s">
        <v>7863</v>
      </c>
      <c r="P1580" s="40"/>
      <c r="Q1580" s="212"/>
      <c r="R1580" s="31" t="s">
        <v>56</v>
      </c>
      <c r="S1580" s="218" t="str">
        <f t="shared" si="61"/>
        <v>https://github.com/SF-Bancoppel/mx-api-bc-pro-dir-deb-mand-hub</v>
      </c>
      <c r="T1580" s="40"/>
      <c r="U1580" s="40"/>
      <c r="V1580" s="40"/>
      <c r="W1580" s="40"/>
      <c r="X1580" s="40"/>
      <c r="Y1580" s="40"/>
      <c r="Z1580" s="40"/>
      <c r="AA1580" s="40"/>
      <c r="AB1580" s="40"/>
    </row>
    <row r="1581" ht="18.75" customHeight="1">
      <c r="A1581" s="18" t="s">
        <v>4122</v>
      </c>
      <c r="B1581" s="22" t="str">
        <f>IFERROR(VLOOKUP(F1581, 'api-register-id'!B:F, 4, FALSE), "Not found path.")</f>
        <v>mx-api-bc-pro-document-services-hub</v>
      </c>
      <c r="C1581" s="405" t="s">
        <v>41</v>
      </c>
      <c r="D1581" s="405" t="s">
        <v>811</v>
      </c>
      <c r="E1581" s="24" t="str">
        <f>IFERROR(VLOOKUP(F1581, 'api-register-id'!B:F, 5, FALSE), "Not found path.")</f>
        <v>APIMX000241</v>
      </c>
      <c r="F1581" s="297" t="s">
        <v>4190</v>
      </c>
      <c r="G1581" s="413" t="s">
        <v>7890</v>
      </c>
      <c r="H1581" s="199" t="s">
        <v>7891</v>
      </c>
      <c r="I1581" s="29" t="s">
        <v>162</v>
      </c>
      <c r="J1581" s="193" t="s">
        <v>2950</v>
      </c>
      <c r="K1581" s="31" t="s">
        <v>48</v>
      </c>
      <c r="L1581" s="234" t="s">
        <v>49</v>
      </c>
      <c r="M1581" s="3" t="s">
        <v>7892</v>
      </c>
      <c r="N1581" s="3" t="s">
        <v>7893</v>
      </c>
      <c r="O1581" s="405" t="s">
        <v>7863</v>
      </c>
      <c r="P1581" s="40"/>
      <c r="Q1581" s="212"/>
      <c r="R1581" s="31" t="s">
        <v>56</v>
      </c>
      <c r="S1581" s="218" t="str">
        <f t="shared" si="61"/>
        <v>https://github.com/SF-Bancoppel/mx-api-bc-pro-document-services-hub</v>
      </c>
      <c r="T1581" s="40"/>
      <c r="U1581" s="40"/>
      <c r="V1581" s="40"/>
      <c r="W1581" s="40"/>
      <c r="X1581" s="40"/>
      <c r="Y1581" s="40"/>
      <c r="Z1581" s="40"/>
      <c r="AA1581" s="40"/>
      <c r="AB1581" s="40"/>
    </row>
    <row r="1582" ht="18.75" customHeight="1">
      <c r="A1582" s="18" t="s">
        <v>4122</v>
      </c>
      <c r="B1582" s="22" t="str">
        <f>IFERROR(VLOOKUP(F1582, 'api-register-id'!B:F, 4, FALSE), "Not found path.")</f>
        <v>mx-api-bc-pro-payment-execution-hub</v>
      </c>
      <c r="C1582" s="405" t="s">
        <v>41</v>
      </c>
      <c r="D1582" s="405" t="s">
        <v>811</v>
      </c>
      <c r="E1582" s="24" t="str">
        <f>IFERROR(VLOOKUP(F1582, 'api-register-id'!B:F, 5, FALSE), "Not found path.")</f>
        <v>APIMX000242</v>
      </c>
      <c r="F1582" s="297" t="s">
        <v>4214</v>
      </c>
      <c r="G1582" s="26" t="s">
        <v>7894</v>
      </c>
      <c r="H1582" s="199" t="s">
        <v>7895</v>
      </c>
      <c r="I1582" s="29" t="s">
        <v>162</v>
      </c>
      <c r="J1582" s="193" t="s">
        <v>3463</v>
      </c>
      <c r="K1582" s="31" t="s">
        <v>48</v>
      </c>
      <c r="L1582" s="234" t="s">
        <v>61</v>
      </c>
      <c r="M1582" s="3" t="s">
        <v>7896</v>
      </c>
      <c r="N1582" s="3" t="s">
        <v>7897</v>
      </c>
      <c r="O1582" s="405" t="s">
        <v>7863</v>
      </c>
      <c r="P1582" s="40"/>
      <c r="Q1582" s="212"/>
      <c r="R1582" s="31" t="s">
        <v>56</v>
      </c>
      <c r="S1582" s="218" t="str">
        <f t="shared" si="61"/>
        <v>https://github.com/SF-Bancoppel/mx-api-bc-pro-payment-execution-hub</v>
      </c>
      <c r="T1582" s="40"/>
      <c r="U1582" s="40"/>
      <c r="V1582" s="40"/>
      <c r="W1582" s="40"/>
      <c r="X1582" s="40"/>
      <c r="Y1582" s="40"/>
      <c r="Z1582" s="40"/>
      <c r="AA1582" s="40"/>
      <c r="AB1582" s="40"/>
    </row>
    <row r="1583" ht="18.75" customHeight="1">
      <c r="A1583" s="18" t="s">
        <v>4122</v>
      </c>
      <c r="B1583" s="22" t="str">
        <f>IFERROR(VLOOKUP(F1583, 'api-register-id'!B:F, 4, FALSE), "Not found path.")</f>
        <v>mx-api-bc-pro-party-reference-data-directory-hub</v>
      </c>
      <c r="C1583" s="405" t="s">
        <v>41</v>
      </c>
      <c r="D1583" s="405" t="s">
        <v>811</v>
      </c>
      <c r="E1583" s="24" t="str">
        <f>IFERROR(VLOOKUP(F1583, 'api-register-id'!B:F, 5, FALSE), "Not found path.")</f>
        <v>APIMX000243</v>
      </c>
      <c r="F1583" s="297" t="s">
        <v>4225</v>
      </c>
      <c r="G1583" s="413" t="s">
        <v>7898</v>
      </c>
      <c r="H1583" s="199" t="s">
        <v>7899</v>
      </c>
      <c r="I1583" s="29" t="s">
        <v>162</v>
      </c>
      <c r="J1583" s="193" t="s">
        <v>3395</v>
      </c>
      <c r="K1583" s="31" t="s">
        <v>48</v>
      </c>
      <c r="L1583" s="234" t="s">
        <v>49</v>
      </c>
      <c r="M1583" s="3" t="s">
        <v>7900</v>
      </c>
      <c r="N1583" s="3" t="s">
        <v>7901</v>
      </c>
      <c r="O1583" s="405" t="s">
        <v>7863</v>
      </c>
      <c r="P1583" s="40"/>
      <c r="Q1583" s="212"/>
      <c r="R1583" s="31" t="s">
        <v>56</v>
      </c>
      <c r="S1583" s="218" t="str">
        <f t="shared" si="61"/>
        <v>https://github.com/SF-Bancoppel/mx-api-bc-pro-party-reference-data-directory-hub</v>
      </c>
      <c r="T1583" s="40"/>
      <c r="U1583" s="40"/>
      <c r="V1583" s="40"/>
      <c r="W1583" s="40"/>
      <c r="X1583" s="40"/>
      <c r="Y1583" s="40"/>
      <c r="Z1583" s="40"/>
      <c r="AA1583" s="40"/>
      <c r="AB1583" s="40"/>
    </row>
    <row r="1584" ht="18.75" customHeight="1">
      <c r="A1584" s="18" t="s">
        <v>4122</v>
      </c>
      <c r="B1584" s="22" t="str">
        <f>IFERROR(VLOOKUP(F1584, 'api-register-id'!B:F, 4, FALSE), "Not found path.")</f>
        <v>mx-api-bc-pro-payment-execution-hub</v>
      </c>
      <c r="C1584" s="405" t="s">
        <v>41</v>
      </c>
      <c r="D1584" s="405" t="s">
        <v>811</v>
      </c>
      <c r="E1584" s="24" t="str">
        <f>IFERROR(VLOOKUP(F1584, 'api-register-id'!B:F, 5, FALSE), "Not found path.")</f>
        <v>APIMX000242</v>
      </c>
      <c r="F1584" s="297" t="s">
        <v>4214</v>
      </c>
      <c r="G1584" s="26" t="s">
        <v>7902</v>
      </c>
      <c r="H1584" s="199" t="s">
        <v>7903</v>
      </c>
      <c r="I1584" s="29" t="s">
        <v>162</v>
      </c>
      <c r="J1584" s="193" t="s">
        <v>3463</v>
      </c>
      <c r="K1584" s="31" t="s">
        <v>48</v>
      </c>
      <c r="L1584" s="234" t="s">
        <v>49</v>
      </c>
      <c r="M1584" s="3" t="s">
        <v>7904</v>
      </c>
      <c r="N1584" s="3" t="s">
        <v>7905</v>
      </c>
      <c r="O1584" s="405" t="s">
        <v>7863</v>
      </c>
      <c r="P1584" s="40"/>
      <c r="Q1584" s="212"/>
      <c r="R1584" s="31" t="s">
        <v>56</v>
      </c>
      <c r="S1584" s="218" t="str">
        <f t="shared" si="61"/>
        <v>https://github.com/SF-Bancoppel/mx-api-bc-pro-payment-execution-hub</v>
      </c>
      <c r="T1584" s="40"/>
      <c r="U1584" s="40"/>
      <c r="V1584" s="40"/>
      <c r="W1584" s="40"/>
      <c r="X1584" s="40"/>
      <c r="Y1584" s="40"/>
      <c r="Z1584" s="40"/>
      <c r="AA1584" s="40"/>
      <c r="AB1584" s="40"/>
    </row>
    <row r="1585" ht="18.75" customHeight="1">
      <c r="A1585" s="18" t="s">
        <v>4122</v>
      </c>
      <c r="B1585" s="22" t="str">
        <f>IFERROR(VLOOKUP(F1585, 'api-register-id'!B:F, 4, FALSE), "Not found path.")</f>
        <v>mx-api-bc-pro-operational-event-history-hub</v>
      </c>
      <c r="C1585" s="405" t="s">
        <v>41</v>
      </c>
      <c r="D1585" s="405" t="s">
        <v>811</v>
      </c>
      <c r="E1585" s="24" t="str">
        <f>IFERROR(VLOOKUP(F1585, 'api-register-id'!B:F, 5, FALSE), "Not found path.")</f>
        <v>APIMX000244</v>
      </c>
      <c r="F1585" s="297" t="s">
        <v>4231</v>
      </c>
      <c r="G1585" s="413" t="s">
        <v>7906</v>
      </c>
      <c r="H1585" s="199" t="s">
        <v>7907</v>
      </c>
      <c r="I1585" s="29" t="s">
        <v>162</v>
      </c>
      <c r="J1585" s="193" t="s">
        <v>7908</v>
      </c>
      <c r="K1585" s="31" t="s">
        <v>48</v>
      </c>
      <c r="L1585" s="234" t="s">
        <v>49</v>
      </c>
      <c r="M1585" s="3" t="s">
        <v>7909</v>
      </c>
      <c r="N1585" s="3" t="s">
        <v>7910</v>
      </c>
      <c r="O1585" s="405" t="s">
        <v>7863</v>
      </c>
      <c r="P1585" s="40"/>
      <c r="Q1585" s="212"/>
      <c r="R1585" s="31" t="s">
        <v>56</v>
      </c>
      <c r="S1585" s="218" t="str">
        <f t="shared" si="61"/>
        <v>https://github.com/SF-Bancoppel/mx-api-bc-pro-operational-event-history-hub</v>
      </c>
      <c r="T1585" s="40"/>
      <c r="U1585" s="40"/>
      <c r="V1585" s="40"/>
      <c r="W1585" s="40"/>
      <c r="X1585" s="40"/>
      <c r="Y1585" s="40"/>
      <c r="Z1585" s="40"/>
      <c r="AA1585" s="40"/>
      <c r="AB1585" s="40"/>
    </row>
    <row r="1586" ht="18.75" customHeight="1">
      <c r="A1586" s="18" t="s">
        <v>4122</v>
      </c>
      <c r="B1586" s="22" t="str">
        <f>IFERROR(VLOOKUP(F1586, 'api-register-id'!B:F, 4, FALSE), "Not found path.")</f>
        <v>mx-api-bc-pro-dir-deb-mand-hub</v>
      </c>
      <c r="C1586" s="405" t="s">
        <v>41</v>
      </c>
      <c r="D1586" s="405" t="s">
        <v>811</v>
      </c>
      <c r="E1586" s="24" t="str">
        <f>IFERROR(VLOOKUP(F1586, 'api-register-id'!B:F, 5, FALSE), "Not found path.")</f>
        <v>APIMX000240</v>
      </c>
      <c r="F1586" s="297" t="s">
        <v>4168</v>
      </c>
      <c r="G1586" s="413" t="s">
        <v>7911</v>
      </c>
      <c r="H1586" s="199" t="s">
        <v>7912</v>
      </c>
      <c r="I1586" s="29" t="s">
        <v>162</v>
      </c>
      <c r="J1586" s="193" t="s">
        <v>7887</v>
      </c>
      <c r="K1586" s="31" t="s">
        <v>48</v>
      </c>
      <c r="L1586" s="234" t="s">
        <v>49</v>
      </c>
      <c r="M1586" s="3" t="s">
        <v>7913</v>
      </c>
      <c r="N1586" s="3" t="s">
        <v>7914</v>
      </c>
      <c r="O1586" s="405" t="s">
        <v>7863</v>
      </c>
      <c r="P1586" s="40"/>
      <c r="Q1586" s="212"/>
      <c r="R1586" s="31" t="s">
        <v>56</v>
      </c>
      <c r="S1586" s="218" t="str">
        <f t="shared" si="61"/>
        <v>https://github.com/SF-Bancoppel/mx-api-bc-pro-dir-deb-mand-hub</v>
      </c>
      <c r="T1586" s="40"/>
      <c r="U1586" s="40"/>
      <c r="V1586" s="40"/>
      <c r="W1586" s="40"/>
      <c r="X1586" s="40"/>
      <c r="Y1586" s="40"/>
      <c r="Z1586" s="40"/>
      <c r="AA1586" s="40"/>
      <c r="AB1586" s="40"/>
    </row>
    <row r="1587" ht="18.75" customHeight="1">
      <c r="A1587" s="18" t="s">
        <v>4122</v>
      </c>
      <c r="B1587" s="22" t="str">
        <f>IFERROR(VLOOKUP(F1587, 'api-register-id'!B:F, 4, FALSE), "Not found path.")</f>
        <v>mx-api-bc-pro-dir-deb-mand-hub</v>
      </c>
      <c r="C1587" s="405" t="s">
        <v>41</v>
      </c>
      <c r="D1587" s="405" t="s">
        <v>811</v>
      </c>
      <c r="E1587" s="24" t="str">
        <f>IFERROR(VLOOKUP(F1587, 'api-register-id'!B:F, 5, FALSE), "Not found path.")</f>
        <v>APIMX000240</v>
      </c>
      <c r="F1587" s="297" t="s">
        <v>4168</v>
      </c>
      <c r="G1587" s="413" t="s">
        <v>7915</v>
      </c>
      <c r="H1587" s="199" t="s">
        <v>7916</v>
      </c>
      <c r="I1587" s="29" t="s">
        <v>162</v>
      </c>
      <c r="J1587" s="193" t="s">
        <v>7887</v>
      </c>
      <c r="K1587" s="31" t="s">
        <v>48</v>
      </c>
      <c r="L1587" s="234" t="s">
        <v>49</v>
      </c>
      <c r="M1587" s="3" t="s">
        <v>7874</v>
      </c>
      <c r="N1587" s="3" t="s">
        <v>7917</v>
      </c>
      <c r="O1587" s="405" t="s">
        <v>7863</v>
      </c>
      <c r="P1587" s="40"/>
      <c r="Q1587" s="212"/>
      <c r="R1587" s="31" t="s">
        <v>56</v>
      </c>
      <c r="S1587" s="218" t="str">
        <f t="shared" si="61"/>
        <v>https://github.com/SF-Bancoppel/mx-api-bc-pro-dir-deb-mand-hub</v>
      </c>
      <c r="T1587" s="40"/>
      <c r="U1587" s="40"/>
      <c r="V1587" s="40"/>
      <c r="W1587" s="40"/>
      <c r="X1587" s="40"/>
      <c r="Y1587" s="40"/>
      <c r="Z1587" s="40"/>
      <c r="AA1587" s="40"/>
      <c r="AB1587" s="40"/>
    </row>
    <row r="1588" ht="18.75" customHeight="1">
      <c r="A1588" s="18" t="s">
        <v>4122</v>
      </c>
      <c r="B1588" s="22" t="str">
        <f>IFERROR(VLOOKUP(F1588, 'api-register-id'!B:F, 4, FALSE), "Not found path.")</f>
        <v>mx-api-bc-pro-account-validation-hub</v>
      </c>
      <c r="C1588" s="405" t="s">
        <v>41</v>
      </c>
      <c r="D1588" s="405" t="s">
        <v>811</v>
      </c>
      <c r="E1588" s="24" t="str">
        <f>IFERROR(VLOOKUP(F1588, 'api-register-id'!B:F, 5, FALSE), "Not found path.")</f>
        <v>APIMX000245</v>
      </c>
      <c r="F1588" s="297" t="s">
        <v>4238</v>
      </c>
      <c r="G1588" s="413" t="s">
        <v>7918</v>
      </c>
      <c r="H1588" s="199" t="s">
        <v>7919</v>
      </c>
      <c r="I1588" s="29" t="s">
        <v>162</v>
      </c>
      <c r="J1588" s="193" t="s">
        <v>7920</v>
      </c>
      <c r="K1588" s="31" t="s">
        <v>48</v>
      </c>
      <c r="L1588" s="234" t="s">
        <v>49</v>
      </c>
      <c r="M1588" s="3" t="s">
        <v>7921</v>
      </c>
      <c r="N1588" s="3" t="s">
        <v>7922</v>
      </c>
      <c r="O1588" s="405" t="s">
        <v>7863</v>
      </c>
      <c r="P1588" s="40"/>
      <c r="Q1588" s="212"/>
      <c r="R1588" s="31" t="s">
        <v>56</v>
      </c>
      <c r="S1588" s="218" t="str">
        <f t="shared" si="61"/>
        <v>https://github.com/SF-Bancoppel/mx-api-bc-pro-account-validation-hub</v>
      </c>
      <c r="T1588" s="40"/>
      <c r="U1588" s="40"/>
      <c r="V1588" s="40"/>
      <c r="W1588" s="40"/>
      <c r="X1588" s="40"/>
      <c r="Y1588" s="40"/>
      <c r="Z1588" s="40"/>
      <c r="AA1588" s="40"/>
      <c r="AB1588" s="40"/>
    </row>
    <row r="1589" ht="18.75" customHeight="1">
      <c r="A1589" s="18" t="s">
        <v>4122</v>
      </c>
      <c r="B1589" s="22" t="str">
        <f>IFERROR(VLOOKUP(F1589, 'api-register-id'!B:F, 4, FALSE), "Not found path.")</f>
        <v>mx-api-bc-rec-dir-deb-mand-hub</v>
      </c>
      <c r="C1589" s="405" t="s">
        <v>112</v>
      </c>
      <c r="D1589" s="405" t="s">
        <v>1417</v>
      </c>
      <c r="E1589" s="24" t="str">
        <f>IFERROR(VLOOKUP(F1589, 'api-register-id'!B:F, 5, FALSE), "Not found path.")</f>
        <v>APIMX000238</v>
      </c>
      <c r="F1589" s="297" t="s">
        <v>4124</v>
      </c>
      <c r="G1589" s="413" t="s">
        <v>7923</v>
      </c>
      <c r="H1589" s="199" t="s">
        <v>7924</v>
      </c>
      <c r="I1589" s="29" t="s">
        <v>162</v>
      </c>
      <c r="J1589" s="193" t="s">
        <v>6197</v>
      </c>
      <c r="K1589" s="31" t="s">
        <v>48</v>
      </c>
      <c r="L1589" s="234" t="s">
        <v>49</v>
      </c>
      <c r="M1589" s="3" t="s">
        <v>7925</v>
      </c>
      <c r="N1589" s="3" t="s">
        <v>7926</v>
      </c>
      <c r="O1589" s="405" t="s">
        <v>7863</v>
      </c>
      <c r="P1589" s="40"/>
      <c r="Q1589" s="212"/>
      <c r="R1589" s="31" t="s">
        <v>56</v>
      </c>
      <c r="S1589" s="218" t="str">
        <f t="shared" si="61"/>
        <v>https://github.com/SF-Bancoppel/mx-api-bc-rec-dir-deb-mand-hub</v>
      </c>
      <c r="T1589" s="40"/>
      <c r="U1589" s="40"/>
      <c r="V1589" s="40"/>
      <c r="W1589" s="40"/>
      <c r="X1589" s="40"/>
      <c r="Y1589" s="40"/>
      <c r="Z1589" s="40"/>
      <c r="AA1589" s="40"/>
      <c r="AB1589" s="40"/>
    </row>
    <row r="1590" ht="18.75" customHeight="1">
      <c r="A1590" s="18" t="s">
        <v>4122</v>
      </c>
      <c r="B1590" s="22" t="str">
        <f>IFERROR(VLOOKUP(F1590, 'api-register-id'!B:F, 4, FALSE), "Not found path.")</f>
        <v>mx-api-bc-pro-payment-execution-hub</v>
      </c>
      <c r="C1590" s="405" t="s">
        <v>41</v>
      </c>
      <c r="D1590" s="405" t="s">
        <v>811</v>
      </c>
      <c r="E1590" s="24" t="str">
        <f>IFERROR(VLOOKUP(F1590, 'api-register-id'!B:F, 5, FALSE), "Not found path.")</f>
        <v>APIMX000242</v>
      </c>
      <c r="F1590" s="297" t="s">
        <v>4214</v>
      </c>
      <c r="G1590" s="26" t="s">
        <v>7927</v>
      </c>
      <c r="H1590" s="199" t="s">
        <v>7928</v>
      </c>
      <c r="I1590" s="29" t="s">
        <v>162</v>
      </c>
      <c r="J1590" s="193" t="s">
        <v>3463</v>
      </c>
      <c r="K1590" s="31" t="s">
        <v>48</v>
      </c>
      <c r="L1590" s="234" t="s">
        <v>49</v>
      </c>
      <c r="M1590" s="3" t="s">
        <v>7929</v>
      </c>
      <c r="N1590" s="3" t="s">
        <v>7930</v>
      </c>
      <c r="O1590" s="405" t="s">
        <v>7863</v>
      </c>
      <c r="P1590" s="40"/>
      <c r="Q1590" s="212"/>
      <c r="R1590" s="31" t="s">
        <v>56</v>
      </c>
      <c r="S1590" s="218" t="str">
        <f t="shared" si="61"/>
        <v>https://github.com/SF-Bancoppel/mx-api-bc-pro-payment-execution-hub</v>
      </c>
      <c r="T1590" s="40"/>
      <c r="U1590" s="40"/>
      <c r="V1590" s="40"/>
      <c r="W1590" s="40"/>
      <c r="X1590" s="40"/>
      <c r="Y1590" s="40"/>
      <c r="Z1590" s="40"/>
      <c r="AA1590" s="40"/>
      <c r="AB1590" s="40"/>
    </row>
    <row r="1591" ht="18.75" customHeight="1">
      <c r="A1591" s="18" t="s">
        <v>4122</v>
      </c>
      <c r="B1591" s="22" t="str">
        <f>IFERROR(VLOOKUP(F1591, 'api-register-id'!B:F, 4, FALSE), "Not found path.")</f>
        <v>mx-api-bc-pro-utility-hub</v>
      </c>
      <c r="C1591" s="405" t="s">
        <v>41</v>
      </c>
      <c r="D1591" s="405" t="s">
        <v>811</v>
      </c>
      <c r="E1591" s="24" t="str">
        <f>IFERROR(VLOOKUP(F1591, 'api-register-id'!B:F, 5, FALSE), "Not found path.")</f>
        <v>APIMX000246</v>
      </c>
      <c r="F1591" s="297" t="s">
        <v>4244</v>
      </c>
      <c r="G1591" s="26" t="s">
        <v>7931</v>
      </c>
      <c r="H1591" s="199" t="s">
        <v>7932</v>
      </c>
      <c r="I1591" s="29" t="s">
        <v>162</v>
      </c>
      <c r="J1591" s="193" t="s">
        <v>7226</v>
      </c>
      <c r="K1591" s="31" t="s">
        <v>48</v>
      </c>
      <c r="L1591" s="234" t="s">
        <v>49</v>
      </c>
      <c r="M1591" s="3" t="s">
        <v>7933</v>
      </c>
      <c r="N1591" s="3" t="s">
        <v>7934</v>
      </c>
      <c r="O1591" s="405" t="s">
        <v>7863</v>
      </c>
      <c r="P1591" s="40"/>
      <c r="Q1591" s="212"/>
      <c r="R1591" s="31" t="s">
        <v>56</v>
      </c>
      <c r="S1591" s="218" t="str">
        <f t="shared" si="61"/>
        <v>https://github.com/SF-Bancoppel/mx-api-bc-pro-utility-hub</v>
      </c>
      <c r="T1591" s="40"/>
      <c r="U1591" s="40"/>
      <c r="V1591" s="40"/>
      <c r="W1591" s="40"/>
      <c r="X1591" s="40"/>
      <c r="Y1591" s="40"/>
      <c r="Z1591" s="40"/>
      <c r="AA1591" s="40"/>
      <c r="AB1591" s="40"/>
    </row>
    <row r="1592" ht="18.75" customHeight="1">
      <c r="A1592" s="18" t="s">
        <v>4122</v>
      </c>
      <c r="B1592" s="22" t="str">
        <f>IFERROR(VLOOKUP(F1592, 'api-register-id'!B:F, 4, FALSE), "Not found path.")</f>
        <v>mx-api-bc-pro-dir-deb-mand-hub</v>
      </c>
      <c r="C1592" s="405" t="s">
        <v>41</v>
      </c>
      <c r="D1592" s="405" t="s">
        <v>811</v>
      </c>
      <c r="E1592" s="24" t="str">
        <f>IFERROR(VLOOKUP(F1592, 'api-register-id'!B:F, 5, FALSE), "Not found path.")</f>
        <v>APIMX000240</v>
      </c>
      <c r="F1592" s="297" t="s">
        <v>4168</v>
      </c>
      <c r="G1592" s="413" t="s">
        <v>7935</v>
      </c>
      <c r="H1592" s="199" t="s">
        <v>7936</v>
      </c>
      <c r="I1592" s="29" t="s">
        <v>162</v>
      </c>
      <c r="J1592" s="193" t="s">
        <v>7887</v>
      </c>
      <c r="K1592" s="31" t="s">
        <v>48</v>
      </c>
      <c r="L1592" s="234" t="s">
        <v>49</v>
      </c>
      <c r="M1592" s="3" t="s">
        <v>7937</v>
      </c>
      <c r="N1592" s="3" t="s">
        <v>7938</v>
      </c>
      <c r="O1592" s="405" t="s">
        <v>7863</v>
      </c>
      <c r="P1592" s="40"/>
      <c r="Q1592" s="212"/>
      <c r="R1592" s="31" t="s">
        <v>56</v>
      </c>
      <c r="S1592" s="218" t="str">
        <f t="shared" si="61"/>
        <v>https://github.com/SF-Bancoppel/mx-api-bc-pro-dir-deb-mand-hub</v>
      </c>
      <c r="T1592" s="40"/>
      <c r="U1592" s="40"/>
      <c r="V1592" s="40"/>
      <c r="W1592" s="40"/>
      <c r="X1592" s="40"/>
      <c r="Y1592" s="40"/>
      <c r="Z1592" s="40"/>
      <c r="AA1592" s="40"/>
      <c r="AB1592" s="40"/>
    </row>
    <row r="1593" ht="18.75" customHeight="1">
      <c r="A1593" s="18" t="s">
        <v>4122</v>
      </c>
      <c r="B1593" s="22" t="str">
        <f>IFERROR(VLOOKUP(F1593, 'api-register-id'!B:F, 4, FALSE), "Not found path.")</f>
        <v>mx-api-bc-pro-dir-deb-mand-hub</v>
      </c>
      <c r="C1593" s="405" t="s">
        <v>41</v>
      </c>
      <c r="D1593" s="405" t="s">
        <v>811</v>
      </c>
      <c r="E1593" s="24" t="str">
        <f>IFERROR(VLOOKUP(F1593, 'api-register-id'!B:F, 5, FALSE), "Not found path.")</f>
        <v>APIMX000240</v>
      </c>
      <c r="F1593" s="297" t="s">
        <v>4168</v>
      </c>
      <c r="G1593" s="413" t="s">
        <v>7939</v>
      </c>
      <c r="H1593" s="199" t="s">
        <v>7940</v>
      </c>
      <c r="I1593" s="29" t="s">
        <v>162</v>
      </c>
      <c r="J1593" s="193" t="s">
        <v>7887</v>
      </c>
      <c r="K1593" s="31" t="s">
        <v>48</v>
      </c>
      <c r="L1593" s="234" t="s">
        <v>49</v>
      </c>
      <c r="M1593" s="3" t="s">
        <v>7941</v>
      </c>
      <c r="N1593" s="3" t="s">
        <v>7942</v>
      </c>
      <c r="O1593" s="405" t="s">
        <v>7863</v>
      </c>
      <c r="P1593" s="40"/>
      <c r="Q1593" s="212"/>
      <c r="R1593" s="31" t="s">
        <v>56</v>
      </c>
      <c r="S1593" s="218" t="str">
        <f t="shared" si="61"/>
        <v>https://github.com/SF-Bancoppel/mx-api-bc-pro-dir-deb-mand-hub</v>
      </c>
      <c r="T1593" s="40"/>
      <c r="U1593" s="40"/>
      <c r="V1593" s="40"/>
      <c r="W1593" s="40"/>
      <c r="X1593" s="40"/>
      <c r="Y1593" s="40"/>
      <c r="Z1593" s="40"/>
      <c r="AA1593" s="40"/>
      <c r="AB1593" s="40"/>
    </row>
    <row r="1594" ht="18.75" customHeight="1">
      <c r="A1594" s="18" t="s">
        <v>4122</v>
      </c>
      <c r="B1594" s="22" t="str">
        <f>IFERROR(VLOOKUP(F1594, 'api-register-id'!B:F, 4, FALSE), "Not found path.")</f>
        <v>mx-api-bc-pro-customer-agreement-hub</v>
      </c>
      <c r="C1594" s="405" t="s">
        <v>41</v>
      </c>
      <c r="D1594" s="405" t="s">
        <v>811</v>
      </c>
      <c r="E1594" s="24" t="str">
        <f>IFERROR(VLOOKUP(F1594, 'api-register-id'!B:F, 5, FALSE), "Not found path.")</f>
        <v>APIMX000247</v>
      </c>
      <c r="F1594" s="297" t="s">
        <v>4254</v>
      </c>
      <c r="G1594" s="413" t="s">
        <v>7943</v>
      </c>
      <c r="H1594" s="199" t="s">
        <v>7944</v>
      </c>
      <c r="I1594" s="29" t="s">
        <v>162</v>
      </c>
      <c r="J1594" s="193" t="s">
        <v>2769</v>
      </c>
      <c r="K1594" s="31" t="s">
        <v>48</v>
      </c>
      <c r="L1594" s="234" t="s">
        <v>49</v>
      </c>
      <c r="M1594" s="3" t="s">
        <v>7945</v>
      </c>
      <c r="N1594" s="3" t="s">
        <v>7946</v>
      </c>
      <c r="O1594" s="405" t="s">
        <v>7863</v>
      </c>
      <c r="P1594" s="40"/>
      <c r="Q1594" s="212"/>
      <c r="R1594" s="31" t="s">
        <v>56</v>
      </c>
      <c r="S1594" s="218" t="str">
        <f t="shared" si="61"/>
        <v>https://github.com/SF-Bancoppel/mx-api-bc-pro-customer-agreement-hub</v>
      </c>
      <c r="T1594" s="40"/>
      <c r="U1594" s="40"/>
      <c r="V1594" s="40"/>
      <c r="W1594" s="40"/>
      <c r="X1594" s="40"/>
      <c r="Y1594" s="40"/>
      <c r="Z1594" s="40"/>
      <c r="AA1594" s="40"/>
      <c r="AB1594" s="40"/>
    </row>
    <row r="1595" ht="18.75" customHeight="1">
      <c r="A1595" s="18" t="s">
        <v>4122</v>
      </c>
      <c r="B1595" s="22" t="str">
        <f>IFERROR(VLOOKUP(F1595, 'api-register-id'!B:F, 4, FALSE), "Not found path.")</f>
        <v>mx-api-bc-pro-dir-deb-mand-hub</v>
      </c>
      <c r="C1595" s="405" t="s">
        <v>41</v>
      </c>
      <c r="D1595" s="405" t="s">
        <v>811</v>
      </c>
      <c r="E1595" s="24" t="str">
        <f>IFERROR(VLOOKUP(F1595, 'api-register-id'!B:F, 5, FALSE), "Not found path.")</f>
        <v>APIMX000240</v>
      </c>
      <c r="F1595" s="297" t="s">
        <v>4168</v>
      </c>
      <c r="G1595" s="413" t="s">
        <v>7947</v>
      </c>
      <c r="H1595" s="199" t="s">
        <v>7948</v>
      </c>
      <c r="I1595" s="29" t="s">
        <v>162</v>
      </c>
      <c r="J1595" s="193" t="s">
        <v>7887</v>
      </c>
      <c r="K1595" s="31" t="s">
        <v>48</v>
      </c>
      <c r="L1595" s="234" t="s">
        <v>108</v>
      </c>
      <c r="M1595" s="3" t="s">
        <v>7949</v>
      </c>
      <c r="N1595" s="3" t="s">
        <v>7950</v>
      </c>
      <c r="O1595" s="405" t="s">
        <v>7863</v>
      </c>
      <c r="P1595" s="40"/>
      <c r="Q1595" s="212"/>
      <c r="R1595" s="31" t="s">
        <v>56</v>
      </c>
      <c r="S1595" s="218" t="str">
        <f t="shared" si="61"/>
        <v>https://github.com/SF-Bancoppel/mx-api-bc-pro-dir-deb-mand-hub</v>
      </c>
      <c r="T1595" s="40"/>
      <c r="U1595" s="40"/>
      <c r="V1595" s="40"/>
      <c r="W1595" s="40"/>
      <c r="X1595" s="40"/>
      <c r="Y1595" s="40"/>
      <c r="Z1595" s="40"/>
      <c r="AA1595" s="40"/>
      <c r="AB1595" s="40"/>
    </row>
    <row r="1596" ht="18.75" customHeight="1">
      <c r="A1596" s="18" t="s">
        <v>4122</v>
      </c>
      <c r="B1596" s="22" t="str">
        <f>IFERROR(VLOOKUP(F1596, 'api-register-id'!B:F, 4, FALSE), "Not found path.")</f>
        <v>mx-api-bc-pro-cash-mgmt-acct-services-hub</v>
      </c>
      <c r="C1596" s="405" t="s">
        <v>41</v>
      </c>
      <c r="D1596" s="405" t="s">
        <v>811</v>
      </c>
      <c r="E1596" s="24" t="str">
        <f>IFERROR(VLOOKUP(F1596, 'api-register-id'!B:F, 5, FALSE), "Not found path.")</f>
        <v>APIMX000248</v>
      </c>
      <c r="F1596" s="297" t="s">
        <v>4267</v>
      </c>
      <c r="G1596" s="26" t="s">
        <v>7951</v>
      </c>
      <c r="H1596" s="199" t="s">
        <v>7952</v>
      </c>
      <c r="I1596" s="29" t="s">
        <v>162</v>
      </c>
      <c r="J1596" s="193" t="s">
        <v>7953</v>
      </c>
      <c r="K1596" s="31" t="s">
        <v>48</v>
      </c>
      <c r="L1596" s="234" t="s">
        <v>49</v>
      </c>
      <c r="M1596" s="3" t="s">
        <v>7954</v>
      </c>
      <c r="N1596" s="3" t="s">
        <v>7955</v>
      </c>
      <c r="O1596" s="405" t="s">
        <v>7863</v>
      </c>
      <c r="P1596" s="40"/>
      <c r="Q1596" s="212"/>
      <c r="R1596" s="31" t="s">
        <v>56</v>
      </c>
      <c r="S1596" s="218" t="str">
        <f t="shared" si="61"/>
        <v>https://github.com/SF-Bancoppel/mx-api-bc-pro-cash-mgmt-acct-services-hub</v>
      </c>
      <c r="T1596" s="40"/>
      <c r="U1596" s="40"/>
      <c r="V1596" s="40"/>
      <c r="W1596" s="40"/>
      <c r="X1596" s="40"/>
      <c r="Y1596" s="40"/>
      <c r="Z1596" s="40"/>
      <c r="AA1596" s="40"/>
      <c r="AB1596" s="40"/>
    </row>
    <row r="1597" ht="18.75" customHeight="1">
      <c r="A1597" s="415" t="s">
        <v>4122</v>
      </c>
      <c r="B1597" s="416" t="str">
        <f>IFERROR(VLOOKUP(F1597, 'api-register-id'!B:F, 4, FALSE), "Not found path.")</f>
        <v/>
      </c>
      <c r="C1597" s="417" t="s">
        <v>41</v>
      </c>
      <c r="D1597" s="417" t="s">
        <v>42</v>
      </c>
      <c r="E1597" s="418" t="str">
        <f>IFERROR(VLOOKUP(F1597, 'api-register-id'!B:F, 5, FALSE), "Not found path.")</f>
        <v>APIMX000249</v>
      </c>
      <c r="F1597" s="419" t="s">
        <v>4282</v>
      </c>
      <c r="G1597" s="420" t="s">
        <v>7956</v>
      </c>
      <c r="H1597" s="421" t="s">
        <v>7778</v>
      </c>
      <c r="I1597" s="422" t="s">
        <v>162</v>
      </c>
      <c r="J1597" s="423" t="s">
        <v>2924</v>
      </c>
      <c r="K1597" s="418" t="s">
        <v>48</v>
      </c>
      <c r="L1597" s="424" t="s">
        <v>49</v>
      </c>
      <c r="M1597" s="425" t="s">
        <v>7780</v>
      </c>
      <c r="N1597" s="426" t="str">
        <f>CONCATENATE(L1597," ",J1597,M1597)</f>
        <v>POST /system/tradeBanking/directDebit/v1/hub/businessUnits/charges/retrieve</v>
      </c>
      <c r="O1597" s="417" t="s">
        <v>7863</v>
      </c>
      <c r="P1597" s="427"/>
      <c r="Q1597" s="428"/>
      <c r="R1597" s="418" t="s">
        <v>56</v>
      </c>
      <c r="S1597" s="429" t="str">
        <f t="shared" si="61"/>
        <v>https://github.com/SF-Bancoppel/</v>
      </c>
      <c r="T1597" s="427"/>
      <c r="U1597" s="427"/>
      <c r="V1597" s="427"/>
      <c r="W1597" s="427"/>
      <c r="X1597" s="427"/>
      <c r="Y1597" s="427"/>
      <c r="Z1597" s="427"/>
      <c r="AA1597" s="427"/>
      <c r="AB1597" s="427"/>
    </row>
    <row r="1598" ht="18.75" customHeight="1">
      <c r="A1598" s="18" t="s">
        <v>4122</v>
      </c>
      <c r="B1598" s="22" t="str">
        <f>IFERROR(VLOOKUP(F1598, 'api-register-id'!B:F, 4, FALSE), "Not found path.")</f>
        <v>mx-api-bc-bus-dir-deb-mand-hub</v>
      </c>
      <c r="C1598" s="405" t="s">
        <v>41</v>
      </c>
      <c r="D1598" s="405" t="s">
        <v>42</v>
      </c>
      <c r="E1598" s="24" t="str">
        <f>IFERROR(VLOOKUP(F1598, 'api-register-id'!B:F, 5, FALSE), "Not found path.")</f>
        <v>APIMX000250</v>
      </c>
      <c r="F1598" s="297" t="s">
        <v>4297</v>
      </c>
      <c r="G1598" s="413" t="s">
        <v>7957</v>
      </c>
      <c r="H1598" s="199" t="s">
        <v>7958</v>
      </c>
      <c r="I1598" s="29" t="s">
        <v>162</v>
      </c>
      <c r="J1598" s="193" t="s">
        <v>6103</v>
      </c>
      <c r="K1598" s="31" t="s">
        <v>48</v>
      </c>
      <c r="L1598" s="234" t="s">
        <v>49</v>
      </c>
      <c r="M1598" s="3" t="s">
        <v>7959</v>
      </c>
      <c r="N1598" s="3" t="s">
        <v>7960</v>
      </c>
      <c r="O1598" s="405" t="s">
        <v>7863</v>
      </c>
      <c r="P1598" s="40"/>
      <c r="Q1598" s="212"/>
      <c r="R1598" s="31" t="s">
        <v>56</v>
      </c>
      <c r="S1598" s="218" t="str">
        <f t="shared" si="61"/>
        <v>https://github.com/SF-Bancoppel/mx-api-bc-bus-dir-deb-mand-hub</v>
      </c>
      <c r="T1598" s="40"/>
      <c r="U1598" s="40"/>
      <c r="V1598" s="40"/>
      <c r="W1598" s="40"/>
      <c r="X1598" s="40"/>
      <c r="Y1598" s="40"/>
      <c r="Z1598" s="40"/>
      <c r="AA1598" s="40"/>
      <c r="AB1598" s="40"/>
    </row>
    <row r="1599" ht="18.75" customHeight="1">
      <c r="A1599" s="18" t="s">
        <v>4122</v>
      </c>
      <c r="B1599" s="22" t="str">
        <f>IFERROR(VLOOKUP(F1599, 'api-register-id'!B:F, 4, FALSE), "Not found path.")</f>
        <v>mx-api-bc-bus-dir-deb-mand-hub</v>
      </c>
      <c r="C1599" s="405" t="s">
        <v>41</v>
      </c>
      <c r="D1599" s="405" t="s">
        <v>42</v>
      </c>
      <c r="E1599" s="24" t="str">
        <f>IFERROR(VLOOKUP(F1599, 'api-register-id'!B:F, 5, FALSE), "Not found path.")</f>
        <v>APIMX000250</v>
      </c>
      <c r="F1599" s="297" t="s">
        <v>4297</v>
      </c>
      <c r="G1599" s="413" t="s">
        <v>7961</v>
      </c>
      <c r="H1599" s="199" t="s">
        <v>7962</v>
      </c>
      <c r="I1599" s="29" t="s">
        <v>162</v>
      </c>
      <c r="J1599" s="193" t="s">
        <v>7887</v>
      </c>
      <c r="K1599" s="31" t="s">
        <v>48</v>
      </c>
      <c r="L1599" s="234" t="s">
        <v>49</v>
      </c>
      <c r="M1599" s="3" t="s">
        <v>7963</v>
      </c>
      <c r="N1599" s="3" t="s">
        <v>7964</v>
      </c>
      <c r="O1599" s="405" t="s">
        <v>7863</v>
      </c>
      <c r="P1599" s="40"/>
      <c r="Q1599" s="212"/>
      <c r="R1599" s="31" t="s">
        <v>56</v>
      </c>
      <c r="S1599" s="218" t="str">
        <f t="shared" si="61"/>
        <v>https://github.com/SF-Bancoppel/mx-api-bc-bus-dir-deb-mand-hub</v>
      </c>
      <c r="T1599" s="40"/>
      <c r="U1599" s="40"/>
      <c r="V1599" s="40"/>
      <c r="W1599" s="40"/>
      <c r="X1599" s="40"/>
      <c r="Y1599" s="40"/>
      <c r="Z1599" s="40"/>
      <c r="AA1599" s="40"/>
      <c r="AB1599" s="40"/>
    </row>
    <row r="1600" ht="18.75" customHeight="1">
      <c r="A1600" s="18" t="s">
        <v>4122</v>
      </c>
      <c r="B1600" s="22" t="str">
        <f>IFERROR(VLOOKUP(F1600, 'api-register-id'!B:F, 4, FALSE), "Not found path.")</f>
        <v>mx-api-bc-bus-dir-deb-mand-hub</v>
      </c>
      <c r="C1600" s="405" t="s">
        <v>41</v>
      </c>
      <c r="D1600" s="405" t="s">
        <v>42</v>
      </c>
      <c r="E1600" s="24" t="str">
        <f>IFERROR(VLOOKUP(F1600, 'api-register-id'!B:F, 5, FALSE), "Not found path.")</f>
        <v>APIMX000250</v>
      </c>
      <c r="F1600" s="297" t="s">
        <v>4297</v>
      </c>
      <c r="G1600" s="413" t="s">
        <v>7965</v>
      </c>
      <c r="H1600" s="199" t="s">
        <v>7966</v>
      </c>
      <c r="I1600" s="29" t="s">
        <v>162</v>
      </c>
      <c r="J1600" s="193" t="s">
        <v>6103</v>
      </c>
      <c r="K1600" s="31" t="s">
        <v>48</v>
      </c>
      <c r="L1600" s="234" t="s">
        <v>49</v>
      </c>
      <c r="M1600" s="3" t="s">
        <v>7967</v>
      </c>
      <c r="N1600" s="3" t="s">
        <v>7968</v>
      </c>
      <c r="O1600" s="405" t="s">
        <v>7863</v>
      </c>
      <c r="P1600" s="40"/>
      <c r="Q1600" s="212"/>
      <c r="R1600" s="31" t="s">
        <v>56</v>
      </c>
      <c r="S1600" s="218" t="str">
        <f t="shared" si="61"/>
        <v>https://github.com/SF-Bancoppel/mx-api-bc-bus-dir-deb-mand-hub</v>
      </c>
      <c r="T1600" s="40"/>
      <c r="U1600" s="40"/>
      <c r="V1600" s="40"/>
      <c r="W1600" s="40"/>
      <c r="X1600" s="40"/>
      <c r="Y1600" s="40"/>
      <c r="Z1600" s="40"/>
      <c r="AA1600" s="40"/>
      <c r="AB1600" s="40"/>
    </row>
    <row r="1601" ht="18.75" customHeight="1">
      <c r="A1601" s="18" t="s">
        <v>4122</v>
      </c>
      <c r="B1601" s="22" t="str">
        <f>IFERROR(VLOOKUP(F1601, 'api-register-id'!B:F, 4, FALSE), "Not found path.")</f>
        <v>mx-api-bc-bus-dir-deb-mand-hub</v>
      </c>
      <c r="C1601" s="405" t="s">
        <v>41</v>
      </c>
      <c r="D1601" s="405" t="s">
        <v>42</v>
      </c>
      <c r="E1601" s="24" t="str">
        <f>IFERROR(VLOOKUP(F1601, 'api-register-id'!B:F, 5, FALSE), "Not found path.")</f>
        <v>APIMX000250</v>
      </c>
      <c r="F1601" s="297" t="s">
        <v>4297</v>
      </c>
      <c r="G1601" s="413" t="s">
        <v>7969</v>
      </c>
      <c r="H1601" s="199" t="s">
        <v>7970</v>
      </c>
      <c r="I1601" s="29" t="s">
        <v>162</v>
      </c>
      <c r="J1601" s="193" t="s">
        <v>6103</v>
      </c>
      <c r="K1601" s="31" t="s">
        <v>48</v>
      </c>
      <c r="L1601" s="234" t="s">
        <v>49</v>
      </c>
      <c r="M1601" s="3" t="s">
        <v>7971</v>
      </c>
      <c r="N1601" s="3" t="s">
        <v>7972</v>
      </c>
      <c r="O1601" s="405" t="s">
        <v>7863</v>
      </c>
      <c r="P1601" s="40"/>
      <c r="Q1601" s="212"/>
      <c r="R1601" s="31" t="s">
        <v>56</v>
      </c>
      <c r="S1601" s="218" t="str">
        <f t="shared" si="61"/>
        <v>https://github.com/SF-Bancoppel/mx-api-bc-bus-dir-deb-mand-hub</v>
      </c>
      <c r="T1601" s="40"/>
      <c r="U1601" s="40"/>
      <c r="V1601" s="40"/>
      <c r="W1601" s="40"/>
      <c r="X1601" s="40"/>
      <c r="Y1601" s="40"/>
      <c r="Z1601" s="40"/>
      <c r="AA1601" s="40"/>
      <c r="AB1601" s="40"/>
    </row>
    <row r="1602" ht="18.75" customHeight="1">
      <c r="A1602" s="18" t="s">
        <v>4122</v>
      </c>
      <c r="B1602" s="22" t="str">
        <f>IFERROR(VLOOKUP(F1602, 'api-register-id'!B:F, 4, FALSE), "Not found path.")</f>
        <v>mx-api-bc-bus-dir-deb-mand-hub</v>
      </c>
      <c r="C1602" s="405" t="s">
        <v>41</v>
      </c>
      <c r="D1602" s="405" t="s">
        <v>42</v>
      </c>
      <c r="E1602" s="24" t="str">
        <f>IFERROR(VLOOKUP(F1602, 'api-register-id'!B:F, 5, FALSE), "Not found path.")</f>
        <v>APIMX000250</v>
      </c>
      <c r="F1602" s="297" t="s">
        <v>4297</v>
      </c>
      <c r="G1602" s="26" t="s">
        <v>7973</v>
      </c>
      <c r="H1602" s="199" t="s">
        <v>7974</v>
      </c>
      <c r="I1602" s="29" t="s">
        <v>162</v>
      </c>
      <c r="J1602" s="193" t="s">
        <v>6103</v>
      </c>
      <c r="K1602" s="31" t="s">
        <v>48</v>
      </c>
      <c r="L1602" s="234" t="s">
        <v>49</v>
      </c>
      <c r="M1602" s="3" t="s">
        <v>7975</v>
      </c>
      <c r="N1602" s="3" t="s">
        <v>7976</v>
      </c>
      <c r="O1602" s="405" t="s">
        <v>7863</v>
      </c>
      <c r="P1602" s="40"/>
      <c r="Q1602" s="212"/>
      <c r="R1602" s="31" t="s">
        <v>56</v>
      </c>
      <c r="S1602" s="218" t="str">
        <f t="shared" si="61"/>
        <v>https://github.com/SF-Bancoppel/mx-api-bc-bus-dir-deb-mand-hub</v>
      </c>
      <c r="T1602" s="40"/>
      <c r="U1602" s="40"/>
      <c r="V1602" s="40"/>
      <c r="W1602" s="40"/>
      <c r="X1602" s="40"/>
      <c r="Y1602" s="40"/>
      <c r="Z1602" s="40"/>
      <c r="AA1602" s="40"/>
      <c r="AB1602" s="40"/>
    </row>
    <row r="1603" ht="18.75" customHeight="1">
      <c r="A1603" s="18" t="s">
        <v>4122</v>
      </c>
      <c r="B1603" s="22" t="str">
        <f>IFERROR(VLOOKUP(F1603, 'api-register-id'!B:F, 4, FALSE), "Not found path.")</f>
        <v>mx-api-bc-pro-acct-rcvb-hub</v>
      </c>
      <c r="C1603" s="405" t="s">
        <v>41</v>
      </c>
      <c r="D1603" s="405" t="s">
        <v>811</v>
      </c>
      <c r="E1603" s="24" t="str">
        <f>IFERROR(VLOOKUP(F1603, 'api-register-id'!B:F, 5, FALSE), "Not found path.")</f>
        <v>APIMX000251</v>
      </c>
      <c r="F1603" s="297" t="s">
        <v>4316</v>
      </c>
      <c r="G1603" s="413" t="s">
        <v>7977</v>
      </c>
      <c r="H1603" s="199" t="s">
        <v>7978</v>
      </c>
      <c r="I1603" s="29" t="s">
        <v>162</v>
      </c>
      <c r="J1603" s="193" t="s">
        <v>7979</v>
      </c>
      <c r="K1603" s="31" t="s">
        <v>48</v>
      </c>
      <c r="L1603" s="234" t="s">
        <v>49</v>
      </c>
      <c r="M1603" s="3" t="s">
        <v>7980</v>
      </c>
      <c r="N1603" s="3" t="s">
        <v>7981</v>
      </c>
      <c r="O1603" s="405" t="s">
        <v>7863</v>
      </c>
      <c r="P1603" s="40"/>
      <c r="Q1603" s="212"/>
      <c r="R1603" s="31" t="s">
        <v>56</v>
      </c>
      <c r="S1603" s="218" t="str">
        <f t="shared" si="61"/>
        <v>https://github.com/SF-Bancoppel/mx-api-bc-pro-acct-rcvb-hub</v>
      </c>
      <c r="T1603" s="40"/>
      <c r="U1603" s="40"/>
      <c r="V1603" s="40"/>
      <c r="W1603" s="40"/>
      <c r="X1603" s="40"/>
      <c r="Y1603" s="40"/>
      <c r="Z1603" s="40"/>
      <c r="AA1603" s="40"/>
      <c r="AB1603" s="40"/>
    </row>
    <row r="1604" ht="18.75" customHeight="1">
      <c r="A1604" s="18" t="s">
        <v>4122</v>
      </c>
      <c r="B1604" s="22" t="str">
        <f>IFERROR(VLOOKUP(F1604, 'api-register-id'!B:F, 4, FALSE), "Not found path.")</f>
        <v>mx-api-bc-pro-chan-mgmt-hub</v>
      </c>
      <c r="C1604" s="405" t="s">
        <v>41</v>
      </c>
      <c r="D1604" s="405" t="s">
        <v>811</v>
      </c>
      <c r="E1604" s="24" t="str">
        <f>IFERROR(VLOOKUP(F1604, 'api-register-id'!B:F, 5, FALSE), "Not found path.")</f>
        <v>APIMX000252</v>
      </c>
      <c r="F1604" s="199" t="s">
        <v>4332</v>
      </c>
      <c r="G1604" s="413" t="s">
        <v>7982</v>
      </c>
      <c r="H1604" s="2" t="s">
        <v>7983</v>
      </c>
      <c r="I1604" s="29" t="s">
        <v>162</v>
      </c>
      <c r="J1604" s="193" t="s">
        <v>7984</v>
      </c>
      <c r="K1604" s="31" t="s">
        <v>48</v>
      </c>
      <c r="L1604" s="405" t="s">
        <v>108</v>
      </c>
      <c r="M1604" s="3" t="s">
        <v>7985</v>
      </c>
      <c r="N1604" s="3" t="s">
        <v>7986</v>
      </c>
      <c r="O1604" s="405" t="s">
        <v>7863</v>
      </c>
      <c r="P1604" s="40"/>
      <c r="Q1604" s="212"/>
      <c r="R1604" s="31" t="s">
        <v>56</v>
      </c>
      <c r="S1604" s="218" t="str">
        <f t="shared" si="61"/>
        <v>https://github.com/SF-Bancoppel/mx-api-bc-pro-chan-mgmt-hub</v>
      </c>
      <c r="T1604" s="40"/>
      <c r="U1604" s="40"/>
      <c r="V1604" s="40"/>
      <c r="W1604" s="40"/>
      <c r="X1604" s="40"/>
      <c r="Y1604" s="40"/>
      <c r="Z1604" s="40"/>
      <c r="AA1604" s="40"/>
      <c r="AB1604" s="40"/>
    </row>
    <row r="1605" ht="18.75" customHeight="1">
      <c r="A1605" s="18" t="s">
        <v>4122</v>
      </c>
      <c r="B1605" s="22" t="str">
        <f>IFERROR(VLOOKUP(F1605, 'api-register-id'!B:F, 4, FALSE), "Not found path.")</f>
        <v>mx-api-bc-pro-dir-deb-hub</v>
      </c>
      <c r="C1605" s="405" t="s">
        <v>41</v>
      </c>
      <c r="D1605" s="405" t="s">
        <v>811</v>
      </c>
      <c r="E1605" s="24" t="str">
        <f>IFERROR(VLOOKUP(F1605, 'api-register-id'!B:F, 5, FALSE), "Not found path.")</f>
        <v>APIMX000253</v>
      </c>
      <c r="F1605" s="297" t="s">
        <v>4350</v>
      </c>
      <c r="G1605" s="26" t="s">
        <v>7987</v>
      </c>
      <c r="H1605" s="199" t="s">
        <v>7988</v>
      </c>
      <c r="I1605" s="29" t="s">
        <v>162</v>
      </c>
      <c r="J1605" s="193" t="s">
        <v>2924</v>
      </c>
      <c r="K1605" s="31" t="s">
        <v>48</v>
      </c>
      <c r="L1605" s="405" t="s">
        <v>49</v>
      </c>
      <c r="M1605" s="3" t="s">
        <v>7989</v>
      </c>
      <c r="N1605" s="3" t="s">
        <v>7990</v>
      </c>
      <c r="O1605" s="405" t="s">
        <v>7863</v>
      </c>
      <c r="P1605" s="40"/>
      <c r="Q1605" s="212"/>
      <c r="R1605" s="31" t="s">
        <v>56</v>
      </c>
      <c r="S1605" s="218" t="str">
        <f t="shared" si="61"/>
        <v>https://github.com/SF-Bancoppel/mx-api-bc-pro-dir-deb-hub</v>
      </c>
      <c r="T1605" s="40"/>
      <c r="U1605" s="40"/>
      <c r="V1605" s="40"/>
      <c r="W1605" s="40"/>
      <c r="X1605" s="40"/>
      <c r="Y1605" s="40"/>
      <c r="Z1605" s="40"/>
      <c r="AA1605" s="40"/>
      <c r="AB1605" s="40"/>
    </row>
    <row r="1606" ht="18.75" customHeight="1">
      <c r="A1606" s="18" t="s">
        <v>4122</v>
      </c>
      <c r="B1606" s="22" t="str">
        <f>IFERROR(VLOOKUP(F1606, 'api-register-id'!B:F, 4, FALSE), "Not found path.")</f>
        <v>mx-api-bc-pro-dir-deb-hub</v>
      </c>
      <c r="C1606" s="405" t="s">
        <v>41</v>
      </c>
      <c r="D1606" s="405" t="s">
        <v>811</v>
      </c>
      <c r="E1606" s="24" t="str">
        <f>IFERROR(VLOOKUP(F1606, 'api-register-id'!B:F, 5, FALSE), "Not found path.")</f>
        <v>APIMX000253</v>
      </c>
      <c r="F1606" s="297" t="s">
        <v>4350</v>
      </c>
      <c r="G1606" s="26" t="s">
        <v>7991</v>
      </c>
      <c r="H1606" s="199" t="s">
        <v>7992</v>
      </c>
      <c r="I1606" s="29" t="s">
        <v>162</v>
      </c>
      <c r="J1606" s="193" t="s">
        <v>2924</v>
      </c>
      <c r="K1606" s="31" t="s">
        <v>48</v>
      </c>
      <c r="L1606" s="405" t="s">
        <v>49</v>
      </c>
      <c r="M1606" s="3" t="s">
        <v>7993</v>
      </c>
      <c r="N1606" s="3" t="s">
        <v>7994</v>
      </c>
      <c r="O1606" s="405" t="s">
        <v>7863</v>
      </c>
      <c r="P1606" s="40"/>
      <c r="Q1606" s="212"/>
      <c r="R1606" s="31" t="s">
        <v>56</v>
      </c>
      <c r="S1606" s="218" t="str">
        <f t="shared" si="61"/>
        <v>https://github.com/SF-Bancoppel/mx-api-bc-pro-dir-deb-hub</v>
      </c>
      <c r="T1606" s="40"/>
      <c r="U1606" s="40"/>
      <c r="V1606" s="40"/>
      <c r="W1606" s="40"/>
      <c r="X1606" s="40"/>
      <c r="Y1606" s="40"/>
      <c r="Z1606" s="40"/>
      <c r="AA1606" s="40"/>
      <c r="AB1606" s="40"/>
    </row>
    <row r="1607" ht="18.75" customHeight="1">
      <c r="A1607" s="18" t="s">
        <v>4122</v>
      </c>
      <c r="B1607" s="22" t="str">
        <f>IFERROR(VLOOKUP(F1607, 'api-register-id'!B:F, 4, FALSE), "Not found path.")</f>
        <v>mx-api-bc-pro-dir-deb-hub</v>
      </c>
      <c r="C1607" s="405" t="s">
        <v>41</v>
      </c>
      <c r="D1607" s="405" t="s">
        <v>811</v>
      </c>
      <c r="E1607" s="24" t="str">
        <f>IFERROR(VLOOKUP(F1607, 'api-register-id'!B:F, 5, FALSE), "Not found path.")</f>
        <v>APIMX000253</v>
      </c>
      <c r="F1607" s="297" t="s">
        <v>4350</v>
      </c>
      <c r="G1607" s="413" t="s">
        <v>7995</v>
      </c>
      <c r="H1607" s="199" t="s">
        <v>7996</v>
      </c>
      <c r="I1607" s="29" t="s">
        <v>162</v>
      </c>
      <c r="J1607" s="193" t="s">
        <v>2924</v>
      </c>
      <c r="K1607" s="31" t="s">
        <v>48</v>
      </c>
      <c r="L1607" s="405" t="s">
        <v>49</v>
      </c>
      <c r="M1607" s="3" t="s">
        <v>7997</v>
      </c>
      <c r="N1607" s="3" t="s">
        <v>7998</v>
      </c>
      <c r="O1607" s="405" t="s">
        <v>7863</v>
      </c>
      <c r="P1607" s="40"/>
      <c r="Q1607" s="212"/>
      <c r="R1607" s="31" t="s">
        <v>56</v>
      </c>
      <c r="S1607" s="218" t="str">
        <f t="shared" si="61"/>
        <v>https://github.com/SF-Bancoppel/mx-api-bc-pro-dir-deb-hub</v>
      </c>
      <c r="T1607" s="40"/>
      <c r="U1607" s="40"/>
      <c r="V1607" s="40"/>
      <c r="W1607" s="40"/>
      <c r="X1607" s="40"/>
      <c r="Y1607" s="40"/>
      <c r="Z1607" s="40"/>
      <c r="AA1607" s="40"/>
      <c r="AB1607" s="40"/>
    </row>
    <row r="1608" ht="18.75" customHeight="1">
      <c r="A1608" s="18" t="s">
        <v>4122</v>
      </c>
      <c r="B1608" s="22" t="str">
        <f>IFERROR(VLOOKUP(F1608, 'api-register-id'!B:F, 4, FALSE), "Not found path.")</f>
        <v>mx-api-bc-pro-dir-deb-mand-hub</v>
      </c>
      <c r="C1608" s="405" t="s">
        <v>41</v>
      </c>
      <c r="D1608" s="405" t="s">
        <v>811</v>
      </c>
      <c r="E1608" s="24" t="str">
        <f>IFERROR(VLOOKUP(F1608, 'api-register-id'!B:F, 5, FALSE), "Not found path.")</f>
        <v>APIMX000240</v>
      </c>
      <c r="F1608" s="297" t="s">
        <v>4168</v>
      </c>
      <c r="G1608" s="413" t="s">
        <v>7999</v>
      </c>
      <c r="H1608" s="199" t="s">
        <v>8000</v>
      </c>
      <c r="I1608" s="29" t="s">
        <v>162</v>
      </c>
      <c r="J1608" s="193" t="s">
        <v>7887</v>
      </c>
      <c r="K1608" s="31" t="s">
        <v>48</v>
      </c>
      <c r="L1608" s="234" t="s">
        <v>49</v>
      </c>
      <c r="M1608" s="192" t="s">
        <v>8001</v>
      </c>
      <c r="N1608" s="217" t="str">
        <f t="shared" ref="N1608:N1612" si="62">CONCATENATE(L1608," ",J1608,M1608)</f>
        <v>POST /system/payments/v1/hub/cancellation/create</v>
      </c>
      <c r="O1608" s="405" t="s">
        <v>7863</v>
      </c>
      <c r="P1608" s="40"/>
      <c r="Q1608" s="212"/>
      <c r="R1608" s="31" t="s">
        <v>56</v>
      </c>
      <c r="S1608" s="218" t="str">
        <f t="shared" si="61"/>
        <v>https://github.com/SF-Bancoppel/mx-api-bc-pro-dir-deb-mand-hub</v>
      </c>
      <c r="T1608" s="40"/>
      <c r="U1608" s="40"/>
      <c r="V1608" s="40"/>
      <c r="W1608" s="40"/>
      <c r="X1608" s="40"/>
      <c r="Y1608" s="40"/>
      <c r="Z1608" s="40"/>
      <c r="AA1608" s="40"/>
      <c r="AB1608" s="40"/>
    </row>
    <row r="1609" ht="18.75" customHeight="1">
      <c r="A1609" s="18" t="s">
        <v>4122</v>
      </c>
      <c r="B1609" s="22" t="str">
        <f>IFERROR(VLOOKUP(F1609, 'api-register-id'!B:F, 4, FALSE), "Not found path.")</f>
        <v>mx-api-bc-pro-dir-deb-mand-hub</v>
      </c>
      <c r="C1609" s="405" t="s">
        <v>41</v>
      </c>
      <c r="D1609" s="405" t="s">
        <v>811</v>
      </c>
      <c r="E1609" s="24" t="str">
        <f>IFERROR(VLOOKUP(F1609, 'api-register-id'!B:F, 5, FALSE), "Not found path.")</f>
        <v>APIMX000240</v>
      </c>
      <c r="F1609" s="297" t="s">
        <v>4168</v>
      </c>
      <c r="G1609" s="413" t="s">
        <v>8002</v>
      </c>
      <c r="H1609" s="199" t="s">
        <v>7988</v>
      </c>
      <c r="I1609" s="29" t="s">
        <v>162</v>
      </c>
      <c r="J1609" s="193" t="s">
        <v>7887</v>
      </c>
      <c r="K1609" s="31" t="s">
        <v>48</v>
      </c>
      <c r="L1609" s="234" t="s">
        <v>49</v>
      </c>
      <c r="M1609" s="192" t="s">
        <v>7989</v>
      </c>
      <c r="N1609" s="217" t="str">
        <f t="shared" si="62"/>
        <v>POST /system/payments/v1/hub/cancelDomiciliation/reverse</v>
      </c>
      <c r="O1609" s="405" t="s">
        <v>7863</v>
      </c>
      <c r="P1609" s="40"/>
      <c r="Q1609" s="212"/>
      <c r="R1609" s="31" t="s">
        <v>56</v>
      </c>
      <c r="S1609" s="218" t="str">
        <f t="shared" si="61"/>
        <v>https://github.com/SF-Bancoppel/mx-api-bc-pro-dir-deb-mand-hub</v>
      </c>
      <c r="T1609" s="40"/>
      <c r="U1609" s="40"/>
      <c r="V1609" s="40"/>
      <c r="W1609" s="40"/>
      <c r="X1609" s="40"/>
      <c r="Y1609" s="40"/>
      <c r="Z1609" s="40"/>
      <c r="AA1609" s="40"/>
      <c r="AB1609" s="40"/>
    </row>
    <row r="1610" ht="18.75" customHeight="1">
      <c r="A1610" s="18" t="s">
        <v>4122</v>
      </c>
      <c r="B1610" s="22" t="str">
        <f>IFERROR(VLOOKUP(F1610, 'api-register-id'!B:F, 4, FALSE), "Not found path.")</f>
        <v>mx-api-bc-pro-dir-deb-mand-hub</v>
      </c>
      <c r="C1610" s="405" t="s">
        <v>41</v>
      </c>
      <c r="D1610" s="405" t="s">
        <v>811</v>
      </c>
      <c r="E1610" s="24" t="str">
        <f>IFERROR(VLOOKUP(F1610, 'api-register-id'!B:F, 5, FALSE), "Not found path.")</f>
        <v>APIMX000240</v>
      </c>
      <c r="F1610" s="297" t="s">
        <v>4168</v>
      </c>
      <c r="G1610" s="413" t="s">
        <v>8003</v>
      </c>
      <c r="H1610" s="199" t="s">
        <v>8004</v>
      </c>
      <c r="I1610" s="29" t="s">
        <v>162</v>
      </c>
      <c r="J1610" s="193" t="s">
        <v>7887</v>
      </c>
      <c r="K1610" s="31" t="s">
        <v>48</v>
      </c>
      <c r="L1610" s="234" t="s">
        <v>49</v>
      </c>
      <c r="M1610" s="192" t="s">
        <v>8005</v>
      </c>
      <c r="N1610" s="217" t="str">
        <f t="shared" si="62"/>
        <v>POST /system/payments/v1/hub/users/register</v>
      </c>
      <c r="O1610" s="405" t="s">
        <v>7863</v>
      </c>
      <c r="P1610" s="40"/>
      <c r="Q1610" s="212"/>
      <c r="R1610" s="31" t="s">
        <v>56</v>
      </c>
      <c r="S1610" s="218" t="str">
        <f t="shared" si="61"/>
        <v>https://github.com/SF-Bancoppel/mx-api-bc-pro-dir-deb-mand-hub</v>
      </c>
      <c r="T1610" s="40"/>
      <c r="U1610" s="40"/>
      <c r="V1610" s="40"/>
      <c r="W1610" s="40"/>
      <c r="X1610" s="40"/>
      <c r="Y1610" s="40"/>
      <c r="Z1610" s="40"/>
      <c r="AA1610" s="40"/>
      <c r="AB1610" s="40"/>
    </row>
    <row r="1611" ht="18.75" customHeight="1">
      <c r="A1611" s="18" t="s">
        <v>4122</v>
      </c>
      <c r="B1611" s="22" t="str">
        <f>IFERROR(VLOOKUP(F1611, 'api-register-id'!B:F, 4, FALSE), "Not found path.")</f>
        <v>mx-api-bc-pro-dir-deb-mand-hub</v>
      </c>
      <c r="C1611" s="405" t="s">
        <v>41</v>
      </c>
      <c r="D1611" s="405" t="s">
        <v>811</v>
      </c>
      <c r="E1611" s="24" t="str">
        <f>IFERROR(VLOOKUP(F1611, 'api-register-id'!B:F, 5, FALSE), "Not found path.")</f>
        <v>APIMX000240</v>
      </c>
      <c r="F1611" s="297" t="s">
        <v>4168</v>
      </c>
      <c r="G1611" s="413" t="s">
        <v>8006</v>
      </c>
      <c r="H1611" s="199" t="s">
        <v>8007</v>
      </c>
      <c r="I1611" s="29" t="s">
        <v>162</v>
      </c>
      <c r="J1611" s="193" t="s">
        <v>7887</v>
      </c>
      <c r="K1611" s="31" t="s">
        <v>48</v>
      </c>
      <c r="L1611" s="234" t="s">
        <v>49</v>
      </c>
      <c r="M1611" s="192" t="s">
        <v>8008</v>
      </c>
      <c r="N1611" s="217" t="str">
        <f t="shared" si="62"/>
        <v>POST /system/payments/v1/hub/document/url/retrieve</v>
      </c>
      <c r="O1611" s="405" t="s">
        <v>7863</v>
      </c>
      <c r="P1611" s="40"/>
      <c r="Q1611" s="212"/>
      <c r="R1611" s="31" t="s">
        <v>56</v>
      </c>
      <c r="S1611" s="218" t="str">
        <f t="shared" si="61"/>
        <v>https://github.com/SF-Bancoppel/mx-api-bc-pro-dir-deb-mand-hub</v>
      </c>
      <c r="T1611" s="40"/>
      <c r="U1611" s="40"/>
      <c r="V1611" s="40"/>
      <c r="W1611" s="40"/>
      <c r="X1611" s="40"/>
      <c r="Y1611" s="40"/>
      <c r="Z1611" s="40"/>
      <c r="AA1611" s="40"/>
      <c r="AB1611" s="40"/>
    </row>
    <row r="1612" ht="18.75" customHeight="1">
      <c r="A1612" s="18" t="s">
        <v>4122</v>
      </c>
      <c r="B1612" s="22" t="str">
        <f>IFERROR(VLOOKUP(F1612, 'api-register-id'!B:F, 4, FALSE), "Not found path.")</f>
        <v>mx-api-bc-pro-dir-deb-mand-hub</v>
      </c>
      <c r="C1612" s="405" t="s">
        <v>41</v>
      </c>
      <c r="D1612" s="405" t="s">
        <v>811</v>
      </c>
      <c r="E1612" s="24" t="str">
        <f>IFERROR(VLOOKUP(F1612, 'api-register-id'!B:F, 5, FALSE), "Not found path.")</f>
        <v>APIMX000240</v>
      </c>
      <c r="F1612" s="297" t="s">
        <v>4168</v>
      </c>
      <c r="G1612" s="413" t="s">
        <v>8009</v>
      </c>
      <c r="H1612" s="199" t="s">
        <v>8010</v>
      </c>
      <c r="I1612" s="29" t="s">
        <v>162</v>
      </c>
      <c r="J1612" s="193" t="s">
        <v>6103</v>
      </c>
      <c r="K1612" s="31" t="s">
        <v>48</v>
      </c>
      <c r="L1612" s="234" t="s">
        <v>49</v>
      </c>
      <c r="M1612" s="216" t="s">
        <v>7870</v>
      </c>
      <c r="N1612" s="217" t="str">
        <f t="shared" si="62"/>
        <v>POST /payments/v1/hub/directDebitMandate/update</v>
      </c>
      <c r="O1612" s="405" t="s">
        <v>7863</v>
      </c>
      <c r="P1612" s="40"/>
      <c r="Q1612" s="212"/>
      <c r="R1612" s="31" t="s">
        <v>56</v>
      </c>
      <c r="S1612" s="218" t="str">
        <f t="shared" si="61"/>
        <v>https://github.com/SF-Bancoppel/mx-api-bc-pro-dir-deb-mand-hub</v>
      </c>
      <c r="T1612" s="40"/>
      <c r="U1612" s="40"/>
      <c r="V1612" s="40"/>
      <c r="W1612" s="40"/>
      <c r="X1612" s="40"/>
      <c r="Y1612" s="40"/>
      <c r="Z1612" s="40"/>
      <c r="AA1612" s="40"/>
      <c r="AB1612" s="40"/>
    </row>
    <row r="1613" ht="18.75" customHeight="1">
      <c r="A1613" s="18" t="s">
        <v>4122</v>
      </c>
      <c r="B1613" s="22" t="str">
        <f>IFERROR(VLOOKUP(F1613, 'api-register-id'!B:F, 4, FALSE), "Not found path.")</f>
        <v>mx-api-bc-pro-document-services-hub</v>
      </c>
      <c r="C1613" s="405" t="s">
        <v>41</v>
      </c>
      <c r="D1613" s="405" t="s">
        <v>811</v>
      </c>
      <c r="E1613" s="24" t="str">
        <f>IFERROR(VLOOKUP(F1613, 'api-register-id'!B:F, 5, FALSE), "Not found path.")</f>
        <v>APIMX000241</v>
      </c>
      <c r="F1613" s="297" t="s">
        <v>4190</v>
      </c>
      <c r="G1613" s="26" t="s">
        <v>8011</v>
      </c>
      <c r="H1613" s="199" t="s">
        <v>8012</v>
      </c>
      <c r="I1613" s="29" t="s">
        <v>162</v>
      </c>
      <c r="J1613" s="193" t="s">
        <v>2950</v>
      </c>
      <c r="K1613" s="31" t="s">
        <v>48</v>
      </c>
      <c r="L1613" s="234" t="s">
        <v>49</v>
      </c>
      <c r="M1613" s="3" t="s">
        <v>8013</v>
      </c>
      <c r="N1613" s="3" t="s">
        <v>8014</v>
      </c>
      <c r="O1613" s="405" t="s">
        <v>7863</v>
      </c>
      <c r="P1613" s="40"/>
      <c r="Q1613" s="212"/>
      <c r="R1613" s="31" t="s">
        <v>56</v>
      </c>
      <c r="S1613" s="218" t="str">
        <f t="shared" si="61"/>
        <v>https://github.com/SF-Bancoppel/mx-api-bc-pro-document-services-hub</v>
      </c>
      <c r="T1613" s="40"/>
      <c r="U1613" s="40"/>
      <c r="V1613" s="40"/>
      <c r="W1613" s="40"/>
      <c r="X1613" s="40"/>
      <c r="Y1613" s="40"/>
      <c r="Z1613" s="40"/>
      <c r="AA1613" s="40"/>
      <c r="AB1613" s="40"/>
    </row>
    <row r="1614" ht="18.75" customHeight="1">
      <c r="A1614" s="18" t="s">
        <v>4122</v>
      </c>
      <c r="B1614" s="22" t="str">
        <f>IFERROR(VLOOKUP(F1614, 'api-register-id'!B:F, 4, FALSE), "Not found path.")</f>
        <v>mx-api-bc-pro-document-services-hub</v>
      </c>
      <c r="C1614" s="405" t="s">
        <v>41</v>
      </c>
      <c r="D1614" s="405" t="s">
        <v>811</v>
      </c>
      <c r="E1614" s="24" t="str">
        <f>IFERROR(VLOOKUP(F1614, 'api-register-id'!B:F, 5, FALSE), "Not found path.")</f>
        <v>APIMX000241</v>
      </c>
      <c r="F1614" s="297" t="s">
        <v>4190</v>
      </c>
      <c r="G1614" s="413" t="s">
        <v>8015</v>
      </c>
      <c r="H1614" s="199" t="s">
        <v>8016</v>
      </c>
      <c r="I1614" s="29" t="s">
        <v>162</v>
      </c>
      <c r="J1614" s="193" t="s">
        <v>2950</v>
      </c>
      <c r="K1614" s="31" t="s">
        <v>48</v>
      </c>
      <c r="L1614" s="234" t="s">
        <v>49</v>
      </c>
      <c r="M1614" s="3" t="s">
        <v>8017</v>
      </c>
      <c r="N1614" s="3" t="s">
        <v>8018</v>
      </c>
      <c r="O1614" s="405" t="s">
        <v>7863</v>
      </c>
      <c r="P1614" s="40"/>
      <c r="Q1614" s="212"/>
      <c r="R1614" s="31" t="s">
        <v>56</v>
      </c>
      <c r="S1614" s="218" t="str">
        <f t="shared" si="61"/>
        <v>https://github.com/SF-Bancoppel/mx-api-bc-pro-document-services-hub</v>
      </c>
      <c r="T1614" s="40"/>
      <c r="U1614" s="40"/>
      <c r="V1614" s="40"/>
      <c r="W1614" s="40"/>
      <c r="X1614" s="40"/>
      <c r="Y1614" s="40"/>
      <c r="Z1614" s="40"/>
      <c r="AA1614" s="40"/>
      <c r="AB1614" s="40"/>
    </row>
    <row r="1615" ht="18.75" customHeight="1">
      <c r="A1615" s="18" t="s">
        <v>4122</v>
      </c>
      <c r="B1615" s="22" t="str">
        <f>IFERROR(VLOOKUP(F1615, 'api-register-id'!B:F, 4, FALSE), "Not found path.")</f>
        <v>mx-api-bc-pro-payment-execution-hub</v>
      </c>
      <c r="C1615" s="405" t="s">
        <v>41</v>
      </c>
      <c r="D1615" s="405" t="s">
        <v>811</v>
      </c>
      <c r="E1615" s="24" t="str">
        <f>IFERROR(VLOOKUP(F1615, 'api-register-id'!B:F, 5, FALSE), "Not found path.")</f>
        <v>APIMX000242</v>
      </c>
      <c r="F1615" s="430" t="s">
        <v>4214</v>
      </c>
      <c r="G1615" s="26" t="s">
        <v>8019</v>
      </c>
      <c r="H1615" s="3" t="s">
        <v>8020</v>
      </c>
      <c r="I1615" s="29" t="s">
        <v>162</v>
      </c>
      <c r="J1615" s="3" t="s">
        <v>3463</v>
      </c>
      <c r="K1615" s="31" t="s">
        <v>48</v>
      </c>
      <c r="L1615" s="234" t="s">
        <v>49</v>
      </c>
      <c r="M1615" s="2" t="s">
        <v>8021</v>
      </c>
      <c r="N1615" s="431" t="str">
        <f t="shared" ref="N1615:N1617" si="63">CONCATENATE(L1615," ",J1615,M1615)</f>
        <v>POST /system/payments/paymentExecution/v1/hub/charges/retrieve</v>
      </c>
      <c r="O1615" s="405" t="s">
        <v>7863</v>
      </c>
      <c r="P1615" s="40"/>
      <c r="Q1615" s="212"/>
      <c r="R1615" s="31" t="s">
        <v>56</v>
      </c>
      <c r="S1615" s="218" t="str">
        <f t="shared" si="61"/>
        <v>https://github.com/SF-Bancoppel/mx-api-bc-pro-payment-execution-hub</v>
      </c>
      <c r="T1615" s="40"/>
      <c r="U1615" s="40"/>
      <c r="V1615" s="40"/>
      <c r="W1615" s="40"/>
      <c r="X1615" s="40"/>
      <c r="Y1615" s="40"/>
      <c r="Z1615" s="40"/>
      <c r="AA1615" s="40"/>
      <c r="AB1615" s="40"/>
    </row>
    <row r="1616" ht="18.75" customHeight="1">
      <c r="A1616" s="18" t="s">
        <v>4122</v>
      </c>
      <c r="B1616" s="22" t="str">
        <f>IFERROR(VLOOKUP(F1616, 'api-register-id'!B:F, 4, FALSE), "Not found path.")</f>
        <v>mx-api-bc-pro-public-ref-dat-mgmt-hub</v>
      </c>
      <c r="C1616" s="405" t="s">
        <v>41</v>
      </c>
      <c r="D1616" s="405" t="s">
        <v>811</v>
      </c>
      <c r="E1616" s="24" t="str">
        <f>IFERROR(VLOOKUP(F1616, 'api-register-id'!B:F, 5, FALSE), "Not found path.")</f>
        <v>APIMX000254</v>
      </c>
      <c r="F1616" s="297" t="s">
        <v>4365</v>
      </c>
      <c r="G1616" s="26" t="s">
        <v>8022</v>
      </c>
      <c r="H1616" s="432" t="s">
        <v>8023</v>
      </c>
      <c r="I1616" s="29" t="s">
        <v>162</v>
      </c>
      <c r="J1616" s="194" t="s">
        <v>8024</v>
      </c>
      <c r="K1616" s="31" t="s">
        <v>48</v>
      </c>
      <c r="L1616" s="234" t="s">
        <v>49</v>
      </c>
      <c r="M1616" s="193" t="s">
        <v>8025</v>
      </c>
      <c r="N1616" s="217" t="str">
        <f t="shared" si="63"/>
        <v>POST /system/marketData/publicReferenceDataManagement/v1/hub/parameters/retrieve</v>
      </c>
      <c r="O1616" s="405" t="s">
        <v>7863</v>
      </c>
      <c r="P1616" s="40"/>
      <c r="Q1616" s="212"/>
      <c r="R1616" s="31" t="s">
        <v>56</v>
      </c>
      <c r="S1616" s="218" t="str">
        <f t="shared" si="61"/>
        <v>https://github.com/SF-Bancoppel/mx-api-bc-pro-public-ref-dat-mgmt-hub</v>
      </c>
      <c r="T1616" s="40"/>
      <c r="U1616" s="40"/>
      <c r="V1616" s="40"/>
      <c r="W1616" s="40"/>
      <c r="X1616" s="40"/>
      <c r="Y1616" s="40"/>
      <c r="Z1616" s="40"/>
      <c r="AA1616" s="40"/>
      <c r="AB1616" s="40"/>
    </row>
    <row r="1617" ht="18.75" customHeight="1">
      <c r="A1617" s="18" t="s">
        <v>4122</v>
      </c>
      <c r="B1617" s="22" t="str">
        <f>IFERROR(VLOOKUP(F1617, 'api-register-id'!B:F, 4, FALSE), "Not found path.")</f>
        <v>mx-api-bc-pro-systems-operations-hub</v>
      </c>
      <c r="C1617" s="405" t="s">
        <v>41</v>
      </c>
      <c r="D1617" s="405" t="s">
        <v>811</v>
      </c>
      <c r="E1617" s="24" t="str">
        <f>IFERROR(VLOOKUP(F1617, 'api-register-id'!B:F, 5, FALSE), "Not found path.")</f>
        <v>APIMX000255</v>
      </c>
      <c r="F1617" s="406" t="s">
        <v>4376</v>
      </c>
      <c r="G1617" s="26" t="s">
        <v>8026</v>
      </c>
      <c r="H1617" s="432" t="s">
        <v>8027</v>
      </c>
      <c r="I1617" s="29" t="s">
        <v>162</v>
      </c>
      <c r="J1617" s="194" t="s">
        <v>8028</v>
      </c>
      <c r="K1617" s="31" t="s">
        <v>48</v>
      </c>
      <c r="L1617" s="234" t="s">
        <v>49</v>
      </c>
      <c r="M1617" s="193" t="s">
        <v>8029</v>
      </c>
      <c r="N1617" s="217" t="str">
        <f t="shared" si="63"/>
        <v>POST /system/itManagement/systemsOperations/v1/hub/documents/upload</v>
      </c>
      <c r="O1617" s="405" t="s">
        <v>7863</v>
      </c>
      <c r="P1617" s="40"/>
      <c r="Q1617" s="212"/>
      <c r="R1617" s="31" t="s">
        <v>56</v>
      </c>
      <c r="S1617" s="218" t="str">
        <f t="shared" si="61"/>
        <v>https://github.com/SF-Bancoppel/mx-api-bc-pro-systems-operations-hub</v>
      </c>
      <c r="T1617" s="40"/>
      <c r="U1617" s="40"/>
      <c r="V1617" s="40"/>
      <c r="W1617" s="40"/>
      <c r="X1617" s="40"/>
      <c r="Y1617" s="40"/>
      <c r="Z1617" s="40"/>
      <c r="AA1617" s="40"/>
      <c r="AB1617" s="40"/>
    </row>
    <row r="1618" ht="18.75" customHeight="1">
      <c r="A1618" s="18" t="s">
        <v>44</v>
      </c>
      <c r="B1618" s="22" t="str">
        <f>IFERROR(VLOOKUP(F1618, 'api-register-id'!B:F, 4, FALSE), "Not found path.")</f>
        <v>mx-api-bc-pro-counterparty-risk</v>
      </c>
      <c r="C1618" s="405" t="s">
        <v>41</v>
      </c>
      <c r="D1618" s="405" t="s">
        <v>811</v>
      </c>
      <c r="E1618" s="24" t="str">
        <f>IFERROR(VLOOKUP(F1618, 'api-register-id'!B:F, 5, FALSE), "Not found path.")</f>
        <v>APIMX000067</v>
      </c>
      <c r="F1618" s="25" t="s">
        <v>905</v>
      </c>
      <c r="G1618" s="26" t="s">
        <v>8030</v>
      </c>
      <c r="H1618" s="199" t="s">
        <v>8031</v>
      </c>
      <c r="I1618" s="29" t="s">
        <v>162</v>
      </c>
      <c r="J1618" s="192"/>
      <c r="K1618" s="31"/>
      <c r="L1618" s="200"/>
      <c r="M1618" s="212"/>
      <c r="N1618" s="3"/>
      <c r="O1618" s="40"/>
      <c r="P1618" s="40"/>
      <c r="Q1618" s="212"/>
      <c r="R1618" s="31"/>
      <c r="S1618" s="40"/>
      <c r="T1618" s="40"/>
      <c r="U1618" s="40"/>
      <c r="V1618" s="40"/>
      <c r="W1618" s="40"/>
      <c r="X1618" s="40"/>
      <c r="Y1618" s="40"/>
      <c r="Z1618" s="40"/>
      <c r="AA1618" s="40"/>
      <c r="AB1618" s="40"/>
    </row>
    <row r="1619" ht="18.75" customHeight="1">
      <c r="A1619" s="18" t="s">
        <v>44</v>
      </c>
      <c r="B1619" s="22" t="str">
        <f>IFERROR(VLOOKUP(F1619, 'api-register-id'!B:F, 4, FALSE), "Not found path.")</f>
        <v>mx-api-bc-dom-counterparty-risk</v>
      </c>
      <c r="C1619" s="405" t="s">
        <v>41</v>
      </c>
      <c r="D1619" s="405" t="s">
        <v>119</v>
      </c>
      <c r="E1619" s="24" t="str">
        <f>IFERROR(VLOOKUP(F1619, 'api-register-id'!B:F, 5, FALSE), "Not found path.")</f>
        <v>APIMX000011</v>
      </c>
      <c r="F1619" s="297" t="s">
        <v>202</v>
      </c>
      <c r="G1619" s="26" t="s">
        <v>8032</v>
      </c>
      <c r="H1619" s="199" t="s">
        <v>8033</v>
      </c>
      <c r="I1619" s="29"/>
      <c r="J1619" s="192"/>
      <c r="K1619" s="31"/>
      <c r="L1619" s="200"/>
      <c r="M1619" s="212"/>
      <c r="N1619" s="3"/>
      <c r="O1619" s="40"/>
      <c r="P1619" s="40"/>
      <c r="Q1619" s="212"/>
      <c r="R1619" s="31"/>
      <c r="S1619" s="40"/>
      <c r="T1619" s="40"/>
      <c r="U1619" s="40"/>
      <c r="V1619" s="40"/>
      <c r="W1619" s="40"/>
      <c r="X1619" s="40"/>
      <c r="Y1619" s="40"/>
      <c r="Z1619" s="40"/>
      <c r="AA1619" s="40"/>
      <c r="AB1619" s="40"/>
    </row>
    <row r="1620" ht="18.75" customHeight="1">
      <c r="A1620" s="79" t="str">
        <f t="array" ref="A1620">IFERROR(
  INDEX(
    'api-register-id'!A:A,
    MATCH(F1620, 'api-register-id'!B:B, 0)
  ),
  "Not found Organization"
)</f>
        <v>SSFF</v>
      </c>
      <c r="B1620" s="22" t="str">
        <f>IFERROR(VLOOKUP(F1620, 'api-register-id'!B:F, 4, FALSE), "Not found path.")</f>
        <v>mx-api-bc-dom-party-lifecycle-management</v>
      </c>
      <c r="C1620" s="23" t="s">
        <v>41</v>
      </c>
      <c r="D1620" s="23" t="s">
        <v>119</v>
      </c>
      <c r="E1620" s="24" t="str">
        <f>IFERROR(VLOOKUP(F1620, 'api-register-id'!B:F, 5, FALSE), "Not found path.")</f>
        <v>APIMX000040</v>
      </c>
      <c r="F1620" s="25" t="s">
        <v>624</v>
      </c>
      <c r="G1620" s="26" t="s">
        <v>8034</v>
      </c>
      <c r="H1620" s="433" t="s">
        <v>8035</v>
      </c>
      <c r="I1620" s="29" t="s">
        <v>8036</v>
      </c>
      <c r="J1620" s="3" t="s">
        <v>1315</v>
      </c>
      <c r="K1620" s="31" t="s">
        <v>6671</v>
      </c>
      <c r="L1620" s="23" t="s">
        <v>428</v>
      </c>
      <c r="M1620" s="3" t="s">
        <v>8037</v>
      </c>
      <c r="N1620" s="3" t="str">
        <f t="shared" ref="N1620:N1645" si="64">CONCATENATE(L1620," ",J1620,M1620)</f>
        <v>PATCH /sales/partyLifecycleManagement/v2/location/{sessionDialogueIdentification}/update</v>
      </c>
      <c r="O1620" s="32" t="s">
        <v>1463</v>
      </c>
      <c r="P1620" s="32"/>
      <c r="Q1620" s="61" t="s">
        <v>1465</v>
      </c>
      <c r="R1620" s="31" t="s">
        <v>56</v>
      </c>
      <c r="S1620" s="38" t="str">
        <f t="shared" ref="S1620:S1668" si="65">"https://github.com/SF-Bancoppel/"&amp;B1620</f>
        <v>https://github.com/SF-Bancoppel/mx-api-bc-dom-party-lifecycle-management</v>
      </c>
      <c r="T1620" s="40"/>
      <c r="U1620" s="40"/>
      <c r="V1620" s="40"/>
      <c r="W1620" s="40"/>
      <c r="X1620" s="40"/>
      <c r="Y1620" s="40"/>
      <c r="Z1620" s="40"/>
      <c r="AA1620" s="40"/>
      <c r="AB1620" s="40"/>
    </row>
    <row r="1621" ht="18.75" customHeight="1">
      <c r="A1621" s="79" t="str">
        <f t="array" ref="A1621">IFERROR(
  INDEX(
    'api-register-id'!A:A,
    MATCH(F1621, 'api-register-id'!B:B, 0)
  ),
  "Not found Organization"
)</f>
        <v>SSFF</v>
      </c>
      <c r="B1621" s="22" t="str">
        <f>IFERROR(VLOOKUP(F1621, 'api-register-id'!B:F, 4, FALSE), "Not found path.")</f>
        <v>mx-api-bc-pro-party-lifecycle-management</v>
      </c>
      <c r="C1621" s="23" t="s">
        <v>41</v>
      </c>
      <c r="D1621" s="23" t="s">
        <v>811</v>
      </c>
      <c r="E1621" s="24" t="str">
        <f>IFERROR(VLOOKUP(F1621, 'api-register-id'!B:F, 5, FALSE), "Not found path.")</f>
        <v>APIMX000096</v>
      </c>
      <c r="F1621" s="25" t="s">
        <v>1214</v>
      </c>
      <c r="G1621" s="26" t="s">
        <v>8038</v>
      </c>
      <c r="H1621" s="22" t="s">
        <v>8039</v>
      </c>
      <c r="I1621" s="29" t="s">
        <v>8040</v>
      </c>
      <c r="J1621" s="3" t="s">
        <v>3197</v>
      </c>
      <c r="K1621" s="31" t="s">
        <v>6671</v>
      </c>
      <c r="L1621" s="23" t="s">
        <v>428</v>
      </c>
      <c r="M1621" s="3" t="s">
        <v>8037</v>
      </c>
      <c r="N1621" s="3" t="str">
        <f t="shared" si="64"/>
        <v>PATCH /system/sales/partyLifecycleManagement/v2/location/{sessionDialogueIdentification}/update</v>
      </c>
      <c r="O1621" s="32" t="s">
        <v>1463</v>
      </c>
      <c r="P1621" s="32"/>
      <c r="Q1621" s="49" t="s">
        <v>4158</v>
      </c>
      <c r="R1621" s="31" t="s">
        <v>56</v>
      </c>
      <c r="S1621" s="38" t="str">
        <f t="shared" si="65"/>
        <v>https://github.com/SF-Bancoppel/mx-api-bc-pro-party-lifecycle-management</v>
      </c>
      <c r="T1621" s="40"/>
      <c r="U1621" s="40"/>
      <c r="V1621" s="40"/>
      <c r="W1621" s="40"/>
      <c r="X1621" s="40"/>
      <c r="Y1621" s="40"/>
      <c r="Z1621" s="40"/>
      <c r="AA1621" s="40"/>
      <c r="AB1621" s="40"/>
    </row>
    <row r="1622" ht="18.75" customHeight="1">
      <c r="A1622" s="79" t="str">
        <f t="array" ref="A1622">IFERROR(
  INDEX(
    'api-register-id'!A:A,
    MATCH(F1622, 'api-register-id'!B:B, 0)
  ),
  "Not found Organization"
)</f>
        <v>SSFF</v>
      </c>
      <c r="B1622" s="22" t="str">
        <f>IFERROR(VLOOKUP(F1622, 'api-register-id'!B:F, 4, FALSE), "Not found path.")</f>
        <v>mx-api-bc-dom-party-lifecycle-management</v>
      </c>
      <c r="C1622" s="23" t="s">
        <v>41</v>
      </c>
      <c r="D1622" s="23" t="s">
        <v>119</v>
      </c>
      <c r="E1622" s="24" t="str">
        <f>IFERROR(VLOOKUP(F1622, 'api-register-id'!B:F, 5, FALSE), "Not found path.")</f>
        <v>APIMX000040</v>
      </c>
      <c r="F1622" s="25" t="s">
        <v>624</v>
      </c>
      <c r="G1622" s="26" t="s">
        <v>8041</v>
      </c>
      <c r="H1622" s="22" t="s">
        <v>8042</v>
      </c>
      <c r="I1622" s="29" t="s">
        <v>8036</v>
      </c>
      <c r="J1622" s="3" t="s">
        <v>1315</v>
      </c>
      <c r="K1622" s="31" t="s">
        <v>6671</v>
      </c>
      <c r="L1622" s="23" t="s">
        <v>49</v>
      </c>
      <c r="M1622" s="3" t="s">
        <v>8043</v>
      </c>
      <c r="N1622" s="3" t="str">
        <f t="shared" si="64"/>
        <v>POST /sales/partyLifecycleManagement/v2/location/retrieve</v>
      </c>
      <c r="O1622" s="32" t="s">
        <v>1349</v>
      </c>
      <c r="P1622" s="32"/>
      <c r="Q1622" s="61" t="s">
        <v>1489</v>
      </c>
      <c r="R1622" s="31" t="s">
        <v>56</v>
      </c>
      <c r="S1622" s="38" t="str">
        <f t="shared" si="65"/>
        <v>https://github.com/SF-Bancoppel/mx-api-bc-dom-party-lifecycle-management</v>
      </c>
      <c r="T1622" s="40"/>
      <c r="U1622" s="40"/>
      <c r="V1622" s="40"/>
      <c r="W1622" s="40"/>
      <c r="X1622" s="40"/>
      <c r="Y1622" s="40"/>
      <c r="Z1622" s="40"/>
      <c r="AA1622" s="40"/>
      <c r="AB1622" s="40"/>
    </row>
    <row r="1623" ht="18.75" customHeight="1">
      <c r="A1623" s="79" t="str">
        <f t="array" ref="A1623">IFERROR(
  INDEX(
    'api-register-id'!A:A,
    MATCH(F1623, 'api-register-id'!B:B, 0)
  ),
  "Not found Organization"
)</f>
        <v>SSFF</v>
      </c>
      <c r="B1623" s="22" t="str">
        <f>IFERROR(VLOOKUP(F1623, 'api-register-id'!B:F, 4, FALSE), "Not found path.")</f>
        <v>mx-api-bc-pro-party-lifecycle-management</v>
      </c>
      <c r="C1623" s="23" t="s">
        <v>41</v>
      </c>
      <c r="D1623" s="23" t="s">
        <v>811</v>
      </c>
      <c r="E1623" s="24" t="str">
        <f>IFERROR(VLOOKUP(F1623, 'api-register-id'!B:F, 5, FALSE), "Not found path.")</f>
        <v>APIMX000096</v>
      </c>
      <c r="F1623" s="25" t="s">
        <v>1214</v>
      </c>
      <c r="G1623" s="26" t="s">
        <v>8044</v>
      </c>
      <c r="H1623" s="22" t="s">
        <v>8045</v>
      </c>
      <c r="I1623" s="29" t="s">
        <v>8036</v>
      </c>
      <c r="J1623" s="3" t="s">
        <v>3197</v>
      </c>
      <c r="K1623" s="31" t="s">
        <v>6671</v>
      </c>
      <c r="L1623" s="23" t="s">
        <v>49</v>
      </c>
      <c r="M1623" s="3" t="s">
        <v>8043</v>
      </c>
      <c r="N1623" s="3" t="str">
        <f t="shared" si="64"/>
        <v>POST /system/sales/partyLifecycleManagement/v2/location/retrieve</v>
      </c>
      <c r="O1623" s="32" t="s">
        <v>3364</v>
      </c>
      <c r="P1623" s="32"/>
      <c r="Q1623" s="61" t="s">
        <v>4232</v>
      </c>
      <c r="R1623" s="31" t="s">
        <v>56</v>
      </c>
      <c r="S1623" s="38" t="str">
        <f t="shared" si="65"/>
        <v>https://github.com/SF-Bancoppel/mx-api-bc-pro-party-lifecycle-management</v>
      </c>
      <c r="T1623" s="40"/>
      <c r="U1623" s="22"/>
      <c r="V1623" s="40"/>
      <c r="W1623" s="40"/>
      <c r="X1623" s="40"/>
      <c r="Y1623" s="40"/>
      <c r="Z1623" s="22"/>
      <c r="AA1623" s="22"/>
      <c r="AB1623" s="22"/>
    </row>
    <row r="1624" ht="18.75" customHeight="1">
      <c r="A1624" s="18" t="s">
        <v>44</v>
      </c>
      <c r="B1624" s="22" t="str">
        <f>IFERROR(VLOOKUP(F1624, 'api-register-id'!B:F, 4, FALSE), "Not found path.")</f>
        <v>mx-api-bc-rec-party-lifecycle-management</v>
      </c>
      <c r="C1624" s="23" t="s">
        <v>112</v>
      </c>
      <c r="D1624" s="23" t="s">
        <v>1417</v>
      </c>
      <c r="E1624" s="24" t="str">
        <f>IFERROR(VLOOKUP(F1624, 'api-register-id'!B:F, 5, FALSE), "Not found path.")</f>
        <v>APIMX000139</v>
      </c>
      <c r="F1624" s="25" t="s">
        <v>1667</v>
      </c>
      <c r="G1624" s="26" t="s">
        <v>8046</v>
      </c>
      <c r="H1624" s="199" t="s">
        <v>8047</v>
      </c>
      <c r="I1624" s="29" t="s">
        <v>162</v>
      </c>
      <c r="J1624" s="3" t="s">
        <v>4543</v>
      </c>
      <c r="K1624" s="31" t="s">
        <v>48</v>
      </c>
      <c r="L1624" s="23" t="s">
        <v>61</v>
      </c>
      <c r="M1624" s="3" t="s">
        <v>8048</v>
      </c>
      <c r="N1624" s="3" t="str">
        <f t="shared" si="64"/>
        <v>PUT /experience/sales/partyLifecycleManagement/v1/documentation/exchange
</v>
      </c>
      <c r="O1624" s="196" t="s">
        <v>8049</v>
      </c>
      <c r="P1624" s="40"/>
      <c r="Q1624" s="212"/>
      <c r="R1624" s="31" t="s">
        <v>56</v>
      </c>
      <c r="S1624" s="38" t="str">
        <f t="shared" si="65"/>
        <v>https://github.com/SF-Bancoppel/mx-api-bc-rec-party-lifecycle-management</v>
      </c>
      <c r="T1624" s="40"/>
      <c r="U1624" s="40"/>
      <c r="V1624" s="40"/>
      <c r="W1624" s="40"/>
      <c r="X1624" s="40"/>
      <c r="Y1624" s="40"/>
      <c r="Z1624" s="40"/>
      <c r="AA1624" s="40"/>
      <c r="AB1624" s="40"/>
    </row>
    <row r="1625" ht="18.75" customHeight="1">
      <c r="A1625" s="18" t="s">
        <v>44</v>
      </c>
      <c r="B1625" s="22" t="str">
        <f>IFERROR(VLOOKUP(F1625, 'api-register-id'!B:F, 4, FALSE), "Not found path.")</f>
        <v>mx-api-bc-rec-sales-and-service</v>
      </c>
      <c r="C1625" s="23" t="s">
        <v>112</v>
      </c>
      <c r="D1625" s="23" t="s">
        <v>1417</v>
      </c>
      <c r="E1625" s="24" t="str">
        <f>IFERROR(VLOOKUP(F1625, 'api-register-id'!B:F, 5, FALSE), "Not found path.")</f>
        <v>APIMX000148</v>
      </c>
      <c r="F1625" s="25" t="s">
        <v>1764</v>
      </c>
      <c r="G1625" s="26" t="s">
        <v>8050</v>
      </c>
      <c r="H1625" s="199" t="s">
        <v>8051</v>
      </c>
      <c r="I1625" s="29" t="s">
        <v>162</v>
      </c>
      <c r="J1625" s="3" t="s">
        <v>4891</v>
      </c>
      <c r="K1625" s="31" t="s">
        <v>48</v>
      </c>
      <c r="L1625" s="23" t="s">
        <v>49</v>
      </c>
      <c r="M1625" s="3" t="s">
        <v>8052</v>
      </c>
      <c r="N1625" s="3" t="str">
        <f t="shared" si="64"/>
        <v>POST /experience/salesAndService/v1/onBoardingDocumentation/register
</v>
      </c>
      <c r="O1625" s="196" t="s">
        <v>8053</v>
      </c>
      <c r="P1625" s="40"/>
      <c r="Q1625" s="212"/>
      <c r="R1625" s="31" t="s">
        <v>56</v>
      </c>
      <c r="S1625" s="38" t="str">
        <f t="shared" si="65"/>
        <v>https://github.com/SF-Bancoppel/mx-api-bc-rec-sales-and-service</v>
      </c>
      <c r="T1625" s="40"/>
      <c r="U1625" s="40"/>
      <c r="V1625" s="40"/>
      <c r="W1625" s="40"/>
      <c r="X1625" s="40"/>
      <c r="Y1625" s="40"/>
      <c r="Z1625" s="40"/>
      <c r="AA1625" s="40"/>
      <c r="AB1625" s="40"/>
    </row>
    <row r="1626" ht="18.75" customHeight="1">
      <c r="A1626" s="18" t="s">
        <v>44</v>
      </c>
      <c r="B1626" s="22" t="str">
        <f>IFERROR(VLOOKUP(F1626, 'api-register-id'!B:F, 4, FALSE), "Not found path.")</f>
        <v>mx-api-bc-dom-customer-products-and-services</v>
      </c>
      <c r="C1626" s="23" t="s">
        <v>41</v>
      </c>
      <c r="D1626" s="23" t="s">
        <v>119</v>
      </c>
      <c r="E1626" s="24" t="str">
        <f>IFERROR(VLOOKUP(F1626, 'api-register-id'!B:F, 5, FALSE), "Not found path.")</f>
        <v>APIMX000023</v>
      </c>
      <c r="F1626" s="25" t="s">
        <v>388</v>
      </c>
      <c r="G1626" s="26" t="s">
        <v>8054</v>
      </c>
      <c r="H1626" s="22" t="s">
        <v>8055</v>
      </c>
      <c r="I1626" s="29" t="s">
        <v>162</v>
      </c>
      <c r="J1626" s="3" t="s">
        <v>947</v>
      </c>
      <c r="K1626" s="31" t="s">
        <v>48</v>
      </c>
      <c r="L1626" s="23" t="s">
        <v>49</v>
      </c>
      <c r="M1626" s="3" t="s">
        <v>8056</v>
      </c>
      <c r="N1626" s="3" t="str">
        <f t="shared" si="64"/>
        <v>POST /customerManagement/customerProductsAndServices/v1/product/register</v>
      </c>
      <c r="O1626" s="196" t="s">
        <v>8057</v>
      </c>
      <c r="P1626" s="40"/>
      <c r="Q1626" s="212"/>
      <c r="R1626" s="31" t="s">
        <v>56</v>
      </c>
      <c r="S1626" s="38" t="str">
        <f t="shared" si="65"/>
        <v>https://github.com/SF-Bancoppel/mx-api-bc-dom-customer-products-and-services</v>
      </c>
      <c r="T1626" s="40"/>
      <c r="U1626" s="40"/>
      <c r="V1626" s="40"/>
      <c r="W1626" s="40"/>
      <c r="X1626" s="40"/>
      <c r="Y1626" s="40"/>
      <c r="Z1626" s="40"/>
      <c r="AA1626" s="40"/>
      <c r="AB1626" s="40"/>
    </row>
    <row r="1627" ht="18.75" customHeight="1">
      <c r="A1627" s="18" t="s">
        <v>44</v>
      </c>
      <c r="B1627" s="22" t="str">
        <f>IFERROR(VLOOKUP(F1627, 'api-register-id'!B:F, 4, FALSE), "Not found path.")</f>
        <v>mx-api-bc-dom-party-lifecycle-management</v>
      </c>
      <c r="C1627" s="23" t="s">
        <v>41</v>
      </c>
      <c r="D1627" s="23" t="s">
        <v>119</v>
      </c>
      <c r="E1627" s="24" t="str">
        <f>IFERROR(VLOOKUP(F1627, 'api-register-id'!B:F, 5, FALSE), "Not found path.")</f>
        <v>APIMX000040</v>
      </c>
      <c r="F1627" s="25" t="s">
        <v>624</v>
      </c>
      <c r="G1627" s="26" t="s">
        <v>8058</v>
      </c>
      <c r="H1627" s="22" t="s">
        <v>8059</v>
      </c>
      <c r="I1627" s="29" t="s">
        <v>162</v>
      </c>
      <c r="J1627" s="3" t="s">
        <v>1315</v>
      </c>
      <c r="K1627" s="31" t="s">
        <v>48</v>
      </c>
      <c r="L1627" s="23" t="s">
        <v>49</v>
      </c>
      <c r="M1627" s="3" t="s">
        <v>8060</v>
      </c>
      <c r="N1627" s="3" t="str">
        <f t="shared" si="64"/>
        <v>POST /sales/partyLifecycleManagement/v1/transactionalProfile/retrieve</v>
      </c>
      <c r="O1627" s="196" t="s">
        <v>8061</v>
      </c>
      <c r="P1627" s="40"/>
      <c r="Q1627" s="212"/>
      <c r="R1627" s="31" t="s">
        <v>56</v>
      </c>
      <c r="S1627" s="38" t="str">
        <f t="shared" si="65"/>
        <v>https://github.com/SF-Bancoppel/mx-api-bc-dom-party-lifecycle-management</v>
      </c>
      <c r="T1627" s="40"/>
      <c r="U1627" s="40"/>
      <c r="V1627" s="40"/>
      <c r="W1627" s="40"/>
      <c r="X1627" s="40"/>
      <c r="Y1627" s="40"/>
      <c r="Z1627" s="40"/>
      <c r="AA1627" s="40"/>
      <c r="AB1627" s="40"/>
    </row>
    <row r="1628" ht="18.75" customHeight="1">
      <c r="A1628" s="18" t="s">
        <v>44</v>
      </c>
      <c r="B1628" s="22" t="str">
        <f>IFERROR(VLOOKUP(F1628, 'api-register-id'!B:F, 4, FALSE), "Not found path.")</f>
        <v>mx-api-bc-dom-party-lifecycle-management</v>
      </c>
      <c r="C1628" s="23" t="s">
        <v>41</v>
      </c>
      <c r="D1628" s="23" t="s">
        <v>119</v>
      </c>
      <c r="E1628" s="24" t="str">
        <f>IFERROR(VLOOKUP(F1628, 'api-register-id'!B:F, 5, FALSE), "Not found path.")</f>
        <v>APIMX000040</v>
      </c>
      <c r="F1628" s="25" t="s">
        <v>624</v>
      </c>
      <c r="G1628" s="26" t="s">
        <v>8062</v>
      </c>
      <c r="H1628" s="22" t="s">
        <v>8063</v>
      </c>
      <c r="I1628" s="29" t="s">
        <v>162</v>
      </c>
      <c r="J1628" s="3" t="s">
        <v>1315</v>
      </c>
      <c r="K1628" s="31" t="s">
        <v>48</v>
      </c>
      <c r="L1628" s="23" t="s">
        <v>49</v>
      </c>
      <c r="M1628" s="3" t="s">
        <v>8064</v>
      </c>
      <c r="N1628" s="3" t="str">
        <f t="shared" si="64"/>
        <v>POST /sales/partyLifecycleManagement/v1/transactionalProfile/register</v>
      </c>
      <c r="O1628" s="196" t="s">
        <v>8065</v>
      </c>
      <c r="P1628" s="40"/>
      <c r="Q1628" s="212"/>
      <c r="R1628" s="31" t="s">
        <v>56</v>
      </c>
      <c r="S1628" s="38" t="str">
        <f t="shared" si="65"/>
        <v>https://github.com/SF-Bancoppel/mx-api-bc-dom-party-lifecycle-management</v>
      </c>
      <c r="T1628" s="40"/>
      <c r="U1628" s="40"/>
      <c r="V1628" s="40"/>
      <c r="W1628" s="40"/>
      <c r="X1628" s="40"/>
      <c r="Y1628" s="40"/>
      <c r="Z1628" s="40"/>
      <c r="AA1628" s="40"/>
      <c r="AB1628" s="40"/>
    </row>
    <row r="1629" ht="18.75" customHeight="1">
      <c r="A1629" s="18" t="s">
        <v>44</v>
      </c>
      <c r="B1629" s="22" t="str">
        <f>IFERROR(VLOOKUP(F1629, 'api-register-id'!B:F, 4, FALSE), "Not found path.")</f>
        <v>mx-api-bc-dom-party-lifecycle-management</v>
      </c>
      <c r="C1629" s="23" t="s">
        <v>41</v>
      </c>
      <c r="D1629" s="23" t="s">
        <v>119</v>
      </c>
      <c r="E1629" s="24" t="str">
        <f>IFERROR(VLOOKUP(F1629, 'api-register-id'!B:F, 5, FALSE), "Not found path.")</f>
        <v>APIMX000040</v>
      </c>
      <c r="F1629" s="25" t="s">
        <v>624</v>
      </c>
      <c r="G1629" s="26" t="s">
        <v>8066</v>
      </c>
      <c r="H1629" s="22" t="s">
        <v>8067</v>
      </c>
      <c r="I1629" s="29" t="s">
        <v>162</v>
      </c>
      <c r="J1629" s="3" t="s">
        <v>1315</v>
      </c>
      <c r="K1629" s="31" t="s">
        <v>48</v>
      </c>
      <c r="L1629" s="23" t="s">
        <v>428</v>
      </c>
      <c r="M1629" s="3" t="s">
        <v>8068</v>
      </c>
      <c r="N1629" s="3" t="str">
        <f t="shared" si="64"/>
        <v>PATCH /sales/partyLifecycleManagement/v1/location/control</v>
      </c>
      <c r="O1629" s="196" t="s">
        <v>8069</v>
      </c>
      <c r="P1629" s="40"/>
      <c r="Q1629" s="212"/>
      <c r="R1629" s="31" t="s">
        <v>56</v>
      </c>
      <c r="S1629" s="38" t="str">
        <f t="shared" si="65"/>
        <v>https://github.com/SF-Bancoppel/mx-api-bc-dom-party-lifecycle-management</v>
      </c>
      <c r="T1629" s="40"/>
      <c r="U1629" s="40"/>
      <c r="V1629" s="40"/>
      <c r="W1629" s="40"/>
      <c r="X1629" s="40"/>
      <c r="Y1629" s="40"/>
      <c r="Z1629" s="40"/>
      <c r="AA1629" s="40"/>
      <c r="AB1629" s="40"/>
    </row>
    <row r="1630" ht="18.75" customHeight="1">
      <c r="A1630" s="18" t="s">
        <v>44</v>
      </c>
      <c r="B1630" s="22" t="str">
        <f>IFERROR(VLOOKUP(F1630, 'api-register-id'!B:F, 4, FALSE), "Not found path.")</f>
        <v>mx-api-bc-dom-party-reference-data-directory</v>
      </c>
      <c r="C1630" s="23" t="s">
        <v>41</v>
      </c>
      <c r="D1630" s="23" t="s">
        <v>119</v>
      </c>
      <c r="E1630" s="24" t="str">
        <f>IFERROR(VLOOKUP(F1630, 'api-register-id'!B:F, 5, FALSE), "Not found path.")</f>
        <v>APIMX000041</v>
      </c>
      <c r="F1630" s="25" t="s">
        <v>637</v>
      </c>
      <c r="G1630" s="26" t="s">
        <v>8070</v>
      </c>
      <c r="H1630" s="22" t="s">
        <v>8071</v>
      </c>
      <c r="I1630" s="29" t="s">
        <v>162</v>
      </c>
      <c r="J1630" s="3" t="s">
        <v>1504</v>
      </c>
      <c r="K1630" s="31" t="s">
        <v>48</v>
      </c>
      <c r="L1630" s="23" t="s">
        <v>49</v>
      </c>
      <c r="M1630" s="3" t="s">
        <v>7620</v>
      </c>
      <c r="N1630" s="3" t="str">
        <f t="shared" si="64"/>
        <v>POST /customerManagement/partyReferenceDataDirectory/v1/customerRelationshipInvolvement/register</v>
      </c>
      <c r="O1630" s="196" t="s">
        <v>8072</v>
      </c>
      <c r="P1630" s="40"/>
      <c r="Q1630" s="212"/>
      <c r="R1630" s="31" t="s">
        <v>56</v>
      </c>
      <c r="S1630" s="38" t="str">
        <f t="shared" si="65"/>
        <v>https://github.com/SF-Bancoppel/mx-api-bc-dom-party-reference-data-directory</v>
      </c>
      <c r="T1630" s="40"/>
      <c r="U1630" s="40"/>
      <c r="V1630" s="40"/>
      <c r="W1630" s="40"/>
      <c r="X1630" s="40"/>
      <c r="Y1630" s="40"/>
      <c r="Z1630" s="40"/>
      <c r="AA1630" s="40"/>
      <c r="AB1630" s="40"/>
    </row>
    <row r="1631" ht="18.75" customHeight="1">
      <c r="A1631" s="18" t="s">
        <v>44</v>
      </c>
      <c r="B1631" s="22" t="str">
        <f>IFERROR(VLOOKUP(F1631, 'api-register-id'!B:F, 4, FALSE), "Not found path.")</f>
        <v>mx-api-bc-pro-customer-products-and-services</v>
      </c>
      <c r="C1631" s="23" t="s">
        <v>41</v>
      </c>
      <c r="D1631" s="23" t="s">
        <v>811</v>
      </c>
      <c r="E1631" s="24" t="str">
        <f>IFERROR(VLOOKUP(F1631, 'api-register-id'!B:F, 5, FALSE), "Not found path.")</f>
        <v>APIMX000079</v>
      </c>
      <c r="F1631" s="25" t="s">
        <v>2867</v>
      </c>
      <c r="G1631" s="26" t="s">
        <v>8073</v>
      </c>
      <c r="H1631" s="22" t="s">
        <v>8074</v>
      </c>
      <c r="I1631" s="29" t="s">
        <v>162</v>
      </c>
      <c r="J1631" s="3" t="s">
        <v>2869</v>
      </c>
      <c r="K1631" s="31" t="s">
        <v>48</v>
      </c>
      <c r="L1631" s="23" t="s">
        <v>49</v>
      </c>
      <c r="M1631" s="3" t="s">
        <v>8056</v>
      </c>
      <c r="N1631" s="3" t="str">
        <f t="shared" si="64"/>
        <v>POST /system/customerManagement/customerProductsAndServices/v1/product/register</v>
      </c>
      <c r="O1631" s="196" t="s">
        <v>8075</v>
      </c>
      <c r="P1631" s="40"/>
      <c r="Q1631" s="212"/>
      <c r="R1631" s="31" t="s">
        <v>56</v>
      </c>
      <c r="S1631" s="38" t="str">
        <f t="shared" si="65"/>
        <v>https://github.com/SF-Bancoppel/mx-api-bc-pro-customer-products-and-services</v>
      </c>
      <c r="T1631" s="40"/>
      <c r="U1631" s="40"/>
      <c r="V1631" s="40"/>
      <c r="W1631" s="40"/>
      <c r="X1631" s="40"/>
      <c r="Y1631" s="40"/>
      <c r="Z1631" s="40"/>
      <c r="AA1631" s="40"/>
      <c r="AB1631" s="40"/>
    </row>
    <row r="1632" ht="18.75" customHeight="1">
      <c r="A1632" s="18" t="s">
        <v>44</v>
      </c>
      <c r="B1632" s="22" t="str">
        <f>IFERROR(VLOOKUP(F1632, 'api-register-id'!B:F, 4, FALSE), "Not found path.")</f>
        <v>mx-api-bc-pro-party-lifecycle-management</v>
      </c>
      <c r="C1632" s="23" t="s">
        <v>41</v>
      </c>
      <c r="D1632" s="23" t="s">
        <v>811</v>
      </c>
      <c r="E1632" s="24" t="str">
        <f>IFERROR(VLOOKUP(F1632, 'api-register-id'!B:F, 5, FALSE), "Not found path.")</f>
        <v>APIMX000096</v>
      </c>
      <c r="F1632" s="25" t="s">
        <v>1214</v>
      </c>
      <c r="G1632" s="26" t="s">
        <v>8076</v>
      </c>
      <c r="H1632" s="22" t="s">
        <v>8077</v>
      </c>
      <c r="I1632" s="29" t="s">
        <v>162</v>
      </c>
      <c r="J1632" s="3" t="s">
        <v>3197</v>
      </c>
      <c r="K1632" s="31" t="s">
        <v>48</v>
      </c>
      <c r="L1632" s="23" t="s">
        <v>49</v>
      </c>
      <c r="M1632" s="3" t="s">
        <v>8060</v>
      </c>
      <c r="N1632" s="3" t="str">
        <f t="shared" si="64"/>
        <v>POST /system/sales/partyLifecycleManagement/v1/transactionalProfile/retrieve</v>
      </c>
      <c r="O1632" s="196" t="s">
        <v>8078</v>
      </c>
      <c r="P1632" s="40"/>
      <c r="Q1632" s="212"/>
      <c r="R1632" s="31" t="s">
        <v>56</v>
      </c>
      <c r="S1632" s="38" t="str">
        <f t="shared" si="65"/>
        <v>https://github.com/SF-Bancoppel/mx-api-bc-pro-party-lifecycle-management</v>
      </c>
      <c r="T1632" s="40"/>
      <c r="U1632" s="40"/>
      <c r="V1632" s="40"/>
      <c r="W1632" s="40"/>
      <c r="X1632" s="40"/>
      <c r="Y1632" s="40"/>
      <c r="Z1632" s="40"/>
      <c r="AA1632" s="40"/>
      <c r="AB1632" s="40"/>
    </row>
    <row r="1633" ht="18.75" customHeight="1">
      <c r="A1633" s="18" t="s">
        <v>44</v>
      </c>
      <c r="B1633" s="22" t="str">
        <f>IFERROR(VLOOKUP(F1633, 'api-register-id'!B:F, 4, FALSE), "Not found path.")</f>
        <v>mx-api-bc-pro-party-lifecycle-management</v>
      </c>
      <c r="C1633" s="23" t="s">
        <v>41</v>
      </c>
      <c r="D1633" s="23" t="s">
        <v>811</v>
      </c>
      <c r="E1633" s="24" t="str">
        <f>IFERROR(VLOOKUP(F1633, 'api-register-id'!B:F, 5, FALSE), "Not found path.")</f>
        <v>APIMX000096</v>
      </c>
      <c r="F1633" s="25" t="s">
        <v>1214</v>
      </c>
      <c r="G1633" s="26" t="s">
        <v>8079</v>
      </c>
      <c r="H1633" s="22" t="s">
        <v>8080</v>
      </c>
      <c r="I1633" s="29" t="s">
        <v>162</v>
      </c>
      <c r="J1633" s="3" t="s">
        <v>3197</v>
      </c>
      <c r="K1633" s="31" t="s">
        <v>48</v>
      </c>
      <c r="L1633" s="23" t="s">
        <v>49</v>
      </c>
      <c r="M1633" s="3" t="s">
        <v>8064</v>
      </c>
      <c r="N1633" s="3" t="str">
        <f t="shared" si="64"/>
        <v>POST /system/sales/partyLifecycleManagement/v1/transactionalProfile/register</v>
      </c>
      <c r="O1633" s="196" t="s">
        <v>8081</v>
      </c>
      <c r="P1633" s="40"/>
      <c r="Q1633" s="212"/>
      <c r="R1633" s="31" t="s">
        <v>56</v>
      </c>
      <c r="S1633" s="38" t="str">
        <f t="shared" si="65"/>
        <v>https://github.com/SF-Bancoppel/mx-api-bc-pro-party-lifecycle-management</v>
      </c>
      <c r="T1633" s="40"/>
      <c r="U1633" s="40"/>
      <c r="V1633" s="40"/>
      <c r="W1633" s="40"/>
      <c r="X1633" s="40"/>
      <c r="Y1633" s="40"/>
      <c r="Z1633" s="40"/>
      <c r="AA1633" s="40"/>
      <c r="AB1633" s="40"/>
    </row>
    <row r="1634" ht="18.75" customHeight="1">
      <c r="A1634" s="18" t="s">
        <v>44</v>
      </c>
      <c r="B1634" s="22" t="str">
        <f>IFERROR(VLOOKUP(F1634, 'api-register-id'!B:F, 4, FALSE), "Not found path.")</f>
        <v>mx-api-bc-pro-party-lifecycle-management</v>
      </c>
      <c r="C1634" s="23" t="s">
        <v>41</v>
      </c>
      <c r="D1634" s="23" t="s">
        <v>811</v>
      </c>
      <c r="E1634" s="24" t="str">
        <f>IFERROR(VLOOKUP(F1634, 'api-register-id'!B:F, 5, FALSE), "Not found path.")</f>
        <v>APIMX000096</v>
      </c>
      <c r="F1634" s="25" t="s">
        <v>1214</v>
      </c>
      <c r="G1634" s="26" t="s">
        <v>8082</v>
      </c>
      <c r="H1634" s="22" t="s">
        <v>8083</v>
      </c>
      <c r="I1634" s="29" t="s">
        <v>162</v>
      </c>
      <c r="J1634" s="3" t="s">
        <v>3197</v>
      </c>
      <c r="K1634" s="31" t="s">
        <v>48</v>
      </c>
      <c r="L1634" s="23" t="s">
        <v>428</v>
      </c>
      <c r="M1634" s="3" t="s">
        <v>8068</v>
      </c>
      <c r="N1634" s="3" t="str">
        <f t="shared" si="64"/>
        <v>PATCH /system/sales/partyLifecycleManagement/v1/location/control</v>
      </c>
      <c r="O1634" s="196" t="s">
        <v>8084</v>
      </c>
      <c r="P1634" s="40"/>
      <c r="Q1634" s="212"/>
      <c r="R1634" s="31" t="s">
        <v>56</v>
      </c>
      <c r="S1634" s="38" t="str">
        <f t="shared" si="65"/>
        <v>https://github.com/SF-Bancoppel/mx-api-bc-pro-party-lifecycle-management</v>
      </c>
      <c r="T1634" s="40"/>
      <c r="U1634" s="40"/>
      <c r="V1634" s="40"/>
      <c r="W1634" s="40"/>
      <c r="X1634" s="40"/>
      <c r="Y1634" s="40"/>
      <c r="Z1634" s="40"/>
      <c r="AA1634" s="40"/>
      <c r="AB1634" s="40"/>
    </row>
    <row r="1635" ht="18.75" customHeight="1">
      <c r="A1635" s="79" t="s">
        <v>44</v>
      </c>
      <c r="B1635" s="65" t="str">
        <f>IFERROR(VLOOKUP(F1635, 'api-register-id'!B:F, 4, FALSE), "Not found path.")</f>
        <v>mx-api-bc-pro-party-reference-data-directory</v>
      </c>
      <c r="C1635" s="80" t="s">
        <v>41</v>
      </c>
      <c r="D1635" s="80" t="s">
        <v>811</v>
      </c>
      <c r="E1635" s="81" t="str">
        <f>IFERROR(VLOOKUP(F1635, 'api-register-id'!B:F, 5, FALSE), "Not found path.")</f>
        <v>APIMX000097</v>
      </c>
      <c r="F1635" s="82" t="s">
        <v>1222</v>
      </c>
      <c r="G1635" s="83" t="s">
        <v>8085</v>
      </c>
      <c r="H1635" s="65" t="s">
        <v>8086</v>
      </c>
      <c r="I1635" s="84" t="s">
        <v>162</v>
      </c>
      <c r="J1635" s="85" t="s">
        <v>3395</v>
      </c>
      <c r="K1635" s="81" t="s">
        <v>48</v>
      </c>
      <c r="L1635" s="80" t="s">
        <v>49</v>
      </c>
      <c r="M1635" s="85" t="s">
        <v>7620</v>
      </c>
      <c r="N1635" s="85" t="str">
        <f t="shared" si="64"/>
        <v>POST /system/customerManagement/partyReferenceDataDirectory/v1/customerRelationshipInvolvement/register</v>
      </c>
      <c r="O1635" s="434" t="s">
        <v>8072</v>
      </c>
      <c r="P1635" s="66"/>
      <c r="Q1635" s="360"/>
      <c r="R1635" s="81" t="s">
        <v>56</v>
      </c>
      <c r="S1635" s="88" t="str">
        <f t="shared" si="65"/>
        <v>https://github.com/SF-Bancoppel/mx-api-bc-pro-party-reference-data-directory</v>
      </c>
      <c r="T1635" s="66"/>
      <c r="U1635" s="40"/>
      <c r="V1635" s="40"/>
      <c r="W1635" s="40"/>
      <c r="X1635" s="40"/>
      <c r="Y1635" s="40"/>
      <c r="Z1635" s="40"/>
      <c r="AA1635" s="40"/>
      <c r="AB1635" s="40"/>
    </row>
    <row r="1636" ht="18.75" customHeight="1">
      <c r="A1636" s="18" t="s">
        <v>44</v>
      </c>
      <c r="B1636" s="22" t="str">
        <f>IFERROR(VLOOKUP(F1636, 'api-register-id'!B:F, 4, FALSE), "Not found path.")</f>
        <v>mx-api-bc-rec-customer-products-and-services</v>
      </c>
      <c r="C1636" s="23" t="s">
        <v>112</v>
      </c>
      <c r="D1636" s="23" t="s">
        <v>1417</v>
      </c>
      <c r="E1636" s="24" t="str">
        <f>IFERROR(VLOOKUP(F1636, 'api-register-id'!B:F, 5, FALSE), "Not found path.")</f>
        <v>APIMX000128</v>
      </c>
      <c r="F1636" s="25" t="s">
        <v>6963</v>
      </c>
      <c r="G1636" s="26" t="s">
        <v>8087</v>
      </c>
      <c r="H1636" s="22" t="s">
        <v>8088</v>
      </c>
      <c r="I1636" s="29" t="s">
        <v>162</v>
      </c>
      <c r="J1636" s="3" t="s">
        <v>4198</v>
      </c>
      <c r="K1636" s="31" t="s">
        <v>48</v>
      </c>
      <c r="L1636" s="23" t="s">
        <v>49</v>
      </c>
      <c r="M1636" s="3" t="s">
        <v>8056</v>
      </c>
      <c r="N1636" s="3" t="str">
        <f t="shared" si="64"/>
        <v>POST /experience/customerManagement/customerProductsAndServices/v1/product/register</v>
      </c>
      <c r="O1636" s="196" t="s">
        <v>8089</v>
      </c>
      <c r="P1636" s="40"/>
      <c r="Q1636" s="212"/>
      <c r="R1636" s="31" t="s">
        <v>56</v>
      </c>
      <c r="S1636" s="38" t="str">
        <f t="shared" si="65"/>
        <v>https://github.com/SF-Bancoppel/mx-api-bc-rec-customer-products-and-services</v>
      </c>
      <c r="T1636" s="40"/>
      <c r="U1636" s="40"/>
      <c r="V1636" s="40"/>
      <c r="W1636" s="40"/>
      <c r="X1636" s="40"/>
      <c r="Y1636" s="40"/>
      <c r="Z1636" s="40"/>
      <c r="AA1636" s="40"/>
      <c r="AB1636" s="40"/>
    </row>
    <row r="1637" ht="18.75" customHeight="1">
      <c r="A1637" s="18" t="s">
        <v>44</v>
      </c>
      <c r="B1637" s="22" t="str">
        <f>IFERROR(VLOOKUP(F1637, 'api-register-id'!B:F, 4, FALSE), "Not found path.")</f>
        <v>mx-api-bc-rec-party-lifecycle-management</v>
      </c>
      <c r="C1637" s="23" t="s">
        <v>112</v>
      </c>
      <c r="D1637" s="23" t="s">
        <v>1417</v>
      </c>
      <c r="E1637" s="24" t="str">
        <f>IFERROR(VLOOKUP(F1637, 'api-register-id'!B:F, 5, FALSE), "Not found path.")</f>
        <v>APIMX000139</v>
      </c>
      <c r="F1637" s="25" t="s">
        <v>1667</v>
      </c>
      <c r="G1637" s="26" t="s">
        <v>8090</v>
      </c>
      <c r="H1637" s="22" t="s">
        <v>8091</v>
      </c>
      <c r="I1637" s="29" t="s">
        <v>162</v>
      </c>
      <c r="J1637" s="3" t="s">
        <v>4543</v>
      </c>
      <c r="K1637" s="31" t="s">
        <v>48</v>
      </c>
      <c r="L1637" s="23" t="s">
        <v>49</v>
      </c>
      <c r="M1637" s="3" t="s">
        <v>8060</v>
      </c>
      <c r="N1637" s="3" t="str">
        <f t="shared" si="64"/>
        <v>POST /experience/sales/partyLifecycleManagement/v1/transactionalProfile/retrieve</v>
      </c>
      <c r="O1637" s="196" t="s">
        <v>8092</v>
      </c>
      <c r="P1637" s="40"/>
      <c r="Q1637" s="212"/>
      <c r="R1637" s="31" t="s">
        <v>56</v>
      </c>
      <c r="S1637" s="38" t="str">
        <f t="shared" si="65"/>
        <v>https://github.com/SF-Bancoppel/mx-api-bc-rec-party-lifecycle-management</v>
      </c>
      <c r="T1637" s="40"/>
      <c r="U1637" s="40"/>
      <c r="V1637" s="40"/>
      <c r="W1637" s="40"/>
      <c r="X1637" s="40"/>
      <c r="Y1637" s="40"/>
      <c r="Z1637" s="40"/>
      <c r="AA1637" s="40"/>
      <c r="AB1637" s="40"/>
    </row>
    <row r="1638" ht="18.75" customHeight="1">
      <c r="A1638" s="18" t="s">
        <v>44</v>
      </c>
      <c r="B1638" s="22" t="str">
        <f>IFERROR(VLOOKUP(F1638, 'api-register-id'!B:F, 4, FALSE), "Not found path.")</f>
        <v>mx-api-bc-rec-party-lifecycle-management</v>
      </c>
      <c r="C1638" s="23" t="s">
        <v>112</v>
      </c>
      <c r="D1638" s="23" t="s">
        <v>1417</v>
      </c>
      <c r="E1638" s="24" t="str">
        <f>IFERROR(VLOOKUP(F1638, 'api-register-id'!B:F, 5, FALSE), "Not found path.")</f>
        <v>APIMX000139</v>
      </c>
      <c r="F1638" s="25" t="s">
        <v>1667</v>
      </c>
      <c r="G1638" s="26" t="s">
        <v>8093</v>
      </c>
      <c r="H1638" s="22" t="s">
        <v>8094</v>
      </c>
      <c r="I1638" s="29" t="s">
        <v>162</v>
      </c>
      <c r="J1638" s="3" t="s">
        <v>4543</v>
      </c>
      <c r="K1638" s="31" t="s">
        <v>48</v>
      </c>
      <c r="L1638" s="23" t="s">
        <v>49</v>
      </c>
      <c r="M1638" s="3" t="s">
        <v>8064</v>
      </c>
      <c r="N1638" s="3" t="str">
        <f t="shared" si="64"/>
        <v>POST /experience/sales/partyLifecycleManagement/v1/transactionalProfile/register</v>
      </c>
      <c r="O1638" s="196" t="s">
        <v>8095</v>
      </c>
      <c r="P1638" s="40"/>
      <c r="Q1638" s="212"/>
      <c r="R1638" s="31" t="s">
        <v>56</v>
      </c>
      <c r="S1638" s="38" t="str">
        <f t="shared" si="65"/>
        <v>https://github.com/SF-Bancoppel/mx-api-bc-rec-party-lifecycle-management</v>
      </c>
      <c r="T1638" s="40"/>
      <c r="U1638" s="40"/>
      <c r="V1638" s="40"/>
      <c r="W1638" s="40"/>
      <c r="X1638" s="40"/>
      <c r="Y1638" s="40"/>
      <c r="Z1638" s="40"/>
      <c r="AA1638" s="40"/>
      <c r="AB1638" s="40"/>
    </row>
    <row r="1639" ht="18.75" customHeight="1">
      <c r="A1639" s="18" t="s">
        <v>44</v>
      </c>
      <c r="B1639" s="22" t="str">
        <f>IFERROR(VLOOKUP(F1639, 'api-register-id'!B:F, 4, FALSE), "Not found path.")</f>
        <v>mx-api-bc-rec-party-lifecycle-management</v>
      </c>
      <c r="C1639" s="23" t="s">
        <v>112</v>
      </c>
      <c r="D1639" s="23" t="s">
        <v>1417</v>
      </c>
      <c r="E1639" s="24" t="str">
        <f>IFERROR(VLOOKUP(F1639, 'api-register-id'!B:F, 5, FALSE), "Not found path.")</f>
        <v>APIMX000139</v>
      </c>
      <c r="F1639" s="25" t="s">
        <v>1667</v>
      </c>
      <c r="G1639" s="26" t="s">
        <v>8096</v>
      </c>
      <c r="H1639" s="22" t="s">
        <v>8097</v>
      </c>
      <c r="I1639" s="29" t="s">
        <v>162</v>
      </c>
      <c r="J1639" s="3" t="s">
        <v>4543</v>
      </c>
      <c r="K1639" s="31" t="s">
        <v>48</v>
      </c>
      <c r="L1639" s="23" t="s">
        <v>428</v>
      </c>
      <c r="M1639" s="3" t="s">
        <v>8068</v>
      </c>
      <c r="N1639" s="3" t="str">
        <f t="shared" si="64"/>
        <v>PATCH /experience/sales/partyLifecycleManagement/v1/location/control</v>
      </c>
      <c r="O1639" s="196" t="s">
        <v>8098</v>
      </c>
      <c r="P1639" s="40"/>
      <c r="Q1639" s="212"/>
      <c r="R1639" s="31" t="s">
        <v>56</v>
      </c>
      <c r="S1639" s="38" t="str">
        <f t="shared" si="65"/>
        <v>https://github.com/SF-Bancoppel/mx-api-bc-rec-party-lifecycle-management</v>
      </c>
      <c r="T1639" s="40"/>
      <c r="U1639" s="40"/>
      <c r="V1639" s="40"/>
      <c r="W1639" s="40"/>
      <c r="X1639" s="40"/>
      <c r="Y1639" s="40"/>
      <c r="Z1639" s="40"/>
      <c r="AA1639" s="40"/>
      <c r="AB1639" s="40"/>
    </row>
    <row r="1640" ht="18.75" customHeight="1">
      <c r="A1640" s="18" t="s">
        <v>44</v>
      </c>
      <c r="B1640" s="22" t="str">
        <f>IFERROR(VLOOKUP(F1640, 'api-register-id'!B:F, 4, FALSE), "Not found path.")</f>
        <v>mx-api-bc-rec-party-reference-data-directory</v>
      </c>
      <c r="C1640" s="23" t="s">
        <v>112</v>
      </c>
      <c r="D1640" s="23" t="s">
        <v>1417</v>
      </c>
      <c r="E1640" s="24" t="str">
        <f>IFERROR(VLOOKUP(F1640, 'api-register-id'!B:F, 5, FALSE), "Not found path.")</f>
        <v>APIMX000140</v>
      </c>
      <c r="F1640" s="25" t="s">
        <v>1677</v>
      </c>
      <c r="G1640" s="26" t="s">
        <v>8099</v>
      </c>
      <c r="H1640" s="22" t="s">
        <v>8100</v>
      </c>
      <c r="I1640" s="29" t="s">
        <v>162</v>
      </c>
      <c r="J1640" s="3" t="s">
        <v>4550</v>
      </c>
      <c r="K1640" s="31" t="s">
        <v>48</v>
      </c>
      <c r="L1640" s="23" t="s">
        <v>49</v>
      </c>
      <c r="M1640" s="3" t="s">
        <v>7620</v>
      </c>
      <c r="N1640" s="3" t="str">
        <f t="shared" si="64"/>
        <v>POST /experience/customerManagement/partyReferenceDataDirectory/v1/customerRelationshipInvolvement/register</v>
      </c>
      <c r="O1640" s="196" t="s">
        <v>8072</v>
      </c>
      <c r="P1640" s="40"/>
      <c r="Q1640" s="212"/>
      <c r="R1640" s="31" t="s">
        <v>56</v>
      </c>
      <c r="S1640" s="38" t="str">
        <f t="shared" si="65"/>
        <v>https://github.com/SF-Bancoppel/mx-api-bc-rec-party-reference-data-directory</v>
      </c>
      <c r="T1640" s="40"/>
      <c r="U1640" s="40"/>
      <c r="V1640" s="40"/>
      <c r="W1640" s="40"/>
      <c r="X1640" s="40"/>
      <c r="Y1640" s="40"/>
      <c r="Z1640" s="40"/>
      <c r="AA1640" s="40"/>
      <c r="AB1640" s="40"/>
    </row>
    <row r="1641" ht="18.75" customHeight="1">
      <c r="A1641" s="79" t="str">
        <f t="array" ref="A1641">IFERROR(
  INDEX(
    'api-register-id'!A:A,
    MATCH(F1641, 'api-register-id'!B:B, 0)
  ),
  "Not found Organization"
)</f>
        <v>SSFF</v>
      </c>
      <c r="B1641" s="22" t="str">
        <f>IFERROR(VLOOKUP(F1641, 'api-register-id'!B:F, 4, FALSE), "Not found path.")</f>
        <v>mx-api-bc-pro-party-reference-data-directory</v>
      </c>
      <c r="C1641" s="78" t="s">
        <v>41</v>
      </c>
      <c r="D1641" s="78" t="s">
        <v>811</v>
      </c>
      <c r="E1641" s="24" t="str">
        <f>IFERROR(VLOOKUP(F1641, 'api-register-id'!B:F, 5, FALSE), "Not found path.")</f>
        <v>APIMX000097</v>
      </c>
      <c r="F1641" s="25" t="s">
        <v>1222</v>
      </c>
      <c r="G1641" s="26" t="s">
        <v>8101</v>
      </c>
      <c r="H1641" s="22" t="s">
        <v>8102</v>
      </c>
      <c r="I1641" s="29" t="str">
        <f>IFERROR(VLOOKUP(F1641, 'api-register-id'!B:I, 8, FALSE), "Not found path.")</f>
        <v>1.8.1</v>
      </c>
      <c r="J1641" s="3" t="s">
        <v>3395</v>
      </c>
      <c r="K1641" s="31" t="s">
        <v>6671</v>
      </c>
      <c r="L1641" s="78" t="s">
        <v>49</v>
      </c>
      <c r="M1641" s="3" t="s">
        <v>8103</v>
      </c>
      <c r="N1641" s="3" t="str">
        <f t="shared" si="64"/>
        <v>POST /system/customerManagement/partyReferenceDataDirectory/v2/customerRelationshipInvolvement/retrieve</v>
      </c>
      <c r="O1641" s="32" t="s">
        <v>5252</v>
      </c>
      <c r="P1641" s="32"/>
      <c r="Q1641" s="61" t="s">
        <v>5253</v>
      </c>
      <c r="R1641" s="31" t="s">
        <v>56</v>
      </c>
      <c r="S1641" s="38" t="str">
        <f t="shared" si="65"/>
        <v>https://github.com/SF-Bancoppel/mx-api-bc-pro-party-reference-data-directory</v>
      </c>
      <c r="T1641" s="40"/>
      <c r="U1641" s="40"/>
      <c r="V1641" s="40"/>
      <c r="W1641" s="40"/>
      <c r="X1641" s="40"/>
      <c r="Y1641" s="40"/>
      <c r="Z1641" s="40"/>
      <c r="AA1641" s="40"/>
      <c r="AB1641" s="40"/>
    </row>
    <row r="1642" ht="18.75" customHeight="1">
      <c r="A1642" s="79" t="str">
        <f t="array" ref="A1642">IFERROR(
  INDEX(
    'api-register-id'!A:A,
    MATCH(F1642, 'api-register-id'!B:B, 0)
  ),
  "Not found Organization"
)</f>
        <v>SSFF</v>
      </c>
      <c r="B1642" s="22" t="str">
        <f>IFERROR(VLOOKUP(F1642, 'api-register-id'!B:F, 4, FALSE), "Not found path.")</f>
        <v>mx-api-bc-dom-party-reference-data-directory</v>
      </c>
      <c r="C1642" s="78" t="s">
        <v>41</v>
      </c>
      <c r="D1642" s="78" t="s">
        <v>119</v>
      </c>
      <c r="E1642" s="24" t="str">
        <f>IFERROR(VLOOKUP(F1642, 'api-register-id'!B:F, 5, FALSE), "Not found path.")</f>
        <v>APIMX000041</v>
      </c>
      <c r="F1642" s="25" t="s">
        <v>637</v>
      </c>
      <c r="G1642" s="26" t="s">
        <v>8104</v>
      </c>
      <c r="H1642" s="22" t="s">
        <v>8105</v>
      </c>
      <c r="I1642" s="29" t="str">
        <f>IFERROR(VLOOKUP(F1642, 'api-register-id'!B:I, 8, FALSE), "Not found path.")</f>
        <v>1.7.2</v>
      </c>
      <c r="J1642" s="3" t="s">
        <v>1504</v>
      </c>
      <c r="K1642" s="31" t="s">
        <v>6671</v>
      </c>
      <c r="L1642" s="78" t="s">
        <v>49</v>
      </c>
      <c r="M1642" s="3" t="s">
        <v>8103</v>
      </c>
      <c r="N1642" s="3" t="str">
        <f t="shared" si="64"/>
        <v>POST /customerManagement/partyReferenceDataDirectory/v2/customerRelationshipInvolvement/retrieve</v>
      </c>
      <c r="O1642" s="32" t="s">
        <v>5218</v>
      </c>
      <c r="P1642" s="32"/>
      <c r="Q1642" s="61" t="s">
        <v>5219</v>
      </c>
      <c r="R1642" s="31" t="s">
        <v>56</v>
      </c>
      <c r="S1642" s="38" t="str">
        <f t="shared" si="65"/>
        <v>https://github.com/SF-Bancoppel/mx-api-bc-dom-party-reference-data-directory</v>
      </c>
      <c r="T1642" s="40"/>
      <c r="U1642" s="40"/>
      <c r="V1642" s="40"/>
      <c r="W1642" s="40"/>
      <c r="X1642" s="40"/>
      <c r="Y1642" s="40"/>
      <c r="Z1642" s="40"/>
      <c r="AA1642" s="40"/>
      <c r="AB1642" s="40"/>
    </row>
    <row r="1643" ht="18.75" customHeight="1">
      <c r="A1643" s="79" t="str">
        <f t="array" ref="A1643">IFERROR(
  INDEX(
    'api-register-id'!A:A,
    MATCH(F1643, 'api-register-id'!B:B, 0)
  ),
  "Not found Organization"
)</f>
        <v>SSFF</v>
      </c>
      <c r="B1643" s="22" t="str">
        <f>IFERROR(VLOOKUP(F1643, 'api-register-id'!B:F, 4, FALSE), "Not found path.")</f>
        <v>mx-api-bc-pro-party-lifecycle-management</v>
      </c>
      <c r="C1643" s="23" t="s">
        <v>41</v>
      </c>
      <c r="D1643" s="23" t="s">
        <v>811</v>
      </c>
      <c r="E1643" s="24" t="str">
        <f>IFERROR(VLOOKUP(F1643, 'api-register-id'!B:F, 5, FALSE), "Not found path.")</f>
        <v>APIMX000096</v>
      </c>
      <c r="F1643" s="25" t="s">
        <v>1214</v>
      </c>
      <c r="G1643" s="26" t="s">
        <v>8106</v>
      </c>
      <c r="H1643" s="22" t="s">
        <v>8107</v>
      </c>
      <c r="I1643" s="29" t="str">
        <f>IFERROR(VLOOKUP(F1643, 'api-register-id'!B:I, 8, FALSE), "Not found path.")</f>
        <v>2.3.2</v>
      </c>
      <c r="J1643" s="3" t="s">
        <v>3197</v>
      </c>
      <c r="K1643" s="31" t="s">
        <v>6671</v>
      </c>
      <c r="L1643" s="23" t="s">
        <v>49</v>
      </c>
      <c r="M1643" s="3" t="s">
        <v>8108</v>
      </c>
      <c r="N1643" s="3" t="str">
        <f t="shared" si="64"/>
        <v>POST /system/sales/partyLifecycleManagement/v2/location/register</v>
      </c>
      <c r="O1643" s="32" t="s">
        <v>1481</v>
      </c>
      <c r="P1643" s="22"/>
      <c r="Q1643" s="61" t="s">
        <v>4229</v>
      </c>
      <c r="R1643" s="31" t="s">
        <v>56</v>
      </c>
      <c r="S1643" s="38" t="str">
        <f t="shared" si="65"/>
        <v>https://github.com/SF-Bancoppel/mx-api-bc-pro-party-lifecycle-management</v>
      </c>
      <c r="T1643" s="40"/>
      <c r="U1643" s="22"/>
      <c r="V1643" s="40"/>
      <c r="W1643" s="40"/>
      <c r="X1643" s="40"/>
      <c r="Y1643" s="40"/>
      <c r="Z1643" s="22"/>
      <c r="AA1643" s="22"/>
      <c r="AB1643" s="22"/>
    </row>
    <row r="1644" ht="18.75" customHeight="1">
      <c r="A1644" s="79" t="str">
        <f t="array" ref="A1644">IFERROR(
  INDEX(
    'api-register-id'!A:A,
    MATCH(F1644, 'api-register-id'!B:B, 0)
  ),
  "Not found Organization"
)</f>
        <v>SSFF</v>
      </c>
      <c r="B1644" s="22" t="str">
        <f>IFERROR(VLOOKUP(F1644, 'api-register-id'!B:F, 4, FALSE), "Not found path.")</f>
        <v>mx-api-bc-rec-party-lifecycle-management</v>
      </c>
      <c r="C1644" s="23" t="s">
        <v>112</v>
      </c>
      <c r="D1644" s="23" t="s">
        <v>1417</v>
      </c>
      <c r="E1644" s="24" t="str">
        <f>IFERROR(VLOOKUP(F1644, 'api-register-id'!B:F, 5, FALSE), "Not found path.")</f>
        <v>APIMX000139</v>
      </c>
      <c r="F1644" s="25" t="s">
        <v>1667</v>
      </c>
      <c r="G1644" s="26" t="s">
        <v>8109</v>
      </c>
      <c r="H1644" s="22" t="s">
        <v>8110</v>
      </c>
      <c r="I1644" s="29" t="str">
        <f>IFERROR(VLOOKUP(F1644, 'api-register-id'!B:I, 8, FALSE), "Not found path.")</f>
        <v>2.1.1</v>
      </c>
      <c r="J1644" s="3" t="s">
        <v>4543</v>
      </c>
      <c r="K1644" s="31" t="s">
        <v>6671</v>
      </c>
      <c r="L1644" s="23" t="s">
        <v>49</v>
      </c>
      <c r="M1644" s="3" t="s">
        <v>8108</v>
      </c>
      <c r="N1644" s="3" t="str">
        <f t="shared" si="64"/>
        <v>POST /experience/sales/partyLifecycleManagement/v2/location/register</v>
      </c>
      <c r="O1644" s="32" t="s">
        <v>1481</v>
      </c>
      <c r="P1644" s="32"/>
      <c r="Q1644" s="61" t="s">
        <v>4798</v>
      </c>
      <c r="R1644" s="31" t="s">
        <v>56</v>
      </c>
      <c r="S1644" s="38" t="str">
        <f t="shared" si="65"/>
        <v>https://github.com/SF-Bancoppel/mx-api-bc-rec-party-lifecycle-management</v>
      </c>
      <c r="T1644" s="40"/>
      <c r="U1644" s="22"/>
      <c r="V1644" s="40"/>
      <c r="W1644" s="40"/>
      <c r="X1644" s="40"/>
      <c r="Y1644" s="40"/>
      <c r="Z1644" s="22"/>
      <c r="AA1644" s="22"/>
      <c r="AB1644" s="22"/>
    </row>
    <row r="1645" ht="18.75" customHeight="1">
      <c r="A1645" s="79" t="str">
        <f t="array" ref="A1645">IFERROR(
  INDEX(
    'api-register-id'!A:A,
    MATCH(F1645, 'api-register-id'!B:B, 0)
  ),
  "Not found Organization"
)</f>
        <v>SSFF</v>
      </c>
      <c r="B1645" s="22" t="str">
        <f>IFERROR(VLOOKUP(F1645, 'api-register-id'!B:F, 4, FALSE), "Not found path.")</f>
        <v>mx-api-bc-pro-party-reference-data-directory</v>
      </c>
      <c r="C1645" s="78" t="s">
        <v>41</v>
      </c>
      <c r="D1645" s="78" t="s">
        <v>811</v>
      </c>
      <c r="E1645" s="24" t="str">
        <f>IFERROR(VLOOKUP(F1645, 'api-register-id'!B:F, 5, FALSE), "Not found path.")</f>
        <v>APIMX000097</v>
      </c>
      <c r="F1645" s="25" t="s">
        <v>1222</v>
      </c>
      <c r="G1645" s="26" t="s">
        <v>8111</v>
      </c>
      <c r="H1645" s="22" t="s">
        <v>8112</v>
      </c>
      <c r="I1645" s="29" t="str">
        <f>IFERROR(VLOOKUP(F1645, 'api-register-id'!B:I, 8, FALSE), "Not found path.")</f>
        <v>1.8.1</v>
      </c>
      <c r="J1645" s="3" t="s">
        <v>3395</v>
      </c>
      <c r="K1645" s="31" t="s">
        <v>6671</v>
      </c>
      <c r="L1645" s="78" t="s">
        <v>61</v>
      </c>
      <c r="M1645" s="3" t="s">
        <v>8113</v>
      </c>
      <c r="N1645" s="3" t="str">
        <f t="shared" si="64"/>
        <v>PUT /system/customerManagement/partyReferenceDataDirectory/v2/customerRelationshipInvolvement/update</v>
      </c>
      <c r="O1645" s="32" t="s">
        <v>5213</v>
      </c>
      <c r="P1645" s="32"/>
      <c r="Q1645" s="61" t="s">
        <v>5249</v>
      </c>
      <c r="R1645" s="31" t="s">
        <v>56</v>
      </c>
      <c r="S1645" s="38" t="str">
        <f t="shared" si="65"/>
        <v>https://github.com/SF-Bancoppel/mx-api-bc-pro-party-reference-data-directory</v>
      </c>
      <c r="T1645" s="40"/>
      <c r="U1645" s="40"/>
      <c r="V1645" s="40"/>
      <c r="W1645" s="40"/>
      <c r="X1645" s="40"/>
      <c r="Y1645" s="40"/>
      <c r="Z1645" s="40"/>
      <c r="AA1645" s="40"/>
      <c r="AB1645" s="40"/>
    </row>
    <row r="1646" ht="18.75" customHeight="1">
      <c r="A1646" s="435" t="str">
        <f t="array" ref="A1646">IFERROR(
  INDEX(
    'api-register-id'!A:A,
    MATCH(F1646, 'api-register-id'!B:B, 0)
  ),
  "Not found Organization"
)</f>
        <v>SSFF</v>
      </c>
      <c r="B1646" s="22" t="str">
        <f>IFERROR(VLOOKUP(F1646, 'api-register-id'!B:F, 4, FALSE), "Not found path.")</f>
        <v>mx-api-bc-bus-cross-product-operations</v>
      </c>
      <c r="C1646" s="78" t="s">
        <v>41</v>
      </c>
      <c r="D1646" s="23" t="s">
        <v>42</v>
      </c>
      <c r="E1646" s="24" t="str">
        <f>IFERROR(VLOOKUP(F1646, 'api-register-id'!B:F, 5, FALSE), "Not found path.")</f>
        <v>APIMX000159</v>
      </c>
      <c r="F1646" s="436" t="s">
        <v>1952</v>
      </c>
      <c r="G1646" s="26" t="s">
        <v>8114</v>
      </c>
      <c r="H1646" s="199" t="s">
        <v>8115</v>
      </c>
      <c r="I1646" s="29" t="s">
        <v>8116</v>
      </c>
      <c r="J1646" s="193" t="s">
        <v>5992</v>
      </c>
      <c r="K1646" s="31" t="s">
        <v>48</v>
      </c>
      <c r="L1646" s="23" t="s">
        <v>428</v>
      </c>
      <c r="M1646" s="3" t="s">
        <v>8117</v>
      </c>
      <c r="N1646" s="3" t="s">
        <v>8118</v>
      </c>
      <c r="O1646" s="22" t="s">
        <v>8119</v>
      </c>
      <c r="P1646" s="40"/>
      <c r="Q1646" s="212"/>
      <c r="R1646" s="31" t="s">
        <v>56</v>
      </c>
      <c r="S1646" s="38" t="str">
        <f t="shared" si="65"/>
        <v>https://github.com/SF-Bancoppel/mx-api-bc-bus-cross-product-operations</v>
      </c>
      <c r="T1646" s="40"/>
      <c r="U1646" s="40"/>
      <c r="V1646" s="40"/>
      <c r="W1646" s="40"/>
      <c r="X1646" s="40"/>
      <c r="Y1646" s="40"/>
      <c r="Z1646" s="40"/>
      <c r="AA1646" s="40"/>
      <c r="AB1646" s="40"/>
    </row>
    <row r="1647" ht="18.75" customHeight="1">
      <c r="A1647" s="435" t="str">
        <f t="array" ref="A1647">IFERROR(
  INDEX(
    'api-register-id'!A:A,
    MATCH(F1647, 'api-register-id'!B:B, 0)
  ),
  "Not found Organization"
)</f>
        <v>SSFF</v>
      </c>
      <c r="B1647" s="22" t="str">
        <f>IFERROR(VLOOKUP(F1647, 'api-register-id'!B:F, 4, FALSE), "Not found path.")</f>
        <v>mx-api-bc-dom-party-lifecycle-management</v>
      </c>
      <c r="C1647" s="78" t="s">
        <v>41</v>
      </c>
      <c r="D1647" s="23" t="s">
        <v>119</v>
      </c>
      <c r="E1647" s="24" t="str">
        <f>IFERROR(VLOOKUP(F1647, 'api-register-id'!B:F, 5, FALSE), "Not found path.")</f>
        <v>APIMX000040</v>
      </c>
      <c r="F1647" s="297" t="s">
        <v>624</v>
      </c>
      <c r="G1647" s="26" t="s">
        <v>8120</v>
      </c>
      <c r="H1647" s="199" t="s">
        <v>8121</v>
      </c>
      <c r="I1647" s="29" t="s">
        <v>8122</v>
      </c>
      <c r="J1647" s="193" t="s">
        <v>1315</v>
      </c>
      <c r="K1647" s="31" t="s">
        <v>48</v>
      </c>
      <c r="L1647" s="78" t="s">
        <v>61</v>
      </c>
      <c r="M1647" s="3" t="s">
        <v>8123</v>
      </c>
      <c r="N1647" s="3" t="s">
        <v>8124</v>
      </c>
      <c r="O1647" s="22" t="s">
        <v>8125</v>
      </c>
      <c r="P1647" s="40"/>
      <c r="Q1647" s="212"/>
      <c r="R1647" s="31" t="s">
        <v>56</v>
      </c>
      <c r="S1647" s="38" t="str">
        <f t="shared" si="65"/>
        <v>https://github.com/SF-Bancoppel/mx-api-bc-dom-party-lifecycle-management</v>
      </c>
      <c r="T1647" s="40"/>
      <c r="U1647" s="40"/>
      <c r="V1647" s="40"/>
      <c r="W1647" s="40"/>
      <c r="X1647" s="40"/>
      <c r="Y1647" s="40"/>
      <c r="Z1647" s="40"/>
      <c r="AA1647" s="40"/>
      <c r="AB1647" s="40"/>
    </row>
    <row r="1648" ht="18.75" customHeight="1">
      <c r="A1648" s="435" t="str">
        <f t="array" ref="A1648">IFERROR(
  INDEX(
    'api-register-id'!A:A,
    MATCH(F1648, 'api-register-id'!B:B, 0)
  ),
  "Not found Organization"
)</f>
        <v>SSFF</v>
      </c>
      <c r="B1648" s="22" t="str">
        <f>IFERROR(VLOOKUP(F1648, 'api-register-id'!B:F, 4, FALSE), "Not found path.")</f>
        <v>mx-api-bc-dom-party-lifecycle-management</v>
      </c>
      <c r="C1648" s="78" t="s">
        <v>41</v>
      </c>
      <c r="D1648" s="23" t="s">
        <v>119</v>
      </c>
      <c r="E1648" s="24" t="str">
        <f>IFERROR(VLOOKUP(F1648, 'api-register-id'!B:F, 5, FALSE), "Not found path.")</f>
        <v>APIMX000040</v>
      </c>
      <c r="F1648" s="297" t="s">
        <v>624</v>
      </c>
      <c r="G1648" s="26" t="s">
        <v>8126</v>
      </c>
      <c r="H1648" s="199" t="s">
        <v>8127</v>
      </c>
      <c r="I1648" s="29" t="s">
        <v>8122</v>
      </c>
      <c r="J1648" s="193" t="s">
        <v>1315</v>
      </c>
      <c r="K1648" s="31" t="s">
        <v>48</v>
      </c>
      <c r="L1648" s="23" t="s">
        <v>428</v>
      </c>
      <c r="M1648" s="3" t="s">
        <v>8128</v>
      </c>
      <c r="N1648" s="3" t="s">
        <v>8129</v>
      </c>
      <c r="O1648" s="22" t="s">
        <v>8130</v>
      </c>
      <c r="P1648" s="40"/>
      <c r="Q1648" s="212"/>
      <c r="R1648" s="31" t="s">
        <v>56</v>
      </c>
      <c r="S1648" s="38" t="str">
        <f t="shared" si="65"/>
        <v>https://github.com/SF-Bancoppel/mx-api-bc-dom-party-lifecycle-management</v>
      </c>
      <c r="T1648" s="40"/>
      <c r="U1648" s="40"/>
      <c r="V1648" s="40"/>
      <c r="W1648" s="40"/>
      <c r="X1648" s="40"/>
      <c r="Y1648" s="40"/>
      <c r="Z1648" s="40"/>
      <c r="AA1648" s="40"/>
      <c r="AB1648" s="40"/>
    </row>
    <row r="1649" ht="18.75" customHeight="1">
      <c r="A1649" s="435" t="str">
        <f t="array" ref="A1649">IFERROR(
  INDEX(
    'api-register-id'!A:A,
    MATCH(F1649, 'api-register-id'!B:B, 0)
  ),
  "Not found Organization"
)</f>
        <v>SSFF</v>
      </c>
      <c r="B1649" s="22" t="str">
        <f>IFERROR(VLOOKUP(F1649, 'api-register-id'!B:F, 4, FALSE), "Not found path.")</f>
        <v>mx-api-bc-pro-party-lifecycle-management</v>
      </c>
      <c r="C1649" s="78" t="s">
        <v>41</v>
      </c>
      <c r="D1649" s="23" t="s">
        <v>811</v>
      </c>
      <c r="E1649" s="24" t="str">
        <f>IFERROR(VLOOKUP(F1649, 'api-register-id'!B:F, 5, FALSE), "Not found path.")</f>
        <v>APIMX000096</v>
      </c>
      <c r="F1649" s="297" t="s">
        <v>1214</v>
      </c>
      <c r="G1649" s="26" t="s">
        <v>8131</v>
      </c>
      <c r="H1649" s="199" t="s">
        <v>8132</v>
      </c>
      <c r="I1649" s="29" t="s">
        <v>8133</v>
      </c>
      <c r="J1649" s="193" t="s">
        <v>3197</v>
      </c>
      <c r="K1649" s="31" t="s">
        <v>48</v>
      </c>
      <c r="L1649" s="78" t="s">
        <v>61</v>
      </c>
      <c r="M1649" s="3" t="s">
        <v>8123</v>
      </c>
      <c r="N1649" s="3" t="s">
        <v>8134</v>
      </c>
      <c r="O1649" s="22" t="s">
        <v>8125</v>
      </c>
      <c r="P1649" s="40"/>
      <c r="Q1649" s="212"/>
      <c r="R1649" s="31" t="s">
        <v>56</v>
      </c>
      <c r="S1649" s="38" t="str">
        <f t="shared" si="65"/>
        <v>https://github.com/SF-Bancoppel/mx-api-bc-pro-party-lifecycle-management</v>
      </c>
      <c r="T1649" s="40"/>
      <c r="U1649" s="40"/>
      <c r="V1649" s="40"/>
      <c r="W1649" s="40"/>
      <c r="X1649" s="40"/>
      <c r="Y1649" s="40"/>
      <c r="Z1649" s="40"/>
      <c r="AA1649" s="40"/>
      <c r="AB1649" s="40"/>
    </row>
    <row r="1650" ht="18.75" customHeight="1">
      <c r="A1650" s="435" t="str">
        <f t="array" ref="A1650">IFERROR(
  INDEX(
    'api-register-id'!A:A,
    MATCH(F1650, 'api-register-id'!B:B, 0)
  ),
  "Not found Organization"
)</f>
        <v>SSFF</v>
      </c>
      <c r="B1650" s="22" t="str">
        <f>IFERROR(VLOOKUP(F1650, 'api-register-id'!B:F, 4, FALSE), "Not found path.")</f>
        <v>mx-api-bc-pro-party-lifecycle-management</v>
      </c>
      <c r="C1650" s="78" t="s">
        <v>41</v>
      </c>
      <c r="D1650" s="23" t="s">
        <v>811</v>
      </c>
      <c r="E1650" s="24" t="str">
        <f>IFERROR(VLOOKUP(F1650, 'api-register-id'!B:F, 5, FALSE), "Not found path.")</f>
        <v>APIMX000096</v>
      </c>
      <c r="F1650" s="297" t="s">
        <v>1214</v>
      </c>
      <c r="G1650" s="26" t="s">
        <v>8135</v>
      </c>
      <c r="H1650" s="199" t="s">
        <v>8136</v>
      </c>
      <c r="I1650" s="29" t="s">
        <v>8133</v>
      </c>
      <c r="J1650" s="193" t="s">
        <v>3197</v>
      </c>
      <c r="K1650" s="31" t="s">
        <v>48</v>
      </c>
      <c r="L1650" s="78" t="s">
        <v>61</v>
      </c>
      <c r="M1650" s="3" t="s">
        <v>8128</v>
      </c>
      <c r="N1650" s="3" t="s">
        <v>8137</v>
      </c>
      <c r="O1650" s="22" t="s">
        <v>8130</v>
      </c>
      <c r="P1650" s="40"/>
      <c r="Q1650" s="212"/>
      <c r="R1650" s="31" t="s">
        <v>56</v>
      </c>
      <c r="S1650" s="38" t="str">
        <f t="shared" si="65"/>
        <v>https://github.com/SF-Bancoppel/mx-api-bc-pro-party-lifecycle-management</v>
      </c>
      <c r="T1650" s="40"/>
      <c r="U1650" s="40"/>
      <c r="V1650" s="40"/>
      <c r="W1650" s="40"/>
      <c r="X1650" s="40"/>
      <c r="Y1650" s="40"/>
      <c r="Z1650" s="40"/>
      <c r="AA1650" s="40"/>
      <c r="AB1650" s="40"/>
    </row>
    <row r="1651" ht="18.75" customHeight="1">
      <c r="A1651" s="435" t="str">
        <f t="array" ref="A1651">IFERROR(
  INDEX(
    'api-register-id'!A:A,
    MATCH(F1651, 'api-register-id'!B:B, 0)
  ),
  "Not found Organization"
)</f>
        <v>SSFF</v>
      </c>
      <c r="B1651" s="22" t="str">
        <f>IFERROR(VLOOKUP(F1651, 'api-register-id'!B:F, 4, FALSE), "Not found path.")</f>
        <v>mx-api-bc-rec-cross-product-operations</v>
      </c>
      <c r="C1651" s="23" t="s">
        <v>112</v>
      </c>
      <c r="D1651" s="23" t="s">
        <v>1417</v>
      </c>
      <c r="E1651" s="24" t="str">
        <f>IFERROR(VLOOKUP(F1651, 'api-register-id'!B:F, 5, FALSE), "Not found path.")</f>
        <v>APIMX000160</v>
      </c>
      <c r="F1651" s="297" t="s">
        <v>1983</v>
      </c>
      <c r="G1651" s="26" t="s">
        <v>8138</v>
      </c>
      <c r="H1651" s="199" t="s">
        <v>8139</v>
      </c>
      <c r="I1651" s="29" t="s">
        <v>8140</v>
      </c>
      <c r="J1651" s="193" t="s">
        <v>6008</v>
      </c>
      <c r="K1651" s="31" t="s">
        <v>48</v>
      </c>
      <c r="L1651" s="78" t="s">
        <v>61</v>
      </c>
      <c r="M1651" s="3" t="s">
        <v>8117</v>
      </c>
      <c r="N1651" s="3" t="s">
        <v>8141</v>
      </c>
      <c r="O1651" s="22" t="s">
        <v>8092</v>
      </c>
      <c r="P1651" s="40"/>
      <c r="Q1651" s="212"/>
      <c r="R1651" s="31" t="s">
        <v>56</v>
      </c>
      <c r="S1651" s="38" t="str">
        <f t="shared" si="65"/>
        <v>https://github.com/SF-Bancoppel/mx-api-bc-rec-cross-product-operations</v>
      </c>
      <c r="T1651" s="40"/>
      <c r="U1651" s="40"/>
      <c r="V1651" s="40"/>
      <c r="W1651" s="40"/>
      <c r="X1651" s="40"/>
      <c r="Y1651" s="40"/>
      <c r="Z1651" s="40"/>
      <c r="AA1651" s="40"/>
      <c r="AB1651" s="40"/>
    </row>
    <row r="1652" ht="18.75" customHeight="1">
      <c r="A1652" s="435" t="str">
        <f t="array" ref="A1652">IFERROR(
  INDEX(
    'api-register-id'!A:A,
    MATCH(F1652, 'api-register-id'!B:B, 0)
  ),
  "Not found Organization"
)</f>
        <v>SSFF</v>
      </c>
      <c r="B1652" s="22" t="str">
        <f>IFERROR(VLOOKUP(F1652, 'api-register-id'!B:F, 4, FALSE), "Not found path.")</f>
        <v>mx-api-bc-rec-party-lifecycle-management</v>
      </c>
      <c r="C1652" s="23" t="s">
        <v>112</v>
      </c>
      <c r="D1652" s="23" t="s">
        <v>1417</v>
      </c>
      <c r="E1652" s="24" t="str">
        <f>IFERROR(VLOOKUP(F1652, 'api-register-id'!B:F, 5, FALSE), "Not found path.")</f>
        <v>APIMX000139</v>
      </c>
      <c r="F1652" s="297" t="s">
        <v>1667</v>
      </c>
      <c r="G1652" s="26" t="s">
        <v>8142</v>
      </c>
      <c r="H1652" s="199" t="s">
        <v>8143</v>
      </c>
      <c r="I1652" s="29" t="s">
        <v>8144</v>
      </c>
      <c r="J1652" s="193" t="s">
        <v>4543</v>
      </c>
      <c r="K1652" s="31" t="s">
        <v>48</v>
      </c>
      <c r="L1652" s="23" t="s">
        <v>428</v>
      </c>
      <c r="M1652" s="3" t="s">
        <v>8123</v>
      </c>
      <c r="N1652" s="3" t="s">
        <v>8145</v>
      </c>
      <c r="O1652" s="22" t="s">
        <v>8125</v>
      </c>
      <c r="P1652" s="40"/>
      <c r="Q1652" s="212"/>
      <c r="R1652" s="31" t="s">
        <v>56</v>
      </c>
      <c r="S1652" s="38" t="str">
        <f t="shared" si="65"/>
        <v>https://github.com/SF-Bancoppel/mx-api-bc-rec-party-lifecycle-management</v>
      </c>
      <c r="T1652" s="40"/>
      <c r="U1652" s="40"/>
      <c r="V1652" s="40"/>
      <c r="W1652" s="40"/>
      <c r="X1652" s="40"/>
      <c r="Y1652" s="40"/>
      <c r="Z1652" s="40"/>
      <c r="AA1652" s="40"/>
      <c r="AB1652" s="40"/>
    </row>
    <row r="1653" ht="18.75" customHeight="1">
      <c r="A1653" s="435" t="str">
        <f t="array" ref="A1653">IFERROR(
  INDEX(
    'api-register-id'!A:A,
    MATCH(F1653, 'api-register-id'!B:B, 0)
  ),
  "Not found Organization"
)</f>
        <v>SSFF</v>
      </c>
      <c r="B1653" s="22" t="str">
        <f>IFERROR(VLOOKUP(F1653, 'api-register-id'!B:F, 4, FALSE), "Not found path.")</f>
        <v>mx-api-bc-rec-party-lifecycle-management</v>
      </c>
      <c r="C1653" s="23" t="s">
        <v>112</v>
      </c>
      <c r="D1653" s="23" t="s">
        <v>1417</v>
      </c>
      <c r="E1653" s="24" t="str">
        <f>IFERROR(VLOOKUP(F1653, 'api-register-id'!B:F, 5, FALSE), "Not found path.")</f>
        <v>APIMX000139</v>
      </c>
      <c r="F1653" s="297" t="s">
        <v>1667</v>
      </c>
      <c r="G1653" s="26" t="s">
        <v>8146</v>
      </c>
      <c r="H1653" s="199" t="s">
        <v>8147</v>
      </c>
      <c r="I1653" s="29" t="s">
        <v>8144</v>
      </c>
      <c r="J1653" s="193" t="s">
        <v>4543</v>
      </c>
      <c r="K1653" s="31" t="s">
        <v>48</v>
      </c>
      <c r="L1653" s="78" t="s">
        <v>61</v>
      </c>
      <c r="M1653" s="3" t="s">
        <v>8128</v>
      </c>
      <c r="N1653" s="3" t="s">
        <v>8148</v>
      </c>
      <c r="O1653" s="22" t="s">
        <v>8130</v>
      </c>
      <c r="P1653" s="40"/>
      <c r="Q1653" s="212"/>
      <c r="R1653" s="31" t="s">
        <v>56</v>
      </c>
      <c r="S1653" s="38" t="str">
        <f t="shared" si="65"/>
        <v>https://github.com/SF-Bancoppel/mx-api-bc-rec-party-lifecycle-management</v>
      </c>
      <c r="T1653" s="40"/>
      <c r="U1653" s="40"/>
      <c r="V1653" s="40"/>
      <c r="W1653" s="40"/>
      <c r="X1653" s="40"/>
      <c r="Y1653" s="40"/>
      <c r="Z1653" s="40"/>
      <c r="AA1653" s="40"/>
      <c r="AB1653" s="40"/>
    </row>
    <row r="1654" ht="18.75" customHeight="1">
      <c r="A1654" s="79" t="str">
        <f t="array" ref="A1654">IFERROR(
  INDEX(
    'api-register-id'!A:A,
    MATCH(F1654, 'api-register-id'!B:B, 0)
  ),
  "Not found Organization"
)</f>
        <v>SSFF</v>
      </c>
      <c r="B1654" s="22" t="str">
        <f>IFERROR(VLOOKUP(F1654, 'api-register-id'!B:F, 4, FALSE), "Not found path.")</f>
        <v>mx-api-bc-dom-party-lifecycle-management</v>
      </c>
      <c r="C1654" s="23" t="s">
        <v>41</v>
      </c>
      <c r="D1654" s="23" t="s">
        <v>119</v>
      </c>
      <c r="E1654" s="24" t="str">
        <f>IFERROR(VLOOKUP(F1654, 'api-register-id'!B:F, 5, FALSE), "Not found path.")</f>
        <v>APIMX000040</v>
      </c>
      <c r="F1654" s="25" t="s">
        <v>624</v>
      </c>
      <c r="G1654" s="26" t="s">
        <v>8149</v>
      </c>
      <c r="H1654" s="22" t="s">
        <v>8150</v>
      </c>
      <c r="I1654" s="29" t="s">
        <v>8151</v>
      </c>
      <c r="J1654" s="3" t="s">
        <v>1315</v>
      </c>
      <c r="K1654" s="31" t="s">
        <v>6671</v>
      </c>
      <c r="L1654" s="23" t="s">
        <v>49</v>
      </c>
      <c r="M1654" s="3" t="s">
        <v>8108</v>
      </c>
      <c r="N1654" s="3" t="str">
        <f t="shared" ref="N1654:N1656" si="66">CONCATENATE(L1654," ",J1654,M1654)</f>
        <v>POST /sales/partyLifecycleManagement/v2/location/register</v>
      </c>
      <c r="O1654" s="32" t="s">
        <v>1481</v>
      </c>
      <c r="P1654" s="32"/>
      <c r="Q1654" s="36" t="s">
        <v>8152</v>
      </c>
      <c r="R1654" s="31" t="s">
        <v>56</v>
      </c>
      <c r="S1654" s="38" t="str">
        <f t="shared" si="65"/>
        <v>https://github.com/SF-Bancoppel/mx-api-bc-dom-party-lifecycle-management</v>
      </c>
      <c r="T1654" s="40"/>
      <c r="U1654" s="40"/>
      <c r="V1654" s="40"/>
      <c r="W1654" s="40"/>
      <c r="X1654" s="40"/>
      <c r="Y1654" s="40"/>
      <c r="Z1654" s="40"/>
      <c r="AA1654" s="40"/>
      <c r="AB1654" s="40"/>
    </row>
    <row r="1655" ht="18.75" customHeight="1">
      <c r="A1655" s="79" t="str">
        <f t="array" ref="A1655">IFERROR(
  INDEX(
    'api-register-id'!A:A,
    MATCH(F1655, 'api-register-id'!B:B, 0)
  ),
  "Not found Organization"
)</f>
        <v>SSFF</v>
      </c>
      <c r="B1655" s="22" t="str">
        <f>IFERROR(VLOOKUP(F1655, 'api-register-id'!B:F, 4, FALSE), "Not found path.")</f>
        <v>mx-api-bc-dom-party-reference-data-directory</v>
      </c>
      <c r="C1655" s="78" t="s">
        <v>41</v>
      </c>
      <c r="D1655" s="78" t="s">
        <v>119</v>
      </c>
      <c r="E1655" s="24" t="str">
        <f>IFERROR(VLOOKUP(F1655, 'api-register-id'!B:F, 5, FALSE), "Not found path.")</f>
        <v>APIMX000041</v>
      </c>
      <c r="F1655" s="25" t="s">
        <v>637</v>
      </c>
      <c r="G1655" s="26" t="s">
        <v>8153</v>
      </c>
      <c r="H1655" s="22" t="s">
        <v>8154</v>
      </c>
      <c r="I1655" s="29" t="s">
        <v>8155</v>
      </c>
      <c r="J1655" s="3" t="s">
        <v>1504</v>
      </c>
      <c r="K1655" s="31" t="s">
        <v>6671</v>
      </c>
      <c r="L1655" s="78" t="s">
        <v>61</v>
      </c>
      <c r="M1655" s="3" t="s">
        <v>8113</v>
      </c>
      <c r="N1655" s="3" t="str">
        <f t="shared" si="66"/>
        <v>PUT /customerManagement/partyReferenceDataDirectory/v2/customerRelationshipInvolvement/update</v>
      </c>
      <c r="O1655" s="32" t="s">
        <v>5213</v>
      </c>
      <c r="P1655" s="32"/>
      <c r="Q1655" s="36" t="s">
        <v>8156</v>
      </c>
      <c r="R1655" s="31" t="s">
        <v>56</v>
      </c>
      <c r="S1655" s="38" t="str">
        <f t="shared" si="65"/>
        <v>https://github.com/SF-Bancoppel/mx-api-bc-dom-party-reference-data-directory</v>
      </c>
      <c r="T1655" s="40"/>
      <c r="U1655" s="66"/>
      <c r="V1655" s="66"/>
      <c r="W1655" s="66"/>
      <c r="X1655" s="66"/>
      <c r="Y1655" s="66"/>
      <c r="Z1655" s="66"/>
      <c r="AA1655" s="66"/>
      <c r="AB1655" s="66"/>
    </row>
    <row r="1656" ht="18.75" customHeight="1">
      <c r="A1656" s="79" t="str">
        <f t="array" ref="A1656">IFERROR(
  INDEX(
    'api-register-id'!A:A,
    MATCH(F1656, 'api-register-id'!B:B, 0)
  ),
  "Not found Organization"
)</f>
        <v>SSFF</v>
      </c>
      <c r="B1656" s="22" t="str">
        <f>IFERROR(VLOOKUP(F1656, 'api-register-id'!B:F, 4, FALSE), "Not found path.")</f>
        <v>mx-api-bc-dom-party-lifecycle-management</v>
      </c>
      <c r="C1656" s="78" t="s">
        <v>41</v>
      </c>
      <c r="D1656" s="78" t="s">
        <v>119</v>
      </c>
      <c r="E1656" s="24" t="str">
        <f>IFERROR(VLOOKUP(F1656, 'api-register-id'!B:F, 5, FALSE), "Not found path.")</f>
        <v>APIMX000040</v>
      </c>
      <c r="F1656" s="25" t="s">
        <v>624</v>
      </c>
      <c r="G1656" s="26" t="s">
        <v>8157</v>
      </c>
      <c r="H1656" s="22" t="s">
        <v>8158</v>
      </c>
      <c r="I1656" s="29" t="s">
        <v>8159</v>
      </c>
      <c r="J1656" s="3" t="s">
        <v>1315</v>
      </c>
      <c r="K1656" s="31" t="s">
        <v>6671</v>
      </c>
      <c r="L1656" s="78" t="s">
        <v>49</v>
      </c>
      <c r="M1656" s="3" t="s">
        <v>8160</v>
      </c>
      <c r="N1656" s="3" t="str">
        <f t="shared" si="66"/>
        <v>POST /sales/partyLifecycleManagement/v2/documentation/create</v>
      </c>
      <c r="O1656" s="32" t="s">
        <v>5294</v>
      </c>
      <c r="P1656" s="32"/>
      <c r="Q1656" s="61"/>
      <c r="R1656" s="31" t="s">
        <v>56</v>
      </c>
      <c r="S1656" s="38" t="str">
        <f t="shared" si="65"/>
        <v>https://github.com/SF-Bancoppel/mx-api-bc-dom-party-lifecycle-management</v>
      </c>
      <c r="T1656" s="40"/>
      <c r="U1656" s="40"/>
      <c r="V1656" s="40"/>
      <c r="W1656" s="40"/>
      <c r="X1656" s="40"/>
      <c r="Y1656" s="40"/>
      <c r="Z1656" s="40"/>
      <c r="AA1656" s="40"/>
      <c r="AB1656" s="40"/>
    </row>
    <row r="1657" ht="18.75" customHeight="1">
      <c r="A1657" s="435" t="str">
        <f t="array" ref="A1657">IFERROR(
  INDEX(
    'api-register-id'!A:A,
    MATCH(F1657, 'api-register-id'!B:B, 0)
  ),
  "Not found Organization"
)</f>
        <v>SSFF</v>
      </c>
      <c r="B1657" s="22" t="str">
        <f>IFERROR(VLOOKUP(F1657, 'api-register-id'!B:F, 4, FALSE), "Not found path.")</f>
        <v>mx-api-bc-dom-customer-credit-rating</v>
      </c>
      <c r="C1657" s="78" t="s">
        <v>41</v>
      </c>
      <c r="D1657" s="78" t="s">
        <v>119</v>
      </c>
      <c r="E1657" s="24" t="str">
        <f>IFERROR(VLOOKUP(F1657, 'api-register-id'!B:F, 5, FALSE), "Not found path.")</f>
        <v>APIMX000019</v>
      </c>
      <c r="F1657" s="297" t="s">
        <v>325</v>
      </c>
      <c r="G1657" s="26" t="s">
        <v>8161</v>
      </c>
      <c r="H1657" s="199" t="s">
        <v>8162</v>
      </c>
      <c r="I1657" s="29" t="s">
        <v>7503</v>
      </c>
      <c r="J1657" s="193" t="s">
        <v>5325</v>
      </c>
      <c r="K1657" s="31" t="s">
        <v>48</v>
      </c>
      <c r="L1657" s="78" t="s">
        <v>49</v>
      </c>
      <c r="M1657" s="310" t="s">
        <v>8163</v>
      </c>
      <c r="N1657" s="3" t="s">
        <v>8164</v>
      </c>
      <c r="O1657" s="22" t="s">
        <v>8165</v>
      </c>
      <c r="P1657" s="40"/>
      <c r="Q1657" s="212"/>
      <c r="R1657" s="31" t="s">
        <v>56</v>
      </c>
      <c r="S1657" s="38" t="str">
        <f t="shared" si="65"/>
        <v>https://github.com/SF-Bancoppel/mx-api-bc-dom-customer-credit-rating</v>
      </c>
      <c r="T1657" s="40"/>
      <c r="U1657" s="40"/>
      <c r="V1657" s="40"/>
      <c r="W1657" s="40"/>
      <c r="X1657" s="40"/>
      <c r="Y1657" s="40"/>
      <c r="Z1657" s="40"/>
      <c r="AA1657" s="40"/>
      <c r="AB1657" s="40"/>
    </row>
    <row r="1658" ht="18.75" customHeight="1">
      <c r="A1658" s="435" t="str">
        <f t="array" ref="A1658">IFERROR(
  INDEX(
    'api-register-id'!A:A,
    MATCH(F1658, 'api-register-id'!B:B, 0)
  ),
  "Not found Organization"
)</f>
        <v>SSFF</v>
      </c>
      <c r="B1658" s="22" t="str">
        <f>IFERROR(VLOOKUP(F1658, 'api-register-id'!B:F, 4, FALSE), "Not found path.")</f>
        <v>mx-api-bc-dom-customer-credit-rating</v>
      </c>
      <c r="C1658" s="78" t="s">
        <v>41</v>
      </c>
      <c r="D1658" s="78" t="s">
        <v>119</v>
      </c>
      <c r="E1658" s="24" t="str">
        <f>IFERROR(VLOOKUP(F1658, 'api-register-id'!B:F, 5, FALSE), "Not found path.")</f>
        <v>APIMX000019</v>
      </c>
      <c r="F1658" s="297" t="s">
        <v>325</v>
      </c>
      <c r="G1658" s="26" t="s">
        <v>8166</v>
      </c>
      <c r="H1658" s="199" t="s">
        <v>8167</v>
      </c>
      <c r="I1658" s="29" t="s">
        <v>7503</v>
      </c>
      <c r="J1658" s="193" t="s">
        <v>5325</v>
      </c>
      <c r="K1658" s="31" t="s">
        <v>48</v>
      </c>
      <c r="L1658" s="78" t="s">
        <v>49</v>
      </c>
      <c r="M1658" s="310" t="s">
        <v>8168</v>
      </c>
      <c r="N1658" s="3" t="s">
        <v>8169</v>
      </c>
      <c r="O1658" s="22" t="s">
        <v>8170</v>
      </c>
      <c r="P1658" s="40"/>
      <c r="Q1658" s="212"/>
      <c r="R1658" s="31" t="s">
        <v>56</v>
      </c>
      <c r="S1658" s="38" t="str">
        <f t="shared" si="65"/>
        <v>https://github.com/SF-Bancoppel/mx-api-bc-dom-customer-credit-rating</v>
      </c>
      <c r="T1658" s="40"/>
      <c r="U1658" s="40"/>
      <c r="V1658" s="40"/>
      <c r="W1658" s="40"/>
      <c r="X1658" s="40"/>
      <c r="Y1658" s="40"/>
      <c r="Z1658" s="40"/>
      <c r="AA1658" s="40"/>
      <c r="AB1658" s="40"/>
    </row>
    <row r="1659" ht="18.75" customHeight="1">
      <c r="A1659" s="435" t="str">
        <f t="array" ref="A1659">IFERROR(
  INDEX(
    'api-register-id'!A:A,
    MATCH(F1659, 'api-register-id'!B:B, 0)
  ),
  "Not found Organization"
)</f>
        <v>SSFF</v>
      </c>
      <c r="B1659" s="22" t="str">
        <f>IFERROR(VLOOKUP(F1659, 'api-register-id'!B:F, 4, FALSE), "Not found path.")</f>
        <v>mx-api-bc-dom-savings-account</v>
      </c>
      <c r="C1659" s="78" t="s">
        <v>41</v>
      </c>
      <c r="D1659" s="78" t="s">
        <v>119</v>
      </c>
      <c r="E1659" s="24" t="str">
        <f>IFERROR(VLOOKUP(F1659, 'api-register-id'!B:F, 5, FALSE), "Not found path.")</f>
        <v>APIMX000053</v>
      </c>
      <c r="F1659" s="297" t="s">
        <v>755</v>
      </c>
      <c r="G1659" s="26" t="s">
        <v>8171</v>
      </c>
      <c r="H1659" s="199" t="s">
        <v>8172</v>
      </c>
      <c r="I1659" s="29" t="s">
        <v>122</v>
      </c>
      <c r="J1659" s="193" t="s">
        <v>1848</v>
      </c>
      <c r="K1659" s="31" t="s">
        <v>48</v>
      </c>
      <c r="L1659" s="78" t="s">
        <v>49</v>
      </c>
      <c r="M1659" s="310" t="s">
        <v>8173</v>
      </c>
      <c r="N1659" s="3" t="s">
        <v>8174</v>
      </c>
      <c r="O1659" s="22" t="s">
        <v>8175</v>
      </c>
      <c r="P1659" s="40"/>
      <c r="Q1659" s="212"/>
      <c r="R1659" s="31" t="s">
        <v>56</v>
      </c>
      <c r="S1659" s="38" t="str">
        <f t="shared" si="65"/>
        <v>https://github.com/SF-Bancoppel/mx-api-bc-dom-savings-account</v>
      </c>
      <c r="T1659" s="40"/>
      <c r="U1659" s="40"/>
      <c r="V1659" s="40"/>
      <c r="W1659" s="40"/>
      <c r="X1659" s="40"/>
      <c r="Y1659" s="40"/>
      <c r="Z1659" s="40"/>
      <c r="AA1659" s="40"/>
      <c r="AB1659" s="40"/>
    </row>
    <row r="1660" ht="18.75" customHeight="1">
      <c r="A1660" s="435" t="str">
        <f t="array" ref="A1660">IFERROR(
  INDEX(
    'api-register-id'!A:A,
    MATCH(F1660, 'api-register-id'!B:B, 0)
  ),
  "Not found Organization"
)</f>
        <v>SSFF</v>
      </c>
      <c r="B1660" s="22" t="str">
        <f>IFERROR(VLOOKUP(F1660, 'api-register-id'!B:F, 4, FALSE), "Not found path.")</f>
        <v>mx-api-bc-dom-savings-account</v>
      </c>
      <c r="C1660" s="78" t="s">
        <v>41</v>
      </c>
      <c r="D1660" s="78" t="s">
        <v>119</v>
      </c>
      <c r="E1660" s="24" t="str">
        <f>IFERROR(VLOOKUP(F1660, 'api-register-id'!B:F, 5, FALSE), "Not found path.")</f>
        <v>APIMX000053</v>
      </c>
      <c r="F1660" s="297" t="s">
        <v>755</v>
      </c>
      <c r="G1660" s="26" t="s">
        <v>8176</v>
      </c>
      <c r="H1660" s="199" t="s">
        <v>8177</v>
      </c>
      <c r="I1660" s="29" t="s">
        <v>122</v>
      </c>
      <c r="J1660" s="193" t="s">
        <v>1848</v>
      </c>
      <c r="K1660" s="31" t="s">
        <v>48</v>
      </c>
      <c r="L1660" s="78" t="s">
        <v>49</v>
      </c>
      <c r="M1660" s="310" t="s">
        <v>8178</v>
      </c>
      <c r="N1660" s="3" t="s">
        <v>8179</v>
      </c>
      <c r="O1660" s="22" t="s">
        <v>8180</v>
      </c>
      <c r="P1660" s="40"/>
      <c r="Q1660" s="212"/>
      <c r="R1660" s="31" t="s">
        <v>56</v>
      </c>
      <c r="S1660" s="38" t="str">
        <f t="shared" si="65"/>
        <v>https://github.com/SF-Bancoppel/mx-api-bc-dom-savings-account</v>
      </c>
      <c r="T1660" s="40"/>
      <c r="U1660" s="40"/>
      <c r="V1660" s="40"/>
      <c r="W1660" s="40"/>
      <c r="X1660" s="40"/>
      <c r="Y1660" s="40"/>
      <c r="Z1660" s="40"/>
      <c r="AA1660" s="40"/>
      <c r="AB1660" s="40"/>
    </row>
    <row r="1661" ht="18.75" customHeight="1">
      <c r="A1661" s="435" t="str">
        <f t="array" ref="A1661">IFERROR(
  INDEX(
    'api-register-id'!A:A,
    MATCH(F1661, 'api-register-id'!B:B, 0)
  ),
  "Not found Organization"
)</f>
        <v>SSFF</v>
      </c>
      <c r="B1661" s="22" t="str">
        <f>IFERROR(VLOOKUP(F1661, 'api-register-id'!B:F, 4, FALSE), "Not found path.")</f>
        <v>mx-api-bc-pro-customer-credit-rating</v>
      </c>
      <c r="C1661" s="78" t="s">
        <v>41</v>
      </c>
      <c r="D1661" s="23" t="s">
        <v>811</v>
      </c>
      <c r="E1661" s="24" t="str">
        <f>IFERROR(VLOOKUP(F1661, 'api-register-id'!B:F, 5, FALSE), "Not found path.")</f>
        <v>APIMX000075</v>
      </c>
      <c r="F1661" s="297" t="s">
        <v>986</v>
      </c>
      <c r="G1661" s="26" t="s">
        <v>8181</v>
      </c>
      <c r="H1661" s="199" t="s">
        <v>8182</v>
      </c>
      <c r="I1661" s="29" t="s">
        <v>8183</v>
      </c>
      <c r="J1661" s="193" t="s">
        <v>5647</v>
      </c>
      <c r="K1661" s="31" t="s">
        <v>48</v>
      </c>
      <c r="L1661" s="78" t="s">
        <v>49</v>
      </c>
      <c r="M1661" s="310" t="s">
        <v>8163</v>
      </c>
      <c r="N1661" s="3" t="s">
        <v>8184</v>
      </c>
      <c r="O1661" s="22" t="s">
        <v>8165</v>
      </c>
      <c r="P1661" s="40"/>
      <c r="Q1661" s="212"/>
      <c r="R1661" s="31" t="s">
        <v>56</v>
      </c>
      <c r="S1661" s="38" t="str">
        <f t="shared" si="65"/>
        <v>https://github.com/SF-Bancoppel/mx-api-bc-pro-customer-credit-rating</v>
      </c>
      <c r="T1661" s="40"/>
      <c r="U1661" s="40"/>
      <c r="V1661" s="40"/>
      <c r="W1661" s="40"/>
      <c r="X1661" s="40"/>
      <c r="Y1661" s="40"/>
      <c r="Z1661" s="40"/>
      <c r="AA1661" s="40"/>
      <c r="AB1661" s="40"/>
    </row>
    <row r="1662" ht="18.75" customHeight="1">
      <c r="A1662" s="435" t="str">
        <f t="array" ref="A1662">IFERROR(
  INDEX(
    'api-register-id'!A:A,
    MATCH(F1662, 'api-register-id'!B:B, 0)
  ),
  "Not found Organization"
)</f>
        <v>SSFF</v>
      </c>
      <c r="B1662" s="22" t="str">
        <f>IFERROR(VLOOKUP(F1662, 'api-register-id'!B:F, 4, FALSE), "Not found path.")</f>
        <v>mx-api-bc-pro-customer-credit-rating</v>
      </c>
      <c r="C1662" s="78" t="s">
        <v>41</v>
      </c>
      <c r="D1662" s="23" t="s">
        <v>811</v>
      </c>
      <c r="E1662" s="24" t="str">
        <f>IFERROR(VLOOKUP(F1662, 'api-register-id'!B:F, 5, FALSE), "Not found path.")</f>
        <v>APIMX000075</v>
      </c>
      <c r="F1662" s="297" t="s">
        <v>986</v>
      </c>
      <c r="G1662" s="26" t="s">
        <v>8185</v>
      </c>
      <c r="H1662" s="199" t="s">
        <v>8186</v>
      </c>
      <c r="I1662" s="29" t="s">
        <v>8183</v>
      </c>
      <c r="J1662" s="193" t="s">
        <v>5647</v>
      </c>
      <c r="K1662" s="31" t="s">
        <v>48</v>
      </c>
      <c r="L1662" s="78" t="s">
        <v>49</v>
      </c>
      <c r="M1662" s="310" t="s">
        <v>8168</v>
      </c>
      <c r="N1662" s="3" t="s">
        <v>8187</v>
      </c>
      <c r="O1662" s="22" t="s">
        <v>8170</v>
      </c>
      <c r="P1662" s="40"/>
      <c r="Q1662" s="212"/>
      <c r="R1662" s="31" t="s">
        <v>56</v>
      </c>
      <c r="S1662" s="38" t="str">
        <f t="shared" si="65"/>
        <v>https://github.com/SF-Bancoppel/mx-api-bc-pro-customer-credit-rating</v>
      </c>
      <c r="T1662" s="40"/>
      <c r="U1662" s="40"/>
      <c r="V1662" s="40"/>
      <c r="W1662" s="40"/>
      <c r="X1662" s="40"/>
      <c r="Y1662" s="40"/>
      <c r="Z1662" s="40"/>
      <c r="AA1662" s="40"/>
      <c r="AB1662" s="40"/>
    </row>
    <row r="1663" ht="18.75" customHeight="1">
      <c r="A1663" s="435" t="str">
        <f t="array" ref="A1663">IFERROR(
  INDEX(
    'api-register-id'!A:A,
    MATCH(F1663, 'api-register-id'!B:B, 0)
  ),
  "Not found Organization"
)</f>
        <v>SSFF</v>
      </c>
      <c r="B1663" s="22" t="str">
        <f>IFERROR(VLOOKUP(F1663, 'api-register-id'!B:F, 4, FALSE), "Not found path.")</f>
        <v>mx-api-bc-pro-savings-account</v>
      </c>
      <c r="C1663" s="78" t="s">
        <v>41</v>
      </c>
      <c r="D1663" s="23" t="s">
        <v>811</v>
      </c>
      <c r="E1663" s="24" t="str">
        <f>IFERROR(VLOOKUP(F1663, 'api-register-id'!B:F, 5, FALSE), "Not found path.")</f>
        <v>APIMX000109</v>
      </c>
      <c r="F1663" s="297" t="s">
        <v>1358</v>
      </c>
      <c r="G1663" s="26" t="s">
        <v>8188</v>
      </c>
      <c r="H1663" s="199" t="s">
        <v>8189</v>
      </c>
      <c r="I1663" s="29" t="s">
        <v>122</v>
      </c>
      <c r="J1663" s="193" t="s">
        <v>4538</v>
      </c>
      <c r="K1663" s="31" t="s">
        <v>48</v>
      </c>
      <c r="L1663" s="78" t="s">
        <v>49</v>
      </c>
      <c r="M1663" s="310" t="s">
        <v>8173</v>
      </c>
      <c r="N1663" s="3" t="s">
        <v>8190</v>
      </c>
      <c r="O1663" s="22" t="s">
        <v>8191</v>
      </c>
      <c r="P1663" s="40"/>
      <c r="Q1663" s="212"/>
      <c r="R1663" s="31" t="s">
        <v>56</v>
      </c>
      <c r="S1663" s="38" t="str">
        <f t="shared" si="65"/>
        <v>https://github.com/SF-Bancoppel/mx-api-bc-pro-savings-account</v>
      </c>
      <c r="T1663" s="40"/>
      <c r="U1663" s="40"/>
      <c r="V1663" s="40"/>
      <c r="W1663" s="40"/>
      <c r="X1663" s="40"/>
      <c r="Y1663" s="40"/>
      <c r="Z1663" s="40"/>
      <c r="AA1663" s="40"/>
      <c r="AB1663" s="40"/>
    </row>
    <row r="1664" ht="18.75" customHeight="1">
      <c r="A1664" s="435" t="str">
        <f t="array" ref="A1664">IFERROR(
  INDEX(
    'api-register-id'!A:A,
    MATCH(F1664, 'api-register-id'!B:B, 0)
  ),
  "Not found Organization"
)</f>
        <v>SSFF</v>
      </c>
      <c r="B1664" s="22" t="str">
        <f>IFERROR(VLOOKUP(F1664, 'api-register-id'!B:F, 4, FALSE), "Not found path.")</f>
        <v>mx-api-bc-pro-savings-account</v>
      </c>
      <c r="C1664" s="78" t="s">
        <v>41</v>
      </c>
      <c r="D1664" s="23" t="s">
        <v>811</v>
      </c>
      <c r="E1664" s="24" t="str">
        <f>IFERROR(VLOOKUP(F1664, 'api-register-id'!B:F, 5, FALSE), "Not found path.")</f>
        <v>APIMX000109</v>
      </c>
      <c r="F1664" s="297" t="s">
        <v>1358</v>
      </c>
      <c r="G1664" s="26" t="s">
        <v>8192</v>
      </c>
      <c r="H1664" s="199" t="s">
        <v>8193</v>
      </c>
      <c r="I1664" s="29" t="s">
        <v>122</v>
      </c>
      <c r="J1664" s="193" t="s">
        <v>4538</v>
      </c>
      <c r="K1664" s="31" t="s">
        <v>48</v>
      </c>
      <c r="L1664" s="78" t="s">
        <v>49</v>
      </c>
      <c r="M1664" s="310" t="s">
        <v>8178</v>
      </c>
      <c r="N1664" s="3" t="s">
        <v>8194</v>
      </c>
      <c r="O1664" s="22" t="s">
        <v>8195</v>
      </c>
      <c r="P1664" s="40"/>
      <c r="Q1664" s="212"/>
      <c r="R1664" s="31" t="s">
        <v>56</v>
      </c>
      <c r="S1664" s="38" t="str">
        <f t="shared" si="65"/>
        <v>https://github.com/SF-Bancoppel/mx-api-bc-pro-savings-account</v>
      </c>
      <c r="T1664" s="40"/>
      <c r="U1664" s="40"/>
      <c r="V1664" s="40"/>
      <c r="W1664" s="40"/>
      <c r="X1664" s="40"/>
      <c r="Y1664" s="40"/>
      <c r="Z1664" s="40"/>
      <c r="AA1664" s="40"/>
      <c r="AB1664" s="40"/>
    </row>
    <row r="1665" ht="18.75" customHeight="1">
      <c r="A1665" s="79" t="str">
        <f t="array" ref="A1665">IFERROR(
  INDEX(
    'api-register-id'!A:A,
    MATCH(F1665, 'api-register-id'!B:B, 0)
  ),
  "Not found Organization"
)</f>
        <v>SSFF</v>
      </c>
      <c r="B1665" s="22" t="str">
        <f>IFERROR(VLOOKUP(F1665, 'api-register-id'!B:F, 4, FALSE), "Not found path.")</f>
        <v>mx-api-bc-pro-party-lifecycle-management</v>
      </c>
      <c r="C1665" s="78" t="s">
        <v>41</v>
      </c>
      <c r="D1665" s="78" t="s">
        <v>811</v>
      </c>
      <c r="E1665" s="24" t="str">
        <f>IFERROR(VLOOKUP(F1665, 'api-register-id'!B:F, 5, FALSE), "Not found path.")</f>
        <v>APIMX000096</v>
      </c>
      <c r="F1665" s="25" t="s">
        <v>1214</v>
      </c>
      <c r="G1665" s="26" t="s">
        <v>8196</v>
      </c>
      <c r="H1665" s="22" t="s">
        <v>8197</v>
      </c>
      <c r="I1665" s="29" t="s">
        <v>8122</v>
      </c>
      <c r="J1665" s="3" t="s">
        <v>3197</v>
      </c>
      <c r="K1665" s="31" t="s">
        <v>6671</v>
      </c>
      <c r="L1665" s="78" t="s">
        <v>49</v>
      </c>
      <c r="M1665" s="3" t="s">
        <v>8160</v>
      </c>
      <c r="N1665" s="3" t="str">
        <f t="shared" ref="N1665:N1668" si="67">CONCATENATE(L1665," ",J1665,M1665)</f>
        <v>POST /system/sales/partyLifecycleManagement/v2/documentation/create</v>
      </c>
      <c r="O1665" s="32" t="s">
        <v>5294</v>
      </c>
      <c r="P1665" s="32"/>
      <c r="Q1665" s="61"/>
      <c r="R1665" s="31" t="s">
        <v>56</v>
      </c>
      <c r="S1665" s="38" t="str">
        <f t="shared" si="65"/>
        <v>https://github.com/SF-Bancoppel/mx-api-bc-pro-party-lifecycle-management</v>
      </c>
      <c r="T1665" s="40"/>
      <c r="U1665" s="40"/>
      <c r="V1665" s="40"/>
      <c r="W1665" s="40"/>
      <c r="X1665" s="40"/>
      <c r="Y1665" s="40"/>
      <c r="Z1665" s="40"/>
      <c r="AA1665" s="40"/>
      <c r="AB1665" s="40"/>
    </row>
    <row r="1666" ht="18.75" customHeight="1">
      <c r="A1666" s="435" t="s">
        <v>44</v>
      </c>
      <c r="B1666" s="22" t="str">
        <f>IFERROR(VLOOKUP(F1666, 'api-register-id'!B:F, 4, FALSE), "Not found path.")</f>
        <v>mx-api-bc-rec-customer-management</v>
      </c>
      <c r="C1666" s="78" t="s">
        <v>41</v>
      </c>
      <c r="D1666" s="23" t="s">
        <v>1417</v>
      </c>
      <c r="E1666" s="24" t="str">
        <f>IFERROR(VLOOKUP(F1666, 'api-register-id'!B:F, 5, FALSE), "Not found path.")</f>
        <v>APIMX000163</v>
      </c>
      <c r="F1666" s="25" t="s">
        <v>2133</v>
      </c>
      <c r="G1666" s="26" t="s">
        <v>8198</v>
      </c>
      <c r="H1666" s="22" t="s">
        <v>8199</v>
      </c>
      <c r="I1666" s="29" t="s">
        <v>162</v>
      </c>
      <c r="J1666" s="3" t="s">
        <v>7652</v>
      </c>
      <c r="K1666" s="31" t="s">
        <v>48</v>
      </c>
      <c r="L1666" s="78" t="s">
        <v>49</v>
      </c>
      <c r="M1666" s="3" t="s">
        <v>6788</v>
      </c>
      <c r="N1666" s="3" t="str">
        <f t="shared" si="67"/>
        <v>POST /experience/regulationsAndCompliance/v1/partyAgeEligibility/evaluate</v>
      </c>
      <c r="O1666" s="32" t="s">
        <v>8200</v>
      </c>
      <c r="P1666" s="40"/>
      <c r="Q1666" s="212"/>
      <c r="R1666" s="31" t="s">
        <v>56</v>
      </c>
      <c r="S1666" s="38" t="str">
        <f t="shared" si="65"/>
        <v>https://github.com/SF-Bancoppel/mx-api-bc-rec-customer-management</v>
      </c>
      <c r="T1666" s="40"/>
      <c r="U1666" s="40"/>
      <c r="V1666" s="40"/>
      <c r="W1666" s="40"/>
      <c r="X1666" s="40"/>
      <c r="Y1666" s="40"/>
      <c r="Z1666" s="40"/>
      <c r="AA1666" s="40"/>
      <c r="AB1666" s="40"/>
    </row>
    <row r="1667" ht="18.75" customHeight="1">
      <c r="A1667" s="79" t="s">
        <v>44</v>
      </c>
      <c r="B1667" s="65" t="str">
        <f>IFERROR(VLOOKUP(F1667, 'api-register-id'!B:F, 4, FALSE), "Not found path.")</f>
        <v>mx-api-bc-pro-party-reference-data-directory</v>
      </c>
      <c r="C1667" s="80" t="s">
        <v>41</v>
      </c>
      <c r="D1667" s="80" t="s">
        <v>811</v>
      </c>
      <c r="E1667" s="81" t="str">
        <f>IFERROR(VLOOKUP(F1667, 'api-register-id'!B:F, 5, FALSE), "Not found path.")</f>
        <v>APIMX000097</v>
      </c>
      <c r="F1667" s="82" t="s">
        <v>1222</v>
      </c>
      <c r="G1667" s="83" t="s">
        <v>8201</v>
      </c>
      <c r="H1667" s="65" t="s">
        <v>8202</v>
      </c>
      <c r="I1667" s="84" t="s">
        <v>8203</v>
      </c>
      <c r="J1667" s="85" t="s">
        <v>3395</v>
      </c>
      <c r="K1667" s="81" t="s">
        <v>6671</v>
      </c>
      <c r="L1667" s="80" t="s">
        <v>49</v>
      </c>
      <c r="M1667" s="85" t="s">
        <v>8204</v>
      </c>
      <c r="N1667" s="85" t="str">
        <f t="shared" si="67"/>
        <v>POST /system/customerManagement/partyReferenceDataDirectory/v2/customerRelationshipInvolvement/register</v>
      </c>
      <c r="O1667" s="434" t="s">
        <v>8072</v>
      </c>
      <c r="P1667" s="66"/>
      <c r="Q1667" s="360"/>
      <c r="R1667" s="81" t="s">
        <v>56</v>
      </c>
      <c r="S1667" s="88" t="str">
        <f t="shared" si="65"/>
        <v>https://github.com/SF-Bancoppel/mx-api-bc-pro-party-reference-data-directory</v>
      </c>
      <c r="T1667" s="66"/>
      <c r="U1667" s="40"/>
      <c r="V1667" s="40"/>
      <c r="W1667" s="40"/>
      <c r="X1667" s="40"/>
      <c r="Y1667" s="40"/>
      <c r="Z1667" s="40"/>
      <c r="AA1667" s="40"/>
      <c r="AB1667" s="40"/>
    </row>
    <row r="1668" ht="18.75" customHeight="1">
      <c r="A1668" s="18" t="s">
        <v>44</v>
      </c>
      <c r="B1668" s="437" t="s">
        <v>8205</v>
      </c>
      <c r="C1668" s="23" t="s">
        <v>41</v>
      </c>
      <c r="D1668" s="23" t="s">
        <v>1417</v>
      </c>
      <c r="E1668" s="24" t="str">
        <f>IFERROR(VLOOKUP(F1668, 'api-register-id'!B:F, 5, FALSE), "Not found path.")</f>
        <v>APIMX000140</v>
      </c>
      <c r="F1668" s="25" t="s">
        <v>1677</v>
      </c>
      <c r="G1668" s="26" t="s">
        <v>8206</v>
      </c>
      <c r="H1668" s="22" t="s">
        <v>8100</v>
      </c>
      <c r="I1668" s="29" t="s">
        <v>162</v>
      </c>
      <c r="J1668" s="3" t="s">
        <v>4550</v>
      </c>
      <c r="K1668" s="31" t="s">
        <v>48</v>
      </c>
      <c r="L1668" s="23" t="s">
        <v>49</v>
      </c>
      <c r="M1668" s="3" t="s">
        <v>7620</v>
      </c>
      <c r="N1668" s="3" t="str">
        <f t="shared" si="67"/>
        <v>POST /experience/customerManagement/partyReferenceDataDirectory/v1/customerRelationshipInvolvement/register</v>
      </c>
      <c r="O1668" s="196" t="s">
        <v>8072</v>
      </c>
      <c r="P1668" s="40"/>
      <c r="Q1668" s="212"/>
      <c r="R1668" s="31" t="s">
        <v>56</v>
      </c>
      <c r="S1668" s="38" t="str">
        <f t="shared" si="65"/>
        <v>https://github.com/SF-Bancoppel/mx-api-bc-rec-party-lifecycle-management</v>
      </c>
      <c r="T1668" s="40"/>
      <c r="U1668" s="40"/>
      <c r="V1668" s="40"/>
      <c r="W1668" s="40"/>
      <c r="X1668" s="40"/>
      <c r="Y1668" s="40"/>
      <c r="Z1668" s="40"/>
      <c r="AA1668" s="40"/>
      <c r="AB1668" s="40"/>
    </row>
    <row r="1669" ht="18.75" customHeight="1">
      <c r="A1669" s="18"/>
      <c r="B1669" s="22"/>
      <c r="C1669" s="213"/>
      <c r="D1669" s="213"/>
      <c r="E1669" s="24"/>
      <c r="F1669" s="215"/>
      <c r="G1669" s="26"/>
      <c r="H1669" s="199"/>
      <c r="I1669" s="29"/>
      <c r="J1669" s="192"/>
      <c r="K1669" s="31"/>
      <c r="L1669" s="200"/>
      <c r="M1669" s="212"/>
      <c r="N1669" s="3"/>
      <c r="O1669" s="40"/>
      <c r="P1669" s="40"/>
      <c r="Q1669" s="212"/>
      <c r="R1669" s="31"/>
      <c r="S1669" s="40"/>
      <c r="T1669" s="40"/>
      <c r="U1669" s="40"/>
      <c r="V1669" s="40"/>
      <c r="W1669" s="40"/>
      <c r="X1669" s="40"/>
      <c r="Y1669" s="40"/>
      <c r="Z1669" s="40"/>
      <c r="AA1669" s="40"/>
      <c r="AB1669" s="40"/>
    </row>
    <row r="1670" ht="18.75" customHeight="1">
      <c r="A1670" s="18"/>
      <c r="B1670" s="22"/>
      <c r="C1670" s="213"/>
      <c r="D1670" s="213"/>
      <c r="E1670" s="24"/>
      <c r="F1670" s="215"/>
      <c r="G1670" s="26"/>
      <c r="H1670" s="199"/>
      <c r="I1670" s="29"/>
      <c r="J1670" s="192"/>
      <c r="K1670" s="31"/>
      <c r="L1670" s="200"/>
      <c r="M1670" s="212"/>
      <c r="N1670" s="3"/>
      <c r="O1670" s="40"/>
      <c r="P1670" s="40"/>
      <c r="Q1670" s="212"/>
      <c r="R1670" s="31"/>
      <c r="S1670" s="40"/>
      <c r="T1670" s="40"/>
      <c r="U1670" s="40"/>
      <c r="V1670" s="40"/>
      <c r="W1670" s="40"/>
      <c r="X1670" s="40"/>
      <c r="Y1670" s="40"/>
      <c r="Z1670" s="40"/>
      <c r="AA1670" s="40"/>
      <c r="AB1670" s="40"/>
    </row>
    <row r="1671" ht="18.75" customHeight="1">
      <c r="A1671" s="18"/>
      <c r="B1671" s="22"/>
      <c r="C1671" s="213"/>
      <c r="D1671" s="213"/>
      <c r="E1671" s="24"/>
      <c r="F1671" s="215"/>
      <c r="G1671" s="26"/>
      <c r="H1671" s="199"/>
      <c r="I1671" s="29"/>
      <c r="J1671" s="192"/>
      <c r="K1671" s="31"/>
      <c r="L1671" s="200"/>
      <c r="M1671" s="212"/>
      <c r="N1671" s="3"/>
      <c r="O1671" s="40"/>
      <c r="P1671" s="40"/>
      <c r="Q1671" s="212"/>
      <c r="R1671" s="31"/>
      <c r="S1671" s="40"/>
      <c r="T1671" s="40"/>
      <c r="U1671" s="40"/>
      <c r="V1671" s="40"/>
      <c r="W1671" s="40"/>
      <c r="X1671" s="40"/>
      <c r="Y1671" s="40"/>
      <c r="Z1671" s="40"/>
      <c r="AA1671" s="40"/>
      <c r="AB1671" s="40"/>
    </row>
    <row r="1672" ht="18.75" customHeight="1">
      <c r="A1672" s="18"/>
      <c r="B1672" s="22"/>
      <c r="C1672" s="213"/>
      <c r="D1672" s="213"/>
      <c r="E1672" s="24"/>
      <c r="F1672" s="215"/>
      <c r="G1672" s="26"/>
      <c r="H1672" s="199"/>
      <c r="I1672" s="29"/>
      <c r="J1672" s="192"/>
      <c r="K1672" s="31"/>
      <c r="L1672" s="200"/>
      <c r="M1672" s="212"/>
      <c r="N1672" s="3"/>
      <c r="O1672" s="40"/>
      <c r="P1672" s="40"/>
      <c r="Q1672" s="212"/>
      <c r="R1672" s="31"/>
      <c r="S1672" s="40"/>
      <c r="T1672" s="40"/>
      <c r="U1672" s="40"/>
      <c r="V1672" s="40"/>
      <c r="W1672" s="40"/>
      <c r="X1672" s="40"/>
      <c r="Y1672" s="40"/>
      <c r="Z1672" s="40"/>
      <c r="AA1672" s="40"/>
      <c r="AB1672" s="40"/>
    </row>
    <row r="1673" ht="18.75" customHeight="1">
      <c r="A1673" s="18"/>
      <c r="B1673" s="22"/>
      <c r="C1673" s="213"/>
      <c r="D1673" s="213"/>
      <c r="E1673" s="24"/>
      <c r="F1673" s="215"/>
      <c r="G1673" s="26"/>
      <c r="H1673" s="199"/>
      <c r="I1673" s="29"/>
      <c r="J1673" s="192"/>
      <c r="K1673" s="31"/>
      <c r="L1673" s="200"/>
      <c r="M1673" s="212"/>
      <c r="N1673" s="3"/>
      <c r="O1673" s="40"/>
      <c r="P1673" s="40"/>
      <c r="Q1673" s="212"/>
      <c r="R1673" s="31"/>
      <c r="S1673" s="40"/>
      <c r="T1673" s="40"/>
      <c r="U1673" s="40"/>
      <c r="V1673" s="40"/>
      <c r="W1673" s="40"/>
      <c r="X1673" s="40"/>
      <c r="Y1673" s="40"/>
      <c r="Z1673" s="40"/>
      <c r="AA1673" s="40"/>
      <c r="AB1673" s="40"/>
    </row>
    <row r="1674" ht="18.75" customHeight="1">
      <c r="A1674" s="18"/>
      <c r="B1674" s="22"/>
      <c r="C1674" s="213"/>
      <c r="D1674" s="213"/>
      <c r="E1674" s="24"/>
      <c r="F1674" s="215"/>
      <c r="G1674" s="26"/>
      <c r="H1674" s="199"/>
      <c r="I1674" s="29"/>
      <c r="J1674" s="192"/>
      <c r="K1674" s="31"/>
      <c r="L1674" s="200"/>
      <c r="M1674" s="212"/>
      <c r="N1674" s="3"/>
      <c r="O1674" s="40"/>
      <c r="P1674" s="40"/>
      <c r="Q1674" s="212"/>
      <c r="R1674" s="31"/>
      <c r="S1674" s="40"/>
      <c r="T1674" s="40"/>
      <c r="U1674" s="40"/>
      <c r="V1674" s="40"/>
      <c r="W1674" s="40"/>
      <c r="X1674" s="40"/>
      <c r="Y1674" s="40"/>
      <c r="Z1674" s="40"/>
      <c r="AA1674" s="40"/>
      <c r="AB1674" s="40"/>
    </row>
    <row r="1675" ht="18.75" customHeight="1">
      <c r="A1675" s="18"/>
      <c r="B1675" s="22"/>
      <c r="C1675" s="213"/>
      <c r="D1675" s="213"/>
      <c r="E1675" s="24"/>
      <c r="F1675" s="215"/>
      <c r="G1675" s="26"/>
      <c r="H1675" s="199"/>
      <c r="I1675" s="29"/>
      <c r="J1675" s="192"/>
      <c r="K1675" s="31"/>
      <c r="L1675" s="200"/>
      <c r="M1675" s="212"/>
      <c r="N1675" s="3"/>
      <c r="O1675" s="40"/>
      <c r="P1675" s="40"/>
      <c r="Q1675" s="212"/>
      <c r="R1675" s="31"/>
      <c r="S1675" s="40"/>
      <c r="T1675" s="40"/>
      <c r="U1675" s="40"/>
      <c r="V1675" s="40"/>
      <c r="W1675" s="40"/>
      <c r="X1675" s="40"/>
      <c r="Y1675" s="40"/>
      <c r="Z1675" s="40"/>
      <c r="AA1675" s="40"/>
      <c r="AB1675" s="40"/>
    </row>
    <row r="1676" ht="18.75" customHeight="1">
      <c r="A1676" s="18"/>
      <c r="B1676" s="22"/>
      <c r="C1676" s="213"/>
      <c r="D1676" s="213"/>
      <c r="E1676" s="24"/>
      <c r="F1676" s="215"/>
      <c r="G1676" s="26"/>
      <c r="H1676" s="199"/>
      <c r="I1676" s="29"/>
      <c r="J1676" s="192"/>
      <c r="K1676" s="31"/>
      <c r="L1676" s="200"/>
      <c r="M1676" s="212"/>
      <c r="N1676" s="3"/>
      <c r="O1676" s="40"/>
      <c r="P1676" s="40"/>
      <c r="Q1676" s="212"/>
      <c r="R1676" s="31"/>
      <c r="S1676" s="40"/>
      <c r="T1676" s="40"/>
      <c r="U1676" s="40"/>
      <c r="V1676" s="40"/>
      <c r="W1676" s="40"/>
      <c r="X1676" s="40"/>
      <c r="Y1676" s="40"/>
      <c r="Z1676" s="40"/>
      <c r="AA1676" s="40"/>
      <c r="AB1676" s="40"/>
    </row>
    <row r="1677" ht="18.75" customHeight="1">
      <c r="A1677" s="18"/>
      <c r="B1677" s="22"/>
      <c r="C1677" s="213"/>
      <c r="D1677" s="213"/>
      <c r="E1677" s="24"/>
      <c r="F1677" s="215"/>
      <c r="G1677" s="26"/>
      <c r="H1677" s="199"/>
      <c r="I1677" s="29"/>
      <c r="J1677" s="192"/>
      <c r="K1677" s="31"/>
      <c r="L1677" s="200"/>
      <c r="M1677" s="212"/>
      <c r="N1677" s="3"/>
      <c r="O1677" s="40"/>
      <c r="P1677" s="40"/>
      <c r="Q1677" s="212"/>
      <c r="R1677" s="31"/>
      <c r="S1677" s="40"/>
      <c r="T1677" s="40"/>
      <c r="U1677" s="40"/>
      <c r="V1677" s="40"/>
      <c r="W1677" s="40"/>
      <c r="X1677" s="40"/>
      <c r="Y1677" s="40"/>
      <c r="Z1677" s="40"/>
      <c r="AA1677" s="40"/>
      <c r="AB1677" s="40"/>
    </row>
    <row r="1678" ht="18.75" customHeight="1">
      <c r="A1678" s="18"/>
      <c r="B1678" s="22"/>
      <c r="C1678" s="213"/>
      <c r="D1678" s="213"/>
      <c r="E1678" s="24"/>
      <c r="F1678" s="215"/>
      <c r="G1678" s="26"/>
      <c r="H1678" s="199"/>
      <c r="I1678" s="29"/>
      <c r="J1678" s="192"/>
      <c r="K1678" s="31"/>
      <c r="L1678" s="200"/>
      <c r="M1678" s="212"/>
      <c r="N1678" s="3"/>
      <c r="O1678" s="40"/>
      <c r="P1678" s="40"/>
      <c r="Q1678" s="212"/>
      <c r="R1678" s="31"/>
      <c r="S1678" s="40"/>
      <c r="T1678" s="40"/>
      <c r="U1678" s="40"/>
      <c r="V1678" s="40"/>
      <c r="W1678" s="40"/>
      <c r="X1678" s="40"/>
      <c r="Y1678" s="40"/>
      <c r="Z1678" s="40"/>
      <c r="AA1678" s="40"/>
      <c r="AB1678" s="40"/>
    </row>
    <row r="1679" ht="18.75" customHeight="1">
      <c r="A1679" s="18"/>
      <c r="B1679" s="22"/>
      <c r="C1679" s="213"/>
      <c r="D1679" s="213"/>
      <c r="E1679" s="24"/>
      <c r="F1679" s="215"/>
      <c r="G1679" s="26"/>
      <c r="H1679" s="199"/>
      <c r="I1679" s="29"/>
      <c r="J1679" s="192"/>
      <c r="K1679" s="31"/>
      <c r="L1679" s="200"/>
      <c r="M1679" s="212"/>
      <c r="N1679" s="3"/>
      <c r="O1679" s="40"/>
      <c r="P1679" s="40"/>
      <c r="Q1679" s="212"/>
      <c r="R1679" s="31"/>
      <c r="S1679" s="40"/>
      <c r="T1679" s="40"/>
      <c r="U1679" s="40"/>
      <c r="V1679" s="40"/>
      <c r="W1679" s="40"/>
      <c r="X1679" s="40"/>
      <c r="Y1679" s="40"/>
      <c r="Z1679" s="40"/>
      <c r="AA1679" s="40"/>
      <c r="AB1679" s="40"/>
    </row>
    <row r="1680" ht="18.75" customHeight="1">
      <c r="A1680" s="18"/>
      <c r="B1680" s="22"/>
      <c r="C1680" s="213"/>
      <c r="D1680" s="213"/>
      <c r="E1680" s="24"/>
      <c r="F1680" s="215"/>
      <c r="G1680" s="26"/>
      <c r="H1680" s="199"/>
      <c r="I1680" s="29"/>
      <c r="J1680" s="192"/>
      <c r="K1680" s="31"/>
      <c r="L1680" s="200"/>
      <c r="M1680" s="212"/>
      <c r="N1680" s="3"/>
      <c r="O1680" s="40"/>
      <c r="P1680" s="40"/>
      <c r="Q1680" s="212"/>
      <c r="R1680" s="31"/>
      <c r="S1680" s="40"/>
      <c r="T1680" s="40"/>
      <c r="U1680" s="40"/>
      <c r="V1680" s="40"/>
      <c r="W1680" s="40"/>
      <c r="X1680" s="40"/>
      <c r="Y1680" s="40"/>
      <c r="Z1680" s="40"/>
      <c r="AA1680" s="40"/>
      <c r="AB1680" s="40"/>
    </row>
    <row r="1681" ht="18.75" customHeight="1">
      <c r="A1681" s="18"/>
      <c r="B1681" s="22"/>
      <c r="C1681" s="213"/>
      <c r="D1681" s="213"/>
      <c r="E1681" s="24"/>
      <c r="F1681" s="215"/>
      <c r="G1681" s="26"/>
      <c r="H1681" s="199"/>
      <c r="I1681" s="29"/>
      <c r="J1681" s="192"/>
      <c r="K1681" s="31"/>
      <c r="L1681" s="200"/>
      <c r="M1681" s="212"/>
      <c r="N1681" s="3"/>
      <c r="O1681" s="40"/>
      <c r="P1681" s="40"/>
      <c r="Q1681" s="212"/>
      <c r="R1681" s="31"/>
      <c r="S1681" s="40"/>
      <c r="T1681" s="40"/>
      <c r="U1681" s="40"/>
      <c r="V1681" s="40"/>
      <c r="W1681" s="40"/>
      <c r="X1681" s="40"/>
      <c r="Y1681" s="40"/>
      <c r="Z1681" s="40"/>
      <c r="AA1681" s="40"/>
      <c r="AB1681" s="40"/>
    </row>
    <row r="1682" ht="18.75" customHeight="1">
      <c r="A1682" s="18"/>
      <c r="B1682" s="22"/>
      <c r="C1682" s="213"/>
      <c r="D1682" s="213"/>
      <c r="E1682" s="24"/>
      <c r="F1682" s="215"/>
      <c r="G1682" s="26"/>
      <c r="H1682" s="199"/>
      <c r="I1682" s="29"/>
      <c r="J1682" s="192"/>
      <c r="K1682" s="31"/>
      <c r="L1682" s="200"/>
      <c r="M1682" s="212"/>
      <c r="N1682" s="3"/>
      <c r="O1682" s="40"/>
      <c r="P1682" s="40"/>
      <c r="Q1682" s="212"/>
      <c r="R1682" s="31"/>
      <c r="S1682" s="40"/>
      <c r="T1682" s="40"/>
      <c r="U1682" s="40"/>
      <c r="V1682" s="40"/>
      <c r="W1682" s="40"/>
      <c r="X1682" s="40"/>
      <c r="Y1682" s="40"/>
      <c r="Z1682" s="40"/>
      <c r="AA1682" s="40"/>
      <c r="AB1682" s="40"/>
    </row>
    <row r="1683" ht="18.75" customHeight="1">
      <c r="A1683" s="18"/>
      <c r="B1683" s="22"/>
      <c r="C1683" s="213"/>
      <c r="D1683" s="213"/>
      <c r="E1683" s="24"/>
      <c r="F1683" s="215"/>
      <c r="G1683" s="26"/>
      <c r="H1683" s="199"/>
      <c r="I1683" s="29"/>
      <c r="J1683" s="192"/>
      <c r="K1683" s="31"/>
      <c r="L1683" s="200"/>
      <c r="M1683" s="212"/>
      <c r="N1683" s="3"/>
      <c r="O1683" s="40"/>
      <c r="P1683" s="40"/>
      <c r="Q1683" s="212"/>
      <c r="R1683" s="31"/>
      <c r="S1683" s="40"/>
      <c r="T1683" s="40"/>
      <c r="U1683" s="40"/>
      <c r="V1683" s="40"/>
      <c r="W1683" s="40"/>
      <c r="X1683" s="40"/>
      <c r="Y1683" s="40"/>
      <c r="Z1683" s="40"/>
      <c r="AA1683" s="40"/>
      <c r="AB1683" s="40"/>
    </row>
    <row r="1684" ht="18.75" customHeight="1">
      <c r="A1684" s="18"/>
      <c r="B1684" s="22"/>
      <c r="C1684" s="213"/>
      <c r="D1684" s="213"/>
      <c r="E1684" s="24"/>
      <c r="F1684" s="215"/>
      <c r="G1684" s="26"/>
      <c r="H1684" s="199"/>
      <c r="I1684" s="29"/>
      <c r="J1684" s="192"/>
      <c r="K1684" s="31"/>
      <c r="L1684" s="200"/>
      <c r="M1684" s="212"/>
      <c r="N1684" s="3"/>
      <c r="O1684" s="40"/>
      <c r="P1684" s="40"/>
      <c r="Q1684" s="212"/>
      <c r="R1684" s="31"/>
      <c r="S1684" s="40"/>
      <c r="T1684" s="40"/>
      <c r="U1684" s="40"/>
      <c r="V1684" s="40"/>
      <c r="W1684" s="40"/>
      <c r="X1684" s="40"/>
      <c r="Y1684" s="40"/>
      <c r="Z1684" s="40"/>
      <c r="AA1684" s="40"/>
      <c r="AB1684" s="40"/>
    </row>
    <row r="1685" ht="18.75" customHeight="1">
      <c r="A1685" s="18"/>
      <c r="B1685" s="22"/>
      <c r="C1685" s="213"/>
      <c r="D1685" s="213"/>
      <c r="E1685" s="24"/>
      <c r="F1685" s="215"/>
      <c r="G1685" s="26"/>
      <c r="H1685" s="199"/>
      <c r="I1685" s="29"/>
      <c r="J1685" s="192"/>
      <c r="K1685" s="31"/>
      <c r="L1685" s="200"/>
      <c r="M1685" s="212"/>
      <c r="N1685" s="3"/>
      <c r="O1685" s="40"/>
      <c r="P1685" s="40"/>
      <c r="Q1685" s="212"/>
      <c r="R1685" s="31"/>
      <c r="S1685" s="40"/>
      <c r="T1685" s="40"/>
      <c r="U1685" s="40"/>
      <c r="V1685" s="40"/>
      <c r="W1685" s="40"/>
      <c r="X1685" s="40"/>
      <c r="Y1685" s="40"/>
      <c r="Z1685" s="40"/>
      <c r="AA1685" s="40"/>
      <c r="AB1685" s="40"/>
    </row>
    <row r="1686" ht="18.75" customHeight="1">
      <c r="A1686" s="18"/>
      <c r="B1686" s="22"/>
      <c r="C1686" s="213"/>
      <c r="D1686" s="213"/>
      <c r="E1686" s="24"/>
      <c r="F1686" s="215"/>
      <c r="G1686" s="26"/>
      <c r="H1686" s="199"/>
      <c r="I1686" s="29"/>
      <c r="J1686" s="192"/>
      <c r="K1686" s="31"/>
      <c r="L1686" s="200"/>
      <c r="M1686" s="212"/>
      <c r="N1686" s="3"/>
      <c r="O1686" s="40"/>
      <c r="P1686" s="40"/>
      <c r="Q1686" s="212"/>
      <c r="R1686" s="31"/>
      <c r="S1686" s="40"/>
      <c r="T1686" s="40"/>
      <c r="U1686" s="40"/>
      <c r="V1686" s="40"/>
      <c r="W1686" s="40"/>
      <c r="X1686" s="40"/>
      <c r="Y1686" s="40"/>
      <c r="Z1686" s="40"/>
      <c r="AA1686" s="40"/>
      <c r="AB1686" s="40"/>
    </row>
    <row r="1687" ht="18.75" customHeight="1">
      <c r="A1687" s="18"/>
      <c r="B1687" s="22"/>
      <c r="C1687" s="213"/>
      <c r="D1687" s="213"/>
      <c r="E1687" s="24"/>
      <c r="F1687" s="215"/>
      <c r="G1687" s="26"/>
      <c r="H1687" s="199"/>
      <c r="I1687" s="29"/>
      <c r="J1687" s="192"/>
      <c r="K1687" s="31"/>
      <c r="L1687" s="200"/>
      <c r="M1687" s="212"/>
      <c r="N1687" s="3"/>
      <c r="O1687" s="40"/>
      <c r="P1687" s="40"/>
      <c r="Q1687" s="212"/>
      <c r="R1687" s="31"/>
      <c r="S1687" s="40"/>
      <c r="T1687" s="40"/>
      <c r="U1687" s="40"/>
      <c r="V1687" s="40"/>
      <c r="W1687" s="40"/>
      <c r="X1687" s="40"/>
      <c r="Y1687" s="40"/>
      <c r="Z1687" s="40"/>
      <c r="AA1687" s="40"/>
      <c r="AB1687" s="40"/>
    </row>
    <row r="1688" ht="18.75" customHeight="1">
      <c r="A1688" s="18"/>
      <c r="B1688" s="22"/>
      <c r="C1688" s="213"/>
      <c r="D1688" s="213"/>
      <c r="E1688" s="24"/>
      <c r="F1688" s="215"/>
      <c r="G1688" s="26"/>
      <c r="H1688" s="199"/>
      <c r="I1688" s="29"/>
      <c r="J1688" s="192"/>
      <c r="K1688" s="31"/>
      <c r="L1688" s="200"/>
      <c r="M1688" s="212"/>
      <c r="N1688" s="3"/>
      <c r="O1688" s="40"/>
      <c r="P1688" s="40"/>
      <c r="Q1688" s="212"/>
      <c r="R1688" s="31"/>
      <c r="S1688" s="40"/>
      <c r="T1688" s="40"/>
      <c r="U1688" s="40"/>
      <c r="V1688" s="40"/>
      <c r="W1688" s="40"/>
      <c r="X1688" s="40"/>
      <c r="Y1688" s="40"/>
      <c r="Z1688" s="40"/>
      <c r="AA1688" s="40"/>
      <c r="AB1688" s="40"/>
    </row>
    <row r="1689" ht="18.75" customHeight="1">
      <c r="A1689" s="18"/>
      <c r="B1689" s="22"/>
      <c r="C1689" s="213"/>
      <c r="D1689" s="213"/>
      <c r="E1689" s="24"/>
      <c r="F1689" s="215"/>
      <c r="G1689" s="26"/>
      <c r="H1689" s="199"/>
      <c r="I1689" s="29"/>
      <c r="J1689" s="192"/>
      <c r="K1689" s="31"/>
      <c r="L1689" s="200"/>
      <c r="M1689" s="212"/>
      <c r="N1689" s="3"/>
      <c r="O1689" s="40"/>
      <c r="P1689" s="40"/>
      <c r="Q1689" s="212"/>
      <c r="R1689" s="31"/>
      <c r="S1689" s="40"/>
      <c r="T1689" s="40"/>
      <c r="U1689" s="40"/>
      <c r="V1689" s="40"/>
      <c r="W1689" s="40"/>
      <c r="X1689" s="40"/>
      <c r="Y1689" s="40"/>
      <c r="Z1689" s="40"/>
      <c r="AA1689" s="40"/>
      <c r="AB1689" s="40"/>
    </row>
    <row r="1690" ht="18.75" customHeight="1">
      <c r="A1690" s="18"/>
      <c r="B1690" s="22"/>
      <c r="C1690" s="213"/>
      <c r="D1690" s="213"/>
      <c r="E1690" s="24"/>
      <c r="F1690" s="215"/>
      <c r="G1690" s="26"/>
      <c r="H1690" s="199"/>
      <c r="I1690" s="29"/>
      <c r="J1690" s="192"/>
      <c r="K1690" s="31"/>
      <c r="L1690" s="200"/>
      <c r="M1690" s="212"/>
      <c r="N1690" s="3"/>
      <c r="O1690" s="40"/>
      <c r="P1690" s="40"/>
      <c r="Q1690" s="212"/>
      <c r="R1690" s="31"/>
      <c r="S1690" s="40"/>
      <c r="T1690" s="40"/>
      <c r="U1690" s="40"/>
      <c r="V1690" s="40"/>
      <c r="W1690" s="40"/>
      <c r="X1690" s="40"/>
      <c r="Y1690" s="40"/>
      <c r="Z1690" s="40"/>
      <c r="AA1690" s="40"/>
      <c r="AB1690" s="40"/>
    </row>
    <row r="1691" ht="18.75" customHeight="1">
      <c r="A1691" s="18"/>
      <c r="B1691" s="22"/>
      <c r="C1691" s="213"/>
      <c r="D1691" s="213"/>
      <c r="E1691" s="24"/>
      <c r="F1691" s="215"/>
      <c r="G1691" s="26"/>
      <c r="H1691" s="199"/>
      <c r="I1691" s="29"/>
      <c r="J1691" s="192"/>
      <c r="K1691" s="31"/>
      <c r="L1691" s="200"/>
      <c r="M1691" s="212"/>
      <c r="N1691" s="3"/>
      <c r="O1691" s="40"/>
      <c r="P1691" s="40"/>
      <c r="Q1691" s="212"/>
      <c r="R1691" s="31"/>
      <c r="S1691" s="40"/>
      <c r="T1691" s="40"/>
      <c r="U1691" s="40"/>
      <c r="V1691" s="40"/>
      <c r="W1691" s="40"/>
      <c r="X1691" s="40"/>
      <c r="Y1691" s="40"/>
      <c r="Z1691" s="40"/>
      <c r="AA1691" s="40"/>
      <c r="AB1691" s="40"/>
    </row>
    <row r="1692" ht="18.75" customHeight="1">
      <c r="A1692" s="18"/>
      <c r="B1692" s="22"/>
      <c r="C1692" s="213"/>
      <c r="D1692" s="213"/>
      <c r="E1692" s="24"/>
      <c r="F1692" s="215"/>
      <c r="G1692" s="26"/>
      <c r="H1692" s="199"/>
      <c r="I1692" s="29"/>
      <c r="J1692" s="192"/>
      <c r="K1692" s="31"/>
      <c r="L1692" s="200"/>
      <c r="M1692" s="212"/>
      <c r="N1692" s="3"/>
      <c r="O1692" s="40"/>
      <c r="P1692" s="40"/>
      <c r="Q1692" s="212"/>
      <c r="R1692" s="31"/>
      <c r="S1692" s="40"/>
      <c r="T1692" s="40"/>
      <c r="U1692" s="40"/>
      <c r="V1692" s="40"/>
      <c r="W1692" s="40"/>
      <c r="X1692" s="40"/>
      <c r="Y1692" s="40"/>
      <c r="Z1692" s="40"/>
      <c r="AA1692" s="40"/>
      <c r="AB1692" s="40"/>
    </row>
    <row r="1693" ht="18.75" customHeight="1">
      <c r="A1693" s="18"/>
      <c r="B1693" s="22"/>
      <c r="C1693" s="213"/>
      <c r="D1693" s="213"/>
      <c r="E1693" s="24"/>
      <c r="F1693" s="215"/>
      <c r="G1693" s="26"/>
      <c r="H1693" s="199"/>
      <c r="I1693" s="29"/>
      <c r="J1693" s="192"/>
      <c r="K1693" s="31"/>
      <c r="L1693" s="200"/>
      <c r="M1693" s="212"/>
      <c r="N1693" s="3"/>
      <c r="O1693" s="40"/>
      <c r="P1693" s="40"/>
      <c r="Q1693" s="212"/>
      <c r="R1693" s="31"/>
      <c r="S1693" s="40"/>
      <c r="T1693" s="40"/>
      <c r="U1693" s="40"/>
      <c r="V1693" s="40"/>
      <c r="W1693" s="40"/>
      <c r="X1693" s="40"/>
      <c r="Y1693" s="40"/>
      <c r="Z1693" s="40"/>
      <c r="AA1693" s="40"/>
      <c r="AB1693" s="40"/>
    </row>
    <row r="1694" ht="18.75" customHeight="1">
      <c r="A1694" s="18"/>
      <c r="B1694" s="22"/>
      <c r="C1694" s="213"/>
      <c r="D1694" s="213"/>
      <c r="E1694" s="24"/>
      <c r="F1694" s="215"/>
      <c r="G1694" s="26"/>
      <c r="H1694" s="199"/>
      <c r="I1694" s="29"/>
      <c r="J1694" s="192"/>
      <c r="K1694" s="31"/>
      <c r="L1694" s="200"/>
      <c r="M1694" s="212"/>
      <c r="N1694" s="3"/>
      <c r="O1694" s="40"/>
      <c r="P1694" s="40"/>
      <c r="Q1694" s="212"/>
      <c r="R1694" s="31"/>
      <c r="S1694" s="40"/>
      <c r="T1694" s="40"/>
      <c r="U1694" s="40"/>
      <c r="V1694" s="40"/>
      <c r="W1694" s="40"/>
      <c r="X1694" s="40"/>
      <c r="Y1694" s="40"/>
      <c r="Z1694" s="40"/>
      <c r="AA1694" s="40"/>
      <c r="AB1694" s="40"/>
    </row>
    <row r="1695" ht="18.75" customHeight="1">
      <c r="A1695" s="18"/>
      <c r="B1695" s="22"/>
      <c r="C1695" s="213"/>
      <c r="D1695" s="213"/>
      <c r="E1695" s="24"/>
      <c r="F1695" s="215"/>
      <c r="G1695" s="26"/>
      <c r="H1695" s="199"/>
      <c r="I1695" s="29"/>
      <c r="J1695" s="192"/>
      <c r="K1695" s="31"/>
      <c r="L1695" s="200"/>
      <c r="M1695" s="212"/>
      <c r="N1695" s="3"/>
      <c r="O1695" s="40"/>
      <c r="P1695" s="40"/>
      <c r="Q1695" s="212"/>
      <c r="R1695" s="31"/>
      <c r="S1695" s="40"/>
      <c r="T1695" s="40"/>
      <c r="U1695" s="40"/>
      <c r="V1695" s="40"/>
      <c r="W1695" s="40"/>
      <c r="X1695" s="40"/>
      <c r="Y1695" s="40"/>
      <c r="Z1695" s="40"/>
      <c r="AA1695" s="40"/>
      <c r="AB1695" s="40"/>
    </row>
    <row r="1696" ht="18.75" customHeight="1">
      <c r="A1696" s="18"/>
      <c r="B1696" s="22"/>
      <c r="C1696" s="213"/>
      <c r="D1696" s="213"/>
      <c r="E1696" s="24"/>
      <c r="F1696" s="215"/>
      <c r="G1696" s="26"/>
      <c r="H1696" s="199"/>
      <c r="I1696" s="29"/>
      <c r="J1696" s="192"/>
      <c r="K1696" s="31"/>
      <c r="L1696" s="200"/>
      <c r="M1696" s="212"/>
      <c r="N1696" s="3"/>
      <c r="O1696" s="40"/>
      <c r="P1696" s="40"/>
      <c r="Q1696" s="212"/>
      <c r="R1696" s="31"/>
      <c r="S1696" s="40"/>
      <c r="T1696" s="40"/>
      <c r="U1696" s="40"/>
      <c r="V1696" s="40"/>
      <c r="W1696" s="40"/>
      <c r="X1696" s="40"/>
      <c r="Y1696" s="40"/>
      <c r="Z1696" s="40"/>
      <c r="AA1696" s="40"/>
      <c r="AB1696" s="40"/>
    </row>
    <row r="1697" ht="18.75" customHeight="1">
      <c r="A1697" s="18"/>
      <c r="B1697" s="22"/>
      <c r="C1697" s="213"/>
      <c r="D1697" s="213"/>
      <c r="E1697" s="24"/>
      <c r="F1697" s="215"/>
      <c r="G1697" s="26"/>
      <c r="H1697" s="199"/>
      <c r="I1697" s="29"/>
      <c r="J1697" s="192"/>
      <c r="K1697" s="31"/>
      <c r="L1697" s="200"/>
      <c r="M1697" s="212"/>
      <c r="N1697" s="3"/>
      <c r="O1697" s="40"/>
      <c r="P1697" s="40"/>
      <c r="Q1697" s="212"/>
      <c r="R1697" s="31"/>
      <c r="S1697" s="40"/>
      <c r="T1697" s="40"/>
      <c r="U1697" s="40"/>
      <c r="V1697" s="40"/>
      <c r="W1697" s="40"/>
      <c r="X1697" s="40"/>
      <c r="Y1697" s="40"/>
      <c r="Z1697" s="40"/>
      <c r="AA1697" s="40"/>
      <c r="AB1697" s="40"/>
    </row>
    <row r="1698" ht="18.75" customHeight="1">
      <c r="A1698" s="18"/>
      <c r="B1698" s="22"/>
      <c r="C1698" s="213"/>
      <c r="D1698" s="213"/>
      <c r="E1698" s="24"/>
      <c r="F1698" s="215"/>
      <c r="G1698" s="26"/>
      <c r="H1698" s="199"/>
      <c r="I1698" s="29"/>
      <c r="J1698" s="192"/>
      <c r="K1698" s="31"/>
      <c r="L1698" s="200"/>
      <c r="M1698" s="212"/>
      <c r="N1698" s="3"/>
      <c r="O1698" s="40"/>
      <c r="P1698" s="40"/>
      <c r="Q1698" s="212"/>
      <c r="R1698" s="31"/>
      <c r="S1698" s="40"/>
      <c r="T1698" s="40"/>
      <c r="U1698" s="40"/>
      <c r="V1698" s="40"/>
      <c r="W1698" s="40"/>
      <c r="X1698" s="40"/>
      <c r="Y1698" s="40"/>
      <c r="Z1698" s="40"/>
      <c r="AA1698" s="40"/>
      <c r="AB1698" s="40"/>
    </row>
    <row r="1699" ht="18.75" customHeight="1">
      <c r="A1699" s="18"/>
      <c r="B1699" s="22"/>
      <c r="C1699" s="213"/>
      <c r="D1699" s="213"/>
      <c r="E1699" s="24"/>
      <c r="F1699" s="215"/>
      <c r="G1699" s="26"/>
      <c r="H1699" s="199"/>
      <c r="I1699" s="29"/>
      <c r="J1699" s="192"/>
      <c r="K1699" s="31"/>
      <c r="L1699" s="200"/>
      <c r="M1699" s="212"/>
      <c r="N1699" s="3"/>
      <c r="O1699" s="40"/>
      <c r="P1699" s="40"/>
      <c r="Q1699" s="212"/>
      <c r="R1699" s="31"/>
      <c r="S1699" s="40"/>
      <c r="T1699" s="40"/>
      <c r="U1699" s="40"/>
      <c r="V1699" s="40"/>
      <c r="W1699" s="40"/>
      <c r="X1699" s="40"/>
      <c r="Y1699" s="40"/>
      <c r="Z1699" s="40"/>
      <c r="AA1699" s="40"/>
      <c r="AB1699" s="40"/>
    </row>
    <row r="1700" ht="18.75" customHeight="1">
      <c r="A1700" s="18"/>
      <c r="B1700" s="22"/>
      <c r="C1700" s="213"/>
      <c r="D1700" s="213"/>
      <c r="E1700" s="24"/>
      <c r="F1700" s="215"/>
      <c r="G1700" s="26"/>
      <c r="H1700" s="199"/>
      <c r="I1700" s="29"/>
      <c r="J1700" s="192"/>
      <c r="K1700" s="31"/>
      <c r="L1700" s="200"/>
      <c r="M1700" s="212"/>
      <c r="N1700" s="3"/>
      <c r="O1700" s="40"/>
      <c r="P1700" s="40"/>
      <c r="Q1700" s="212"/>
      <c r="R1700" s="31"/>
      <c r="S1700" s="40"/>
      <c r="T1700" s="40"/>
      <c r="U1700" s="40"/>
      <c r="V1700" s="40"/>
      <c r="W1700" s="40"/>
      <c r="X1700" s="40"/>
      <c r="Y1700" s="40"/>
      <c r="Z1700" s="40"/>
      <c r="AA1700" s="40"/>
      <c r="AB1700" s="40"/>
    </row>
    <row r="1701" ht="18.75" customHeight="1">
      <c r="A1701" s="18"/>
      <c r="B1701" s="22"/>
      <c r="C1701" s="213"/>
      <c r="D1701" s="213"/>
      <c r="E1701" s="24"/>
      <c r="F1701" s="215"/>
      <c r="G1701" s="26"/>
      <c r="H1701" s="199"/>
      <c r="I1701" s="29"/>
      <c r="J1701" s="192"/>
      <c r="K1701" s="31"/>
      <c r="L1701" s="200"/>
      <c r="M1701" s="212"/>
      <c r="N1701" s="3"/>
      <c r="O1701" s="40"/>
      <c r="P1701" s="40"/>
      <c r="Q1701" s="212"/>
      <c r="R1701" s="31"/>
      <c r="S1701" s="40"/>
      <c r="T1701" s="40"/>
      <c r="U1701" s="40"/>
      <c r="V1701" s="40"/>
      <c r="W1701" s="40"/>
      <c r="X1701" s="40"/>
      <c r="Y1701" s="40"/>
      <c r="Z1701" s="40"/>
      <c r="AA1701" s="40"/>
      <c r="AB1701" s="40"/>
    </row>
    <row r="1702" ht="18.75" customHeight="1">
      <c r="A1702" s="18"/>
      <c r="B1702" s="22"/>
      <c r="C1702" s="213"/>
      <c r="D1702" s="213"/>
      <c r="E1702" s="24"/>
      <c r="F1702" s="215"/>
      <c r="G1702" s="26"/>
      <c r="H1702" s="199"/>
      <c r="I1702" s="29"/>
      <c r="J1702" s="192"/>
      <c r="K1702" s="31"/>
      <c r="L1702" s="200"/>
      <c r="M1702" s="212"/>
      <c r="N1702" s="3"/>
      <c r="O1702" s="40"/>
      <c r="P1702" s="40"/>
      <c r="Q1702" s="212"/>
      <c r="R1702" s="31"/>
      <c r="S1702" s="40"/>
      <c r="T1702" s="40"/>
      <c r="U1702" s="40"/>
      <c r="V1702" s="40"/>
      <c r="W1702" s="40"/>
      <c r="X1702" s="40"/>
      <c r="Y1702" s="40"/>
      <c r="Z1702" s="40"/>
      <c r="AA1702" s="40"/>
      <c r="AB1702" s="40"/>
    </row>
    <row r="1703" ht="18.75" customHeight="1">
      <c r="A1703" s="18"/>
      <c r="B1703" s="22"/>
      <c r="C1703" s="213"/>
      <c r="D1703" s="213"/>
      <c r="E1703" s="24"/>
      <c r="F1703" s="215"/>
      <c r="G1703" s="26"/>
      <c r="H1703" s="199"/>
      <c r="I1703" s="29"/>
      <c r="J1703" s="192"/>
      <c r="K1703" s="31"/>
      <c r="L1703" s="200"/>
      <c r="M1703" s="212"/>
      <c r="N1703" s="3"/>
      <c r="O1703" s="40"/>
      <c r="P1703" s="40"/>
      <c r="Q1703" s="212"/>
      <c r="R1703" s="31"/>
      <c r="S1703" s="40"/>
      <c r="T1703" s="40"/>
      <c r="U1703" s="40"/>
      <c r="V1703" s="40"/>
      <c r="W1703" s="40"/>
      <c r="X1703" s="40"/>
      <c r="Y1703" s="40"/>
      <c r="Z1703" s="40"/>
      <c r="AA1703" s="40"/>
      <c r="AB1703" s="40"/>
    </row>
    <row r="1704" ht="18.75" customHeight="1">
      <c r="A1704" s="18"/>
      <c r="B1704" s="22"/>
      <c r="C1704" s="213"/>
      <c r="D1704" s="213"/>
      <c r="E1704" s="24"/>
      <c r="F1704" s="215"/>
      <c r="G1704" s="26"/>
      <c r="H1704" s="199"/>
      <c r="I1704" s="29"/>
      <c r="J1704" s="192"/>
      <c r="K1704" s="31"/>
      <c r="L1704" s="200"/>
      <c r="M1704" s="212"/>
      <c r="N1704" s="3"/>
      <c r="O1704" s="40"/>
      <c r="P1704" s="40"/>
      <c r="Q1704" s="212"/>
      <c r="R1704" s="31"/>
      <c r="S1704" s="40"/>
      <c r="T1704" s="40"/>
      <c r="U1704" s="40"/>
      <c r="V1704" s="40"/>
      <c r="W1704" s="40"/>
      <c r="X1704" s="40"/>
      <c r="Y1704" s="40"/>
      <c r="Z1704" s="40"/>
      <c r="AA1704" s="40"/>
      <c r="AB1704" s="40"/>
    </row>
    <row r="1705" ht="18.75" customHeight="1">
      <c r="A1705" s="18"/>
      <c r="B1705" s="22"/>
      <c r="C1705" s="213"/>
      <c r="D1705" s="213"/>
      <c r="E1705" s="24"/>
      <c r="F1705" s="215"/>
      <c r="G1705" s="26"/>
      <c r="H1705" s="199"/>
      <c r="I1705" s="29"/>
      <c r="J1705" s="192"/>
      <c r="K1705" s="31"/>
      <c r="L1705" s="200"/>
      <c r="M1705" s="212"/>
      <c r="N1705" s="3"/>
      <c r="O1705" s="40"/>
      <c r="P1705" s="40"/>
      <c r="Q1705" s="212"/>
      <c r="R1705" s="31"/>
      <c r="S1705" s="40"/>
      <c r="T1705" s="40"/>
      <c r="U1705" s="40"/>
      <c r="V1705" s="40"/>
      <c r="W1705" s="40"/>
      <c r="X1705" s="40"/>
      <c r="Y1705" s="40"/>
      <c r="Z1705" s="40"/>
      <c r="AA1705" s="40"/>
      <c r="AB1705" s="40"/>
    </row>
    <row r="1706" ht="18.75" customHeight="1">
      <c r="A1706" s="18"/>
      <c r="B1706" s="22"/>
      <c r="C1706" s="213"/>
      <c r="D1706" s="213"/>
      <c r="E1706" s="24"/>
      <c r="F1706" s="215"/>
      <c r="G1706" s="26"/>
      <c r="H1706" s="199"/>
      <c r="I1706" s="29"/>
      <c r="J1706" s="192"/>
      <c r="K1706" s="31"/>
      <c r="L1706" s="200"/>
      <c r="M1706" s="212"/>
      <c r="N1706" s="3"/>
      <c r="O1706" s="40"/>
      <c r="P1706" s="40"/>
      <c r="Q1706" s="212"/>
      <c r="R1706" s="31"/>
      <c r="S1706" s="40"/>
      <c r="T1706" s="40"/>
      <c r="U1706" s="40"/>
      <c r="V1706" s="40"/>
      <c r="W1706" s="40"/>
      <c r="X1706" s="40"/>
      <c r="Y1706" s="40"/>
      <c r="Z1706" s="40"/>
      <c r="AA1706" s="40"/>
      <c r="AB1706" s="40"/>
    </row>
    <row r="1707" ht="18.75" customHeight="1">
      <c r="A1707" s="18"/>
      <c r="B1707" s="22"/>
      <c r="C1707" s="213"/>
      <c r="D1707" s="213"/>
      <c r="E1707" s="24"/>
      <c r="F1707" s="215"/>
      <c r="G1707" s="26"/>
      <c r="H1707" s="199"/>
      <c r="I1707" s="29"/>
      <c r="J1707" s="192"/>
      <c r="K1707" s="31"/>
      <c r="L1707" s="200"/>
      <c r="M1707" s="212"/>
      <c r="N1707" s="3"/>
      <c r="O1707" s="40"/>
      <c r="P1707" s="40"/>
      <c r="Q1707" s="212"/>
      <c r="R1707" s="31"/>
      <c r="S1707" s="40"/>
      <c r="T1707" s="40"/>
      <c r="U1707" s="40"/>
      <c r="V1707" s="40"/>
      <c r="W1707" s="40"/>
      <c r="X1707" s="40"/>
      <c r="Y1707" s="40"/>
      <c r="Z1707" s="40"/>
      <c r="AA1707" s="40"/>
      <c r="AB1707" s="40"/>
    </row>
    <row r="1708" ht="18.75" customHeight="1">
      <c r="A1708" s="18"/>
      <c r="B1708" s="22"/>
      <c r="C1708" s="213"/>
      <c r="D1708" s="213"/>
      <c r="E1708" s="24"/>
      <c r="F1708" s="215"/>
      <c r="G1708" s="26"/>
      <c r="H1708" s="199"/>
      <c r="I1708" s="29"/>
      <c r="J1708" s="192"/>
      <c r="K1708" s="31"/>
      <c r="L1708" s="200"/>
      <c r="M1708" s="212"/>
      <c r="N1708" s="3"/>
      <c r="O1708" s="40"/>
      <c r="P1708" s="40"/>
      <c r="Q1708" s="212"/>
      <c r="R1708" s="31"/>
      <c r="S1708" s="40"/>
      <c r="T1708" s="40"/>
      <c r="U1708" s="40"/>
      <c r="V1708" s="40"/>
      <c r="W1708" s="40"/>
      <c r="X1708" s="40"/>
      <c r="Y1708" s="40"/>
      <c r="Z1708" s="40"/>
      <c r="AA1708" s="40"/>
      <c r="AB1708" s="40"/>
    </row>
    <row r="1709" ht="18.75" customHeight="1">
      <c r="A1709" s="18"/>
      <c r="B1709" s="22"/>
      <c r="C1709" s="213"/>
      <c r="D1709" s="213"/>
      <c r="E1709" s="24"/>
      <c r="F1709" s="215"/>
      <c r="G1709" s="26"/>
      <c r="H1709" s="199"/>
      <c r="I1709" s="29"/>
      <c r="J1709" s="192"/>
      <c r="K1709" s="31"/>
      <c r="L1709" s="200"/>
      <c r="M1709" s="212"/>
      <c r="N1709" s="3"/>
      <c r="O1709" s="40"/>
      <c r="P1709" s="40"/>
      <c r="Q1709" s="212"/>
      <c r="R1709" s="31"/>
      <c r="S1709" s="40"/>
      <c r="T1709" s="40"/>
      <c r="U1709" s="40"/>
      <c r="V1709" s="40"/>
      <c r="W1709" s="40"/>
      <c r="X1709" s="40"/>
      <c r="Y1709" s="40"/>
      <c r="Z1709" s="40"/>
      <c r="AA1709" s="40"/>
      <c r="AB1709" s="40"/>
    </row>
    <row r="1710" ht="18.75" customHeight="1">
      <c r="A1710" s="18"/>
      <c r="B1710" s="22"/>
      <c r="C1710" s="213"/>
      <c r="D1710" s="213"/>
      <c r="E1710" s="24"/>
      <c r="F1710" s="215"/>
      <c r="G1710" s="26"/>
      <c r="H1710" s="199"/>
      <c r="I1710" s="29"/>
      <c r="J1710" s="192"/>
      <c r="K1710" s="31"/>
      <c r="L1710" s="200"/>
      <c r="M1710" s="212"/>
      <c r="N1710" s="3"/>
      <c r="O1710" s="40"/>
      <c r="P1710" s="40"/>
      <c r="Q1710" s="212"/>
      <c r="R1710" s="31"/>
      <c r="S1710" s="40"/>
      <c r="T1710" s="40"/>
      <c r="U1710" s="40"/>
      <c r="V1710" s="40"/>
      <c r="W1710" s="40"/>
      <c r="X1710" s="40"/>
      <c r="Y1710" s="40"/>
      <c r="Z1710" s="40"/>
      <c r="AA1710" s="40"/>
      <c r="AB1710" s="40"/>
    </row>
    <row r="1711" ht="18.75" customHeight="1">
      <c r="A1711" s="18"/>
      <c r="B1711" s="22"/>
      <c r="C1711" s="213"/>
      <c r="D1711" s="213"/>
      <c r="E1711" s="24"/>
      <c r="F1711" s="215"/>
      <c r="G1711" s="26"/>
      <c r="H1711" s="199"/>
      <c r="I1711" s="29"/>
      <c r="J1711" s="192"/>
      <c r="K1711" s="31"/>
      <c r="L1711" s="200"/>
      <c r="M1711" s="212"/>
      <c r="N1711" s="3"/>
      <c r="O1711" s="40"/>
      <c r="P1711" s="40"/>
      <c r="Q1711" s="212"/>
      <c r="R1711" s="31"/>
      <c r="S1711" s="40"/>
      <c r="T1711" s="40"/>
      <c r="U1711" s="40"/>
      <c r="V1711" s="40"/>
      <c r="W1711" s="40"/>
      <c r="X1711" s="40"/>
      <c r="Y1711" s="40"/>
      <c r="Z1711" s="40"/>
      <c r="AA1711" s="40"/>
      <c r="AB1711" s="40"/>
    </row>
    <row r="1712" ht="18.75" customHeight="1">
      <c r="A1712" s="18"/>
      <c r="B1712" s="22"/>
      <c r="C1712" s="213"/>
      <c r="D1712" s="213"/>
      <c r="E1712" s="24"/>
      <c r="F1712" s="215"/>
      <c r="G1712" s="26"/>
      <c r="H1712" s="199"/>
      <c r="I1712" s="29"/>
      <c r="J1712" s="192"/>
      <c r="K1712" s="31"/>
      <c r="L1712" s="200"/>
      <c r="M1712" s="212"/>
      <c r="N1712" s="3"/>
      <c r="O1712" s="40"/>
      <c r="P1712" s="40"/>
      <c r="Q1712" s="212"/>
      <c r="R1712" s="31"/>
      <c r="S1712" s="40"/>
      <c r="T1712" s="40"/>
      <c r="U1712" s="40"/>
      <c r="V1712" s="40"/>
      <c r="W1712" s="40"/>
      <c r="X1712" s="40"/>
      <c r="Y1712" s="40"/>
      <c r="Z1712" s="40"/>
      <c r="AA1712" s="40"/>
      <c r="AB1712" s="40"/>
    </row>
    <row r="1713" ht="18.75" customHeight="1">
      <c r="A1713" s="18"/>
      <c r="B1713" s="22"/>
      <c r="C1713" s="213"/>
      <c r="D1713" s="213"/>
      <c r="E1713" s="24"/>
      <c r="F1713" s="215"/>
      <c r="G1713" s="26"/>
      <c r="H1713" s="199"/>
      <c r="I1713" s="29"/>
      <c r="J1713" s="192"/>
      <c r="K1713" s="31"/>
      <c r="L1713" s="200"/>
      <c r="M1713" s="212"/>
      <c r="N1713" s="3"/>
      <c r="O1713" s="40"/>
      <c r="P1713" s="40"/>
      <c r="Q1713" s="212"/>
      <c r="R1713" s="31"/>
      <c r="S1713" s="40"/>
      <c r="T1713" s="40"/>
      <c r="U1713" s="40"/>
      <c r="V1713" s="40"/>
      <c r="W1713" s="40"/>
      <c r="X1713" s="40"/>
      <c r="Y1713" s="40"/>
      <c r="Z1713" s="40"/>
      <c r="AA1713" s="40"/>
      <c r="AB1713" s="40"/>
    </row>
    <row r="1714" ht="18.75" customHeight="1">
      <c r="A1714" s="18"/>
      <c r="B1714" s="22"/>
      <c r="C1714" s="213"/>
      <c r="D1714" s="213"/>
      <c r="E1714" s="24"/>
      <c r="F1714" s="215"/>
      <c r="G1714" s="26"/>
      <c r="H1714" s="199"/>
      <c r="I1714" s="29"/>
      <c r="J1714" s="192"/>
      <c r="K1714" s="31"/>
      <c r="L1714" s="200"/>
      <c r="M1714" s="212"/>
      <c r="N1714" s="3"/>
      <c r="O1714" s="40"/>
      <c r="P1714" s="40"/>
      <c r="Q1714" s="212"/>
      <c r="R1714" s="31"/>
      <c r="S1714" s="40"/>
      <c r="T1714" s="40"/>
      <c r="U1714" s="40"/>
      <c r="V1714" s="40"/>
      <c r="W1714" s="40"/>
      <c r="X1714" s="40"/>
      <c r="Y1714" s="40"/>
      <c r="Z1714" s="40"/>
      <c r="AA1714" s="40"/>
      <c r="AB1714" s="40"/>
    </row>
    <row r="1715" ht="18.75" customHeight="1">
      <c r="A1715" s="18"/>
      <c r="B1715" s="22"/>
      <c r="C1715" s="213"/>
      <c r="D1715" s="213"/>
      <c r="E1715" s="24"/>
      <c r="F1715" s="215"/>
      <c r="G1715" s="26"/>
      <c r="H1715" s="199"/>
      <c r="I1715" s="29"/>
      <c r="J1715" s="192"/>
      <c r="K1715" s="31"/>
      <c r="L1715" s="200"/>
      <c r="M1715" s="212"/>
      <c r="N1715" s="3"/>
      <c r="O1715" s="40"/>
      <c r="P1715" s="40"/>
      <c r="Q1715" s="212"/>
      <c r="R1715" s="31"/>
      <c r="S1715" s="40"/>
      <c r="T1715" s="40"/>
      <c r="U1715" s="40"/>
      <c r="V1715" s="40"/>
      <c r="W1715" s="40"/>
      <c r="X1715" s="40"/>
      <c r="Y1715" s="40"/>
      <c r="Z1715" s="40"/>
      <c r="AA1715" s="40"/>
      <c r="AB1715" s="40"/>
    </row>
    <row r="1716" ht="18.75" customHeight="1">
      <c r="A1716" s="18"/>
      <c r="B1716" s="22"/>
      <c r="C1716" s="213"/>
      <c r="D1716" s="213"/>
      <c r="E1716" s="24"/>
      <c r="F1716" s="215"/>
      <c r="G1716" s="26"/>
      <c r="H1716" s="199"/>
      <c r="I1716" s="29"/>
      <c r="J1716" s="192"/>
      <c r="K1716" s="31"/>
      <c r="L1716" s="200"/>
      <c r="M1716" s="212"/>
      <c r="N1716" s="3"/>
      <c r="O1716" s="40"/>
      <c r="P1716" s="40"/>
      <c r="Q1716" s="212"/>
      <c r="R1716" s="31"/>
      <c r="S1716" s="40"/>
      <c r="T1716" s="40"/>
      <c r="U1716" s="40"/>
      <c r="V1716" s="40"/>
      <c r="W1716" s="40"/>
      <c r="X1716" s="40"/>
      <c r="Y1716" s="40"/>
      <c r="Z1716" s="40"/>
      <c r="AA1716" s="40"/>
      <c r="AB1716" s="40"/>
    </row>
    <row r="1717" ht="18.75" customHeight="1">
      <c r="A1717" s="18"/>
      <c r="B1717" s="22"/>
      <c r="C1717" s="213"/>
      <c r="D1717" s="213"/>
      <c r="E1717" s="24"/>
      <c r="F1717" s="215"/>
      <c r="G1717" s="26"/>
      <c r="H1717" s="199"/>
      <c r="I1717" s="29"/>
      <c r="J1717" s="192"/>
      <c r="K1717" s="31"/>
      <c r="L1717" s="200"/>
      <c r="M1717" s="212"/>
      <c r="N1717" s="3"/>
      <c r="O1717" s="40"/>
      <c r="P1717" s="40"/>
      <c r="Q1717" s="212"/>
      <c r="R1717" s="31"/>
      <c r="S1717" s="40"/>
      <c r="T1717" s="40"/>
      <c r="U1717" s="40"/>
      <c r="V1717" s="40"/>
      <c r="W1717" s="40"/>
      <c r="X1717" s="40"/>
      <c r="Y1717" s="40"/>
      <c r="Z1717" s="40"/>
      <c r="AA1717" s="40"/>
      <c r="AB1717" s="40"/>
    </row>
    <row r="1718" ht="18.75" customHeight="1">
      <c r="A1718" s="18"/>
      <c r="B1718" s="22"/>
      <c r="C1718" s="213"/>
      <c r="D1718" s="213"/>
      <c r="E1718" s="24"/>
      <c r="F1718" s="215"/>
      <c r="G1718" s="26"/>
      <c r="H1718" s="199"/>
      <c r="I1718" s="29"/>
      <c r="J1718" s="192"/>
      <c r="K1718" s="31"/>
      <c r="L1718" s="200"/>
      <c r="M1718" s="212"/>
      <c r="N1718" s="3"/>
      <c r="O1718" s="40"/>
      <c r="P1718" s="40"/>
      <c r="Q1718" s="212"/>
      <c r="R1718" s="31"/>
      <c r="S1718" s="40"/>
      <c r="T1718" s="40"/>
      <c r="U1718" s="40"/>
      <c r="V1718" s="40"/>
      <c r="W1718" s="40"/>
      <c r="X1718" s="40"/>
      <c r="Y1718" s="40"/>
      <c r="Z1718" s="40"/>
      <c r="AA1718" s="40"/>
      <c r="AB1718" s="40"/>
    </row>
    <row r="1719" ht="18.75" customHeight="1">
      <c r="A1719" s="18"/>
      <c r="B1719" s="22"/>
      <c r="C1719" s="213"/>
      <c r="D1719" s="213"/>
      <c r="E1719" s="24"/>
      <c r="F1719" s="215"/>
      <c r="G1719" s="26"/>
      <c r="H1719" s="199"/>
      <c r="I1719" s="29"/>
      <c r="J1719" s="192"/>
      <c r="K1719" s="31"/>
      <c r="L1719" s="200"/>
      <c r="M1719" s="212"/>
      <c r="N1719" s="3"/>
      <c r="O1719" s="40"/>
      <c r="P1719" s="40"/>
      <c r="Q1719" s="212"/>
      <c r="R1719" s="31"/>
      <c r="S1719" s="40"/>
      <c r="T1719" s="40"/>
      <c r="U1719" s="40"/>
      <c r="V1719" s="40"/>
      <c r="W1719" s="40"/>
      <c r="X1719" s="40"/>
      <c r="Y1719" s="40"/>
      <c r="Z1719" s="40"/>
      <c r="AA1719" s="40"/>
      <c r="AB1719" s="40"/>
    </row>
    <row r="1720" ht="18.75" customHeight="1">
      <c r="A1720" s="18"/>
      <c r="B1720" s="22"/>
      <c r="C1720" s="213"/>
      <c r="D1720" s="213"/>
      <c r="E1720" s="24"/>
      <c r="F1720" s="215"/>
      <c r="G1720" s="26"/>
      <c r="H1720" s="199"/>
      <c r="I1720" s="29"/>
      <c r="J1720" s="192"/>
      <c r="K1720" s="31"/>
      <c r="L1720" s="200"/>
      <c r="M1720" s="212"/>
      <c r="N1720" s="3"/>
      <c r="O1720" s="40"/>
      <c r="P1720" s="40"/>
      <c r="Q1720" s="212"/>
      <c r="R1720" s="31"/>
      <c r="S1720" s="40"/>
      <c r="T1720" s="40"/>
      <c r="U1720" s="40"/>
      <c r="V1720" s="40"/>
      <c r="W1720" s="40"/>
      <c r="X1720" s="40"/>
      <c r="Y1720" s="40"/>
      <c r="Z1720" s="40"/>
      <c r="AA1720" s="40"/>
      <c r="AB1720" s="40"/>
    </row>
    <row r="1721" ht="18.75" customHeight="1">
      <c r="A1721" s="18"/>
      <c r="B1721" s="22"/>
      <c r="C1721" s="213"/>
      <c r="D1721" s="213"/>
      <c r="E1721" s="24"/>
      <c r="F1721" s="215"/>
      <c r="G1721" s="26"/>
      <c r="H1721" s="199"/>
      <c r="I1721" s="29"/>
      <c r="J1721" s="192"/>
      <c r="K1721" s="31"/>
      <c r="L1721" s="200"/>
      <c r="M1721" s="212"/>
      <c r="N1721" s="3"/>
      <c r="O1721" s="40"/>
      <c r="P1721" s="40"/>
      <c r="Q1721" s="212"/>
      <c r="R1721" s="31"/>
      <c r="S1721" s="40"/>
      <c r="T1721" s="40"/>
      <c r="U1721" s="40"/>
      <c r="V1721" s="40"/>
      <c r="W1721" s="40"/>
      <c r="X1721" s="40"/>
      <c r="Y1721" s="40"/>
      <c r="Z1721" s="40"/>
      <c r="AA1721" s="40"/>
      <c r="AB1721" s="40"/>
    </row>
    <row r="1722" ht="18.75" customHeight="1">
      <c r="A1722" s="18"/>
      <c r="B1722" s="22"/>
      <c r="C1722" s="213"/>
      <c r="D1722" s="213"/>
      <c r="E1722" s="24"/>
      <c r="F1722" s="215"/>
      <c r="G1722" s="26"/>
      <c r="H1722" s="199"/>
      <c r="I1722" s="29"/>
      <c r="J1722" s="192"/>
      <c r="K1722" s="31"/>
      <c r="L1722" s="200"/>
      <c r="M1722" s="212"/>
      <c r="N1722" s="3"/>
      <c r="O1722" s="40"/>
      <c r="P1722" s="40"/>
      <c r="Q1722" s="212"/>
      <c r="R1722" s="31"/>
      <c r="S1722" s="40"/>
      <c r="T1722" s="40"/>
      <c r="U1722" s="40"/>
      <c r="V1722" s="40"/>
      <c r="W1722" s="40"/>
      <c r="X1722" s="40"/>
      <c r="Y1722" s="40"/>
      <c r="Z1722" s="40"/>
      <c r="AA1722" s="40"/>
      <c r="AB1722" s="40"/>
    </row>
    <row r="1723" ht="18.75" customHeight="1">
      <c r="A1723" s="18"/>
      <c r="B1723" s="22"/>
      <c r="C1723" s="213"/>
      <c r="D1723" s="213"/>
      <c r="E1723" s="24"/>
      <c r="F1723" s="215"/>
      <c r="G1723" s="26"/>
      <c r="H1723" s="199"/>
      <c r="I1723" s="29"/>
      <c r="J1723" s="192"/>
      <c r="K1723" s="31"/>
      <c r="L1723" s="200"/>
      <c r="M1723" s="212"/>
      <c r="N1723" s="3"/>
      <c r="O1723" s="40"/>
      <c r="P1723" s="40"/>
      <c r="Q1723" s="212"/>
      <c r="R1723" s="31"/>
      <c r="S1723" s="40"/>
      <c r="T1723" s="40"/>
      <c r="U1723" s="40"/>
      <c r="V1723" s="40"/>
      <c r="W1723" s="40"/>
      <c r="X1723" s="40"/>
      <c r="Y1723" s="40"/>
      <c r="Z1723" s="40"/>
      <c r="AA1723" s="40"/>
      <c r="AB1723" s="40"/>
    </row>
    <row r="1724" ht="18.75" customHeight="1">
      <c r="A1724" s="18"/>
      <c r="B1724" s="22"/>
      <c r="C1724" s="213"/>
      <c r="D1724" s="213"/>
      <c r="E1724" s="24"/>
      <c r="F1724" s="215"/>
      <c r="G1724" s="26"/>
      <c r="H1724" s="199"/>
      <c r="I1724" s="29"/>
      <c r="J1724" s="192"/>
      <c r="K1724" s="31"/>
      <c r="L1724" s="200"/>
      <c r="M1724" s="212"/>
      <c r="N1724" s="3"/>
      <c r="O1724" s="40"/>
      <c r="P1724" s="40"/>
      <c r="Q1724" s="212"/>
      <c r="R1724" s="31"/>
      <c r="S1724" s="40"/>
      <c r="T1724" s="40"/>
      <c r="U1724" s="40"/>
      <c r="V1724" s="40"/>
      <c r="W1724" s="40"/>
      <c r="X1724" s="40"/>
      <c r="Y1724" s="40"/>
      <c r="Z1724" s="40"/>
      <c r="AA1724" s="40"/>
      <c r="AB1724" s="40"/>
    </row>
    <row r="1725" ht="18.75" customHeight="1">
      <c r="A1725" s="18"/>
      <c r="B1725" s="22"/>
      <c r="C1725" s="213"/>
      <c r="D1725" s="213"/>
      <c r="E1725" s="24"/>
      <c r="F1725" s="215"/>
      <c r="G1725" s="26"/>
      <c r="H1725" s="199"/>
      <c r="I1725" s="29"/>
      <c r="J1725" s="192"/>
      <c r="K1725" s="31"/>
      <c r="L1725" s="200"/>
      <c r="M1725" s="212"/>
      <c r="N1725" s="3"/>
      <c r="O1725" s="40"/>
      <c r="P1725" s="40"/>
      <c r="Q1725" s="212"/>
      <c r="R1725" s="31"/>
      <c r="S1725" s="40"/>
      <c r="T1725" s="40"/>
      <c r="U1725" s="40"/>
      <c r="V1725" s="40"/>
      <c r="W1725" s="40"/>
      <c r="X1725" s="40"/>
      <c r="Y1725" s="40"/>
      <c r="Z1725" s="40"/>
      <c r="AA1725" s="40"/>
      <c r="AB1725" s="40"/>
    </row>
    <row r="1726" ht="18.75" customHeight="1">
      <c r="A1726" s="18"/>
      <c r="B1726" s="22"/>
      <c r="C1726" s="213"/>
      <c r="D1726" s="213"/>
      <c r="E1726" s="24"/>
      <c r="F1726" s="215"/>
      <c r="G1726" s="26"/>
      <c r="H1726" s="199"/>
      <c r="I1726" s="29"/>
      <c r="J1726" s="192"/>
      <c r="K1726" s="31"/>
      <c r="L1726" s="200"/>
      <c r="M1726" s="212"/>
      <c r="N1726" s="3"/>
      <c r="O1726" s="40"/>
      <c r="P1726" s="40"/>
      <c r="Q1726" s="212"/>
      <c r="R1726" s="31"/>
      <c r="S1726" s="40"/>
      <c r="T1726" s="40"/>
      <c r="U1726" s="40"/>
      <c r="V1726" s="40"/>
      <c r="W1726" s="40"/>
      <c r="X1726" s="40"/>
      <c r="Y1726" s="40"/>
      <c r="Z1726" s="40"/>
      <c r="AA1726" s="40"/>
      <c r="AB1726" s="40"/>
    </row>
    <row r="1727" ht="18.75" customHeight="1">
      <c r="A1727" s="18"/>
      <c r="B1727" s="22"/>
      <c r="C1727" s="213"/>
      <c r="D1727" s="213"/>
      <c r="E1727" s="24"/>
      <c r="F1727" s="215"/>
      <c r="G1727" s="26"/>
      <c r="H1727" s="199"/>
      <c r="I1727" s="29"/>
      <c r="J1727" s="192"/>
      <c r="K1727" s="31"/>
      <c r="L1727" s="200"/>
      <c r="M1727" s="212"/>
      <c r="N1727" s="3"/>
      <c r="O1727" s="40"/>
      <c r="P1727" s="40"/>
      <c r="Q1727" s="212"/>
      <c r="R1727" s="31"/>
      <c r="S1727" s="40"/>
      <c r="T1727" s="40"/>
      <c r="U1727" s="40"/>
      <c r="V1727" s="40"/>
      <c r="W1727" s="40"/>
      <c r="X1727" s="40"/>
      <c r="Y1727" s="40"/>
      <c r="Z1727" s="40"/>
      <c r="AA1727" s="40"/>
      <c r="AB1727" s="40"/>
    </row>
    <row r="1728" ht="18.75" customHeight="1">
      <c r="A1728" s="18"/>
      <c r="B1728" s="22"/>
      <c r="C1728" s="213"/>
      <c r="D1728" s="213"/>
      <c r="E1728" s="24"/>
      <c r="F1728" s="215"/>
      <c r="G1728" s="26"/>
      <c r="H1728" s="199"/>
      <c r="I1728" s="29"/>
      <c r="J1728" s="192"/>
      <c r="K1728" s="31"/>
      <c r="L1728" s="200"/>
      <c r="M1728" s="212"/>
      <c r="N1728" s="3"/>
      <c r="O1728" s="40"/>
      <c r="P1728" s="40"/>
      <c r="Q1728" s="212"/>
      <c r="R1728" s="31"/>
      <c r="S1728" s="40"/>
      <c r="T1728" s="40"/>
      <c r="U1728" s="40"/>
      <c r="V1728" s="40"/>
      <c r="W1728" s="40"/>
      <c r="X1728" s="40"/>
      <c r="Y1728" s="40"/>
      <c r="Z1728" s="40"/>
      <c r="AA1728" s="40"/>
      <c r="AB1728" s="40"/>
    </row>
    <row r="1729" ht="18.75" customHeight="1">
      <c r="A1729" s="18"/>
      <c r="B1729" s="22"/>
      <c r="C1729" s="213"/>
      <c r="D1729" s="213"/>
      <c r="E1729" s="24"/>
      <c r="F1729" s="215"/>
      <c r="G1729" s="26"/>
      <c r="H1729" s="199"/>
      <c r="I1729" s="29"/>
      <c r="J1729" s="192"/>
      <c r="K1729" s="31"/>
      <c r="L1729" s="200"/>
      <c r="M1729" s="212"/>
      <c r="N1729" s="3"/>
      <c r="O1729" s="40"/>
      <c r="P1729" s="40"/>
      <c r="Q1729" s="212"/>
      <c r="R1729" s="31"/>
      <c r="S1729" s="40"/>
      <c r="T1729" s="40"/>
      <c r="U1729" s="40"/>
      <c r="V1729" s="40"/>
      <c r="W1729" s="40"/>
      <c r="X1729" s="40"/>
      <c r="Y1729" s="40"/>
      <c r="Z1729" s="40"/>
      <c r="AA1729" s="40"/>
      <c r="AB1729" s="40"/>
    </row>
    <row r="1730" ht="18.75" customHeight="1">
      <c r="A1730" s="18"/>
      <c r="B1730" s="22"/>
      <c r="C1730" s="213"/>
      <c r="D1730" s="213"/>
      <c r="E1730" s="24"/>
      <c r="F1730" s="215"/>
      <c r="G1730" s="26"/>
      <c r="H1730" s="199"/>
      <c r="I1730" s="29"/>
      <c r="J1730" s="192"/>
      <c r="K1730" s="31"/>
      <c r="L1730" s="200"/>
      <c r="M1730" s="212"/>
      <c r="N1730" s="3"/>
      <c r="O1730" s="40"/>
      <c r="P1730" s="40"/>
      <c r="Q1730" s="212"/>
      <c r="R1730" s="31"/>
      <c r="S1730" s="40"/>
      <c r="T1730" s="40"/>
      <c r="U1730" s="40"/>
      <c r="V1730" s="40"/>
      <c r="W1730" s="40"/>
      <c r="X1730" s="40"/>
      <c r="Y1730" s="40"/>
      <c r="Z1730" s="40"/>
      <c r="AA1730" s="40"/>
      <c r="AB1730" s="40"/>
    </row>
    <row r="1731" ht="18.75" customHeight="1">
      <c r="A1731" s="18"/>
      <c r="B1731" s="22"/>
      <c r="C1731" s="213"/>
      <c r="D1731" s="213"/>
      <c r="E1731" s="24"/>
      <c r="F1731" s="215"/>
      <c r="G1731" s="26"/>
      <c r="H1731" s="199"/>
      <c r="I1731" s="29"/>
      <c r="J1731" s="192"/>
      <c r="K1731" s="31"/>
      <c r="L1731" s="200"/>
      <c r="M1731" s="212"/>
      <c r="N1731" s="3"/>
      <c r="O1731" s="40"/>
      <c r="P1731" s="40"/>
      <c r="Q1731" s="212"/>
      <c r="R1731" s="31"/>
      <c r="S1731" s="40"/>
      <c r="T1731" s="40"/>
      <c r="U1731" s="40"/>
      <c r="V1731" s="40"/>
      <c r="W1731" s="40"/>
      <c r="X1731" s="40"/>
      <c r="Y1731" s="40"/>
      <c r="Z1731" s="40"/>
      <c r="AA1731" s="40"/>
      <c r="AB1731" s="40"/>
    </row>
    <row r="1732" ht="18.75" customHeight="1">
      <c r="A1732" s="18"/>
      <c r="B1732" s="22"/>
      <c r="C1732" s="213"/>
      <c r="D1732" s="213"/>
      <c r="E1732" s="24"/>
      <c r="F1732" s="215"/>
      <c r="G1732" s="26"/>
      <c r="H1732" s="199"/>
      <c r="I1732" s="29"/>
      <c r="J1732" s="192"/>
      <c r="K1732" s="31"/>
      <c r="L1732" s="200"/>
      <c r="M1732" s="212"/>
      <c r="N1732" s="3"/>
      <c r="O1732" s="40"/>
      <c r="P1732" s="40"/>
      <c r="Q1732" s="212"/>
      <c r="R1732" s="31"/>
      <c r="S1732" s="40"/>
      <c r="T1732" s="40"/>
      <c r="U1732" s="40"/>
      <c r="V1732" s="40"/>
      <c r="W1732" s="40"/>
      <c r="X1732" s="40"/>
      <c r="Y1732" s="40"/>
      <c r="Z1732" s="40"/>
      <c r="AA1732" s="40"/>
      <c r="AB1732" s="40"/>
    </row>
    <row r="1733" ht="18.75" customHeight="1">
      <c r="A1733" s="18"/>
      <c r="B1733" s="22"/>
      <c r="C1733" s="213"/>
      <c r="D1733" s="213"/>
      <c r="E1733" s="24"/>
      <c r="F1733" s="215"/>
      <c r="G1733" s="26"/>
      <c r="H1733" s="199"/>
      <c r="I1733" s="29"/>
      <c r="J1733" s="192"/>
      <c r="K1733" s="31"/>
      <c r="L1733" s="200"/>
      <c r="M1733" s="212"/>
      <c r="N1733" s="3"/>
      <c r="O1733" s="40"/>
      <c r="P1733" s="40"/>
      <c r="Q1733" s="212"/>
      <c r="R1733" s="31"/>
      <c r="S1733" s="40"/>
      <c r="T1733" s="40"/>
      <c r="U1733" s="40"/>
      <c r="V1733" s="40"/>
      <c r="W1733" s="40"/>
      <c r="X1733" s="40"/>
      <c r="Y1733" s="40"/>
      <c r="Z1733" s="40"/>
      <c r="AA1733" s="40"/>
      <c r="AB1733" s="40"/>
    </row>
    <row r="1734" ht="18.75" customHeight="1">
      <c r="A1734" s="18"/>
      <c r="B1734" s="22"/>
      <c r="C1734" s="213"/>
      <c r="D1734" s="213"/>
      <c r="E1734" s="24"/>
      <c r="F1734" s="215"/>
      <c r="G1734" s="26"/>
      <c r="H1734" s="199"/>
      <c r="I1734" s="29"/>
      <c r="J1734" s="192"/>
      <c r="K1734" s="31"/>
      <c r="L1734" s="200"/>
      <c r="M1734" s="212"/>
      <c r="N1734" s="3"/>
      <c r="O1734" s="40"/>
      <c r="P1734" s="40"/>
      <c r="Q1734" s="212"/>
      <c r="R1734" s="31"/>
      <c r="S1734" s="40"/>
      <c r="T1734" s="40"/>
      <c r="U1734" s="40"/>
      <c r="V1734" s="40"/>
      <c r="W1734" s="40"/>
      <c r="X1734" s="40"/>
      <c r="Y1734" s="40"/>
      <c r="Z1734" s="40"/>
      <c r="AA1734" s="40"/>
      <c r="AB1734" s="40"/>
    </row>
    <row r="1735" ht="18.75" customHeight="1">
      <c r="A1735" s="18"/>
      <c r="B1735" s="22"/>
      <c r="C1735" s="213"/>
      <c r="D1735" s="213"/>
      <c r="E1735" s="24"/>
      <c r="F1735" s="215"/>
      <c r="G1735" s="26"/>
      <c r="H1735" s="199"/>
      <c r="I1735" s="29"/>
      <c r="J1735" s="192"/>
      <c r="K1735" s="31"/>
      <c r="L1735" s="200"/>
      <c r="M1735" s="212"/>
      <c r="N1735" s="3"/>
      <c r="O1735" s="40"/>
      <c r="P1735" s="40"/>
      <c r="Q1735" s="212"/>
      <c r="R1735" s="31"/>
      <c r="S1735" s="40"/>
      <c r="T1735" s="40"/>
      <c r="U1735" s="40"/>
      <c r="V1735" s="40"/>
      <c r="W1735" s="40"/>
      <c r="X1735" s="40"/>
      <c r="Y1735" s="40"/>
      <c r="Z1735" s="40"/>
      <c r="AA1735" s="40"/>
      <c r="AB1735" s="40"/>
    </row>
    <row r="1736" ht="18.75" customHeight="1">
      <c r="A1736" s="18"/>
      <c r="B1736" s="22"/>
      <c r="C1736" s="213"/>
      <c r="D1736" s="213"/>
      <c r="E1736" s="24"/>
      <c r="F1736" s="215"/>
      <c r="G1736" s="26"/>
      <c r="H1736" s="199"/>
      <c r="I1736" s="29"/>
      <c r="J1736" s="192"/>
      <c r="K1736" s="31"/>
      <c r="L1736" s="200"/>
      <c r="M1736" s="212"/>
      <c r="N1736" s="3"/>
      <c r="O1736" s="40"/>
      <c r="P1736" s="40"/>
      <c r="Q1736" s="212"/>
      <c r="R1736" s="31"/>
      <c r="S1736" s="40"/>
      <c r="T1736" s="40"/>
      <c r="U1736" s="40"/>
      <c r="V1736" s="40"/>
      <c r="W1736" s="40"/>
      <c r="X1736" s="40"/>
      <c r="Y1736" s="40"/>
      <c r="Z1736" s="40"/>
      <c r="AA1736" s="40"/>
      <c r="AB1736" s="40"/>
    </row>
    <row r="1737" ht="18.75" customHeight="1">
      <c r="A1737" s="18"/>
      <c r="B1737" s="22"/>
      <c r="C1737" s="213"/>
      <c r="D1737" s="213"/>
      <c r="E1737" s="24"/>
      <c r="F1737" s="215"/>
      <c r="G1737" s="26"/>
      <c r="H1737" s="199"/>
      <c r="I1737" s="29"/>
      <c r="J1737" s="192"/>
      <c r="K1737" s="31"/>
      <c r="L1737" s="200"/>
      <c r="M1737" s="212"/>
      <c r="N1737" s="3"/>
      <c r="O1737" s="40"/>
      <c r="P1737" s="40"/>
      <c r="Q1737" s="212"/>
      <c r="R1737" s="31"/>
      <c r="S1737" s="40"/>
      <c r="T1737" s="40"/>
      <c r="U1737" s="40"/>
      <c r="V1737" s="40"/>
      <c r="W1737" s="40"/>
      <c r="X1737" s="40"/>
      <c r="Y1737" s="40"/>
      <c r="Z1737" s="40"/>
      <c r="AA1737" s="40"/>
      <c r="AB1737" s="40"/>
    </row>
    <row r="1738" ht="18.75" customHeight="1">
      <c r="A1738" s="18"/>
      <c r="B1738" s="22"/>
      <c r="C1738" s="213"/>
      <c r="D1738" s="213"/>
      <c r="E1738" s="24"/>
      <c r="F1738" s="215"/>
      <c r="G1738" s="26"/>
      <c r="H1738" s="199"/>
      <c r="I1738" s="29"/>
      <c r="J1738" s="192"/>
      <c r="K1738" s="31"/>
      <c r="L1738" s="200"/>
      <c r="M1738" s="212"/>
      <c r="N1738" s="3"/>
      <c r="O1738" s="40"/>
      <c r="P1738" s="40"/>
      <c r="Q1738" s="212"/>
      <c r="R1738" s="31"/>
      <c r="S1738" s="40"/>
      <c r="T1738" s="40"/>
      <c r="U1738" s="40"/>
      <c r="V1738" s="40"/>
      <c r="W1738" s="40"/>
      <c r="X1738" s="40"/>
      <c r="Y1738" s="40"/>
      <c r="Z1738" s="40"/>
      <c r="AA1738" s="40"/>
      <c r="AB1738" s="40"/>
    </row>
    <row r="1739" ht="18.75" customHeight="1">
      <c r="A1739" s="18"/>
      <c r="B1739" s="22"/>
      <c r="C1739" s="213"/>
      <c r="D1739" s="213"/>
      <c r="E1739" s="24"/>
      <c r="F1739" s="215"/>
      <c r="G1739" s="26"/>
      <c r="H1739" s="199"/>
      <c r="I1739" s="29"/>
      <c r="J1739" s="192"/>
      <c r="K1739" s="31"/>
      <c r="L1739" s="200"/>
      <c r="M1739" s="212"/>
      <c r="N1739" s="3"/>
      <c r="O1739" s="40"/>
      <c r="P1739" s="40"/>
      <c r="Q1739" s="212"/>
      <c r="R1739" s="31"/>
      <c r="S1739" s="40"/>
      <c r="T1739" s="40"/>
      <c r="U1739" s="40"/>
      <c r="V1739" s="40"/>
      <c r="W1739" s="40"/>
      <c r="X1739" s="40"/>
      <c r="Y1739" s="40"/>
      <c r="Z1739" s="40"/>
      <c r="AA1739" s="40"/>
      <c r="AB1739" s="40"/>
    </row>
    <row r="1740" ht="18.75" customHeight="1">
      <c r="A1740" s="18"/>
      <c r="B1740" s="22"/>
      <c r="C1740" s="213"/>
      <c r="D1740" s="213"/>
      <c r="E1740" s="24"/>
      <c r="F1740" s="215"/>
      <c r="G1740" s="26"/>
      <c r="H1740" s="199"/>
      <c r="I1740" s="29"/>
      <c r="J1740" s="192"/>
      <c r="K1740" s="31"/>
      <c r="L1740" s="200"/>
      <c r="M1740" s="212"/>
      <c r="N1740" s="3"/>
      <c r="O1740" s="40"/>
      <c r="P1740" s="40"/>
      <c r="Q1740" s="212"/>
      <c r="R1740" s="31"/>
      <c r="S1740" s="40"/>
      <c r="T1740" s="40"/>
      <c r="U1740" s="40"/>
      <c r="V1740" s="40"/>
      <c r="W1740" s="40"/>
      <c r="X1740" s="40"/>
      <c r="Y1740" s="40"/>
      <c r="Z1740" s="40"/>
      <c r="AA1740" s="40"/>
      <c r="AB1740" s="40"/>
    </row>
    <row r="1741" ht="18.75" customHeight="1">
      <c r="A1741" s="18"/>
      <c r="B1741" s="22"/>
      <c r="C1741" s="213"/>
      <c r="D1741" s="213"/>
      <c r="E1741" s="24"/>
      <c r="F1741" s="215"/>
      <c r="G1741" s="26"/>
      <c r="H1741" s="199"/>
      <c r="I1741" s="29"/>
      <c r="J1741" s="192"/>
      <c r="K1741" s="31"/>
      <c r="L1741" s="200"/>
      <c r="M1741" s="212"/>
      <c r="N1741" s="3"/>
      <c r="O1741" s="40"/>
      <c r="P1741" s="40"/>
      <c r="Q1741" s="212"/>
      <c r="R1741" s="31"/>
      <c r="S1741" s="40"/>
      <c r="T1741" s="40"/>
      <c r="U1741" s="40"/>
      <c r="V1741" s="40"/>
      <c r="W1741" s="40"/>
      <c r="X1741" s="40"/>
      <c r="Y1741" s="40"/>
      <c r="Z1741" s="40"/>
      <c r="AA1741" s="40"/>
      <c r="AB1741" s="40"/>
    </row>
    <row r="1742" ht="18.75" customHeight="1">
      <c r="A1742" s="18"/>
      <c r="B1742" s="22"/>
      <c r="C1742" s="213"/>
      <c r="D1742" s="213"/>
      <c r="E1742" s="24"/>
      <c r="F1742" s="215"/>
      <c r="G1742" s="26"/>
      <c r="H1742" s="199"/>
      <c r="I1742" s="29"/>
      <c r="J1742" s="192"/>
      <c r="K1742" s="31"/>
      <c r="L1742" s="200"/>
      <c r="M1742" s="212"/>
      <c r="N1742" s="3"/>
      <c r="O1742" s="40"/>
      <c r="P1742" s="40"/>
      <c r="Q1742" s="212"/>
      <c r="R1742" s="31"/>
      <c r="S1742" s="40"/>
      <c r="T1742" s="40"/>
      <c r="U1742" s="40"/>
      <c r="V1742" s="40"/>
      <c r="W1742" s="40"/>
      <c r="X1742" s="40"/>
      <c r="Y1742" s="40"/>
      <c r="Z1742" s="40"/>
      <c r="AA1742" s="40"/>
      <c r="AB1742" s="40"/>
    </row>
    <row r="1743" ht="18.75" customHeight="1">
      <c r="A1743" s="18"/>
      <c r="B1743" s="22"/>
      <c r="C1743" s="213"/>
      <c r="D1743" s="213"/>
      <c r="E1743" s="24"/>
      <c r="F1743" s="215"/>
      <c r="G1743" s="26"/>
      <c r="H1743" s="199"/>
      <c r="I1743" s="29"/>
      <c r="J1743" s="192"/>
      <c r="K1743" s="31"/>
      <c r="L1743" s="200"/>
      <c r="M1743" s="212"/>
      <c r="N1743" s="3"/>
      <c r="O1743" s="40"/>
      <c r="P1743" s="40"/>
      <c r="Q1743" s="212"/>
      <c r="R1743" s="31"/>
      <c r="S1743" s="40"/>
      <c r="T1743" s="40"/>
      <c r="U1743" s="40"/>
      <c r="V1743" s="40"/>
      <c r="W1743" s="40"/>
      <c r="X1743" s="40"/>
      <c r="Y1743" s="40"/>
      <c r="Z1743" s="40"/>
      <c r="AA1743" s="40"/>
      <c r="AB1743" s="40"/>
    </row>
    <row r="1744" ht="18.75" customHeight="1">
      <c r="A1744" s="18"/>
      <c r="B1744" s="22"/>
      <c r="C1744" s="213"/>
      <c r="D1744" s="213"/>
      <c r="E1744" s="24"/>
      <c r="F1744" s="215"/>
      <c r="G1744" s="26"/>
      <c r="H1744" s="199"/>
      <c r="I1744" s="29"/>
      <c r="J1744" s="192"/>
      <c r="K1744" s="31"/>
      <c r="L1744" s="200"/>
      <c r="M1744" s="212"/>
      <c r="N1744" s="3"/>
      <c r="O1744" s="40"/>
      <c r="P1744" s="40"/>
      <c r="Q1744" s="212"/>
      <c r="R1744" s="31"/>
      <c r="S1744" s="40"/>
      <c r="T1744" s="40"/>
      <c r="U1744" s="40"/>
      <c r="V1744" s="40"/>
      <c r="W1744" s="40"/>
      <c r="X1744" s="40"/>
      <c r="Y1744" s="40"/>
      <c r="Z1744" s="40"/>
      <c r="AA1744" s="40"/>
      <c r="AB1744" s="40"/>
    </row>
    <row r="1745" ht="18.75" customHeight="1">
      <c r="A1745" s="18"/>
      <c r="B1745" s="22"/>
      <c r="C1745" s="213"/>
      <c r="D1745" s="213"/>
      <c r="E1745" s="24"/>
      <c r="F1745" s="215"/>
      <c r="G1745" s="26"/>
      <c r="H1745" s="199"/>
      <c r="I1745" s="29"/>
      <c r="J1745" s="192"/>
      <c r="K1745" s="31"/>
      <c r="L1745" s="200"/>
      <c r="M1745" s="212"/>
      <c r="N1745" s="3"/>
      <c r="O1745" s="40"/>
      <c r="P1745" s="40"/>
      <c r="Q1745" s="212"/>
      <c r="R1745" s="31"/>
      <c r="S1745" s="40"/>
      <c r="T1745" s="40"/>
      <c r="U1745" s="40"/>
      <c r="V1745" s="40"/>
      <c r="W1745" s="40"/>
      <c r="X1745" s="40"/>
      <c r="Y1745" s="40"/>
      <c r="Z1745" s="40"/>
      <c r="AA1745" s="40"/>
      <c r="AB1745" s="40"/>
    </row>
    <row r="1746" ht="18.75" customHeight="1">
      <c r="A1746" s="18"/>
      <c r="B1746" s="22"/>
      <c r="C1746" s="213"/>
      <c r="D1746" s="213"/>
      <c r="E1746" s="24"/>
      <c r="F1746" s="215"/>
      <c r="G1746" s="26"/>
      <c r="H1746" s="199"/>
      <c r="I1746" s="29"/>
      <c r="J1746" s="192"/>
      <c r="K1746" s="31"/>
      <c r="L1746" s="200"/>
      <c r="M1746" s="212"/>
      <c r="N1746" s="3"/>
      <c r="O1746" s="40"/>
      <c r="P1746" s="40"/>
      <c r="Q1746" s="212"/>
      <c r="R1746" s="31"/>
      <c r="S1746" s="40"/>
      <c r="T1746" s="40"/>
      <c r="U1746" s="40"/>
      <c r="V1746" s="40"/>
      <c r="W1746" s="40"/>
      <c r="X1746" s="40"/>
      <c r="Y1746" s="40"/>
      <c r="Z1746" s="40"/>
      <c r="AA1746" s="40"/>
      <c r="AB1746" s="40"/>
    </row>
    <row r="1747" ht="18.75" customHeight="1">
      <c r="A1747" s="18"/>
      <c r="B1747" s="22"/>
      <c r="C1747" s="213"/>
      <c r="D1747" s="213"/>
      <c r="E1747" s="24"/>
      <c r="F1747" s="215"/>
      <c r="G1747" s="26"/>
      <c r="H1747" s="199"/>
      <c r="I1747" s="29"/>
      <c r="J1747" s="192"/>
      <c r="K1747" s="31"/>
      <c r="L1747" s="200"/>
      <c r="M1747" s="212"/>
      <c r="N1747" s="3"/>
      <c r="O1747" s="40"/>
      <c r="P1747" s="40"/>
      <c r="Q1747" s="212"/>
      <c r="R1747" s="31"/>
      <c r="S1747" s="40"/>
      <c r="T1747" s="40"/>
      <c r="U1747" s="40"/>
      <c r="V1747" s="40"/>
      <c r="W1747" s="40"/>
      <c r="X1747" s="40"/>
      <c r="Y1747" s="40"/>
      <c r="Z1747" s="40"/>
      <c r="AA1747" s="40"/>
      <c r="AB1747" s="40"/>
    </row>
    <row r="1748" ht="18.75" customHeight="1">
      <c r="A1748" s="18"/>
      <c r="B1748" s="22"/>
      <c r="C1748" s="213"/>
      <c r="D1748" s="213"/>
      <c r="E1748" s="24"/>
      <c r="F1748" s="215"/>
      <c r="G1748" s="26"/>
      <c r="H1748" s="199"/>
      <c r="I1748" s="29"/>
      <c r="J1748" s="192"/>
      <c r="K1748" s="31"/>
      <c r="L1748" s="200"/>
      <c r="M1748" s="212"/>
      <c r="N1748" s="3"/>
      <c r="O1748" s="40"/>
      <c r="P1748" s="40"/>
      <c r="Q1748" s="212"/>
      <c r="R1748" s="31"/>
      <c r="S1748" s="40"/>
      <c r="T1748" s="40"/>
      <c r="U1748" s="40"/>
      <c r="V1748" s="40"/>
      <c r="W1748" s="40"/>
      <c r="X1748" s="40"/>
      <c r="Y1748" s="40"/>
      <c r="Z1748" s="40"/>
      <c r="AA1748" s="40"/>
      <c r="AB1748" s="40"/>
    </row>
    <row r="1749" ht="18.75" customHeight="1">
      <c r="A1749" s="18"/>
      <c r="B1749" s="22"/>
      <c r="C1749" s="213"/>
      <c r="D1749" s="213"/>
      <c r="E1749" s="24"/>
      <c r="F1749" s="215"/>
      <c r="G1749" s="26"/>
      <c r="H1749" s="199"/>
      <c r="I1749" s="29"/>
      <c r="J1749" s="192"/>
      <c r="K1749" s="31"/>
      <c r="L1749" s="200"/>
      <c r="M1749" s="212"/>
      <c r="N1749" s="3"/>
      <c r="O1749" s="40"/>
      <c r="P1749" s="40"/>
      <c r="Q1749" s="212"/>
      <c r="R1749" s="31"/>
      <c r="S1749" s="40"/>
      <c r="T1749" s="40"/>
      <c r="U1749" s="40"/>
      <c r="V1749" s="40"/>
      <c r="W1749" s="40"/>
      <c r="X1749" s="40"/>
      <c r="Y1749" s="40"/>
      <c r="Z1749" s="40"/>
      <c r="AA1749" s="40"/>
      <c r="AB1749" s="40"/>
    </row>
    <row r="1750" ht="18.75" customHeight="1">
      <c r="A1750" s="18"/>
      <c r="B1750" s="22"/>
      <c r="C1750" s="213"/>
      <c r="D1750" s="213"/>
      <c r="E1750" s="24"/>
      <c r="F1750" s="215"/>
      <c r="G1750" s="26"/>
      <c r="H1750" s="199"/>
      <c r="I1750" s="29"/>
      <c r="J1750" s="192"/>
      <c r="K1750" s="31"/>
      <c r="L1750" s="200"/>
      <c r="M1750" s="212"/>
      <c r="N1750" s="3"/>
      <c r="O1750" s="40"/>
      <c r="P1750" s="40"/>
      <c r="Q1750" s="212"/>
      <c r="R1750" s="31"/>
      <c r="S1750" s="40"/>
      <c r="T1750" s="40"/>
      <c r="U1750" s="40"/>
      <c r="V1750" s="40"/>
      <c r="W1750" s="40"/>
      <c r="X1750" s="40"/>
      <c r="Y1750" s="40"/>
      <c r="Z1750" s="40"/>
      <c r="AA1750" s="40"/>
      <c r="AB1750" s="40"/>
    </row>
    <row r="1751" ht="18.75" customHeight="1">
      <c r="A1751" s="18"/>
      <c r="B1751" s="22"/>
      <c r="C1751" s="213"/>
      <c r="D1751" s="213"/>
      <c r="E1751" s="24"/>
      <c r="F1751" s="215"/>
      <c r="G1751" s="26"/>
      <c r="H1751" s="199"/>
      <c r="I1751" s="29"/>
      <c r="J1751" s="192"/>
      <c r="K1751" s="31"/>
      <c r="L1751" s="200"/>
      <c r="M1751" s="212"/>
      <c r="N1751" s="3"/>
      <c r="O1751" s="40"/>
      <c r="P1751" s="40"/>
      <c r="Q1751" s="212"/>
      <c r="R1751" s="31"/>
      <c r="S1751" s="40"/>
      <c r="T1751" s="40"/>
      <c r="U1751" s="40"/>
      <c r="V1751" s="40"/>
      <c r="W1751" s="40"/>
      <c r="X1751" s="40"/>
      <c r="Y1751" s="40"/>
      <c r="Z1751" s="40"/>
      <c r="AA1751" s="40"/>
      <c r="AB1751" s="40"/>
    </row>
    <row r="1752" ht="18.75" customHeight="1">
      <c r="A1752" s="18"/>
      <c r="B1752" s="22"/>
      <c r="C1752" s="213"/>
      <c r="D1752" s="213"/>
      <c r="E1752" s="24"/>
      <c r="F1752" s="215"/>
      <c r="G1752" s="26"/>
      <c r="H1752" s="199"/>
      <c r="I1752" s="29"/>
      <c r="J1752" s="192"/>
      <c r="K1752" s="31"/>
      <c r="L1752" s="200"/>
      <c r="M1752" s="212"/>
      <c r="N1752" s="3"/>
      <c r="O1752" s="40"/>
      <c r="P1752" s="40"/>
      <c r="Q1752" s="212"/>
      <c r="R1752" s="31"/>
      <c r="S1752" s="40"/>
      <c r="T1752" s="40"/>
      <c r="U1752" s="40"/>
      <c r="V1752" s="40"/>
      <c r="W1752" s="40"/>
      <c r="X1752" s="40"/>
      <c r="Y1752" s="40"/>
      <c r="Z1752" s="40"/>
      <c r="AA1752" s="40"/>
      <c r="AB1752" s="40"/>
    </row>
    <row r="1753" ht="18.75" customHeight="1">
      <c r="A1753" s="18"/>
      <c r="B1753" s="22"/>
      <c r="C1753" s="213"/>
      <c r="D1753" s="213"/>
      <c r="E1753" s="24"/>
      <c r="F1753" s="215"/>
      <c r="G1753" s="26"/>
      <c r="H1753" s="199"/>
      <c r="I1753" s="29"/>
      <c r="J1753" s="192"/>
      <c r="K1753" s="31"/>
      <c r="L1753" s="200"/>
      <c r="M1753" s="212"/>
      <c r="N1753" s="3"/>
      <c r="O1753" s="40"/>
      <c r="P1753" s="40"/>
      <c r="Q1753" s="212"/>
      <c r="R1753" s="31"/>
      <c r="S1753" s="40"/>
      <c r="T1753" s="40"/>
      <c r="U1753" s="40"/>
      <c r="V1753" s="40"/>
      <c r="W1753" s="40"/>
      <c r="X1753" s="40"/>
      <c r="Y1753" s="40"/>
      <c r="Z1753" s="40"/>
      <c r="AA1753" s="40"/>
      <c r="AB1753" s="40"/>
    </row>
    <row r="1754" ht="18.75" customHeight="1">
      <c r="A1754" s="18"/>
      <c r="B1754" s="22"/>
      <c r="C1754" s="213"/>
      <c r="D1754" s="213"/>
      <c r="E1754" s="24"/>
      <c r="F1754" s="215"/>
      <c r="G1754" s="26"/>
      <c r="H1754" s="199"/>
      <c r="I1754" s="29"/>
      <c r="J1754" s="192"/>
      <c r="K1754" s="31"/>
      <c r="L1754" s="200"/>
      <c r="M1754" s="212"/>
      <c r="N1754" s="3"/>
      <c r="O1754" s="40"/>
      <c r="P1754" s="40"/>
      <c r="Q1754" s="212"/>
      <c r="R1754" s="31"/>
      <c r="S1754" s="40"/>
      <c r="T1754" s="40"/>
      <c r="U1754" s="40"/>
      <c r="V1754" s="40"/>
      <c r="W1754" s="40"/>
      <c r="X1754" s="40"/>
      <c r="Y1754" s="40"/>
      <c r="Z1754" s="40"/>
      <c r="AA1754" s="40"/>
      <c r="AB1754" s="40"/>
    </row>
    <row r="1755" ht="18.75" customHeight="1">
      <c r="A1755" s="18"/>
      <c r="B1755" s="22"/>
      <c r="C1755" s="213"/>
      <c r="D1755" s="213"/>
      <c r="E1755" s="24"/>
      <c r="F1755" s="215"/>
      <c r="G1755" s="26"/>
      <c r="H1755" s="199"/>
      <c r="I1755" s="29"/>
      <c r="J1755" s="192"/>
      <c r="K1755" s="31"/>
      <c r="L1755" s="200"/>
      <c r="M1755" s="212"/>
      <c r="N1755" s="3"/>
      <c r="O1755" s="40"/>
      <c r="P1755" s="40"/>
      <c r="Q1755" s="212"/>
      <c r="R1755" s="31"/>
      <c r="S1755" s="40"/>
      <c r="T1755" s="40"/>
      <c r="U1755" s="40"/>
      <c r="V1755" s="40"/>
      <c r="W1755" s="40"/>
      <c r="X1755" s="40"/>
      <c r="Y1755" s="40"/>
      <c r="Z1755" s="40"/>
      <c r="AA1755" s="40"/>
      <c r="AB1755" s="40"/>
    </row>
    <row r="1756" ht="18.75" customHeight="1">
      <c r="A1756" s="18"/>
      <c r="B1756" s="22"/>
      <c r="C1756" s="213"/>
      <c r="D1756" s="213"/>
      <c r="E1756" s="24"/>
      <c r="F1756" s="215"/>
      <c r="G1756" s="26"/>
      <c r="H1756" s="199"/>
      <c r="I1756" s="29"/>
      <c r="J1756" s="192"/>
      <c r="K1756" s="31"/>
      <c r="L1756" s="200"/>
      <c r="M1756" s="212"/>
      <c r="N1756" s="3"/>
      <c r="O1756" s="40"/>
      <c r="P1756" s="40"/>
      <c r="Q1756" s="212"/>
      <c r="R1756" s="31"/>
      <c r="S1756" s="40"/>
      <c r="T1756" s="40"/>
      <c r="U1756" s="40"/>
      <c r="V1756" s="40"/>
      <c r="W1756" s="40"/>
      <c r="X1756" s="40"/>
      <c r="Y1756" s="40"/>
      <c r="Z1756" s="40"/>
      <c r="AA1756" s="40"/>
      <c r="AB1756" s="40"/>
    </row>
    <row r="1757" ht="18.75" customHeight="1">
      <c r="A1757" s="18"/>
      <c r="B1757" s="22"/>
      <c r="C1757" s="213"/>
      <c r="D1757" s="213"/>
      <c r="E1757" s="24"/>
      <c r="F1757" s="215"/>
      <c r="G1757" s="26"/>
      <c r="H1757" s="199"/>
      <c r="I1757" s="29"/>
      <c r="J1757" s="192"/>
      <c r="K1757" s="31"/>
      <c r="L1757" s="200"/>
      <c r="M1757" s="212"/>
      <c r="N1757" s="3"/>
      <c r="O1757" s="40"/>
      <c r="P1757" s="40"/>
      <c r="Q1757" s="212"/>
      <c r="R1757" s="31"/>
      <c r="S1757" s="40"/>
      <c r="T1757" s="40"/>
      <c r="U1757" s="40"/>
      <c r="V1757" s="40"/>
      <c r="W1757" s="40"/>
      <c r="X1757" s="40"/>
      <c r="Y1757" s="40"/>
      <c r="Z1757" s="40"/>
      <c r="AA1757" s="40"/>
      <c r="AB1757" s="40"/>
    </row>
    <row r="1758" ht="18.75" customHeight="1">
      <c r="A1758" s="18"/>
      <c r="B1758" s="22"/>
      <c r="C1758" s="213"/>
      <c r="D1758" s="213"/>
      <c r="E1758" s="24"/>
      <c r="F1758" s="215"/>
      <c r="G1758" s="26"/>
      <c r="H1758" s="199"/>
      <c r="I1758" s="29"/>
      <c r="J1758" s="192"/>
      <c r="K1758" s="31"/>
      <c r="L1758" s="200"/>
      <c r="M1758" s="212"/>
      <c r="N1758" s="3"/>
      <c r="O1758" s="40"/>
      <c r="P1758" s="40"/>
      <c r="Q1758" s="212"/>
      <c r="R1758" s="31"/>
      <c r="S1758" s="40"/>
      <c r="T1758" s="40"/>
      <c r="U1758" s="40"/>
      <c r="V1758" s="40"/>
      <c r="W1758" s="40"/>
      <c r="X1758" s="40"/>
      <c r="Y1758" s="40"/>
      <c r="Z1758" s="40"/>
      <c r="AA1758" s="40"/>
      <c r="AB1758" s="40"/>
    </row>
    <row r="1759" ht="18.75" customHeight="1">
      <c r="A1759" s="18"/>
      <c r="B1759" s="22"/>
      <c r="C1759" s="213"/>
      <c r="D1759" s="213"/>
      <c r="E1759" s="24"/>
      <c r="F1759" s="215"/>
      <c r="G1759" s="26"/>
      <c r="H1759" s="199"/>
      <c r="I1759" s="29"/>
      <c r="J1759" s="192"/>
      <c r="K1759" s="31"/>
      <c r="L1759" s="200"/>
      <c r="M1759" s="212"/>
      <c r="N1759" s="3"/>
      <c r="O1759" s="40"/>
      <c r="P1759" s="40"/>
      <c r="Q1759" s="212"/>
      <c r="R1759" s="31"/>
      <c r="S1759" s="40"/>
      <c r="T1759" s="40"/>
      <c r="U1759" s="40"/>
      <c r="V1759" s="40"/>
      <c r="W1759" s="40"/>
      <c r="X1759" s="40"/>
      <c r="Y1759" s="40"/>
      <c r="Z1759" s="40"/>
      <c r="AA1759" s="40"/>
      <c r="AB1759" s="40"/>
    </row>
    <row r="1760" ht="18.75" customHeight="1">
      <c r="A1760" s="18"/>
      <c r="B1760" s="22"/>
      <c r="C1760" s="213"/>
      <c r="D1760" s="213"/>
      <c r="E1760" s="24"/>
      <c r="F1760" s="215"/>
      <c r="G1760" s="26"/>
      <c r="H1760" s="199"/>
      <c r="I1760" s="29"/>
      <c r="J1760" s="192"/>
      <c r="K1760" s="31"/>
      <c r="L1760" s="200"/>
      <c r="M1760" s="212"/>
      <c r="N1760" s="3"/>
      <c r="O1760" s="40"/>
      <c r="P1760" s="40"/>
      <c r="Q1760" s="212"/>
      <c r="R1760" s="31"/>
      <c r="S1760" s="40"/>
      <c r="T1760" s="40"/>
      <c r="U1760" s="40"/>
      <c r="V1760" s="40"/>
      <c r="W1760" s="40"/>
      <c r="X1760" s="40"/>
      <c r="Y1760" s="40"/>
      <c r="Z1760" s="40"/>
      <c r="AA1760" s="40"/>
      <c r="AB1760" s="40"/>
    </row>
    <row r="1761" ht="18.75" customHeight="1">
      <c r="A1761" s="18"/>
      <c r="B1761" s="22"/>
      <c r="C1761" s="213"/>
      <c r="D1761" s="213"/>
      <c r="E1761" s="24"/>
      <c r="F1761" s="215"/>
      <c r="G1761" s="26"/>
      <c r="H1761" s="199"/>
      <c r="I1761" s="29"/>
      <c r="J1761" s="192"/>
      <c r="K1761" s="31"/>
      <c r="L1761" s="200"/>
      <c r="M1761" s="212"/>
      <c r="N1761" s="3"/>
      <c r="O1761" s="40"/>
      <c r="P1761" s="40"/>
      <c r="Q1761" s="212"/>
      <c r="R1761" s="31"/>
      <c r="S1761" s="40"/>
      <c r="T1761" s="40"/>
      <c r="U1761" s="40"/>
      <c r="V1761" s="40"/>
      <c r="W1761" s="40"/>
      <c r="X1761" s="40"/>
      <c r="Y1761" s="40"/>
      <c r="Z1761" s="40"/>
      <c r="AA1761" s="40"/>
      <c r="AB1761" s="40"/>
    </row>
    <row r="1762" ht="18.75" customHeight="1">
      <c r="A1762" s="18"/>
      <c r="B1762" s="22"/>
      <c r="C1762" s="213"/>
      <c r="D1762" s="213"/>
      <c r="E1762" s="24"/>
      <c r="F1762" s="215"/>
      <c r="G1762" s="26"/>
      <c r="H1762" s="199"/>
      <c r="I1762" s="29"/>
      <c r="J1762" s="192"/>
      <c r="K1762" s="31"/>
      <c r="L1762" s="200"/>
      <c r="M1762" s="212"/>
      <c r="N1762" s="3"/>
      <c r="O1762" s="40"/>
      <c r="P1762" s="40"/>
      <c r="Q1762" s="212"/>
      <c r="R1762" s="31"/>
      <c r="S1762" s="40"/>
      <c r="T1762" s="40"/>
      <c r="U1762" s="40"/>
      <c r="V1762" s="40"/>
      <c r="W1762" s="40"/>
      <c r="X1762" s="40"/>
      <c r="Y1762" s="40"/>
      <c r="Z1762" s="40"/>
      <c r="AA1762" s="40"/>
      <c r="AB1762" s="40"/>
    </row>
    <row r="1763" ht="18.75" customHeight="1">
      <c r="A1763" s="18"/>
      <c r="B1763" s="22"/>
      <c r="C1763" s="213"/>
      <c r="D1763" s="213"/>
      <c r="E1763" s="24"/>
      <c r="F1763" s="215"/>
      <c r="G1763" s="26"/>
      <c r="H1763" s="199"/>
      <c r="I1763" s="29"/>
      <c r="J1763" s="192"/>
      <c r="K1763" s="31"/>
      <c r="L1763" s="200"/>
      <c r="M1763" s="212"/>
      <c r="N1763" s="3"/>
      <c r="O1763" s="40"/>
      <c r="P1763" s="40"/>
      <c r="Q1763" s="212"/>
      <c r="R1763" s="31"/>
      <c r="S1763" s="40"/>
      <c r="T1763" s="40"/>
      <c r="U1763" s="40"/>
      <c r="V1763" s="40"/>
      <c r="W1763" s="40"/>
      <c r="X1763" s="40"/>
      <c r="Y1763" s="40"/>
      <c r="Z1763" s="40"/>
      <c r="AA1763" s="40"/>
      <c r="AB1763" s="40"/>
    </row>
    <row r="1764" ht="18.75" customHeight="1">
      <c r="A1764" s="18"/>
      <c r="B1764" s="22"/>
      <c r="C1764" s="213"/>
      <c r="D1764" s="213"/>
      <c r="E1764" s="24"/>
      <c r="F1764" s="215"/>
      <c r="G1764" s="26"/>
      <c r="H1764" s="199"/>
      <c r="I1764" s="29"/>
      <c r="J1764" s="192"/>
      <c r="K1764" s="31"/>
      <c r="L1764" s="200"/>
      <c r="M1764" s="212"/>
      <c r="N1764" s="3"/>
      <c r="O1764" s="40"/>
      <c r="P1764" s="40"/>
      <c r="Q1764" s="212"/>
      <c r="R1764" s="31"/>
      <c r="S1764" s="40"/>
      <c r="T1764" s="40"/>
      <c r="U1764" s="40"/>
      <c r="V1764" s="40"/>
      <c r="W1764" s="40"/>
      <c r="X1764" s="40"/>
      <c r="Y1764" s="40"/>
      <c r="Z1764" s="40"/>
      <c r="AA1764" s="40"/>
      <c r="AB1764" s="40"/>
    </row>
    <row r="1765" ht="18.75" customHeight="1">
      <c r="A1765" s="18"/>
      <c r="B1765" s="22"/>
      <c r="C1765" s="213"/>
      <c r="D1765" s="213"/>
      <c r="E1765" s="24"/>
      <c r="F1765" s="215"/>
      <c r="G1765" s="26"/>
      <c r="H1765" s="199"/>
      <c r="I1765" s="29"/>
      <c r="J1765" s="192"/>
      <c r="K1765" s="31"/>
      <c r="L1765" s="200"/>
      <c r="M1765" s="212"/>
      <c r="N1765" s="3"/>
      <c r="O1765" s="40"/>
      <c r="P1765" s="40"/>
      <c r="Q1765" s="212"/>
      <c r="R1765" s="31"/>
      <c r="S1765" s="40"/>
      <c r="T1765" s="40"/>
      <c r="U1765" s="40"/>
      <c r="V1765" s="40"/>
      <c r="W1765" s="40"/>
      <c r="X1765" s="40"/>
      <c r="Y1765" s="40"/>
      <c r="Z1765" s="40"/>
      <c r="AA1765" s="40"/>
      <c r="AB1765" s="40"/>
    </row>
    <row r="1766" ht="18.75" customHeight="1">
      <c r="A1766" s="18"/>
      <c r="B1766" s="22"/>
      <c r="C1766" s="213"/>
      <c r="D1766" s="213"/>
      <c r="E1766" s="24"/>
      <c r="F1766" s="215"/>
      <c r="G1766" s="26"/>
      <c r="H1766" s="199"/>
      <c r="I1766" s="29"/>
      <c r="J1766" s="192"/>
      <c r="K1766" s="31"/>
      <c r="L1766" s="200"/>
      <c r="M1766" s="212"/>
      <c r="N1766" s="3"/>
      <c r="O1766" s="40"/>
      <c r="P1766" s="40"/>
      <c r="Q1766" s="212"/>
      <c r="R1766" s="31"/>
      <c r="S1766" s="40"/>
      <c r="T1766" s="40"/>
      <c r="U1766" s="40"/>
      <c r="V1766" s="40"/>
      <c r="W1766" s="40"/>
      <c r="X1766" s="40"/>
      <c r="Y1766" s="40"/>
      <c r="Z1766" s="40"/>
      <c r="AA1766" s="40"/>
      <c r="AB1766" s="40"/>
    </row>
    <row r="1767" ht="18.75" customHeight="1">
      <c r="A1767" s="18"/>
      <c r="B1767" s="22"/>
      <c r="C1767" s="213"/>
      <c r="D1767" s="213"/>
      <c r="E1767" s="24"/>
      <c r="F1767" s="215"/>
      <c r="G1767" s="26"/>
      <c r="H1767" s="199"/>
      <c r="I1767" s="29"/>
      <c r="J1767" s="192"/>
      <c r="K1767" s="31"/>
      <c r="L1767" s="200"/>
      <c r="M1767" s="212"/>
      <c r="N1767" s="3"/>
      <c r="O1767" s="40"/>
      <c r="P1767" s="40"/>
      <c r="Q1767" s="212"/>
      <c r="R1767" s="31"/>
      <c r="S1767" s="40"/>
      <c r="T1767" s="40"/>
      <c r="U1767" s="40"/>
      <c r="V1767" s="40"/>
      <c r="W1767" s="40"/>
      <c r="X1767" s="40"/>
      <c r="Y1767" s="40"/>
      <c r="Z1767" s="40"/>
      <c r="AA1767" s="40"/>
      <c r="AB1767" s="40"/>
    </row>
    <row r="1768" ht="18.75" customHeight="1">
      <c r="A1768" s="18"/>
      <c r="B1768" s="22"/>
      <c r="C1768" s="213"/>
      <c r="D1768" s="213"/>
      <c r="E1768" s="24"/>
      <c r="F1768" s="215"/>
      <c r="G1768" s="26"/>
      <c r="H1768" s="199"/>
      <c r="I1768" s="29"/>
      <c r="J1768" s="192"/>
      <c r="K1768" s="31"/>
      <c r="L1768" s="200"/>
      <c r="M1768" s="212"/>
      <c r="N1768" s="3"/>
      <c r="O1768" s="40"/>
      <c r="P1768" s="40"/>
      <c r="Q1768" s="212"/>
      <c r="R1768" s="31"/>
      <c r="S1768" s="40"/>
      <c r="T1768" s="40"/>
      <c r="U1768" s="40"/>
      <c r="V1768" s="40"/>
      <c r="W1768" s="40"/>
      <c r="X1768" s="40"/>
      <c r="Y1768" s="40"/>
      <c r="Z1768" s="40"/>
      <c r="AA1768" s="40"/>
      <c r="AB1768" s="40"/>
    </row>
    <row r="1769" ht="18.75" customHeight="1">
      <c r="A1769" s="18"/>
      <c r="B1769" s="22"/>
      <c r="C1769" s="213"/>
      <c r="D1769" s="213"/>
      <c r="E1769" s="24"/>
      <c r="F1769" s="215"/>
      <c r="G1769" s="26"/>
      <c r="H1769" s="199"/>
      <c r="I1769" s="29"/>
      <c r="J1769" s="192"/>
      <c r="K1769" s="31"/>
      <c r="L1769" s="200"/>
      <c r="M1769" s="212"/>
      <c r="N1769" s="3"/>
      <c r="O1769" s="40"/>
      <c r="P1769" s="40"/>
      <c r="Q1769" s="212"/>
      <c r="R1769" s="31"/>
      <c r="S1769" s="40"/>
      <c r="T1769" s="40"/>
      <c r="U1769" s="40"/>
      <c r="V1769" s="40"/>
      <c r="W1769" s="40"/>
      <c r="X1769" s="40"/>
      <c r="Y1769" s="40"/>
      <c r="Z1769" s="40"/>
      <c r="AA1769" s="40"/>
      <c r="AB1769" s="40"/>
    </row>
    <row r="1770" ht="18.75" customHeight="1">
      <c r="A1770" s="18"/>
      <c r="B1770" s="22"/>
      <c r="C1770" s="213"/>
      <c r="D1770" s="213"/>
      <c r="E1770" s="24"/>
      <c r="F1770" s="215"/>
      <c r="G1770" s="26"/>
      <c r="H1770" s="199"/>
      <c r="I1770" s="29"/>
      <c r="J1770" s="192"/>
      <c r="K1770" s="31"/>
      <c r="L1770" s="200"/>
      <c r="M1770" s="212"/>
      <c r="N1770" s="3"/>
      <c r="O1770" s="40"/>
      <c r="P1770" s="40"/>
      <c r="Q1770" s="212"/>
      <c r="R1770" s="31"/>
      <c r="S1770" s="40"/>
      <c r="T1770" s="40"/>
      <c r="U1770" s="40"/>
      <c r="V1770" s="40"/>
      <c r="W1770" s="40"/>
      <c r="X1770" s="40"/>
      <c r="Y1770" s="40"/>
      <c r="Z1770" s="40"/>
      <c r="AA1770" s="40"/>
      <c r="AB1770" s="40"/>
    </row>
    <row r="1771" ht="18.75" customHeight="1">
      <c r="A1771" s="18"/>
      <c r="B1771" s="22"/>
      <c r="C1771" s="213"/>
      <c r="D1771" s="213"/>
      <c r="E1771" s="24"/>
      <c r="F1771" s="215"/>
      <c r="G1771" s="26"/>
      <c r="H1771" s="199"/>
      <c r="I1771" s="29"/>
      <c r="J1771" s="192"/>
      <c r="K1771" s="31"/>
      <c r="L1771" s="200"/>
      <c r="M1771" s="212"/>
      <c r="N1771" s="3"/>
      <c r="O1771" s="40"/>
      <c r="P1771" s="40"/>
      <c r="Q1771" s="212"/>
      <c r="R1771" s="31"/>
      <c r="S1771" s="40"/>
      <c r="T1771" s="40"/>
      <c r="U1771" s="40"/>
      <c r="V1771" s="40"/>
      <c r="W1771" s="40"/>
      <c r="X1771" s="40"/>
      <c r="Y1771" s="40"/>
      <c r="Z1771" s="40"/>
      <c r="AA1771" s="40"/>
      <c r="AB1771" s="40"/>
    </row>
    <row r="1772" ht="18.75" customHeight="1">
      <c r="A1772" s="18"/>
      <c r="B1772" s="22"/>
      <c r="C1772" s="213"/>
      <c r="D1772" s="213"/>
      <c r="E1772" s="24"/>
      <c r="F1772" s="215"/>
      <c r="G1772" s="26"/>
      <c r="H1772" s="199"/>
      <c r="I1772" s="29"/>
      <c r="J1772" s="192"/>
      <c r="K1772" s="31"/>
      <c r="L1772" s="200"/>
      <c r="M1772" s="212"/>
      <c r="N1772" s="3"/>
      <c r="O1772" s="40"/>
      <c r="P1772" s="40"/>
      <c r="Q1772" s="212"/>
      <c r="R1772" s="31"/>
      <c r="S1772" s="40"/>
      <c r="T1772" s="40"/>
      <c r="U1772" s="40"/>
      <c r="V1772" s="40"/>
      <c r="W1772" s="40"/>
      <c r="X1772" s="40"/>
      <c r="Y1772" s="40"/>
      <c r="Z1772" s="40"/>
      <c r="AA1772" s="40"/>
      <c r="AB1772" s="40"/>
    </row>
    <row r="1773" ht="18.75" customHeight="1">
      <c r="A1773" s="18"/>
      <c r="B1773" s="22"/>
      <c r="C1773" s="213"/>
      <c r="D1773" s="213"/>
      <c r="E1773" s="24"/>
      <c r="F1773" s="215"/>
      <c r="G1773" s="26"/>
      <c r="H1773" s="199"/>
      <c r="I1773" s="29"/>
      <c r="J1773" s="192"/>
      <c r="K1773" s="31"/>
      <c r="L1773" s="200"/>
      <c r="M1773" s="212"/>
      <c r="N1773" s="3"/>
      <c r="O1773" s="40"/>
      <c r="P1773" s="40"/>
      <c r="Q1773" s="212"/>
      <c r="R1773" s="31"/>
      <c r="S1773" s="40"/>
      <c r="T1773" s="40"/>
      <c r="U1773" s="40"/>
      <c r="V1773" s="40"/>
      <c r="W1773" s="40"/>
      <c r="X1773" s="40"/>
      <c r="Y1773" s="40"/>
      <c r="Z1773" s="40"/>
      <c r="AA1773" s="40"/>
      <c r="AB1773" s="40"/>
    </row>
    <row r="1774" ht="18.75" customHeight="1">
      <c r="A1774" s="18"/>
      <c r="B1774" s="22"/>
      <c r="C1774" s="213"/>
      <c r="D1774" s="213"/>
      <c r="E1774" s="24"/>
      <c r="F1774" s="215"/>
      <c r="G1774" s="26"/>
      <c r="H1774" s="199"/>
      <c r="I1774" s="29"/>
      <c r="J1774" s="192"/>
      <c r="K1774" s="31"/>
      <c r="L1774" s="200"/>
      <c r="M1774" s="212"/>
      <c r="N1774" s="3"/>
      <c r="O1774" s="40"/>
      <c r="P1774" s="40"/>
      <c r="Q1774" s="212"/>
      <c r="R1774" s="31"/>
      <c r="S1774" s="40"/>
      <c r="T1774" s="40"/>
      <c r="U1774" s="40"/>
      <c r="V1774" s="40"/>
      <c r="W1774" s="40"/>
      <c r="X1774" s="40"/>
      <c r="Y1774" s="40"/>
      <c r="Z1774" s="40"/>
      <c r="AA1774" s="40"/>
      <c r="AB1774" s="40"/>
    </row>
    <row r="1775" ht="18.75" customHeight="1">
      <c r="A1775" s="18"/>
      <c r="B1775" s="22"/>
      <c r="C1775" s="213"/>
      <c r="D1775" s="213"/>
      <c r="E1775" s="24"/>
      <c r="F1775" s="215"/>
      <c r="G1775" s="26"/>
      <c r="H1775" s="199"/>
      <c r="I1775" s="29"/>
      <c r="J1775" s="192"/>
      <c r="K1775" s="31"/>
      <c r="L1775" s="200"/>
      <c r="M1775" s="212"/>
      <c r="N1775" s="3"/>
      <c r="O1775" s="40"/>
      <c r="P1775" s="40"/>
      <c r="Q1775" s="212"/>
      <c r="R1775" s="31"/>
      <c r="S1775" s="40"/>
      <c r="T1775" s="40"/>
      <c r="U1775" s="40"/>
      <c r="V1775" s="40"/>
      <c r="W1775" s="40"/>
      <c r="X1775" s="40"/>
      <c r="Y1775" s="40"/>
      <c r="Z1775" s="40"/>
      <c r="AA1775" s="40"/>
      <c r="AB1775" s="40"/>
    </row>
    <row r="1776" ht="18.75" customHeight="1">
      <c r="A1776" s="18"/>
      <c r="B1776" s="22"/>
      <c r="C1776" s="213"/>
      <c r="D1776" s="213"/>
      <c r="E1776" s="24"/>
      <c r="F1776" s="215"/>
      <c r="G1776" s="26"/>
      <c r="H1776" s="199"/>
      <c r="I1776" s="29"/>
      <c r="J1776" s="192"/>
      <c r="K1776" s="31"/>
      <c r="L1776" s="200"/>
      <c r="M1776" s="212"/>
      <c r="N1776" s="3"/>
      <c r="O1776" s="40"/>
      <c r="P1776" s="40"/>
      <c r="Q1776" s="212"/>
      <c r="R1776" s="31"/>
      <c r="S1776" s="40"/>
      <c r="T1776" s="40"/>
      <c r="U1776" s="40"/>
      <c r="V1776" s="40"/>
      <c r="W1776" s="40"/>
      <c r="X1776" s="40"/>
      <c r="Y1776" s="40"/>
      <c r="Z1776" s="40"/>
      <c r="AA1776" s="40"/>
      <c r="AB1776" s="40"/>
    </row>
    <row r="1777" ht="18.75" customHeight="1">
      <c r="A1777" s="18"/>
      <c r="B1777" s="22"/>
      <c r="C1777" s="213"/>
      <c r="D1777" s="213"/>
      <c r="E1777" s="24"/>
      <c r="F1777" s="215"/>
      <c r="G1777" s="26"/>
      <c r="H1777" s="199"/>
      <c r="I1777" s="29"/>
      <c r="J1777" s="192"/>
      <c r="K1777" s="31"/>
      <c r="L1777" s="200"/>
      <c r="M1777" s="212"/>
      <c r="N1777" s="3"/>
      <c r="O1777" s="40"/>
      <c r="P1777" s="40"/>
      <c r="Q1777" s="212"/>
      <c r="R1777" s="31"/>
      <c r="S1777" s="40"/>
      <c r="T1777" s="40"/>
      <c r="U1777" s="40"/>
      <c r="V1777" s="40"/>
      <c r="W1777" s="40"/>
      <c r="X1777" s="40"/>
      <c r="Y1777" s="40"/>
      <c r="Z1777" s="40"/>
      <c r="AA1777" s="40"/>
      <c r="AB1777" s="40"/>
    </row>
    <row r="1778" ht="18.75" customHeight="1">
      <c r="A1778" s="18"/>
      <c r="B1778" s="22"/>
      <c r="C1778" s="213"/>
      <c r="D1778" s="213"/>
      <c r="E1778" s="24"/>
      <c r="F1778" s="215"/>
      <c r="G1778" s="26"/>
      <c r="H1778" s="199"/>
      <c r="I1778" s="29"/>
      <c r="J1778" s="192"/>
      <c r="K1778" s="31"/>
      <c r="L1778" s="200"/>
      <c r="M1778" s="212"/>
      <c r="N1778" s="3"/>
      <c r="O1778" s="40"/>
      <c r="P1778" s="40"/>
      <c r="Q1778" s="212"/>
      <c r="R1778" s="31"/>
      <c r="S1778" s="40"/>
      <c r="T1778" s="40"/>
      <c r="U1778" s="40"/>
      <c r="V1778" s="40"/>
      <c r="W1778" s="40"/>
      <c r="X1778" s="40"/>
      <c r="Y1778" s="40"/>
      <c r="Z1778" s="40"/>
      <c r="AA1778" s="40"/>
      <c r="AB1778" s="40"/>
    </row>
    <row r="1779" ht="18.75" customHeight="1">
      <c r="A1779" s="18"/>
      <c r="B1779" s="22"/>
      <c r="C1779" s="213"/>
      <c r="D1779" s="213"/>
      <c r="E1779" s="24"/>
      <c r="F1779" s="215"/>
      <c r="G1779" s="26"/>
      <c r="H1779" s="199"/>
      <c r="I1779" s="29"/>
      <c r="J1779" s="192"/>
      <c r="K1779" s="31"/>
      <c r="L1779" s="200"/>
      <c r="M1779" s="212"/>
      <c r="N1779" s="3"/>
      <c r="O1779" s="40"/>
      <c r="P1779" s="40"/>
      <c r="Q1779" s="212"/>
      <c r="R1779" s="31"/>
      <c r="S1779" s="40"/>
      <c r="T1779" s="40"/>
      <c r="U1779" s="40"/>
      <c r="V1779" s="40"/>
      <c r="W1779" s="40"/>
      <c r="X1779" s="40"/>
      <c r="Y1779" s="40"/>
      <c r="Z1779" s="40"/>
      <c r="AA1779" s="40"/>
      <c r="AB1779" s="40"/>
    </row>
    <row r="1780" ht="18.75" customHeight="1">
      <c r="A1780" s="18"/>
      <c r="B1780" s="22"/>
      <c r="C1780" s="213"/>
      <c r="D1780" s="213"/>
      <c r="E1780" s="24"/>
      <c r="F1780" s="215"/>
      <c r="G1780" s="26"/>
      <c r="H1780" s="199"/>
      <c r="I1780" s="29"/>
      <c r="J1780" s="192"/>
      <c r="K1780" s="31"/>
      <c r="L1780" s="200"/>
      <c r="M1780" s="212"/>
      <c r="N1780" s="3"/>
      <c r="O1780" s="40"/>
      <c r="P1780" s="40"/>
      <c r="Q1780" s="212"/>
      <c r="R1780" s="31"/>
      <c r="S1780" s="40"/>
      <c r="T1780" s="40"/>
      <c r="U1780" s="40"/>
      <c r="V1780" s="40"/>
      <c r="W1780" s="40"/>
      <c r="X1780" s="40"/>
      <c r="Y1780" s="40"/>
      <c r="Z1780" s="40"/>
      <c r="AA1780" s="40"/>
      <c r="AB1780" s="40"/>
    </row>
    <row r="1781" ht="18.75" customHeight="1">
      <c r="A1781" s="18"/>
      <c r="B1781" s="22"/>
      <c r="C1781" s="213"/>
      <c r="D1781" s="213"/>
      <c r="E1781" s="24"/>
      <c r="F1781" s="215"/>
      <c r="G1781" s="26"/>
      <c r="H1781" s="199"/>
      <c r="I1781" s="29"/>
      <c r="J1781" s="192"/>
      <c r="K1781" s="31"/>
      <c r="L1781" s="200"/>
      <c r="M1781" s="212"/>
      <c r="N1781" s="3"/>
      <c r="O1781" s="40"/>
      <c r="P1781" s="40"/>
      <c r="Q1781" s="212"/>
      <c r="R1781" s="31"/>
      <c r="S1781" s="40"/>
      <c r="T1781" s="40"/>
      <c r="U1781" s="40"/>
      <c r="V1781" s="40"/>
      <c r="W1781" s="40"/>
      <c r="X1781" s="40"/>
      <c r="Y1781" s="40"/>
      <c r="Z1781" s="40"/>
      <c r="AA1781" s="40"/>
      <c r="AB1781" s="40"/>
    </row>
    <row r="1782" ht="18.75" customHeight="1">
      <c r="A1782" s="18"/>
      <c r="B1782" s="22"/>
      <c r="C1782" s="213"/>
      <c r="D1782" s="213"/>
      <c r="E1782" s="24"/>
      <c r="F1782" s="215"/>
      <c r="G1782" s="26"/>
      <c r="H1782" s="199"/>
      <c r="I1782" s="29"/>
      <c r="J1782" s="192"/>
      <c r="K1782" s="31"/>
      <c r="L1782" s="200"/>
      <c r="M1782" s="212"/>
      <c r="N1782" s="3"/>
      <c r="O1782" s="40"/>
      <c r="P1782" s="40"/>
      <c r="Q1782" s="212"/>
      <c r="R1782" s="31"/>
      <c r="S1782" s="40"/>
      <c r="T1782" s="40"/>
      <c r="U1782" s="40"/>
      <c r="V1782" s="40"/>
      <c r="W1782" s="40"/>
      <c r="X1782" s="40"/>
      <c r="Y1782" s="40"/>
      <c r="Z1782" s="40"/>
      <c r="AA1782" s="40"/>
      <c r="AB1782" s="40"/>
    </row>
    <row r="1783" ht="18.75" customHeight="1">
      <c r="A1783" s="18"/>
      <c r="B1783" s="22"/>
      <c r="C1783" s="213"/>
      <c r="D1783" s="213"/>
      <c r="E1783" s="24"/>
      <c r="F1783" s="215"/>
      <c r="G1783" s="26"/>
      <c r="H1783" s="199"/>
      <c r="I1783" s="29"/>
      <c r="J1783" s="192"/>
      <c r="K1783" s="31"/>
      <c r="L1783" s="200"/>
      <c r="M1783" s="212"/>
      <c r="N1783" s="3"/>
      <c r="O1783" s="40"/>
      <c r="P1783" s="40"/>
      <c r="Q1783" s="212"/>
      <c r="R1783" s="31"/>
      <c r="S1783" s="40"/>
      <c r="T1783" s="40"/>
      <c r="U1783" s="40"/>
      <c r="V1783" s="40"/>
      <c r="W1783" s="40"/>
      <c r="X1783" s="40"/>
      <c r="Y1783" s="40"/>
      <c r="Z1783" s="40"/>
      <c r="AA1783" s="40"/>
      <c r="AB1783" s="40"/>
    </row>
    <row r="1784" ht="18.75" customHeight="1">
      <c r="A1784" s="18"/>
      <c r="B1784" s="22"/>
      <c r="C1784" s="213"/>
      <c r="D1784" s="213"/>
      <c r="E1784" s="24"/>
      <c r="F1784" s="215"/>
      <c r="G1784" s="26"/>
      <c r="H1784" s="199"/>
      <c r="I1784" s="29"/>
      <c r="J1784" s="192"/>
      <c r="K1784" s="31"/>
      <c r="L1784" s="200"/>
      <c r="M1784" s="212"/>
      <c r="N1784" s="3"/>
      <c r="O1784" s="40"/>
      <c r="P1784" s="40"/>
      <c r="Q1784" s="212"/>
      <c r="R1784" s="31"/>
      <c r="S1784" s="40"/>
      <c r="T1784" s="40"/>
      <c r="U1784" s="40"/>
      <c r="V1784" s="40"/>
      <c r="W1784" s="40"/>
      <c r="X1784" s="40"/>
      <c r="Y1784" s="40"/>
      <c r="Z1784" s="40"/>
      <c r="AA1784" s="40"/>
      <c r="AB1784" s="40"/>
    </row>
    <row r="1785" ht="18.75" customHeight="1">
      <c r="A1785" s="18"/>
      <c r="B1785" s="22"/>
      <c r="C1785" s="213"/>
      <c r="D1785" s="213"/>
      <c r="E1785" s="24"/>
      <c r="F1785" s="215"/>
      <c r="G1785" s="26"/>
      <c r="H1785" s="199"/>
      <c r="I1785" s="29"/>
      <c r="J1785" s="192"/>
      <c r="K1785" s="31"/>
      <c r="L1785" s="200"/>
      <c r="M1785" s="212"/>
      <c r="N1785" s="3"/>
      <c r="O1785" s="40"/>
      <c r="P1785" s="40"/>
      <c r="Q1785" s="212"/>
      <c r="R1785" s="31"/>
      <c r="S1785" s="40"/>
      <c r="T1785" s="40"/>
      <c r="U1785" s="40"/>
      <c r="V1785" s="40"/>
      <c r="W1785" s="40"/>
      <c r="X1785" s="40"/>
      <c r="Y1785" s="40"/>
      <c r="Z1785" s="40"/>
      <c r="AA1785" s="40"/>
      <c r="AB1785" s="40"/>
    </row>
    <row r="1786" ht="18.75" customHeight="1">
      <c r="A1786" s="18"/>
      <c r="B1786" s="22"/>
      <c r="C1786" s="213"/>
      <c r="D1786" s="213"/>
      <c r="E1786" s="24"/>
      <c r="F1786" s="215"/>
      <c r="G1786" s="26"/>
      <c r="H1786" s="199"/>
      <c r="I1786" s="29"/>
      <c r="J1786" s="192"/>
      <c r="K1786" s="31"/>
      <c r="L1786" s="200"/>
      <c r="M1786" s="212"/>
      <c r="N1786" s="3"/>
      <c r="O1786" s="40"/>
      <c r="P1786" s="40"/>
      <c r="Q1786" s="212"/>
      <c r="R1786" s="31"/>
      <c r="S1786" s="40"/>
      <c r="T1786" s="40"/>
      <c r="U1786" s="40"/>
      <c r="V1786" s="40"/>
      <c r="W1786" s="40"/>
      <c r="X1786" s="40"/>
      <c r="Y1786" s="40"/>
      <c r="Z1786" s="40"/>
      <c r="AA1786" s="40"/>
      <c r="AB1786" s="40"/>
    </row>
    <row r="1787" ht="18.75" customHeight="1">
      <c r="A1787" s="18"/>
      <c r="B1787" s="22"/>
      <c r="C1787" s="213"/>
      <c r="D1787" s="213"/>
      <c r="E1787" s="24"/>
      <c r="F1787" s="215"/>
      <c r="G1787" s="26"/>
      <c r="H1787" s="199"/>
      <c r="I1787" s="29"/>
      <c r="J1787" s="192"/>
      <c r="K1787" s="31"/>
      <c r="L1787" s="200"/>
      <c r="M1787" s="212"/>
      <c r="N1787" s="3"/>
      <c r="O1787" s="40"/>
      <c r="P1787" s="40"/>
      <c r="Q1787" s="212"/>
      <c r="R1787" s="31"/>
      <c r="S1787" s="40"/>
      <c r="T1787" s="40"/>
      <c r="U1787" s="40"/>
      <c r="V1787" s="40"/>
      <c r="W1787" s="40"/>
      <c r="X1787" s="40"/>
      <c r="Y1787" s="40"/>
      <c r="Z1787" s="40"/>
      <c r="AA1787" s="40"/>
      <c r="AB1787" s="40"/>
    </row>
    <row r="1788" ht="18.75" customHeight="1">
      <c r="A1788" s="18"/>
      <c r="B1788" s="22"/>
      <c r="C1788" s="213"/>
      <c r="D1788" s="213"/>
      <c r="E1788" s="24"/>
      <c r="F1788" s="215"/>
      <c r="G1788" s="26"/>
      <c r="H1788" s="199"/>
      <c r="I1788" s="29"/>
      <c r="J1788" s="192"/>
      <c r="K1788" s="31"/>
      <c r="L1788" s="200"/>
      <c r="M1788" s="212"/>
      <c r="N1788" s="3"/>
      <c r="O1788" s="40"/>
      <c r="P1788" s="40"/>
      <c r="Q1788" s="212"/>
      <c r="R1788" s="31"/>
      <c r="S1788" s="40"/>
      <c r="T1788" s="40"/>
      <c r="U1788" s="40"/>
      <c r="V1788" s="40"/>
      <c r="W1788" s="40"/>
      <c r="X1788" s="40"/>
      <c r="Y1788" s="40"/>
      <c r="Z1788" s="40"/>
      <c r="AA1788" s="40"/>
      <c r="AB1788" s="40"/>
    </row>
    <row r="1789" ht="18.75" customHeight="1">
      <c r="A1789" s="18"/>
      <c r="B1789" s="22"/>
      <c r="C1789" s="213"/>
      <c r="D1789" s="213"/>
      <c r="E1789" s="24"/>
      <c r="F1789" s="215"/>
      <c r="G1789" s="26"/>
      <c r="H1789" s="199"/>
      <c r="I1789" s="29"/>
      <c r="J1789" s="192"/>
      <c r="K1789" s="31"/>
      <c r="L1789" s="200"/>
      <c r="M1789" s="212"/>
      <c r="N1789" s="3"/>
      <c r="O1789" s="40"/>
      <c r="P1789" s="40"/>
      <c r="Q1789" s="212"/>
      <c r="R1789" s="31"/>
      <c r="S1789" s="40"/>
      <c r="T1789" s="40"/>
      <c r="U1789" s="40"/>
      <c r="V1789" s="40"/>
      <c r="W1789" s="40"/>
      <c r="X1789" s="40"/>
      <c r="Y1789" s="40"/>
      <c r="Z1789" s="40"/>
      <c r="AA1789" s="40"/>
      <c r="AB1789" s="40"/>
    </row>
    <row r="1790" ht="18.75" customHeight="1">
      <c r="A1790" s="18"/>
      <c r="B1790" s="22"/>
      <c r="C1790" s="213"/>
      <c r="D1790" s="213"/>
      <c r="E1790" s="24"/>
      <c r="F1790" s="215"/>
      <c r="G1790" s="26"/>
      <c r="H1790" s="199"/>
      <c r="I1790" s="29"/>
      <c r="J1790" s="192"/>
      <c r="K1790" s="31"/>
      <c r="L1790" s="200"/>
      <c r="M1790" s="212"/>
      <c r="N1790" s="3"/>
      <c r="O1790" s="40"/>
      <c r="P1790" s="40"/>
      <c r="Q1790" s="212"/>
      <c r="R1790" s="31"/>
      <c r="S1790" s="40"/>
      <c r="T1790" s="40"/>
      <c r="U1790" s="40"/>
      <c r="V1790" s="40"/>
      <c r="W1790" s="40"/>
      <c r="X1790" s="40"/>
      <c r="Y1790" s="40"/>
      <c r="Z1790" s="40"/>
      <c r="AA1790" s="40"/>
      <c r="AB1790" s="40"/>
    </row>
    <row r="1791" ht="18.75" customHeight="1">
      <c r="A1791" s="18"/>
      <c r="B1791" s="22"/>
      <c r="C1791" s="213"/>
      <c r="D1791" s="213"/>
      <c r="E1791" s="24"/>
      <c r="F1791" s="215"/>
      <c r="G1791" s="26"/>
      <c r="H1791" s="199"/>
      <c r="I1791" s="29"/>
      <c r="J1791" s="192"/>
      <c r="K1791" s="31"/>
      <c r="L1791" s="200"/>
      <c r="M1791" s="212"/>
      <c r="N1791" s="3"/>
      <c r="O1791" s="40"/>
      <c r="P1791" s="40"/>
      <c r="Q1791" s="212"/>
      <c r="R1791" s="31"/>
      <c r="S1791" s="40"/>
      <c r="T1791" s="40"/>
      <c r="U1791" s="40"/>
      <c r="V1791" s="40"/>
      <c r="W1791" s="40"/>
      <c r="X1791" s="40"/>
      <c r="Y1791" s="40"/>
      <c r="Z1791" s="40"/>
      <c r="AA1791" s="40"/>
      <c r="AB1791" s="40"/>
    </row>
    <row r="1792" ht="18.75" customHeight="1">
      <c r="A1792" s="18"/>
      <c r="B1792" s="22"/>
      <c r="C1792" s="213"/>
      <c r="D1792" s="213"/>
      <c r="E1792" s="24"/>
      <c r="F1792" s="215"/>
      <c r="G1792" s="26"/>
      <c r="H1792" s="199"/>
      <c r="I1792" s="29"/>
      <c r="J1792" s="192"/>
      <c r="K1792" s="31"/>
      <c r="L1792" s="200"/>
      <c r="M1792" s="212"/>
      <c r="N1792" s="3"/>
      <c r="O1792" s="40"/>
      <c r="P1792" s="40"/>
      <c r="Q1792" s="212"/>
      <c r="R1792" s="31"/>
      <c r="S1792" s="40"/>
      <c r="T1792" s="40"/>
      <c r="U1792" s="40"/>
      <c r="V1792" s="40"/>
      <c r="W1792" s="40"/>
      <c r="X1792" s="40"/>
      <c r="Y1792" s="40"/>
      <c r="Z1792" s="40"/>
      <c r="AA1792" s="40"/>
      <c r="AB1792" s="40"/>
    </row>
    <row r="1793" ht="18.75" customHeight="1">
      <c r="A1793" s="18"/>
      <c r="B1793" s="22"/>
      <c r="C1793" s="213"/>
      <c r="D1793" s="213"/>
      <c r="E1793" s="24"/>
      <c r="F1793" s="215"/>
      <c r="G1793" s="26"/>
      <c r="H1793" s="199"/>
      <c r="I1793" s="29"/>
      <c r="J1793" s="192"/>
      <c r="K1793" s="31"/>
      <c r="L1793" s="200"/>
      <c r="M1793" s="212"/>
      <c r="N1793" s="3"/>
      <c r="O1793" s="40"/>
      <c r="P1793" s="40"/>
      <c r="Q1793" s="212"/>
      <c r="R1793" s="31"/>
      <c r="S1793" s="40"/>
      <c r="T1793" s="40"/>
      <c r="U1793" s="40"/>
      <c r="V1793" s="40"/>
      <c r="W1793" s="40"/>
      <c r="X1793" s="40"/>
      <c r="Y1793" s="40"/>
      <c r="Z1793" s="40"/>
      <c r="AA1793" s="40"/>
      <c r="AB1793" s="40"/>
    </row>
    <row r="1794" ht="18.75" customHeight="1">
      <c r="A1794" s="18"/>
      <c r="B1794" s="22"/>
      <c r="C1794" s="213"/>
      <c r="D1794" s="213"/>
      <c r="E1794" s="24"/>
      <c r="F1794" s="215"/>
      <c r="G1794" s="26"/>
      <c r="H1794" s="199"/>
      <c r="I1794" s="29"/>
      <c r="J1794" s="192"/>
      <c r="K1794" s="31"/>
      <c r="L1794" s="200"/>
      <c r="M1794" s="212"/>
      <c r="N1794" s="3"/>
      <c r="O1794" s="40"/>
      <c r="P1794" s="40"/>
      <c r="Q1794" s="212"/>
      <c r="R1794" s="31"/>
      <c r="S1794" s="40"/>
      <c r="T1794" s="40"/>
      <c r="U1794" s="40"/>
      <c r="V1794" s="40"/>
      <c r="W1794" s="40"/>
      <c r="X1794" s="40"/>
      <c r="Y1794" s="40"/>
      <c r="Z1794" s="40"/>
      <c r="AA1794" s="40"/>
      <c r="AB1794" s="40"/>
    </row>
    <row r="1795" ht="18.75" customHeight="1">
      <c r="A1795" s="18"/>
      <c r="B1795" s="22"/>
      <c r="C1795" s="213"/>
      <c r="D1795" s="213"/>
      <c r="E1795" s="24"/>
      <c r="F1795" s="215"/>
      <c r="G1795" s="26"/>
      <c r="H1795" s="199"/>
      <c r="I1795" s="29"/>
      <c r="J1795" s="192"/>
      <c r="K1795" s="31"/>
      <c r="L1795" s="200"/>
      <c r="M1795" s="212"/>
      <c r="N1795" s="3"/>
      <c r="O1795" s="40"/>
      <c r="P1795" s="40"/>
      <c r="Q1795" s="212"/>
      <c r="R1795" s="31"/>
      <c r="S1795" s="40"/>
      <c r="T1795" s="40"/>
      <c r="U1795" s="40"/>
      <c r="V1795" s="40"/>
      <c r="W1795" s="40"/>
      <c r="X1795" s="40"/>
      <c r="Y1795" s="40"/>
      <c r="Z1795" s="40"/>
      <c r="AA1795" s="40"/>
      <c r="AB1795" s="40"/>
    </row>
    <row r="1796" ht="18.75" customHeight="1">
      <c r="A1796" s="18"/>
      <c r="B1796" s="22"/>
      <c r="C1796" s="213"/>
      <c r="D1796" s="213"/>
      <c r="E1796" s="24"/>
      <c r="F1796" s="215"/>
      <c r="G1796" s="26"/>
      <c r="H1796" s="199"/>
      <c r="I1796" s="29"/>
      <c r="J1796" s="192"/>
      <c r="K1796" s="31"/>
      <c r="L1796" s="200"/>
      <c r="M1796" s="212"/>
      <c r="N1796" s="3"/>
      <c r="O1796" s="40"/>
      <c r="P1796" s="40"/>
      <c r="Q1796" s="212"/>
      <c r="R1796" s="31"/>
      <c r="S1796" s="40"/>
      <c r="T1796" s="40"/>
      <c r="U1796" s="40"/>
      <c r="V1796" s="40"/>
      <c r="W1796" s="40"/>
      <c r="X1796" s="40"/>
      <c r="Y1796" s="40"/>
      <c r="Z1796" s="40"/>
      <c r="AA1796" s="40"/>
      <c r="AB1796" s="40"/>
    </row>
    <row r="1797" ht="18.75" customHeight="1">
      <c r="A1797" s="18"/>
      <c r="B1797" s="22"/>
      <c r="C1797" s="213"/>
      <c r="D1797" s="213"/>
      <c r="E1797" s="24"/>
      <c r="F1797" s="215"/>
      <c r="G1797" s="26"/>
      <c r="H1797" s="199"/>
      <c r="I1797" s="29"/>
      <c r="J1797" s="192"/>
      <c r="K1797" s="31"/>
      <c r="L1797" s="200"/>
      <c r="M1797" s="212"/>
      <c r="N1797" s="3"/>
      <c r="O1797" s="40"/>
      <c r="P1797" s="40"/>
      <c r="Q1797" s="212"/>
      <c r="R1797" s="31"/>
      <c r="S1797" s="40"/>
      <c r="T1797" s="40"/>
      <c r="U1797" s="40"/>
      <c r="V1797" s="40"/>
      <c r="W1797" s="40"/>
      <c r="X1797" s="40"/>
      <c r="Y1797" s="40"/>
      <c r="Z1797" s="40"/>
      <c r="AA1797" s="40"/>
      <c r="AB1797" s="40"/>
    </row>
    <row r="1798" ht="18.75" customHeight="1">
      <c r="A1798" s="18"/>
      <c r="B1798" s="22"/>
      <c r="C1798" s="213"/>
      <c r="D1798" s="213"/>
      <c r="E1798" s="24"/>
      <c r="F1798" s="215"/>
      <c r="G1798" s="26"/>
      <c r="H1798" s="199"/>
      <c r="I1798" s="29"/>
      <c r="J1798" s="192"/>
      <c r="K1798" s="31"/>
      <c r="L1798" s="200"/>
      <c r="M1798" s="212"/>
      <c r="N1798" s="3"/>
      <c r="O1798" s="40"/>
      <c r="P1798" s="40"/>
      <c r="Q1798" s="212"/>
      <c r="R1798" s="31"/>
      <c r="S1798" s="40"/>
      <c r="T1798" s="40"/>
      <c r="U1798" s="40"/>
      <c r="V1798" s="40"/>
      <c r="W1798" s="40"/>
      <c r="X1798" s="40"/>
      <c r="Y1798" s="40"/>
      <c r="Z1798" s="40"/>
      <c r="AA1798" s="40"/>
      <c r="AB1798" s="40"/>
    </row>
    <row r="1799" ht="18.75" customHeight="1">
      <c r="A1799" s="18"/>
      <c r="B1799" s="22"/>
      <c r="C1799" s="213"/>
      <c r="D1799" s="213"/>
      <c r="E1799" s="24"/>
      <c r="F1799" s="215"/>
      <c r="G1799" s="26"/>
      <c r="H1799" s="199"/>
      <c r="I1799" s="29"/>
      <c r="J1799" s="192"/>
      <c r="K1799" s="31"/>
      <c r="L1799" s="200"/>
      <c r="M1799" s="212"/>
      <c r="N1799" s="3"/>
      <c r="O1799" s="40"/>
      <c r="P1799" s="40"/>
      <c r="Q1799" s="212"/>
      <c r="R1799" s="31"/>
      <c r="S1799" s="40"/>
      <c r="T1799" s="40"/>
      <c r="U1799" s="40"/>
      <c r="V1799" s="40"/>
      <c r="W1799" s="40"/>
      <c r="X1799" s="40"/>
      <c r="Y1799" s="40"/>
      <c r="Z1799" s="40"/>
      <c r="AA1799" s="40"/>
      <c r="AB1799" s="40"/>
    </row>
    <row r="1800" ht="18.75" customHeight="1">
      <c r="A1800" s="18"/>
      <c r="B1800" s="22"/>
      <c r="C1800" s="213"/>
      <c r="D1800" s="213"/>
      <c r="E1800" s="24"/>
      <c r="F1800" s="215"/>
      <c r="G1800" s="26"/>
      <c r="H1800" s="199"/>
      <c r="I1800" s="29"/>
      <c r="J1800" s="192"/>
      <c r="K1800" s="31"/>
      <c r="L1800" s="200"/>
      <c r="M1800" s="212"/>
      <c r="N1800" s="3"/>
      <c r="O1800" s="40"/>
      <c r="P1800" s="40"/>
      <c r="Q1800" s="212"/>
      <c r="R1800" s="31"/>
      <c r="S1800" s="40"/>
      <c r="T1800" s="40"/>
      <c r="U1800" s="40"/>
      <c r="V1800" s="40"/>
      <c r="W1800" s="40"/>
      <c r="X1800" s="40"/>
      <c r="Y1800" s="40"/>
      <c r="Z1800" s="40"/>
      <c r="AA1800" s="40"/>
      <c r="AB1800" s="40"/>
    </row>
    <row r="1801" ht="18.75" customHeight="1">
      <c r="A1801" s="18"/>
      <c r="B1801" s="22"/>
      <c r="C1801" s="213"/>
      <c r="D1801" s="213"/>
      <c r="E1801" s="24"/>
      <c r="F1801" s="215"/>
      <c r="G1801" s="26"/>
      <c r="H1801" s="199"/>
      <c r="I1801" s="29"/>
      <c r="J1801" s="192"/>
      <c r="K1801" s="31"/>
      <c r="L1801" s="200"/>
      <c r="M1801" s="212"/>
      <c r="N1801" s="3"/>
      <c r="O1801" s="40"/>
      <c r="P1801" s="40"/>
      <c r="Q1801" s="212"/>
      <c r="R1801" s="31"/>
      <c r="S1801" s="40"/>
      <c r="T1801" s="40"/>
      <c r="U1801" s="40"/>
      <c r="V1801" s="40"/>
      <c r="W1801" s="40"/>
      <c r="X1801" s="40"/>
      <c r="Y1801" s="40"/>
      <c r="Z1801" s="40"/>
      <c r="AA1801" s="40"/>
      <c r="AB1801" s="40"/>
    </row>
    <row r="1802" ht="18.75" customHeight="1">
      <c r="A1802" s="18"/>
      <c r="B1802" s="22"/>
      <c r="C1802" s="213"/>
      <c r="D1802" s="213"/>
      <c r="E1802" s="24"/>
      <c r="F1802" s="215"/>
      <c r="G1802" s="26"/>
      <c r="H1802" s="199"/>
      <c r="I1802" s="29"/>
      <c r="J1802" s="192"/>
      <c r="K1802" s="31"/>
      <c r="L1802" s="200"/>
      <c r="M1802" s="212"/>
      <c r="N1802" s="3"/>
      <c r="O1802" s="40"/>
      <c r="P1802" s="40"/>
      <c r="Q1802" s="212"/>
      <c r="R1802" s="31"/>
      <c r="S1802" s="40"/>
      <c r="T1802" s="40"/>
      <c r="U1802" s="40"/>
      <c r="V1802" s="40"/>
      <c r="W1802" s="40"/>
      <c r="X1802" s="40"/>
      <c r="Y1802" s="40"/>
      <c r="Z1802" s="40"/>
      <c r="AA1802" s="40"/>
      <c r="AB1802" s="40"/>
    </row>
    <row r="1803" ht="18.75" customHeight="1">
      <c r="A1803" s="18"/>
      <c r="B1803" s="22"/>
      <c r="C1803" s="213"/>
      <c r="D1803" s="213"/>
      <c r="E1803" s="24"/>
      <c r="F1803" s="215"/>
      <c r="G1803" s="26"/>
      <c r="H1803" s="199"/>
      <c r="I1803" s="29"/>
      <c r="J1803" s="192"/>
      <c r="K1803" s="31"/>
      <c r="L1803" s="200"/>
      <c r="M1803" s="212"/>
      <c r="N1803" s="3"/>
      <c r="O1803" s="40"/>
      <c r="P1803" s="40"/>
      <c r="Q1803" s="212"/>
      <c r="R1803" s="31"/>
      <c r="S1803" s="40"/>
      <c r="T1803" s="40"/>
      <c r="U1803" s="40"/>
      <c r="V1803" s="40"/>
      <c r="W1803" s="40"/>
      <c r="X1803" s="40"/>
      <c r="Y1803" s="40"/>
      <c r="Z1803" s="40"/>
      <c r="AA1803" s="40"/>
      <c r="AB1803" s="40"/>
    </row>
    <row r="1804" ht="18.75" customHeight="1">
      <c r="A1804" s="18"/>
      <c r="B1804" s="22"/>
      <c r="C1804" s="213"/>
      <c r="D1804" s="213"/>
      <c r="E1804" s="24"/>
      <c r="F1804" s="215"/>
      <c r="G1804" s="26"/>
      <c r="H1804" s="199"/>
      <c r="I1804" s="29"/>
      <c r="J1804" s="192"/>
      <c r="K1804" s="31"/>
      <c r="L1804" s="200"/>
      <c r="M1804" s="212"/>
      <c r="N1804" s="3"/>
      <c r="O1804" s="40"/>
      <c r="P1804" s="40"/>
      <c r="Q1804" s="212"/>
      <c r="R1804" s="31"/>
      <c r="S1804" s="40"/>
      <c r="T1804" s="40"/>
      <c r="U1804" s="40"/>
      <c r="V1804" s="40"/>
      <c r="W1804" s="40"/>
      <c r="X1804" s="40"/>
      <c r="Y1804" s="40"/>
      <c r="Z1804" s="40"/>
      <c r="AA1804" s="40"/>
      <c r="AB1804" s="40"/>
    </row>
    <row r="1805" ht="18.75" customHeight="1">
      <c r="A1805" s="18"/>
      <c r="B1805" s="22"/>
      <c r="C1805" s="213"/>
      <c r="D1805" s="213"/>
      <c r="E1805" s="24"/>
      <c r="F1805" s="215"/>
      <c r="G1805" s="26"/>
      <c r="H1805" s="199"/>
      <c r="I1805" s="29"/>
      <c r="J1805" s="192"/>
      <c r="K1805" s="31"/>
      <c r="L1805" s="200"/>
      <c r="M1805" s="212"/>
      <c r="N1805" s="3"/>
      <c r="O1805" s="40"/>
      <c r="P1805" s="40"/>
      <c r="Q1805" s="212"/>
      <c r="R1805" s="31"/>
      <c r="S1805" s="40"/>
      <c r="T1805" s="40"/>
      <c r="U1805" s="40"/>
      <c r="V1805" s="40"/>
      <c r="W1805" s="40"/>
      <c r="X1805" s="40"/>
      <c r="Y1805" s="40"/>
      <c r="Z1805" s="40"/>
      <c r="AA1805" s="40"/>
      <c r="AB1805" s="40"/>
    </row>
    <row r="1806" ht="18.75" customHeight="1">
      <c r="A1806" s="18"/>
      <c r="B1806" s="22"/>
      <c r="C1806" s="213"/>
      <c r="D1806" s="213"/>
      <c r="E1806" s="24"/>
      <c r="F1806" s="215"/>
      <c r="G1806" s="26"/>
      <c r="H1806" s="199"/>
      <c r="I1806" s="29"/>
      <c r="J1806" s="192"/>
      <c r="K1806" s="31"/>
      <c r="L1806" s="200"/>
      <c r="M1806" s="212"/>
      <c r="N1806" s="3"/>
      <c r="O1806" s="40"/>
      <c r="P1806" s="40"/>
      <c r="Q1806" s="212"/>
      <c r="R1806" s="31"/>
      <c r="S1806" s="40"/>
      <c r="T1806" s="40"/>
      <c r="U1806" s="40"/>
      <c r="V1806" s="40"/>
      <c r="W1806" s="40"/>
      <c r="X1806" s="40"/>
      <c r="Y1806" s="40"/>
      <c r="Z1806" s="40"/>
      <c r="AA1806" s="40"/>
      <c r="AB1806" s="40"/>
    </row>
    <row r="1807" ht="18.75" customHeight="1">
      <c r="A1807" s="18"/>
      <c r="B1807" s="22"/>
      <c r="C1807" s="213"/>
      <c r="D1807" s="213"/>
      <c r="E1807" s="24"/>
      <c r="F1807" s="215"/>
      <c r="G1807" s="26"/>
      <c r="H1807" s="199"/>
      <c r="I1807" s="29"/>
      <c r="J1807" s="192"/>
      <c r="K1807" s="31"/>
      <c r="L1807" s="200"/>
      <c r="M1807" s="212"/>
      <c r="N1807" s="3"/>
      <c r="O1807" s="40"/>
      <c r="P1807" s="40"/>
      <c r="Q1807" s="212"/>
      <c r="R1807" s="31"/>
      <c r="S1807" s="40"/>
      <c r="T1807" s="40"/>
      <c r="U1807" s="40"/>
      <c r="V1807" s="40"/>
      <c r="W1807" s="40"/>
      <c r="X1807" s="40"/>
      <c r="Y1807" s="40"/>
      <c r="Z1807" s="40"/>
      <c r="AA1807" s="40"/>
      <c r="AB1807" s="40"/>
    </row>
    <row r="1808" ht="18.75" customHeight="1">
      <c r="A1808" s="18"/>
      <c r="B1808" s="22"/>
      <c r="C1808" s="213"/>
      <c r="D1808" s="213"/>
      <c r="E1808" s="24"/>
      <c r="F1808" s="215"/>
      <c r="G1808" s="26"/>
      <c r="H1808" s="199"/>
      <c r="I1808" s="29"/>
      <c r="J1808" s="192"/>
      <c r="K1808" s="31"/>
      <c r="L1808" s="200"/>
      <c r="M1808" s="212"/>
      <c r="N1808" s="3"/>
      <c r="O1808" s="40"/>
      <c r="P1808" s="40"/>
      <c r="Q1808" s="212"/>
      <c r="R1808" s="31"/>
      <c r="S1808" s="40"/>
      <c r="T1808" s="40"/>
      <c r="U1808" s="40"/>
      <c r="V1808" s="40"/>
      <c r="W1808" s="40"/>
      <c r="X1808" s="40"/>
      <c r="Y1808" s="40"/>
      <c r="Z1808" s="40"/>
      <c r="AA1808" s="40"/>
      <c r="AB1808" s="40"/>
    </row>
    <row r="1809" ht="18.75" customHeight="1">
      <c r="A1809" s="18"/>
      <c r="B1809" s="22"/>
      <c r="C1809" s="213"/>
      <c r="D1809" s="213"/>
      <c r="E1809" s="24"/>
      <c r="F1809" s="215"/>
      <c r="G1809" s="26"/>
      <c r="H1809" s="199"/>
      <c r="I1809" s="29"/>
      <c r="J1809" s="192"/>
      <c r="K1809" s="31"/>
      <c r="L1809" s="200"/>
      <c r="M1809" s="212"/>
      <c r="N1809" s="3"/>
      <c r="O1809" s="40"/>
      <c r="P1809" s="40"/>
      <c r="Q1809" s="212"/>
      <c r="R1809" s="31"/>
      <c r="S1809" s="40"/>
      <c r="T1809" s="40"/>
      <c r="U1809" s="40"/>
      <c r="V1809" s="40"/>
      <c r="W1809" s="40"/>
      <c r="X1809" s="40"/>
      <c r="Y1809" s="40"/>
      <c r="Z1809" s="40"/>
      <c r="AA1809" s="40"/>
      <c r="AB1809" s="40"/>
    </row>
    <row r="1810" ht="18.75" customHeight="1">
      <c r="A1810" s="18"/>
      <c r="B1810" s="22"/>
      <c r="C1810" s="213"/>
      <c r="D1810" s="213"/>
      <c r="E1810" s="24"/>
      <c r="F1810" s="215"/>
      <c r="G1810" s="26"/>
      <c r="H1810" s="199"/>
      <c r="I1810" s="29"/>
      <c r="J1810" s="192"/>
      <c r="K1810" s="31"/>
      <c r="L1810" s="200"/>
      <c r="M1810" s="212"/>
      <c r="N1810" s="3"/>
      <c r="O1810" s="40"/>
      <c r="P1810" s="40"/>
      <c r="Q1810" s="212"/>
      <c r="R1810" s="31"/>
      <c r="S1810" s="40"/>
      <c r="T1810" s="40"/>
      <c r="U1810" s="40"/>
      <c r="V1810" s="40"/>
      <c r="W1810" s="40"/>
      <c r="X1810" s="40"/>
      <c r="Y1810" s="40"/>
      <c r="Z1810" s="40"/>
      <c r="AA1810" s="40"/>
      <c r="AB1810" s="40"/>
    </row>
    <row r="1811" ht="18.75" customHeight="1">
      <c r="A1811" s="18"/>
      <c r="B1811" s="22"/>
      <c r="C1811" s="213"/>
      <c r="D1811" s="213"/>
      <c r="E1811" s="24"/>
      <c r="F1811" s="215"/>
      <c r="G1811" s="26"/>
      <c r="H1811" s="199"/>
      <c r="I1811" s="29"/>
      <c r="J1811" s="192"/>
      <c r="K1811" s="31"/>
      <c r="L1811" s="200"/>
      <c r="M1811" s="212"/>
      <c r="N1811" s="3"/>
      <c r="O1811" s="40"/>
      <c r="P1811" s="40"/>
      <c r="Q1811" s="212"/>
      <c r="R1811" s="31"/>
      <c r="S1811" s="40"/>
      <c r="T1811" s="40"/>
      <c r="U1811" s="40"/>
      <c r="V1811" s="40"/>
      <c r="W1811" s="40"/>
      <c r="X1811" s="40"/>
      <c r="Y1811" s="40"/>
      <c r="Z1811" s="40"/>
      <c r="AA1811" s="40"/>
      <c r="AB1811" s="40"/>
    </row>
    <row r="1812" ht="18.75" customHeight="1">
      <c r="A1812" s="18"/>
      <c r="B1812" s="22"/>
      <c r="C1812" s="213"/>
      <c r="D1812" s="213"/>
      <c r="E1812" s="24"/>
      <c r="F1812" s="215"/>
      <c r="G1812" s="26"/>
      <c r="H1812" s="199"/>
      <c r="I1812" s="29"/>
      <c r="J1812" s="192"/>
      <c r="K1812" s="31"/>
      <c r="L1812" s="200"/>
      <c r="M1812" s="212"/>
      <c r="N1812" s="3"/>
      <c r="O1812" s="40"/>
      <c r="P1812" s="40"/>
      <c r="Q1812" s="212"/>
      <c r="R1812" s="31"/>
      <c r="S1812" s="40"/>
      <c r="T1812" s="40"/>
      <c r="U1812" s="40"/>
      <c r="V1812" s="40"/>
      <c r="W1812" s="40"/>
      <c r="X1812" s="40"/>
      <c r="Y1812" s="40"/>
      <c r="Z1812" s="40"/>
      <c r="AA1812" s="40"/>
      <c r="AB1812" s="40"/>
    </row>
    <row r="1813" ht="18.75" customHeight="1">
      <c r="A1813" s="18"/>
      <c r="B1813" s="22"/>
      <c r="C1813" s="213"/>
      <c r="D1813" s="213"/>
      <c r="E1813" s="24"/>
      <c r="F1813" s="215"/>
      <c r="G1813" s="26"/>
      <c r="H1813" s="199"/>
      <c r="I1813" s="29"/>
      <c r="J1813" s="192"/>
      <c r="K1813" s="31"/>
      <c r="L1813" s="200"/>
      <c r="M1813" s="212"/>
      <c r="N1813" s="3"/>
      <c r="O1813" s="40"/>
      <c r="P1813" s="40"/>
      <c r="Q1813" s="212"/>
      <c r="R1813" s="31"/>
      <c r="S1813" s="40"/>
      <c r="T1813" s="40"/>
      <c r="U1813" s="40"/>
      <c r="V1813" s="40"/>
      <c r="W1813" s="40"/>
      <c r="X1813" s="40"/>
      <c r="Y1813" s="40"/>
      <c r="Z1813" s="40"/>
      <c r="AA1813" s="40"/>
      <c r="AB1813" s="40"/>
    </row>
    <row r="1814" ht="18.75" customHeight="1">
      <c r="A1814" s="18"/>
      <c r="B1814" s="22"/>
      <c r="C1814" s="213"/>
      <c r="D1814" s="213"/>
      <c r="E1814" s="24"/>
      <c r="F1814" s="215"/>
      <c r="G1814" s="26"/>
      <c r="H1814" s="199"/>
      <c r="I1814" s="29"/>
      <c r="J1814" s="192"/>
      <c r="K1814" s="31"/>
      <c r="L1814" s="200"/>
      <c r="M1814" s="212"/>
      <c r="N1814" s="3"/>
      <c r="O1814" s="40"/>
      <c r="P1814" s="40"/>
      <c r="Q1814" s="212"/>
      <c r="R1814" s="31"/>
      <c r="S1814" s="40"/>
      <c r="T1814" s="40"/>
      <c r="U1814" s="40"/>
      <c r="V1814" s="40"/>
      <c r="W1814" s="40"/>
      <c r="X1814" s="40"/>
      <c r="Y1814" s="40"/>
      <c r="Z1814" s="40"/>
      <c r="AA1814" s="40"/>
      <c r="AB1814" s="40"/>
    </row>
    <row r="1815" ht="18.75" customHeight="1">
      <c r="A1815" s="18"/>
      <c r="B1815" s="22"/>
      <c r="C1815" s="213"/>
      <c r="D1815" s="213"/>
      <c r="E1815" s="24"/>
      <c r="F1815" s="215"/>
      <c r="G1815" s="26"/>
      <c r="H1815" s="199"/>
      <c r="I1815" s="29"/>
      <c r="J1815" s="192"/>
      <c r="K1815" s="31"/>
      <c r="L1815" s="200"/>
      <c r="M1815" s="212"/>
      <c r="N1815" s="3"/>
      <c r="O1815" s="40"/>
      <c r="P1815" s="40"/>
      <c r="Q1815" s="212"/>
      <c r="R1815" s="31"/>
      <c r="S1815" s="40"/>
      <c r="T1815" s="40"/>
      <c r="U1815" s="40"/>
      <c r="V1815" s="40"/>
      <c r="W1815" s="40"/>
      <c r="X1815" s="40"/>
      <c r="Y1815" s="40"/>
      <c r="Z1815" s="40"/>
      <c r="AA1815" s="40"/>
      <c r="AB1815" s="40"/>
    </row>
    <row r="1816" ht="18.75" customHeight="1">
      <c r="A1816" s="18"/>
      <c r="B1816" s="22"/>
      <c r="C1816" s="213"/>
      <c r="D1816" s="213"/>
      <c r="E1816" s="24"/>
      <c r="F1816" s="215"/>
      <c r="G1816" s="26"/>
      <c r="H1816" s="199"/>
      <c r="I1816" s="29"/>
      <c r="J1816" s="192"/>
      <c r="K1816" s="31"/>
      <c r="L1816" s="200"/>
      <c r="M1816" s="212"/>
      <c r="N1816" s="3"/>
      <c r="O1816" s="40"/>
      <c r="P1816" s="40"/>
      <c r="Q1816" s="212"/>
      <c r="R1816" s="31"/>
      <c r="S1816" s="40"/>
      <c r="T1816" s="40"/>
      <c r="U1816" s="40"/>
      <c r="V1816" s="40"/>
      <c r="W1816" s="40"/>
      <c r="X1816" s="40"/>
      <c r="Y1816" s="40"/>
      <c r="Z1816" s="40"/>
      <c r="AA1816" s="40"/>
      <c r="AB1816" s="40"/>
    </row>
    <row r="1817" ht="18.75" customHeight="1">
      <c r="A1817" s="18"/>
      <c r="B1817" s="22"/>
      <c r="C1817" s="213"/>
      <c r="D1817" s="213"/>
      <c r="E1817" s="24"/>
      <c r="F1817" s="215"/>
      <c r="G1817" s="26"/>
      <c r="H1817" s="199"/>
      <c r="I1817" s="29"/>
      <c r="J1817" s="192"/>
      <c r="K1817" s="31"/>
      <c r="L1817" s="200"/>
      <c r="M1817" s="212"/>
      <c r="N1817" s="3"/>
      <c r="O1817" s="40"/>
      <c r="P1817" s="40"/>
      <c r="Q1817" s="212"/>
      <c r="R1817" s="31"/>
      <c r="S1817" s="40"/>
      <c r="T1817" s="40"/>
      <c r="U1817" s="40"/>
      <c r="V1817" s="40"/>
      <c r="W1817" s="40"/>
      <c r="X1817" s="40"/>
      <c r="Y1817" s="40"/>
      <c r="Z1817" s="40"/>
      <c r="AA1817" s="40"/>
      <c r="AB1817" s="40"/>
    </row>
    <row r="1818" ht="18.75" customHeight="1">
      <c r="A1818" s="18"/>
      <c r="B1818" s="22"/>
      <c r="C1818" s="213"/>
      <c r="D1818" s="213"/>
      <c r="E1818" s="24"/>
      <c r="F1818" s="215"/>
      <c r="G1818" s="26"/>
      <c r="H1818" s="199"/>
      <c r="I1818" s="29"/>
      <c r="J1818" s="192"/>
      <c r="K1818" s="31"/>
      <c r="L1818" s="200"/>
      <c r="M1818" s="212"/>
      <c r="N1818" s="3"/>
      <c r="O1818" s="40"/>
      <c r="P1818" s="40"/>
      <c r="Q1818" s="212"/>
      <c r="R1818" s="31"/>
      <c r="S1818" s="40"/>
      <c r="T1818" s="40"/>
      <c r="U1818" s="40"/>
      <c r="V1818" s="40"/>
      <c r="W1818" s="40"/>
      <c r="X1818" s="40"/>
      <c r="Y1818" s="40"/>
      <c r="Z1818" s="40"/>
      <c r="AA1818" s="40"/>
      <c r="AB1818" s="40"/>
    </row>
    <row r="1819" ht="18.75" customHeight="1">
      <c r="A1819" s="18"/>
      <c r="B1819" s="22"/>
      <c r="C1819" s="213"/>
      <c r="D1819" s="213"/>
      <c r="E1819" s="24"/>
      <c r="F1819" s="215"/>
      <c r="G1819" s="26"/>
      <c r="H1819" s="199"/>
      <c r="I1819" s="29"/>
      <c r="J1819" s="192"/>
      <c r="K1819" s="31"/>
      <c r="L1819" s="200"/>
      <c r="M1819" s="212"/>
      <c r="N1819" s="3"/>
      <c r="O1819" s="40"/>
      <c r="P1819" s="40"/>
      <c r="Q1819" s="212"/>
      <c r="R1819" s="31"/>
      <c r="S1819" s="40"/>
      <c r="T1819" s="40"/>
      <c r="U1819" s="40"/>
      <c r="V1819" s="40"/>
      <c r="W1819" s="40"/>
      <c r="X1819" s="40"/>
      <c r="Y1819" s="40"/>
      <c r="Z1819" s="40"/>
      <c r="AA1819" s="40"/>
      <c r="AB1819" s="40"/>
    </row>
    <row r="1820" ht="18.75" customHeight="1">
      <c r="A1820" s="18"/>
      <c r="B1820" s="22"/>
      <c r="C1820" s="213"/>
      <c r="D1820" s="213"/>
      <c r="E1820" s="24"/>
      <c r="F1820" s="215"/>
      <c r="G1820" s="26"/>
      <c r="H1820" s="199"/>
      <c r="I1820" s="29"/>
      <c r="J1820" s="192"/>
      <c r="K1820" s="31"/>
      <c r="L1820" s="200"/>
      <c r="M1820" s="212"/>
      <c r="N1820" s="3"/>
      <c r="O1820" s="40"/>
      <c r="P1820" s="40"/>
      <c r="Q1820" s="212"/>
      <c r="R1820" s="31"/>
      <c r="S1820" s="40"/>
      <c r="T1820" s="40"/>
      <c r="U1820" s="40"/>
      <c r="V1820" s="40"/>
      <c r="W1820" s="40"/>
      <c r="X1820" s="40"/>
      <c r="Y1820" s="40"/>
      <c r="Z1820" s="40"/>
      <c r="AA1820" s="40"/>
      <c r="AB1820" s="40"/>
    </row>
    <row r="1821" ht="18.75" customHeight="1">
      <c r="A1821" s="18"/>
      <c r="B1821" s="22"/>
      <c r="C1821" s="213"/>
      <c r="D1821" s="213"/>
      <c r="E1821" s="24"/>
      <c r="F1821" s="215"/>
      <c r="G1821" s="26"/>
      <c r="H1821" s="199"/>
      <c r="I1821" s="29"/>
      <c r="J1821" s="192"/>
      <c r="K1821" s="31"/>
      <c r="L1821" s="200"/>
      <c r="M1821" s="212"/>
      <c r="N1821" s="3"/>
      <c r="O1821" s="40"/>
      <c r="P1821" s="40"/>
      <c r="Q1821" s="212"/>
      <c r="R1821" s="31"/>
      <c r="S1821" s="40"/>
      <c r="T1821" s="40"/>
      <c r="U1821" s="40"/>
      <c r="V1821" s="40"/>
      <c r="W1821" s="40"/>
      <c r="X1821" s="40"/>
      <c r="Y1821" s="40"/>
      <c r="Z1821" s="40"/>
      <c r="AA1821" s="40"/>
      <c r="AB1821" s="40"/>
    </row>
    <row r="1822" ht="18.75" customHeight="1">
      <c r="A1822" s="18"/>
      <c r="B1822" s="22"/>
      <c r="C1822" s="213"/>
      <c r="D1822" s="213"/>
      <c r="E1822" s="24"/>
      <c r="F1822" s="215"/>
      <c r="G1822" s="26"/>
      <c r="H1822" s="199"/>
      <c r="I1822" s="29"/>
      <c r="J1822" s="192"/>
      <c r="K1822" s="31"/>
      <c r="L1822" s="200"/>
      <c r="M1822" s="212"/>
      <c r="N1822" s="3"/>
      <c r="O1822" s="40"/>
      <c r="P1822" s="40"/>
      <c r="Q1822" s="212"/>
      <c r="R1822" s="31"/>
      <c r="S1822" s="40"/>
      <c r="T1822" s="40"/>
      <c r="U1822" s="40"/>
      <c r="V1822" s="40"/>
      <c r="W1822" s="40"/>
      <c r="X1822" s="40"/>
      <c r="Y1822" s="40"/>
      <c r="Z1822" s="40"/>
      <c r="AA1822" s="40"/>
      <c r="AB1822" s="40"/>
    </row>
    <row r="1823" ht="18.75" customHeight="1">
      <c r="A1823" s="18"/>
      <c r="B1823" s="22"/>
      <c r="C1823" s="213"/>
      <c r="D1823" s="213"/>
      <c r="E1823" s="24"/>
      <c r="F1823" s="215"/>
      <c r="G1823" s="26"/>
      <c r="H1823" s="199"/>
      <c r="I1823" s="29"/>
      <c r="J1823" s="192"/>
      <c r="K1823" s="31"/>
      <c r="L1823" s="200"/>
      <c r="M1823" s="212"/>
      <c r="N1823" s="3"/>
      <c r="O1823" s="40"/>
      <c r="P1823" s="40"/>
      <c r="Q1823" s="212"/>
      <c r="R1823" s="31"/>
      <c r="S1823" s="40"/>
      <c r="T1823" s="40"/>
      <c r="U1823" s="40"/>
      <c r="V1823" s="40"/>
      <c r="W1823" s="40"/>
      <c r="X1823" s="40"/>
      <c r="Y1823" s="40"/>
      <c r="Z1823" s="40"/>
      <c r="AA1823" s="40"/>
      <c r="AB1823" s="40"/>
    </row>
    <row r="1824" ht="18.75" customHeight="1">
      <c r="A1824" s="18"/>
      <c r="B1824" s="22"/>
      <c r="C1824" s="213"/>
      <c r="D1824" s="213"/>
      <c r="E1824" s="24"/>
      <c r="F1824" s="215"/>
      <c r="G1824" s="26"/>
      <c r="H1824" s="199"/>
      <c r="I1824" s="29"/>
      <c r="J1824" s="192"/>
      <c r="K1824" s="31"/>
      <c r="L1824" s="200"/>
      <c r="M1824" s="212"/>
      <c r="N1824" s="3"/>
      <c r="O1824" s="40"/>
      <c r="P1824" s="40"/>
      <c r="Q1824" s="212"/>
      <c r="R1824" s="31"/>
      <c r="S1824" s="40"/>
      <c r="T1824" s="40"/>
      <c r="U1824" s="40"/>
      <c r="V1824" s="40"/>
      <c r="W1824" s="40"/>
      <c r="X1824" s="40"/>
      <c r="Y1824" s="40"/>
      <c r="Z1824" s="40"/>
      <c r="AA1824" s="40"/>
      <c r="AB1824" s="40"/>
    </row>
    <row r="1825" ht="18.75" customHeight="1">
      <c r="A1825" s="18"/>
      <c r="B1825" s="22"/>
      <c r="C1825" s="213"/>
      <c r="D1825" s="213"/>
      <c r="E1825" s="24"/>
      <c r="F1825" s="215"/>
      <c r="G1825" s="26"/>
      <c r="H1825" s="199"/>
      <c r="I1825" s="29"/>
      <c r="J1825" s="192"/>
      <c r="K1825" s="31"/>
      <c r="L1825" s="200"/>
      <c r="M1825" s="212"/>
      <c r="N1825" s="3"/>
      <c r="O1825" s="40"/>
      <c r="P1825" s="40"/>
      <c r="Q1825" s="212"/>
      <c r="R1825" s="31"/>
      <c r="S1825" s="40"/>
      <c r="T1825" s="40"/>
      <c r="U1825" s="40"/>
      <c r="V1825" s="40"/>
      <c r="W1825" s="40"/>
      <c r="X1825" s="40"/>
      <c r="Y1825" s="40"/>
      <c r="Z1825" s="40"/>
      <c r="AA1825" s="40"/>
      <c r="AB1825" s="40"/>
    </row>
    <row r="1826" ht="18.75" customHeight="1">
      <c r="A1826" s="18"/>
      <c r="B1826" s="22"/>
      <c r="C1826" s="213"/>
      <c r="D1826" s="213"/>
      <c r="E1826" s="24"/>
      <c r="F1826" s="215"/>
      <c r="G1826" s="26"/>
      <c r="H1826" s="199"/>
      <c r="I1826" s="29"/>
      <c r="J1826" s="192"/>
      <c r="K1826" s="31"/>
      <c r="L1826" s="200"/>
      <c r="M1826" s="212"/>
      <c r="N1826" s="3"/>
      <c r="O1826" s="40"/>
      <c r="P1826" s="40"/>
      <c r="Q1826" s="212"/>
      <c r="R1826" s="31"/>
      <c r="S1826" s="40"/>
      <c r="T1826" s="40"/>
      <c r="U1826" s="40"/>
      <c r="V1826" s="40"/>
      <c r="W1826" s="40"/>
      <c r="X1826" s="40"/>
      <c r="Y1826" s="40"/>
      <c r="Z1826" s="40"/>
      <c r="AA1826" s="40"/>
      <c r="AB1826" s="40"/>
    </row>
    <row r="1827" ht="18.75" customHeight="1">
      <c r="A1827" s="18"/>
      <c r="B1827" s="22"/>
      <c r="C1827" s="213"/>
      <c r="D1827" s="213"/>
      <c r="E1827" s="24"/>
      <c r="F1827" s="215"/>
      <c r="G1827" s="26"/>
      <c r="H1827" s="199"/>
      <c r="I1827" s="29"/>
      <c r="J1827" s="192"/>
      <c r="K1827" s="31"/>
      <c r="L1827" s="200"/>
      <c r="M1827" s="212"/>
      <c r="N1827" s="3"/>
      <c r="O1827" s="40"/>
      <c r="P1827" s="40"/>
      <c r="Q1827" s="212"/>
      <c r="R1827" s="31"/>
      <c r="S1827" s="40"/>
      <c r="T1827" s="40"/>
      <c r="U1827" s="40"/>
      <c r="V1827" s="40"/>
      <c r="W1827" s="40"/>
      <c r="X1827" s="40"/>
      <c r="Y1827" s="40"/>
      <c r="Z1827" s="40"/>
      <c r="AA1827" s="40"/>
      <c r="AB1827" s="40"/>
    </row>
    <row r="1828" ht="18.75" customHeight="1">
      <c r="A1828" s="18"/>
      <c r="B1828" s="22"/>
      <c r="C1828" s="213"/>
      <c r="D1828" s="213"/>
      <c r="E1828" s="24"/>
      <c r="F1828" s="215"/>
      <c r="G1828" s="26"/>
      <c r="H1828" s="199"/>
      <c r="I1828" s="29"/>
      <c r="J1828" s="192"/>
      <c r="K1828" s="31"/>
      <c r="L1828" s="200"/>
      <c r="M1828" s="212"/>
      <c r="N1828" s="3"/>
      <c r="O1828" s="40"/>
      <c r="P1828" s="40"/>
      <c r="Q1828" s="212"/>
      <c r="R1828" s="31"/>
      <c r="S1828" s="40"/>
      <c r="T1828" s="40"/>
      <c r="U1828" s="40"/>
      <c r="V1828" s="40"/>
      <c r="W1828" s="40"/>
      <c r="X1828" s="40"/>
      <c r="Y1828" s="40"/>
      <c r="Z1828" s="40"/>
      <c r="AA1828" s="40"/>
      <c r="AB1828" s="40"/>
    </row>
    <row r="1829" ht="18.75" customHeight="1">
      <c r="A1829" s="18"/>
      <c r="B1829" s="22"/>
      <c r="C1829" s="213"/>
      <c r="D1829" s="213"/>
      <c r="E1829" s="24"/>
      <c r="F1829" s="215"/>
      <c r="G1829" s="26"/>
      <c r="H1829" s="199"/>
      <c r="I1829" s="29"/>
      <c r="J1829" s="192"/>
      <c r="K1829" s="31"/>
      <c r="L1829" s="200"/>
      <c r="M1829" s="212"/>
      <c r="N1829" s="3"/>
      <c r="O1829" s="40"/>
      <c r="P1829" s="40"/>
      <c r="Q1829" s="212"/>
      <c r="R1829" s="31"/>
      <c r="S1829" s="40"/>
      <c r="T1829" s="40"/>
      <c r="U1829" s="40"/>
      <c r="V1829" s="40"/>
      <c r="W1829" s="40"/>
      <c r="X1829" s="40"/>
      <c r="Y1829" s="40"/>
      <c r="Z1829" s="40"/>
      <c r="AA1829" s="40"/>
      <c r="AB1829" s="40"/>
    </row>
    <row r="1830" ht="18.75" customHeight="1">
      <c r="A1830" s="18"/>
      <c r="B1830" s="22"/>
      <c r="C1830" s="213"/>
      <c r="D1830" s="213"/>
      <c r="E1830" s="24"/>
      <c r="F1830" s="215"/>
      <c r="G1830" s="26"/>
      <c r="H1830" s="199"/>
      <c r="I1830" s="29"/>
      <c r="J1830" s="192"/>
      <c r="K1830" s="31"/>
      <c r="L1830" s="200"/>
      <c r="M1830" s="212"/>
      <c r="N1830" s="3"/>
      <c r="O1830" s="40"/>
      <c r="P1830" s="40"/>
      <c r="Q1830" s="212"/>
      <c r="R1830" s="31"/>
      <c r="S1830" s="40"/>
      <c r="T1830" s="40"/>
      <c r="U1830" s="40"/>
      <c r="V1830" s="40"/>
      <c r="W1830" s="40"/>
      <c r="X1830" s="40"/>
      <c r="Y1830" s="40"/>
      <c r="Z1830" s="40"/>
      <c r="AA1830" s="40"/>
      <c r="AB1830" s="40"/>
    </row>
    <row r="1831" ht="18.75" customHeight="1">
      <c r="A1831" s="18"/>
      <c r="B1831" s="22"/>
      <c r="C1831" s="213"/>
      <c r="D1831" s="213"/>
      <c r="E1831" s="24"/>
      <c r="F1831" s="215"/>
      <c r="G1831" s="26"/>
      <c r="H1831" s="199"/>
      <c r="I1831" s="29"/>
      <c r="J1831" s="192"/>
      <c r="K1831" s="31"/>
      <c r="L1831" s="200"/>
      <c r="M1831" s="212"/>
      <c r="N1831" s="3"/>
      <c r="O1831" s="40"/>
      <c r="P1831" s="40"/>
      <c r="Q1831" s="212"/>
      <c r="R1831" s="31"/>
      <c r="S1831" s="40"/>
      <c r="T1831" s="40"/>
      <c r="U1831" s="40"/>
      <c r="V1831" s="40"/>
      <c r="W1831" s="40"/>
      <c r="X1831" s="40"/>
      <c r="Y1831" s="40"/>
      <c r="Z1831" s="40"/>
      <c r="AA1831" s="40"/>
      <c r="AB1831" s="40"/>
    </row>
    <row r="1832" ht="18.75" customHeight="1">
      <c r="A1832" s="18"/>
      <c r="B1832" s="22"/>
      <c r="C1832" s="213"/>
      <c r="D1832" s="213"/>
      <c r="E1832" s="24"/>
      <c r="F1832" s="215"/>
      <c r="G1832" s="26"/>
      <c r="H1832" s="199"/>
      <c r="I1832" s="29"/>
      <c r="J1832" s="192"/>
      <c r="K1832" s="31"/>
      <c r="L1832" s="200"/>
      <c r="M1832" s="212"/>
      <c r="N1832" s="3"/>
      <c r="O1832" s="40"/>
      <c r="P1832" s="40"/>
      <c r="Q1832" s="212"/>
      <c r="R1832" s="31"/>
      <c r="S1832" s="40"/>
      <c r="T1832" s="40"/>
      <c r="U1832" s="40"/>
      <c r="V1832" s="40"/>
      <c r="W1832" s="40"/>
      <c r="X1832" s="40"/>
      <c r="Y1832" s="40"/>
      <c r="Z1832" s="40"/>
      <c r="AA1832" s="40"/>
      <c r="AB1832" s="40"/>
    </row>
    <row r="1833" ht="18.75" customHeight="1">
      <c r="A1833" s="18"/>
      <c r="B1833" s="22"/>
      <c r="C1833" s="213"/>
      <c r="D1833" s="213"/>
      <c r="E1833" s="24"/>
      <c r="F1833" s="215"/>
      <c r="G1833" s="26"/>
      <c r="H1833" s="199"/>
      <c r="I1833" s="29"/>
      <c r="J1833" s="192"/>
      <c r="K1833" s="31"/>
      <c r="L1833" s="200"/>
      <c r="M1833" s="212"/>
      <c r="N1833" s="3"/>
      <c r="O1833" s="40"/>
      <c r="P1833" s="40"/>
      <c r="Q1833" s="212"/>
      <c r="R1833" s="31"/>
      <c r="S1833" s="40"/>
      <c r="T1833" s="40"/>
      <c r="U1833" s="40"/>
      <c r="V1833" s="40"/>
      <c r="W1833" s="40"/>
      <c r="X1833" s="40"/>
      <c r="Y1833" s="40"/>
      <c r="Z1833" s="40"/>
      <c r="AA1833" s="40"/>
      <c r="AB1833" s="40"/>
    </row>
    <row r="1834" ht="18.75" customHeight="1">
      <c r="A1834" s="18"/>
      <c r="B1834" s="22"/>
      <c r="C1834" s="213"/>
      <c r="D1834" s="213"/>
      <c r="E1834" s="24"/>
      <c r="F1834" s="215"/>
      <c r="G1834" s="26"/>
      <c r="H1834" s="199"/>
      <c r="I1834" s="29"/>
      <c r="J1834" s="192"/>
      <c r="K1834" s="31"/>
      <c r="L1834" s="200"/>
      <c r="M1834" s="212"/>
      <c r="N1834" s="3"/>
      <c r="O1834" s="40"/>
      <c r="P1834" s="40"/>
      <c r="Q1834" s="212"/>
      <c r="R1834" s="31"/>
      <c r="S1834" s="40"/>
      <c r="T1834" s="40"/>
      <c r="U1834" s="40"/>
      <c r="V1834" s="40"/>
      <c r="W1834" s="40"/>
      <c r="X1834" s="40"/>
      <c r="Y1834" s="40"/>
      <c r="Z1834" s="40"/>
      <c r="AA1834" s="40"/>
      <c r="AB1834" s="40"/>
    </row>
    <row r="1835" ht="18.75" customHeight="1">
      <c r="A1835" s="18"/>
      <c r="B1835" s="22"/>
      <c r="C1835" s="213"/>
      <c r="D1835" s="213"/>
      <c r="E1835" s="24"/>
      <c r="F1835" s="215"/>
      <c r="G1835" s="26"/>
      <c r="H1835" s="199"/>
      <c r="I1835" s="29"/>
      <c r="J1835" s="192"/>
      <c r="K1835" s="31"/>
      <c r="L1835" s="200"/>
      <c r="M1835" s="212"/>
      <c r="N1835" s="3"/>
      <c r="O1835" s="40"/>
      <c r="P1835" s="40"/>
      <c r="Q1835" s="212"/>
      <c r="R1835" s="31"/>
      <c r="S1835" s="40"/>
      <c r="T1835" s="40"/>
      <c r="U1835" s="40"/>
      <c r="V1835" s="40"/>
      <c r="W1835" s="40"/>
      <c r="X1835" s="40"/>
      <c r="Y1835" s="40"/>
      <c r="Z1835" s="40"/>
      <c r="AA1835" s="40"/>
      <c r="AB1835" s="40"/>
    </row>
    <row r="1836" ht="18.75" customHeight="1">
      <c r="A1836" s="18"/>
      <c r="B1836" s="22"/>
      <c r="C1836" s="213"/>
      <c r="D1836" s="213"/>
      <c r="E1836" s="24"/>
      <c r="F1836" s="215"/>
      <c r="G1836" s="26"/>
      <c r="H1836" s="199"/>
      <c r="I1836" s="29"/>
      <c r="J1836" s="192"/>
      <c r="K1836" s="31"/>
      <c r="L1836" s="200"/>
      <c r="M1836" s="212"/>
      <c r="N1836" s="3"/>
      <c r="O1836" s="40"/>
      <c r="P1836" s="40"/>
      <c r="Q1836" s="212"/>
      <c r="R1836" s="31"/>
      <c r="S1836" s="40"/>
      <c r="T1836" s="40"/>
      <c r="U1836" s="40"/>
      <c r="V1836" s="40"/>
      <c r="W1836" s="40"/>
      <c r="X1836" s="40"/>
      <c r="Y1836" s="40"/>
      <c r="Z1836" s="40"/>
      <c r="AA1836" s="40"/>
      <c r="AB1836" s="40"/>
    </row>
    <row r="1837" ht="18.75" customHeight="1">
      <c r="A1837" s="18"/>
      <c r="B1837" s="22"/>
      <c r="C1837" s="213"/>
      <c r="D1837" s="213"/>
      <c r="E1837" s="24"/>
      <c r="F1837" s="215"/>
      <c r="G1837" s="26"/>
      <c r="H1837" s="199"/>
      <c r="I1837" s="29"/>
      <c r="J1837" s="192"/>
      <c r="K1837" s="31"/>
      <c r="L1837" s="200"/>
      <c r="M1837" s="212"/>
      <c r="N1837" s="3"/>
      <c r="O1837" s="40"/>
      <c r="P1837" s="40"/>
      <c r="Q1837" s="212"/>
      <c r="R1837" s="31"/>
      <c r="S1837" s="40"/>
      <c r="T1837" s="40"/>
      <c r="U1837" s="40"/>
      <c r="V1837" s="40"/>
      <c r="W1837" s="40"/>
      <c r="X1837" s="40"/>
      <c r="Y1837" s="40"/>
      <c r="Z1837" s="40"/>
      <c r="AA1837" s="40"/>
      <c r="AB1837" s="40"/>
    </row>
    <row r="1838" ht="18.75" customHeight="1">
      <c r="A1838" s="18"/>
      <c r="B1838" s="22"/>
      <c r="C1838" s="213"/>
      <c r="D1838" s="213"/>
      <c r="E1838" s="24"/>
      <c r="F1838" s="215"/>
      <c r="G1838" s="26"/>
      <c r="H1838" s="199"/>
      <c r="I1838" s="29"/>
      <c r="J1838" s="192"/>
      <c r="K1838" s="31"/>
      <c r="L1838" s="200"/>
      <c r="M1838" s="212"/>
      <c r="N1838" s="3"/>
      <c r="O1838" s="40"/>
      <c r="P1838" s="40"/>
      <c r="Q1838" s="212"/>
      <c r="R1838" s="31"/>
      <c r="S1838" s="40"/>
      <c r="T1838" s="40"/>
      <c r="U1838" s="40"/>
      <c r="V1838" s="40"/>
      <c r="W1838" s="40"/>
      <c r="X1838" s="40"/>
      <c r="Y1838" s="40"/>
      <c r="Z1838" s="40"/>
      <c r="AA1838" s="40"/>
      <c r="AB1838" s="40"/>
    </row>
    <row r="1839" ht="18.75" customHeight="1">
      <c r="A1839" s="18"/>
      <c r="B1839" s="22"/>
      <c r="C1839" s="213"/>
      <c r="D1839" s="213"/>
      <c r="E1839" s="24"/>
      <c r="F1839" s="215"/>
      <c r="G1839" s="26"/>
      <c r="H1839" s="199"/>
      <c r="I1839" s="29"/>
      <c r="J1839" s="192"/>
      <c r="K1839" s="31"/>
      <c r="L1839" s="200"/>
      <c r="M1839" s="212"/>
      <c r="N1839" s="3"/>
      <c r="O1839" s="40"/>
      <c r="P1839" s="40"/>
      <c r="Q1839" s="212"/>
      <c r="R1839" s="31"/>
      <c r="S1839" s="40"/>
      <c r="T1839" s="40"/>
      <c r="U1839" s="40"/>
      <c r="V1839" s="40"/>
      <c r="W1839" s="40"/>
      <c r="X1839" s="40"/>
      <c r="Y1839" s="40"/>
      <c r="Z1839" s="40"/>
      <c r="AA1839" s="40"/>
      <c r="AB1839" s="40"/>
    </row>
    <row r="1840" ht="18.75" customHeight="1">
      <c r="A1840" s="18"/>
      <c r="B1840" s="22"/>
      <c r="C1840" s="213"/>
      <c r="D1840" s="213"/>
      <c r="E1840" s="24"/>
      <c r="F1840" s="215"/>
      <c r="G1840" s="26"/>
      <c r="H1840" s="199"/>
      <c r="I1840" s="29"/>
      <c r="J1840" s="192"/>
      <c r="K1840" s="31"/>
      <c r="L1840" s="200"/>
      <c r="M1840" s="212"/>
      <c r="N1840" s="3"/>
      <c r="O1840" s="40"/>
      <c r="P1840" s="40"/>
      <c r="Q1840" s="212"/>
      <c r="R1840" s="31"/>
      <c r="S1840" s="40"/>
      <c r="T1840" s="40"/>
      <c r="U1840" s="40"/>
      <c r="V1840" s="40"/>
      <c r="W1840" s="40"/>
      <c r="X1840" s="40"/>
      <c r="Y1840" s="40"/>
      <c r="Z1840" s="40"/>
      <c r="AA1840" s="40"/>
      <c r="AB1840" s="40"/>
    </row>
    <row r="1841" ht="18.75" customHeight="1">
      <c r="A1841" s="18"/>
      <c r="B1841" s="22"/>
      <c r="C1841" s="213"/>
      <c r="D1841" s="213"/>
      <c r="E1841" s="24"/>
      <c r="F1841" s="215"/>
      <c r="G1841" s="26"/>
      <c r="H1841" s="199"/>
      <c r="I1841" s="29"/>
      <c r="J1841" s="192"/>
      <c r="K1841" s="31"/>
      <c r="L1841" s="200"/>
      <c r="M1841" s="212"/>
      <c r="N1841" s="3"/>
      <c r="O1841" s="40"/>
      <c r="P1841" s="40"/>
      <c r="Q1841" s="212"/>
      <c r="R1841" s="31"/>
      <c r="S1841" s="40"/>
      <c r="T1841" s="40"/>
      <c r="U1841" s="40"/>
      <c r="V1841" s="40"/>
      <c r="W1841" s="40"/>
      <c r="X1841" s="40"/>
      <c r="Y1841" s="40"/>
      <c r="Z1841" s="40"/>
      <c r="AA1841" s="40"/>
      <c r="AB1841" s="40"/>
    </row>
    <row r="1842" ht="18.75" customHeight="1">
      <c r="A1842" s="18"/>
      <c r="B1842" s="22"/>
      <c r="C1842" s="213"/>
      <c r="D1842" s="213"/>
      <c r="E1842" s="24"/>
      <c r="F1842" s="215"/>
      <c r="G1842" s="26"/>
      <c r="H1842" s="199"/>
      <c r="I1842" s="29"/>
      <c r="J1842" s="192"/>
      <c r="K1842" s="31"/>
      <c r="L1842" s="200"/>
      <c r="M1842" s="212"/>
      <c r="N1842" s="3"/>
      <c r="O1842" s="40"/>
      <c r="P1842" s="40"/>
      <c r="Q1842" s="212"/>
      <c r="R1842" s="31"/>
      <c r="S1842" s="40"/>
      <c r="T1842" s="40"/>
      <c r="U1842" s="40"/>
      <c r="V1842" s="40"/>
      <c r="W1842" s="40"/>
      <c r="X1842" s="40"/>
      <c r="Y1842" s="40"/>
      <c r="Z1842" s="40"/>
      <c r="AA1842" s="40"/>
      <c r="AB1842" s="40"/>
    </row>
    <row r="1843" ht="18.75" customHeight="1">
      <c r="A1843" s="18"/>
      <c r="B1843" s="22"/>
      <c r="C1843" s="213"/>
      <c r="D1843" s="213"/>
      <c r="E1843" s="24"/>
      <c r="F1843" s="215"/>
      <c r="G1843" s="26"/>
      <c r="H1843" s="199"/>
      <c r="I1843" s="29"/>
      <c r="J1843" s="192"/>
      <c r="K1843" s="31"/>
      <c r="L1843" s="200"/>
      <c r="M1843" s="212"/>
      <c r="N1843" s="3"/>
      <c r="O1843" s="40"/>
      <c r="P1843" s="40"/>
      <c r="Q1843" s="212"/>
      <c r="R1843" s="31"/>
      <c r="S1843" s="40"/>
      <c r="T1843" s="40"/>
      <c r="U1843" s="40"/>
      <c r="V1843" s="40"/>
      <c r="W1843" s="40"/>
      <c r="X1843" s="40"/>
      <c r="Y1843" s="40"/>
      <c r="Z1843" s="40"/>
      <c r="AA1843" s="40"/>
      <c r="AB1843" s="40"/>
    </row>
    <row r="1844" ht="18.75" customHeight="1">
      <c r="A1844" s="18"/>
      <c r="B1844" s="22"/>
      <c r="C1844" s="213"/>
      <c r="D1844" s="213"/>
      <c r="E1844" s="24"/>
      <c r="F1844" s="215"/>
      <c r="G1844" s="26"/>
      <c r="H1844" s="199"/>
      <c r="I1844" s="29"/>
      <c r="J1844" s="192"/>
      <c r="K1844" s="31"/>
      <c r="L1844" s="200"/>
      <c r="M1844" s="212"/>
      <c r="N1844" s="3"/>
      <c r="O1844" s="40"/>
      <c r="P1844" s="40"/>
      <c r="Q1844" s="212"/>
      <c r="R1844" s="31"/>
      <c r="S1844" s="40"/>
      <c r="T1844" s="40"/>
      <c r="U1844" s="40"/>
      <c r="V1844" s="40"/>
      <c r="W1844" s="40"/>
      <c r="X1844" s="40"/>
      <c r="Y1844" s="40"/>
      <c r="Z1844" s="40"/>
      <c r="AA1844" s="40"/>
      <c r="AB1844" s="40"/>
    </row>
    <row r="1845" ht="18.75" customHeight="1">
      <c r="A1845" s="18"/>
      <c r="B1845" s="22"/>
      <c r="C1845" s="213"/>
      <c r="D1845" s="213"/>
      <c r="E1845" s="24"/>
      <c r="F1845" s="215"/>
      <c r="G1845" s="26"/>
      <c r="H1845" s="199"/>
      <c r="I1845" s="29"/>
      <c r="J1845" s="192"/>
      <c r="K1845" s="31"/>
      <c r="L1845" s="200"/>
      <c r="M1845" s="212"/>
      <c r="N1845" s="3"/>
      <c r="O1845" s="40"/>
      <c r="P1845" s="40"/>
      <c r="Q1845" s="212"/>
      <c r="R1845" s="31"/>
      <c r="S1845" s="40"/>
      <c r="T1845" s="40"/>
      <c r="U1845" s="40"/>
      <c r="V1845" s="40"/>
      <c r="W1845" s="40"/>
      <c r="X1845" s="40"/>
      <c r="Y1845" s="40"/>
      <c r="Z1845" s="40"/>
      <c r="AA1845" s="40"/>
      <c r="AB1845" s="40"/>
    </row>
    <row r="1846" ht="18.75" customHeight="1">
      <c r="A1846" s="18"/>
      <c r="B1846" s="22"/>
      <c r="C1846" s="213"/>
      <c r="D1846" s="213"/>
      <c r="E1846" s="24"/>
      <c r="F1846" s="215"/>
      <c r="G1846" s="26"/>
      <c r="H1846" s="199"/>
      <c r="I1846" s="29"/>
      <c r="J1846" s="192"/>
      <c r="K1846" s="31"/>
      <c r="L1846" s="200"/>
      <c r="M1846" s="212"/>
      <c r="N1846" s="3"/>
      <c r="O1846" s="40"/>
      <c r="P1846" s="40"/>
      <c r="Q1846" s="212"/>
      <c r="R1846" s="31"/>
      <c r="S1846" s="40"/>
      <c r="T1846" s="40"/>
      <c r="U1846" s="40"/>
      <c r="V1846" s="40"/>
      <c r="W1846" s="40"/>
      <c r="X1846" s="40"/>
      <c r="Y1846" s="40"/>
      <c r="Z1846" s="40"/>
      <c r="AA1846" s="40"/>
      <c r="AB1846" s="40"/>
    </row>
    <row r="1847" ht="18.75" customHeight="1">
      <c r="A1847" s="18"/>
      <c r="B1847" s="22"/>
      <c r="C1847" s="213"/>
      <c r="D1847" s="213"/>
      <c r="E1847" s="24"/>
      <c r="F1847" s="215"/>
      <c r="G1847" s="26"/>
      <c r="H1847" s="199"/>
      <c r="I1847" s="29"/>
      <c r="J1847" s="192"/>
      <c r="K1847" s="31"/>
      <c r="L1847" s="200"/>
      <c r="M1847" s="212"/>
      <c r="N1847" s="3"/>
      <c r="O1847" s="40"/>
      <c r="P1847" s="40"/>
      <c r="Q1847" s="212"/>
      <c r="R1847" s="31"/>
      <c r="S1847" s="40"/>
      <c r="T1847" s="40"/>
      <c r="U1847" s="40"/>
      <c r="V1847" s="40"/>
      <c r="W1847" s="40"/>
      <c r="X1847" s="40"/>
      <c r="Y1847" s="40"/>
      <c r="Z1847" s="40"/>
      <c r="AA1847" s="40"/>
      <c r="AB1847" s="40"/>
    </row>
    <row r="1848" ht="18.75" customHeight="1">
      <c r="A1848" s="18"/>
      <c r="B1848" s="22"/>
      <c r="C1848" s="213"/>
      <c r="D1848" s="213"/>
      <c r="E1848" s="24"/>
      <c r="F1848" s="215"/>
      <c r="G1848" s="26"/>
      <c r="H1848" s="199"/>
      <c r="I1848" s="29"/>
      <c r="J1848" s="192"/>
      <c r="K1848" s="31"/>
      <c r="L1848" s="200"/>
      <c r="M1848" s="212"/>
      <c r="N1848" s="3"/>
      <c r="O1848" s="40"/>
      <c r="P1848" s="40"/>
      <c r="Q1848" s="212"/>
      <c r="R1848" s="31"/>
      <c r="S1848" s="40"/>
      <c r="T1848" s="40"/>
      <c r="U1848" s="40"/>
      <c r="V1848" s="40"/>
      <c r="W1848" s="40"/>
      <c r="X1848" s="40"/>
      <c r="Y1848" s="40"/>
      <c r="Z1848" s="40"/>
      <c r="AA1848" s="40"/>
      <c r="AB1848" s="40"/>
    </row>
    <row r="1849" ht="18.75" customHeight="1">
      <c r="A1849" s="18"/>
      <c r="B1849" s="22"/>
      <c r="C1849" s="213"/>
      <c r="D1849" s="213"/>
      <c r="E1849" s="24"/>
      <c r="F1849" s="215"/>
      <c r="G1849" s="26"/>
      <c r="H1849" s="199"/>
      <c r="I1849" s="29"/>
      <c r="J1849" s="192"/>
      <c r="K1849" s="31"/>
      <c r="L1849" s="200"/>
      <c r="M1849" s="212"/>
      <c r="N1849" s="3"/>
      <c r="O1849" s="40"/>
      <c r="P1849" s="40"/>
      <c r="Q1849" s="212"/>
      <c r="R1849" s="31"/>
      <c r="S1849" s="40"/>
      <c r="T1849" s="40"/>
      <c r="U1849" s="40"/>
      <c r="V1849" s="40"/>
      <c r="W1849" s="40"/>
      <c r="X1849" s="40"/>
      <c r="Y1849" s="40"/>
      <c r="Z1849" s="40"/>
      <c r="AA1849" s="40"/>
      <c r="AB1849" s="40"/>
    </row>
    <row r="1850" ht="18.75" customHeight="1">
      <c r="A1850" s="18"/>
      <c r="B1850" s="22"/>
      <c r="C1850" s="213"/>
      <c r="D1850" s="213"/>
      <c r="E1850" s="24"/>
      <c r="F1850" s="215"/>
      <c r="G1850" s="26"/>
      <c r="H1850" s="199"/>
      <c r="I1850" s="29"/>
      <c r="J1850" s="192"/>
      <c r="K1850" s="31"/>
      <c r="L1850" s="200"/>
      <c r="M1850" s="212"/>
      <c r="N1850" s="3"/>
      <c r="O1850" s="40"/>
      <c r="P1850" s="40"/>
      <c r="Q1850" s="212"/>
      <c r="R1850" s="31"/>
      <c r="S1850" s="40"/>
      <c r="T1850" s="40"/>
      <c r="U1850" s="40"/>
      <c r="V1850" s="40"/>
      <c r="W1850" s="40"/>
      <c r="X1850" s="40"/>
      <c r="Y1850" s="40"/>
      <c r="Z1850" s="40"/>
      <c r="AA1850" s="40"/>
      <c r="AB1850" s="40"/>
    </row>
    <row r="1851" ht="18.75" customHeight="1">
      <c r="A1851" s="18"/>
      <c r="B1851" s="22"/>
      <c r="C1851" s="213"/>
      <c r="D1851" s="213"/>
      <c r="E1851" s="24"/>
      <c r="F1851" s="215"/>
      <c r="G1851" s="26"/>
      <c r="H1851" s="199"/>
      <c r="I1851" s="29"/>
      <c r="J1851" s="192"/>
      <c r="K1851" s="31"/>
      <c r="L1851" s="200"/>
      <c r="M1851" s="212"/>
      <c r="N1851" s="3"/>
      <c r="O1851" s="40"/>
      <c r="P1851" s="40"/>
      <c r="Q1851" s="212"/>
      <c r="R1851" s="31"/>
      <c r="S1851" s="40"/>
      <c r="T1851" s="40"/>
      <c r="U1851" s="40"/>
      <c r="V1851" s="40"/>
      <c r="W1851" s="40"/>
      <c r="X1851" s="40"/>
      <c r="Y1851" s="40"/>
      <c r="Z1851" s="40"/>
      <c r="AA1851" s="40"/>
      <c r="AB1851" s="40"/>
    </row>
    <row r="1852" ht="18.75" customHeight="1">
      <c r="A1852" s="18"/>
      <c r="B1852" s="22"/>
      <c r="C1852" s="213"/>
      <c r="D1852" s="213"/>
      <c r="E1852" s="24"/>
      <c r="F1852" s="215"/>
      <c r="G1852" s="26"/>
      <c r="H1852" s="199"/>
      <c r="I1852" s="29"/>
      <c r="J1852" s="192"/>
      <c r="K1852" s="31"/>
      <c r="L1852" s="200"/>
      <c r="M1852" s="212"/>
      <c r="N1852" s="3"/>
      <c r="O1852" s="40"/>
      <c r="P1852" s="40"/>
      <c r="Q1852" s="212"/>
      <c r="R1852" s="31"/>
      <c r="S1852" s="40"/>
      <c r="T1852" s="40"/>
      <c r="U1852" s="40"/>
      <c r="V1852" s="40"/>
      <c r="W1852" s="40"/>
      <c r="X1852" s="40"/>
      <c r="Y1852" s="40"/>
      <c r="Z1852" s="40"/>
      <c r="AA1852" s="40"/>
      <c r="AB1852" s="40"/>
    </row>
    <row r="1853" ht="18.75" customHeight="1">
      <c r="A1853" s="18"/>
      <c r="B1853" s="22"/>
      <c r="C1853" s="213"/>
      <c r="D1853" s="213"/>
      <c r="E1853" s="24"/>
      <c r="F1853" s="215"/>
      <c r="G1853" s="26"/>
      <c r="H1853" s="199"/>
      <c r="I1853" s="29"/>
      <c r="J1853" s="192"/>
      <c r="K1853" s="31"/>
      <c r="L1853" s="200"/>
      <c r="M1853" s="212"/>
      <c r="N1853" s="3"/>
      <c r="O1853" s="40"/>
      <c r="P1853" s="40"/>
      <c r="Q1853" s="212"/>
      <c r="R1853" s="31"/>
      <c r="S1853" s="40"/>
      <c r="T1853" s="40"/>
      <c r="U1853" s="40"/>
      <c r="V1853" s="40"/>
      <c r="W1853" s="40"/>
      <c r="X1853" s="40"/>
      <c r="Y1853" s="40"/>
      <c r="Z1853" s="40"/>
      <c r="AA1853" s="40"/>
      <c r="AB1853" s="40"/>
    </row>
    <row r="1854" ht="18.75" customHeight="1">
      <c r="A1854" s="18"/>
      <c r="B1854" s="22"/>
      <c r="C1854" s="213"/>
      <c r="D1854" s="213"/>
      <c r="E1854" s="24"/>
      <c r="F1854" s="215"/>
      <c r="G1854" s="26"/>
      <c r="H1854" s="199"/>
      <c r="I1854" s="29"/>
      <c r="J1854" s="192"/>
      <c r="K1854" s="31"/>
      <c r="L1854" s="200"/>
      <c r="M1854" s="212"/>
      <c r="N1854" s="3"/>
      <c r="O1854" s="40"/>
      <c r="P1854" s="40"/>
      <c r="Q1854" s="212"/>
      <c r="R1854" s="31"/>
      <c r="S1854" s="40"/>
      <c r="T1854" s="40"/>
      <c r="U1854" s="40"/>
      <c r="V1854" s="40"/>
      <c r="W1854" s="40"/>
      <c r="X1854" s="40"/>
      <c r="Y1854" s="40"/>
      <c r="Z1854" s="40"/>
      <c r="AA1854" s="40"/>
      <c r="AB1854" s="40"/>
    </row>
    <row r="1855" ht="18.75" customHeight="1">
      <c r="A1855" s="18"/>
      <c r="B1855" s="22"/>
      <c r="C1855" s="213"/>
      <c r="D1855" s="213"/>
      <c r="E1855" s="24"/>
      <c r="F1855" s="215"/>
      <c r="G1855" s="26"/>
      <c r="H1855" s="199"/>
      <c r="I1855" s="29"/>
      <c r="J1855" s="192"/>
      <c r="K1855" s="31"/>
      <c r="L1855" s="200"/>
      <c r="M1855" s="212"/>
      <c r="N1855" s="3"/>
      <c r="O1855" s="40"/>
      <c r="P1855" s="40"/>
      <c r="Q1855" s="212"/>
      <c r="R1855" s="31"/>
      <c r="S1855" s="40"/>
      <c r="T1855" s="40"/>
      <c r="U1855" s="40"/>
      <c r="V1855" s="40"/>
      <c r="W1855" s="40"/>
      <c r="X1855" s="40"/>
      <c r="Y1855" s="40"/>
      <c r="Z1855" s="40"/>
      <c r="AA1855" s="40"/>
      <c r="AB1855" s="40"/>
    </row>
    <row r="1856" ht="18.75" customHeight="1">
      <c r="A1856" s="18"/>
      <c r="B1856" s="22"/>
      <c r="C1856" s="213"/>
      <c r="D1856" s="213"/>
      <c r="E1856" s="24"/>
      <c r="F1856" s="215"/>
      <c r="G1856" s="26"/>
      <c r="H1856" s="199"/>
      <c r="I1856" s="29"/>
      <c r="J1856" s="192"/>
      <c r="K1856" s="31"/>
      <c r="L1856" s="200"/>
      <c r="M1856" s="212"/>
      <c r="N1856" s="3"/>
      <c r="O1856" s="40"/>
      <c r="P1856" s="40"/>
      <c r="Q1856" s="212"/>
      <c r="R1856" s="31"/>
      <c r="S1856" s="40"/>
      <c r="T1856" s="40"/>
      <c r="U1856" s="40"/>
      <c r="V1856" s="40"/>
      <c r="W1856" s="40"/>
      <c r="X1856" s="40"/>
      <c r="Y1856" s="40"/>
      <c r="Z1856" s="40"/>
      <c r="AA1856" s="40"/>
      <c r="AB1856" s="40"/>
    </row>
    <row r="1857" ht="18.75" customHeight="1">
      <c r="A1857" s="18"/>
      <c r="B1857" s="22"/>
      <c r="C1857" s="213"/>
      <c r="D1857" s="213"/>
      <c r="E1857" s="24"/>
      <c r="F1857" s="215"/>
      <c r="G1857" s="26"/>
      <c r="H1857" s="199"/>
      <c r="I1857" s="29"/>
      <c r="J1857" s="192"/>
      <c r="K1857" s="31"/>
      <c r="L1857" s="200"/>
      <c r="M1857" s="212"/>
      <c r="N1857" s="3"/>
      <c r="O1857" s="40"/>
      <c r="P1857" s="40"/>
      <c r="Q1857" s="212"/>
      <c r="R1857" s="31"/>
      <c r="S1857" s="40"/>
      <c r="T1857" s="40"/>
      <c r="U1857" s="40"/>
      <c r="V1857" s="40"/>
      <c r="W1857" s="40"/>
      <c r="X1857" s="40"/>
      <c r="Y1857" s="40"/>
      <c r="Z1857" s="40"/>
      <c r="AA1857" s="40"/>
      <c r="AB1857" s="40"/>
    </row>
    <row r="1858" ht="18.75" customHeight="1">
      <c r="A1858" s="18"/>
      <c r="B1858" s="22"/>
      <c r="C1858" s="213"/>
      <c r="D1858" s="213"/>
      <c r="E1858" s="24"/>
      <c r="F1858" s="215"/>
      <c r="G1858" s="26"/>
      <c r="H1858" s="199"/>
      <c r="I1858" s="29"/>
      <c r="J1858" s="192"/>
      <c r="K1858" s="31"/>
      <c r="L1858" s="200"/>
      <c r="M1858" s="212"/>
      <c r="N1858" s="3"/>
      <c r="O1858" s="40"/>
      <c r="P1858" s="40"/>
      <c r="Q1858" s="212"/>
      <c r="R1858" s="31"/>
      <c r="S1858" s="40"/>
      <c r="T1858" s="40"/>
      <c r="U1858" s="40"/>
      <c r="V1858" s="40"/>
      <c r="W1858" s="40"/>
      <c r="X1858" s="40"/>
      <c r="Y1858" s="40"/>
      <c r="Z1858" s="40"/>
      <c r="AA1858" s="40"/>
      <c r="AB1858" s="40"/>
    </row>
    <row r="1859" ht="18.75" customHeight="1">
      <c r="A1859" s="18"/>
      <c r="B1859" s="22"/>
      <c r="C1859" s="213"/>
      <c r="D1859" s="213"/>
      <c r="E1859" s="24"/>
      <c r="F1859" s="215"/>
      <c r="G1859" s="26"/>
      <c r="H1859" s="199"/>
      <c r="I1859" s="29"/>
      <c r="J1859" s="192"/>
      <c r="K1859" s="31"/>
      <c r="L1859" s="200"/>
      <c r="M1859" s="212"/>
      <c r="N1859" s="3"/>
      <c r="O1859" s="40"/>
      <c r="P1859" s="40"/>
      <c r="Q1859" s="212"/>
      <c r="R1859" s="31"/>
      <c r="S1859" s="40"/>
      <c r="T1859" s="40"/>
      <c r="U1859" s="40"/>
      <c r="V1859" s="40"/>
      <c r="W1859" s="40"/>
      <c r="X1859" s="40"/>
      <c r="Y1859" s="40"/>
      <c r="Z1859" s="40"/>
      <c r="AA1859" s="40"/>
      <c r="AB1859" s="40"/>
    </row>
    <row r="1860" ht="18.75" customHeight="1">
      <c r="A1860" s="18"/>
      <c r="B1860" s="22"/>
      <c r="C1860" s="213"/>
      <c r="D1860" s="213"/>
      <c r="E1860" s="24"/>
      <c r="F1860" s="215"/>
      <c r="G1860" s="26"/>
      <c r="H1860" s="199"/>
      <c r="I1860" s="29"/>
      <c r="J1860" s="192"/>
      <c r="K1860" s="31"/>
      <c r="L1860" s="200"/>
      <c r="M1860" s="212"/>
      <c r="N1860" s="3"/>
      <c r="O1860" s="40"/>
      <c r="P1860" s="40"/>
      <c r="Q1860" s="212"/>
      <c r="R1860" s="31"/>
      <c r="S1860" s="40"/>
      <c r="T1860" s="40"/>
      <c r="U1860" s="40"/>
      <c r="V1860" s="40"/>
      <c r="W1860" s="40"/>
      <c r="X1860" s="40"/>
      <c r="Y1860" s="40"/>
      <c r="Z1860" s="40"/>
      <c r="AA1860" s="40"/>
      <c r="AB1860" s="40"/>
    </row>
    <row r="1861" ht="18.75" customHeight="1">
      <c r="A1861" s="18"/>
      <c r="B1861" s="22"/>
      <c r="C1861" s="213"/>
      <c r="D1861" s="213"/>
      <c r="E1861" s="24"/>
      <c r="F1861" s="215"/>
      <c r="G1861" s="26"/>
      <c r="H1861" s="199"/>
      <c r="I1861" s="29"/>
      <c r="J1861" s="192"/>
      <c r="K1861" s="31"/>
      <c r="L1861" s="200"/>
      <c r="M1861" s="212"/>
      <c r="N1861" s="3"/>
      <c r="O1861" s="40"/>
      <c r="P1861" s="40"/>
      <c r="Q1861" s="212"/>
      <c r="R1861" s="31"/>
      <c r="S1861" s="40"/>
      <c r="T1861" s="40"/>
      <c r="U1861" s="40"/>
      <c r="V1861" s="40"/>
      <c r="W1861" s="40"/>
      <c r="X1861" s="40"/>
      <c r="Y1861" s="40"/>
      <c r="Z1861" s="40"/>
      <c r="AA1861" s="40"/>
      <c r="AB1861" s="40"/>
    </row>
    <row r="1862" ht="18.75" customHeight="1">
      <c r="A1862" s="18"/>
      <c r="B1862" s="22"/>
      <c r="C1862" s="213"/>
      <c r="D1862" s="213"/>
      <c r="E1862" s="24"/>
      <c r="F1862" s="215"/>
      <c r="G1862" s="26"/>
      <c r="H1862" s="199"/>
      <c r="I1862" s="29"/>
      <c r="J1862" s="192"/>
      <c r="K1862" s="31"/>
      <c r="L1862" s="200"/>
      <c r="M1862" s="212"/>
      <c r="N1862" s="3"/>
      <c r="O1862" s="40"/>
      <c r="P1862" s="40"/>
      <c r="Q1862" s="212"/>
      <c r="R1862" s="31"/>
      <c r="S1862" s="40"/>
      <c r="T1862" s="40"/>
      <c r="U1862" s="40"/>
      <c r="V1862" s="40"/>
      <c r="W1862" s="40"/>
      <c r="X1862" s="40"/>
      <c r="Y1862" s="40"/>
      <c r="Z1862" s="40"/>
      <c r="AA1862" s="40"/>
      <c r="AB1862" s="40"/>
    </row>
    <row r="1863" ht="18.75" customHeight="1">
      <c r="A1863" s="18"/>
      <c r="B1863" s="22"/>
      <c r="C1863" s="213"/>
      <c r="D1863" s="213"/>
      <c r="E1863" s="24"/>
      <c r="F1863" s="215"/>
      <c r="G1863" s="26"/>
      <c r="H1863" s="199"/>
      <c r="I1863" s="29"/>
      <c r="J1863" s="192"/>
      <c r="K1863" s="31"/>
      <c r="L1863" s="200"/>
      <c r="M1863" s="212"/>
      <c r="N1863" s="3"/>
      <c r="O1863" s="40"/>
      <c r="P1863" s="40"/>
      <c r="Q1863" s="212"/>
      <c r="R1863" s="31"/>
      <c r="S1863" s="40"/>
      <c r="T1863" s="40"/>
      <c r="U1863" s="40"/>
      <c r="V1863" s="40"/>
      <c r="W1863" s="40"/>
      <c r="X1863" s="40"/>
      <c r="Y1863" s="40"/>
      <c r="Z1863" s="40"/>
      <c r="AA1863" s="40"/>
      <c r="AB1863" s="40"/>
    </row>
    <row r="1864" ht="18.75" customHeight="1">
      <c r="A1864" s="18"/>
      <c r="B1864" s="22"/>
      <c r="C1864" s="213"/>
      <c r="D1864" s="213"/>
      <c r="E1864" s="24"/>
      <c r="F1864" s="215"/>
      <c r="G1864" s="26"/>
      <c r="H1864" s="199"/>
      <c r="I1864" s="29"/>
      <c r="J1864" s="192"/>
      <c r="K1864" s="31"/>
      <c r="L1864" s="200"/>
      <c r="M1864" s="212"/>
      <c r="N1864" s="3"/>
      <c r="O1864" s="40"/>
      <c r="P1864" s="40"/>
      <c r="Q1864" s="212"/>
      <c r="R1864" s="31"/>
      <c r="S1864" s="40"/>
      <c r="T1864" s="40"/>
      <c r="U1864" s="40"/>
      <c r="V1864" s="40"/>
      <c r="W1864" s="40"/>
      <c r="X1864" s="40"/>
      <c r="Y1864" s="40"/>
      <c r="Z1864" s="40"/>
      <c r="AA1864" s="40"/>
      <c r="AB1864" s="40"/>
    </row>
    <row r="1865" ht="18.75" customHeight="1">
      <c r="A1865" s="18"/>
      <c r="B1865" s="22"/>
      <c r="C1865" s="213"/>
      <c r="D1865" s="213"/>
      <c r="E1865" s="24"/>
      <c r="F1865" s="215"/>
      <c r="G1865" s="26"/>
      <c r="H1865" s="199"/>
      <c r="I1865" s="29"/>
      <c r="J1865" s="192"/>
      <c r="K1865" s="31"/>
      <c r="L1865" s="200"/>
      <c r="M1865" s="212"/>
      <c r="N1865" s="3"/>
      <c r="O1865" s="40"/>
      <c r="P1865" s="40"/>
      <c r="Q1865" s="212"/>
      <c r="R1865" s="31"/>
      <c r="S1865" s="40"/>
      <c r="T1865" s="40"/>
      <c r="U1865" s="40"/>
      <c r="V1865" s="40"/>
      <c r="W1865" s="40"/>
      <c r="X1865" s="40"/>
      <c r="Y1865" s="40"/>
      <c r="Z1865" s="40"/>
      <c r="AA1865" s="40"/>
      <c r="AB1865" s="40"/>
    </row>
    <row r="1866" ht="18.75" customHeight="1">
      <c r="A1866" s="18"/>
      <c r="B1866" s="22"/>
      <c r="C1866" s="213"/>
      <c r="D1866" s="213"/>
      <c r="E1866" s="24"/>
      <c r="F1866" s="215"/>
      <c r="G1866" s="26"/>
      <c r="H1866" s="199"/>
      <c r="I1866" s="29"/>
      <c r="J1866" s="192"/>
      <c r="K1866" s="31"/>
      <c r="L1866" s="200"/>
      <c r="M1866" s="212"/>
      <c r="N1866" s="3"/>
      <c r="O1866" s="40"/>
      <c r="P1866" s="40"/>
      <c r="Q1866" s="212"/>
      <c r="R1866" s="31"/>
      <c r="S1866" s="40"/>
      <c r="T1866" s="40"/>
      <c r="U1866" s="40"/>
      <c r="V1866" s="40"/>
      <c r="W1866" s="40"/>
      <c r="X1866" s="40"/>
      <c r="Y1866" s="40"/>
      <c r="Z1866" s="40"/>
      <c r="AA1866" s="40"/>
      <c r="AB1866" s="40"/>
    </row>
    <row r="1867" ht="18.75" customHeight="1">
      <c r="A1867" s="18"/>
      <c r="B1867" s="22"/>
      <c r="C1867" s="213"/>
      <c r="D1867" s="213"/>
      <c r="E1867" s="24"/>
      <c r="F1867" s="215"/>
      <c r="G1867" s="26"/>
      <c r="H1867" s="199"/>
      <c r="I1867" s="29"/>
      <c r="J1867" s="192"/>
      <c r="K1867" s="31"/>
      <c r="L1867" s="200"/>
      <c r="M1867" s="212"/>
      <c r="N1867" s="3"/>
      <c r="O1867" s="40"/>
      <c r="P1867" s="40"/>
      <c r="Q1867" s="212"/>
      <c r="R1867" s="31"/>
      <c r="S1867" s="40"/>
      <c r="T1867" s="40"/>
      <c r="U1867" s="40"/>
      <c r="V1867" s="40"/>
      <c r="W1867" s="40"/>
      <c r="X1867" s="40"/>
      <c r="Y1867" s="40"/>
      <c r="Z1867" s="40"/>
      <c r="AA1867" s="40"/>
      <c r="AB1867" s="40"/>
    </row>
    <row r="1868" ht="18.75" customHeight="1">
      <c r="A1868" s="18"/>
      <c r="B1868" s="22"/>
      <c r="C1868" s="213"/>
      <c r="D1868" s="213"/>
      <c r="E1868" s="24"/>
      <c r="F1868" s="215"/>
      <c r="G1868" s="26"/>
      <c r="H1868" s="199"/>
      <c r="I1868" s="29"/>
      <c r="J1868" s="192"/>
      <c r="K1868" s="31"/>
      <c r="L1868" s="200"/>
      <c r="M1868" s="212"/>
      <c r="N1868" s="3"/>
      <c r="O1868" s="40"/>
      <c r="P1868" s="40"/>
      <c r="Q1868" s="212"/>
      <c r="R1868" s="31"/>
      <c r="S1868" s="40"/>
      <c r="T1868" s="40"/>
      <c r="U1868" s="40"/>
      <c r="V1868" s="40"/>
      <c r="W1868" s="40"/>
      <c r="X1868" s="40"/>
      <c r="Y1868" s="40"/>
      <c r="Z1868" s="40"/>
      <c r="AA1868" s="40"/>
      <c r="AB1868" s="40"/>
    </row>
    <row r="1869" ht="18.75" customHeight="1">
      <c r="A1869" s="18"/>
      <c r="B1869" s="22"/>
      <c r="C1869" s="213"/>
      <c r="D1869" s="213"/>
      <c r="E1869" s="24"/>
      <c r="F1869" s="215"/>
      <c r="G1869" s="26"/>
      <c r="H1869" s="199"/>
      <c r="I1869" s="29"/>
      <c r="J1869" s="192"/>
      <c r="K1869" s="31"/>
      <c r="L1869" s="200"/>
      <c r="M1869" s="212"/>
      <c r="N1869" s="3"/>
      <c r="O1869" s="40"/>
      <c r="P1869" s="40"/>
      <c r="Q1869" s="212"/>
      <c r="R1869" s="31"/>
      <c r="S1869" s="40"/>
      <c r="T1869" s="40"/>
      <c r="U1869" s="40"/>
      <c r="V1869" s="40"/>
      <c r="W1869" s="40"/>
      <c r="X1869" s="40"/>
      <c r="Y1869" s="40"/>
      <c r="Z1869" s="40"/>
      <c r="AA1869" s="40"/>
      <c r="AB1869" s="40"/>
    </row>
    <row r="1870" ht="18.75" customHeight="1">
      <c r="A1870" s="18"/>
      <c r="B1870" s="22"/>
      <c r="C1870" s="213"/>
      <c r="D1870" s="213"/>
      <c r="E1870" s="24"/>
      <c r="F1870" s="215"/>
      <c r="G1870" s="26"/>
      <c r="H1870" s="199"/>
      <c r="I1870" s="29"/>
      <c r="J1870" s="192"/>
      <c r="K1870" s="31"/>
      <c r="L1870" s="200"/>
      <c r="M1870" s="212"/>
      <c r="N1870" s="3"/>
      <c r="O1870" s="40"/>
      <c r="P1870" s="40"/>
      <c r="Q1870" s="212"/>
      <c r="R1870" s="31"/>
      <c r="S1870" s="40"/>
      <c r="T1870" s="40"/>
      <c r="U1870" s="40"/>
      <c r="V1870" s="40"/>
      <c r="W1870" s="40"/>
      <c r="X1870" s="40"/>
      <c r="Y1870" s="40"/>
      <c r="Z1870" s="40"/>
      <c r="AA1870" s="40"/>
      <c r="AB1870" s="40"/>
    </row>
    <row r="1871" ht="18.75" customHeight="1">
      <c r="A1871" s="18"/>
      <c r="B1871" s="22"/>
      <c r="C1871" s="213"/>
      <c r="D1871" s="213"/>
      <c r="E1871" s="24"/>
      <c r="F1871" s="215"/>
      <c r="G1871" s="26"/>
      <c r="H1871" s="199"/>
      <c r="I1871" s="29"/>
      <c r="J1871" s="192"/>
      <c r="K1871" s="31"/>
      <c r="L1871" s="200"/>
      <c r="M1871" s="212"/>
      <c r="N1871" s="3"/>
      <c r="O1871" s="40"/>
      <c r="P1871" s="40"/>
      <c r="Q1871" s="212"/>
      <c r="R1871" s="31"/>
      <c r="S1871" s="40"/>
      <c r="T1871" s="40"/>
      <c r="U1871" s="40"/>
      <c r="V1871" s="40"/>
      <c r="W1871" s="40"/>
      <c r="X1871" s="40"/>
      <c r="Y1871" s="40"/>
      <c r="Z1871" s="40"/>
      <c r="AA1871" s="40"/>
      <c r="AB1871" s="40"/>
    </row>
    <row r="1872" ht="18.75" customHeight="1">
      <c r="A1872" s="18"/>
      <c r="B1872" s="22"/>
      <c r="C1872" s="213"/>
      <c r="D1872" s="213"/>
      <c r="E1872" s="24"/>
      <c r="F1872" s="215"/>
      <c r="G1872" s="26"/>
      <c r="H1872" s="199"/>
      <c r="I1872" s="29"/>
      <c r="J1872" s="192"/>
      <c r="K1872" s="31"/>
      <c r="L1872" s="200"/>
      <c r="M1872" s="212"/>
      <c r="N1872" s="3"/>
      <c r="O1872" s="40"/>
      <c r="P1872" s="40"/>
      <c r="Q1872" s="212"/>
      <c r="R1872" s="31"/>
      <c r="S1872" s="40"/>
      <c r="T1872" s="40"/>
      <c r="U1872" s="40"/>
      <c r="V1872" s="40"/>
      <c r="W1872" s="40"/>
      <c r="X1872" s="40"/>
      <c r="Y1872" s="40"/>
      <c r="Z1872" s="40"/>
      <c r="AA1872" s="40"/>
      <c r="AB1872" s="40"/>
    </row>
    <row r="1873" ht="18.75" customHeight="1">
      <c r="A1873" s="18"/>
      <c r="B1873" s="22"/>
      <c r="C1873" s="213"/>
      <c r="D1873" s="213"/>
      <c r="E1873" s="24"/>
      <c r="F1873" s="215"/>
      <c r="G1873" s="26"/>
      <c r="H1873" s="199"/>
      <c r="I1873" s="29"/>
      <c r="J1873" s="192"/>
      <c r="K1873" s="31"/>
      <c r="L1873" s="200"/>
      <c r="M1873" s="212"/>
      <c r="N1873" s="3"/>
      <c r="O1873" s="40"/>
      <c r="P1873" s="40"/>
      <c r="Q1873" s="212"/>
      <c r="R1873" s="31"/>
      <c r="S1873" s="40"/>
      <c r="T1873" s="40"/>
      <c r="U1873" s="40"/>
      <c r="V1873" s="40"/>
      <c r="W1873" s="40"/>
      <c r="X1873" s="40"/>
      <c r="Y1873" s="40"/>
      <c r="Z1873" s="40"/>
      <c r="AA1873" s="40"/>
      <c r="AB1873" s="40"/>
    </row>
    <row r="1874" ht="18.75" customHeight="1">
      <c r="A1874" s="18"/>
      <c r="B1874" s="22"/>
      <c r="C1874" s="213"/>
      <c r="D1874" s="213"/>
      <c r="E1874" s="24"/>
      <c r="F1874" s="215"/>
      <c r="G1874" s="26"/>
      <c r="H1874" s="199"/>
      <c r="I1874" s="29"/>
      <c r="J1874" s="192"/>
      <c r="K1874" s="31"/>
      <c r="L1874" s="200"/>
      <c r="M1874" s="212"/>
      <c r="N1874" s="3"/>
      <c r="O1874" s="40"/>
      <c r="P1874" s="40"/>
      <c r="Q1874" s="212"/>
      <c r="R1874" s="31"/>
      <c r="S1874" s="40"/>
      <c r="T1874" s="40"/>
      <c r="U1874" s="40"/>
      <c r="V1874" s="40"/>
      <c r="W1874" s="40"/>
      <c r="X1874" s="40"/>
      <c r="Y1874" s="40"/>
      <c r="Z1874" s="40"/>
      <c r="AA1874" s="40"/>
      <c r="AB1874" s="40"/>
    </row>
    <row r="1875" ht="18.75" customHeight="1">
      <c r="A1875" s="18"/>
      <c r="B1875" s="22"/>
      <c r="C1875" s="213"/>
      <c r="D1875" s="213"/>
      <c r="E1875" s="24"/>
      <c r="F1875" s="215"/>
      <c r="G1875" s="26"/>
      <c r="H1875" s="199"/>
      <c r="I1875" s="29"/>
      <c r="J1875" s="192"/>
      <c r="K1875" s="31"/>
      <c r="L1875" s="200"/>
      <c r="M1875" s="212"/>
      <c r="N1875" s="3"/>
      <c r="O1875" s="40"/>
      <c r="P1875" s="40"/>
      <c r="Q1875" s="212"/>
      <c r="R1875" s="31"/>
      <c r="S1875" s="40"/>
      <c r="T1875" s="40"/>
      <c r="U1875" s="40"/>
      <c r="V1875" s="40"/>
      <c r="W1875" s="40"/>
      <c r="X1875" s="40"/>
      <c r="Y1875" s="40"/>
      <c r="Z1875" s="40"/>
      <c r="AA1875" s="40"/>
      <c r="AB1875" s="40"/>
    </row>
    <row r="1876" ht="18.75" customHeight="1">
      <c r="A1876" s="18"/>
      <c r="B1876" s="22"/>
      <c r="C1876" s="213"/>
      <c r="D1876" s="213"/>
      <c r="E1876" s="24"/>
      <c r="F1876" s="215"/>
      <c r="G1876" s="26"/>
      <c r="H1876" s="199"/>
      <c r="I1876" s="29"/>
      <c r="J1876" s="192"/>
      <c r="K1876" s="31"/>
      <c r="L1876" s="200"/>
      <c r="M1876" s="212"/>
      <c r="N1876" s="3"/>
      <c r="O1876" s="40"/>
      <c r="P1876" s="40"/>
      <c r="Q1876" s="212"/>
      <c r="R1876" s="31"/>
      <c r="S1876" s="40"/>
      <c r="T1876" s="40"/>
      <c r="U1876" s="40"/>
      <c r="V1876" s="40"/>
      <c r="W1876" s="40"/>
      <c r="X1876" s="40"/>
      <c r="Y1876" s="40"/>
      <c r="Z1876" s="40"/>
      <c r="AA1876" s="40"/>
      <c r="AB1876" s="40"/>
    </row>
    <row r="1877" ht="18.75" customHeight="1">
      <c r="A1877" s="18"/>
      <c r="B1877" s="22"/>
      <c r="C1877" s="213"/>
      <c r="D1877" s="213"/>
      <c r="E1877" s="24"/>
      <c r="F1877" s="215"/>
      <c r="G1877" s="26"/>
      <c r="H1877" s="199"/>
      <c r="I1877" s="29"/>
      <c r="J1877" s="192"/>
      <c r="K1877" s="31"/>
      <c r="L1877" s="200"/>
      <c r="M1877" s="212"/>
      <c r="N1877" s="3"/>
      <c r="O1877" s="40"/>
      <c r="P1877" s="40"/>
      <c r="Q1877" s="212"/>
      <c r="R1877" s="31"/>
      <c r="S1877" s="40"/>
      <c r="T1877" s="40"/>
      <c r="U1877" s="40"/>
      <c r="V1877" s="40"/>
      <c r="W1877" s="40"/>
      <c r="X1877" s="40"/>
      <c r="Y1877" s="40"/>
      <c r="Z1877" s="40"/>
      <c r="AA1877" s="40"/>
      <c r="AB1877" s="40"/>
    </row>
    <row r="1878" ht="18.75" customHeight="1">
      <c r="A1878" s="18"/>
      <c r="B1878" s="22"/>
      <c r="C1878" s="213"/>
      <c r="D1878" s="213"/>
      <c r="E1878" s="24"/>
      <c r="F1878" s="215"/>
      <c r="G1878" s="26"/>
      <c r="H1878" s="199"/>
      <c r="I1878" s="29"/>
      <c r="J1878" s="192"/>
      <c r="K1878" s="31"/>
      <c r="L1878" s="200"/>
      <c r="M1878" s="212"/>
      <c r="N1878" s="3"/>
      <c r="O1878" s="40"/>
      <c r="P1878" s="40"/>
      <c r="Q1878" s="212"/>
      <c r="R1878" s="31"/>
      <c r="S1878" s="40"/>
      <c r="T1878" s="40"/>
      <c r="U1878" s="40"/>
      <c r="V1878" s="40"/>
      <c r="W1878" s="40"/>
      <c r="X1878" s="40"/>
      <c r="Y1878" s="40"/>
      <c r="Z1878" s="40"/>
      <c r="AA1878" s="40"/>
      <c r="AB1878" s="40"/>
    </row>
    <row r="1879" ht="18.75" customHeight="1">
      <c r="A1879" s="18"/>
      <c r="B1879" s="22"/>
      <c r="C1879" s="213"/>
      <c r="D1879" s="213"/>
      <c r="E1879" s="24"/>
      <c r="F1879" s="215"/>
      <c r="G1879" s="26"/>
      <c r="H1879" s="199"/>
      <c r="I1879" s="29"/>
      <c r="J1879" s="192"/>
      <c r="K1879" s="31"/>
      <c r="L1879" s="200"/>
      <c r="M1879" s="212"/>
      <c r="N1879" s="3"/>
      <c r="O1879" s="40"/>
      <c r="P1879" s="40"/>
      <c r="Q1879" s="212"/>
      <c r="R1879" s="31"/>
      <c r="S1879" s="40"/>
      <c r="T1879" s="40"/>
      <c r="U1879" s="40"/>
      <c r="V1879" s="40"/>
      <c r="W1879" s="40"/>
      <c r="X1879" s="40"/>
      <c r="Y1879" s="40"/>
      <c r="Z1879" s="40"/>
      <c r="AA1879" s="40"/>
      <c r="AB1879" s="40"/>
    </row>
    <row r="1880" ht="18.75" customHeight="1">
      <c r="A1880" s="18"/>
      <c r="B1880" s="22"/>
      <c r="C1880" s="213"/>
      <c r="D1880" s="213"/>
      <c r="E1880" s="24"/>
      <c r="F1880" s="215"/>
      <c r="G1880" s="26"/>
      <c r="H1880" s="199"/>
      <c r="I1880" s="29"/>
      <c r="J1880" s="192"/>
      <c r="K1880" s="31"/>
      <c r="L1880" s="200"/>
      <c r="M1880" s="212"/>
      <c r="N1880" s="3"/>
      <c r="O1880" s="40"/>
      <c r="P1880" s="40"/>
      <c r="Q1880" s="212"/>
      <c r="R1880" s="31"/>
      <c r="S1880" s="40"/>
      <c r="T1880" s="40"/>
      <c r="U1880" s="40"/>
      <c r="V1880" s="40"/>
      <c r="W1880" s="40"/>
      <c r="X1880" s="40"/>
      <c r="Y1880" s="40"/>
      <c r="Z1880" s="40"/>
      <c r="AA1880" s="40"/>
      <c r="AB1880" s="40"/>
    </row>
    <row r="1881" ht="18.75" customHeight="1">
      <c r="A1881" s="18"/>
      <c r="B1881" s="22"/>
      <c r="C1881" s="213"/>
      <c r="D1881" s="213"/>
      <c r="E1881" s="24"/>
      <c r="F1881" s="215"/>
      <c r="G1881" s="26"/>
      <c r="H1881" s="199"/>
      <c r="I1881" s="29"/>
      <c r="J1881" s="192"/>
      <c r="K1881" s="31"/>
      <c r="L1881" s="200"/>
      <c r="M1881" s="212"/>
      <c r="N1881" s="3"/>
      <c r="O1881" s="40"/>
      <c r="P1881" s="40"/>
      <c r="Q1881" s="212"/>
      <c r="R1881" s="31"/>
      <c r="S1881" s="40"/>
      <c r="T1881" s="40"/>
      <c r="U1881" s="40"/>
      <c r="V1881" s="40"/>
      <c r="W1881" s="40"/>
      <c r="X1881" s="40"/>
      <c r="Y1881" s="40"/>
      <c r="Z1881" s="40"/>
      <c r="AA1881" s="40"/>
      <c r="AB1881" s="40"/>
    </row>
    <row r="1882" ht="18.75" customHeight="1">
      <c r="A1882" s="18"/>
      <c r="B1882" s="22"/>
      <c r="C1882" s="213"/>
      <c r="D1882" s="213"/>
      <c r="E1882" s="24"/>
      <c r="F1882" s="215"/>
      <c r="G1882" s="26"/>
      <c r="H1882" s="199"/>
      <c r="I1882" s="29"/>
      <c r="J1882" s="192"/>
      <c r="K1882" s="31"/>
      <c r="L1882" s="200"/>
      <c r="M1882" s="212"/>
      <c r="N1882" s="3"/>
      <c r="O1882" s="40"/>
      <c r="P1882" s="40"/>
      <c r="Q1882" s="212"/>
      <c r="R1882" s="31"/>
      <c r="S1882" s="40"/>
      <c r="T1882" s="40"/>
      <c r="U1882" s="40"/>
      <c r="V1882" s="40"/>
      <c r="W1882" s="40"/>
      <c r="X1882" s="40"/>
      <c r="Y1882" s="40"/>
      <c r="Z1882" s="40"/>
      <c r="AA1882" s="40"/>
      <c r="AB1882" s="40"/>
    </row>
    <row r="1883" ht="18.75" customHeight="1">
      <c r="A1883" s="18"/>
      <c r="B1883" s="22"/>
      <c r="C1883" s="213"/>
      <c r="D1883" s="213"/>
      <c r="E1883" s="24"/>
      <c r="F1883" s="215"/>
      <c r="G1883" s="26"/>
      <c r="H1883" s="199"/>
      <c r="I1883" s="29"/>
      <c r="J1883" s="192"/>
      <c r="K1883" s="31"/>
      <c r="L1883" s="200"/>
      <c r="M1883" s="212"/>
      <c r="N1883" s="3"/>
      <c r="O1883" s="40"/>
      <c r="P1883" s="40"/>
      <c r="Q1883" s="212"/>
      <c r="R1883" s="31"/>
      <c r="S1883" s="40"/>
      <c r="T1883" s="40"/>
      <c r="U1883" s="40"/>
      <c r="V1883" s="40"/>
      <c r="W1883" s="40"/>
      <c r="X1883" s="40"/>
      <c r="Y1883" s="40"/>
      <c r="Z1883" s="40"/>
      <c r="AA1883" s="40"/>
      <c r="AB1883" s="40"/>
    </row>
    <row r="1884" ht="18.75" customHeight="1">
      <c r="A1884" s="18"/>
      <c r="B1884" s="22"/>
      <c r="C1884" s="213"/>
      <c r="D1884" s="213"/>
      <c r="E1884" s="24"/>
      <c r="F1884" s="215"/>
      <c r="G1884" s="26"/>
      <c r="H1884" s="199"/>
      <c r="I1884" s="29"/>
      <c r="J1884" s="192"/>
      <c r="K1884" s="31"/>
      <c r="L1884" s="200"/>
      <c r="M1884" s="212"/>
      <c r="N1884" s="3"/>
      <c r="O1884" s="40"/>
      <c r="P1884" s="40"/>
      <c r="Q1884" s="212"/>
      <c r="R1884" s="31"/>
      <c r="S1884" s="40"/>
      <c r="T1884" s="40"/>
      <c r="U1884" s="40"/>
      <c r="V1884" s="40"/>
      <c r="W1884" s="40"/>
      <c r="X1884" s="40"/>
      <c r="Y1884" s="40"/>
      <c r="Z1884" s="40"/>
      <c r="AA1884" s="40"/>
      <c r="AB1884" s="40"/>
    </row>
    <row r="1885" ht="18.75" customHeight="1">
      <c r="A1885" s="18"/>
      <c r="B1885" s="22"/>
      <c r="C1885" s="213"/>
      <c r="D1885" s="213"/>
      <c r="E1885" s="24"/>
      <c r="F1885" s="215"/>
      <c r="G1885" s="26"/>
      <c r="H1885" s="199"/>
      <c r="I1885" s="29"/>
      <c r="J1885" s="192"/>
      <c r="K1885" s="31"/>
      <c r="L1885" s="200"/>
      <c r="M1885" s="212"/>
      <c r="N1885" s="3"/>
      <c r="O1885" s="40"/>
      <c r="P1885" s="40"/>
      <c r="Q1885" s="212"/>
      <c r="R1885" s="31"/>
      <c r="S1885" s="40"/>
      <c r="T1885" s="40"/>
      <c r="U1885" s="40"/>
      <c r="V1885" s="40"/>
      <c r="W1885" s="40"/>
      <c r="X1885" s="40"/>
      <c r="Y1885" s="40"/>
      <c r="Z1885" s="40"/>
      <c r="AA1885" s="40"/>
      <c r="AB1885" s="40"/>
    </row>
    <row r="1886" ht="18.75" customHeight="1">
      <c r="A1886" s="18"/>
      <c r="B1886" s="22"/>
      <c r="C1886" s="213"/>
      <c r="D1886" s="213"/>
      <c r="E1886" s="24"/>
      <c r="F1886" s="215"/>
      <c r="G1886" s="26"/>
      <c r="H1886" s="199"/>
      <c r="I1886" s="29"/>
      <c r="J1886" s="192"/>
      <c r="K1886" s="31"/>
      <c r="L1886" s="200"/>
      <c r="M1886" s="212"/>
      <c r="N1886" s="3"/>
      <c r="O1886" s="40"/>
      <c r="P1886" s="40"/>
      <c r="Q1886" s="212"/>
      <c r="R1886" s="31"/>
      <c r="S1886" s="40"/>
      <c r="T1886" s="40"/>
      <c r="U1886" s="40"/>
      <c r="V1886" s="40"/>
      <c r="W1886" s="40"/>
      <c r="X1886" s="40"/>
      <c r="Y1886" s="40"/>
      <c r="Z1886" s="40"/>
      <c r="AA1886" s="40"/>
      <c r="AB1886" s="40"/>
    </row>
    <row r="1887" ht="18.75" customHeight="1">
      <c r="A1887" s="18"/>
      <c r="B1887" s="22"/>
      <c r="C1887" s="213"/>
      <c r="D1887" s="213"/>
      <c r="E1887" s="24"/>
      <c r="F1887" s="215"/>
      <c r="G1887" s="26"/>
      <c r="H1887" s="199"/>
      <c r="I1887" s="29"/>
      <c r="J1887" s="192"/>
      <c r="K1887" s="31"/>
      <c r="L1887" s="200"/>
      <c r="M1887" s="212"/>
      <c r="N1887" s="3"/>
      <c r="O1887" s="40"/>
      <c r="P1887" s="40"/>
      <c r="Q1887" s="212"/>
      <c r="R1887" s="31"/>
      <c r="S1887" s="40"/>
      <c r="T1887" s="40"/>
      <c r="U1887" s="40"/>
      <c r="V1887" s="40"/>
      <c r="W1887" s="40"/>
      <c r="X1887" s="40"/>
      <c r="Y1887" s="40"/>
      <c r="Z1887" s="40"/>
      <c r="AA1887" s="40"/>
      <c r="AB1887" s="40"/>
    </row>
    <row r="1888" ht="18.75" customHeight="1">
      <c r="A1888" s="18"/>
      <c r="B1888" s="22"/>
      <c r="C1888" s="213"/>
      <c r="D1888" s="213"/>
      <c r="E1888" s="24"/>
      <c r="F1888" s="215"/>
      <c r="G1888" s="26"/>
      <c r="H1888" s="199"/>
      <c r="I1888" s="29"/>
      <c r="J1888" s="192"/>
      <c r="K1888" s="31"/>
      <c r="L1888" s="200"/>
      <c r="M1888" s="212"/>
      <c r="N1888" s="3"/>
      <c r="O1888" s="40"/>
      <c r="P1888" s="40"/>
      <c r="Q1888" s="212"/>
      <c r="R1888" s="31"/>
      <c r="S1888" s="40"/>
      <c r="T1888" s="40"/>
      <c r="U1888" s="40"/>
      <c r="V1888" s="40"/>
      <c r="W1888" s="40"/>
      <c r="X1888" s="40"/>
      <c r="Y1888" s="40"/>
      <c r="Z1888" s="40"/>
      <c r="AA1888" s="40"/>
      <c r="AB1888" s="40"/>
    </row>
    <row r="1889" ht="18.75" customHeight="1">
      <c r="A1889" s="18"/>
      <c r="B1889" s="22"/>
      <c r="C1889" s="213"/>
      <c r="D1889" s="213"/>
      <c r="E1889" s="24"/>
      <c r="F1889" s="215"/>
      <c r="G1889" s="26"/>
      <c r="H1889" s="199"/>
      <c r="I1889" s="29"/>
      <c r="J1889" s="192"/>
      <c r="K1889" s="31"/>
      <c r="L1889" s="200"/>
      <c r="M1889" s="212"/>
      <c r="N1889" s="3"/>
      <c r="O1889" s="40"/>
      <c r="P1889" s="40"/>
      <c r="Q1889" s="212"/>
      <c r="R1889" s="31"/>
      <c r="S1889" s="40"/>
      <c r="T1889" s="40"/>
      <c r="U1889" s="40"/>
      <c r="V1889" s="40"/>
      <c r="W1889" s="40"/>
      <c r="X1889" s="40"/>
      <c r="Y1889" s="40"/>
      <c r="Z1889" s="40"/>
      <c r="AA1889" s="40"/>
      <c r="AB1889" s="40"/>
    </row>
    <row r="1890" ht="18.75" customHeight="1">
      <c r="A1890" s="18"/>
      <c r="B1890" s="22"/>
      <c r="C1890" s="213"/>
      <c r="D1890" s="213"/>
      <c r="E1890" s="24"/>
      <c r="F1890" s="215"/>
      <c r="G1890" s="26"/>
      <c r="H1890" s="199"/>
      <c r="I1890" s="29"/>
      <c r="J1890" s="192"/>
      <c r="K1890" s="31"/>
      <c r="L1890" s="200"/>
      <c r="M1890" s="212"/>
      <c r="N1890" s="3"/>
      <c r="O1890" s="40"/>
      <c r="P1890" s="40"/>
      <c r="Q1890" s="212"/>
      <c r="R1890" s="31"/>
      <c r="S1890" s="40"/>
      <c r="T1890" s="40"/>
      <c r="U1890" s="40"/>
      <c r="V1890" s="40"/>
      <c r="W1890" s="40"/>
      <c r="X1890" s="40"/>
      <c r="Y1890" s="40"/>
      <c r="Z1890" s="40"/>
      <c r="AA1890" s="40"/>
      <c r="AB1890" s="40"/>
    </row>
    <row r="1891" ht="18.75" customHeight="1">
      <c r="A1891" s="18"/>
      <c r="B1891" s="22"/>
      <c r="C1891" s="213"/>
      <c r="D1891" s="213"/>
      <c r="E1891" s="24"/>
      <c r="F1891" s="215"/>
      <c r="G1891" s="26"/>
      <c r="H1891" s="199"/>
      <c r="I1891" s="29"/>
      <c r="J1891" s="192"/>
      <c r="K1891" s="31"/>
      <c r="L1891" s="200"/>
      <c r="M1891" s="212"/>
      <c r="N1891" s="3"/>
      <c r="O1891" s="40"/>
      <c r="P1891" s="40"/>
      <c r="Q1891" s="212"/>
      <c r="R1891" s="31"/>
      <c r="S1891" s="40"/>
      <c r="T1891" s="40"/>
      <c r="U1891" s="40"/>
      <c r="V1891" s="40"/>
      <c r="W1891" s="40"/>
      <c r="X1891" s="40"/>
      <c r="Y1891" s="40"/>
      <c r="Z1891" s="40"/>
      <c r="AA1891" s="40"/>
      <c r="AB1891" s="40"/>
    </row>
    <row r="1892" ht="18.75" customHeight="1">
      <c r="A1892" s="18"/>
      <c r="B1892" s="22"/>
      <c r="C1892" s="213"/>
      <c r="D1892" s="213"/>
      <c r="E1892" s="24"/>
      <c r="F1892" s="215"/>
      <c r="G1892" s="26"/>
      <c r="H1892" s="199"/>
      <c r="I1892" s="29"/>
      <c r="J1892" s="192"/>
      <c r="K1892" s="31"/>
      <c r="L1892" s="200"/>
      <c r="M1892" s="212"/>
      <c r="N1892" s="3"/>
      <c r="O1892" s="40"/>
      <c r="P1892" s="40"/>
      <c r="Q1892" s="212"/>
      <c r="R1892" s="31"/>
      <c r="S1892" s="40"/>
      <c r="T1892" s="40"/>
      <c r="U1892" s="40"/>
      <c r="V1892" s="40"/>
      <c r="W1892" s="40"/>
      <c r="X1892" s="40"/>
      <c r="Y1892" s="40"/>
      <c r="Z1892" s="40"/>
      <c r="AA1892" s="40"/>
      <c r="AB1892" s="40"/>
    </row>
    <row r="1893" ht="18.75" customHeight="1">
      <c r="A1893" s="18"/>
      <c r="B1893" s="22"/>
      <c r="C1893" s="213"/>
      <c r="D1893" s="213"/>
      <c r="E1893" s="24"/>
      <c r="F1893" s="215"/>
      <c r="G1893" s="26"/>
      <c r="H1893" s="199"/>
      <c r="I1893" s="29"/>
      <c r="J1893" s="192"/>
      <c r="K1893" s="31"/>
      <c r="L1893" s="200"/>
      <c r="M1893" s="212"/>
      <c r="N1893" s="3"/>
      <c r="O1893" s="40"/>
      <c r="P1893" s="40"/>
      <c r="Q1893" s="212"/>
      <c r="R1893" s="31"/>
      <c r="S1893" s="40"/>
      <c r="T1893" s="40"/>
      <c r="U1893" s="40"/>
      <c r="V1893" s="40"/>
      <c r="W1893" s="40"/>
      <c r="X1893" s="40"/>
      <c r="Y1893" s="40"/>
      <c r="Z1893" s="40"/>
      <c r="AA1893" s="40"/>
      <c r="AB1893" s="40"/>
    </row>
    <row r="1894" ht="18.75" customHeight="1">
      <c r="A1894" s="18"/>
      <c r="B1894" s="22"/>
      <c r="C1894" s="213"/>
      <c r="D1894" s="213"/>
      <c r="E1894" s="24"/>
      <c r="F1894" s="215"/>
      <c r="G1894" s="26"/>
      <c r="H1894" s="199"/>
      <c r="I1894" s="29"/>
      <c r="J1894" s="192"/>
      <c r="K1894" s="31"/>
      <c r="L1894" s="200"/>
      <c r="M1894" s="212"/>
      <c r="N1894" s="3"/>
      <c r="O1894" s="40"/>
      <c r="P1894" s="40"/>
      <c r="Q1894" s="212"/>
      <c r="R1894" s="31"/>
      <c r="S1894" s="40"/>
      <c r="T1894" s="40"/>
      <c r="U1894" s="40"/>
      <c r="V1894" s="40"/>
      <c r="W1894" s="40"/>
      <c r="X1894" s="40"/>
      <c r="Y1894" s="40"/>
      <c r="Z1894" s="40"/>
      <c r="AA1894" s="40"/>
      <c r="AB1894" s="40"/>
    </row>
    <row r="1895" ht="18.75" customHeight="1">
      <c r="A1895" s="18"/>
      <c r="B1895" s="22"/>
      <c r="C1895" s="213"/>
      <c r="D1895" s="213"/>
      <c r="E1895" s="24"/>
      <c r="F1895" s="215"/>
      <c r="G1895" s="26"/>
      <c r="H1895" s="199"/>
      <c r="I1895" s="29"/>
      <c r="J1895" s="192"/>
      <c r="K1895" s="31"/>
      <c r="L1895" s="200"/>
      <c r="M1895" s="212"/>
      <c r="N1895" s="3"/>
      <c r="O1895" s="40"/>
      <c r="P1895" s="40"/>
      <c r="Q1895" s="212"/>
      <c r="R1895" s="31"/>
      <c r="S1895" s="40"/>
      <c r="T1895" s="40"/>
      <c r="U1895" s="40"/>
      <c r="V1895" s="40"/>
      <c r="W1895" s="40"/>
      <c r="X1895" s="40"/>
      <c r="Y1895" s="40"/>
      <c r="Z1895" s="40"/>
      <c r="AA1895" s="40"/>
      <c r="AB1895" s="40"/>
    </row>
    <row r="1896" ht="18.75" customHeight="1">
      <c r="A1896" s="18"/>
      <c r="B1896" s="22"/>
      <c r="C1896" s="213"/>
      <c r="D1896" s="213"/>
      <c r="E1896" s="24"/>
      <c r="F1896" s="215"/>
      <c r="G1896" s="26"/>
      <c r="H1896" s="199"/>
      <c r="I1896" s="29"/>
      <c r="J1896" s="192"/>
      <c r="K1896" s="31"/>
      <c r="L1896" s="200"/>
      <c r="M1896" s="212"/>
      <c r="N1896" s="3"/>
      <c r="O1896" s="40"/>
      <c r="P1896" s="40"/>
      <c r="Q1896" s="212"/>
      <c r="R1896" s="31"/>
      <c r="S1896" s="40"/>
      <c r="T1896" s="40"/>
      <c r="U1896" s="40"/>
      <c r="V1896" s="40"/>
      <c r="W1896" s="40"/>
      <c r="X1896" s="40"/>
      <c r="Y1896" s="40"/>
      <c r="Z1896" s="40"/>
      <c r="AA1896" s="40"/>
      <c r="AB1896" s="40"/>
    </row>
    <row r="1897" ht="18.75" customHeight="1">
      <c r="A1897" s="18"/>
      <c r="B1897" s="22"/>
      <c r="C1897" s="213"/>
      <c r="D1897" s="213"/>
      <c r="E1897" s="24"/>
      <c r="F1897" s="215"/>
      <c r="G1897" s="26"/>
      <c r="H1897" s="199"/>
      <c r="I1897" s="29"/>
      <c r="J1897" s="192"/>
      <c r="K1897" s="31"/>
      <c r="L1897" s="200"/>
      <c r="M1897" s="212"/>
      <c r="N1897" s="3"/>
      <c r="O1897" s="40"/>
      <c r="P1897" s="40"/>
      <c r="Q1897" s="212"/>
      <c r="R1897" s="31"/>
      <c r="S1897" s="40"/>
      <c r="T1897" s="40"/>
      <c r="U1897" s="40"/>
      <c r="V1897" s="40"/>
      <c r="W1897" s="40"/>
      <c r="X1897" s="40"/>
      <c r="Y1897" s="40"/>
      <c r="Z1897" s="40"/>
      <c r="AA1897" s="40"/>
      <c r="AB1897" s="40"/>
    </row>
    <row r="1898" ht="18.75" customHeight="1">
      <c r="A1898" s="18"/>
      <c r="B1898" s="22"/>
      <c r="C1898" s="213"/>
      <c r="D1898" s="213"/>
      <c r="E1898" s="24"/>
      <c r="F1898" s="215"/>
      <c r="G1898" s="26"/>
      <c r="H1898" s="199"/>
      <c r="I1898" s="29"/>
      <c r="J1898" s="192"/>
      <c r="K1898" s="31"/>
      <c r="L1898" s="200"/>
      <c r="M1898" s="212"/>
      <c r="N1898" s="3"/>
      <c r="O1898" s="40"/>
      <c r="P1898" s="40"/>
      <c r="Q1898" s="212"/>
      <c r="R1898" s="31"/>
      <c r="S1898" s="40"/>
      <c r="T1898" s="40"/>
      <c r="U1898" s="40"/>
      <c r="V1898" s="40"/>
      <c r="W1898" s="40"/>
      <c r="X1898" s="40"/>
      <c r="Y1898" s="40"/>
      <c r="Z1898" s="40"/>
      <c r="AA1898" s="40"/>
      <c r="AB1898" s="40"/>
    </row>
    <row r="1899" ht="18.75" customHeight="1">
      <c r="A1899" s="18"/>
      <c r="B1899" s="22"/>
      <c r="C1899" s="213"/>
      <c r="D1899" s="213"/>
      <c r="E1899" s="24"/>
      <c r="F1899" s="215"/>
      <c r="G1899" s="26"/>
      <c r="H1899" s="199"/>
      <c r="I1899" s="29"/>
      <c r="J1899" s="192"/>
      <c r="K1899" s="31"/>
      <c r="L1899" s="200"/>
      <c r="M1899" s="212"/>
      <c r="N1899" s="3"/>
      <c r="O1899" s="40"/>
      <c r="P1899" s="40"/>
      <c r="Q1899" s="212"/>
      <c r="R1899" s="31"/>
      <c r="S1899" s="40"/>
      <c r="T1899" s="40"/>
      <c r="U1899" s="40"/>
      <c r="V1899" s="40"/>
      <c r="W1899" s="40"/>
      <c r="X1899" s="40"/>
      <c r="Y1899" s="40"/>
      <c r="Z1899" s="40"/>
      <c r="AA1899" s="40"/>
      <c r="AB1899" s="40"/>
    </row>
    <row r="1900" ht="18.75" customHeight="1">
      <c r="A1900" s="18"/>
      <c r="B1900" s="22"/>
      <c r="C1900" s="213"/>
      <c r="D1900" s="213"/>
      <c r="E1900" s="24"/>
      <c r="F1900" s="215"/>
      <c r="G1900" s="26"/>
      <c r="H1900" s="199"/>
      <c r="I1900" s="29"/>
      <c r="J1900" s="192"/>
      <c r="K1900" s="31"/>
      <c r="L1900" s="200"/>
      <c r="M1900" s="212"/>
      <c r="N1900" s="3"/>
      <c r="O1900" s="40"/>
      <c r="P1900" s="40"/>
      <c r="Q1900" s="212"/>
      <c r="R1900" s="31"/>
      <c r="S1900" s="40"/>
      <c r="T1900" s="40"/>
      <c r="U1900" s="40"/>
      <c r="V1900" s="40"/>
      <c r="W1900" s="40"/>
      <c r="X1900" s="40"/>
      <c r="Y1900" s="40"/>
      <c r="Z1900" s="40"/>
      <c r="AA1900" s="40"/>
      <c r="AB1900" s="40"/>
    </row>
    <row r="1901" ht="18.75" customHeight="1">
      <c r="A1901" s="18"/>
      <c r="B1901" s="22"/>
      <c r="C1901" s="213"/>
      <c r="D1901" s="213"/>
      <c r="E1901" s="24"/>
      <c r="F1901" s="215"/>
      <c r="G1901" s="26"/>
      <c r="H1901" s="199"/>
      <c r="I1901" s="29"/>
      <c r="J1901" s="192"/>
      <c r="K1901" s="31"/>
      <c r="L1901" s="200"/>
      <c r="M1901" s="212"/>
      <c r="N1901" s="3"/>
      <c r="O1901" s="40"/>
      <c r="P1901" s="40"/>
      <c r="Q1901" s="212"/>
      <c r="R1901" s="31"/>
      <c r="S1901" s="40"/>
      <c r="T1901" s="40"/>
      <c r="U1901" s="40"/>
      <c r="V1901" s="40"/>
      <c r="W1901" s="40"/>
      <c r="X1901" s="40"/>
      <c r="Y1901" s="40"/>
      <c r="Z1901" s="40"/>
      <c r="AA1901" s="40"/>
      <c r="AB1901" s="40"/>
    </row>
    <row r="1902" ht="18.75" customHeight="1">
      <c r="A1902" s="18"/>
      <c r="B1902" s="22"/>
      <c r="C1902" s="213"/>
      <c r="D1902" s="213"/>
      <c r="E1902" s="24"/>
      <c r="F1902" s="215"/>
      <c r="G1902" s="26"/>
      <c r="H1902" s="199"/>
      <c r="I1902" s="29"/>
      <c r="J1902" s="192"/>
      <c r="K1902" s="31"/>
      <c r="L1902" s="200"/>
      <c r="M1902" s="212"/>
      <c r="N1902" s="3"/>
      <c r="O1902" s="40"/>
      <c r="P1902" s="40"/>
      <c r="Q1902" s="212"/>
      <c r="R1902" s="31"/>
      <c r="S1902" s="40"/>
      <c r="T1902" s="40"/>
      <c r="U1902" s="40"/>
      <c r="V1902" s="40"/>
      <c r="W1902" s="40"/>
      <c r="X1902" s="40"/>
      <c r="Y1902" s="40"/>
      <c r="Z1902" s="40"/>
      <c r="AA1902" s="40"/>
      <c r="AB1902" s="40"/>
    </row>
    <row r="1903" ht="18.75" customHeight="1">
      <c r="A1903" s="18"/>
      <c r="B1903" s="22"/>
      <c r="C1903" s="213"/>
      <c r="D1903" s="213"/>
      <c r="E1903" s="24"/>
      <c r="F1903" s="215"/>
      <c r="G1903" s="26"/>
      <c r="H1903" s="199"/>
      <c r="I1903" s="29"/>
      <c r="J1903" s="192"/>
      <c r="K1903" s="31"/>
      <c r="L1903" s="200"/>
      <c r="M1903" s="212"/>
      <c r="N1903" s="3"/>
      <c r="O1903" s="40"/>
      <c r="P1903" s="40"/>
      <c r="Q1903" s="212"/>
      <c r="R1903" s="31"/>
      <c r="S1903" s="40"/>
      <c r="T1903" s="40"/>
      <c r="U1903" s="40"/>
      <c r="V1903" s="40"/>
      <c r="W1903" s="40"/>
      <c r="X1903" s="40"/>
      <c r="Y1903" s="40"/>
      <c r="Z1903" s="40"/>
      <c r="AA1903" s="40"/>
      <c r="AB1903" s="40"/>
    </row>
    <row r="1904" ht="18.75" customHeight="1">
      <c r="A1904" s="18"/>
      <c r="B1904" s="22"/>
      <c r="C1904" s="213"/>
      <c r="D1904" s="213"/>
      <c r="E1904" s="24"/>
      <c r="F1904" s="215"/>
      <c r="G1904" s="26"/>
      <c r="H1904" s="199"/>
      <c r="I1904" s="29"/>
      <c r="J1904" s="192"/>
      <c r="K1904" s="31"/>
      <c r="L1904" s="200"/>
      <c r="M1904" s="212"/>
      <c r="N1904" s="3"/>
      <c r="O1904" s="40"/>
      <c r="P1904" s="40"/>
      <c r="Q1904" s="212"/>
      <c r="R1904" s="31"/>
      <c r="S1904" s="40"/>
      <c r="T1904" s="40"/>
      <c r="U1904" s="40"/>
      <c r="V1904" s="40"/>
      <c r="W1904" s="40"/>
      <c r="X1904" s="40"/>
      <c r="Y1904" s="40"/>
      <c r="Z1904" s="40"/>
      <c r="AA1904" s="40"/>
      <c r="AB1904" s="40"/>
    </row>
    <row r="1905" ht="18.75" customHeight="1">
      <c r="A1905" s="18"/>
      <c r="B1905" s="22"/>
      <c r="C1905" s="213"/>
      <c r="D1905" s="213"/>
      <c r="E1905" s="24"/>
      <c r="F1905" s="215"/>
      <c r="G1905" s="26"/>
      <c r="H1905" s="199"/>
      <c r="I1905" s="29"/>
      <c r="J1905" s="192"/>
      <c r="K1905" s="31"/>
      <c r="L1905" s="200"/>
      <c r="M1905" s="212"/>
      <c r="N1905" s="3"/>
      <c r="O1905" s="40"/>
      <c r="P1905" s="40"/>
      <c r="Q1905" s="212"/>
      <c r="R1905" s="31"/>
      <c r="S1905" s="40"/>
      <c r="T1905" s="40"/>
      <c r="U1905" s="40"/>
      <c r="V1905" s="40"/>
      <c r="W1905" s="40"/>
      <c r="X1905" s="40"/>
      <c r="Y1905" s="40"/>
      <c r="Z1905" s="40"/>
      <c r="AA1905" s="40"/>
      <c r="AB1905" s="40"/>
    </row>
    <row r="1906" ht="18.75" customHeight="1">
      <c r="A1906" s="18"/>
      <c r="B1906" s="22"/>
      <c r="C1906" s="213"/>
      <c r="D1906" s="213"/>
      <c r="E1906" s="24"/>
      <c r="F1906" s="215"/>
      <c r="G1906" s="26"/>
      <c r="H1906" s="199"/>
      <c r="I1906" s="29"/>
      <c r="J1906" s="192"/>
      <c r="K1906" s="31"/>
      <c r="L1906" s="200"/>
      <c r="M1906" s="212"/>
      <c r="N1906" s="3"/>
      <c r="O1906" s="40"/>
      <c r="P1906" s="40"/>
      <c r="Q1906" s="212"/>
      <c r="R1906" s="31"/>
      <c r="S1906" s="40"/>
      <c r="T1906" s="40"/>
      <c r="U1906" s="40"/>
      <c r="V1906" s="40"/>
      <c r="W1906" s="40"/>
      <c r="X1906" s="40"/>
      <c r="Y1906" s="40"/>
      <c r="Z1906" s="40"/>
      <c r="AA1906" s="40"/>
      <c r="AB1906" s="40"/>
    </row>
    <row r="1907" ht="18.75" customHeight="1">
      <c r="A1907" s="18"/>
      <c r="B1907" s="22"/>
      <c r="C1907" s="213"/>
      <c r="D1907" s="213"/>
      <c r="E1907" s="24"/>
      <c r="F1907" s="215"/>
      <c r="G1907" s="26"/>
      <c r="H1907" s="199"/>
      <c r="I1907" s="29"/>
      <c r="J1907" s="192"/>
      <c r="K1907" s="31"/>
      <c r="L1907" s="200"/>
      <c r="M1907" s="212"/>
      <c r="N1907" s="3"/>
      <c r="O1907" s="40"/>
      <c r="P1907" s="40"/>
      <c r="Q1907" s="212"/>
      <c r="R1907" s="31"/>
      <c r="S1907" s="40"/>
      <c r="T1907" s="40"/>
      <c r="U1907" s="40"/>
      <c r="V1907" s="40"/>
      <c r="W1907" s="40"/>
      <c r="X1907" s="40"/>
      <c r="Y1907" s="40"/>
      <c r="Z1907" s="40"/>
      <c r="AA1907" s="40"/>
      <c r="AB1907" s="40"/>
    </row>
    <row r="1908" ht="18.75" customHeight="1">
      <c r="A1908" s="18"/>
      <c r="B1908" s="22"/>
      <c r="C1908" s="213"/>
      <c r="D1908" s="213"/>
      <c r="E1908" s="24"/>
      <c r="F1908" s="215"/>
      <c r="G1908" s="26"/>
      <c r="H1908" s="199"/>
      <c r="I1908" s="29"/>
      <c r="J1908" s="192"/>
      <c r="K1908" s="31"/>
      <c r="L1908" s="200"/>
      <c r="M1908" s="212"/>
      <c r="N1908" s="3"/>
      <c r="O1908" s="40"/>
      <c r="P1908" s="40"/>
      <c r="Q1908" s="212"/>
      <c r="R1908" s="31"/>
      <c r="S1908" s="40"/>
      <c r="T1908" s="40"/>
      <c r="U1908" s="40"/>
      <c r="V1908" s="40"/>
      <c r="W1908" s="40"/>
      <c r="X1908" s="40"/>
      <c r="Y1908" s="40"/>
      <c r="Z1908" s="40"/>
      <c r="AA1908" s="40"/>
      <c r="AB1908" s="40"/>
    </row>
    <row r="1909" ht="18.75" customHeight="1">
      <c r="A1909" s="18"/>
      <c r="B1909" s="22"/>
      <c r="C1909" s="213"/>
      <c r="D1909" s="213"/>
      <c r="E1909" s="24"/>
      <c r="F1909" s="215"/>
      <c r="G1909" s="26"/>
      <c r="H1909" s="199"/>
      <c r="I1909" s="29"/>
      <c r="J1909" s="192"/>
      <c r="K1909" s="31"/>
      <c r="L1909" s="200"/>
      <c r="M1909" s="212"/>
      <c r="N1909" s="3"/>
      <c r="O1909" s="40"/>
      <c r="P1909" s="40"/>
      <c r="Q1909" s="212"/>
      <c r="R1909" s="31"/>
      <c r="S1909" s="40"/>
      <c r="T1909" s="40"/>
      <c r="U1909" s="40"/>
      <c r="V1909" s="40"/>
      <c r="W1909" s="40"/>
      <c r="X1909" s="40"/>
      <c r="Y1909" s="40"/>
      <c r="Z1909" s="40"/>
      <c r="AA1909" s="40"/>
      <c r="AB1909" s="40"/>
    </row>
    <row r="1910" ht="18.75" customHeight="1">
      <c r="A1910" s="18"/>
      <c r="B1910" s="22"/>
      <c r="C1910" s="213"/>
      <c r="D1910" s="213"/>
      <c r="E1910" s="24"/>
      <c r="F1910" s="215"/>
      <c r="G1910" s="26"/>
      <c r="H1910" s="199"/>
      <c r="I1910" s="29"/>
      <c r="J1910" s="192"/>
      <c r="K1910" s="31"/>
      <c r="L1910" s="200"/>
      <c r="M1910" s="212"/>
      <c r="N1910" s="3"/>
      <c r="O1910" s="40"/>
      <c r="P1910" s="40"/>
      <c r="Q1910" s="212"/>
      <c r="R1910" s="31"/>
      <c r="S1910" s="40"/>
      <c r="T1910" s="40"/>
      <c r="U1910" s="40"/>
      <c r="V1910" s="40"/>
      <c r="W1910" s="40"/>
      <c r="X1910" s="40"/>
      <c r="Y1910" s="40"/>
      <c r="Z1910" s="40"/>
      <c r="AA1910" s="40"/>
      <c r="AB1910" s="40"/>
    </row>
    <row r="1911" ht="18.75" customHeight="1">
      <c r="A1911" s="18"/>
      <c r="B1911" s="22"/>
      <c r="C1911" s="213"/>
      <c r="D1911" s="213"/>
      <c r="E1911" s="24"/>
      <c r="F1911" s="215"/>
      <c r="G1911" s="26"/>
      <c r="H1911" s="199"/>
      <c r="I1911" s="29"/>
      <c r="J1911" s="192"/>
      <c r="K1911" s="31"/>
      <c r="L1911" s="200"/>
      <c r="M1911" s="212"/>
      <c r="N1911" s="3"/>
      <c r="O1911" s="40"/>
      <c r="P1911" s="40"/>
      <c r="Q1911" s="212"/>
      <c r="R1911" s="31"/>
      <c r="S1911" s="40"/>
      <c r="T1911" s="40"/>
      <c r="U1911" s="40"/>
      <c r="V1911" s="40"/>
      <c r="W1911" s="40"/>
      <c r="X1911" s="40"/>
      <c r="Y1911" s="40"/>
      <c r="Z1911" s="40"/>
      <c r="AA1911" s="40"/>
      <c r="AB1911" s="40"/>
    </row>
    <row r="1912" ht="18.75" customHeight="1">
      <c r="A1912" s="18"/>
      <c r="B1912" s="22"/>
      <c r="C1912" s="213"/>
      <c r="D1912" s="213"/>
      <c r="E1912" s="24"/>
      <c r="F1912" s="215"/>
      <c r="G1912" s="26"/>
      <c r="H1912" s="199"/>
      <c r="I1912" s="29"/>
      <c r="J1912" s="192"/>
      <c r="K1912" s="31"/>
      <c r="L1912" s="200"/>
      <c r="M1912" s="212"/>
      <c r="N1912" s="3"/>
      <c r="O1912" s="40"/>
      <c r="P1912" s="40"/>
      <c r="Q1912" s="212"/>
      <c r="R1912" s="31"/>
      <c r="S1912" s="40"/>
      <c r="T1912" s="40"/>
      <c r="U1912" s="40"/>
      <c r="V1912" s="40"/>
      <c r="W1912" s="40"/>
      <c r="X1912" s="40"/>
      <c r="Y1912" s="40"/>
      <c r="Z1912" s="40"/>
      <c r="AA1912" s="40"/>
      <c r="AB1912" s="40"/>
    </row>
    <row r="1913" ht="18.75" customHeight="1">
      <c r="A1913" s="18"/>
      <c r="B1913" s="22"/>
      <c r="C1913" s="213"/>
      <c r="D1913" s="213"/>
      <c r="E1913" s="24"/>
      <c r="F1913" s="215"/>
      <c r="G1913" s="26"/>
      <c r="H1913" s="199"/>
      <c r="I1913" s="29"/>
      <c r="J1913" s="192"/>
      <c r="K1913" s="31"/>
      <c r="L1913" s="200"/>
      <c r="M1913" s="212"/>
      <c r="N1913" s="3"/>
      <c r="O1913" s="40"/>
      <c r="P1913" s="40"/>
      <c r="Q1913" s="212"/>
      <c r="R1913" s="31"/>
      <c r="S1913" s="40"/>
      <c r="T1913" s="40"/>
      <c r="U1913" s="40"/>
      <c r="V1913" s="40"/>
      <c r="W1913" s="40"/>
      <c r="X1913" s="40"/>
      <c r="Y1913" s="40"/>
      <c r="Z1913" s="40"/>
      <c r="AA1913" s="40"/>
      <c r="AB1913" s="40"/>
    </row>
    <row r="1914" ht="18.75" customHeight="1">
      <c r="A1914" s="18"/>
      <c r="B1914" s="22"/>
      <c r="C1914" s="213"/>
      <c r="D1914" s="213"/>
      <c r="E1914" s="24"/>
      <c r="F1914" s="215"/>
      <c r="G1914" s="26"/>
      <c r="H1914" s="199"/>
      <c r="I1914" s="29"/>
      <c r="J1914" s="192"/>
      <c r="K1914" s="31"/>
      <c r="L1914" s="200"/>
      <c r="M1914" s="212"/>
      <c r="N1914" s="3"/>
      <c r="O1914" s="40"/>
      <c r="P1914" s="40"/>
      <c r="Q1914" s="212"/>
      <c r="R1914" s="31"/>
      <c r="S1914" s="40"/>
      <c r="T1914" s="40"/>
      <c r="U1914" s="40"/>
      <c r="V1914" s="40"/>
      <c r="W1914" s="40"/>
      <c r="X1914" s="40"/>
      <c r="Y1914" s="40"/>
      <c r="Z1914" s="40"/>
      <c r="AA1914" s="40"/>
      <c r="AB1914" s="40"/>
    </row>
    <row r="1915" ht="18.75" customHeight="1">
      <c r="A1915" s="18"/>
      <c r="B1915" s="22"/>
      <c r="C1915" s="213"/>
      <c r="D1915" s="213"/>
      <c r="E1915" s="24"/>
      <c r="F1915" s="215"/>
      <c r="G1915" s="26"/>
      <c r="H1915" s="199"/>
      <c r="I1915" s="29"/>
      <c r="J1915" s="192"/>
      <c r="K1915" s="31"/>
      <c r="L1915" s="200"/>
      <c r="M1915" s="212"/>
      <c r="N1915" s="3"/>
      <c r="O1915" s="40"/>
      <c r="P1915" s="40"/>
      <c r="Q1915" s="212"/>
      <c r="R1915" s="31"/>
      <c r="S1915" s="40"/>
      <c r="T1915" s="40"/>
      <c r="U1915" s="40"/>
      <c r="V1915" s="40"/>
      <c r="W1915" s="40"/>
      <c r="X1915" s="40"/>
      <c r="Y1915" s="40"/>
      <c r="Z1915" s="40"/>
      <c r="AA1915" s="40"/>
      <c r="AB1915" s="40"/>
    </row>
    <row r="1916" ht="18.75" customHeight="1">
      <c r="A1916" s="18"/>
      <c r="B1916" s="22"/>
      <c r="C1916" s="213"/>
      <c r="D1916" s="213"/>
      <c r="E1916" s="24"/>
      <c r="F1916" s="215"/>
      <c r="G1916" s="26"/>
      <c r="H1916" s="199"/>
      <c r="I1916" s="29"/>
      <c r="J1916" s="192"/>
      <c r="K1916" s="31"/>
      <c r="L1916" s="200"/>
      <c r="M1916" s="212"/>
      <c r="N1916" s="3"/>
      <c r="O1916" s="40"/>
      <c r="P1916" s="40"/>
      <c r="Q1916" s="212"/>
      <c r="R1916" s="31"/>
      <c r="S1916" s="40"/>
      <c r="T1916" s="40"/>
      <c r="U1916" s="40"/>
      <c r="V1916" s="40"/>
      <c r="W1916" s="40"/>
      <c r="X1916" s="40"/>
      <c r="Y1916" s="40"/>
      <c r="Z1916" s="40"/>
      <c r="AA1916" s="40"/>
      <c r="AB1916" s="40"/>
    </row>
    <row r="1917" ht="18.75" customHeight="1">
      <c r="A1917" s="18"/>
      <c r="B1917" s="22"/>
      <c r="C1917" s="213"/>
      <c r="D1917" s="213"/>
      <c r="E1917" s="24"/>
      <c r="F1917" s="215"/>
      <c r="G1917" s="26"/>
      <c r="H1917" s="199"/>
      <c r="I1917" s="29"/>
      <c r="J1917" s="192"/>
      <c r="K1917" s="31"/>
      <c r="L1917" s="200"/>
      <c r="M1917" s="212"/>
      <c r="N1917" s="3"/>
      <c r="O1917" s="40"/>
      <c r="P1917" s="40"/>
      <c r="Q1917" s="212"/>
      <c r="R1917" s="31"/>
      <c r="S1917" s="40"/>
      <c r="T1917" s="40"/>
      <c r="U1917" s="40"/>
      <c r="V1917" s="40"/>
      <c r="W1917" s="40"/>
      <c r="X1917" s="40"/>
      <c r="Y1917" s="40"/>
      <c r="Z1917" s="40"/>
      <c r="AA1917" s="40"/>
      <c r="AB1917" s="40"/>
    </row>
    <row r="1918" ht="18.75" customHeight="1">
      <c r="A1918" s="18"/>
      <c r="B1918" s="22"/>
      <c r="C1918" s="213"/>
      <c r="D1918" s="213"/>
      <c r="E1918" s="24"/>
      <c r="F1918" s="215"/>
      <c r="G1918" s="26"/>
      <c r="H1918" s="199"/>
      <c r="I1918" s="29"/>
      <c r="J1918" s="192"/>
      <c r="K1918" s="31"/>
      <c r="L1918" s="200"/>
      <c r="M1918" s="212"/>
      <c r="N1918" s="3"/>
      <c r="O1918" s="40"/>
      <c r="P1918" s="40"/>
      <c r="Q1918" s="212"/>
      <c r="R1918" s="31"/>
      <c r="S1918" s="40"/>
      <c r="T1918" s="40"/>
      <c r="U1918" s="40"/>
      <c r="V1918" s="40"/>
      <c r="W1918" s="40"/>
      <c r="X1918" s="40"/>
      <c r="Y1918" s="40"/>
      <c r="Z1918" s="40"/>
      <c r="AA1918" s="40"/>
      <c r="AB1918" s="40"/>
    </row>
    <row r="1919" ht="18.75" customHeight="1">
      <c r="A1919" s="18"/>
      <c r="B1919" s="22"/>
      <c r="C1919" s="213"/>
      <c r="D1919" s="213"/>
      <c r="E1919" s="24"/>
      <c r="F1919" s="215"/>
      <c r="G1919" s="26"/>
      <c r="H1919" s="199"/>
      <c r="I1919" s="29"/>
      <c r="J1919" s="192"/>
      <c r="K1919" s="31"/>
      <c r="L1919" s="200"/>
      <c r="M1919" s="212"/>
      <c r="N1919" s="3"/>
      <c r="O1919" s="40"/>
      <c r="P1919" s="40"/>
      <c r="Q1919" s="212"/>
      <c r="R1919" s="31"/>
      <c r="S1919" s="40"/>
      <c r="T1919" s="40"/>
      <c r="U1919" s="40"/>
      <c r="V1919" s="40"/>
      <c r="W1919" s="40"/>
      <c r="X1919" s="40"/>
      <c r="Y1919" s="40"/>
      <c r="Z1919" s="40"/>
      <c r="AA1919" s="40"/>
      <c r="AB1919" s="40"/>
    </row>
    <row r="1920" ht="18.75" customHeight="1">
      <c r="A1920" s="18"/>
      <c r="B1920" s="22"/>
      <c r="C1920" s="213"/>
      <c r="D1920" s="213"/>
      <c r="E1920" s="24"/>
      <c r="F1920" s="215"/>
      <c r="G1920" s="26"/>
      <c r="H1920" s="199"/>
      <c r="I1920" s="29"/>
      <c r="J1920" s="192"/>
      <c r="K1920" s="31"/>
      <c r="L1920" s="200"/>
      <c r="M1920" s="212"/>
      <c r="N1920" s="3"/>
      <c r="O1920" s="40"/>
      <c r="P1920" s="40"/>
      <c r="Q1920" s="212"/>
      <c r="R1920" s="31"/>
      <c r="S1920" s="40"/>
      <c r="T1920" s="40"/>
      <c r="U1920" s="40"/>
      <c r="V1920" s="40"/>
      <c r="W1920" s="40"/>
      <c r="X1920" s="40"/>
      <c r="Y1920" s="40"/>
      <c r="Z1920" s="40"/>
      <c r="AA1920" s="40"/>
      <c r="AB1920" s="40"/>
    </row>
    <row r="1921" ht="18.75" customHeight="1">
      <c r="A1921" s="18"/>
      <c r="B1921" s="22"/>
      <c r="C1921" s="213"/>
      <c r="D1921" s="213"/>
      <c r="E1921" s="24"/>
      <c r="F1921" s="215"/>
      <c r="G1921" s="26"/>
      <c r="H1921" s="199"/>
      <c r="I1921" s="29"/>
      <c r="J1921" s="192"/>
      <c r="K1921" s="31"/>
      <c r="L1921" s="200"/>
      <c r="M1921" s="212"/>
      <c r="N1921" s="3"/>
      <c r="O1921" s="40"/>
      <c r="P1921" s="40"/>
      <c r="Q1921" s="212"/>
      <c r="R1921" s="31"/>
      <c r="S1921" s="40"/>
      <c r="T1921" s="40"/>
      <c r="U1921" s="40"/>
      <c r="V1921" s="40"/>
      <c r="W1921" s="40"/>
      <c r="X1921" s="40"/>
      <c r="Y1921" s="40"/>
      <c r="Z1921" s="40"/>
      <c r="AA1921" s="40"/>
      <c r="AB1921" s="40"/>
    </row>
    <row r="1922" ht="18.75" customHeight="1">
      <c r="A1922" s="18"/>
      <c r="B1922" s="22"/>
      <c r="C1922" s="213"/>
      <c r="D1922" s="213"/>
      <c r="E1922" s="24"/>
      <c r="F1922" s="215"/>
      <c r="G1922" s="26"/>
      <c r="H1922" s="199"/>
      <c r="I1922" s="29"/>
      <c r="J1922" s="192"/>
      <c r="K1922" s="31"/>
      <c r="L1922" s="200"/>
      <c r="M1922" s="212"/>
      <c r="N1922" s="3"/>
      <c r="O1922" s="40"/>
      <c r="P1922" s="40"/>
      <c r="Q1922" s="212"/>
      <c r="R1922" s="31"/>
      <c r="S1922" s="40"/>
      <c r="T1922" s="40"/>
      <c r="U1922" s="40"/>
      <c r="V1922" s="40"/>
      <c r="W1922" s="40"/>
      <c r="X1922" s="40"/>
      <c r="Y1922" s="40"/>
      <c r="Z1922" s="40"/>
      <c r="AA1922" s="40"/>
      <c r="AB1922" s="40"/>
    </row>
    <row r="1923" ht="18.75" customHeight="1">
      <c r="A1923" s="18"/>
      <c r="B1923" s="22"/>
      <c r="C1923" s="213"/>
      <c r="D1923" s="213"/>
      <c r="E1923" s="24"/>
      <c r="F1923" s="215"/>
      <c r="G1923" s="26"/>
      <c r="H1923" s="199"/>
      <c r="I1923" s="29"/>
      <c r="J1923" s="192"/>
      <c r="K1923" s="31"/>
      <c r="L1923" s="200"/>
      <c r="M1923" s="212"/>
      <c r="N1923" s="3"/>
      <c r="O1923" s="40"/>
      <c r="P1923" s="40"/>
      <c r="Q1923" s="212"/>
      <c r="R1923" s="31"/>
      <c r="S1923" s="40"/>
      <c r="T1923" s="40"/>
      <c r="U1923" s="40"/>
      <c r="V1923" s="40"/>
      <c r="W1923" s="40"/>
      <c r="X1923" s="40"/>
      <c r="Y1923" s="40"/>
      <c r="Z1923" s="40"/>
      <c r="AA1923" s="40"/>
      <c r="AB1923" s="40"/>
    </row>
    <row r="1924" ht="18.75" customHeight="1">
      <c r="A1924" s="18"/>
      <c r="B1924" s="22"/>
      <c r="C1924" s="213"/>
      <c r="D1924" s="213"/>
      <c r="E1924" s="24"/>
      <c r="F1924" s="215"/>
      <c r="G1924" s="26"/>
      <c r="H1924" s="199"/>
      <c r="I1924" s="29"/>
      <c r="J1924" s="192"/>
      <c r="K1924" s="31"/>
      <c r="L1924" s="200"/>
      <c r="M1924" s="212"/>
      <c r="N1924" s="3"/>
      <c r="O1924" s="40"/>
      <c r="P1924" s="40"/>
      <c r="Q1924" s="212"/>
      <c r="R1924" s="31"/>
      <c r="S1924" s="40"/>
      <c r="T1924" s="40"/>
      <c r="U1924" s="40"/>
      <c r="V1924" s="40"/>
      <c r="W1924" s="40"/>
      <c r="X1924" s="40"/>
      <c r="Y1924" s="40"/>
      <c r="Z1924" s="40"/>
      <c r="AA1924" s="40"/>
      <c r="AB1924" s="40"/>
    </row>
    <row r="1925" ht="18.75" customHeight="1">
      <c r="A1925" s="18"/>
      <c r="B1925" s="22"/>
      <c r="C1925" s="213"/>
      <c r="D1925" s="213"/>
      <c r="E1925" s="24"/>
      <c r="F1925" s="215"/>
      <c r="G1925" s="26"/>
      <c r="H1925" s="199"/>
      <c r="I1925" s="29"/>
      <c r="J1925" s="192"/>
      <c r="K1925" s="31"/>
      <c r="L1925" s="200"/>
      <c r="M1925" s="212"/>
      <c r="N1925" s="3"/>
      <c r="O1925" s="40"/>
      <c r="P1925" s="40"/>
      <c r="Q1925" s="212"/>
      <c r="R1925" s="31"/>
      <c r="S1925" s="40"/>
      <c r="T1925" s="40"/>
      <c r="U1925" s="40"/>
      <c r="V1925" s="40"/>
      <c r="W1925" s="40"/>
      <c r="X1925" s="40"/>
      <c r="Y1925" s="40"/>
      <c r="Z1925" s="40"/>
      <c r="AA1925" s="40"/>
      <c r="AB1925" s="40"/>
    </row>
    <row r="1926" ht="18.75" customHeight="1">
      <c r="A1926" s="18"/>
      <c r="B1926" s="22"/>
      <c r="C1926" s="213"/>
      <c r="D1926" s="213"/>
      <c r="E1926" s="24"/>
      <c r="F1926" s="215"/>
      <c r="G1926" s="26"/>
      <c r="H1926" s="199"/>
      <c r="I1926" s="29"/>
      <c r="J1926" s="192"/>
      <c r="K1926" s="31"/>
      <c r="L1926" s="200"/>
      <c r="M1926" s="212"/>
      <c r="N1926" s="3"/>
      <c r="O1926" s="40"/>
      <c r="P1926" s="40"/>
      <c r="Q1926" s="212"/>
      <c r="R1926" s="31"/>
      <c r="S1926" s="40"/>
      <c r="T1926" s="40"/>
      <c r="U1926" s="40"/>
      <c r="V1926" s="40"/>
      <c r="W1926" s="40"/>
      <c r="X1926" s="40"/>
      <c r="Y1926" s="40"/>
      <c r="Z1926" s="40"/>
      <c r="AA1926" s="40"/>
      <c r="AB1926" s="40"/>
    </row>
    <row r="1927" ht="18.75" customHeight="1">
      <c r="A1927" s="18"/>
      <c r="B1927" s="22"/>
      <c r="C1927" s="213"/>
      <c r="D1927" s="213"/>
      <c r="E1927" s="24"/>
      <c r="F1927" s="215"/>
      <c r="G1927" s="26"/>
      <c r="H1927" s="199"/>
      <c r="I1927" s="29"/>
      <c r="J1927" s="192"/>
      <c r="K1927" s="31"/>
      <c r="L1927" s="200"/>
      <c r="M1927" s="212"/>
      <c r="N1927" s="3"/>
      <c r="O1927" s="40"/>
      <c r="P1927" s="40"/>
      <c r="Q1927" s="212"/>
      <c r="R1927" s="31"/>
      <c r="S1927" s="40"/>
      <c r="T1927" s="40"/>
      <c r="U1927" s="40"/>
      <c r="V1927" s="40"/>
      <c r="W1927" s="40"/>
      <c r="X1927" s="40"/>
      <c r="Y1927" s="40"/>
      <c r="Z1927" s="40"/>
      <c r="AA1927" s="40"/>
      <c r="AB1927" s="40"/>
    </row>
    <row r="1928" ht="18.75" customHeight="1">
      <c r="A1928" s="18"/>
      <c r="B1928" s="22"/>
      <c r="C1928" s="213"/>
      <c r="D1928" s="213"/>
      <c r="E1928" s="24"/>
      <c r="F1928" s="215"/>
      <c r="G1928" s="26"/>
      <c r="H1928" s="199"/>
      <c r="I1928" s="29"/>
      <c r="J1928" s="192"/>
      <c r="K1928" s="31"/>
      <c r="L1928" s="200"/>
      <c r="M1928" s="212"/>
      <c r="N1928" s="3"/>
      <c r="O1928" s="40"/>
      <c r="P1928" s="40"/>
      <c r="Q1928" s="212"/>
      <c r="R1928" s="31"/>
      <c r="S1928" s="40"/>
      <c r="T1928" s="40"/>
      <c r="U1928" s="40"/>
      <c r="V1928" s="40"/>
      <c r="W1928" s="40"/>
      <c r="X1928" s="40"/>
      <c r="Y1928" s="40"/>
      <c r="Z1928" s="40"/>
      <c r="AA1928" s="40"/>
      <c r="AB1928" s="40"/>
    </row>
    <row r="1929" ht="18.75" customHeight="1">
      <c r="A1929" s="18"/>
      <c r="B1929" s="22"/>
      <c r="C1929" s="213"/>
      <c r="D1929" s="213"/>
      <c r="E1929" s="24"/>
      <c r="F1929" s="215"/>
      <c r="G1929" s="26"/>
      <c r="H1929" s="199"/>
      <c r="I1929" s="29"/>
      <c r="J1929" s="192"/>
      <c r="K1929" s="31"/>
      <c r="L1929" s="200"/>
      <c r="M1929" s="212"/>
      <c r="N1929" s="3"/>
      <c r="O1929" s="40"/>
      <c r="P1929" s="40"/>
      <c r="Q1929" s="212"/>
      <c r="R1929" s="31"/>
      <c r="S1929" s="40"/>
      <c r="T1929" s="40"/>
      <c r="U1929" s="40"/>
      <c r="V1929" s="40"/>
      <c r="W1929" s="40"/>
      <c r="X1929" s="40"/>
      <c r="Y1929" s="40"/>
      <c r="Z1929" s="40"/>
      <c r="AA1929" s="40"/>
      <c r="AB1929" s="40"/>
    </row>
    <row r="1930" ht="18.75" customHeight="1">
      <c r="A1930" s="18"/>
      <c r="B1930" s="22"/>
      <c r="C1930" s="213"/>
      <c r="D1930" s="213"/>
      <c r="E1930" s="24"/>
      <c r="F1930" s="215"/>
      <c r="G1930" s="26"/>
      <c r="H1930" s="199"/>
      <c r="I1930" s="29"/>
      <c r="J1930" s="192"/>
      <c r="K1930" s="31"/>
      <c r="L1930" s="200"/>
      <c r="M1930" s="212"/>
      <c r="N1930" s="3"/>
      <c r="O1930" s="40"/>
      <c r="P1930" s="40"/>
      <c r="Q1930" s="212"/>
      <c r="R1930" s="31"/>
      <c r="S1930" s="40"/>
      <c r="T1930" s="40"/>
      <c r="U1930" s="40"/>
      <c r="V1930" s="40"/>
      <c r="W1930" s="40"/>
      <c r="X1930" s="40"/>
      <c r="Y1930" s="40"/>
      <c r="Z1930" s="40"/>
      <c r="AA1930" s="40"/>
      <c r="AB1930" s="40"/>
    </row>
    <row r="1931" ht="18.75" customHeight="1">
      <c r="A1931" s="18"/>
      <c r="B1931" s="22"/>
      <c r="C1931" s="213"/>
      <c r="D1931" s="213"/>
      <c r="E1931" s="24"/>
      <c r="F1931" s="215"/>
      <c r="G1931" s="26"/>
      <c r="H1931" s="199"/>
      <c r="I1931" s="29"/>
      <c r="J1931" s="192"/>
      <c r="K1931" s="31"/>
      <c r="L1931" s="200"/>
      <c r="M1931" s="212"/>
      <c r="N1931" s="3"/>
      <c r="O1931" s="40"/>
      <c r="P1931" s="40"/>
      <c r="Q1931" s="212"/>
      <c r="R1931" s="31"/>
      <c r="S1931" s="40"/>
      <c r="T1931" s="40"/>
      <c r="U1931" s="40"/>
      <c r="V1931" s="40"/>
      <c r="W1931" s="40"/>
      <c r="X1931" s="40"/>
      <c r="Y1931" s="40"/>
      <c r="Z1931" s="40"/>
      <c r="AA1931" s="40"/>
      <c r="AB1931" s="40"/>
    </row>
    <row r="1932" ht="18.75" customHeight="1">
      <c r="A1932" s="18"/>
      <c r="B1932" s="22"/>
      <c r="C1932" s="213"/>
      <c r="D1932" s="213"/>
      <c r="E1932" s="24"/>
      <c r="F1932" s="215"/>
      <c r="G1932" s="26"/>
      <c r="H1932" s="199"/>
      <c r="I1932" s="29"/>
      <c r="J1932" s="192"/>
      <c r="K1932" s="31"/>
      <c r="L1932" s="200"/>
      <c r="M1932" s="212"/>
      <c r="N1932" s="3"/>
      <c r="O1932" s="40"/>
      <c r="P1932" s="40"/>
      <c r="Q1932" s="212"/>
      <c r="R1932" s="31"/>
      <c r="S1932" s="40"/>
      <c r="T1932" s="40"/>
      <c r="U1932" s="40"/>
      <c r="V1932" s="40"/>
      <c r="W1932" s="40"/>
      <c r="X1932" s="40"/>
      <c r="Y1932" s="40"/>
      <c r="Z1932" s="40"/>
      <c r="AA1932" s="40"/>
      <c r="AB1932" s="40"/>
    </row>
    <row r="1933" ht="18.75" customHeight="1">
      <c r="A1933" s="18"/>
      <c r="B1933" s="22"/>
      <c r="C1933" s="213"/>
      <c r="D1933" s="213"/>
      <c r="E1933" s="24"/>
      <c r="F1933" s="215"/>
      <c r="G1933" s="26"/>
      <c r="H1933" s="199"/>
      <c r="I1933" s="29"/>
      <c r="J1933" s="192"/>
      <c r="K1933" s="31"/>
      <c r="L1933" s="200"/>
      <c r="M1933" s="212"/>
      <c r="N1933" s="3"/>
      <c r="O1933" s="40"/>
      <c r="P1933" s="40"/>
      <c r="Q1933" s="212"/>
      <c r="R1933" s="31"/>
      <c r="S1933" s="40"/>
      <c r="T1933" s="40"/>
      <c r="U1933" s="40"/>
      <c r="V1933" s="40"/>
      <c r="W1933" s="40"/>
      <c r="X1933" s="40"/>
      <c r="Y1933" s="40"/>
      <c r="Z1933" s="40"/>
      <c r="AA1933" s="40"/>
      <c r="AB1933" s="40"/>
    </row>
    <row r="1934" ht="18.75" customHeight="1">
      <c r="A1934" s="18"/>
      <c r="B1934" s="22"/>
      <c r="C1934" s="213"/>
      <c r="D1934" s="213"/>
      <c r="E1934" s="24"/>
      <c r="F1934" s="215"/>
      <c r="G1934" s="26"/>
      <c r="H1934" s="199"/>
      <c r="I1934" s="29"/>
      <c r="J1934" s="192"/>
      <c r="K1934" s="31"/>
      <c r="L1934" s="200"/>
      <c r="M1934" s="212"/>
      <c r="N1934" s="3"/>
      <c r="O1934" s="40"/>
      <c r="P1934" s="40"/>
      <c r="Q1934" s="212"/>
      <c r="R1934" s="31"/>
      <c r="S1934" s="40"/>
      <c r="T1934" s="40"/>
      <c r="U1934" s="40"/>
      <c r="V1934" s="40"/>
      <c r="W1934" s="40"/>
      <c r="X1934" s="40"/>
      <c r="Y1934" s="40"/>
      <c r="Z1934" s="40"/>
      <c r="AA1934" s="40"/>
      <c r="AB1934" s="40"/>
    </row>
    <row r="1935" ht="18.75" customHeight="1">
      <c r="A1935" s="18"/>
      <c r="B1935" s="22"/>
      <c r="C1935" s="213"/>
      <c r="D1935" s="213"/>
      <c r="E1935" s="24"/>
      <c r="F1935" s="215"/>
      <c r="G1935" s="26"/>
      <c r="H1935" s="199"/>
      <c r="I1935" s="29"/>
      <c r="J1935" s="192"/>
      <c r="K1935" s="31"/>
      <c r="L1935" s="200"/>
      <c r="M1935" s="212"/>
      <c r="N1935" s="3"/>
      <c r="O1935" s="40"/>
      <c r="P1935" s="40"/>
      <c r="Q1935" s="212"/>
      <c r="R1935" s="31"/>
      <c r="S1935" s="40"/>
      <c r="T1935" s="40"/>
      <c r="U1935" s="40"/>
      <c r="V1935" s="40"/>
      <c r="W1935" s="40"/>
      <c r="X1935" s="40"/>
      <c r="Y1935" s="40"/>
      <c r="Z1935" s="40"/>
      <c r="AA1935" s="40"/>
      <c r="AB1935" s="40"/>
    </row>
    <row r="1936" ht="18.75" customHeight="1">
      <c r="A1936" s="18"/>
      <c r="B1936" s="22"/>
      <c r="C1936" s="213"/>
      <c r="D1936" s="213"/>
      <c r="E1936" s="24"/>
      <c r="F1936" s="215"/>
      <c r="G1936" s="26"/>
      <c r="H1936" s="199"/>
      <c r="I1936" s="29"/>
      <c r="J1936" s="192"/>
      <c r="K1936" s="31"/>
      <c r="L1936" s="200"/>
      <c r="M1936" s="212"/>
      <c r="N1936" s="3"/>
      <c r="O1936" s="40"/>
      <c r="P1936" s="40"/>
      <c r="Q1936" s="212"/>
      <c r="R1936" s="31"/>
      <c r="S1936" s="40"/>
      <c r="T1936" s="40"/>
      <c r="U1936" s="40"/>
      <c r="V1936" s="40"/>
      <c r="W1936" s="40"/>
      <c r="X1936" s="40"/>
      <c r="Y1936" s="40"/>
      <c r="Z1936" s="40"/>
      <c r="AA1936" s="40"/>
      <c r="AB1936" s="40"/>
    </row>
    <row r="1937" ht="18.75" customHeight="1">
      <c r="A1937" s="18"/>
      <c r="B1937" s="22"/>
      <c r="C1937" s="213"/>
      <c r="D1937" s="213"/>
      <c r="E1937" s="24"/>
      <c r="F1937" s="215"/>
      <c r="G1937" s="26"/>
      <c r="H1937" s="199"/>
      <c r="I1937" s="29"/>
      <c r="J1937" s="192"/>
      <c r="K1937" s="31"/>
      <c r="L1937" s="200"/>
      <c r="M1937" s="212"/>
      <c r="N1937" s="3"/>
      <c r="O1937" s="40"/>
      <c r="P1937" s="40"/>
      <c r="Q1937" s="212"/>
      <c r="R1937" s="31"/>
      <c r="S1937" s="40"/>
      <c r="T1937" s="40"/>
      <c r="U1937" s="40"/>
      <c r="V1937" s="40"/>
      <c r="W1937" s="40"/>
      <c r="X1937" s="40"/>
      <c r="Y1937" s="40"/>
      <c r="Z1937" s="40"/>
      <c r="AA1937" s="40"/>
      <c r="AB1937" s="40"/>
    </row>
    <row r="1938" ht="18.75" customHeight="1">
      <c r="A1938" s="18"/>
      <c r="B1938" s="22"/>
      <c r="C1938" s="213"/>
      <c r="D1938" s="213"/>
      <c r="E1938" s="24"/>
      <c r="F1938" s="215"/>
      <c r="G1938" s="26"/>
      <c r="H1938" s="199"/>
      <c r="I1938" s="29"/>
      <c r="J1938" s="192"/>
      <c r="K1938" s="31"/>
      <c r="L1938" s="200"/>
      <c r="M1938" s="212"/>
      <c r="N1938" s="3"/>
      <c r="O1938" s="40"/>
      <c r="P1938" s="40"/>
      <c r="Q1938" s="212"/>
      <c r="R1938" s="31"/>
      <c r="S1938" s="40"/>
      <c r="T1938" s="40"/>
      <c r="U1938" s="40"/>
      <c r="V1938" s="40"/>
      <c r="W1938" s="40"/>
      <c r="X1938" s="40"/>
      <c r="Y1938" s="40"/>
      <c r="Z1938" s="40"/>
      <c r="AA1938" s="40"/>
      <c r="AB1938" s="40"/>
    </row>
    <row r="1939" ht="18.75" customHeight="1">
      <c r="A1939" s="18"/>
      <c r="B1939" s="22"/>
      <c r="C1939" s="213"/>
      <c r="D1939" s="213"/>
      <c r="E1939" s="24"/>
      <c r="F1939" s="215"/>
      <c r="G1939" s="26"/>
      <c r="H1939" s="199"/>
      <c r="I1939" s="29"/>
      <c r="J1939" s="192"/>
      <c r="K1939" s="31"/>
      <c r="L1939" s="200"/>
      <c r="M1939" s="212"/>
      <c r="N1939" s="3"/>
      <c r="O1939" s="40"/>
      <c r="P1939" s="40"/>
      <c r="Q1939" s="212"/>
      <c r="R1939" s="31"/>
      <c r="S1939" s="40"/>
      <c r="T1939" s="40"/>
      <c r="U1939" s="40"/>
      <c r="V1939" s="40"/>
      <c r="W1939" s="40"/>
      <c r="X1939" s="40"/>
      <c r="Y1939" s="40"/>
      <c r="Z1939" s="40"/>
      <c r="AA1939" s="40"/>
      <c r="AB1939" s="40"/>
    </row>
    <row r="1940" ht="18.75" customHeight="1">
      <c r="A1940" s="18"/>
      <c r="B1940" s="22"/>
      <c r="C1940" s="213"/>
      <c r="D1940" s="213"/>
      <c r="E1940" s="24"/>
      <c r="F1940" s="215"/>
      <c r="G1940" s="26"/>
      <c r="H1940" s="199"/>
      <c r="I1940" s="29"/>
      <c r="J1940" s="192"/>
      <c r="K1940" s="31"/>
      <c r="L1940" s="200"/>
      <c r="M1940" s="212"/>
      <c r="N1940" s="3"/>
      <c r="O1940" s="40"/>
      <c r="P1940" s="40"/>
      <c r="Q1940" s="212"/>
      <c r="R1940" s="31"/>
      <c r="S1940" s="40"/>
      <c r="T1940" s="40"/>
      <c r="U1940" s="40"/>
      <c r="V1940" s="40"/>
      <c r="W1940" s="40"/>
      <c r="X1940" s="40"/>
      <c r="Y1940" s="40"/>
      <c r="Z1940" s="40"/>
      <c r="AA1940" s="40"/>
      <c r="AB1940" s="40"/>
    </row>
    <row r="1941" ht="18.75" customHeight="1">
      <c r="A1941" s="18"/>
      <c r="B1941" s="22"/>
      <c r="C1941" s="213"/>
      <c r="D1941" s="213"/>
      <c r="E1941" s="24"/>
      <c r="F1941" s="215"/>
      <c r="G1941" s="26"/>
      <c r="H1941" s="199"/>
      <c r="I1941" s="29"/>
      <c r="J1941" s="192"/>
      <c r="K1941" s="31"/>
      <c r="L1941" s="200"/>
      <c r="M1941" s="212"/>
      <c r="N1941" s="3"/>
      <c r="O1941" s="40"/>
      <c r="P1941" s="40"/>
      <c r="Q1941" s="212"/>
      <c r="R1941" s="31"/>
      <c r="S1941" s="40"/>
      <c r="T1941" s="40"/>
      <c r="U1941" s="40"/>
      <c r="V1941" s="40"/>
      <c r="W1941" s="40"/>
      <c r="X1941" s="40"/>
      <c r="Y1941" s="40"/>
      <c r="Z1941" s="40"/>
      <c r="AA1941" s="40"/>
      <c r="AB1941" s="40"/>
    </row>
    <row r="1942" ht="18.75" customHeight="1">
      <c r="A1942" s="18"/>
      <c r="B1942" s="22"/>
      <c r="C1942" s="213"/>
      <c r="D1942" s="213"/>
      <c r="E1942" s="24"/>
      <c r="F1942" s="215"/>
      <c r="G1942" s="26"/>
      <c r="H1942" s="199"/>
      <c r="I1942" s="29"/>
      <c r="J1942" s="192"/>
      <c r="K1942" s="31"/>
      <c r="L1942" s="200"/>
      <c r="M1942" s="212"/>
      <c r="N1942" s="3"/>
      <c r="O1942" s="40"/>
      <c r="P1942" s="40"/>
      <c r="Q1942" s="212"/>
      <c r="R1942" s="31"/>
      <c r="S1942" s="40"/>
      <c r="T1942" s="40"/>
      <c r="U1942" s="40"/>
      <c r="V1942" s="40"/>
      <c r="W1942" s="40"/>
      <c r="X1942" s="40"/>
      <c r="Y1942" s="40"/>
      <c r="Z1942" s="40"/>
      <c r="AA1942" s="40"/>
      <c r="AB1942" s="40"/>
    </row>
    <row r="1943" ht="18.75" customHeight="1">
      <c r="A1943" s="18"/>
      <c r="B1943" s="22"/>
      <c r="C1943" s="213"/>
      <c r="D1943" s="213"/>
      <c r="E1943" s="24"/>
      <c r="F1943" s="215"/>
      <c r="G1943" s="26"/>
      <c r="H1943" s="199"/>
      <c r="I1943" s="29"/>
      <c r="J1943" s="192"/>
      <c r="K1943" s="31"/>
      <c r="L1943" s="200"/>
      <c r="M1943" s="212"/>
      <c r="N1943" s="3"/>
      <c r="O1943" s="40"/>
      <c r="P1943" s="40"/>
      <c r="Q1943" s="212"/>
      <c r="R1943" s="31"/>
      <c r="S1943" s="40"/>
      <c r="T1943" s="40"/>
      <c r="U1943" s="40"/>
      <c r="V1943" s="40"/>
      <c r="W1943" s="40"/>
      <c r="X1943" s="40"/>
      <c r="Y1943" s="40"/>
      <c r="Z1943" s="40"/>
      <c r="AA1943" s="40"/>
      <c r="AB1943" s="40"/>
    </row>
    <row r="1944" ht="18.75" customHeight="1">
      <c r="A1944" s="18"/>
      <c r="B1944" s="22"/>
      <c r="C1944" s="213"/>
      <c r="D1944" s="213"/>
      <c r="E1944" s="24"/>
      <c r="F1944" s="215"/>
      <c r="G1944" s="26"/>
      <c r="H1944" s="199"/>
      <c r="I1944" s="29"/>
      <c r="J1944" s="192"/>
      <c r="K1944" s="31"/>
      <c r="L1944" s="200"/>
      <c r="M1944" s="212"/>
      <c r="N1944" s="3"/>
      <c r="O1944" s="40"/>
      <c r="P1944" s="40"/>
      <c r="Q1944" s="212"/>
      <c r="R1944" s="31"/>
      <c r="S1944" s="40"/>
      <c r="T1944" s="40"/>
      <c r="U1944" s="40"/>
      <c r="V1944" s="40"/>
      <c r="W1944" s="40"/>
      <c r="X1944" s="40"/>
      <c r="Y1944" s="40"/>
      <c r="Z1944" s="40"/>
      <c r="AA1944" s="40"/>
      <c r="AB1944" s="40"/>
    </row>
    <row r="1945" ht="18.75" customHeight="1">
      <c r="A1945" s="18"/>
      <c r="B1945" s="22"/>
      <c r="C1945" s="213"/>
      <c r="D1945" s="213"/>
      <c r="E1945" s="24"/>
      <c r="F1945" s="215"/>
      <c r="G1945" s="26"/>
      <c r="H1945" s="199"/>
      <c r="I1945" s="29"/>
      <c r="J1945" s="192"/>
      <c r="K1945" s="31"/>
      <c r="L1945" s="200"/>
      <c r="M1945" s="212"/>
      <c r="N1945" s="3"/>
      <c r="O1945" s="40"/>
      <c r="P1945" s="40"/>
      <c r="Q1945" s="212"/>
      <c r="R1945" s="31"/>
      <c r="S1945" s="40"/>
      <c r="T1945" s="40"/>
      <c r="U1945" s="40"/>
      <c r="V1945" s="40"/>
      <c r="W1945" s="40"/>
      <c r="X1945" s="40"/>
      <c r="Y1945" s="40"/>
      <c r="Z1945" s="40"/>
      <c r="AA1945" s="40"/>
      <c r="AB1945" s="40"/>
    </row>
    <row r="1946" ht="18.75" customHeight="1">
      <c r="A1946" s="18"/>
      <c r="B1946" s="22"/>
      <c r="C1946" s="213"/>
      <c r="D1946" s="213"/>
      <c r="E1946" s="24"/>
      <c r="F1946" s="215"/>
      <c r="G1946" s="26"/>
      <c r="H1946" s="199"/>
      <c r="I1946" s="29"/>
      <c r="J1946" s="192"/>
      <c r="K1946" s="31"/>
      <c r="L1946" s="200"/>
      <c r="M1946" s="212"/>
      <c r="N1946" s="3"/>
      <c r="O1946" s="40"/>
      <c r="P1946" s="40"/>
      <c r="Q1946" s="212"/>
      <c r="R1946" s="31"/>
      <c r="S1946" s="40"/>
      <c r="T1946" s="40"/>
      <c r="U1946" s="40"/>
      <c r="V1946" s="40"/>
      <c r="W1946" s="40"/>
      <c r="X1946" s="40"/>
      <c r="Y1946" s="40"/>
      <c r="Z1946" s="40"/>
      <c r="AA1946" s="40"/>
      <c r="AB1946" s="40"/>
    </row>
    <row r="1947" ht="18.75" customHeight="1">
      <c r="A1947" s="18"/>
      <c r="B1947" s="22"/>
      <c r="C1947" s="213"/>
      <c r="D1947" s="213"/>
      <c r="E1947" s="24"/>
      <c r="F1947" s="215"/>
      <c r="G1947" s="26"/>
      <c r="H1947" s="199"/>
      <c r="I1947" s="29"/>
      <c r="J1947" s="192"/>
      <c r="K1947" s="31"/>
      <c r="L1947" s="200"/>
      <c r="M1947" s="212"/>
      <c r="N1947" s="3"/>
      <c r="O1947" s="40"/>
      <c r="P1947" s="40"/>
      <c r="Q1947" s="212"/>
      <c r="R1947" s="31"/>
      <c r="S1947" s="40"/>
      <c r="T1947" s="40"/>
      <c r="U1947" s="40"/>
      <c r="V1947" s="40"/>
      <c r="W1947" s="40"/>
      <c r="X1947" s="40"/>
      <c r="Y1947" s="40"/>
      <c r="Z1947" s="40"/>
      <c r="AA1947" s="40"/>
      <c r="AB1947" s="40"/>
    </row>
    <row r="1948" ht="18.75" customHeight="1">
      <c r="A1948" s="18"/>
      <c r="B1948" s="22"/>
      <c r="C1948" s="213"/>
      <c r="D1948" s="213"/>
      <c r="E1948" s="24"/>
      <c r="F1948" s="215"/>
      <c r="G1948" s="26"/>
      <c r="H1948" s="199"/>
      <c r="I1948" s="29"/>
      <c r="J1948" s="192"/>
      <c r="K1948" s="31"/>
      <c r="L1948" s="200"/>
      <c r="M1948" s="212"/>
      <c r="N1948" s="3"/>
      <c r="O1948" s="40"/>
      <c r="P1948" s="40"/>
      <c r="Q1948" s="212"/>
      <c r="R1948" s="31"/>
      <c r="S1948" s="40"/>
      <c r="T1948" s="40"/>
      <c r="U1948" s="40"/>
      <c r="V1948" s="40"/>
      <c r="W1948" s="40"/>
      <c r="X1948" s="40"/>
      <c r="Y1948" s="40"/>
      <c r="Z1948" s="40"/>
      <c r="AA1948" s="40"/>
      <c r="AB1948" s="40"/>
    </row>
    <row r="1949" ht="18.75" customHeight="1">
      <c r="A1949" s="18"/>
      <c r="B1949" s="22"/>
      <c r="C1949" s="213"/>
      <c r="D1949" s="213"/>
      <c r="E1949" s="24"/>
      <c r="F1949" s="215"/>
      <c r="G1949" s="26"/>
      <c r="H1949" s="199"/>
      <c r="I1949" s="29"/>
      <c r="J1949" s="192"/>
      <c r="K1949" s="31"/>
      <c r="L1949" s="200"/>
      <c r="M1949" s="212"/>
      <c r="N1949" s="3"/>
      <c r="O1949" s="40"/>
      <c r="P1949" s="40"/>
      <c r="Q1949" s="212"/>
      <c r="R1949" s="31"/>
      <c r="S1949" s="40"/>
      <c r="T1949" s="40"/>
      <c r="U1949" s="40"/>
      <c r="V1949" s="40"/>
      <c r="W1949" s="40"/>
      <c r="X1949" s="40"/>
      <c r="Y1949" s="40"/>
      <c r="Z1949" s="40"/>
      <c r="AA1949" s="40"/>
      <c r="AB1949" s="40"/>
    </row>
    <row r="1950" ht="18.75" customHeight="1">
      <c r="A1950" s="18"/>
      <c r="B1950" s="22"/>
      <c r="C1950" s="213"/>
      <c r="D1950" s="213"/>
      <c r="E1950" s="24"/>
      <c r="F1950" s="215"/>
      <c r="G1950" s="26"/>
      <c r="H1950" s="199"/>
      <c r="I1950" s="29"/>
      <c r="J1950" s="192"/>
      <c r="K1950" s="31"/>
      <c r="L1950" s="200"/>
      <c r="M1950" s="212"/>
      <c r="N1950" s="3"/>
      <c r="O1950" s="40"/>
      <c r="P1950" s="40"/>
      <c r="Q1950" s="212"/>
      <c r="R1950" s="31"/>
      <c r="S1950" s="40"/>
      <c r="T1950" s="40"/>
      <c r="U1950" s="40"/>
      <c r="V1950" s="40"/>
      <c r="W1950" s="40"/>
      <c r="X1950" s="40"/>
      <c r="Y1950" s="40"/>
      <c r="Z1950" s="40"/>
      <c r="AA1950" s="40"/>
      <c r="AB1950" s="40"/>
    </row>
    <row r="1951" ht="18.75" customHeight="1">
      <c r="A1951" s="18"/>
      <c r="B1951" s="22"/>
      <c r="C1951" s="213"/>
      <c r="D1951" s="213"/>
      <c r="E1951" s="24"/>
      <c r="F1951" s="215"/>
      <c r="G1951" s="26"/>
      <c r="H1951" s="199"/>
      <c r="I1951" s="29"/>
      <c r="J1951" s="192"/>
      <c r="K1951" s="31"/>
      <c r="L1951" s="200"/>
      <c r="M1951" s="212"/>
      <c r="N1951" s="3"/>
      <c r="O1951" s="40"/>
      <c r="P1951" s="40"/>
      <c r="Q1951" s="212"/>
      <c r="R1951" s="31"/>
      <c r="S1951" s="40"/>
      <c r="T1951" s="40"/>
      <c r="U1951" s="40"/>
      <c r="V1951" s="40"/>
      <c r="W1951" s="40"/>
      <c r="X1951" s="40"/>
      <c r="Y1951" s="40"/>
      <c r="Z1951" s="40"/>
      <c r="AA1951" s="40"/>
      <c r="AB1951" s="40"/>
    </row>
    <row r="1952" ht="18.75" customHeight="1">
      <c r="A1952" s="18"/>
      <c r="B1952" s="22"/>
      <c r="C1952" s="213"/>
      <c r="D1952" s="213"/>
      <c r="E1952" s="24"/>
      <c r="F1952" s="215"/>
      <c r="G1952" s="26"/>
      <c r="H1952" s="199"/>
      <c r="I1952" s="29"/>
      <c r="J1952" s="192"/>
      <c r="K1952" s="31"/>
      <c r="L1952" s="200"/>
      <c r="M1952" s="212"/>
      <c r="N1952" s="3"/>
      <c r="O1952" s="40"/>
      <c r="P1952" s="40"/>
      <c r="Q1952" s="212"/>
      <c r="R1952" s="31"/>
      <c r="S1952" s="40"/>
      <c r="T1952" s="40"/>
      <c r="U1952" s="40"/>
      <c r="V1952" s="40"/>
      <c r="W1952" s="40"/>
      <c r="X1952" s="40"/>
      <c r="Y1952" s="40"/>
      <c r="Z1952" s="40"/>
      <c r="AA1952" s="40"/>
      <c r="AB1952" s="40"/>
    </row>
    <row r="1953" ht="18.75" customHeight="1">
      <c r="A1953" s="18"/>
      <c r="B1953" s="22"/>
      <c r="C1953" s="213"/>
      <c r="D1953" s="213"/>
      <c r="E1953" s="24"/>
      <c r="F1953" s="215"/>
      <c r="G1953" s="26"/>
      <c r="H1953" s="199"/>
      <c r="I1953" s="29"/>
      <c r="J1953" s="192"/>
      <c r="K1953" s="31"/>
      <c r="L1953" s="200"/>
      <c r="M1953" s="212"/>
      <c r="N1953" s="3"/>
      <c r="O1953" s="40"/>
      <c r="P1953" s="40"/>
      <c r="Q1953" s="212"/>
      <c r="R1953" s="31"/>
      <c r="S1953" s="40"/>
      <c r="T1953" s="40"/>
      <c r="U1953" s="40"/>
      <c r="V1953" s="40"/>
      <c r="W1953" s="40"/>
      <c r="X1953" s="40"/>
      <c r="Y1953" s="40"/>
      <c r="Z1953" s="40"/>
      <c r="AA1953" s="40"/>
      <c r="AB1953" s="40"/>
    </row>
    <row r="1954" ht="18.75" customHeight="1">
      <c r="A1954" s="18"/>
      <c r="B1954" s="22"/>
      <c r="C1954" s="213"/>
      <c r="D1954" s="213"/>
      <c r="E1954" s="24"/>
      <c r="F1954" s="215"/>
      <c r="G1954" s="26"/>
      <c r="H1954" s="199"/>
      <c r="I1954" s="29"/>
      <c r="J1954" s="192"/>
      <c r="K1954" s="31"/>
      <c r="L1954" s="200"/>
      <c r="M1954" s="212"/>
      <c r="N1954" s="3"/>
      <c r="O1954" s="40"/>
      <c r="P1954" s="40"/>
      <c r="Q1954" s="212"/>
      <c r="R1954" s="31"/>
      <c r="S1954" s="40"/>
      <c r="T1954" s="40"/>
      <c r="U1954" s="40"/>
      <c r="V1954" s="40"/>
      <c r="W1954" s="40"/>
      <c r="X1954" s="40"/>
      <c r="Y1954" s="40"/>
      <c r="Z1954" s="40"/>
      <c r="AA1954" s="40"/>
      <c r="AB1954" s="40"/>
    </row>
    <row r="1955" ht="18.75" customHeight="1">
      <c r="A1955" s="18"/>
      <c r="B1955" s="22"/>
      <c r="C1955" s="213"/>
      <c r="D1955" s="213"/>
      <c r="E1955" s="24"/>
      <c r="F1955" s="215"/>
      <c r="G1955" s="26"/>
      <c r="H1955" s="199"/>
      <c r="I1955" s="29"/>
      <c r="J1955" s="192"/>
      <c r="K1955" s="31"/>
      <c r="L1955" s="200"/>
      <c r="M1955" s="212"/>
      <c r="N1955" s="3"/>
      <c r="O1955" s="40"/>
      <c r="P1955" s="40"/>
      <c r="Q1955" s="212"/>
      <c r="R1955" s="31"/>
      <c r="S1955" s="40"/>
      <c r="T1955" s="40"/>
      <c r="U1955" s="40"/>
      <c r="V1955" s="40"/>
      <c r="W1955" s="40"/>
      <c r="X1955" s="40"/>
      <c r="Y1955" s="40"/>
      <c r="Z1955" s="40"/>
      <c r="AA1955" s="40"/>
      <c r="AB1955" s="40"/>
    </row>
    <row r="1956" ht="18.75" customHeight="1">
      <c r="A1956" s="18"/>
      <c r="B1956" s="22"/>
      <c r="C1956" s="213"/>
      <c r="D1956" s="213"/>
      <c r="E1956" s="24"/>
      <c r="F1956" s="215"/>
      <c r="G1956" s="26"/>
      <c r="H1956" s="199"/>
      <c r="I1956" s="29"/>
      <c r="J1956" s="192"/>
      <c r="K1956" s="31"/>
      <c r="L1956" s="200"/>
      <c r="M1956" s="212"/>
      <c r="N1956" s="3"/>
      <c r="O1956" s="40"/>
      <c r="P1956" s="40"/>
      <c r="Q1956" s="212"/>
      <c r="R1956" s="31"/>
      <c r="S1956" s="40"/>
      <c r="T1956" s="40"/>
      <c r="U1956" s="40"/>
      <c r="V1956" s="40"/>
      <c r="W1956" s="40"/>
      <c r="X1956" s="40"/>
      <c r="Y1956" s="40"/>
      <c r="Z1956" s="40"/>
      <c r="AA1956" s="40"/>
      <c r="AB1956" s="40"/>
    </row>
    <row r="1957" ht="18.75" customHeight="1">
      <c r="A1957" s="18"/>
      <c r="B1957" s="22"/>
      <c r="C1957" s="213"/>
      <c r="D1957" s="213"/>
      <c r="E1957" s="24"/>
      <c r="F1957" s="215"/>
      <c r="G1957" s="26"/>
      <c r="H1957" s="199"/>
      <c r="I1957" s="29"/>
      <c r="J1957" s="192"/>
      <c r="K1957" s="31"/>
      <c r="L1957" s="200"/>
      <c r="M1957" s="212"/>
      <c r="N1957" s="3"/>
      <c r="O1957" s="40"/>
      <c r="P1957" s="40"/>
      <c r="Q1957" s="212"/>
      <c r="R1957" s="31"/>
      <c r="S1957" s="40"/>
      <c r="T1957" s="40"/>
      <c r="U1957" s="40"/>
      <c r="V1957" s="40"/>
      <c r="W1957" s="40"/>
      <c r="X1957" s="40"/>
      <c r="Y1957" s="40"/>
      <c r="Z1957" s="40"/>
      <c r="AA1957" s="40"/>
      <c r="AB1957" s="40"/>
    </row>
    <row r="1958" ht="18.75" customHeight="1">
      <c r="A1958" s="18"/>
      <c r="B1958" s="22"/>
      <c r="C1958" s="213"/>
      <c r="D1958" s="213"/>
      <c r="E1958" s="24"/>
      <c r="F1958" s="215"/>
      <c r="G1958" s="26"/>
      <c r="H1958" s="199"/>
      <c r="I1958" s="29"/>
      <c r="J1958" s="192"/>
      <c r="K1958" s="31"/>
      <c r="L1958" s="200"/>
      <c r="M1958" s="212"/>
      <c r="N1958" s="3"/>
      <c r="O1958" s="40"/>
      <c r="P1958" s="40"/>
      <c r="Q1958" s="212"/>
      <c r="R1958" s="31"/>
      <c r="S1958" s="40"/>
      <c r="T1958" s="40"/>
      <c r="U1958" s="40"/>
      <c r="V1958" s="40"/>
      <c r="W1958" s="40"/>
      <c r="X1958" s="40"/>
      <c r="Y1958" s="40"/>
      <c r="Z1958" s="40"/>
      <c r="AA1958" s="40"/>
      <c r="AB1958" s="40"/>
    </row>
    <row r="1959" ht="18.75" customHeight="1">
      <c r="A1959" s="18"/>
      <c r="B1959" s="22"/>
      <c r="C1959" s="213"/>
      <c r="D1959" s="213"/>
      <c r="E1959" s="24"/>
      <c r="F1959" s="215"/>
      <c r="G1959" s="26"/>
      <c r="H1959" s="199"/>
      <c r="I1959" s="29"/>
      <c r="J1959" s="192"/>
      <c r="K1959" s="31"/>
      <c r="L1959" s="200"/>
      <c r="M1959" s="212"/>
      <c r="N1959" s="3"/>
      <c r="O1959" s="40"/>
      <c r="P1959" s="40"/>
      <c r="Q1959" s="212"/>
      <c r="R1959" s="31"/>
      <c r="S1959" s="40"/>
      <c r="T1959" s="40"/>
      <c r="U1959" s="40"/>
      <c r="V1959" s="40"/>
      <c r="W1959" s="40"/>
      <c r="X1959" s="40"/>
      <c r="Y1959" s="40"/>
      <c r="Z1959" s="40"/>
      <c r="AA1959" s="40"/>
      <c r="AB1959" s="40"/>
    </row>
    <row r="1960" ht="18.75" customHeight="1">
      <c r="A1960" s="18"/>
      <c r="B1960" s="22"/>
      <c r="C1960" s="213"/>
      <c r="D1960" s="213"/>
      <c r="E1960" s="24"/>
      <c r="F1960" s="215"/>
      <c r="G1960" s="26"/>
      <c r="H1960" s="199"/>
      <c r="I1960" s="29"/>
      <c r="J1960" s="192"/>
      <c r="K1960" s="31"/>
      <c r="L1960" s="200"/>
      <c r="M1960" s="212"/>
      <c r="N1960" s="3"/>
      <c r="O1960" s="40"/>
      <c r="P1960" s="40"/>
      <c r="Q1960" s="212"/>
      <c r="R1960" s="31"/>
      <c r="S1960" s="40"/>
      <c r="T1960" s="40"/>
      <c r="U1960" s="40"/>
      <c r="V1960" s="40"/>
      <c r="W1960" s="40"/>
      <c r="X1960" s="40"/>
      <c r="Y1960" s="40"/>
      <c r="Z1960" s="40"/>
      <c r="AA1960" s="40"/>
      <c r="AB1960" s="40"/>
    </row>
    <row r="1961" ht="18.75" customHeight="1">
      <c r="A1961" s="18"/>
      <c r="B1961" s="22"/>
      <c r="C1961" s="213"/>
      <c r="D1961" s="213"/>
      <c r="E1961" s="24"/>
      <c r="F1961" s="215"/>
      <c r="G1961" s="26"/>
      <c r="H1961" s="199"/>
      <c r="I1961" s="29"/>
      <c r="J1961" s="192"/>
      <c r="K1961" s="31"/>
      <c r="L1961" s="200"/>
      <c r="M1961" s="212"/>
      <c r="N1961" s="3"/>
      <c r="O1961" s="40"/>
      <c r="P1961" s="40"/>
      <c r="Q1961" s="212"/>
      <c r="R1961" s="31"/>
      <c r="S1961" s="40"/>
      <c r="T1961" s="40"/>
      <c r="U1961" s="40"/>
      <c r="V1961" s="40"/>
      <c r="W1961" s="40"/>
      <c r="X1961" s="40"/>
      <c r="Y1961" s="40"/>
      <c r="Z1961" s="40"/>
      <c r="AA1961" s="40"/>
      <c r="AB1961" s="40"/>
    </row>
    <row r="1962" ht="18.75" customHeight="1">
      <c r="A1962" s="18"/>
      <c r="B1962" s="22"/>
      <c r="C1962" s="213"/>
      <c r="D1962" s="213"/>
      <c r="E1962" s="24"/>
      <c r="F1962" s="215"/>
      <c r="G1962" s="26"/>
      <c r="H1962" s="199"/>
      <c r="I1962" s="29"/>
      <c r="J1962" s="192"/>
      <c r="K1962" s="31"/>
      <c r="L1962" s="200"/>
      <c r="M1962" s="212"/>
      <c r="N1962" s="3"/>
      <c r="O1962" s="40"/>
      <c r="P1962" s="40"/>
      <c r="Q1962" s="212"/>
      <c r="R1962" s="31"/>
      <c r="S1962" s="40"/>
      <c r="T1962" s="40"/>
      <c r="U1962" s="40"/>
      <c r="V1962" s="40"/>
      <c r="W1962" s="40"/>
      <c r="X1962" s="40"/>
      <c r="Y1962" s="40"/>
      <c r="Z1962" s="40"/>
      <c r="AA1962" s="40"/>
      <c r="AB1962" s="40"/>
    </row>
    <row r="1963" ht="18.75" customHeight="1">
      <c r="A1963" s="18"/>
      <c r="B1963" s="22"/>
      <c r="C1963" s="213"/>
      <c r="D1963" s="213"/>
      <c r="E1963" s="24"/>
      <c r="F1963" s="215"/>
      <c r="G1963" s="26"/>
      <c r="H1963" s="199"/>
      <c r="I1963" s="29"/>
      <c r="J1963" s="192"/>
      <c r="K1963" s="31"/>
      <c r="L1963" s="200"/>
      <c r="M1963" s="212"/>
      <c r="N1963" s="3"/>
      <c r="O1963" s="40"/>
      <c r="P1963" s="40"/>
      <c r="Q1963" s="212"/>
      <c r="R1963" s="31"/>
      <c r="S1963" s="40"/>
      <c r="T1963" s="40"/>
      <c r="U1963" s="40"/>
      <c r="V1963" s="40"/>
      <c r="W1963" s="40"/>
      <c r="X1963" s="40"/>
      <c r="Y1963" s="40"/>
      <c r="Z1963" s="40"/>
      <c r="AA1963" s="40"/>
      <c r="AB1963" s="40"/>
    </row>
    <row r="1964" ht="18.75" customHeight="1">
      <c r="A1964" s="18"/>
      <c r="B1964" s="22"/>
      <c r="C1964" s="213"/>
      <c r="D1964" s="213"/>
      <c r="E1964" s="24"/>
      <c r="F1964" s="215"/>
      <c r="G1964" s="26"/>
      <c r="H1964" s="199"/>
      <c r="I1964" s="29"/>
      <c r="J1964" s="192"/>
      <c r="K1964" s="31"/>
      <c r="L1964" s="200"/>
      <c r="M1964" s="212"/>
      <c r="N1964" s="3"/>
      <c r="O1964" s="40"/>
      <c r="P1964" s="40"/>
      <c r="Q1964" s="212"/>
      <c r="R1964" s="31"/>
      <c r="S1964" s="40"/>
      <c r="T1964" s="40"/>
      <c r="U1964" s="40"/>
      <c r="V1964" s="40"/>
      <c r="W1964" s="40"/>
      <c r="X1964" s="40"/>
      <c r="Y1964" s="40"/>
      <c r="Z1964" s="40"/>
      <c r="AA1964" s="40"/>
      <c r="AB1964" s="40"/>
    </row>
    <row r="1965" ht="18.75" customHeight="1">
      <c r="A1965" s="18"/>
      <c r="B1965" s="22"/>
      <c r="C1965" s="213"/>
      <c r="D1965" s="213"/>
      <c r="E1965" s="24"/>
      <c r="F1965" s="215"/>
      <c r="G1965" s="26"/>
      <c r="H1965" s="199"/>
      <c r="I1965" s="29"/>
      <c r="J1965" s="192"/>
      <c r="K1965" s="31"/>
      <c r="L1965" s="200"/>
      <c r="M1965" s="212"/>
      <c r="N1965" s="3"/>
      <c r="O1965" s="40"/>
      <c r="P1965" s="40"/>
      <c r="Q1965" s="212"/>
      <c r="R1965" s="31"/>
      <c r="S1965" s="40"/>
      <c r="T1965" s="40"/>
      <c r="U1965" s="40"/>
      <c r="V1965" s="40"/>
      <c r="W1965" s="40"/>
      <c r="X1965" s="40"/>
      <c r="Y1965" s="40"/>
      <c r="Z1965" s="40"/>
      <c r="AA1965" s="40"/>
      <c r="AB1965" s="40"/>
    </row>
    <row r="1966" ht="18.75" customHeight="1">
      <c r="A1966" s="18"/>
      <c r="B1966" s="22"/>
      <c r="C1966" s="213"/>
      <c r="D1966" s="213"/>
      <c r="E1966" s="24"/>
      <c r="F1966" s="215"/>
      <c r="G1966" s="26"/>
      <c r="H1966" s="199"/>
      <c r="I1966" s="29"/>
      <c r="J1966" s="192"/>
      <c r="K1966" s="31"/>
      <c r="L1966" s="200"/>
      <c r="M1966" s="212"/>
      <c r="N1966" s="3"/>
      <c r="O1966" s="40"/>
      <c r="P1966" s="40"/>
      <c r="Q1966" s="212"/>
      <c r="R1966" s="31"/>
      <c r="S1966" s="40"/>
      <c r="T1966" s="40"/>
      <c r="U1966" s="40"/>
      <c r="V1966" s="40"/>
      <c r="W1966" s="40"/>
      <c r="X1966" s="40"/>
      <c r="Y1966" s="40"/>
      <c r="Z1966" s="40"/>
      <c r="AA1966" s="40"/>
      <c r="AB1966" s="40"/>
    </row>
    <row r="1967" ht="18.75" customHeight="1">
      <c r="A1967" s="18"/>
      <c r="B1967" s="22"/>
      <c r="C1967" s="213"/>
      <c r="D1967" s="213"/>
      <c r="E1967" s="24"/>
      <c r="F1967" s="215"/>
      <c r="G1967" s="26"/>
      <c r="H1967" s="199"/>
      <c r="I1967" s="29"/>
      <c r="J1967" s="192"/>
      <c r="K1967" s="31"/>
      <c r="L1967" s="200"/>
      <c r="M1967" s="212"/>
      <c r="N1967" s="3"/>
      <c r="O1967" s="40"/>
      <c r="P1967" s="40"/>
      <c r="Q1967" s="212"/>
      <c r="R1967" s="31"/>
      <c r="S1967" s="40"/>
      <c r="T1967" s="40"/>
      <c r="U1967" s="40"/>
      <c r="V1967" s="40"/>
      <c r="W1967" s="40"/>
      <c r="X1967" s="40"/>
      <c r="Y1967" s="40"/>
      <c r="Z1967" s="40"/>
      <c r="AA1967" s="40"/>
      <c r="AB1967" s="40"/>
    </row>
    <row r="1968" ht="18.75" customHeight="1">
      <c r="A1968" s="18"/>
      <c r="B1968" s="22"/>
      <c r="C1968" s="213"/>
      <c r="D1968" s="213"/>
      <c r="E1968" s="24"/>
      <c r="F1968" s="215"/>
      <c r="G1968" s="26"/>
      <c r="H1968" s="199"/>
      <c r="I1968" s="29"/>
      <c r="J1968" s="192"/>
      <c r="K1968" s="31"/>
      <c r="L1968" s="200"/>
      <c r="M1968" s="212"/>
      <c r="N1968" s="3"/>
      <c r="O1968" s="40"/>
      <c r="P1968" s="40"/>
      <c r="Q1968" s="212"/>
      <c r="R1968" s="31"/>
      <c r="S1968" s="40"/>
      <c r="T1968" s="40"/>
      <c r="U1968" s="40"/>
      <c r="V1968" s="40"/>
      <c r="W1968" s="40"/>
      <c r="X1968" s="40"/>
      <c r="Y1968" s="40"/>
      <c r="Z1968" s="40"/>
      <c r="AA1968" s="40"/>
      <c r="AB1968" s="40"/>
    </row>
    <row r="1969" ht="18.75" customHeight="1">
      <c r="A1969" s="18"/>
      <c r="B1969" s="22"/>
      <c r="C1969" s="213"/>
      <c r="D1969" s="213"/>
      <c r="E1969" s="24"/>
      <c r="F1969" s="215"/>
      <c r="G1969" s="26"/>
      <c r="H1969" s="199"/>
      <c r="I1969" s="29"/>
      <c r="J1969" s="192"/>
      <c r="K1969" s="31"/>
      <c r="L1969" s="200"/>
      <c r="M1969" s="212"/>
      <c r="N1969" s="3"/>
      <c r="O1969" s="40"/>
      <c r="P1969" s="40"/>
      <c r="Q1969" s="212"/>
      <c r="R1969" s="31"/>
      <c r="S1969" s="40"/>
      <c r="T1969" s="40"/>
      <c r="U1969" s="40"/>
      <c r="V1969" s="40"/>
      <c r="W1969" s="40"/>
      <c r="X1969" s="40"/>
      <c r="Y1969" s="40"/>
      <c r="Z1969" s="40"/>
      <c r="AA1969" s="40"/>
      <c r="AB1969" s="40"/>
    </row>
    <row r="1970" ht="18.75" customHeight="1">
      <c r="A1970" s="18"/>
      <c r="B1970" s="22"/>
      <c r="C1970" s="213"/>
      <c r="D1970" s="213"/>
      <c r="E1970" s="24"/>
      <c r="F1970" s="215"/>
      <c r="G1970" s="26"/>
      <c r="H1970" s="199"/>
      <c r="I1970" s="29"/>
      <c r="J1970" s="192"/>
      <c r="K1970" s="31"/>
      <c r="L1970" s="200"/>
      <c r="M1970" s="212"/>
      <c r="N1970" s="3"/>
      <c r="O1970" s="40"/>
      <c r="P1970" s="40"/>
      <c r="Q1970" s="212"/>
      <c r="R1970" s="31"/>
      <c r="S1970" s="40"/>
      <c r="T1970" s="40"/>
      <c r="U1970" s="40"/>
      <c r="V1970" s="40"/>
      <c r="W1970" s="40"/>
      <c r="X1970" s="40"/>
      <c r="Y1970" s="40"/>
      <c r="Z1970" s="40"/>
      <c r="AA1970" s="40"/>
      <c r="AB1970" s="40"/>
    </row>
    <row r="1971" ht="18.75" customHeight="1">
      <c r="A1971" s="18"/>
      <c r="B1971" s="22"/>
      <c r="C1971" s="213"/>
      <c r="D1971" s="213"/>
      <c r="E1971" s="24"/>
      <c r="F1971" s="215"/>
      <c r="G1971" s="26"/>
      <c r="H1971" s="199"/>
      <c r="I1971" s="29"/>
      <c r="J1971" s="192"/>
      <c r="K1971" s="31"/>
      <c r="L1971" s="200"/>
      <c r="M1971" s="212"/>
      <c r="N1971" s="3"/>
      <c r="O1971" s="40"/>
      <c r="P1971" s="40"/>
      <c r="Q1971" s="212"/>
      <c r="R1971" s="31"/>
      <c r="S1971" s="40"/>
      <c r="T1971" s="40"/>
      <c r="U1971" s="40"/>
      <c r="V1971" s="40"/>
      <c r="W1971" s="40"/>
      <c r="X1971" s="40"/>
      <c r="Y1971" s="40"/>
      <c r="Z1971" s="40"/>
      <c r="AA1971" s="40"/>
      <c r="AB1971" s="40"/>
    </row>
    <row r="1972" ht="18.75" customHeight="1">
      <c r="A1972" s="18"/>
      <c r="B1972" s="22"/>
      <c r="C1972" s="213"/>
      <c r="D1972" s="213"/>
      <c r="E1972" s="24"/>
      <c r="F1972" s="215"/>
      <c r="G1972" s="26"/>
      <c r="H1972" s="199"/>
      <c r="I1972" s="29"/>
      <c r="J1972" s="192"/>
      <c r="K1972" s="31"/>
      <c r="L1972" s="200"/>
      <c r="M1972" s="212"/>
      <c r="N1972" s="3"/>
      <c r="O1972" s="40"/>
      <c r="P1972" s="40"/>
      <c r="Q1972" s="212"/>
      <c r="R1972" s="31"/>
      <c r="S1972" s="40"/>
      <c r="T1972" s="40"/>
      <c r="U1972" s="40"/>
      <c r="V1972" s="40"/>
      <c r="W1972" s="40"/>
      <c r="X1972" s="40"/>
      <c r="Y1972" s="40"/>
      <c r="Z1972" s="40"/>
      <c r="AA1972" s="40"/>
      <c r="AB1972" s="40"/>
    </row>
    <row r="1973" ht="18.75" customHeight="1">
      <c r="A1973" s="18"/>
      <c r="B1973" s="22"/>
      <c r="C1973" s="213"/>
      <c r="D1973" s="213"/>
      <c r="E1973" s="24"/>
      <c r="F1973" s="215"/>
      <c r="G1973" s="26"/>
      <c r="H1973" s="199"/>
      <c r="I1973" s="29"/>
      <c r="J1973" s="192"/>
      <c r="K1973" s="31"/>
      <c r="L1973" s="200"/>
      <c r="M1973" s="212"/>
      <c r="N1973" s="3"/>
      <c r="O1973" s="40"/>
      <c r="P1973" s="40"/>
      <c r="Q1973" s="212"/>
      <c r="R1973" s="31"/>
      <c r="S1973" s="40"/>
      <c r="T1973" s="40"/>
      <c r="U1973" s="40"/>
      <c r="V1973" s="40"/>
      <c r="W1973" s="40"/>
      <c r="X1973" s="40"/>
      <c r="Y1973" s="40"/>
      <c r="Z1973" s="40"/>
      <c r="AA1973" s="40"/>
      <c r="AB1973" s="40"/>
    </row>
    <row r="1974" ht="18.75" customHeight="1">
      <c r="A1974" s="18"/>
      <c r="B1974" s="22"/>
      <c r="C1974" s="213"/>
      <c r="D1974" s="213"/>
      <c r="E1974" s="24"/>
      <c r="F1974" s="215"/>
      <c r="G1974" s="26"/>
      <c r="H1974" s="199"/>
      <c r="I1974" s="29"/>
      <c r="J1974" s="192"/>
      <c r="K1974" s="31"/>
      <c r="L1974" s="200"/>
      <c r="M1974" s="212"/>
      <c r="N1974" s="3"/>
      <c r="O1974" s="40"/>
      <c r="P1974" s="40"/>
      <c r="Q1974" s="212"/>
      <c r="R1974" s="31"/>
      <c r="S1974" s="40"/>
      <c r="T1974" s="40"/>
      <c r="U1974" s="40"/>
      <c r="V1974" s="40"/>
      <c r="W1974" s="40"/>
      <c r="X1974" s="40"/>
      <c r="Y1974" s="40"/>
      <c r="Z1974" s="40"/>
      <c r="AA1974" s="40"/>
      <c r="AB1974" s="40"/>
    </row>
    <row r="1975" ht="18.75" customHeight="1">
      <c r="A1975" s="18"/>
      <c r="B1975" s="22"/>
      <c r="C1975" s="213"/>
      <c r="D1975" s="213"/>
      <c r="E1975" s="24"/>
      <c r="F1975" s="215"/>
      <c r="G1975" s="26"/>
      <c r="H1975" s="199"/>
      <c r="I1975" s="29"/>
      <c r="J1975" s="192"/>
      <c r="K1975" s="31"/>
      <c r="L1975" s="200"/>
      <c r="M1975" s="212"/>
      <c r="N1975" s="3"/>
      <c r="O1975" s="40"/>
      <c r="P1975" s="40"/>
      <c r="Q1975" s="212"/>
      <c r="R1975" s="31"/>
      <c r="S1975" s="40"/>
      <c r="T1975" s="40"/>
      <c r="U1975" s="40"/>
      <c r="V1975" s="40"/>
      <c r="W1975" s="40"/>
      <c r="X1975" s="40"/>
      <c r="Y1975" s="40"/>
      <c r="Z1975" s="40"/>
      <c r="AA1975" s="40"/>
      <c r="AB1975" s="40"/>
    </row>
    <row r="1976" ht="18.75" customHeight="1">
      <c r="A1976" s="18"/>
      <c r="B1976" s="22"/>
      <c r="C1976" s="213"/>
      <c r="D1976" s="213"/>
      <c r="E1976" s="24"/>
      <c r="F1976" s="215"/>
      <c r="G1976" s="26"/>
      <c r="H1976" s="199"/>
      <c r="I1976" s="29"/>
      <c r="J1976" s="192"/>
      <c r="K1976" s="31"/>
      <c r="L1976" s="200"/>
      <c r="M1976" s="212"/>
      <c r="N1976" s="3"/>
      <c r="O1976" s="40"/>
      <c r="P1976" s="40"/>
      <c r="Q1976" s="212"/>
      <c r="R1976" s="31"/>
      <c r="S1976" s="40"/>
      <c r="T1976" s="40"/>
      <c r="U1976" s="40"/>
      <c r="V1976" s="40"/>
      <c r="W1976" s="40"/>
      <c r="X1976" s="40"/>
      <c r="Y1976" s="40"/>
      <c r="Z1976" s="40"/>
      <c r="AA1976" s="40"/>
      <c r="AB1976" s="40"/>
    </row>
    <row r="1977" ht="18.75" customHeight="1">
      <c r="A1977" s="18"/>
      <c r="B1977" s="22"/>
      <c r="C1977" s="213"/>
      <c r="D1977" s="213"/>
      <c r="E1977" s="24"/>
      <c r="F1977" s="215"/>
      <c r="G1977" s="26"/>
      <c r="H1977" s="199"/>
      <c r="I1977" s="29"/>
      <c r="J1977" s="192"/>
      <c r="K1977" s="31"/>
      <c r="L1977" s="200"/>
      <c r="M1977" s="212"/>
      <c r="N1977" s="3"/>
      <c r="O1977" s="40"/>
      <c r="P1977" s="40"/>
      <c r="Q1977" s="212"/>
      <c r="R1977" s="31"/>
      <c r="S1977" s="40"/>
      <c r="T1977" s="40"/>
      <c r="U1977" s="40"/>
      <c r="V1977" s="40"/>
      <c r="W1977" s="40"/>
      <c r="X1977" s="40"/>
      <c r="Y1977" s="40"/>
      <c r="Z1977" s="40"/>
      <c r="AA1977" s="40"/>
      <c r="AB1977" s="40"/>
    </row>
    <row r="1978" ht="18.75" customHeight="1">
      <c r="A1978" s="18"/>
      <c r="B1978" s="22"/>
      <c r="C1978" s="213"/>
      <c r="D1978" s="213"/>
      <c r="E1978" s="24"/>
      <c r="F1978" s="215"/>
      <c r="G1978" s="26"/>
      <c r="H1978" s="199"/>
      <c r="I1978" s="29"/>
      <c r="J1978" s="192"/>
      <c r="K1978" s="31"/>
      <c r="L1978" s="200"/>
      <c r="M1978" s="212"/>
      <c r="N1978" s="3"/>
      <c r="O1978" s="40"/>
      <c r="P1978" s="40"/>
      <c r="Q1978" s="212"/>
      <c r="R1978" s="31"/>
      <c r="S1978" s="40"/>
      <c r="T1978" s="40"/>
      <c r="U1978" s="40"/>
      <c r="V1978" s="40"/>
      <c r="W1978" s="40"/>
      <c r="X1978" s="40"/>
      <c r="Y1978" s="40"/>
      <c r="Z1978" s="40"/>
      <c r="AA1978" s="40"/>
      <c r="AB1978" s="40"/>
    </row>
    <row r="1979" ht="18.75" customHeight="1">
      <c r="A1979" s="18"/>
      <c r="B1979" s="22"/>
      <c r="C1979" s="213"/>
      <c r="D1979" s="213"/>
      <c r="E1979" s="24"/>
      <c r="F1979" s="215"/>
      <c r="G1979" s="26"/>
      <c r="H1979" s="199"/>
      <c r="I1979" s="29"/>
      <c r="J1979" s="192"/>
      <c r="K1979" s="31"/>
      <c r="L1979" s="200"/>
      <c r="M1979" s="212"/>
      <c r="N1979" s="3"/>
      <c r="O1979" s="40"/>
      <c r="P1979" s="40"/>
      <c r="Q1979" s="212"/>
      <c r="R1979" s="31"/>
      <c r="S1979" s="40"/>
      <c r="T1979" s="40"/>
      <c r="U1979" s="40"/>
      <c r="V1979" s="40"/>
      <c r="W1979" s="40"/>
      <c r="X1979" s="40"/>
      <c r="Y1979" s="40"/>
      <c r="Z1979" s="40"/>
      <c r="AA1979" s="40"/>
      <c r="AB1979" s="40"/>
    </row>
    <row r="1980" ht="18.75" customHeight="1">
      <c r="A1980" s="18"/>
      <c r="B1980" s="22"/>
      <c r="C1980" s="213"/>
      <c r="D1980" s="213"/>
      <c r="E1980" s="24"/>
      <c r="F1980" s="215"/>
      <c r="G1980" s="26"/>
      <c r="H1980" s="199"/>
      <c r="I1980" s="29"/>
      <c r="J1980" s="192"/>
      <c r="K1980" s="31"/>
      <c r="L1980" s="200"/>
      <c r="M1980" s="212"/>
      <c r="N1980" s="3"/>
      <c r="O1980" s="40"/>
      <c r="P1980" s="40"/>
      <c r="Q1980" s="212"/>
      <c r="R1980" s="31"/>
      <c r="S1980" s="40"/>
      <c r="T1980" s="40"/>
      <c r="U1980" s="40"/>
      <c r="V1980" s="40"/>
      <c r="W1980" s="40"/>
      <c r="X1980" s="40"/>
      <c r="Y1980" s="40"/>
      <c r="Z1980" s="40"/>
      <c r="AA1980" s="40"/>
      <c r="AB1980" s="40"/>
    </row>
    <row r="1981" ht="18.75" customHeight="1">
      <c r="A1981" s="18"/>
      <c r="B1981" s="22"/>
      <c r="C1981" s="213"/>
      <c r="D1981" s="213"/>
      <c r="E1981" s="24"/>
      <c r="F1981" s="215"/>
      <c r="G1981" s="26"/>
      <c r="H1981" s="199"/>
      <c r="I1981" s="29"/>
      <c r="J1981" s="192"/>
      <c r="K1981" s="31"/>
      <c r="L1981" s="200"/>
      <c r="M1981" s="212"/>
      <c r="N1981" s="3"/>
      <c r="O1981" s="40"/>
      <c r="P1981" s="40"/>
      <c r="Q1981" s="212"/>
      <c r="R1981" s="31"/>
      <c r="S1981" s="40"/>
      <c r="T1981" s="40"/>
      <c r="U1981" s="40"/>
      <c r="V1981" s="40"/>
      <c r="W1981" s="40"/>
      <c r="X1981" s="40"/>
      <c r="Y1981" s="40"/>
      <c r="Z1981" s="40"/>
      <c r="AA1981" s="40"/>
      <c r="AB1981" s="40"/>
    </row>
    <row r="1982" ht="18.75" customHeight="1">
      <c r="A1982" s="18"/>
      <c r="B1982" s="22"/>
      <c r="C1982" s="213"/>
      <c r="D1982" s="213"/>
      <c r="E1982" s="24"/>
      <c r="F1982" s="215"/>
      <c r="G1982" s="26"/>
      <c r="H1982" s="199"/>
      <c r="I1982" s="29"/>
      <c r="J1982" s="192"/>
      <c r="K1982" s="31"/>
      <c r="L1982" s="200"/>
      <c r="M1982" s="212"/>
      <c r="N1982" s="3"/>
      <c r="O1982" s="40"/>
      <c r="P1982" s="40"/>
      <c r="Q1982" s="212"/>
      <c r="R1982" s="31"/>
      <c r="S1982" s="40"/>
      <c r="T1982" s="40"/>
      <c r="U1982" s="40"/>
      <c r="V1982" s="40"/>
      <c r="W1982" s="40"/>
      <c r="X1982" s="40"/>
      <c r="Y1982" s="40"/>
      <c r="Z1982" s="40"/>
      <c r="AA1982" s="40"/>
      <c r="AB1982" s="40"/>
    </row>
    <row r="1983" ht="18.75" customHeight="1">
      <c r="A1983" s="18"/>
      <c r="B1983" s="22"/>
      <c r="C1983" s="213"/>
      <c r="D1983" s="213"/>
      <c r="E1983" s="24"/>
      <c r="F1983" s="215"/>
      <c r="G1983" s="26"/>
      <c r="H1983" s="199"/>
      <c r="I1983" s="29"/>
      <c r="J1983" s="192"/>
      <c r="K1983" s="31"/>
      <c r="L1983" s="200"/>
      <c r="M1983" s="212"/>
      <c r="N1983" s="3"/>
      <c r="O1983" s="40"/>
      <c r="P1983" s="40"/>
      <c r="Q1983" s="212"/>
      <c r="R1983" s="31"/>
      <c r="S1983" s="40"/>
      <c r="T1983" s="40"/>
      <c r="U1983" s="40"/>
      <c r="V1983" s="40"/>
      <c r="W1983" s="40"/>
      <c r="X1983" s="40"/>
      <c r="Y1983" s="40"/>
      <c r="Z1983" s="40"/>
      <c r="AA1983" s="40"/>
      <c r="AB1983" s="40"/>
    </row>
    <row r="1984" ht="18.75" customHeight="1">
      <c r="A1984" s="18"/>
      <c r="B1984" s="22"/>
      <c r="C1984" s="213"/>
      <c r="D1984" s="213"/>
      <c r="E1984" s="24"/>
      <c r="F1984" s="215"/>
      <c r="G1984" s="26"/>
      <c r="H1984" s="199"/>
      <c r="I1984" s="29"/>
      <c r="J1984" s="192"/>
      <c r="K1984" s="31"/>
      <c r="L1984" s="200"/>
      <c r="M1984" s="212"/>
      <c r="N1984" s="3"/>
      <c r="O1984" s="40"/>
      <c r="P1984" s="40"/>
      <c r="Q1984" s="212"/>
      <c r="R1984" s="31"/>
      <c r="S1984" s="40"/>
      <c r="T1984" s="40"/>
      <c r="U1984" s="40"/>
      <c r="V1984" s="40"/>
      <c r="W1984" s="40"/>
      <c r="X1984" s="40"/>
      <c r="Y1984" s="40"/>
      <c r="Z1984" s="40"/>
      <c r="AA1984" s="40"/>
      <c r="AB1984" s="40"/>
    </row>
    <row r="1985" ht="18.75" customHeight="1">
      <c r="A1985" s="18"/>
      <c r="B1985" s="22"/>
      <c r="C1985" s="213"/>
      <c r="D1985" s="213"/>
      <c r="E1985" s="24"/>
      <c r="F1985" s="215"/>
      <c r="G1985" s="26"/>
      <c r="H1985" s="199"/>
      <c r="I1985" s="29"/>
      <c r="J1985" s="192"/>
      <c r="K1985" s="31"/>
      <c r="L1985" s="200"/>
      <c r="M1985" s="212"/>
      <c r="N1985" s="3"/>
      <c r="O1985" s="40"/>
      <c r="P1985" s="40"/>
      <c r="Q1985" s="212"/>
      <c r="R1985" s="31"/>
      <c r="S1985" s="40"/>
      <c r="T1985" s="40"/>
      <c r="U1985" s="40"/>
      <c r="V1985" s="40"/>
      <c r="W1985" s="40"/>
      <c r="X1985" s="40"/>
      <c r="Y1985" s="40"/>
      <c r="Z1985" s="40"/>
      <c r="AA1985" s="40"/>
      <c r="AB1985" s="40"/>
    </row>
    <row r="1986" ht="18.75" customHeight="1">
      <c r="A1986" s="18"/>
      <c r="B1986" s="22"/>
      <c r="C1986" s="213"/>
      <c r="D1986" s="213"/>
      <c r="E1986" s="24"/>
      <c r="F1986" s="215"/>
      <c r="G1986" s="26"/>
      <c r="H1986" s="199"/>
      <c r="I1986" s="29"/>
      <c r="J1986" s="192"/>
      <c r="K1986" s="31"/>
      <c r="L1986" s="200"/>
      <c r="M1986" s="212"/>
      <c r="N1986" s="3"/>
      <c r="O1986" s="40"/>
      <c r="P1986" s="40"/>
      <c r="Q1986" s="212"/>
      <c r="R1986" s="31"/>
      <c r="S1986" s="40"/>
      <c r="T1986" s="40"/>
      <c r="U1986" s="40"/>
      <c r="V1986" s="40"/>
      <c r="W1986" s="40"/>
      <c r="X1986" s="40"/>
      <c r="Y1986" s="40"/>
      <c r="Z1986" s="40"/>
      <c r="AA1986" s="40"/>
      <c r="AB1986" s="40"/>
    </row>
    <row r="1987" ht="18.75" customHeight="1">
      <c r="A1987" s="18"/>
      <c r="B1987" s="22"/>
      <c r="C1987" s="213"/>
      <c r="D1987" s="213"/>
      <c r="E1987" s="24"/>
      <c r="F1987" s="215"/>
      <c r="G1987" s="26"/>
      <c r="H1987" s="199"/>
      <c r="I1987" s="29"/>
      <c r="J1987" s="192"/>
      <c r="K1987" s="31"/>
      <c r="L1987" s="200"/>
      <c r="M1987" s="212"/>
      <c r="N1987" s="3"/>
      <c r="O1987" s="40"/>
      <c r="P1987" s="40"/>
      <c r="Q1987" s="212"/>
      <c r="R1987" s="31"/>
      <c r="S1987" s="40"/>
      <c r="T1987" s="40"/>
      <c r="U1987" s="40"/>
      <c r="V1987" s="40"/>
      <c r="W1987" s="40"/>
      <c r="X1987" s="40"/>
      <c r="Y1987" s="40"/>
      <c r="Z1987" s="40"/>
      <c r="AA1987" s="40"/>
      <c r="AB1987" s="40"/>
    </row>
    <row r="1988" ht="18.75" customHeight="1">
      <c r="A1988" s="18"/>
      <c r="B1988" s="22"/>
      <c r="C1988" s="213"/>
      <c r="D1988" s="213"/>
      <c r="E1988" s="24"/>
      <c r="F1988" s="215"/>
      <c r="G1988" s="26"/>
      <c r="H1988" s="199"/>
      <c r="I1988" s="29"/>
      <c r="J1988" s="192"/>
      <c r="K1988" s="31"/>
      <c r="L1988" s="200"/>
      <c r="M1988" s="212"/>
      <c r="N1988" s="3"/>
      <c r="O1988" s="40"/>
      <c r="P1988" s="40"/>
      <c r="Q1988" s="212"/>
      <c r="R1988" s="31"/>
      <c r="S1988" s="40"/>
      <c r="T1988" s="40"/>
      <c r="U1988" s="40"/>
      <c r="V1988" s="40"/>
      <c r="W1988" s="40"/>
      <c r="X1988" s="40"/>
      <c r="Y1988" s="40"/>
      <c r="Z1988" s="40"/>
      <c r="AA1988" s="40"/>
      <c r="AB1988" s="40"/>
    </row>
    <row r="1989" ht="18.75" customHeight="1">
      <c r="A1989" s="18"/>
      <c r="B1989" s="22"/>
      <c r="C1989" s="213"/>
      <c r="D1989" s="213"/>
      <c r="E1989" s="24"/>
      <c r="F1989" s="215"/>
      <c r="G1989" s="26"/>
      <c r="H1989" s="199"/>
      <c r="I1989" s="29"/>
      <c r="J1989" s="192"/>
      <c r="K1989" s="31"/>
      <c r="L1989" s="200"/>
      <c r="M1989" s="212"/>
      <c r="N1989" s="3"/>
      <c r="O1989" s="40"/>
      <c r="P1989" s="40"/>
      <c r="Q1989" s="212"/>
      <c r="R1989" s="31"/>
      <c r="S1989" s="40"/>
      <c r="T1989" s="40"/>
      <c r="U1989" s="40"/>
      <c r="V1989" s="40"/>
      <c r="W1989" s="40"/>
      <c r="X1989" s="40"/>
      <c r="Y1989" s="40"/>
      <c r="Z1989" s="40"/>
      <c r="AA1989" s="40"/>
      <c r="AB1989" s="40"/>
    </row>
    <row r="1990" ht="18.75" customHeight="1">
      <c r="A1990" s="18"/>
      <c r="B1990" s="22"/>
      <c r="C1990" s="213"/>
      <c r="D1990" s="213"/>
      <c r="E1990" s="24"/>
      <c r="F1990" s="215"/>
      <c r="G1990" s="26"/>
      <c r="H1990" s="199"/>
      <c r="I1990" s="29"/>
      <c r="J1990" s="192"/>
      <c r="K1990" s="31"/>
      <c r="L1990" s="200"/>
      <c r="M1990" s="212"/>
      <c r="N1990" s="3"/>
      <c r="O1990" s="40"/>
      <c r="P1990" s="40"/>
      <c r="Q1990" s="212"/>
      <c r="R1990" s="31"/>
      <c r="S1990" s="40"/>
      <c r="T1990" s="40"/>
      <c r="U1990" s="40"/>
      <c r="V1990" s="40"/>
      <c r="W1990" s="40"/>
      <c r="X1990" s="40"/>
      <c r="Y1990" s="40"/>
      <c r="Z1990" s="40"/>
      <c r="AA1990" s="40"/>
      <c r="AB1990" s="40"/>
    </row>
    <row r="1991" ht="18.75" customHeight="1">
      <c r="A1991" s="18"/>
      <c r="B1991" s="22"/>
      <c r="C1991" s="213"/>
      <c r="D1991" s="213"/>
      <c r="E1991" s="24"/>
      <c r="F1991" s="215"/>
      <c r="G1991" s="26"/>
      <c r="H1991" s="199"/>
      <c r="I1991" s="29"/>
      <c r="J1991" s="192"/>
      <c r="K1991" s="31"/>
      <c r="L1991" s="200"/>
      <c r="M1991" s="212"/>
      <c r="N1991" s="3"/>
      <c r="O1991" s="40"/>
      <c r="P1991" s="40"/>
      <c r="Q1991" s="212"/>
      <c r="R1991" s="31"/>
      <c r="S1991" s="40"/>
      <c r="T1991" s="40"/>
      <c r="U1991" s="40"/>
      <c r="V1991" s="40"/>
      <c r="W1991" s="40"/>
      <c r="X1991" s="40"/>
      <c r="Y1991" s="40"/>
      <c r="Z1991" s="40"/>
      <c r="AA1991" s="40"/>
      <c r="AB1991" s="40"/>
    </row>
    <row r="1992" ht="18.75" customHeight="1">
      <c r="A1992" s="18"/>
      <c r="B1992" s="22"/>
      <c r="C1992" s="213"/>
      <c r="D1992" s="213"/>
      <c r="E1992" s="24"/>
      <c r="F1992" s="215"/>
      <c r="G1992" s="26"/>
      <c r="H1992" s="199"/>
      <c r="I1992" s="29"/>
      <c r="J1992" s="192"/>
      <c r="K1992" s="31"/>
      <c r="L1992" s="200"/>
      <c r="M1992" s="212"/>
      <c r="N1992" s="3"/>
      <c r="O1992" s="40"/>
      <c r="P1992" s="40"/>
      <c r="Q1992" s="212"/>
      <c r="R1992" s="31"/>
      <c r="S1992" s="40"/>
      <c r="T1992" s="40"/>
      <c r="U1992" s="40"/>
      <c r="V1992" s="40"/>
      <c r="W1992" s="40"/>
      <c r="X1992" s="40"/>
      <c r="Y1992" s="40"/>
      <c r="Z1992" s="40"/>
      <c r="AA1992" s="40"/>
      <c r="AB1992" s="40"/>
    </row>
    <row r="1993" ht="18.75" customHeight="1">
      <c r="A1993" s="18"/>
      <c r="B1993" s="22"/>
      <c r="C1993" s="213"/>
      <c r="D1993" s="213"/>
      <c r="E1993" s="24"/>
      <c r="F1993" s="215"/>
      <c r="G1993" s="26"/>
      <c r="H1993" s="199"/>
      <c r="I1993" s="29"/>
      <c r="J1993" s="192"/>
      <c r="K1993" s="31"/>
      <c r="L1993" s="200"/>
      <c r="M1993" s="212"/>
      <c r="N1993" s="3"/>
      <c r="O1993" s="40"/>
      <c r="P1993" s="40"/>
      <c r="Q1993" s="212"/>
      <c r="R1993" s="31"/>
      <c r="S1993" s="40"/>
      <c r="T1993" s="40"/>
      <c r="U1993" s="40"/>
      <c r="V1993" s="40"/>
      <c r="W1993" s="40"/>
      <c r="X1993" s="40"/>
      <c r="Y1993" s="40"/>
      <c r="Z1993" s="40"/>
      <c r="AA1993" s="40"/>
      <c r="AB1993" s="40"/>
    </row>
    <row r="1994" ht="18.75" customHeight="1">
      <c r="A1994" s="18"/>
      <c r="B1994" s="22"/>
      <c r="C1994" s="213"/>
      <c r="D1994" s="213"/>
      <c r="E1994" s="24"/>
      <c r="F1994" s="215"/>
      <c r="G1994" s="26"/>
      <c r="H1994" s="199"/>
      <c r="I1994" s="29"/>
      <c r="J1994" s="192"/>
      <c r="K1994" s="31"/>
      <c r="L1994" s="200"/>
      <c r="M1994" s="212"/>
      <c r="N1994" s="3"/>
      <c r="O1994" s="40"/>
      <c r="P1994" s="40"/>
      <c r="Q1994" s="212"/>
      <c r="R1994" s="31"/>
      <c r="S1994" s="40"/>
      <c r="T1994" s="40"/>
      <c r="U1994" s="40"/>
      <c r="V1994" s="40"/>
      <c r="W1994" s="40"/>
      <c r="X1994" s="40"/>
      <c r="Y1994" s="40"/>
      <c r="Z1994" s="40"/>
      <c r="AA1994" s="40"/>
      <c r="AB1994" s="40"/>
    </row>
    <row r="1995" ht="18.75" customHeight="1">
      <c r="A1995" s="18"/>
      <c r="B1995" s="22"/>
      <c r="C1995" s="213"/>
      <c r="D1995" s="213"/>
      <c r="E1995" s="24"/>
      <c r="F1995" s="215"/>
      <c r="G1995" s="26"/>
      <c r="H1995" s="199"/>
      <c r="I1995" s="29"/>
      <c r="J1995" s="192"/>
      <c r="K1995" s="31"/>
      <c r="L1995" s="200"/>
      <c r="M1995" s="212"/>
      <c r="N1995" s="3"/>
      <c r="O1995" s="40"/>
      <c r="P1995" s="40"/>
      <c r="Q1995" s="212"/>
      <c r="R1995" s="31"/>
      <c r="S1995" s="40"/>
      <c r="T1995" s="40"/>
      <c r="U1995" s="40"/>
      <c r="V1995" s="40"/>
      <c r="W1995" s="40"/>
      <c r="X1995" s="40"/>
      <c r="Y1995" s="40"/>
      <c r="Z1995" s="40"/>
      <c r="AA1995" s="40"/>
      <c r="AB1995" s="40"/>
    </row>
    <row r="1996" ht="18.75" customHeight="1">
      <c r="A1996" s="18"/>
      <c r="B1996" s="22"/>
      <c r="C1996" s="213"/>
      <c r="D1996" s="213"/>
      <c r="E1996" s="24"/>
      <c r="F1996" s="215"/>
      <c r="G1996" s="26"/>
      <c r="H1996" s="199"/>
      <c r="I1996" s="29"/>
      <c r="J1996" s="192"/>
      <c r="K1996" s="31"/>
      <c r="L1996" s="200"/>
      <c r="M1996" s="212"/>
      <c r="N1996" s="3"/>
      <c r="O1996" s="40"/>
      <c r="P1996" s="40"/>
      <c r="Q1996" s="212"/>
      <c r="R1996" s="31"/>
      <c r="S1996" s="40"/>
      <c r="T1996" s="40"/>
      <c r="U1996" s="40"/>
      <c r="V1996" s="40"/>
      <c r="W1996" s="40"/>
      <c r="X1996" s="40"/>
      <c r="Y1996" s="40"/>
      <c r="Z1996" s="40"/>
      <c r="AA1996" s="40"/>
      <c r="AB1996" s="40"/>
    </row>
    <row r="1997" ht="18.75" customHeight="1">
      <c r="A1997" s="18"/>
      <c r="B1997" s="22"/>
      <c r="C1997" s="213"/>
      <c r="D1997" s="213"/>
      <c r="E1997" s="24"/>
      <c r="F1997" s="215"/>
      <c r="G1997" s="26"/>
      <c r="H1997" s="199"/>
      <c r="I1997" s="29"/>
      <c r="J1997" s="192"/>
      <c r="K1997" s="31"/>
      <c r="L1997" s="200"/>
      <c r="M1997" s="212"/>
      <c r="N1997" s="3"/>
      <c r="O1997" s="40"/>
      <c r="P1997" s="40"/>
      <c r="Q1997" s="212"/>
      <c r="R1997" s="31"/>
      <c r="S1997" s="40"/>
      <c r="T1997" s="40"/>
      <c r="U1997" s="40"/>
      <c r="V1997" s="40"/>
      <c r="W1997" s="40"/>
      <c r="X1997" s="40"/>
      <c r="Y1997" s="40"/>
      <c r="Z1997" s="40"/>
      <c r="AA1997" s="40"/>
      <c r="AB1997" s="40"/>
    </row>
    <row r="1998" ht="18.75" customHeight="1">
      <c r="A1998" s="18"/>
      <c r="B1998" s="22"/>
      <c r="C1998" s="213"/>
      <c r="D1998" s="213"/>
      <c r="E1998" s="24"/>
      <c r="F1998" s="215"/>
      <c r="G1998" s="26"/>
      <c r="H1998" s="199"/>
      <c r="I1998" s="29"/>
      <c r="J1998" s="192"/>
      <c r="K1998" s="31"/>
      <c r="L1998" s="200"/>
      <c r="M1998" s="212"/>
      <c r="N1998" s="3"/>
      <c r="O1998" s="40"/>
      <c r="P1998" s="40"/>
      <c r="Q1998" s="212"/>
      <c r="R1998" s="31"/>
      <c r="S1998" s="40"/>
      <c r="T1998" s="40"/>
      <c r="U1998" s="40"/>
      <c r="V1998" s="40"/>
      <c r="W1998" s="40"/>
      <c r="X1998" s="40"/>
      <c r="Y1998" s="40"/>
      <c r="Z1998" s="40"/>
      <c r="AA1998" s="40"/>
      <c r="AB1998" s="40"/>
    </row>
    <row r="1999" ht="18.75" customHeight="1">
      <c r="A1999" s="18"/>
      <c r="B1999" s="22"/>
      <c r="C1999" s="213"/>
      <c r="D1999" s="213"/>
      <c r="E1999" s="24"/>
      <c r="F1999" s="215"/>
      <c r="G1999" s="26"/>
      <c r="H1999" s="199"/>
      <c r="I1999" s="29"/>
      <c r="J1999" s="192"/>
      <c r="K1999" s="31"/>
      <c r="L1999" s="200"/>
      <c r="M1999" s="212"/>
      <c r="N1999" s="3"/>
      <c r="O1999" s="40"/>
      <c r="P1999" s="40"/>
      <c r="Q1999" s="212"/>
      <c r="R1999" s="31"/>
      <c r="S1999" s="40"/>
      <c r="T1999" s="40"/>
      <c r="U1999" s="40"/>
      <c r="V1999" s="40"/>
      <c r="W1999" s="40"/>
      <c r="X1999" s="40"/>
      <c r="Y1999" s="40"/>
      <c r="Z1999" s="40"/>
      <c r="AA1999" s="40"/>
      <c r="AB1999" s="40"/>
    </row>
    <row r="2000" ht="18.75" customHeight="1">
      <c r="A2000" s="18"/>
      <c r="B2000" s="22"/>
      <c r="C2000" s="213"/>
      <c r="D2000" s="213"/>
      <c r="E2000" s="24"/>
      <c r="F2000" s="215"/>
      <c r="G2000" s="26"/>
      <c r="H2000" s="199"/>
      <c r="I2000" s="29"/>
      <c r="J2000" s="192"/>
      <c r="K2000" s="31"/>
      <c r="L2000" s="200"/>
      <c r="M2000" s="212"/>
      <c r="N2000" s="3"/>
      <c r="O2000" s="40"/>
      <c r="P2000" s="40"/>
      <c r="Q2000" s="212"/>
      <c r="R2000" s="31"/>
      <c r="S2000" s="40"/>
      <c r="T2000" s="40"/>
      <c r="U2000" s="40"/>
      <c r="V2000" s="40"/>
      <c r="W2000" s="40"/>
      <c r="X2000" s="40"/>
      <c r="Y2000" s="40"/>
      <c r="Z2000" s="40"/>
      <c r="AA2000" s="40"/>
      <c r="AB2000" s="40"/>
    </row>
    <row r="2001" ht="18.75" customHeight="1">
      <c r="A2001" s="18"/>
      <c r="B2001" s="22"/>
      <c r="C2001" s="213"/>
      <c r="D2001" s="213"/>
      <c r="E2001" s="24"/>
      <c r="F2001" s="215"/>
      <c r="G2001" s="26"/>
      <c r="H2001" s="199"/>
      <c r="I2001" s="29"/>
      <c r="J2001" s="192"/>
      <c r="K2001" s="31"/>
      <c r="L2001" s="200"/>
      <c r="M2001" s="212"/>
      <c r="N2001" s="3"/>
      <c r="O2001" s="40"/>
      <c r="P2001" s="40"/>
      <c r="Q2001" s="212"/>
      <c r="R2001" s="31"/>
      <c r="S2001" s="40"/>
      <c r="T2001" s="40"/>
      <c r="U2001" s="40"/>
      <c r="V2001" s="40"/>
      <c r="W2001" s="40"/>
      <c r="X2001" s="40"/>
      <c r="Y2001" s="40"/>
      <c r="Z2001" s="40"/>
      <c r="AA2001" s="40"/>
      <c r="AB2001" s="40"/>
    </row>
    <row r="2002" ht="18.75" customHeight="1">
      <c r="A2002" s="18"/>
      <c r="B2002" s="22"/>
      <c r="C2002" s="213"/>
      <c r="D2002" s="213"/>
      <c r="E2002" s="24"/>
      <c r="F2002" s="215"/>
      <c r="G2002" s="26"/>
      <c r="H2002" s="199"/>
      <c r="I2002" s="29"/>
      <c r="J2002" s="192"/>
      <c r="K2002" s="31"/>
      <c r="L2002" s="200"/>
      <c r="M2002" s="212"/>
      <c r="N2002" s="3"/>
      <c r="O2002" s="40"/>
      <c r="P2002" s="40"/>
      <c r="Q2002" s="212"/>
      <c r="R2002" s="31"/>
      <c r="S2002" s="40"/>
      <c r="T2002" s="40"/>
      <c r="U2002" s="40"/>
      <c r="V2002" s="40"/>
      <c r="W2002" s="40"/>
      <c r="X2002" s="40"/>
      <c r="Y2002" s="40"/>
      <c r="Z2002" s="40"/>
      <c r="AA2002" s="40"/>
      <c r="AB2002" s="40"/>
    </row>
    <row r="2003" ht="18.75" customHeight="1">
      <c r="A2003" s="18"/>
      <c r="B2003" s="22"/>
      <c r="C2003" s="213"/>
      <c r="D2003" s="213"/>
      <c r="E2003" s="24"/>
      <c r="F2003" s="215"/>
      <c r="G2003" s="26"/>
      <c r="H2003" s="199"/>
      <c r="I2003" s="29"/>
      <c r="J2003" s="192"/>
      <c r="K2003" s="31"/>
      <c r="L2003" s="200"/>
      <c r="M2003" s="212"/>
      <c r="N2003" s="3"/>
      <c r="O2003" s="40"/>
      <c r="P2003" s="40"/>
      <c r="Q2003" s="212"/>
      <c r="R2003" s="31"/>
      <c r="S2003" s="40"/>
      <c r="T2003" s="40"/>
      <c r="U2003" s="40"/>
      <c r="V2003" s="40"/>
      <c r="W2003" s="40"/>
      <c r="X2003" s="40"/>
      <c r="Y2003" s="40"/>
      <c r="Z2003" s="40"/>
      <c r="AA2003" s="40"/>
      <c r="AB2003" s="40"/>
    </row>
    <row r="2004" ht="18.75" customHeight="1">
      <c r="A2004" s="18"/>
      <c r="B2004" s="22"/>
      <c r="C2004" s="213"/>
      <c r="D2004" s="213"/>
      <c r="E2004" s="24"/>
      <c r="F2004" s="215"/>
      <c r="G2004" s="26"/>
      <c r="H2004" s="199"/>
      <c r="I2004" s="29"/>
      <c r="J2004" s="192"/>
      <c r="K2004" s="31"/>
      <c r="L2004" s="200"/>
      <c r="M2004" s="212"/>
      <c r="N2004" s="3"/>
      <c r="O2004" s="40"/>
      <c r="P2004" s="40"/>
      <c r="Q2004" s="212"/>
      <c r="R2004" s="31"/>
      <c r="S2004" s="40"/>
      <c r="T2004" s="40"/>
      <c r="U2004" s="40"/>
      <c r="V2004" s="40"/>
      <c r="W2004" s="40"/>
      <c r="X2004" s="40"/>
      <c r="Y2004" s="40"/>
      <c r="Z2004" s="40"/>
      <c r="AA2004" s="40"/>
      <c r="AB2004" s="40"/>
    </row>
    <row r="2005" ht="18.75" customHeight="1">
      <c r="A2005" s="18"/>
      <c r="B2005" s="22"/>
      <c r="C2005" s="213"/>
      <c r="D2005" s="213"/>
      <c r="E2005" s="24"/>
      <c r="F2005" s="215"/>
      <c r="G2005" s="26"/>
      <c r="H2005" s="199"/>
      <c r="I2005" s="29"/>
      <c r="J2005" s="192"/>
      <c r="K2005" s="31"/>
      <c r="L2005" s="200"/>
      <c r="M2005" s="212"/>
      <c r="N2005" s="3"/>
      <c r="O2005" s="40"/>
      <c r="P2005" s="40"/>
      <c r="Q2005" s="212"/>
      <c r="R2005" s="31"/>
      <c r="S2005" s="40"/>
      <c r="T2005" s="40"/>
      <c r="U2005" s="40"/>
      <c r="V2005" s="40"/>
      <c r="W2005" s="40"/>
      <c r="X2005" s="40"/>
      <c r="Y2005" s="40"/>
      <c r="Z2005" s="40"/>
      <c r="AA2005" s="40"/>
      <c r="AB2005" s="40"/>
    </row>
    <row r="2006" ht="18.75" customHeight="1">
      <c r="A2006" s="18"/>
      <c r="B2006" s="22"/>
      <c r="C2006" s="213"/>
      <c r="D2006" s="213"/>
      <c r="E2006" s="24"/>
      <c r="F2006" s="215"/>
      <c r="G2006" s="26"/>
      <c r="H2006" s="199"/>
      <c r="I2006" s="29"/>
      <c r="J2006" s="192"/>
      <c r="K2006" s="31"/>
      <c r="L2006" s="200"/>
      <c r="M2006" s="212"/>
      <c r="N2006" s="3"/>
      <c r="O2006" s="40"/>
      <c r="P2006" s="40"/>
      <c r="Q2006" s="212"/>
      <c r="R2006" s="31"/>
      <c r="S2006" s="40"/>
      <c r="T2006" s="40"/>
      <c r="U2006" s="40"/>
      <c r="V2006" s="40"/>
      <c r="W2006" s="40"/>
      <c r="X2006" s="40"/>
      <c r="Y2006" s="40"/>
      <c r="Z2006" s="40"/>
      <c r="AA2006" s="40"/>
      <c r="AB2006" s="40"/>
    </row>
    <row r="2007" ht="18.75" customHeight="1">
      <c r="A2007" s="18"/>
      <c r="B2007" s="22"/>
      <c r="C2007" s="213"/>
      <c r="D2007" s="213"/>
      <c r="E2007" s="24"/>
      <c r="F2007" s="215"/>
      <c r="G2007" s="26"/>
      <c r="H2007" s="199"/>
      <c r="I2007" s="29"/>
      <c r="J2007" s="192"/>
      <c r="K2007" s="31"/>
      <c r="L2007" s="200"/>
      <c r="M2007" s="212"/>
      <c r="N2007" s="3"/>
      <c r="O2007" s="40"/>
      <c r="P2007" s="40"/>
      <c r="Q2007" s="212"/>
      <c r="R2007" s="31"/>
      <c r="S2007" s="40"/>
      <c r="T2007" s="40"/>
      <c r="U2007" s="40"/>
      <c r="V2007" s="40"/>
      <c r="W2007" s="40"/>
      <c r="X2007" s="40"/>
      <c r="Y2007" s="40"/>
      <c r="Z2007" s="40"/>
      <c r="AA2007" s="40"/>
      <c r="AB2007" s="40"/>
    </row>
    <row r="2008" ht="18.75" customHeight="1">
      <c r="A2008" s="18"/>
      <c r="B2008" s="22"/>
      <c r="C2008" s="213"/>
      <c r="D2008" s="213"/>
      <c r="E2008" s="24"/>
      <c r="F2008" s="215"/>
      <c r="G2008" s="26"/>
      <c r="H2008" s="199"/>
      <c r="I2008" s="29"/>
      <c r="J2008" s="192"/>
      <c r="K2008" s="31"/>
      <c r="L2008" s="200"/>
      <c r="M2008" s="212"/>
      <c r="N2008" s="3"/>
      <c r="O2008" s="40"/>
      <c r="P2008" s="40"/>
      <c r="Q2008" s="212"/>
      <c r="R2008" s="31"/>
      <c r="S2008" s="40"/>
      <c r="T2008" s="40"/>
      <c r="U2008" s="40"/>
      <c r="V2008" s="40"/>
      <c r="W2008" s="40"/>
      <c r="X2008" s="40"/>
      <c r="Y2008" s="40"/>
      <c r="Z2008" s="40"/>
      <c r="AA2008" s="40"/>
      <c r="AB2008" s="40"/>
    </row>
    <row r="2009" ht="18.75" customHeight="1">
      <c r="A2009" s="18"/>
      <c r="B2009" s="22"/>
      <c r="C2009" s="213"/>
      <c r="D2009" s="213"/>
      <c r="E2009" s="24"/>
      <c r="F2009" s="215"/>
      <c r="G2009" s="26"/>
      <c r="H2009" s="199"/>
      <c r="I2009" s="29"/>
      <c r="J2009" s="192"/>
      <c r="K2009" s="31"/>
      <c r="L2009" s="200"/>
      <c r="M2009" s="212"/>
      <c r="N2009" s="3"/>
      <c r="O2009" s="40"/>
      <c r="P2009" s="40"/>
      <c r="Q2009" s="212"/>
      <c r="R2009" s="31"/>
      <c r="S2009" s="40"/>
      <c r="T2009" s="40"/>
      <c r="U2009" s="40"/>
      <c r="V2009" s="40"/>
      <c r="W2009" s="40"/>
      <c r="X2009" s="40"/>
      <c r="Y2009" s="40"/>
      <c r="Z2009" s="40"/>
      <c r="AA2009" s="40"/>
      <c r="AB2009" s="40"/>
    </row>
    <row r="2010" ht="18.75" customHeight="1">
      <c r="A2010" s="18"/>
      <c r="B2010" s="22"/>
      <c r="C2010" s="213"/>
      <c r="D2010" s="213"/>
      <c r="E2010" s="24"/>
      <c r="F2010" s="215"/>
      <c r="G2010" s="26"/>
      <c r="H2010" s="199"/>
      <c r="I2010" s="29"/>
      <c r="J2010" s="192"/>
      <c r="K2010" s="31"/>
      <c r="L2010" s="200"/>
      <c r="M2010" s="212"/>
      <c r="N2010" s="3"/>
      <c r="O2010" s="40"/>
      <c r="P2010" s="40"/>
      <c r="Q2010" s="212"/>
      <c r="R2010" s="31"/>
      <c r="S2010" s="40"/>
      <c r="T2010" s="40"/>
      <c r="U2010" s="40"/>
      <c r="V2010" s="40"/>
      <c r="W2010" s="40"/>
      <c r="X2010" s="40"/>
      <c r="Y2010" s="40"/>
      <c r="Z2010" s="40"/>
      <c r="AA2010" s="40"/>
      <c r="AB2010" s="40"/>
    </row>
    <row r="2011" ht="18.75" customHeight="1">
      <c r="A2011" s="18"/>
      <c r="B2011" s="22"/>
      <c r="C2011" s="213"/>
      <c r="D2011" s="213"/>
      <c r="E2011" s="24"/>
      <c r="F2011" s="215"/>
      <c r="G2011" s="26"/>
      <c r="H2011" s="199"/>
      <c r="I2011" s="29"/>
      <c r="J2011" s="192"/>
      <c r="K2011" s="31"/>
      <c r="L2011" s="200"/>
      <c r="M2011" s="212"/>
      <c r="N2011" s="3"/>
      <c r="O2011" s="40"/>
      <c r="P2011" s="40"/>
      <c r="Q2011" s="212"/>
      <c r="R2011" s="31"/>
      <c r="S2011" s="40"/>
      <c r="T2011" s="40"/>
      <c r="U2011" s="40"/>
      <c r="V2011" s="40"/>
      <c r="W2011" s="40"/>
      <c r="X2011" s="40"/>
      <c r="Y2011" s="40"/>
      <c r="Z2011" s="40"/>
      <c r="AA2011" s="40"/>
      <c r="AB2011" s="40"/>
    </row>
    <row r="2012" ht="18.75" customHeight="1">
      <c r="A2012" s="18"/>
      <c r="B2012" s="22"/>
      <c r="C2012" s="213"/>
      <c r="D2012" s="213"/>
      <c r="E2012" s="24"/>
      <c r="F2012" s="215"/>
      <c r="G2012" s="26"/>
      <c r="H2012" s="199"/>
      <c r="I2012" s="29"/>
      <c r="J2012" s="192"/>
      <c r="K2012" s="31"/>
      <c r="L2012" s="200"/>
      <c r="M2012" s="212"/>
      <c r="N2012" s="3"/>
      <c r="O2012" s="40"/>
      <c r="P2012" s="40"/>
      <c r="Q2012" s="212"/>
      <c r="R2012" s="31"/>
      <c r="S2012" s="40"/>
      <c r="T2012" s="40"/>
      <c r="U2012" s="40"/>
      <c r="V2012" s="40"/>
      <c r="W2012" s="40"/>
      <c r="X2012" s="40"/>
      <c r="Y2012" s="40"/>
      <c r="Z2012" s="40"/>
      <c r="AA2012" s="40"/>
      <c r="AB2012" s="40"/>
    </row>
    <row r="2013" ht="18.75" customHeight="1">
      <c r="A2013" s="18"/>
      <c r="B2013" s="22"/>
      <c r="C2013" s="213"/>
      <c r="D2013" s="213"/>
      <c r="E2013" s="24"/>
      <c r="F2013" s="215"/>
      <c r="G2013" s="26"/>
      <c r="H2013" s="199"/>
      <c r="I2013" s="29"/>
      <c r="J2013" s="192"/>
      <c r="K2013" s="31"/>
      <c r="L2013" s="200"/>
      <c r="M2013" s="212"/>
      <c r="N2013" s="3"/>
      <c r="O2013" s="40"/>
      <c r="P2013" s="40"/>
      <c r="Q2013" s="212"/>
      <c r="R2013" s="31"/>
      <c r="S2013" s="40"/>
      <c r="T2013" s="40"/>
      <c r="U2013" s="40"/>
      <c r="V2013" s="40"/>
      <c r="W2013" s="40"/>
      <c r="X2013" s="40"/>
      <c r="Y2013" s="40"/>
      <c r="Z2013" s="40"/>
      <c r="AA2013" s="40"/>
      <c r="AB2013" s="40"/>
    </row>
    <row r="2014" ht="18.75" customHeight="1">
      <c r="A2014" s="18"/>
      <c r="B2014" s="22"/>
      <c r="C2014" s="213"/>
      <c r="D2014" s="213"/>
      <c r="E2014" s="24"/>
      <c r="F2014" s="215"/>
      <c r="G2014" s="26"/>
      <c r="H2014" s="199"/>
      <c r="I2014" s="29"/>
      <c r="J2014" s="192"/>
      <c r="K2014" s="31"/>
      <c r="L2014" s="200"/>
      <c r="M2014" s="212"/>
      <c r="N2014" s="3"/>
      <c r="O2014" s="40"/>
      <c r="P2014" s="40"/>
      <c r="Q2014" s="212"/>
      <c r="R2014" s="31"/>
      <c r="S2014" s="40"/>
      <c r="T2014" s="40"/>
      <c r="U2014" s="40"/>
      <c r="V2014" s="40"/>
      <c r="W2014" s="40"/>
      <c r="X2014" s="40"/>
      <c r="Y2014" s="40"/>
      <c r="Z2014" s="40"/>
      <c r="AA2014" s="40"/>
      <c r="AB2014" s="40"/>
    </row>
    <row r="2015" ht="18.75" customHeight="1">
      <c r="A2015" s="18"/>
      <c r="B2015" s="22"/>
      <c r="C2015" s="213"/>
      <c r="D2015" s="213"/>
      <c r="E2015" s="24"/>
      <c r="F2015" s="215"/>
      <c r="G2015" s="26"/>
      <c r="H2015" s="199"/>
      <c r="I2015" s="29"/>
      <c r="J2015" s="192"/>
      <c r="K2015" s="31"/>
      <c r="L2015" s="200"/>
      <c r="M2015" s="212"/>
      <c r="N2015" s="3"/>
      <c r="O2015" s="40"/>
      <c r="P2015" s="40"/>
      <c r="Q2015" s="212"/>
      <c r="R2015" s="31"/>
      <c r="S2015" s="40"/>
      <c r="T2015" s="40"/>
      <c r="U2015" s="40"/>
      <c r="V2015" s="40"/>
      <c r="W2015" s="40"/>
      <c r="X2015" s="40"/>
      <c r="Y2015" s="40"/>
      <c r="Z2015" s="40"/>
      <c r="AA2015" s="40"/>
      <c r="AB2015" s="40"/>
    </row>
    <row r="2016" ht="18.75" customHeight="1">
      <c r="A2016" s="18"/>
      <c r="B2016" s="22"/>
      <c r="C2016" s="213"/>
      <c r="D2016" s="213"/>
      <c r="E2016" s="24"/>
      <c r="F2016" s="215"/>
      <c r="G2016" s="26"/>
      <c r="H2016" s="199"/>
      <c r="I2016" s="29"/>
      <c r="J2016" s="192"/>
      <c r="K2016" s="31"/>
      <c r="L2016" s="200"/>
      <c r="M2016" s="212"/>
      <c r="N2016" s="3"/>
      <c r="O2016" s="40"/>
      <c r="P2016" s="40"/>
      <c r="Q2016" s="212"/>
      <c r="R2016" s="31"/>
      <c r="S2016" s="40"/>
      <c r="T2016" s="40"/>
      <c r="U2016" s="40"/>
      <c r="V2016" s="40"/>
      <c r="W2016" s="40"/>
      <c r="X2016" s="40"/>
      <c r="Y2016" s="40"/>
      <c r="Z2016" s="40"/>
      <c r="AA2016" s="40"/>
      <c r="AB2016" s="40"/>
    </row>
    <row r="2017" ht="18.75" customHeight="1">
      <c r="A2017" s="18"/>
      <c r="B2017" s="22"/>
      <c r="C2017" s="213"/>
      <c r="D2017" s="213"/>
      <c r="E2017" s="24"/>
      <c r="F2017" s="215"/>
      <c r="G2017" s="26"/>
      <c r="H2017" s="199"/>
      <c r="I2017" s="29"/>
      <c r="J2017" s="192"/>
      <c r="K2017" s="31"/>
      <c r="L2017" s="200"/>
      <c r="M2017" s="212"/>
      <c r="N2017" s="3"/>
      <c r="O2017" s="40"/>
      <c r="P2017" s="40"/>
      <c r="Q2017" s="212"/>
      <c r="R2017" s="31"/>
      <c r="S2017" s="40"/>
      <c r="T2017" s="40"/>
      <c r="U2017" s="40"/>
      <c r="V2017" s="40"/>
      <c r="W2017" s="40"/>
      <c r="X2017" s="40"/>
      <c r="Y2017" s="40"/>
      <c r="Z2017" s="40"/>
      <c r="AA2017" s="40"/>
      <c r="AB2017" s="40"/>
    </row>
    <row r="2018" ht="18.75" customHeight="1">
      <c r="A2018" s="18"/>
      <c r="B2018" s="22"/>
      <c r="C2018" s="213"/>
      <c r="D2018" s="213"/>
      <c r="E2018" s="24"/>
      <c r="F2018" s="215"/>
      <c r="G2018" s="26"/>
      <c r="H2018" s="199"/>
      <c r="I2018" s="29"/>
      <c r="J2018" s="192"/>
      <c r="K2018" s="31"/>
      <c r="L2018" s="200"/>
      <c r="M2018" s="212"/>
      <c r="N2018" s="3"/>
      <c r="O2018" s="40"/>
      <c r="P2018" s="40"/>
      <c r="Q2018" s="212"/>
      <c r="R2018" s="31"/>
      <c r="S2018" s="40"/>
      <c r="T2018" s="40"/>
      <c r="U2018" s="40"/>
      <c r="V2018" s="40"/>
      <c r="W2018" s="40"/>
      <c r="X2018" s="40"/>
      <c r="Y2018" s="40"/>
      <c r="Z2018" s="40"/>
      <c r="AA2018" s="40"/>
      <c r="AB2018" s="40"/>
    </row>
    <row r="2019" ht="18.75" customHeight="1">
      <c r="A2019" s="18"/>
      <c r="B2019" s="22"/>
      <c r="C2019" s="213"/>
      <c r="D2019" s="213"/>
      <c r="E2019" s="24"/>
      <c r="F2019" s="215"/>
      <c r="G2019" s="26"/>
      <c r="H2019" s="199"/>
      <c r="I2019" s="29"/>
      <c r="J2019" s="192"/>
      <c r="K2019" s="31"/>
      <c r="L2019" s="200"/>
      <c r="M2019" s="212"/>
      <c r="N2019" s="3"/>
      <c r="O2019" s="40"/>
      <c r="P2019" s="40"/>
      <c r="Q2019" s="212"/>
      <c r="R2019" s="31"/>
      <c r="S2019" s="40"/>
      <c r="T2019" s="40"/>
      <c r="U2019" s="40"/>
      <c r="V2019" s="40"/>
      <c r="W2019" s="40"/>
      <c r="X2019" s="40"/>
      <c r="Y2019" s="40"/>
      <c r="Z2019" s="40"/>
      <c r="AA2019" s="40"/>
      <c r="AB2019" s="40"/>
    </row>
    <row r="2020" ht="18.75" customHeight="1">
      <c r="A2020" s="18"/>
      <c r="B2020" s="22"/>
      <c r="C2020" s="213"/>
      <c r="D2020" s="213"/>
      <c r="E2020" s="24"/>
      <c r="F2020" s="215"/>
      <c r="G2020" s="26"/>
      <c r="H2020" s="199"/>
      <c r="I2020" s="29"/>
      <c r="J2020" s="192"/>
      <c r="K2020" s="31"/>
      <c r="L2020" s="200"/>
      <c r="M2020" s="212"/>
      <c r="N2020" s="3"/>
      <c r="O2020" s="40"/>
      <c r="P2020" s="40"/>
      <c r="Q2020" s="212"/>
      <c r="R2020" s="31"/>
      <c r="S2020" s="40"/>
      <c r="T2020" s="40"/>
      <c r="U2020" s="40"/>
      <c r="V2020" s="40"/>
      <c r="W2020" s="40"/>
      <c r="X2020" s="40"/>
      <c r="Y2020" s="40"/>
      <c r="Z2020" s="40"/>
      <c r="AA2020" s="40"/>
      <c r="AB2020" s="40"/>
    </row>
    <row r="2021" ht="18.75" customHeight="1">
      <c r="A2021" s="18"/>
      <c r="B2021" s="22"/>
      <c r="C2021" s="213"/>
      <c r="D2021" s="213"/>
      <c r="E2021" s="24"/>
      <c r="F2021" s="215"/>
      <c r="G2021" s="26"/>
      <c r="H2021" s="199"/>
      <c r="I2021" s="29"/>
      <c r="J2021" s="192"/>
      <c r="K2021" s="31"/>
      <c r="L2021" s="200"/>
      <c r="M2021" s="212"/>
      <c r="N2021" s="3"/>
      <c r="O2021" s="40"/>
      <c r="P2021" s="40"/>
      <c r="Q2021" s="212"/>
      <c r="R2021" s="31"/>
      <c r="S2021" s="40"/>
      <c r="T2021" s="40"/>
      <c r="U2021" s="40"/>
      <c r="V2021" s="40"/>
      <c r="W2021" s="40"/>
      <c r="X2021" s="40"/>
      <c r="Y2021" s="40"/>
      <c r="Z2021" s="40"/>
      <c r="AA2021" s="40"/>
      <c r="AB2021" s="40"/>
    </row>
    <row r="2022" ht="18.75" customHeight="1">
      <c r="A2022" s="18"/>
      <c r="B2022" s="22"/>
      <c r="C2022" s="213"/>
      <c r="D2022" s="213"/>
      <c r="E2022" s="24"/>
      <c r="F2022" s="215"/>
      <c r="G2022" s="26"/>
      <c r="H2022" s="199"/>
      <c r="I2022" s="29"/>
      <c r="J2022" s="192"/>
      <c r="K2022" s="31"/>
      <c r="L2022" s="200"/>
      <c r="M2022" s="212"/>
      <c r="N2022" s="3"/>
      <c r="O2022" s="40"/>
      <c r="P2022" s="40"/>
      <c r="Q2022" s="212"/>
      <c r="R2022" s="31"/>
      <c r="S2022" s="40"/>
      <c r="T2022" s="40"/>
      <c r="U2022" s="40"/>
      <c r="V2022" s="40"/>
      <c r="W2022" s="40"/>
      <c r="X2022" s="40"/>
      <c r="Y2022" s="40"/>
      <c r="Z2022" s="40"/>
      <c r="AA2022" s="40"/>
      <c r="AB2022" s="40"/>
    </row>
    <row r="2023" ht="18.75" customHeight="1">
      <c r="A2023" s="18"/>
      <c r="B2023" s="22"/>
      <c r="C2023" s="213"/>
      <c r="D2023" s="213"/>
      <c r="E2023" s="24"/>
      <c r="F2023" s="215"/>
      <c r="G2023" s="26"/>
      <c r="H2023" s="199"/>
      <c r="I2023" s="29"/>
      <c r="J2023" s="192"/>
      <c r="K2023" s="31"/>
      <c r="L2023" s="200"/>
      <c r="M2023" s="212"/>
      <c r="N2023" s="3"/>
      <c r="O2023" s="40"/>
      <c r="P2023" s="40"/>
      <c r="Q2023" s="212"/>
      <c r="R2023" s="31"/>
      <c r="S2023" s="40"/>
      <c r="T2023" s="40"/>
      <c r="U2023" s="40"/>
      <c r="V2023" s="40"/>
      <c r="W2023" s="40"/>
      <c r="X2023" s="40"/>
      <c r="Y2023" s="40"/>
      <c r="Z2023" s="40"/>
      <c r="AA2023" s="40"/>
      <c r="AB2023" s="40"/>
    </row>
    <row r="2024" ht="18.75" customHeight="1">
      <c r="A2024" s="18"/>
      <c r="B2024" s="22"/>
      <c r="C2024" s="213"/>
      <c r="D2024" s="213"/>
      <c r="E2024" s="24"/>
      <c r="F2024" s="215"/>
      <c r="G2024" s="26"/>
      <c r="H2024" s="199"/>
      <c r="I2024" s="29"/>
      <c r="J2024" s="192"/>
      <c r="K2024" s="31"/>
      <c r="L2024" s="200"/>
      <c r="M2024" s="212"/>
      <c r="N2024" s="3"/>
      <c r="O2024" s="40"/>
      <c r="P2024" s="40"/>
      <c r="Q2024" s="212"/>
      <c r="R2024" s="31"/>
      <c r="S2024" s="40"/>
      <c r="T2024" s="40"/>
      <c r="U2024" s="40"/>
      <c r="V2024" s="40"/>
      <c r="W2024" s="40"/>
      <c r="X2024" s="40"/>
      <c r="Y2024" s="40"/>
      <c r="Z2024" s="40"/>
      <c r="AA2024" s="40"/>
      <c r="AB2024" s="40"/>
    </row>
    <row r="2025" ht="18.75" customHeight="1">
      <c r="A2025" s="18"/>
      <c r="B2025" s="22"/>
      <c r="C2025" s="213"/>
      <c r="D2025" s="213"/>
      <c r="E2025" s="24"/>
      <c r="F2025" s="215"/>
      <c r="G2025" s="26"/>
      <c r="H2025" s="199"/>
      <c r="I2025" s="29"/>
      <c r="J2025" s="192"/>
      <c r="K2025" s="31"/>
      <c r="L2025" s="200"/>
      <c r="M2025" s="212"/>
      <c r="N2025" s="3"/>
      <c r="O2025" s="40"/>
      <c r="P2025" s="40"/>
      <c r="Q2025" s="212"/>
      <c r="R2025" s="31"/>
      <c r="S2025" s="40"/>
      <c r="T2025" s="40"/>
      <c r="U2025" s="40"/>
      <c r="V2025" s="40"/>
      <c r="W2025" s="40"/>
      <c r="X2025" s="40"/>
      <c r="Y2025" s="40"/>
      <c r="Z2025" s="40"/>
      <c r="AA2025" s="40"/>
      <c r="AB2025" s="40"/>
    </row>
    <row r="2026" ht="18.75" customHeight="1">
      <c r="A2026" s="18"/>
      <c r="B2026" s="22"/>
      <c r="C2026" s="213"/>
      <c r="D2026" s="213"/>
      <c r="E2026" s="24"/>
      <c r="F2026" s="215"/>
      <c r="G2026" s="26"/>
      <c r="H2026" s="199"/>
      <c r="I2026" s="29"/>
      <c r="J2026" s="192"/>
      <c r="K2026" s="31"/>
      <c r="L2026" s="200"/>
      <c r="M2026" s="212"/>
      <c r="N2026" s="3"/>
      <c r="O2026" s="40"/>
      <c r="P2026" s="40"/>
      <c r="Q2026" s="212"/>
      <c r="R2026" s="31"/>
      <c r="S2026" s="40"/>
      <c r="T2026" s="40"/>
      <c r="U2026" s="40"/>
      <c r="V2026" s="40"/>
      <c r="W2026" s="40"/>
      <c r="X2026" s="40"/>
      <c r="Y2026" s="40"/>
      <c r="Z2026" s="40"/>
      <c r="AA2026" s="40"/>
      <c r="AB2026" s="40"/>
    </row>
    <row r="2027" ht="18.75" customHeight="1">
      <c r="A2027" s="18"/>
      <c r="B2027" s="22"/>
      <c r="C2027" s="213"/>
      <c r="D2027" s="213"/>
      <c r="E2027" s="24"/>
      <c r="F2027" s="215"/>
      <c r="G2027" s="26"/>
      <c r="H2027" s="199"/>
      <c r="I2027" s="29"/>
      <c r="J2027" s="192"/>
      <c r="K2027" s="31"/>
      <c r="L2027" s="200"/>
      <c r="M2027" s="212"/>
      <c r="N2027" s="3"/>
      <c r="O2027" s="40"/>
      <c r="P2027" s="40"/>
      <c r="Q2027" s="212"/>
      <c r="R2027" s="31"/>
      <c r="S2027" s="40"/>
      <c r="T2027" s="40"/>
      <c r="U2027" s="40"/>
      <c r="V2027" s="40"/>
      <c r="W2027" s="40"/>
      <c r="X2027" s="40"/>
      <c r="Y2027" s="40"/>
      <c r="Z2027" s="40"/>
      <c r="AA2027" s="40"/>
      <c r="AB2027" s="40"/>
    </row>
    <row r="2028" ht="18.75" customHeight="1">
      <c r="A2028" s="18"/>
      <c r="B2028" s="22"/>
      <c r="C2028" s="213"/>
      <c r="D2028" s="213"/>
      <c r="E2028" s="24"/>
      <c r="F2028" s="215"/>
      <c r="G2028" s="26"/>
      <c r="H2028" s="199"/>
      <c r="I2028" s="29"/>
      <c r="J2028" s="192"/>
      <c r="K2028" s="31"/>
      <c r="L2028" s="200"/>
      <c r="M2028" s="212"/>
      <c r="N2028" s="3"/>
      <c r="O2028" s="40"/>
      <c r="P2028" s="40"/>
      <c r="Q2028" s="212"/>
      <c r="R2028" s="31"/>
      <c r="S2028" s="40"/>
      <c r="T2028" s="40"/>
      <c r="U2028" s="40"/>
      <c r="V2028" s="40"/>
      <c r="W2028" s="40"/>
      <c r="X2028" s="40"/>
      <c r="Y2028" s="40"/>
      <c r="Z2028" s="40"/>
      <c r="AA2028" s="40"/>
      <c r="AB2028" s="40"/>
    </row>
    <row r="2029" ht="18.75" customHeight="1">
      <c r="A2029" s="18"/>
      <c r="B2029" s="22"/>
      <c r="C2029" s="213"/>
      <c r="D2029" s="213"/>
      <c r="E2029" s="24"/>
      <c r="F2029" s="215"/>
      <c r="G2029" s="26"/>
      <c r="H2029" s="199"/>
      <c r="I2029" s="29"/>
      <c r="J2029" s="192"/>
      <c r="K2029" s="31"/>
      <c r="L2029" s="200"/>
      <c r="M2029" s="212"/>
      <c r="N2029" s="3"/>
      <c r="O2029" s="40"/>
      <c r="P2029" s="40"/>
      <c r="Q2029" s="212"/>
      <c r="R2029" s="31"/>
      <c r="S2029" s="40"/>
      <c r="T2029" s="40"/>
      <c r="U2029" s="40"/>
      <c r="V2029" s="40"/>
      <c r="W2029" s="40"/>
      <c r="X2029" s="40"/>
      <c r="Y2029" s="40"/>
      <c r="Z2029" s="40"/>
      <c r="AA2029" s="40"/>
      <c r="AB2029" s="40"/>
    </row>
    <row r="2030" ht="18.75" customHeight="1">
      <c r="A2030" s="18"/>
      <c r="B2030" s="22"/>
      <c r="C2030" s="213"/>
      <c r="D2030" s="213"/>
      <c r="E2030" s="24"/>
      <c r="F2030" s="215"/>
      <c r="G2030" s="26"/>
      <c r="H2030" s="199"/>
      <c r="I2030" s="29"/>
      <c r="J2030" s="192"/>
      <c r="K2030" s="31"/>
      <c r="L2030" s="200"/>
      <c r="M2030" s="212"/>
      <c r="N2030" s="3"/>
      <c r="O2030" s="40"/>
      <c r="P2030" s="40"/>
      <c r="Q2030" s="212"/>
      <c r="R2030" s="31"/>
      <c r="S2030" s="40"/>
      <c r="T2030" s="40"/>
      <c r="U2030" s="40"/>
      <c r="V2030" s="40"/>
      <c r="W2030" s="40"/>
      <c r="X2030" s="40"/>
      <c r="Y2030" s="40"/>
      <c r="Z2030" s="40"/>
      <c r="AA2030" s="40"/>
      <c r="AB2030" s="40"/>
    </row>
    <row r="2031" ht="18.75" customHeight="1">
      <c r="A2031" s="18"/>
      <c r="B2031" s="22"/>
      <c r="C2031" s="213"/>
      <c r="D2031" s="213"/>
      <c r="E2031" s="24"/>
      <c r="F2031" s="215"/>
      <c r="G2031" s="26"/>
      <c r="H2031" s="199"/>
      <c r="I2031" s="29"/>
      <c r="J2031" s="192"/>
      <c r="K2031" s="31"/>
      <c r="L2031" s="200"/>
      <c r="M2031" s="212"/>
      <c r="N2031" s="3"/>
      <c r="O2031" s="40"/>
      <c r="P2031" s="40"/>
      <c r="Q2031" s="212"/>
      <c r="R2031" s="31"/>
      <c r="S2031" s="40"/>
      <c r="T2031" s="40"/>
      <c r="U2031" s="40"/>
      <c r="V2031" s="40"/>
      <c r="W2031" s="40"/>
      <c r="X2031" s="40"/>
      <c r="Y2031" s="40"/>
      <c r="Z2031" s="40"/>
      <c r="AA2031" s="40"/>
      <c r="AB2031" s="40"/>
    </row>
    <row r="2032" ht="18.75" customHeight="1">
      <c r="A2032" s="18"/>
      <c r="B2032" s="22"/>
      <c r="C2032" s="213"/>
      <c r="D2032" s="213"/>
      <c r="E2032" s="24"/>
      <c r="F2032" s="215"/>
      <c r="G2032" s="26"/>
      <c r="H2032" s="199"/>
      <c r="I2032" s="29"/>
      <c r="J2032" s="192"/>
      <c r="K2032" s="31"/>
      <c r="L2032" s="200"/>
      <c r="M2032" s="212"/>
      <c r="N2032" s="3"/>
      <c r="O2032" s="40"/>
      <c r="P2032" s="40"/>
      <c r="Q2032" s="212"/>
      <c r="R2032" s="31"/>
      <c r="S2032" s="40"/>
      <c r="T2032" s="40"/>
      <c r="U2032" s="40"/>
      <c r="V2032" s="40"/>
      <c r="W2032" s="40"/>
      <c r="X2032" s="40"/>
      <c r="Y2032" s="40"/>
      <c r="Z2032" s="40"/>
      <c r="AA2032" s="40"/>
      <c r="AB2032" s="40"/>
    </row>
    <row r="2033" ht="18.75" customHeight="1">
      <c r="A2033" s="18"/>
      <c r="B2033" s="22"/>
      <c r="C2033" s="213"/>
      <c r="D2033" s="213"/>
      <c r="E2033" s="24"/>
      <c r="F2033" s="215"/>
      <c r="G2033" s="26"/>
      <c r="H2033" s="199"/>
      <c r="I2033" s="29"/>
      <c r="J2033" s="192"/>
      <c r="K2033" s="31"/>
      <c r="L2033" s="200"/>
      <c r="M2033" s="212"/>
      <c r="N2033" s="3"/>
      <c r="O2033" s="40"/>
      <c r="P2033" s="40"/>
      <c r="Q2033" s="212"/>
      <c r="R2033" s="31"/>
      <c r="S2033" s="40"/>
      <c r="T2033" s="40"/>
      <c r="U2033" s="40"/>
      <c r="V2033" s="40"/>
      <c r="W2033" s="40"/>
      <c r="X2033" s="40"/>
      <c r="Y2033" s="40"/>
      <c r="Z2033" s="40"/>
      <c r="AA2033" s="40"/>
      <c r="AB2033" s="40"/>
    </row>
    <row r="2034" ht="18.75" customHeight="1">
      <c r="A2034" s="18"/>
      <c r="B2034" s="22"/>
      <c r="C2034" s="213"/>
      <c r="D2034" s="213"/>
      <c r="E2034" s="24"/>
      <c r="F2034" s="215"/>
      <c r="G2034" s="26"/>
      <c r="H2034" s="199"/>
      <c r="I2034" s="29"/>
      <c r="J2034" s="192"/>
      <c r="K2034" s="31"/>
      <c r="L2034" s="200"/>
      <c r="M2034" s="212"/>
      <c r="N2034" s="3"/>
      <c r="O2034" s="40"/>
      <c r="P2034" s="40"/>
      <c r="Q2034" s="212"/>
      <c r="R2034" s="31"/>
      <c r="S2034" s="40"/>
      <c r="T2034" s="40"/>
      <c r="U2034" s="40"/>
      <c r="V2034" s="40"/>
      <c r="W2034" s="40"/>
      <c r="X2034" s="40"/>
      <c r="Y2034" s="40"/>
      <c r="Z2034" s="40"/>
      <c r="AA2034" s="40"/>
      <c r="AB2034" s="40"/>
    </row>
    <row r="2035" ht="18.75" customHeight="1">
      <c r="A2035" s="18"/>
      <c r="B2035" s="22"/>
      <c r="C2035" s="213"/>
      <c r="D2035" s="213"/>
      <c r="E2035" s="24"/>
      <c r="F2035" s="215"/>
      <c r="G2035" s="26"/>
      <c r="H2035" s="199"/>
      <c r="I2035" s="29"/>
      <c r="J2035" s="192"/>
      <c r="K2035" s="31"/>
      <c r="L2035" s="200"/>
      <c r="M2035" s="212"/>
      <c r="N2035" s="3"/>
      <c r="O2035" s="40"/>
      <c r="P2035" s="40"/>
      <c r="Q2035" s="212"/>
      <c r="R2035" s="31"/>
      <c r="S2035" s="40"/>
      <c r="T2035" s="40"/>
      <c r="U2035" s="40"/>
      <c r="V2035" s="40"/>
      <c r="W2035" s="40"/>
      <c r="X2035" s="40"/>
      <c r="Y2035" s="40"/>
      <c r="Z2035" s="40"/>
      <c r="AA2035" s="40"/>
      <c r="AB2035" s="40"/>
    </row>
    <row r="2036" ht="18.75" customHeight="1">
      <c r="A2036" s="18"/>
      <c r="B2036" s="22"/>
      <c r="C2036" s="213"/>
      <c r="D2036" s="213"/>
      <c r="E2036" s="24"/>
      <c r="F2036" s="215"/>
      <c r="G2036" s="26"/>
      <c r="H2036" s="199"/>
      <c r="I2036" s="29"/>
      <c r="J2036" s="192"/>
      <c r="K2036" s="31"/>
      <c r="L2036" s="200"/>
      <c r="M2036" s="212"/>
      <c r="N2036" s="3"/>
      <c r="O2036" s="40"/>
      <c r="P2036" s="40"/>
      <c r="Q2036" s="212"/>
      <c r="R2036" s="31"/>
      <c r="S2036" s="40"/>
      <c r="T2036" s="40"/>
      <c r="U2036" s="40"/>
      <c r="V2036" s="40"/>
      <c r="W2036" s="40"/>
      <c r="X2036" s="40"/>
      <c r="Y2036" s="40"/>
      <c r="Z2036" s="40"/>
      <c r="AA2036" s="40"/>
      <c r="AB2036" s="40"/>
    </row>
    <row r="2037" ht="18.75" customHeight="1">
      <c r="A2037" s="18"/>
      <c r="B2037" s="22"/>
      <c r="C2037" s="213"/>
      <c r="D2037" s="213"/>
      <c r="E2037" s="24"/>
      <c r="F2037" s="215"/>
      <c r="G2037" s="26"/>
      <c r="H2037" s="199"/>
      <c r="I2037" s="29"/>
      <c r="J2037" s="192"/>
      <c r="K2037" s="31"/>
      <c r="L2037" s="200"/>
      <c r="M2037" s="212"/>
      <c r="N2037" s="3"/>
      <c r="O2037" s="40"/>
      <c r="P2037" s="40"/>
      <c r="Q2037" s="212"/>
      <c r="R2037" s="31"/>
      <c r="S2037" s="40"/>
      <c r="T2037" s="40"/>
      <c r="U2037" s="40"/>
      <c r="V2037" s="40"/>
      <c r="W2037" s="40"/>
      <c r="X2037" s="40"/>
      <c r="Y2037" s="40"/>
      <c r="Z2037" s="40"/>
      <c r="AA2037" s="40"/>
      <c r="AB2037" s="40"/>
    </row>
    <row r="2038" ht="18.75" customHeight="1">
      <c r="A2038" s="18"/>
      <c r="B2038" s="22"/>
      <c r="C2038" s="213"/>
      <c r="D2038" s="213"/>
      <c r="E2038" s="24"/>
      <c r="F2038" s="215"/>
      <c r="G2038" s="26"/>
      <c r="H2038" s="199"/>
      <c r="I2038" s="29"/>
      <c r="J2038" s="192"/>
      <c r="K2038" s="31"/>
      <c r="L2038" s="200"/>
      <c r="M2038" s="212"/>
      <c r="N2038" s="3"/>
      <c r="O2038" s="40"/>
      <c r="P2038" s="40"/>
      <c r="Q2038" s="212"/>
      <c r="R2038" s="31"/>
      <c r="S2038" s="40"/>
      <c r="T2038" s="40"/>
      <c r="U2038" s="40"/>
      <c r="V2038" s="40"/>
      <c r="W2038" s="40"/>
      <c r="X2038" s="40"/>
      <c r="Y2038" s="40"/>
      <c r="Z2038" s="40"/>
      <c r="AA2038" s="40"/>
      <c r="AB2038" s="40"/>
    </row>
    <row r="2039" ht="18.75" customHeight="1">
      <c r="A2039" s="18"/>
      <c r="B2039" s="22"/>
      <c r="C2039" s="213"/>
      <c r="D2039" s="213"/>
      <c r="E2039" s="24"/>
      <c r="F2039" s="215"/>
      <c r="G2039" s="26"/>
      <c r="H2039" s="199"/>
      <c r="I2039" s="29"/>
      <c r="J2039" s="192"/>
      <c r="K2039" s="31"/>
      <c r="L2039" s="200"/>
      <c r="M2039" s="212"/>
      <c r="N2039" s="3"/>
      <c r="O2039" s="40"/>
      <c r="P2039" s="40"/>
      <c r="Q2039" s="212"/>
      <c r="R2039" s="31"/>
      <c r="S2039" s="40"/>
      <c r="T2039" s="40"/>
      <c r="U2039" s="40"/>
      <c r="V2039" s="40"/>
      <c r="W2039" s="40"/>
      <c r="X2039" s="40"/>
      <c r="Y2039" s="40"/>
      <c r="Z2039" s="40"/>
      <c r="AA2039" s="40"/>
      <c r="AB2039" s="40"/>
    </row>
    <row r="2040" ht="18.75" customHeight="1">
      <c r="A2040" s="18"/>
      <c r="B2040" s="22"/>
      <c r="C2040" s="213"/>
      <c r="D2040" s="213"/>
      <c r="E2040" s="24"/>
      <c r="F2040" s="215"/>
      <c r="G2040" s="26"/>
      <c r="H2040" s="199"/>
      <c r="I2040" s="29"/>
      <c r="J2040" s="192"/>
      <c r="K2040" s="31"/>
      <c r="L2040" s="200"/>
      <c r="M2040" s="212"/>
      <c r="N2040" s="3"/>
      <c r="O2040" s="40"/>
      <c r="P2040" s="40"/>
      <c r="Q2040" s="212"/>
      <c r="R2040" s="31"/>
      <c r="S2040" s="40"/>
      <c r="T2040" s="40"/>
      <c r="U2040" s="40"/>
      <c r="V2040" s="40"/>
      <c r="W2040" s="40"/>
      <c r="X2040" s="40"/>
      <c r="Y2040" s="40"/>
      <c r="Z2040" s="40"/>
      <c r="AA2040" s="40"/>
      <c r="AB2040" s="40"/>
    </row>
    <row r="2041" ht="18.75" customHeight="1">
      <c r="A2041" s="18"/>
      <c r="B2041" s="22"/>
      <c r="C2041" s="213"/>
      <c r="D2041" s="213"/>
      <c r="E2041" s="24"/>
      <c r="F2041" s="215"/>
      <c r="G2041" s="26"/>
      <c r="H2041" s="199"/>
      <c r="I2041" s="29"/>
      <c r="J2041" s="192"/>
      <c r="K2041" s="31"/>
      <c r="L2041" s="200"/>
      <c r="M2041" s="212"/>
      <c r="N2041" s="3"/>
      <c r="O2041" s="40"/>
      <c r="P2041" s="40"/>
      <c r="Q2041" s="212"/>
      <c r="R2041" s="31"/>
      <c r="S2041" s="40"/>
      <c r="T2041" s="40"/>
      <c r="U2041" s="40"/>
      <c r="V2041" s="40"/>
      <c r="W2041" s="40"/>
      <c r="X2041" s="40"/>
      <c r="Y2041" s="40"/>
      <c r="Z2041" s="40"/>
      <c r="AA2041" s="40"/>
      <c r="AB2041" s="40"/>
    </row>
    <row r="2042" ht="18.75" customHeight="1">
      <c r="A2042" s="18"/>
      <c r="B2042" s="22"/>
      <c r="C2042" s="213"/>
      <c r="D2042" s="213"/>
      <c r="E2042" s="24"/>
      <c r="F2042" s="215"/>
      <c r="G2042" s="26"/>
      <c r="H2042" s="199"/>
      <c r="I2042" s="29"/>
      <c r="J2042" s="192"/>
      <c r="K2042" s="31"/>
      <c r="L2042" s="200"/>
      <c r="M2042" s="212"/>
      <c r="N2042" s="3"/>
      <c r="O2042" s="40"/>
      <c r="P2042" s="40"/>
      <c r="Q2042" s="212"/>
      <c r="R2042" s="31"/>
      <c r="S2042" s="40"/>
      <c r="T2042" s="40"/>
      <c r="U2042" s="40"/>
      <c r="V2042" s="40"/>
      <c r="W2042" s="40"/>
      <c r="X2042" s="40"/>
      <c r="Y2042" s="40"/>
      <c r="Z2042" s="40"/>
      <c r="AA2042" s="40"/>
      <c r="AB2042" s="40"/>
    </row>
    <row r="2043" ht="18.75" customHeight="1">
      <c r="A2043" s="18"/>
      <c r="B2043" s="22"/>
      <c r="C2043" s="213"/>
      <c r="D2043" s="213"/>
      <c r="E2043" s="24"/>
      <c r="F2043" s="215"/>
      <c r="G2043" s="26"/>
      <c r="H2043" s="199"/>
      <c r="I2043" s="29"/>
      <c r="J2043" s="192"/>
      <c r="K2043" s="31"/>
      <c r="L2043" s="200"/>
      <c r="M2043" s="212"/>
      <c r="N2043" s="3"/>
      <c r="O2043" s="40"/>
      <c r="P2043" s="40"/>
      <c r="Q2043" s="212"/>
      <c r="R2043" s="31"/>
      <c r="S2043" s="40"/>
      <c r="T2043" s="40"/>
      <c r="U2043" s="40"/>
      <c r="V2043" s="40"/>
      <c r="W2043" s="40"/>
      <c r="X2043" s="40"/>
      <c r="Y2043" s="40"/>
      <c r="Z2043" s="40"/>
      <c r="AA2043" s="40"/>
      <c r="AB2043" s="40"/>
    </row>
    <row r="2044" ht="18.75" customHeight="1">
      <c r="A2044" s="18"/>
      <c r="B2044" s="22"/>
      <c r="C2044" s="213"/>
      <c r="D2044" s="213"/>
      <c r="E2044" s="24"/>
      <c r="F2044" s="215"/>
      <c r="G2044" s="26"/>
      <c r="H2044" s="199"/>
      <c r="I2044" s="29"/>
      <c r="J2044" s="192"/>
      <c r="K2044" s="31"/>
      <c r="L2044" s="200"/>
      <c r="M2044" s="212"/>
      <c r="N2044" s="3"/>
      <c r="O2044" s="40"/>
      <c r="P2044" s="40"/>
      <c r="Q2044" s="212"/>
      <c r="R2044" s="31"/>
      <c r="S2044" s="40"/>
      <c r="T2044" s="40"/>
      <c r="U2044" s="40"/>
      <c r="V2044" s="40"/>
      <c r="W2044" s="40"/>
      <c r="X2044" s="40"/>
      <c r="Y2044" s="40"/>
      <c r="Z2044" s="40"/>
      <c r="AA2044" s="40"/>
      <c r="AB2044" s="40"/>
    </row>
    <row r="2045" ht="18.75" customHeight="1">
      <c r="A2045" s="18"/>
      <c r="B2045" s="22"/>
      <c r="C2045" s="213"/>
      <c r="D2045" s="213"/>
      <c r="E2045" s="24"/>
      <c r="F2045" s="215"/>
      <c r="G2045" s="26"/>
      <c r="H2045" s="199"/>
      <c r="I2045" s="29"/>
      <c r="J2045" s="192"/>
      <c r="K2045" s="31"/>
      <c r="L2045" s="200"/>
      <c r="M2045" s="212"/>
      <c r="N2045" s="3"/>
      <c r="O2045" s="40"/>
      <c r="P2045" s="40"/>
      <c r="Q2045" s="212"/>
      <c r="R2045" s="31"/>
      <c r="S2045" s="40"/>
      <c r="T2045" s="40"/>
      <c r="U2045" s="40"/>
      <c r="V2045" s="40"/>
      <c r="W2045" s="40"/>
      <c r="X2045" s="40"/>
      <c r="Y2045" s="40"/>
      <c r="Z2045" s="40"/>
      <c r="AA2045" s="40"/>
      <c r="AB2045" s="40"/>
    </row>
    <row r="2046" ht="18.75" customHeight="1">
      <c r="A2046" s="18"/>
      <c r="B2046" s="22"/>
      <c r="C2046" s="213"/>
      <c r="D2046" s="213"/>
      <c r="E2046" s="24"/>
      <c r="F2046" s="215"/>
      <c r="G2046" s="26"/>
      <c r="H2046" s="199"/>
      <c r="I2046" s="29"/>
      <c r="J2046" s="192"/>
      <c r="K2046" s="31"/>
      <c r="L2046" s="200"/>
      <c r="M2046" s="212"/>
      <c r="N2046" s="3"/>
      <c r="O2046" s="40"/>
      <c r="P2046" s="40"/>
      <c r="Q2046" s="212"/>
      <c r="R2046" s="31"/>
      <c r="S2046" s="40"/>
      <c r="T2046" s="40"/>
      <c r="U2046" s="40"/>
      <c r="V2046" s="40"/>
      <c r="W2046" s="40"/>
      <c r="X2046" s="40"/>
      <c r="Y2046" s="40"/>
      <c r="Z2046" s="40"/>
      <c r="AA2046" s="40"/>
      <c r="AB2046" s="40"/>
    </row>
    <row r="2047" ht="18.75" customHeight="1">
      <c r="A2047" s="18"/>
      <c r="B2047" s="22"/>
      <c r="C2047" s="213"/>
      <c r="D2047" s="213"/>
      <c r="E2047" s="24"/>
      <c r="F2047" s="215"/>
      <c r="G2047" s="26"/>
      <c r="H2047" s="199"/>
      <c r="I2047" s="29"/>
      <c r="J2047" s="192"/>
      <c r="K2047" s="31"/>
      <c r="L2047" s="200"/>
      <c r="M2047" s="212"/>
      <c r="N2047" s="3"/>
      <c r="O2047" s="40"/>
      <c r="P2047" s="40"/>
      <c r="Q2047" s="212"/>
      <c r="R2047" s="31"/>
      <c r="S2047" s="40"/>
      <c r="T2047" s="40"/>
      <c r="U2047" s="40"/>
      <c r="V2047" s="40"/>
      <c r="W2047" s="40"/>
      <c r="X2047" s="40"/>
      <c r="Y2047" s="40"/>
      <c r="Z2047" s="40"/>
      <c r="AA2047" s="40"/>
      <c r="AB2047" s="40"/>
    </row>
    <row r="2048" ht="18.75" customHeight="1">
      <c r="A2048" s="18"/>
      <c r="B2048" s="22"/>
      <c r="C2048" s="213"/>
      <c r="D2048" s="213"/>
      <c r="E2048" s="24"/>
      <c r="F2048" s="215"/>
      <c r="G2048" s="26"/>
      <c r="H2048" s="199"/>
      <c r="I2048" s="29"/>
      <c r="J2048" s="192"/>
      <c r="K2048" s="31"/>
      <c r="L2048" s="200"/>
      <c r="M2048" s="212"/>
      <c r="N2048" s="3"/>
      <c r="O2048" s="40"/>
      <c r="P2048" s="40"/>
      <c r="Q2048" s="212"/>
      <c r="R2048" s="31"/>
      <c r="S2048" s="40"/>
      <c r="T2048" s="40"/>
      <c r="U2048" s="40"/>
      <c r="V2048" s="40"/>
      <c r="W2048" s="40"/>
      <c r="X2048" s="40"/>
      <c r="Y2048" s="40"/>
      <c r="Z2048" s="40"/>
      <c r="AA2048" s="40"/>
      <c r="AB2048" s="40"/>
    </row>
    <row r="2049" ht="18.75" customHeight="1">
      <c r="A2049" s="18"/>
      <c r="B2049" s="22"/>
      <c r="C2049" s="213"/>
      <c r="D2049" s="213"/>
      <c r="E2049" s="24"/>
      <c r="F2049" s="215"/>
      <c r="G2049" s="26"/>
      <c r="H2049" s="199"/>
      <c r="I2049" s="29"/>
      <c r="J2049" s="192"/>
      <c r="K2049" s="31"/>
      <c r="L2049" s="200"/>
      <c r="M2049" s="212"/>
      <c r="N2049" s="3"/>
      <c r="O2049" s="40"/>
      <c r="P2049" s="40"/>
      <c r="Q2049" s="212"/>
      <c r="R2049" s="31"/>
      <c r="S2049" s="40"/>
      <c r="T2049" s="40"/>
      <c r="U2049" s="40"/>
      <c r="V2049" s="40"/>
      <c r="W2049" s="40"/>
      <c r="X2049" s="40"/>
      <c r="Y2049" s="40"/>
      <c r="Z2049" s="40"/>
      <c r="AA2049" s="40"/>
      <c r="AB2049" s="40"/>
    </row>
    <row r="2050" ht="18.75" customHeight="1">
      <c r="A2050" s="18"/>
      <c r="B2050" s="22"/>
      <c r="C2050" s="213"/>
      <c r="D2050" s="213"/>
      <c r="E2050" s="24"/>
      <c r="F2050" s="215"/>
      <c r="G2050" s="26"/>
      <c r="H2050" s="199"/>
      <c r="I2050" s="29"/>
      <c r="J2050" s="192"/>
      <c r="K2050" s="31"/>
      <c r="L2050" s="200"/>
      <c r="M2050" s="212"/>
      <c r="N2050" s="3"/>
      <c r="O2050" s="40"/>
      <c r="P2050" s="40"/>
      <c r="Q2050" s="212"/>
      <c r="R2050" s="31"/>
      <c r="S2050" s="40"/>
      <c r="T2050" s="40"/>
      <c r="U2050" s="40"/>
      <c r="V2050" s="40"/>
      <c r="W2050" s="40"/>
      <c r="X2050" s="40"/>
      <c r="Y2050" s="40"/>
      <c r="Z2050" s="40"/>
      <c r="AA2050" s="40"/>
      <c r="AB2050" s="40"/>
    </row>
    <row r="2051" ht="18.75" customHeight="1">
      <c r="A2051" s="18"/>
      <c r="B2051" s="22"/>
      <c r="C2051" s="213"/>
      <c r="D2051" s="213"/>
      <c r="E2051" s="24"/>
      <c r="F2051" s="215"/>
      <c r="G2051" s="26"/>
      <c r="H2051" s="199"/>
      <c r="I2051" s="29"/>
      <c r="J2051" s="192"/>
      <c r="K2051" s="31"/>
      <c r="L2051" s="200"/>
      <c r="M2051" s="212"/>
      <c r="N2051" s="3"/>
      <c r="O2051" s="40"/>
      <c r="P2051" s="40"/>
      <c r="Q2051" s="212"/>
      <c r="R2051" s="31"/>
      <c r="S2051" s="40"/>
      <c r="T2051" s="40"/>
      <c r="U2051" s="40"/>
      <c r="V2051" s="40"/>
      <c r="W2051" s="40"/>
      <c r="X2051" s="40"/>
      <c r="Y2051" s="40"/>
      <c r="Z2051" s="40"/>
      <c r="AA2051" s="40"/>
      <c r="AB2051" s="40"/>
    </row>
    <row r="2052" ht="18.75" customHeight="1">
      <c r="A2052" s="18"/>
      <c r="B2052" s="22"/>
      <c r="C2052" s="213"/>
      <c r="D2052" s="213"/>
      <c r="E2052" s="24"/>
      <c r="F2052" s="215"/>
      <c r="G2052" s="26"/>
      <c r="H2052" s="199"/>
      <c r="I2052" s="29"/>
      <c r="J2052" s="192"/>
      <c r="K2052" s="31"/>
      <c r="L2052" s="200"/>
      <c r="M2052" s="212"/>
      <c r="N2052" s="3"/>
      <c r="O2052" s="40"/>
      <c r="P2052" s="40"/>
      <c r="Q2052" s="212"/>
      <c r="R2052" s="31"/>
      <c r="S2052" s="40"/>
      <c r="T2052" s="40"/>
      <c r="U2052" s="40"/>
      <c r="V2052" s="40"/>
      <c r="W2052" s="40"/>
      <c r="X2052" s="40"/>
      <c r="Y2052" s="40"/>
      <c r="Z2052" s="40"/>
      <c r="AA2052" s="40"/>
      <c r="AB2052" s="40"/>
    </row>
    <row r="2053" ht="18.75" customHeight="1">
      <c r="A2053" s="18"/>
      <c r="B2053" s="22"/>
      <c r="C2053" s="213"/>
      <c r="D2053" s="213"/>
      <c r="E2053" s="24"/>
      <c r="F2053" s="215"/>
      <c r="G2053" s="26"/>
      <c r="H2053" s="199"/>
      <c r="I2053" s="29"/>
      <c r="J2053" s="192"/>
      <c r="K2053" s="31"/>
      <c r="L2053" s="200"/>
      <c r="M2053" s="212"/>
      <c r="N2053" s="3"/>
      <c r="O2053" s="40"/>
      <c r="P2053" s="40"/>
      <c r="Q2053" s="212"/>
      <c r="R2053" s="31"/>
      <c r="S2053" s="40"/>
      <c r="T2053" s="40"/>
      <c r="U2053" s="40"/>
      <c r="V2053" s="40"/>
      <c r="W2053" s="40"/>
      <c r="X2053" s="40"/>
      <c r="Y2053" s="40"/>
      <c r="Z2053" s="40"/>
      <c r="AA2053" s="40"/>
      <c r="AB2053" s="40"/>
    </row>
    <row r="2054" ht="18.75" customHeight="1">
      <c r="A2054" s="18"/>
      <c r="B2054" s="22"/>
      <c r="C2054" s="213"/>
      <c r="D2054" s="213"/>
      <c r="E2054" s="24"/>
      <c r="F2054" s="215"/>
      <c r="G2054" s="26"/>
      <c r="H2054" s="199"/>
      <c r="I2054" s="29"/>
      <c r="J2054" s="192"/>
      <c r="K2054" s="31"/>
      <c r="L2054" s="200"/>
      <c r="M2054" s="212"/>
      <c r="N2054" s="3"/>
      <c r="O2054" s="40"/>
      <c r="P2054" s="40"/>
      <c r="Q2054" s="212"/>
      <c r="R2054" s="31"/>
      <c r="S2054" s="40"/>
      <c r="T2054" s="40"/>
      <c r="U2054" s="40"/>
      <c r="V2054" s="40"/>
      <c r="W2054" s="40"/>
      <c r="X2054" s="40"/>
      <c r="Y2054" s="40"/>
      <c r="Z2054" s="40"/>
      <c r="AA2054" s="40"/>
      <c r="AB2054" s="40"/>
    </row>
    <row r="2055" ht="18.75" customHeight="1">
      <c r="A2055" s="18"/>
      <c r="B2055" s="22"/>
      <c r="C2055" s="213"/>
      <c r="D2055" s="213"/>
      <c r="E2055" s="24"/>
      <c r="F2055" s="215"/>
      <c r="G2055" s="26"/>
      <c r="H2055" s="199"/>
      <c r="I2055" s="29"/>
      <c r="J2055" s="192"/>
      <c r="K2055" s="31"/>
      <c r="L2055" s="200"/>
      <c r="M2055" s="212"/>
      <c r="N2055" s="3"/>
      <c r="O2055" s="40"/>
      <c r="P2055" s="40"/>
      <c r="Q2055" s="212"/>
      <c r="R2055" s="31"/>
      <c r="S2055" s="40"/>
      <c r="T2055" s="40"/>
      <c r="U2055" s="40"/>
      <c r="V2055" s="40"/>
      <c r="W2055" s="40"/>
      <c r="X2055" s="40"/>
      <c r="Y2055" s="40"/>
      <c r="Z2055" s="40"/>
      <c r="AA2055" s="40"/>
      <c r="AB2055" s="40"/>
    </row>
    <row r="2056" ht="18.75" customHeight="1">
      <c r="A2056" s="18"/>
      <c r="B2056" s="22"/>
      <c r="C2056" s="213"/>
      <c r="D2056" s="213"/>
      <c r="E2056" s="24"/>
      <c r="F2056" s="215"/>
      <c r="G2056" s="26"/>
      <c r="H2056" s="199"/>
      <c r="I2056" s="29"/>
      <c r="J2056" s="192"/>
      <c r="K2056" s="31"/>
      <c r="L2056" s="200"/>
      <c r="M2056" s="212"/>
      <c r="N2056" s="3"/>
      <c r="O2056" s="40"/>
      <c r="P2056" s="40"/>
      <c r="Q2056" s="212"/>
      <c r="R2056" s="31"/>
      <c r="S2056" s="40"/>
      <c r="T2056" s="40"/>
      <c r="U2056" s="40"/>
      <c r="V2056" s="40"/>
      <c r="W2056" s="40"/>
      <c r="X2056" s="40"/>
      <c r="Y2056" s="40"/>
      <c r="Z2056" s="40"/>
      <c r="AA2056" s="40"/>
      <c r="AB2056" s="40"/>
    </row>
    <row r="2057" ht="18.75" customHeight="1">
      <c r="A2057" s="18"/>
      <c r="B2057" s="22"/>
      <c r="C2057" s="213"/>
      <c r="D2057" s="213"/>
      <c r="E2057" s="24"/>
      <c r="F2057" s="215"/>
      <c r="G2057" s="26"/>
      <c r="H2057" s="199"/>
      <c r="I2057" s="29"/>
      <c r="J2057" s="192"/>
      <c r="K2057" s="31"/>
      <c r="L2057" s="200"/>
      <c r="M2057" s="212"/>
      <c r="N2057" s="3"/>
      <c r="O2057" s="40"/>
      <c r="P2057" s="40"/>
      <c r="Q2057" s="212"/>
      <c r="R2057" s="31"/>
      <c r="S2057" s="40"/>
      <c r="T2057" s="40"/>
      <c r="U2057" s="40"/>
      <c r="V2057" s="40"/>
      <c r="W2057" s="40"/>
      <c r="X2057" s="40"/>
      <c r="Y2057" s="40"/>
      <c r="Z2057" s="40"/>
      <c r="AA2057" s="40"/>
      <c r="AB2057" s="40"/>
    </row>
    <row r="2058" ht="18.75" customHeight="1">
      <c r="A2058" s="18"/>
      <c r="B2058" s="22"/>
      <c r="C2058" s="213"/>
      <c r="D2058" s="213"/>
      <c r="E2058" s="24"/>
      <c r="F2058" s="215"/>
      <c r="G2058" s="26"/>
      <c r="H2058" s="199"/>
      <c r="I2058" s="29"/>
      <c r="J2058" s="192"/>
      <c r="K2058" s="31"/>
      <c r="L2058" s="200"/>
      <c r="M2058" s="212"/>
      <c r="N2058" s="3"/>
      <c r="O2058" s="40"/>
      <c r="P2058" s="40"/>
      <c r="Q2058" s="212"/>
      <c r="R2058" s="31"/>
      <c r="S2058" s="40"/>
      <c r="T2058" s="40"/>
      <c r="U2058" s="40"/>
      <c r="V2058" s="40"/>
      <c r="W2058" s="40"/>
      <c r="X2058" s="40"/>
      <c r="Y2058" s="40"/>
      <c r="Z2058" s="40"/>
      <c r="AA2058" s="40"/>
      <c r="AB2058" s="40"/>
    </row>
    <row r="2059" ht="18.75" customHeight="1">
      <c r="A2059" s="18"/>
      <c r="B2059" s="22"/>
      <c r="C2059" s="213"/>
      <c r="D2059" s="213"/>
      <c r="E2059" s="24"/>
      <c r="F2059" s="215"/>
      <c r="G2059" s="26"/>
      <c r="H2059" s="199"/>
      <c r="I2059" s="29"/>
      <c r="J2059" s="192"/>
      <c r="K2059" s="31"/>
      <c r="L2059" s="200"/>
      <c r="M2059" s="212"/>
      <c r="N2059" s="3"/>
      <c r="O2059" s="40"/>
      <c r="P2059" s="40"/>
      <c r="Q2059" s="212"/>
      <c r="R2059" s="31"/>
      <c r="S2059" s="40"/>
      <c r="T2059" s="40"/>
      <c r="U2059" s="40"/>
      <c r="V2059" s="40"/>
      <c r="W2059" s="40"/>
      <c r="X2059" s="40"/>
      <c r="Y2059" s="40"/>
      <c r="Z2059" s="40"/>
      <c r="AA2059" s="40"/>
      <c r="AB2059" s="40"/>
    </row>
    <row r="2060" ht="18.75" customHeight="1">
      <c r="A2060" s="18"/>
      <c r="B2060" s="22"/>
      <c r="C2060" s="213"/>
      <c r="D2060" s="213"/>
      <c r="E2060" s="24"/>
      <c r="F2060" s="215"/>
      <c r="G2060" s="26"/>
      <c r="H2060" s="199"/>
      <c r="I2060" s="29"/>
      <c r="J2060" s="192"/>
      <c r="K2060" s="31"/>
      <c r="L2060" s="200"/>
      <c r="M2060" s="212"/>
      <c r="N2060" s="3"/>
      <c r="O2060" s="40"/>
      <c r="P2060" s="40"/>
      <c r="Q2060" s="212"/>
      <c r="R2060" s="31"/>
      <c r="S2060" s="40"/>
      <c r="T2060" s="40"/>
      <c r="U2060" s="40"/>
      <c r="V2060" s="40"/>
      <c r="W2060" s="40"/>
      <c r="X2060" s="40"/>
      <c r="Y2060" s="40"/>
      <c r="Z2060" s="40"/>
      <c r="AA2060" s="40"/>
      <c r="AB2060" s="40"/>
    </row>
    <row r="2061" ht="18.75" customHeight="1">
      <c r="A2061" s="18"/>
      <c r="B2061" s="22"/>
      <c r="C2061" s="213"/>
      <c r="D2061" s="213"/>
      <c r="E2061" s="24"/>
      <c r="F2061" s="215"/>
      <c r="G2061" s="26"/>
      <c r="H2061" s="199"/>
      <c r="I2061" s="29"/>
      <c r="J2061" s="192"/>
      <c r="K2061" s="31"/>
      <c r="L2061" s="200"/>
      <c r="M2061" s="212"/>
      <c r="N2061" s="3"/>
      <c r="O2061" s="40"/>
      <c r="P2061" s="40"/>
      <c r="Q2061" s="212"/>
      <c r="R2061" s="31"/>
      <c r="S2061" s="40"/>
      <c r="T2061" s="40"/>
      <c r="U2061" s="40"/>
      <c r="V2061" s="40"/>
      <c r="W2061" s="40"/>
      <c r="X2061" s="40"/>
      <c r="Y2061" s="40"/>
      <c r="Z2061" s="40"/>
      <c r="AA2061" s="40"/>
      <c r="AB2061" s="40"/>
    </row>
    <row r="2062" ht="18.75" customHeight="1">
      <c r="A2062" s="18"/>
      <c r="B2062" s="22"/>
      <c r="C2062" s="213"/>
      <c r="D2062" s="213"/>
      <c r="E2062" s="24"/>
      <c r="F2062" s="215"/>
      <c r="G2062" s="26"/>
      <c r="H2062" s="199"/>
      <c r="I2062" s="29"/>
      <c r="J2062" s="192"/>
      <c r="K2062" s="31"/>
      <c r="L2062" s="200"/>
      <c r="M2062" s="212"/>
      <c r="N2062" s="3"/>
      <c r="O2062" s="40"/>
      <c r="P2062" s="40"/>
      <c r="Q2062" s="212"/>
      <c r="R2062" s="31"/>
      <c r="S2062" s="40"/>
      <c r="T2062" s="40"/>
      <c r="U2062" s="40"/>
      <c r="V2062" s="40"/>
      <c r="W2062" s="40"/>
      <c r="X2062" s="40"/>
      <c r="Y2062" s="40"/>
      <c r="Z2062" s="40"/>
      <c r="AA2062" s="40"/>
      <c r="AB2062" s="40"/>
    </row>
    <row r="2063" ht="18.75" customHeight="1">
      <c r="A2063" s="18"/>
      <c r="B2063" s="22"/>
      <c r="C2063" s="213"/>
      <c r="D2063" s="213"/>
      <c r="E2063" s="24"/>
      <c r="F2063" s="215"/>
      <c r="G2063" s="26"/>
      <c r="H2063" s="199"/>
      <c r="I2063" s="29"/>
      <c r="J2063" s="192"/>
      <c r="K2063" s="31"/>
      <c r="L2063" s="200"/>
      <c r="M2063" s="212"/>
      <c r="N2063" s="3"/>
      <c r="O2063" s="40"/>
      <c r="P2063" s="40"/>
      <c r="Q2063" s="212"/>
      <c r="R2063" s="31"/>
      <c r="S2063" s="40"/>
      <c r="T2063" s="40"/>
      <c r="U2063" s="40"/>
      <c r="V2063" s="40"/>
      <c r="W2063" s="40"/>
      <c r="X2063" s="40"/>
      <c r="Y2063" s="40"/>
      <c r="Z2063" s="40"/>
      <c r="AA2063" s="40"/>
      <c r="AB2063" s="40"/>
    </row>
    <row r="2064" ht="18.75" customHeight="1">
      <c r="A2064" s="18"/>
      <c r="B2064" s="22"/>
      <c r="C2064" s="213"/>
      <c r="D2064" s="213"/>
      <c r="E2064" s="24"/>
      <c r="F2064" s="215"/>
      <c r="G2064" s="26"/>
      <c r="H2064" s="199"/>
      <c r="I2064" s="29"/>
      <c r="J2064" s="192"/>
      <c r="K2064" s="31"/>
      <c r="L2064" s="200"/>
      <c r="M2064" s="212"/>
      <c r="N2064" s="3"/>
      <c r="O2064" s="40"/>
      <c r="P2064" s="40"/>
      <c r="Q2064" s="212"/>
      <c r="R2064" s="31"/>
      <c r="S2064" s="40"/>
      <c r="T2064" s="40"/>
      <c r="U2064" s="40"/>
      <c r="V2064" s="40"/>
      <c r="W2064" s="40"/>
      <c r="X2064" s="40"/>
      <c r="Y2064" s="40"/>
      <c r="Z2064" s="40"/>
      <c r="AA2064" s="40"/>
      <c r="AB2064" s="40"/>
    </row>
    <row r="2065" ht="18.75" customHeight="1">
      <c r="A2065" s="18"/>
      <c r="B2065" s="22"/>
      <c r="C2065" s="213"/>
      <c r="D2065" s="213"/>
      <c r="E2065" s="24"/>
      <c r="F2065" s="215"/>
      <c r="G2065" s="26"/>
      <c r="H2065" s="199"/>
      <c r="I2065" s="29"/>
      <c r="J2065" s="192"/>
      <c r="K2065" s="31"/>
      <c r="L2065" s="200"/>
      <c r="M2065" s="212"/>
      <c r="N2065" s="3"/>
      <c r="O2065" s="40"/>
      <c r="P2065" s="40"/>
      <c r="Q2065" s="212"/>
      <c r="R2065" s="31"/>
      <c r="S2065" s="40"/>
      <c r="T2065" s="40"/>
      <c r="U2065" s="40"/>
      <c r="V2065" s="40"/>
      <c r="W2065" s="40"/>
      <c r="X2065" s="40"/>
      <c r="Y2065" s="40"/>
      <c r="Z2065" s="40"/>
      <c r="AA2065" s="40"/>
      <c r="AB2065" s="40"/>
    </row>
    <row r="2066" ht="18.75" customHeight="1">
      <c r="A2066" s="18"/>
      <c r="B2066" s="22"/>
      <c r="C2066" s="213"/>
      <c r="D2066" s="213"/>
      <c r="E2066" s="24"/>
      <c r="F2066" s="215"/>
      <c r="G2066" s="26"/>
      <c r="H2066" s="199"/>
      <c r="I2066" s="29"/>
      <c r="J2066" s="192"/>
      <c r="K2066" s="31"/>
      <c r="L2066" s="200"/>
      <c r="M2066" s="212"/>
      <c r="N2066" s="3"/>
      <c r="O2066" s="40"/>
      <c r="P2066" s="40"/>
      <c r="Q2066" s="212"/>
      <c r="R2066" s="31"/>
      <c r="S2066" s="40"/>
      <c r="T2066" s="40"/>
      <c r="U2066" s="40"/>
      <c r="V2066" s="40"/>
      <c r="W2066" s="40"/>
      <c r="X2066" s="40"/>
      <c r="Y2066" s="40"/>
      <c r="Z2066" s="40"/>
      <c r="AA2066" s="40"/>
      <c r="AB2066" s="40"/>
    </row>
    <row r="2067" ht="18.75" customHeight="1">
      <c r="A2067" s="18"/>
      <c r="B2067" s="22"/>
      <c r="C2067" s="213"/>
      <c r="D2067" s="213"/>
      <c r="E2067" s="24"/>
      <c r="F2067" s="215"/>
      <c r="G2067" s="26"/>
      <c r="H2067" s="199"/>
      <c r="I2067" s="29"/>
      <c r="J2067" s="192"/>
      <c r="K2067" s="31"/>
      <c r="L2067" s="200"/>
      <c r="M2067" s="212"/>
      <c r="N2067" s="3"/>
      <c r="O2067" s="40"/>
      <c r="P2067" s="40"/>
      <c r="Q2067" s="212"/>
      <c r="R2067" s="31"/>
      <c r="S2067" s="40"/>
      <c r="T2067" s="40"/>
      <c r="U2067" s="40"/>
      <c r="V2067" s="40"/>
      <c r="W2067" s="40"/>
      <c r="X2067" s="40"/>
      <c r="Y2067" s="40"/>
      <c r="Z2067" s="40"/>
      <c r="AA2067" s="40"/>
      <c r="AB2067" s="40"/>
    </row>
    <row r="2068" ht="18.75" customHeight="1">
      <c r="A2068" s="18"/>
      <c r="B2068" s="22"/>
      <c r="C2068" s="213"/>
      <c r="D2068" s="213"/>
      <c r="E2068" s="24"/>
      <c r="F2068" s="215"/>
      <c r="G2068" s="26"/>
      <c r="H2068" s="199"/>
      <c r="I2068" s="29"/>
      <c r="J2068" s="192"/>
      <c r="K2068" s="31"/>
      <c r="L2068" s="200"/>
      <c r="M2068" s="212"/>
      <c r="N2068" s="3"/>
      <c r="O2068" s="40"/>
      <c r="P2068" s="40"/>
      <c r="Q2068" s="212"/>
      <c r="R2068" s="31"/>
      <c r="S2068" s="40"/>
      <c r="T2068" s="40"/>
      <c r="U2068" s="40"/>
      <c r="V2068" s="40"/>
      <c r="W2068" s="40"/>
      <c r="X2068" s="40"/>
      <c r="Y2068" s="40"/>
      <c r="Z2068" s="40"/>
      <c r="AA2068" s="40"/>
      <c r="AB2068" s="40"/>
    </row>
    <row r="2069" ht="18.75" customHeight="1">
      <c r="A2069" s="18"/>
      <c r="B2069" s="22"/>
      <c r="C2069" s="213"/>
      <c r="D2069" s="213"/>
      <c r="E2069" s="24"/>
      <c r="F2069" s="215"/>
      <c r="G2069" s="26"/>
      <c r="H2069" s="199"/>
      <c r="I2069" s="29"/>
      <c r="J2069" s="192"/>
      <c r="K2069" s="31"/>
      <c r="L2069" s="200"/>
      <c r="M2069" s="212"/>
      <c r="N2069" s="3"/>
      <c r="O2069" s="40"/>
      <c r="P2069" s="40"/>
      <c r="Q2069" s="212"/>
      <c r="R2069" s="31"/>
      <c r="S2069" s="40"/>
      <c r="T2069" s="40"/>
      <c r="U2069" s="40"/>
      <c r="V2069" s="40"/>
      <c r="W2069" s="40"/>
      <c r="X2069" s="40"/>
      <c r="Y2069" s="40"/>
      <c r="Z2069" s="40"/>
      <c r="AA2069" s="40"/>
      <c r="AB2069" s="40"/>
    </row>
    <row r="2070" ht="18.75" customHeight="1">
      <c r="A2070" s="18"/>
      <c r="B2070" s="22"/>
      <c r="C2070" s="213"/>
      <c r="D2070" s="213"/>
      <c r="E2070" s="24"/>
      <c r="F2070" s="215"/>
      <c r="G2070" s="26"/>
      <c r="H2070" s="199"/>
      <c r="I2070" s="29"/>
      <c r="J2070" s="192"/>
      <c r="K2070" s="31"/>
      <c r="L2070" s="200"/>
      <c r="M2070" s="212"/>
      <c r="N2070" s="3"/>
      <c r="O2070" s="40"/>
      <c r="P2070" s="40"/>
      <c r="Q2070" s="212"/>
      <c r="R2070" s="31"/>
      <c r="S2070" s="40"/>
      <c r="T2070" s="40"/>
      <c r="U2070" s="40"/>
      <c r="V2070" s="40"/>
      <c r="W2070" s="40"/>
      <c r="X2070" s="40"/>
      <c r="Y2070" s="40"/>
      <c r="Z2070" s="40"/>
      <c r="AA2070" s="40"/>
      <c r="AB2070" s="40"/>
    </row>
    <row r="2071" ht="18.75" customHeight="1">
      <c r="A2071" s="18"/>
      <c r="B2071" s="22"/>
      <c r="C2071" s="213"/>
      <c r="D2071" s="213"/>
      <c r="E2071" s="24"/>
      <c r="F2071" s="215"/>
      <c r="G2071" s="26"/>
      <c r="H2071" s="199"/>
      <c r="I2071" s="29"/>
      <c r="J2071" s="192"/>
      <c r="K2071" s="31"/>
      <c r="L2071" s="200"/>
      <c r="M2071" s="212"/>
      <c r="N2071" s="3"/>
      <c r="O2071" s="40"/>
      <c r="P2071" s="40"/>
      <c r="Q2071" s="212"/>
      <c r="R2071" s="31"/>
      <c r="S2071" s="40"/>
      <c r="T2071" s="40"/>
      <c r="U2071" s="40"/>
      <c r="V2071" s="40"/>
      <c r="W2071" s="40"/>
      <c r="X2071" s="40"/>
      <c r="Y2071" s="40"/>
      <c r="Z2071" s="40"/>
      <c r="AA2071" s="40"/>
      <c r="AB2071" s="40"/>
    </row>
    <row r="2072" ht="18.75" customHeight="1">
      <c r="A2072" s="18"/>
      <c r="B2072" s="22"/>
      <c r="C2072" s="213"/>
      <c r="D2072" s="213"/>
      <c r="E2072" s="24"/>
      <c r="F2072" s="215"/>
      <c r="G2072" s="26"/>
      <c r="H2072" s="199"/>
      <c r="I2072" s="29"/>
      <c r="J2072" s="192"/>
      <c r="K2072" s="31"/>
      <c r="L2072" s="200"/>
      <c r="M2072" s="212"/>
      <c r="N2072" s="3"/>
      <c r="O2072" s="40"/>
      <c r="P2072" s="40"/>
      <c r="Q2072" s="212"/>
      <c r="R2072" s="31"/>
      <c r="S2072" s="40"/>
      <c r="T2072" s="40"/>
      <c r="U2072" s="40"/>
      <c r="V2072" s="40"/>
      <c r="W2072" s="40"/>
      <c r="X2072" s="40"/>
      <c r="Y2072" s="40"/>
      <c r="Z2072" s="40"/>
      <c r="AA2072" s="40"/>
      <c r="AB2072" s="40"/>
    </row>
    <row r="2073" ht="18.75" customHeight="1">
      <c r="A2073" s="18"/>
      <c r="B2073" s="22"/>
      <c r="C2073" s="213"/>
      <c r="D2073" s="213"/>
      <c r="E2073" s="24"/>
      <c r="F2073" s="215"/>
      <c r="G2073" s="26"/>
      <c r="H2073" s="199"/>
      <c r="I2073" s="29"/>
      <c r="J2073" s="192"/>
      <c r="K2073" s="31"/>
      <c r="L2073" s="200"/>
      <c r="M2073" s="212"/>
      <c r="N2073" s="3"/>
      <c r="O2073" s="40"/>
      <c r="P2073" s="40"/>
      <c r="Q2073" s="212"/>
      <c r="R2073" s="31"/>
      <c r="S2073" s="40"/>
      <c r="T2073" s="40"/>
      <c r="U2073" s="40"/>
      <c r="V2073" s="40"/>
      <c r="W2073" s="40"/>
      <c r="X2073" s="40"/>
      <c r="Y2073" s="40"/>
      <c r="Z2073" s="40"/>
      <c r="AA2073" s="40"/>
      <c r="AB2073" s="40"/>
    </row>
    <row r="2074" ht="18.75" customHeight="1">
      <c r="A2074" s="18"/>
      <c r="B2074" s="22"/>
      <c r="C2074" s="213"/>
      <c r="D2074" s="213"/>
      <c r="E2074" s="24"/>
      <c r="F2074" s="215"/>
      <c r="G2074" s="26"/>
      <c r="H2074" s="199"/>
      <c r="I2074" s="29"/>
      <c r="J2074" s="192"/>
      <c r="K2074" s="31"/>
      <c r="L2074" s="200"/>
      <c r="M2074" s="212"/>
      <c r="N2074" s="3"/>
      <c r="O2074" s="40"/>
      <c r="P2074" s="40"/>
      <c r="Q2074" s="212"/>
      <c r="R2074" s="31"/>
      <c r="S2074" s="40"/>
      <c r="T2074" s="40"/>
      <c r="U2074" s="40"/>
      <c r="V2074" s="40"/>
      <c r="W2074" s="40"/>
      <c r="X2074" s="40"/>
      <c r="Y2074" s="40"/>
      <c r="Z2074" s="40"/>
      <c r="AA2074" s="40"/>
      <c r="AB2074" s="40"/>
    </row>
    <row r="2075" ht="18.75" customHeight="1">
      <c r="A2075" s="18"/>
      <c r="B2075" s="22"/>
      <c r="C2075" s="213"/>
      <c r="D2075" s="213"/>
      <c r="E2075" s="24"/>
      <c r="F2075" s="215"/>
      <c r="G2075" s="26"/>
      <c r="H2075" s="199"/>
      <c r="I2075" s="29"/>
      <c r="J2075" s="192"/>
      <c r="K2075" s="31"/>
      <c r="L2075" s="200"/>
      <c r="M2075" s="212"/>
      <c r="N2075" s="3"/>
      <c r="O2075" s="40"/>
      <c r="P2075" s="40"/>
      <c r="Q2075" s="212"/>
      <c r="R2075" s="31"/>
      <c r="S2075" s="40"/>
      <c r="T2075" s="40"/>
      <c r="U2075" s="40"/>
      <c r="V2075" s="40"/>
      <c r="W2075" s="40"/>
      <c r="X2075" s="40"/>
      <c r="Y2075" s="40"/>
      <c r="Z2075" s="40"/>
      <c r="AA2075" s="40"/>
      <c r="AB2075" s="40"/>
    </row>
    <row r="2076" ht="18.75" customHeight="1">
      <c r="A2076" s="18"/>
      <c r="B2076" s="22"/>
      <c r="C2076" s="213"/>
      <c r="D2076" s="213"/>
      <c r="E2076" s="24"/>
      <c r="F2076" s="215"/>
      <c r="G2076" s="26"/>
      <c r="H2076" s="199"/>
      <c r="I2076" s="29"/>
      <c r="J2076" s="192"/>
      <c r="K2076" s="31"/>
      <c r="L2076" s="200"/>
      <c r="M2076" s="212"/>
      <c r="N2076" s="3"/>
      <c r="O2076" s="40"/>
      <c r="P2076" s="40"/>
      <c r="Q2076" s="212"/>
      <c r="R2076" s="31"/>
      <c r="S2076" s="40"/>
      <c r="T2076" s="40"/>
      <c r="U2076" s="40"/>
      <c r="V2076" s="40"/>
      <c r="W2076" s="40"/>
      <c r="X2076" s="40"/>
      <c r="Y2076" s="40"/>
      <c r="Z2076" s="40"/>
      <c r="AA2076" s="40"/>
      <c r="AB2076" s="40"/>
    </row>
    <row r="2077" ht="18.75" customHeight="1">
      <c r="A2077" s="18"/>
      <c r="B2077" s="22"/>
      <c r="C2077" s="213"/>
      <c r="D2077" s="213"/>
      <c r="E2077" s="24"/>
      <c r="F2077" s="215"/>
      <c r="G2077" s="26"/>
      <c r="H2077" s="199"/>
      <c r="I2077" s="29"/>
      <c r="J2077" s="192"/>
      <c r="K2077" s="31"/>
      <c r="L2077" s="200"/>
      <c r="M2077" s="212"/>
      <c r="N2077" s="3"/>
      <c r="O2077" s="40"/>
      <c r="P2077" s="40"/>
      <c r="Q2077" s="212"/>
      <c r="R2077" s="31"/>
      <c r="S2077" s="40"/>
      <c r="T2077" s="40"/>
      <c r="U2077" s="40"/>
      <c r="V2077" s="40"/>
      <c r="W2077" s="40"/>
      <c r="X2077" s="40"/>
      <c r="Y2077" s="40"/>
      <c r="Z2077" s="40"/>
      <c r="AA2077" s="40"/>
      <c r="AB2077" s="40"/>
    </row>
    <row r="2078" ht="18.75" customHeight="1">
      <c r="A2078" s="18"/>
      <c r="B2078" s="22"/>
      <c r="C2078" s="213"/>
      <c r="D2078" s="213"/>
      <c r="E2078" s="24"/>
      <c r="F2078" s="215"/>
      <c r="G2078" s="26"/>
      <c r="H2078" s="199"/>
      <c r="I2078" s="29"/>
      <c r="J2078" s="192"/>
      <c r="K2078" s="31"/>
      <c r="L2078" s="200"/>
      <c r="M2078" s="212"/>
      <c r="N2078" s="3"/>
      <c r="O2078" s="40"/>
      <c r="P2078" s="40"/>
      <c r="Q2078" s="212"/>
      <c r="R2078" s="31"/>
      <c r="S2078" s="40"/>
      <c r="T2078" s="40"/>
      <c r="U2078" s="40"/>
      <c r="V2078" s="40"/>
      <c r="W2078" s="40"/>
      <c r="X2078" s="40"/>
      <c r="Y2078" s="40"/>
      <c r="Z2078" s="40"/>
      <c r="AA2078" s="40"/>
      <c r="AB2078" s="40"/>
    </row>
    <row r="2079" ht="18.75" customHeight="1">
      <c r="A2079" s="18"/>
      <c r="B2079" s="22"/>
      <c r="C2079" s="213"/>
      <c r="D2079" s="213"/>
      <c r="E2079" s="24"/>
      <c r="F2079" s="215"/>
      <c r="G2079" s="26"/>
      <c r="H2079" s="199"/>
      <c r="I2079" s="29"/>
      <c r="J2079" s="192"/>
      <c r="K2079" s="31"/>
      <c r="L2079" s="200"/>
      <c r="M2079" s="212"/>
      <c r="N2079" s="3"/>
      <c r="O2079" s="40"/>
      <c r="P2079" s="40"/>
      <c r="Q2079" s="212"/>
      <c r="R2079" s="31"/>
      <c r="S2079" s="40"/>
      <c r="T2079" s="40"/>
      <c r="U2079" s="40"/>
      <c r="V2079" s="40"/>
      <c r="W2079" s="40"/>
      <c r="X2079" s="40"/>
      <c r="Y2079" s="40"/>
      <c r="Z2079" s="40"/>
      <c r="AA2079" s="40"/>
      <c r="AB2079" s="40"/>
    </row>
    <row r="2080" ht="18.75" customHeight="1">
      <c r="A2080" s="18"/>
      <c r="B2080" s="22"/>
      <c r="C2080" s="213"/>
      <c r="D2080" s="213"/>
      <c r="E2080" s="24"/>
      <c r="F2080" s="215"/>
      <c r="G2080" s="26"/>
      <c r="H2080" s="199"/>
      <c r="I2080" s="29"/>
      <c r="J2080" s="192"/>
      <c r="K2080" s="31"/>
      <c r="L2080" s="200"/>
      <c r="M2080" s="212"/>
      <c r="N2080" s="3"/>
      <c r="O2080" s="40"/>
      <c r="P2080" s="40"/>
      <c r="Q2080" s="212"/>
      <c r="R2080" s="31"/>
      <c r="S2080" s="40"/>
      <c r="T2080" s="40"/>
      <c r="U2080" s="40"/>
      <c r="V2080" s="40"/>
      <c r="W2080" s="40"/>
      <c r="X2080" s="40"/>
      <c r="Y2080" s="40"/>
      <c r="Z2080" s="40"/>
      <c r="AA2080" s="40"/>
      <c r="AB2080" s="40"/>
    </row>
    <row r="2081" ht="18.75" customHeight="1">
      <c r="A2081" s="18"/>
      <c r="B2081" s="22"/>
      <c r="C2081" s="213"/>
      <c r="D2081" s="213"/>
      <c r="E2081" s="24"/>
      <c r="F2081" s="215"/>
      <c r="G2081" s="26"/>
      <c r="H2081" s="199"/>
      <c r="I2081" s="29"/>
      <c r="J2081" s="192"/>
      <c r="K2081" s="31"/>
      <c r="L2081" s="200"/>
      <c r="M2081" s="212"/>
      <c r="N2081" s="3"/>
      <c r="O2081" s="40"/>
      <c r="P2081" s="40"/>
      <c r="Q2081" s="212"/>
      <c r="R2081" s="31"/>
      <c r="S2081" s="40"/>
      <c r="T2081" s="40"/>
      <c r="U2081" s="40"/>
      <c r="V2081" s="40"/>
      <c r="W2081" s="40"/>
      <c r="X2081" s="40"/>
      <c r="Y2081" s="40"/>
      <c r="Z2081" s="40"/>
      <c r="AA2081" s="40"/>
      <c r="AB2081" s="40"/>
    </row>
    <row r="2082" ht="18.75" customHeight="1">
      <c r="A2082" s="18"/>
      <c r="B2082" s="22"/>
      <c r="C2082" s="213"/>
      <c r="D2082" s="213"/>
      <c r="E2082" s="24"/>
      <c r="F2082" s="215"/>
      <c r="G2082" s="26"/>
      <c r="H2082" s="199"/>
      <c r="I2082" s="29"/>
      <c r="J2082" s="192"/>
      <c r="K2082" s="31"/>
      <c r="L2082" s="200"/>
      <c r="M2082" s="212"/>
      <c r="N2082" s="3"/>
      <c r="O2082" s="40"/>
      <c r="P2082" s="40"/>
      <c r="Q2082" s="212"/>
      <c r="R2082" s="31"/>
      <c r="S2082" s="40"/>
      <c r="T2082" s="40"/>
      <c r="U2082" s="40"/>
      <c r="V2082" s="40"/>
      <c r="W2082" s="40"/>
      <c r="X2082" s="40"/>
      <c r="Y2082" s="40"/>
      <c r="Z2082" s="40"/>
      <c r="AA2082" s="40"/>
      <c r="AB2082" s="40"/>
    </row>
    <row r="2083" ht="18.75" customHeight="1">
      <c r="A2083" s="18"/>
      <c r="B2083" s="22"/>
      <c r="C2083" s="213"/>
      <c r="D2083" s="213"/>
      <c r="E2083" s="24"/>
      <c r="F2083" s="215"/>
      <c r="G2083" s="26"/>
      <c r="H2083" s="199"/>
      <c r="I2083" s="29"/>
      <c r="J2083" s="192"/>
      <c r="K2083" s="31"/>
      <c r="L2083" s="200"/>
      <c r="M2083" s="212"/>
      <c r="N2083" s="3"/>
      <c r="O2083" s="40"/>
      <c r="P2083" s="40"/>
      <c r="Q2083" s="212"/>
      <c r="R2083" s="31"/>
      <c r="S2083" s="40"/>
      <c r="T2083" s="40"/>
      <c r="U2083" s="40"/>
      <c r="V2083" s="40"/>
      <c r="W2083" s="40"/>
      <c r="X2083" s="40"/>
      <c r="Y2083" s="40"/>
      <c r="Z2083" s="40"/>
      <c r="AA2083" s="40"/>
      <c r="AB2083" s="40"/>
    </row>
    <row r="2084" ht="18.75" customHeight="1">
      <c r="A2084" s="18"/>
      <c r="B2084" s="22"/>
      <c r="C2084" s="213"/>
      <c r="D2084" s="213"/>
      <c r="E2084" s="24"/>
      <c r="F2084" s="215"/>
      <c r="G2084" s="26"/>
      <c r="H2084" s="199"/>
      <c r="I2084" s="29"/>
      <c r="J2084" s="192"/>
      <c r="K2084" s="31"/>
      <c r="L2084" s="200"/>
      <c r="M2084" s="212"/>
      <c r="N2084" s="3"/>
      <c r="O2084" s="40"/>
      <c r="P2084" s="40"/>
      <c r="Q2084" s="212"/>
      <c r="R2084" s="31"/>
      <c r="S2084" s="40"/>
      <c r="T2084" s="40"/>
      <c r="U2084" s="40"/>
      <c r="V2084" s="40"/>
      <c r="W2084" s="40"/>
      <c r="X2084" s="40"/>
      <c r="Y2084" s="40"/>
      <c r="Z2084" s="40"/>
      <c r="AA2084" s="40"/>
      <c r="AB2084" s="40"/>
    </row>
    <row r="2085" ht="18.75" customHeight="1">
      <c r="A2085" s="18"/>
      <c r="B2085" s="22"/>
      <c r="C2085" s="213"/>
      <c r="D2085" s="213"/>
      <c r="E2085" s="24"/>
      <c r="F2085" s="215"/>
      <c r="G2085" s="26"/>
      <c r="H2085" s="199"/>
      <c r="I2085" s="29"/>
      <c r="J2085" s="192"/>
      <c r="K2085" s="31"/>
      <c r="L2085" s="200"/>
      <c r="M2085" s="212"/>
      <c r="N2085" s="3"/>
      <c r="O2085" s="40"/>
      <c r="P2085" s="40"/>
      <c r="Q2085" s="212"/>
      <c r="R2085" s="31"/>
      <c r="S2085" s="40"/>
      <c r="T2085" s="40"/>
      <c r="U2085" s="40"/>
      <c r="V2085" s="40"/>
      <c r="W2085" s="40"/>
      <c r="X2085" s="40"/>
      <c r="Y2085" s="40"/>
      <c r="Z2085" s="40"/>
      <c r="AA2085" s="40"/>
      <c r="AB2085" s="40"/>
    </row>
    <row r="2086" ht="18.75" customHeight="1">
      <c r="A2086" s="18"/>
      <c r="B2086" s="22"/>
      <c r="C2086" s="213"/>
      <c r="D2086" s="213"/>
      <c r="E2086" s="24"/>
      <c r="F2086" s="215"/>
      <c r="G2086" s="26"/>
      <c r="H2086" s="199"/>
      <c r="I2086" s="29"/>
      <c r="J2086" s="192"/>
      <c r="K2086" s="31"/>
      <c r="L2086" s="200"/>
      <c r="M2086" s="212"/>
      <c r="N2086" s="3"/>
      <c r="O2086" s="40"/>
      <c r="P2086" s="40"/>
      <c r="Q2086" s="212"/>
      <c r="R2086" s="31"/>
      <c r="S2086" s="40"/>
      <c r="T2086" s="40"/>
      <c r="U2086" s="40"/>
      <c r="V2086" s="40"/>
      <c r="W2086" s="40"/>
      <c r="X2086" s="40"/>
      <c r="Y2086" s="40"/>
      <c r="Z2086" s="40"/>
      <c r="AA2086" s="40"/>
      <c r="AB2086" s="40"/>
    </row>
    <row r="2087" ht="18.75" customHeight="1">
      <c r="A2087" s="18"/>
      <c r="B2087" s="22"/>
      <c r="C2087" s="213"/>
      <c r="D2087" s="213"/>
      <c r="E2087" s="24"/>
      <c r="F2087" s="215"/>
      <c r="G2087" s="26"/>
      <c r="H2087" s="199"/>
      <c r="I2087" s="29"/>
      <c r="J2087" s="192"/>
      <c r="K2087" s="31"/>
      <c r="L2087" s="200"/>
      <c r="M2087" s="212"/>
      <c r="N2087" s="3"/>
      <c r="O2087" s="40"/>
      <c r="P2087" s="40"/>
      <c r="Q2087" s="212"/>
      <c r="R2087" s="31"/>
      <c r="S2087" s="40"/>
      <c r="T2087" s="40"/>
      <c r="U2087" s="40"/>
      <c r="V2087" s="40"/>
      <c r="W2087" s="40"/>
      <c r="X2087" s="40"/>
      <c r="Y2087" s="40"/>
      <c r="Z2087" s="40"/>
      <c r="AA2087" s="40"/>
      <c r="AB2087" s="40"/>
    </row>
    <row r="2088" ht="18.75" customHeight="1">
      <c r="A2088" s="18"/>
      <c r="B2088" s="22"/>
      <c r="C2088" s="213"/>
      <c r="D2088" s="213"/>
      <c r="E2088" s="24"/>
      <c r="F2088" s="215"/>
      <c r="G2088" s="26"/>
      <c r="H2088" s="199"/>
      <c r="I2088" s="29"/>
      <c r="J2088" s="192"/>
      <c r="K2088" s="31"/>
      <c r="L2088" s="200"/>
      <c r="M2088" s="212"/>
      <c r="N2088" s="3"/>
      <c r="O2088" s="40"/>
      <c r="P2088" s="40"/>
      <c r="Q2088" s="212"/>
      <c r="R2088" s="31"/>
      <c r="S2088" s="40"/>
      <c r="T2088" s="40"/>
      <c r="U2088" s="40"/>
      <c r="V2088" s="40"/>
      <c r="W2088" s="40"/>
      <c r="X2088" s="40"/>
      <c r="Y2088" s="40"/>
      <c r="Z2088" s="40"/>
      <c r="AA2088" s="40"/>
      <c r="AB2088" s="40"/>
    </row>
    <row r="2089" ht="18.75" customHeight="1">
      <c r="A2089" s="18"/>
      <c r="B2089" s="22"/>
      <c r="C2089" s="213"/>
      <c r="D2089" s="213"/>
      <c r="E2089" s="24"/>
      <c r="F2089" s="215"/>
      <c r="G2089" s="26"/>
      <c r="H2089" s="199"/>
      <c r="I2089" s="29"/>
      <c r="J2089" s="192"/>
      <c r="K2089" s="31"/>
      <c r="L2089" s="200"/>
      <c r="M2089" s="212"/>
      <c r="N2089" s="3"/>
      <c r="O2089" s="40"/>
      <c r="P2089" s="40"/>
      <c r="Q2089" s="212"/>
      <c r="R2089" s="31"/>
      <c r="S2089" s="40"/>
      <c r="T2089" s="40"/>
      <c r="U2089" s="40"/>
      <c r="V2089" s="40"/>
      <c r="W2089" s="40"/>
      <c r="X2089" s="40"/>
      <c r="Y2089" s="40"/>
      <c r="Z2089" s="40"/>
      <c r="AA2089" s="40"/>
      <c r="AB2089" s="40"/>
    </row>
    <row r="2090" ht="18.75" customHeight="1">
      <c r="A2090" s="18"/>
      <c r="B2090" s="22"/>
      <c r="C2090" s="213"/>
      <c r="D2090" s="213"/>
      <c r="E2090" s="24"/>
      <c r="F2090" s="215"/>
      <c r="G2090" s="26"/>
      <c r="H2090" s="199"/>
      <c r="I2090" s="29"/>
      <c r="J2090" s="192"/>
      <c r="K2090" s="31"/>
      <c r="L2090" s="200"/>
      <c r="M2090" s="212"/>
      <c r="N2090" s="3"/>
      <c r="O2090" s="40"/>
      <c r="P2090" s="40"/>
      <c r="Q2090" s="212"/>
      <c r="R2090" s="31"/>
      <c r="S2090" s="40"/>
      <c r="T2090" s="40"/>
      <c r="U2090" s="40"/>
      <c r="V2090" s="40"/>
      <c r="W2090" s="40"/>
      <c r="X2090" s="40"/>
      <c r="Y2090" s="40"/>
      <c r="Z2090" s="40"/>
      <c r="AA2090" s="40"/>
      <c r="AB2090" s="40"/>
    </row>
    <row r="2091" ht="18.75" customHeight="1">
      <c r="A2091" s="18"/>
      <c r="B2091" s="22"/>
      <c r="C2091" s="213"/>
      <c r="D2091" s="213"/>
      <c r="E2091" s="24"/>
      <c r="F2091" s="215"/>
      <c r="G2091" s="26"/>
      <c r="H2091" s="199"/>
      <c r="I2091" s="29"/>
      <c r="J2091" s="192"/>
      <c r="K2091" s="31"/>
      <c r="L2091" s="200"/>
      <c r="M2091" s="212"/>
      <c r="N2091" s="3"/>
      <c r="O2091" s="40"/>
      <c r="P2091" s="40"/>
      <c r="Q2091" s="212"/>
      <c r="R2091" s="31"/>
      <c r="S2091" s="40"/>
      <c r="T2091" s="40"/>
      <c r="U2091" s="40"/>
      <c r="V2091" s="40"/>
      <c r="W2091" s="40"/>
      <c r="X2091" s="40"/>
      <c r="Y2091" s="40"/>
      <c r="Z2091" s="40"/>
      <c r="AA2091" s="40"/>
      <c r="AB2091" s="40"/>
    </row>
    <row r="2092" ht="18.75" customHeight="1">
      <c r="A2092" s="18"/>
      <c r="B2092" s="22"/>
      <c r="C2092" s="213"/>
      <c r="D2092" s="213"/>
      <c r="E2092" s="24"/>
      <c r="F2092" s="215"/>
      <c r="G2092" s="26"/>
      <c r="H2092" s="199"/>
      <c r="I2092" s="29"/>
      <c r="J2092" s="192"/>
      <c r="K2092" s="31"/>
      <c r="L2092" s="200"/>
      <c r="M2092" s="212"/>
      <c r="N2092" s="3"/>
      <c r="O2092" s="40"/>
      <c r="P2092" s="40"/>
      <c r="Q2092" s="212"/>
      <c r="R2092" s="31"/>
      <c r="S2092" s="40"/>
      <c r="T2092" s="40"/>
      <c r="U2092" s="40"/>
      <c r="V2092" s="40"/>
      <c r="W2092" s="40"/>
      <c r="X2092" s="40"/>
      <c r="Y2092" s="40"/>
      <c r="Z2092" s="40"/>
      <c r="AA2092" s="40"/>
      <c r="AB2092" s="40"/>
    </row>
    <row r="2093" ht="18.75" customHeight="1">
      <c r="A2093" s="18"/>
      <c r="B2093" s="22"/>
      <c r="C2093" s="213"/>
      <c r="D2093" s="213"/>
      <c r="E2093" s="24"/>
      <c r="F2093" s="215"/>
      <c r="G2093" s="26"/>
      <c r="H2093" s="199"/>
      <c r="I2093" s="29"/>
      <c r="J2093" s="192"/>
      <c r="K2093" s="31"/>
      <c r="L2093" s="200"/>
      <c r="M2093" s="212"/>
      <c r="N2093" s="3"/>
      <c r="O2093" s="40"/>
      <c r="P2093" s="40"/>
      <c r="Q2093" s="212"/>
      <c r="R2093" s="31"/>
      <c r="S2093" s="40"/>
      <c r="T2093" s="40"/>
      <c r="U2093" s="40"/>
      <c r="V2093" s="40"/>
      <c r="W2093" s="40"/>
      <c r="X2093" s="40"/>
      <c r="Y2093" s="40"/>
      <c r="Z2093" s="40"/>
      <c r="AA2093" s="40"/>
      <c r="AB2093" s="40"/>
    </row>
    <row r="2094" ht="18.75" customHeight="1">
      <c r="A2094" s="18"/>
      <c r="B2094" s="22"/>
      <c r="C2094" s="213"/>
      <c r="D2094" s="213"/>
      <c r="E2094" s="24"/>
      <c r="F2094" s="215"/>
      <c r="G2094" s="26"/>
      <c r="H2094" s="199"/>
      <c r="I2094" s="29"/>
      <c r="J2094" s="192"/>
      <c r="K2094" s="31"/>
      <c r="L2094" s="200"/>
      <c r="M2094" s="212"/>
      <c r="N2094" s="3"/>
      <c r="O2094" s="40"/>
      <c r="P2094" s="40"/>
      <c r="Q2094" s="212"/>
      <c r="R2094" s="31"/>
      <c r="S2094" s="40"/>
      <c r="T2094" s="40"/>
      <c r="U2094" s="40"/>
      <c r="V2094" s="40"/>
      <c r="W2094" s="40"/>
      <c r="X2094" s="40"/>
      <c r="Y2094" s="40"/>
      <c r="Z2094" s="40"/>
      <c r="AA2094" s="40"/>
      <c r="AB2094" s="40"/>
    </row>
    <row r="2095" ht="18.75" customHeight="1">
      <c r="A2095" s="18"/>
      <c r="B2095" s="22"/>
      <c r="C2095" s="213"/>
      <c r="D2095" s="213"/>
      <c r="E2095" s="24"/>
      <c r="F2095" s="215"/>
      <c r="G2095" s="26"/>
      <c r="H2095" s="199"/>
      <c r="I2095" s="29"/>
      <c r="J2095" s="192"/>
      <c r="K2095" s="31"/>
      <c r="L2095" s="200"/>
      <c r="M2095" s="212"/>
      <c r="N2095" s="3"/>
      <c r="O2095" s="40"/>
      <c r="P2095" s="40"/>
      <c r="Q2095" s="212"/>
      <c r="R2095" s="31"/>
      <c r="S2095" s="40"/>
      <c r="T2095" s="40"/>
      <c r="U2095" s="40"/>
      <c r="V2095" s="40"/>
      <c r="W2095" s="40"/>
      <c r="X2095" s="40"/>
      <c r="Y2095" s="40"/>
      <c r="Z2095" s="40"/>
      <c r="AA2095" s="40"/>
      <c r="AB2095" s="40"/>
    </row>
    <row r="2096" ht="18.75" customHeight="1">
      <c r="A2096" s="18"/>
      <c r="B2096" s="22"/>
      <c r="C2096" s="213"/>
      <c r="D2096" s="213"/>
      <c r="E2096" s="24"/>
      <c r="F2096" s="215"/>
      <c r="G2096" s="26"/>
      <c r="H2096" s="199"/>
      <c r="I2096" s="29"/>
      <c r="J2096" s="192"/>
      <c r="K2096" s="31"/>
      <c r="L2096" s="200"/>
      <c r="M2096" s="212"/>
      <c r="N2096" s="3"/>
      <c r="O2096" s="40"/>
      <c r="P2096" s="40"/>
      <c r="Q2096" s="212"/>
      <c r="R2096" s="31"/>
      <c r="S2096" s="40"/>
      <c r="T2096" s="40"/>
      <c r="U2096" s="40"/>
      <c r="V2096" s="40"/>
      <c r="W2096" s="40"/>
      <c r="X2096" s="40"/>
      <c r="Y2096" s="40"/>
      <c r="Z2096" s="40"/>
      <c r="AA2096" s="40"/>
      <c r="AB2096" s="40"/>
    </row>
    <row r="2097" ht="18.75" customHeight="1">
      <c r="A2097" s="18"/>
      <c r="B2097" s="22"/>
      <c r="C2097" s="213"/>
      <c r="D2097" s="213"/>
      <c r="E2097" s="24"/>
      <c r="F2097" s="215"/>
      <c r="G2097" s="26"/>
      <c r="H2097" s="199"/>
      <c r="I2097" s="29"/>
      <c r="J2097" s="192"/>
      <c r="K2097" s="31"/>
      <c r="L2097" s="200"/>
      <c r="M2097" s="212"/>
      <c r="N2097" s="3"/>
      <c r="O2097" s="40"/>
      <c r="P2097" s="40"/>
      <c r="Q2097" s="212"/>
      <c r="R2097" s="31"/>
      <c r="S2097" s="40"/>
      <c r="T2097" s="40"/>
      <c r="U2097" s="40"/>
      <c r="V2097" s="40"/>
      <c r="W2097" s="40"/>
      <c r="X2097" s="40"/>
      <c r="Y2097" s="40"/>
      <c r="Z2097" s="40"/>
      <c r="AA2097" s="40"/>
      <c r="AB2097" s="40"/>
    </row>
    <row r="2098" ht="18.75" customHeight="1">
      <c r="A2098" s="18"/>
      <c r="B2098" s="22"/>
      <c r="C2098" s="213"/>
      <c r="D2098" s="213"/>
      <c r="E2098" s="24"/>
      <c r="F2098" s="215"/>
      <c r="G2098" s="26"/>
      <c r="H2098" s="199"/>
      <c r="I2098" s="29"/>
      <c r="J2098" s="192"/>
      <c r="K2098" s="31"/>
      <c r="L2098" s="200"/>
      <c r="M2098" s="212"/>
      <c r="N2098" s="3"/>
      <c r="O2098" s="40"/>
      <c r="P2098" s="40"/>
      <c r="Q2098" s="212"/>
      <c r="R2098" s="31"/>
      <c r="S2098" s="40"/>
      <c r="T2098" s="40"/>
      <c r="U2098" s="40"/>
      <c r="V2098" s="40"/>
      <c r="W2098" s="40"/>
      <c r="X2098" s="40"/>
      <c r="Y2098" s="40"/>
      <c r="Z2098" s="40"/>
      <c r="AA2098" s="40"/>
      <c r="AB2098" s="40"/>
    </row>
    <row r="2099" ht="18.75" customHeight="1">
      <c r="A2099" s="18"/>
      <c r="B2099" s="22"/>
      <c r="C2099" s="213"/>
      <c r="D2099" s="213"/>
      <c r="E2099" s="24"/>
      <c r="F2099" s="215"/>
      <c r="G2099" s="26"/>
      <c r="H2099" s="199"/>
      <c r="I2099" s="29"/>
      <c r="J2099" s="192"/>
      <c r="K2099" s="31"/>
      <c r="L2099" s="200"/>
      <c r="M2099" s="212"/>
      <c r="N2099" s="3"/>
      <c r="O2099" s="40"/>
      <c r="P2099" s="40"/>
      <c r="Q2099" s="212"/>
      <c r="R2099" s="31"/>
      <c r="S2099" s="40"/>
      <c r="T2099" s="40"/>
      <c r="U2099" s="40"/>
      <c r="V2099" s="40"/>
      <c r="W2099" s="40"/>
      <c r="X2099" s="40"/>
      <c r="Y2099" s="40"/>
      <c r="Z2099" s="40"/>
      <c r="AA2099" s="40"/>
      <c r="AB2099" s="40"/>
    </row>
    <row r="2100" ht="18.75" customHeight="1">
      <c r="A2100" s="18"/>
      <c r="B2100" s="22"/>
      <c r="C2100" s="213"/>
      <c r="D2100" s="213"/>
      <c r="E2100" s="24"/>
      <c r="F2100" s="215"/>
      <c r="G2100" s="26"/>
      <c r="H2100" s="199"/>
      <c r="I2100" s="29"/>
      <c r="J2100" s="192"/>
      <c r="K2100" s="31"/>
      <c r="L2100" s="200"/>
      <c r="M2100" s="212"/>
      <c r="N2100" s="3"/>
      <c r="O2100" s="40"/>
      <c r="P2100" s="40"/>
      <c r="Q2100" s="212"/>
      <c r="R2100" s="31"/>
      <c r="S2100" s="40"/>
      <c r="T2100" s="40"/>
      <c r="U2100" s="40"/>
      <c r="V2100" s="40"/>
      <c r="W2100" s="40"/>
      <c r="X2100" s="40"/>
      <c r="Y2100" s="40"/>
      <c r="Z2100" s="40"/>
      <c r="AA2100" s="40"/>
      <c r="AB2100" s="40"/>
    </row>
    <row r="2101" ht="18.75" customHeight="1">
      <c r="A2101" s="18"/>
      <c r="B2101" s="22"/>
      <c r="C2101" s="213"/>
      <c r="D2101" s="213"/>
      <c r="E2101" s="24"/>
      <c r="F2101" s="215"/>
      <c r="G2101" s="26"/>
      <c r="H2101" s="199"/>
      <c r="I2101" s="29"/>
      <c r="J2101" s="192"/>
      <c r="K2101" s="31"/>
      <c r="L2101" s="200"/>
      <c r="M2101" s="212"/>
      <c r="N2101" s="3"/>
      <c r="O2101" s="40"/>
      <c r="P2101" s="40"/>
      <c r="Q2101" s="212"/>
      <c r="R2101" s="31"/>
      <c r="S2101" s="40"/>
      <c r="T2101" s="40"/>
      <c r="U2101" s="40"/>
      <c r="V2101" s="40"/>
      <c r="W2101" s="40"/>
      <c r="X2101" s="40"/>
      <c r="Y2101" s="40"/>
      <c r="Z2101" s="40"/>
      <c r="AA2101" s="40"/>
      <c r="AB2101" s="40"/>
    </row>
    <row r="2102" ht="18.75" customHeight="1">
      <c r="A2102" s="18"/>
      <c r="B2102" s="22"/>
      <c r="C2102" s="213"/>
      <c r="D2102" s="213"/>
      <c r="E2102" s="24"/>
      <c r="F2102" s="215"/>
      <c r="G2102" s="26"/>
      <c r="H2102" s="199"/>
      <c r="I2102" s="29"/>
      <c r="J2102" s="192"/>
      <c r="K2102" s="31"/>
      <c r="L2102" s="200"/>
      <c r="M2102" s="212"/>
      <c r="N2102" s="3"/>
      <c r="O2102" s="40"/>
      <c r="P2102" s="40"/>
      <c r="Q2102" s="212"/>
      <c r="R2102" s="31"/>
      <c r="S2102" s="40"/>
      <c r="T2102" s="40"/>
      <c r="U2102" s="40"/>
      <c r="V2102" s="40"/>
      <c r="W2102" s="40"/>
      <c r="X2102" s="40"/>
      <c r="Y2102" s="40"/>
      <c r="Z2102" s="40"/>
      <c r="AA2102" s="40"/>
      <c r="AB2102" s="40"/>
    </row>
    <row r="2103" ht="18.75" customHeight="1">
      <c r="A2103" s="18"/>
      <c r="B2103" s="22"/>
      <c r="C2103" s="213"/>
      <c r="D2103" s="213"/>
      <c r="E2103" s="24"/>
      <c r="F2103" s="215"/>
      <c r="G2103" s="26"/>
      <c r="H2103" s="199"/>
      <c r="I2103" s="29"/>
      <c r="J2103" s="192"/>
      <c r="K2103" s="31"/>
      <c r="L2103" s="200"/>
      <c r="M2103" s="212"/>
      <c r="N2103" s="3"/>
      <c r="O2103" s="40"/>
      <c r="P2103" s="40"/>
      <c r="Q2103" s="212"/>
      <c r="R2103" s="31"/>
      <c r="S2103" s="40"/>
      <c r="T2103" s="40"/>
      <c r="U2103" s="40"/>
      <c r="V2103" s="40"/>
      <c r="W2103" s="40"/>
      <c r="X2103" s="40"/>
      <c r="Y2103" s="40"/>
      <c r="Z2103" s="40"/>
      <c r="AA2103" s="40"/>
      <c r="AB2103" s="40"/>
    </row>
    <row r="2104" ht="18.75" customHeight="1">
      <c r="A2104" s="18"/>
      <c r="B2104" s="22"/>
      <c r="C2104" s="213"/>
      <c r="D2104" s="213"/>
      <c r="E2104" s="24"/>
      <c r="F2104" s="215"/>
      <c r="G2104" s="26"/>
      <c r="H2104" s="199"/>
      <c r="I2104" s="29"/>
      <c r="J2104" s="192"/>
      <c r="K2104" s="31"/>
      <c r="L2104" s="200"/>
      <c r="M2104" s="212"/>
      <c r="N2104" s="3"/>
      <c r="O2104" s="40"/>
      <c r="P2104" s="40"/>
      <c r="Q2104" s="212"/>
      <c r="R2104" s="31"/>
      <c r="S2104" s="40"/>
      <c r="T2104" s="40"/>
      <c r="U2104" s="40"/>
      <c r="V2104" s="40"/>
      <c r="W2104" s="40"/>
      <c r="X2104" s="40"/>
      <c r="Y2104" s="40"/>
      <c r="Z2104" s="40"/>
      <c r="AA2104" s="40"/>
      <c r="AB2104" s="40"/>
    </row>
    <row r="2105" ht="18.75" customHeight="1">
      <c r="A2105" s="18"/>
      <c r="B2105" s="22"/>
      <c r="C2105" s="213"/>
      <c r="D2105" s="213"/>
      <c r="E2105" s="24"/>
      <c r="F2105" s="215"/>
      <c r="G2105" s="26"/>
      <c r="H2105" s="199"/>
      <c r="I2105" s="29"/>
      <c r="J2105" s="192"/>
      <c r="K2105" s="31"/>
      <c r="L2105" s="200"/>
      <c r="M2105" s="212"/>
      <c r="N2105" s="3"/>
      <c r="O2105" s="40"/>
      <c r="P2105" s="40"/>
      <c r="Q2105" s="212"/>
      <c r="R2105" s="31"/>
      <c r="S2105" s="40"/>
      <c r="T2105" s="40"/>
      <c r="U2105" s="40"/>
      <c r="V2105" s="40"/>
      <c r="W2105" s="40"/>
      <c r="X2105" s="40"/>
      <c r="Y2105" s="40"/>
      <c r="Z2105" s="40"/>
      <c r="AA2105" s="40"/>
      <c r="AB2105" s="40"/>
    </row>
    <row r="2106" ht="18.75" customHeight="1">
      <c r="A2106" s="18"/>
      <c r="B2106" s="22"/>
      <c r="C2106" s="213"/>
      <c r="D2106" s="213"/>
      <c r="E2106" s="24"/>
      <c r="F2106" s="215"/>
      <c r="G2106" s="26"/>
      <c r="H2106" s="199"/>
      <c r="I2106" s="29"/>
      <c r="J2106" s="192"/>
      <c r="K2106" s="31"/>
      <c r="L2106" s="200"/>
      <c r="M2106" s="212"/>
      <c r="N2106" s="3"/>
      <c r="O2106" s="40"/>
      <c r="P2106" s="40"/>
      <c r="Q2106" s="212"/>
      <c r="R2106" s="31"/>
      <c r="S2106" s="40"/>
      <c r="T2106" s="40"/>
      <c r="U2106" s="40"/>
      <c r="V2106" s="40"/>
      <c r="W2106" s="40"/>
      <c r="X2106" s="40"/>
      <c r="Y2106" s="40"/>
      <c r="Z2106" s="40"/>
      <c r="AA2106" s="40"/>
      <c r="AB2106" s="40"/>
    </row>
    <row r="2107" ht="18.75" customHeight="1">
      <c r="A2107" s="18"/>
      <c r="B2107" s="22"/>
      <c r="C2107" s="213"/>
      <c r="D2107" s="213"/>
      <c r="E2107" s="24"/>
      <c r="F2107" s="215"/>
      <c r="G2107" s="26"/>
      <c r="H2107" s="199"/>
      <c r="I2107" s="29"/>
      <c r="J2107" s="192"/>
      <c r="K2107" s="31"/>
      <c r="L2107" s="200"/>
      <c r="M2107" s="212"/>
      <c r="N2107" s="3"/>
      <c r="O2107" s="40"/>
      <c r="P2107" s="40"/>
      <c r="Q2107" s="212"/>
      <c r="R2107" s="31"/>
      <c r="S2107" s="40"/>
      <c r="T2107" s="40"/>
      <c r="U2107" s="40"/>
      <c r="V2107" s="40"/>
      <c r="W2107" s="40"/>
      <c r="X2107" s="40"/>
      <c r="Y2107" s="40"/>
      <c r="Z2107" s="40"/>
      <c r="AA2107" s="40"/>
      <c r="AB2107" s="40"/>
    </row>
    <row r="2108" ht="18.75" customHeight="1">
      <c r="A2108" s="18"/>
      <c r="B2108" s="22"/>
      <c r="C2108" s="213"/>
      <c r="D2108" s="213"/>
      <c r="E2108" s="24"/>
      <c r="F2108" s="215"/>
      <c r="G2108" s="26"/>
      <c r="H2108" s="199"/>
      <c r="I2108" s="29"/>
      <c r="J2108" s="192"/>
      <c r="K2108" s="31"/>
      <c r="L2108" s="200"/>
      <c r="M2108" s="212"/>
      <c r="N2108" s="3"/>
      <c r="O2108" s="40"/>
      <c r="P2108" s="40"/>
      <c r="Q2108" s="212"/>
      <c r="R2108" s="31"/>
      <c r="S2108" s="40"/>
      <c r="T2108" s="40"/>
      <c r="U2108" s="40"/>
      <c r="V2108" s="40"/>
      <c r="W2108" s="40"/>
      <c r="X2108" s="40"/>
      <c r="Y2108" s="40"/>
      <c r="Z2108" s="40"/>
      <c r="AA2108" s="40"/>
      <c r="AB2108" s="40"/>
    </row>
    <row r="2109" ht="18.75" customHeight="1">
      <c r="A2109" s="18"/>
      <c r="B2109" s="22"/>
      <c r="C2109" s="213"/>
      <c r="D2109" s="213"/>
      <c r="E2109" s="24"/>
      <c r="F2109" s="215"/>
      <c r="G2109" s="26"/>
      <c r="H2109" s="199"/>
      <c r="I2109" s="29"/>
      <c r="J2109" s="192"/>
      <c r="K2109" s="31"/>
      <c r="L2109" s="200"/>
      <c r="M2109" s="212"/>
      <c r="N2109" s="3"/>
      <c r="O2109" s="40"/>
      <c r="P2109" s="40"/>
      <c r="Q2109" s="212"/>
      <c r="R2109" s="31"/>
      <c r="S2109" s="40"/>
      <c r="T2109" s="40"/>
      <c r="U2109" s="40"/>
      <c r="V2109" s="40"/>
      <c r="W2109" s="40"/>
      <c r="X2109" s="40"/>
      <c r="Y2109" s="40"/>
      <c r="Z2109" s="40"/>
      <c r="AA2109" s="40"/>
      <c r="AB2109" s="40"/>
    </row>
    <row r="2110" ht="18.75" customHeight="1">
      <c r="A2110" s="18"/>
      <c r="B2110" s="22"/>
      <c r="C2110" s="213"/>
      <c r="D2110" s="213"/>
      <c r="E2110" s="24"/>
      <c r="F2110" s="215"/>
      <c r="G2110" s="26"/>
      <c r="H2110" s="199"/>
      <c r="I2110" s="29"/>
      <c r="J2110" s="192"/>
      <c r="K2110" s="31"/>
      <c r="L2110" s="200"/>
      <c r="M2110" s="212"/>
      <c r="N2110" s="3"/>
      <c r="O2110" s="40"/>
      <c r="P2110" s="40"/>
      <c r="Q2110" s="212"/>
      <c r="R2110" s="31"/>
      <c r="S2110" s="40"/>
      <c r="T2110" s="40"/>
      <c r="U2110" s="40"/>
      <c r="V2110" s="40"/>
      <c r="W2110" s="40"/>
      <c r="X2110" s="40"/>
      <c r="Y2110" s="40"/>
      <c r="Z2110" s="40"/>
      <c r="AA2110" s="40"/>
      <c r="AB2110" s="40"/>
    </row>
    <row r="2111" ht="18.75" customHeight="1">
      <c r="A2111" s="18"/>
      <c r="B2111" s="22"/>
      <c r="C2111" s="213"/>
      <c r="D2111" s="213"/>
      <c r="E2111" s="24"/>
      <c r="F2111" s="215"/>
      <c r="G2111" s="26"/>
      <c r="H2111" s="199"/>
      <c r="I2111" s="29"/>
      <c r="J2111" s="192"/>
      <c r="K2111" s="31"/>
      <c r="L2111" s="200"/>
      <c r="M2111" s="212"/>
      <c r="N2111" s="3"/>
      <c r="O2111" s="40"/>
      <c r="P2111" s="40"/>
      <c r="Q2111" s="212"/>
      <c r="R2111" s="31"/>
      <c r="S2111" s="40"/>
      <c r="T2111" s="40"/>
      <c r="U2111" s="40"/>
      <c r="V2111" s="40"/>
      <c r="W2111" s="40"/>
      <c r="X2111" s="40"/>
      <c r="Y2111" s="40"/>
      <c r="Z2111" s="40"/>
      <c r="AA2111" s="40"/>
      <c r="AB2111" s="40"/>
    </row>
    <row r="2112" ht="18.75" customHeight="1">
      <c r="A2112" s="18"/>
      <c r="B2112" s="22"/>
      <c r="C2112" s="213"/>
      <c r="D2112" s="213"/>
      <c r="E2112" s="24"/>
      <c r="F2112" s="215"/>
      <c r="G2112" s="26"/>
      <c r="H2112" s="199"/>
      <c r="I2112" s="29"/>
      <c r="J2112" s="192"/>
      <c r="K2112" s="31"/>
      <c r="L2112" s="200"/>
      <c r="M2112" s="212"/>
      <c r="N2112" s="3"/>
      <c r="O2112" s="40"/>
      <c r="P2112" s="40"/>
      <c r="Q2112" s="212"/>
      <c r="R2112" s="31"/>
      <c r="S2112" s="40"/>
      <c r="T2112" s="40"/>
      <c r="U2112" s="40"/>
      <c r="V2112" s="40"/>
      <c r="W2112" s="40"/>
      <c r="X2112" s="40"/>
      <c r="Y2112" s="40"/>
      <c r="Z2112" s="40"/>
      <c r="AA2112" s="40"/>
      <c r="AB2112" s="40"/>
    </row>
    <row r="2113" ht="18.75" customHeight="1">
      <c r="A2113" s="18"/>
      <c r="B2113" s="22"/>
      <c r="C2113" s="213"/>
      <c r="D2113" s="213"/>
      <c r="E2113" s="24"/>
      <c r="F2113" s="215"/>
      <c r="G2113" s="26"/>
      <c r="H2113" s="199"/>
      <c r="I2113" s="29"/>
      <c r="J2113" s="192"/>
      <c r="K2113" s="31"/>
      <c r="L2113" s="200"/>
      <c r="M2113" s="212"/>
      <c r="N2113" s="3"/>
      <c r="O2113" s="40"/>
      <c r="P2113" s="40"/>
      <c r="Q2113" s="212"/>
      <c r="R2113" s="31"/>
      <c r="S2113" s="40"/>
      <c r="T2113" s="40"/>
      <c r="U2113" s="40"/>
      <c r="V2113" s="40"/>
      <c r="W2113" s="40"/>
      <c r="X2113" s="40"/>
      <c r="Y2113" s="40"/>
      <c r="Z2113" s="40"/>
      <c r="AA2113" s="40"/>
      <c r="AB2113" s="40"/>
    </row>
    <row r="2114" ht="18.75" customHeight="1">
      <c r="A2114" s="18"/>
      <c r="B2114" s="22"/>
      <c r="C2114" s="213"/>
      <c r="D2114" s="213"/>
      <c r="E2114" s="24"/>
      <c r="F2114" s="215"/>
      <c r="G2114" s="26"/>
      <c r="H2114" s="199"/>
      <c r="I2114" s="29"/>
      <c r="J2114" s="192"/>
      <c r="K2114" s="31"/>
      <c r="L2114" s="200"/>
      <c r="M2114" s="212"/>
      <c r="N2114" s="3"/>
      <c r="O2114" s="40"/>
      <c r="P2114" s="40"/>
      <c r="Q2114" s="212"/>
      <c r="R2114" s="31"/>
      <c r="S2114" s="40"/>
      <c r="T2114" s="40"/>
      <c r="U2114" s="40"/>
      <c r="V2114" s="40"/>
      <c r="W2114" s="40"/>
      <c r="X2114" s="40"/>
      <c r="Y2114" s="40"/>
      <c r="Z2114" s="40"/>
      <c r="AA2114" s="40"/>
      <c r="AB2114" s="40"/>
    </row>
    <row r="2115" ht="18.75" customHeight="1">
      <c r="A2115" s="18"/>
      <c r="B2115" s="22"/>
      <c r="C2115" s="213"/>
      <c r="D2115" s="213"/>
      <c r="E2115" s="24"/>
      <c r="F2115" s="215"/>
      <c r="G2115" s="26"/>
      <c r="H2115" s="199"/>
      <c r="I2115" s="29"/>
      <c r="J2115" s="192"/>
      <c r="K2115" s="31"/>
      <c r="L2115" s="200"/>
      <c r="M2115" s="212"/>
      <c r="N2115" s="3"/>
      <c r="O2115" s="40"/>
      <c r="P2115" s="40"/>
      <c r="Q2115" s="212"/>
      <c r="R2115" s="31"/>
      <c r="S2115" s="40"/>
      <c r="T2115" s="40"/>
      <c r="U2115" s="40"/>
      <c r="V2115" s="40"/>
      <c r="W2115" s="40"/>
      <c r="X2115" s="40"/>
      <c r="Y2115" s="40"/>
      <c r="Z2115" s="40"/>
      <c r="AA2115" s="40"/>
      <c r="AB2115" s="40"/>
    </row>
    <row r="2116" ht="18.75" customHeight="1">
      <c r="A2116" s="18"/>
      <c r="B2116" s="22"/>
      <c r="C2116" s="213"/>
      <c r="D2116" s="213"/>
      <c r="E2116" s="24"/>
      <c r="F2116" s="215"/>
      <c r="G2116" s="26"/>
      <c r="H2116" s="199"/>
      <c r="I2116" s="29"/>
      <c r="J2116" s="192"/>
      <c r="K2116" s="31"/>
      <c r="L2116" s="200"/>
      <c r="M2116" s="212"/>
      <c r="N2116" s="3"/>
      <c r="O2116" s="40"/>
      <c r="P2116" s="40"/>
      <c r="Q2116" s="212"/>
      <c r="R2116" s="31"/>
      <c r="S2116" s="40"/>
      <c r="T2116" s="40"/>
      <c r="U2116" s="40"/>
      <c r="V2116" s="40"/>
      <c r="W2116" s="40"/>
      <c r="X2116" s="40"/>
      <c r="Y2116" s="40"/>
      <c r="Z2116" s="40"/>
      <c r="AA2116" s="40"/>
      <c r="AB2116" s="40"/>
    </row>
    <row r="2117" ht="18.75" customHeight="1">
      <c r="A2117" s="18"/>
      <c r="B2117" s="22"/>
      <c r="C2117" s="213"/>
      <c r="D2117" s="213"/>
      <c r="E2117" s="24"/>
      <c r="F2117" s="215"/>
      <c r="G2117" s="26"/>
      <c r="H2117" s="199"/>
      <c r="I2117" s="29"/>
      <c r="J2117" s="192"/>
      <c r="K2117" s="31"/>
      <c r="L2117" s="200"/>
      <c r="M2117" s="212"/>
      <c r="N2117" s="3"/>
      <c r="O2117" s="40"/>
      <c r="P2117" s="40"/>
      <c r="Q2117" s="212"/>
      <c r="R2117" s="31"/>
      <c r="S2117" s="40"/>
      <c r="T2117" s="40"/>
      <c r="U2117" s="40"/>
      <c r="V2117" s="40"/>
      <c r="W2117" s="40"/>
      <c r="X2117" s="40"/>
      <c r="Y2117" s="40"/>
      <c r="Z2117" s="40"/>
      <c r="AA2117" s="40"/>
      <c r="AB2117" s="40"/>
    </row>
    <row r="2118" ht="18.75" customHeight="1">
      <c r="A2118" s="18"/>
      <c r="B2118" s="22"/>
      <c r="C2118" s="213"/>
      <c r="D2118" s="213"/>
      <c r="E2118" s="24"/>
      <c r="F2118" s="215"/>
      <c r="G2118" s="26"/>
      <c r="H2118" s="199"/>
      <c r="I2118" s="29"/>
      <c r="J2118" s="192"/>
      <c r="K2118" s="31"/>
      <c r="L2118" s="200"/>
      <c r="M2118" s="212"/>
      <c r="N2118" s="3"/>
      <c r="O2118" s="40"/>
      <c r="P2118" s="40"/>
      <c r="Q2118" s="212"/>
      <c r="R2118" s="31"/>
      <c r="S2118" s="40"/>
      <c r="T2118" s="40"/>
      <c r="U2118" s="40"/>
      <c r="V2118" s="40"/>
      <c r="W2118" s="40"/>
      <c r="X2118" s="40"/>
      <c r="Y2118" s="40"/>
      <c r="Z2118" s="40"/>
      <c r="AA2118" s="40"/>
      <c r="AB2118" s="40"/>
    </row>
    <row r="2119" ht="18.75" customHeight="1">
      <c r="A2119" s="18"/>
      <c r="B2119" s="22"/>
      <c r="C2119" s="213"/>
      <c r="D2119" s="213"/>
      <c r="E2119" s="24"/>
      <c r="F2119" s="215"/>
      <c r="G2119" s="26"/>
      <c r="H2119" s="199"/>
      <c r="I2119" s="29"/>
      <c r="J2119" s="192"/>
      <c r="K2119" s="31"/>
      <c r="L2119" s="200"/>
      <c r="M2119" s="212"/>
      <c r="N2119" s="3"/>
      <c r="O2119" s="40"/>
      <c r="P2119" s="40"/>
      <c r="Q2119" s="212"/>
      <c r="R2119" s="31"/>
      <c r="S2119" s="40"/>
      <c r="T2119" s="40"/>
      <c r="U2119" s="40"/>
      <c r="V2119" s="40"/>
      <c r="W2119" s="40"/>
      <c r="X2119" s="40"/>
      <c r="Y2119" s="40"/>
      <c r="Z2119" s="40"/>
      <c r="AA2119" s="40"/>
      <c r="AB2119" s="40"/>
    </row>
    <row r="2120" ht="18.75" customHeight="1">
      <c r="A2120" s="18"/>
      <c r="B2120" s="22"/>
      <c r="C2120" s="213"/>
      <c r="D2120" s="213"/>
      <c r="E2120" s="24"/>
      <c r="F2120" s="215"/>
      <c r="G2120" s="26"/>
      <c r="H2120" s="199"/>
      <c r="I2120" s="29"/>
      <c r="J2120" s="192"/>
      <c r="K2120" s="31"/>
      <c r="L2120" s="200"/>
      <c r="M2120" s="212"/>
      <c r="N2120" s="3"/>
      <c r="O2120" s="40"/>
      <c r="P2120" s="40"/>
      <c r="Q2120" s="212"/>
      <c r="R2120" s="31"/>
      <c r="S2120" s="40"/>
      <c r="T2120" s="40"/>
      <c r="U2120" s="40"/>
      <c r="V2120" s="40"/>
      <c r="W2120" s="40"/>
      <c r="X2120" s="40"/>
      <c r="Y2120" s="40"/>
      <c r="Z2120" s="40"/>
      <c r="AA2120" s="40"/>
      <c r="AB2120" s="40"/>
    </row>
    <row r="2121" ht="18.75" customHeight="1">
      <c r="A2121" s="18"/>
      <c r="B2121" s="22"/>
      <c r="C2121" s="213"/>
      <c r="D2121" s="213"/>
      <c r="E2121" s="24"/>
      <c r="F2121" s="215"/>
      <c r="G2121" s="26"/>
      <c r="H2121" s="199"/>
      <c r="I2121" s="29"/>
      <c r="J2121" s="192"/>
      <c r="K2121" s="31"/>
      <c r="L2121" s="200"/>
      <c r="M2121" s="212"/>
      <c r="N2121" s="3"/>
      <c r="O2121" s="40"/>
      <c r="P2121" s="40"/>
      <c r="Q2121" s="212"/>
      <c r="R2121" s="31"/>
      <c r="S2121" s="40"/>
      <c r="T2121" s="40"/>
      <c r="U2121" s="40"/>
      <c r="V2121" s="40"/>
      <c r="W2121" s="40"/>
      <c r="X2121" s="40"/>
      <c r="Y2121" s="40"/>
      <c r="Z2121" s="40"/>
      <c r="AA2121" s="40"/>
      <c r="AB2121" s="40"/>
    </row>
    <row r="2122" ht="18.75" customHeight="1">
      <c r="A2122" s="18"/>
      <c r="B2122" s="22"/>
      <c r="C2122" s="213"/>
      <c r="D2122" s="213"/>
      <c r="E2122" s="24"/>
      <c r="F2122" s="215"/>
      <c r="G2122" s="26"/>
      <c r="H2122" s="199"/>
      <c r="I2122" s="29"/>
      <c r="J2122" s="192"/>
      <c r="K2122" s="31"/>
      <c r="L2122" s="200"/>
      <c r="M2122" s="212"/>
      <c r="N2122" s="3"/>
      <c r="O2122" s="40"/>
      <c r="P2122" s="40"/>
      <c r="Q2122" s="212"/>
      <c r="R2122" s="31"/>
      <c r="S2122" s="40"/>
      <c r="T2122" s="40"/>
      <c r="U2122" s="40"/>
      <c r="V2122" s="40"/>
      <c r="W2122" s="40"/>
      <c r="X2122" s="40"/>
      <c r="Y2122" s="40"/>
      <c r="Z2122" s="40"/>
      <c r="AA2122" s="40"/>
      <c r="AB2122" s="40"/>
    </row>
    <row r="2123" ht="18.75" customHeight="1">
      <c r="A2123" s="18"/>
      <c r="B2123" s="22"/>
      <c r="C2123" s="213"/>
      <c r="D2123" s="213"/>
      <c r="E2123" s="24"/>
      <c r="F2123" s="215"/>
      <c r="G2123" s="26"/>
      <c r="H2123" s="199"/>
      <c r="I2123" s="29"/>
      <c r="J2123" s="192"/>
      <c r="K2123" s="31"/>
      <c r="L2123" s="200"/>
      <c r="M2123" s="212"/>
      <c r="N2123" s="3"/>
      <c r="O2123" s="40"/>
      <c r="P2123" s="40"/>
      <c r="Q2123" s="212"/>
      <c r="R2123" s="31"/>
      <c r="S2123" s="40"/>
      <c r="T2123" s="40"/>
      <c r="U2123" s="40"/>
      <c r="V2123" s="40"/>
      <c r="W2123" s="40"/>
      <c r="X2123" s="40"/>
      <c r="Y2123" s="40"/>
      <c r="Z2123" s="40"/>
      <c r="AA2123" s="40"/>
      <c r="AB2123" s="40"/>
    </row>
    <row r="2124" ht="18.75" customHeight="1">
      <c r="A2124" s="18"/>
      <c r="B2124" s="22"/>
      <c r="C2124" s="213"/>
      <c r="D2124" s="213"/>
      <c r="E2124" s="24"/>
      <c r="F2124" s="215"/>
      <c r="G2124" s="26"/>
      <c r="H2124" s="199"/>
      <c r="I2124" s="29"/>
      <c r="J2124" s="192"/>
      <c r="K2124" s="31"/>
      <c r="L2124" s="200"/>
      <c r="M2124" s="212"/>
      <c r="N2124" s="3"/>
      <c r="O2124" s="40"/>
      <c r="P2124" s="40"/>
      <c r="Q2124" s="212"/>
      <c r="R2124" s="31"/>
      <c r="S2124" s="40"/>
      <c r="T2124" s="40"/>
      <c r="U2124" s="40"/>
      <c r="V2124" s="40"/>
      <c r="W2124" s="40"/>
      <c r="X2124" s="40"/>
      <c r="Y2124" s="40"/>
      <c r="Z2124" s="40"/>
      <c r="AA2124" s="40"/>
      <c r="AB2124" s="40"/>
    </row>
    <row r="2125" ht="18.75" customHeight="1">
      <c r="A2125" s="18"/>
      <c r="B2125" s="22"/>
      <c r="C2125" s="213"/>
      <c r="D2125" s="213"/>
      <c r="E2125" s="24"/>
      <c r="F2125" s="215"/>
      <c r="G2125" s="26"/>
      <c r="H2125" s="199"/>
      <c r="I2125" s="29"/>
      <c r="J2125" s="192"/>
      <c r="K2125" s="31"/>
      <c r="L2125" s="200"/>
      <c r="M2125" s="212"/>
      <c r="N2125" s="3"/>
      <c r="O2125" s="40"/>
      <c r="P2125" s="40"/>
      <c r="Q2125" s="212"/>
      <c r="R2125" s="31"/>
      <c r="S2125" s="40"/>
      <c r="T2125" s="40"/>
      <c r="U2125" s="40"/>
      <c r="V2125" s="40"/>
      <c r="W2125" s="40"/>
      <c r="X2125" s="40"/>
      <c r="Y2125" s="40"/>
      <c r="Z2125" s="40"/>
      <c r="AA2125" s="40"/>
      <c r="AB2125" s="40"/>
    </row>
    <row r="2126" ht="18.75" customHeight="1">
      <c r="A2126" s="18"/>
      <c r="B2126" s="22"/>
      <c r="C2126" s="213"/>
      <c r="D2126" s="213"/>
      <c r="E2126" s="24"/>
      <c r="F2126" s="215"/>
      <c r="G2126" s="26"/>
      <c r="H2126" s="199"/>
      <c r="I2126" s="29"/>
      <c r="J2126" s="192"/>
      <c r="K2126" s="31"/>
      <c r="L2126" s="200"/>
      <c r="M2126" s="212"/>
      <c r="N2126" s="3"/>
      <c r="O2126" s="40"/>
      <c r="P2126" s="40"/>
      <c r="Q2126" s="212"/>
      <c r="R2126" s="31"/>
      <c r="S2126" s="40"/>
      <c r="T2126" s="40"/>
      <c r="U2126" s="40"/>
      <c r="V2126" s="40"/>
      <c r="W2126" s="40"/>
      <c r="X2126" s="40"/>
      <c r="Y2126" s="40"/>
      <c r="Z2126" s="40"/>
      <c r="AA2126" s="40"/>
      <c r="AB2126" s="40"/>
    </row>
    <row r="2127" ht="18.75" customHeight="1">
      <c r="A2127" s="18"/>
      <c r="B2127" s="22"/>
      <c r="C2127" s="213"/>
      <c r="D2127" s="213"/>
      <c r="E2127" s="24"/>
      <c r="F2127" s="215"/>
      <c r="G2127" s="26"/>
      <c r="H2127" s="199"/>
      <c r="I2127" s="29"/>
      <c r="J2127" s="192"/>
      <c r="K2127" s="31"/>
      <c r="L2127" s="200"/>
      <c r="M2127" s="212"/>
      <c r="N2127" s="3"/>
      <c r="O2127" s="40"/>
      <c r="P2127" s="40"/>
      <c r="Q2127" s="212"/>
      <c r="R2127" s="31"/>
      <c r="S2127" s="40"/>
      <c r="T2127" s="40"/>
      <c r="U2127" s="40"/>
      <c r="V2127" s="40"/>
      <c r="W2127" s="40"/>
      <c r="X2127" s="40"/>
      <c r="Y2127" s="40"/>
      <c r="Z2127" s="40"/>
      <c r="AA2127" s="40"/>
      <c r="AB2127" s="40"/>
    </row>
    <row r="2128" ht="18.75" customHeight="1">
      <c r="A2128" s="18"/>
      <c r="B2128" s="22"/>
      <c r="C2128" s="213"/>
      <c r="D2128" s="213"/>
      <c r="E2128" s="24"/>
      <c r="F2128" s="215"/>
      <c r="G2128" s="26"/>
      <c r="H2128" s="199"/>
      <c r="I2128" s="29"/>
      <c r="J2128" s="192"/>
      <c r="K2128" s="31"/>
      <c r="L2128" s="200"/>
      <c r="M2128" s="212"/>
      <c r="N2128" s="3"/>
      <c r="O2128" s="40"/>
      <c r="P2128" s="40"/>
      <c r="Q2128" s="212"/>
      <c r="R2128" s="31"/>
      <c r="S2128" s="40"/>
      <c r="T2128" s="40"/>
      <c r="U2128" s="40"/>
      <c r="V2128" s="40"/>
      <c r="W2128" s="40"/>
      <c r="X2128" s="40"/>
      <c r="Y2128" s="40"/>
      <c r="Z2128" s="40"/>
      <c r="AA2128" s="40"/>
      <c r="AB2128" s="40"/>
    </row>
    <row r="2129" ht="18.75" customHeight="1">
      <c r="A2129" s="18"/>
      <c r="B2129" s="22"/>
      <c r="C2129" s="213"/>
      <c r="D2129" s="213"/>
      <c r="E2129" s="24"/>
      <c r="F2129" s="215"/>
      <c r="G2129" s="26"/>
      <c r="H2129" s="199"/>
      <c r="I2129" s="29"/>
      <c r="J2129" s="192"/>
      <c r="K2129" s="31"/>
      <c r="L2129" s="200"/>
      <c r="M2129" s="212"/>
      <c r="N2129" s="3"/>
      <c r="O2129" s="40"/>
      <c r="P2129" s="40"/>
      <c r="Q2129" s="212"/>
      <c r="R2129" s="31"/>
      <c r="S2129" s="40"/>
      <c r="T2129" s="40"/>
      <c r="U2129" s="40"/>
      <c r="V2129" s="40"/>
      <c r="W2129" s="40"/>
      <c r="X2129" s="40"/>
      <c r="Y2129" s="40"/>
      <c r="Z2129" s="40"/>
      <c r="AA2129" s="40"/>
      <c r="AB2129" s="40"/>
    </row>
    <row r="2130" ht="18.75" customHeight="1">
      <c r="A2130" s="18"/>
      <c r="B2130" s="22"/>
      <c r="C2130" s="213"/>
      <c r="D2130" s="213"/>
      <c r="E2130" s="24"/>
      <c r="F2130" s="215"/>
      <c r="G2130" s="26"/>
      <c r="H2130" s="199"/>
      <c r="I2130" s="29"/>
      <c r="J2130" s="192"/>
      <c r="K2130" s="31"/>
      <c r="L2130" s="200"/>
      <c r="M2130" s="212"/>
      <c r="N2130" s="3"/>
      <c r="O2130" s="40"/>
      <c r="P2130" s="40"/>
      <c r="Q2130" s="212"/>
      <c r="R2130" s="31"/>
      <c r="S2130" s="40"/>
      <c r="T2130" s="40"/>
      <c r="U2130" s="40"/>
      <c r="V2130" s="40"/>
      <c r="W2130" s="40"/>
      <c r="X2130" s="40"/>
      <c r="Y2130" s="40"/>
      <c r="Z2130" s="40"/>
      <c r="AA2130" s="40"/>
      <c r="AB2130" s="40"/>
    </row>
    <row r="2131" ht="18.75" customHeight="1">
      <c r="A2131" s="18"/>
      <c r="B2131" s="22"/>
      <c r="C2131" s="213"/>
      <c r="D2131" s="213"/>
      <c r="E2131" s="24"/>
      <c r="F2131" s="215"/>
      <c r="G2131" s="26"/>
      <c r="H2131" s="199"/>
      <c r="I2131" s="29"/>
      <c r="J2131" s="192"/>
      <c r="K2131" s="31"/>
      <c r="L2131" s="200"/>
      <c r="M2131" s="212"/>
      <c r="N2131" s="3"/>
      <c r="O2131" s="40"/>
      <c r="P2131" s="40"/>
      <c r="Q2131" s="212"/>
      <c r="R2131" s="31"/>
      <c r="S2131" s="40"/>
      <c r="T2131" s="40"/>
      <c r="U2131" s="40"/>
      <c r="V2131" s="40"/>
      <c r="W2131" s="40"/>
      <c r="X2131" s="40"/>
      <c r="Y2131" s="40"/>
      <c r="Z2131" s="40"/>
      <c r="AA2131" s="40"/>
      <c r="AB2131" s="40"/>
    </row>
    <row r="2132" ht="18.75" customHeight="1">
      <c r="A2132" s="18"/>
      <c r="B2132" s="22"/>
      <c r="C2132" s="213"/>
      <c r="D2132" s="213"/>
      <c r="E2132" s="24"/>
      <c r="F2132" s="215"/>
      <c r="G2132" s="26"/>
      <c r="H2132" s="199"/>
      <c r="I2132" s="29"/>
      <c r="J2132" s="192"/>
      <c r="K2132" s="31"/>
      <c r="L2132" s="200"/>
      <c r="M2132" s="212"/>
      <c r="N2132" s="3"/>
      <c r="O2132" s="40"/>
      <c r="P2132" s="40"/>
      <c r="Q2132" s="212"/>
      <c r="R2132" s="31"/>
      <c r="S2132" s="40"/>
      <c r="T2132" s="40"/>
      <c r="U2132" s="40"/>
      <c r="V2132" s="40"/>
      <c r="W2132" s="40"/>
      <c r="X2132" s="40"/>
      <c r="Y2132" s="40"/>
      <c r="Z2132" s="40"/>
      <c r="AA2132" s="40"/>
      <c r="AB2132" s="40"/>
    </row>
    <row r="2133" ht="18.75" customHeight="1">
      <c r="A2133" s="18"/>
      <c r="B2133" s="22"/>
      <c r="C2133" s="213"/>
      <c r="D2133" s="213"/>
      <c r="E2133" s="24"/>
      <c r="F2133" s="215"/>
      <c r="G2133" s="26"/>
      <c r="H2133" s="199"/>
      <c r="I2133" s="29"/>
      <c r="J2133" s="192"/>
      <c r="K2133" s="31"/>
      <c r="L2133" s="200"/>
      <c r="M2133" s="212"/>
      <c r="N2133" s="3"/>
      <c r="O2133" s="40"/>
      <c r="P2133" s="40"/>
      <c r="Q2133" s="212"/>
      <c r="R2133" s="31"/>
      <c r="S2133" s="40"/>
      <c r="T2133" s="40"/>
      <c r="U2133" s="40"/>
      <c r="V2133" s="40"/>
      <c r="W2133" s="40"/>
      <c r="X2133" s="40"/>
      <c r="Y2133" s="40"/>
      <c r="Z2133" s="40"/>
      <c r="AA2133" s="40"/>
      <c r="AB2133" s="40"/>
    </row>
    <row r="2134" ht="18.75" customHeight="1">
      <c r="A2134" s="18"/>
      <c r="B2134" s="22"/>
      <c r="C2134" s="213"/>
      <c r="D2134" s="213"/>
      <c r="E2134" s="24"/>
      <c r="F2134" s="215"/>
      <c r="G2134" s="26"/>
      <c r="H2134" s="199"/>
      <c r="I2134" s="29"/>
      <c r="J2134" s="192"/>
      <c r="K2134" s="31"/>
      <c r="L2134" s="200"/>
      <c r="M2134" s="212"/>
      <c r="N2134" s="3"/>
      <c r="O2134" s="40"/>
      <c r="P2134" s="40"/>
      <c r="Q2134" s="212"/>
      <c r="R2134" s="31"/>
      <c r="S2134" s="40"/>
      <c r="T2134" s="40"/>
      <c r="U2134" s="40"/>
      <c r="V2134" s="40"/>
      <c r="W2134" s="40"/>
      <c r="X2134" s="40"/>
      <c r="Y2134" s="40"/>
      <c r="Z2134" s="40"/>
      <c r="AA2134" s="40"/>
      <c r="AB2134" s="40"/>
    </row>
    <row r="2135" ht="18.75" customHeight="1">
      <c r="A2135" s="18"/>
      <c r="B2135" s="22"/>
      <c r="C2135" s="213"/>
      <c r="D2135" s="213"/>
      <c r="E2135" s="24"/>
      <c r="F2135" s="215"/>
      <c r="G2135" s="26"/>
      <c r="H2135" s="199"/>
      <c r="I2135" s="29"/>
      <c r="J2135" s="192"/>
      <c r="K2135" s="31"/>
      <c r="L2135" s="200"/>
      <c r="M2135" s="212"/>
      <c r="N2135" s="3"/>
      <c r="O2135" s="40"/>
      <c r="P2135" s="40"/>
      <c r="Q2135" s="212"/>
      <c r="R2135" s="31"/>
      <c r="S2135" s="40"/>
      <c r="T2135" s="40"/>
      <c r="U2135" s="40"/>
      <c r="V2135" s="40"/>
      <c r="W2135" s="40"/>
      <c r="X2135" s="40"/>
      <c r="Y2135" s="40"/>
      <c r="Z2135" s="40"/>
      <c r="AA2135" s="40"/>
      <c r="AB2135" s="40"/>
    </row>
    <row r="2136" ht="18.75" customHeight="1">
      <c r="A2136" s="18"/>
      <c r="B2136" s="22"/>
      <c r="C2136" s="213"/>
      <c r="D2136" s="213"/>
      <c r="E2136" s="24"/>
      <c r="F2136" s="215"/>
      <c r="G2136" s="26"/>
      <c r="H2136" s="199"/>
      <c r="I2136" s="29"/>
      <c r="J2136" s="192"/>
      <c r="K2136" s="31"/>
      <c r="L2136" s="200"/>
      <c r="M2136" s="212"/>
      <c r="N2136" s="3"/>
      <c r="O2136" s="40"/>
      <c r="P2136" s="40"/>
      <c r="Q2136" s="212"/>
      <c r="R2136" s="31"/>
      <c r="S2136" s="40"/>
      <c r="T2136" s="40"/>
      <c r="U2136" s="40"/>
      <c r="V2136" s="40"/>
      <c r="W2136" s="40"/>
      <c r="X2136" s="40"/>
      <c r="Y2136" s="40"/>
      <c r="Z2136" s="40"/>
      <c r="AA2136" s="40"/>
      <c r="AB2136" s="40"/>
    </row>
    <row r="2137" ht="18.75" customHeight="1">
      <c r="A2137" s="18"/>
      <c r="B2137" s="22"/>
      <c r="C2137" s="213"/>
      <c r="D2137" s="213"/>
      <c r="E2137" s="24"/>
      <c r="F2137" s="215"/>
      <c r="G2137" s="26"/>
      <c r="H2137" s="199"/>
      <c r="I2137" s="29"/>
      <c r="J2137" s="192"/>
      <c r="K2137" s="31"/>
      <c r="L2137" s="200"/>
      <c r="M2137" s="212"/>
      <c r="N2137" s="3"/>
      <c r="O2137" s="40"/>
      <c r="P2137" s="40"/>
      <c r="Q2137" s="212"/>
      <c r="R2137" s="31"/>
      <c r="S2137" s="40"/>
      <c r="T2137" s="40"/>
      <c r="U2137" s="40"/>
      <c r="V2137" s="40"/>
      <c r="W2137" s="40"/>
      <c r="X2137" s="40"/>
      <c r="Y2137" s="40"/>
      <c r="Z2137" s="40"/>
      <c r="AA2137" s="40"/>
      <c r="AB2137" s="40"/>
    </row>
    <row r="2138" ht="18.75" customHeight="1">
      <c r="A2138" s="18"/>
      <c r="B2138" s="22"/>
      <c r="C2138" s="213"/>
      <c r="D2138" s="213"/>
      <c r="E2138" s="24"/>
      <c r="F2138" s="215"/>
      <c r="G2138" s="26"/>
      <c r="H2138" s="199"/>
      <c r="I2138" s="29"/>
      <c r="J2138" s="192"/>
      <c r="K2138" s="31"/>
      <c r="L2138" s="200"/>
      <c r="M2138" s="212"/>
      <c r="N2138" s="3"/>
      <c r="O2138" s="40"/>
      <c r="P2138" s="40"/>
      <c r="Q2138" s="212"/>
      <c r="R2138" s="31"/>
      <c r="S2138" s="40"/>
      <c r="T2138" s="40"/>
      <c r="U2138" s="40"/>
      <c r="V2138" s="40"/>
      <c r="W2138" s="40"/>
      <c r="X2138" s="40"/>
      <c r="Y2138" s="40"/>
      <c r="Z2138" s="40"/>
      <c r="AA2138" s="40"/>
      <c r="AB2138" s="40"/>
    </row>
    <row r="2139" ht="18.75" customHeight="1">
      <c r="A2139" s="18"/>
      <c r="B2139" s="22"/>
      <c r="C2139" s="213"/>
      <c r="D2139" s="213"/>
      <c r="E2139" s="24"/>
      <c r="F2139" s="215"/>
      <c r="G2139" s="26"/>
      <c r="H2139" s="199"/>
      <c r="I2139" s="29"/>
      <c r="J2139" s="192"/>
      <c r="K2139" s="31"/>
      <c r="L2139" s="200"/>
      <c r="M2139" s="212"/>
      <c r="N2139" s="3"/>
      <c r="O2139" s="40"/>
      <c r="P2139" s="40"/>
      <c r="Q2139" s="212"/>
      <c r="R2139" s="31"/>
      <c r="S2139" s="40"/>
      <c r="T2139" s="40"/>
      <c r="U2139" s="40"/>
      <c r="V2139" s="40"/>
      <c r="W2139" s="40"/>
      <c r="X2139" s="40"/>
      <c r="Y2139" s="40"/>
      <c r="Z2139" s="40"/>
      <c r="AA2139" s="40"/>
      <c r="AB2139" s="40"/>
    </row>
    <row r="2140" ht="18.75" customHeight="1">
      <c r="A2140" s="18"/>
      <c r="B2140" s="22"/>
      <c r="C2140" s="213"/>
      <c r="D2140" s="213"/>
      <c r="E2140" s="24"/>
      <c r="F2140" s="215"/>
      <c r="G2140" s="26"/>
      <c r="H2140" s="199"/>
      <c r="I2140" s="29"/>
      <c r="J2140" s="192"/>
      <c r="K2140" s="31"/>
      <c r="L2140" s="200"/>
      <c r="M2140" s="212"/>
      <c r="N2140" s="3"/>
      <c r="O2140" s="40"/>
      <c r="P2140" s="40"/>
      <c r="Q2140" s="212"/>
      <c r="R2140" s="31"/>
      <c r="S2140" s="40"/>
      <c r="T2140" s="40"/>
      <c r="U2140" s="40"/>
      <c r="V2140" s="40"/>
      <c r="W2140" s="40"/>
      <c r="X2140" s="40"/>
      <c r="Y2140" s="40"/>
      <c r="Z2140" s="40"/>
      <c r="AA2140" s="40"/>
      <c r="AB2140" s="40"/>
    </row>
    <row r="2141" ht="18.75" customHeight="1">
      <c r="A2141" s="18"/>
      <c r="B2141" s="22"/>
      <c r="C2141" s="213"/>
      <c r="D2141" s="213"/>
      <c r="E2141" s="24"/>
      <c r="F2141" s="215"/>
      <c r="G2141" s="26"/>
      <c r="H2141" s="199"/>
      <c r="I2141" s="29"/>
      <c r="J2141" s="192"/>
      <c r="K2141" s="31"/>
      <c r="L2141" s="200"/>
      <c r="M2141" s="212"/>
      <c r="N2141" s="3"/>
      <c r="O2141" s="40"/>
      <c r="P2141" s="40"/>
      <c r="Q2141" s="212"/>
      <c r="R2141" s="31"/>
      <c r="S2141" s="40"/>
      <c r="T2141" s="40"/>
      <c r="U2141" s="40"/>
      <c r="V2141" s="40"/>
      <c r="W2141" s="40"/>
      <c r="X2141" s="40"/>
      <c r="Y2141" s="40"/>
      <c r="Z2141" s="40"/>
      <c r="AA2141" s="40"/>
      <c r="AB2141" s="40"/>
    </row>
    <row r="2142" ht="18.75" customHeight="1">
      <c r="A2142" s="18"/>
      <c r="B2142" s="22"/>
      <c r="C2142" s="213"/>
      <c r="D2142" s="213"/>
      <c r="E2142" s="24"/>
      <c r="F2142" s="215"/>
      <c r="G2142" s="26"/>
      <c r="H2142" s="199"/>
      <c r="I2142" s="29"/>
      <c r="J2142" s="192"/>
      <c r="K2142" s="31"/>
      <c r="L2142" s="200"/>
      <c r="M2142" s="212"/>
      <c r="N2142" s="3"/>
      <c r="O2142" s="40"/>
      <c r="P2142" s="40"/>
      <c r="Q2142" s="212"/>
      <c r="R2142" s="31"/>
      <c r="S2142" s="40"/>
      <c r="T2142" s="40"/>
      <c r="U2142" s="40"/>
      <c r="V2142" s="40"/>
      <c r="W2142" s="40"/>
      <c r="X2142" s="40"/>
      <c r="Y2142" s="40"/>
      <c r="Z2142" s="40"/>
      <c r="AA2142" s="40"/>
      <c r="AB2142" s="40"/>
    </row>
    <row r="2143" ht="18.75" customHeight="1">
      <c r="A2143" s="18"/>
      <c r="B2143" s="22"/>
      <c r="C2143" s="213"/>
      <c r="D2143" s="213"/>
      <c r="E2143" s="24"/>
      <c r="F2143" s="215"/>
      <c r="G2143" s="26"/>
      <c r="H2143" s="199"/>
      <c r="I2143" s="29"/>
      <c r="J2143" s="192"/>
      <c r="K2143" s="31"/>
      <c r="L2143" s="200"/>
      <c r="M2143" s="212"/>
      <c r="N2143" s="3"/>
      <c r="O2143" s="40"/>
      <c r="P2143" s="40"/>
      <c r="Q2143" s="212"/>
      <c r="R2143" s="31"/>
      <c r="S2143" s="40"/>
      <c r="T2143" s="40"/>
      <c r="U2143" s="40"/>
      <c r="V2143" s="40"/>
      <c r="W2143" s="40"/>
      <c r="X2143" s="40"/>
      <c r="Y2143" s="40"/>
      <c r="Z2143" s="40"/>
      <c r="AA2143" s="40"/>
      <c r="AB2143" s="40"/>
    </row>
    <row r="2144" ht="18.75" customHeight="1">
      <c r="A2144" s="18"/>
      <c r="B2144" s="22"/>
      <c r="C2144" s="213"/>
      <c r="D2144" s="213"/>
      <c r="E2144" s="24"/>
      <c r="F2144" s="215"/>
      <c r="G2144" s="26"/>
      <c r="H2144" s="199"/>
      <c r="I2144" s="29"/>
      <c r="J2144" s="192"/>
      <c r="K2144" s="31"/>
      <c r="L2144" s="200"/>
      <c r="M2144" s="212"/>
      <c r="N2144" s="3"/>
      <c r="O2144" s="40"/>
      <c r="P2144" s="40"/>
      <c r="Q2144" s="212"/>
      <c r="R2144" s="31"/>
      <c r="S2144" s="40"/>
      <c r="T2144" s="40"/>
      <c r="U2144" s="40"/>
      <c r="V2144" s="40"/>
      <c r="W2144" s="40"/>
      <c r="X2144" s="40"/>
      <c r="Y2144" s="40"/>
      <c r="Z2144" s="40"/>
      <c r="AA2144" s="40"/>
      <c r="AB2144" s="40"/>
    </row>
    <row r="2145" ht="18.75" customHeight="1">
      <c r="A2145" s="18"/>
      <c r="B2145" s="22"/>
      <c r="C2145" s="213"/>
      <c r="D2145" s="213"/>
      <c r="E2145" s="24"/>
      <c r="F2145" s="215"/>
      <c r="G2145" s="26"/>
      <c r="H2145" s="199"/>
      <c r="I2145" s="29"/>
      <c r="J2145" s="192"/>
      <c r="K2145" s="31"/>
      <c r="L2145" s="200"/>
      <c r="M2145" s="212"/>
      <c r="N2145" s="3"/>
      <c r="O2145" s="40"/>
      <c r="P2145" s="40"/>
      <c r="Q2145" s="212"/>
      <c r="R2145" s="31"/>
      <c r="S2145" s="40"/>
      <c r="T2145" s="40"/>
      <c r="U2145" s="40"/>
      <c r="V2145" s="40"/>
      <c r="W2145" s="40"/>
      <c r="X2145" s="40"/>
      <c r="Y2145" s="40"/>
      <c r="Z2145" s="40"/>
      <c r="AA2145" s="40"/>
      <c r="AB2145" s="40"/>
    </row>
    <row r="2146" ht="18.75" customHeight="1">
      <c r="A2146" s="18"/>
      <c r="B2146" s="22"/>
      <c r="C2146" s="213"/>
      <c r="D2146" s="213"/>
      <c r="E2146" s="24"/>
      <c r="F2146" s="215"/>
      <c r="G2146" s="26"/>
      <c r="H2146" s="199"/>
      <c r="I2146" s="29"/>
      <c r="J2146" s="192"/>
      <c r="K2146" s="31"/>
      <c r="L2146" s="200"/>
      <c r="M2146" s="212"/>
      <c r="N2146" s="3"/>
      <c r="O2146" s="40"/>
      <c r="P2146" s="40"/>
      <c r="Q2146" s="212"/>
      <c r="R2146" s="31"/>
      <c r="S2146" s="40"/>
      <c r="T2146" s="40"/>
      <c r="U2146" s="40"/>
      <c r="V2146" s="40"/>
      <c r="W2146" s="40"/>
      <c r="X2146" s="40"/>
      <c r="Y2146" s="40"/>
      <c r="Z2146" s="40"/>
      <c r="AA2146" s="40"/>
      <c r="AB2146" s="40"/>
    </row>
    <row r="2147" ht="18.75" customHeight="1">
      <c r="A2147" s="18"/>
      <c r="B2147" s="22"/>
      <c r="C2147" s="213"/>
      <c r="D2147" s="213"/>
      <c r="E2147" s="24"/>
      <c r="F2147" s="215"/>
      <c r="G2147" s="26"/>
      <c r="H2147" s="199"/>
      <c r="I2147" s="29"/>
      <c r="J2147" s="192"/>
      <c r="K2147" s="31"/>
      <c r="L2147" s="200"/>
      <c r="M2147" s="212"/>
      <c r="N2147" s="3"/>
      <c r="O2147" s="40"/>
      <c r="P2147" s="40"/>
      <c r="Q2147" s="212"/>
      <c r="R2147" s="31"/>
      <c r="S2147" s="40"/>
      <c r="T2147" s="40"/>
      <c r="U2147" s="40"/>
      <c r="V2147" s="40"/>
      <c r="W2147" s="40"/>
      <c r="X2147" s="40"/>
      <c r="Y2147" s="40"/>
      <c r="Z2147" s="40"/>
      <c r="AA2147" s="40"/>
      <c r="AB2147" s="40"/>
    </row>
    <row r="2148" ht="18.75" customHeight="1">
      <c r="A2148" s="18"/>
      <c r="B2148" s="22"/>
      <c r="C2148" s="213"/>
      <c r="D2148" s="213"/>
      <c r="E2148" s="24"/>
      <c r="F2148" s="215"/>
      <c r="G2148" s="26"/>
      <c r="H2148" s="199"/>
      <c r="I2148" s="29"/>
      <c r="J2148" s="192"/>
      <c r="K2148" s="31"/>
      <c r="L2148" s="200"/>
      <c r="M2148" s="212"/>
      <c r="N2148" s="3"/>
      <c r="O2148" s="40"/>
      <c r="P2148" s="40"/>
      <c r="Q2148" s="212"/>
      <c r="R2148" s="31"/>
      <c r="S2148" s="40"/>
      <c r="T2148" s="40"/>
      <c r="U2148" s="40"/>
      <c r="V2148" s="40"/>
      <c r="W2148" s="40"/>
      <c r="X2148" s="40"/>
      <c r="Y2148" s="40"/>
      <c r="Z2148" s="40"/>
      <c r="AA2148" s="40"/>
      <c r="AB2148" s="40"/>
    </row>
    <row r="2149" ht="18.75" customHeight="1">
      <c r="A2149" s="18"/>
      <c r="B2149" s="22"/>
      <c r="C2149" s="213"/>
      <c r="D2149" s="213"/>
      <c r="E2149" s="24"/>
      <c r="F2149" s="215"/>
      <c r="G2149" s="26"/>
      <c r="H2149" s="199"/>
      <c r="I2149" s="29"/>
      <c r="J2149" s="192"/>
      <c r="K2149" s="31"/>
      <c r="L2149" s="200"/>
      <c r="M2149" s="212"/>
      <c r="N2149" s="3"/>
      <c r="O2149" s="40"/>
      <c r="P2149" s="40"/>
      <c r="Q2149" s="212"/>
      <c r="R2149" s="31"/>
      <c r="S2149" s="40"/>
      <c r="T2149" s="40"/>
      <c r="U2149" s="40"/>
      <c r="V2149" s="40"/>
      <c r="W2149" s="40"/>
      <c r="X2149" s="40"/>
      <c r="Y2149" s="40"/>
      <c r="Z2149" s="40"/>
      <c r="AA2149" s="40"/>
      <c r="AB2149" s="40"/>
    </row>
    <row r="2150" ht="18.75" customHeight="1">
      <c r="A2150" s="18"/>
      <c r="B2150" s="22"/>
      <c r="C2150" s="213"/>
      <c r="D2150" s="213"/>
      <c r="E2150" s="24"/>
      <c r="F2150" s="215"/>
      <c r="G2150" s="26"/>
      <c r="H2150" s="199"/>
      <c r="I2150" s="29"/>
      <c r="J2150" s="192"/>
      <c r="K2150" s="31"/>
      <c r="L2150" s="200"/>
      <c r="M2150" s="212"/>
      <c r="N2150" s="3"/>
      <c r="O2150" s="40"/>
      <c r="P2150" s="40"/>
      <c r="Q2150" s="212"/>
      <c r="R2150" s="31"/>
      <c r="S2150" s="40"/>
      <c r="T2150" s="40"/>
      <c r="U2150" s="40"/>
      <c r="V2150" s="40"/>
      <c r="W2150" s="40"/>
      <c r="X2150" s="40"/>
      <c r="Y2150" s="40"/>
      <c r="Z2150" s="40"/>
      <c r="AA2150" s="40"/>
      <c r="AB2150" s="40"/>
    </row>
    <row r="2151" ht="18.75" customHeight="1">
      <c r="A2151" s="18"/>
      <c r="B2151" s="22"/>
      <c r="C2151" s="213"/>
      <c r="D2151" s="213"/>
      <c r="E2151" s="24"/>
      <c r="F2151" s="215"/>
      <c r="G2151" s="26"/>
      <c r="H2151" s="199"/>
      <c r="I2151" s="29"/>
      <c r="J2151" s="192"/>
      <c r="K2151" s="31"/>
      <c r="L2151" s="200"/>
      <c r="M2151" s="212"/>
      <c r="N2151" s="3"/>
      <c r="O2151" s="40"/>
      <c r="P2151" s="40"/>
      <c r="Q2151" s="212"/>
      <c r="R2151" s="31"/>
      <c r="S2151" s="40"/>
      <c r="T2151" s="40"/>
      <c r="U2151" s="40"/>
      <c r="V2151" s="40"/>
      <c r="W2151" s="40"/>
      <c r="X2151" s="40"/>
      <c r="Y2151" s="40"/>
      <c r="Z2151" s="40"/>
      <c r="AA2151" s="40"/>
      <c r="AB2151" s="40"/>
    </row>
    <row r="2152" ht="18.75" customHeight="1">
      <c r="A2152" s="18"/>
      <c r="B2152" s="22"/>
      <c r="C2152" s="213"/>
      <c r="D2152" s="213"/>
      <c r="E2152" s="24"/>
      <c r="F2152" s="215"/>
      <c r="G2152" s="26"/>
      <c r="H2152" s="199"/>
      <c r="I2152" s="29"/>
      <c r="J2152" s="192"/>
      <c r="K2152" s="31"/>
      <c r="L2152" s="200"/>
      <c r="M2152" s="212"/>
      <c r="N2152" s="3"/>
      <c r="O2152" s="40"/>
      <c r="P2152" s="40"/>
      <c r="Q2152" s="212"/>
      <c r="R2152" s="31"/>
      <c r="S2152" s="40"/>
      <c r="T2152" s="40"/>
      <c r="U2152" s="40"/>
      <c r="V2152" s="40"/>
      <c r="W2152" s="40"/>
      <c r="X2152" s="40"/>
      <c r="Y2152" s="40"/>
      <c r="Z2152" s="40"/>
      <c r="AA2152" s="40"/>
      <c r="AB2152" s="40"/>
    </row>
    <row r="2153" ht="18.75" customHeight="1">
      <c r="A2153" s="18"/>
      <c r="B2153" s="22"/>
      <c r="C2153" s="213"/>
      <c r="D2153" s="213"/>
      <c r="E2153" s="24"/>
      <c r="F2153" s="215"/>
      <c r="G2153" s="26"/>
      <c r="H2153" s="199"/>
      <c r="I2153" s="29"/>
      <c r="J2153" s="192"/>
      <c r="K2153" s="31"/>
      <c r="L2153" s="200"/>
      <c r="M2153" s="212"/>
      <c r="N2153" s="3"/>
      <c r="O2153" s="40"/>
      <c r="P2153" s="40"/>
      <c r="Q2153" s="212"/>
      <c r="R2153" s="31"/>
      <c r="S2153" s="40"/>
      <c r="T2153" s="40"/>
      <c r="U2153" s="40"/>
      <c r="V2153" s="40"/>
      <c r="W2153" s="40"/>
      <c r="X2153" s="40"/>
      <c r="Y2153" s="40"/>
      <c r="Z2153" s="40"/>
      <c r="AA2153" s="40"/>
      <c r="AB2153" s="40"/>
    </row>
    <row r="2154" ht="18.75" customHeight="1">
      <c r="A2154" s="18"/>
      <c r="B2154" s="22"/>
      <c r="C2154" s="213"/>
      <c r="D2154" s="213"/>
      <c r="E2154" s="24"/>
      <c r="F2154" s="215"/>
      <c r="G2154" s="26"/>
      <c r="H2154" s="199"/>
      <c r="I2154" s="29"/>
      <c r="J2154" s="192"/>
      <c r="K2154" s="31"/>
      <c r="L2154" s="200"/>
      <c r="M2154" s="212"/>
      <c r="N2154" s="3"/>
      <c r="O2154" s="40"/>
      <c r="P2154" s="40"/>
      <c r="Q2154" s="212"/>
      <c r="R2154" s="31"/>
      <c r="S2154" s="40"/>
      <c r="T2154" s="40"/>
      <c r="U2154" s="40"/>
      <c r="V2154" s="40"/>
      <c r="W2154" s="40"/>
      <c r="X2154" s="40"/>
      <c r="Y2154" s="40"/>
      <c r="Z2154" s="40"/>
      <c r="AA2154" s="40"/>
      <c r="AB2154" s="40"/>
    </row>
    <row r="2155" ht="18.75" customHeight="1">
      <c r="A2155" s="18"/>
      <c r="B2155" s="22"/>
      <c r="C2155" s="213"/>
      <c r="D2155" s="213"/>
      <c r="E2155" s="24"/>
      <c r="F2155" s="215"/>
      <c r="G2155" s="26"/>
      <c r="H2155" s="199"/>
      <c r="I2155" s="29"/>
      <c r="J2155" s="192"/>
      <c r="K2155" s="31"/>
      <c r="L2155" s="200"/>
      <c r="M2155" s="212"/>
      <c r="N2155" s="3"/>
      <c r="O2155" s="40"/>
      <c r="P2155" s="40"/>
      <c r="Q2155" s="212"/>
      <c r="R2155" s="31"/>
      <c r="S2155" s="40"/>
      <c r="T2155" s="40"/>
      <c r="U2155" s="40"/>
      <c r="V2155" s="40"/>
      <c r="W2155" s="40"/>
      <c r="X2155" s="40"/>
      <c r="Y2155" s="40"/>
      <c r="Z2155" s="40"/>
      <c r="AA2155" s="40"/>
      <c r="AB2155" s="40"/>
    </row>
    <row r="2156" ht="18.75" customHeight="1">
      <c r="A2156" s="18"/>
      <c r="B2156" s="22"/>
      <c r="C2156" s="213"/>
      <c r="D2156" s="213"/>
      <c r="E2156" s="24"/>
      <c r="F2156" s="215"/>
      <c r="G2156" s="26"/>
      <c r="H2156" s="199"/>
      <c r="I2156" s="29"/>
      <c r="J2156" s="192"/>
      <c r="K2156" s="31"/>
      <c r="L2156" s="200"/>
      <c r="M2156" s="212"/>
      <c r="N2156" s="3"/>
      <c r="O2156" s="40"/>
      <c r="P2156" s="40"/>
      <c r="Q2156" s="212"/>
      <c r="R2156" s="31"/>
      <c r="S2156" s="40"/>
      <c r="T2156" s="40"/>
      <c r="U2156" s="40"/>
      <c r="V2156" s="40"/>
      <c r="W2156" s="40"/>
      <c r="X2156" s="40"/>
      <c r="Y2156" s="40"/>
      <c r="Z2156" s="40"/>
      <c r="AA2156" s="40"/>
      <c r="AB2156" s="40"/>
    </row>
    <row r="2157" ht="18.75" customHeight="1">
      <c r="A2157" s="18"/>
      <c r="B2157" s="22"/>
      <c r="C2157" s="213"/>
      <c r="D2157" s="213"/>
      <c r="E2157" s="24"/>
      <c r="F2157" s="215"/>
      <c r="G2157" s="26"/>
      <c r="H2157" s="199"/>
      <c r="I2157" s="29"/>
      <c r="J2157" s="192"/>
      <c r="K2157" s="31"/>
      <c r="L2157" s="200"/>
      <c r="M2157" s="212"/>
      <c r="N2157" s="3"/>
      <c r="O2157" s="40"/>
      <c r="P2157" s="40"/>
      <c r="Q2157" s="212"/>
      <c r="R2157" s="31"/>
      <c r="S2157" s="40"/>
      <c r="T2157" s="40"/>
      <c r="U2157" s="40"/>
      <c r="V2157" s="40"/>
      <c r="W2157" s="40"/>
      <c r="X2157" s="40"/>
      <c r="Y2157" s="40"/>
      <c r="Z2157" s="40"/>
      <c r="AA2157" s="40"/>
      <c r="AB2157" s="40"/>
    </row>
    <row r="2158" ht="18.75" customHeight="1">
      <c r="A2158" s="18"/>
      <c r="B2158" s="22"/>
      <c r="C2158" s="213"/>
      <c r="D2158" s="213"/>
      <c r="E2158" s="24"/>
      <c r="F2158" s="215"/>
      <c r="G2158" s="26"/>
      <c r="H2158" s="199"/>
      <c r="I2158" s="29"/>
      <c r="J2158" s="192"/>
      <c r="K2158" s="31"/>
      <c r="L2158" s="200"/>
      <c r="M2158" s="212"/>
      <c r="N2158" s="3"/>
      <c r="O2158" s="40"/>
      <c r="P2158" s="40"/>
      <c r="Q2158" s="212"/>
      <c r="R2158" s="31"/>
      <c r="S2158" s="40"/>
      <c r="T2158" s="40"/>
      <c r="U2158" s="40"/>
      <c r="V2158" s="40"/>
      <c r="W2158" s="40"/>
      <c r="X2158" s="40"/>
      <c r="Y2158" s="40"/>
      <c r="Z2158" s="40"/>
      <c r="AA2158" s="40"/>
      <c r="AB2158" s="40"/>
    </row>
    <row r="2159" ht="18.75" customHeight="1">
      <c r="A2159" s="18"/>
      <c r="B2159" s="22"/>
      <c r="C2159" s="213"/>
      <c r="D2159" s="213"/>
      <c r="E2159" s="24"/>
      <c r="F2159" s="215"/>
      <c r="G2159" s="26"/>
      <c r="H2159" s="199"/>
      <c r="I2159" s="29"/>
      <c r="J2159" s="192"/>
      <c r="K2159" s="31"/>
      <c r="L2159" s="200"/>
      <c r="M2159" s="212"/>
      <c r="N2159" s="3"/>
      <c r="O2159" s="40"/>
      <c r="P2159" s="40"/>
      <c r="Q2159" s="212"/>
      <c r="R2159" s="31"/>
      <c r="S2159" s="40"/>
      <c r="T2159" s="40"/>
      <c r="U2159" s="40"/>
      <c r="V2159" s="40"/>
      <c r="W2159" s="40"/>
      <c r="X2159" s="40"/>
      <c r="Y2159" s="40"/>
      <c r="Z2159" s="40"/>
      <c r="AA2159" s="40"/>
      <c r="AB2159" s="40"/>
    </row>
    <row r="2160" ht="18.75" customHeight="1">
      <c r="A2160" s="18"/>
      <c r="B2160" s="22"/>
      <c r="C2160" s="213"/>
      <c r="D2160" s="213"/>
      <c r="E2160" s="24"/>
      <c r="F2160" s="215"/>
      <c r="G2160" s="26"/>
      <c r="H2160" s="199"/>
      <c r="I2160" s="29"/>
      <c r="J2160" s="192"/>
      <c r="K2160" s="31"/>
      <c r="L2160" s="200"/>
      <c r="M2160" s="212"/>
      <c r="N2160" s="3"/>
      <c r="O2160" s="40"/>
      <c r="P2160" s="40"/>
      <c r="Q2160" s="212"/>
      <c r="R2160" s="31"/>
      <c r="S2160" s="40"/>
      <c r="T2160" s="40"/>
      <c r="U2160" s="40"/>
      <c r="V2160" s="40"/>
      <c r="W2160" s="40"/>
      <c r="X2160" s="40"/>
      <c r="Y2160" s="40"/>
      <c r="Z2160" s="40"/>
      <c r="AA2160" s="40"/>
      <c r="AB2160" s="40"/>
    </row>
    <row r="2161" ht="18.75" customHeight="1">
      <c r="A2161" s="18"/>
      <c r="B2161" s="22"/>
      <c r="C2161" s="213"/>
      <c r="D2161" s="213"/>
      <c r="E2161" s="24"/>
      <c r="F2161" s="215"/>
      <c r="G2161" s="26"/>
      <c r="H2161" s="199"/>
      <c r="I2161" s="29"/>
      <c r="J2161" s="192"/>
      <c r="K2161" s="31"/>
      <c r="L2161" s="200"/>
      <c r="M2161" s="212"/>
      <c r="N2161" s="3"/>
      <c r="O2161" s="40"/>
      <c r="P2161" s="40"/>
      <c r="Q2161" s="212"/>
      <c r="R2161" s="31"/>
      <c r="S2161" s="40"/>
      <c r="T2161" s="40"/>
      <c r="U2161" s="40"/>
      <c r="V2161" s="40"/>
      <c r="W2161" s="40"/>
      <c r="X2161" s="40"/>
      <c r="Y2161" s="40"/>
      <c r="Z2161" s="40"/>
      <c r="AA2161" s="40"/>
      <c r="AB2161" s="40"/>
    </row>
    <row r="2162" ht="18.75" customHeight="1">
      <c r="A2162" s="18"/>
      <c r="B2162" s="22"/>
      <c r="C2162" s="213"/>
      <c r="D2162" s="213"/>
      <c r="E2162" s="24"/>
      <c r="F2162" s="215"/>
      <c r="G2162" s="26"/>
      <c r="H2162" s="199"/>
      <c r="I2162" s="29"/>
      <c r="J2162" s="192"/>
      <c r="K2162" s="31"/>
      <c r="L2162" s="200"/>
      <c r="M2162" s="212"/>
      <c r="N2162" s="3"/>
      <c r="O2162" s="40"/>
      <c r="P2162" s="40"/>
      <c r="Q2162" s="212"/>
      <c r="R2162" s="31"/>
      <c r="S2162" s="40"/>
      <c r="T2162" s="40"/>
      <c r="U2162" s="40"/>
      <c r="V2162" s="40"/>
      <c r="W2162" s="40"/>
      <c r="X2162" s="40"/>
      <c r="Y2162" s="40"/>
      <c r="Z2162" s="40"/>
      <c r="AA2162" s="40"/>
      <c r="AB2162" s="40"/>
    </row>
    <row r="2163" ht="18.75" customHeight="1">
      <c r="A2163" s="18"/>
      <c r="B2163" s="22"/>
      <c r="C2163" s="213"/>
      <c r="D2163" s="213"/>
      <c r="E2163" s="24"/>
      <c r="F2163" s="215"/>
      <c r="G2163" s="26"/>
      <c r="H2163" s="199"/>
      <c r="I2163" s="29"/>
      <c r="J2163" s="192"/>
      <c r="K2163" s="31"/>
      <c r="L2163" s="200"/>
      <c r="M2163" s="212"/>
      <c r="N2163" s="3"/>
      <c r="O2163" s="40"/>
      <c r="P2163" s="40"/>
      <c r="Q2163" s="212"/>
      <c r="R2163" s="31"/>
      <c r="S2163" s="40"/>
      <c r="T2163" s="40"/>
      <c r="U2163" s="40"/>
      <c r="V2163" s="40"/>
      <c r="W2163" s="40"/>
      <c r="X2163" s="40"/>
      <c r="Y2163" s="40"/>
      <c r="Z2163" s="40"/>
      <c r="AA2163" s="40"/>
      <c r="AB2163" s="40"/>
    </row>
    <row r="2164" ht="18.75" customHeight="1">
      <c r="A2164" s="18"/>
      <c r="B2164" s="22"/>
      <c r="C2164" s="213"/>
      <c r="D2164" s="213"/>
      <c r="E2164" s="24"/>
      <c r="F2164" s="215"/>
      <c r="G2164" s="26"/>
      <c r="H2164" s="199"/>
      <c r="I2164" s="29"/>
      <c r="J2164" s="192"/>
      <c r="K2164" s="31"/>
      <c r="L2164" s="200"/>
      <c r="M2164" s="212"/>
      <c r="N2164" s="3"/>
      <c r="O2164" s="40"/>
      <c r="P2164" s="40"/>
      <c r="Q2164" s="212"/>
      <c r="R2164" s="31"/>
      <c r="S2164" s="40"/>
      <c r="T2164" s="40"/>
      <c r="U2164" s="40"/>
      <c r="V2164" s="40"/>
      <c r="W2164" s="40"/>
      <c r="X2164" s="40"/>
      <c r="Y2164" s="40"/>
      <c r="Z2164" s="40"/>
      <c r="AA2164" s="40"/>
      <c r="AB2164" s="40"/>
    </row>
    <row r="2165" ht="18.75" customHeight="1">
      <c r="A2165" s="18"/>
      <c r="B2165" s="22"/>
      <c r="C2165" s="213"/>
      <c r="D2165" s="213"/>
      <c r="E2165" s="24"/>
      <c r="F2165" s="215"/>
      <c r="G2165" s="26"/>
      <c r="H2165" s="199"/>
      <c r="I2165" s="29"/>
      <c r="J2165" s="192"/>
      <c r="K2165" s="31"/>
      <c r="L2165" s="200"/>
      <c r="M2165" s="212"/>
      <c r="N2165" s="3"/>
      <c r="O2165" s="40"/>
      <c r="P2165" s="40"/>
      <c r="Q2165" s="212"/>
      <c r="R2165" s="31"/>
      <c r="S2165" s="40"/>
      <c r="T2165" s="40"/>
      <c r="U2165" s="40"/>
      <c r="V2165" s="40"/>
      <c r="W2165" s="40"/>
      <c r="X2165" s="40"/>
      <c r="Y2165" s="40"/>
      <c r="Z2165" s="40"/>
      <c r="AA2165" s="40"/>
      <c r="AB2165" s="40"/>
    </row>
    <row r="2166" ht="18.75" customHeight="1">
      <c r="A2166" s="18"/>
      <c r="B2166" s="22"/>
      <c r="C2166" s="213"/>
      <c r="D2166" s="213"/>
      <c r="E2166" s="24"/>
      <c r="F2166" s="215"/>
      <c r="G2166" s="26"/>
      <c r="H2166" s="199"/>
      <c r="I2166" s="29"/>
      <c r="J2166" s="192"/>
      <c r="K2166" s="31"/>
      <c r="L2166" s="200"/>
      <c r="M2166" s="212"/>
      <c r="N2166" s="3"/>
      <c r="O2166" s="40"/>
      <c r="P2166" s="40"/>
      <c r="Q2166" s="212"/>
      <c r="R2166" s="31"/>
      <c r="S2166" s="40"/>
      <c r="T2166" s="40"/>
      <c r="U2166" s="40"/>
      <c r="V2166" s="40"/>
      <c r="W2166" s="40"/>
      <c r="X2166" s="40"/>
      <c r="Y2166" s="40"/>
      <c r="Z2166" s="40"/>
      <c r="AA2166" s="40"/>
      <c r="AB2166" s="40"/>
    </row>
    <row r="2167" ht="18.75" customHeight="1">
      <c r="A2167" s="18"/>
      <c r="B2167" s="22"/>
      <c r="C2167" s="213"/>
      <c r="D2167" s="213"/>
      <c r="E2167" s="24"/>
      <c r="F2167" s="215"/>
      <c r="G2167" s="26"/>
      <c r="H2167" s="199"/>
      <c r="I2167" s="29"/>
      <c r="J2167" s="192"/>
      <c r="K2167" s="31"/>
      <c r="L2167" s="200"/>
      <c r="M2167" s="212"/>
      <c r="N2167" s="3"/>
      <c r="O2167" s="40"/>
      <c r="P2167" s="40"/>
      <c r="Q2167" s="212"/>
      <c r="R2167" s="31"/>
      <c r="S2167" s="40"/>
      <c r="T2167" s="40"/>
      <c r="U2167" s="40"/>
      <c r="V2167" s="40"/>
      <c r="W2167" s="40"/>
      <c r="X2167" s="40"/>
      <c r="Y2167" s="40"/>
      <c r="Z2167" s="40"/>
      <c r="AA2167" s="40"/>
      <c r="AB2167" s="40"/>
    </row>
    <row r="2168" ht="18.75" customHeight="1">
      <c r="A2168" s="18"/>
      <c r="B2168" s="22"/>
      <c r="C2168" s="213"/>
      <c r="D2168" s="213"/>
      <c r="E2168" s="24"/>
      <c r="F2168" s="215"/>
      <c r="G2168" s="26"/>
      <c r="H2168" s="199"/>
      <c r="I2168" s="29"/>
      <c r="J2168" s="192"/>
      <c r="K2168" s="31"/>
      <c r="L2168" s="200"/>
      <c r="M2168" s="212"/>
      <c r="N2168" s="3"/>
      <c r="O2168" s="40"/>
      <c r="P2168" s="40"/>
      <c r="Q2168" s="212"/>
      <c r="R2168" s="31"/>
      <c r="S2168" s="40"/>
      <c r="T2168" s="40"/>
      <c r="U2168" s="40"/>
      <c r="V2168" s="40"/>
      <c r="W2168" s="40"/>
      <c r="X2168" s="40"/>
      <c r="Y2168" s="40"/>
      <c r="Z2168" s="40"/>
      <c r="AA2168" s="40"/>
      <c r="AB2168" s="40"/>
    </row>
    <row r="2169" ht="18.75" customHeight="1">
      <c r="A2169" s="18"/>
      <c r="B2169" s="22"/>
      <c r="C2169" s="213"/>
      <c r="D2169" s="213"/>
      <c r="E2169" s="24"/>
      <c r="F2169" s="215"/>
      <c r="G2169" s="26"/>
      <c r="H2169" s="199"/>
      <c r="I2169" s="29"/>
      <c r="J2169" s="192"/>
      <c r="K2169" s="31"/>
      <c r="L2169" s="200"/>
      <c r="M2169" s="212"/>
      <c r="N2169" s="3"/>
      <c r="O2169" s="40"/>
      <c r="P2169" s="40"/>
      <c r="Q2169" s="212"/>
      <c r="R2169" s="31"/>
      <c r="S2169" s="40"/>
      <c r="T2169" s="40"/>
      <c r="U2169" s="40"/>
      <c r="V2169" s="40"/>
      <c r="W2169" s="40"/>
      <c r="X2169" s="40"/>
      <c r="Y2169" s="40"/>
      <c r="Z2169" s="40"/>
      <c r="AA2169" s="40"/>
      <c r="AB2169" s="40"/>
    </row>
    <row r="2170" ht="18.75" customHeight="1">
      <c r="A2170" s="18"/>
      <c r="B2170" s="22"/>
      <c r="C2170" s="213"/>
      <c r="D2170" s="213"/>
      <c r="E2170" s="24"/>
      <c r="F2170" s="215"/>
      <c r="G2170" s="26"/>
      <c r="H2170" s="199"/>
      <c r="I2170" s="29"/>
      <c r="J2170" s="192"/>
      <c r="K2170" s="31"/>
      <c r="L2170" s="200"/>
      <c r="M2170" s="212"/>
      <c r="N2170" s="3"/>
      <c r="O2170" s="40"/>
      <c r="P2170" s="40"/>
      <c r="Q2170" s="212"/>
      <c r="R2170" s="31"/>
      <c r="S2170" s="40"/>
      <c r="T2170" s="40"/>
      <c r="U2170" s="40"/>
      <c r="V2170" s="40"/>
      <c r="W2170" s="40"/>
      <c r="X2170" s="40"/>
      <c r="Y2170" s="40"/>
      <c r="Z2170" s="40"/>
      <c r="AA2170" s="40"/>
      <c r="AB2170" s="40"/>
    </row>
    <row r="2171" ht="18.75" customHeight="1">
      <c r="A2171" s="18"/>
      <c r="B2171" s="22"/>
      <c r="C2171" s="213"/>
      <c r="D2171" s="213"/>
      <c r="E2171" s="24"/>
      <c r="F2171" s="215"/>
      <c r="G2171" s="26"/>
      <c r="H2171" s="199"/>
      <c r="I2171" s="29"/>
      <c r="J2171" s="192"/>
      <c r="K2171" s="31"/>
      <c r="L2171" s="200"/>
      <c r="M2171" s="212"/>
      <c r="N2171" s="3"/>
      <c r="O2171" s="40"/>
      <c r="P2171" s="40"/>
      <c r="Q2171" s="212"/>
      <c r="R2171" s="31"/>
      <c r="S2171" s="40"/>
      <c r="T2171" s="40"/>
      <c r="U2171" s="40"/>
      <c r="V2171" s="40"/>
      <c r="W2171" s="40"/>
      <c r="X2171" s="40"/>
      <c r="Y2171" s="40"/>
      <c r="Z2171" s="40"/>
      <c r="AA2171" s="40"/>
      <c r="AB2171" s="40"/>
    </row>
    <row r="2172" ht="18.75" customHeight="1">
      <c r="A2172" s="18"/>
      <c r="B2172" s="22"/>
      <c r="C2172" s="213"/>
      <c r="D2172" s="213"/>
      <c r="E2172" s="24"/>
      <c r="F2172" s="215"/>
      <c r="G2172" s="26"/>
      <c r="H2172" s="199"/>
      <c r="I2172" s="29"/>
      <c r="J2172" s="192"/>
      <c r="K2172" s="31"/>
      <c r="L2172" s="200"/>
      <c r="M2172" s="212"/>
      <c r="N2172" s="3"/>
      <c r="O2172" s="40"/>
      <c r="P2172" s="40"/>
      <c r="Q2172" s="212"/>
      <c r="R2172" s="31"/>
      <c r="S2172" s="40"/>
      <c r="T2172" s="40"/>
      <c r="U2172" s="40"/>
      <c r="V2172" s="40"/>
      <c r="W2172" s="40"/>
      <c r="X2172" s="40"/>
      <c r="Y2172" s="40"/>
      <c r="Z2172" s="40"/>
      <c r="AA2172" s="40"/>
      <c r="AB2172" s="40"/>
    </row>
    <row r="2173" ht="18.75" customHeight="1">
      <c r="A2173" s="18"/>
      <c r="B2173" s="22"/>
      <c r="C2173" s="213"/>
      <c r="D2173" s="213"/>
      <c r="E2173" s="24"/>
      <c r="F2173" s="215"/>
      <c r="G2173" s="26"/>
      <c r="H2173" s="199"/>
      <c r="I2173" s="29"/>
      <c r="J2173" s="192"/>
      <c r="K2173" s="31"/>
      <c r="L2173" s="200"/>
      <c r="M2173" s="212"/>
      <c r="N2173" s="3"/>
      <c r="O2173" s="40"/>
      <c r="P2173" s="40"/>
      <c r="Q2173" s="212"/>
      <c r="R2173" s="31"/>
      <c r="S2173" s="40"/>
      <c r="T2173" s="40"/>
      <c r="U2173" s="40"/>
      <c r="V2173" s="40"/>
      <c r="W2173" s="40"/>
      <c r="X2173" s="40"/>
      <c r="Y2173" s="40"/>
      <c r="Z2173" s="40"/>
      <c r="AA2173" s="40"/>
      <c r="AB2173" s="40"/>
    </row>
    <row r="2174" ht="18.75" customHeight="1">
      <c r="A2174" s="18"/>
      <c r="B2174" s="22"/>
      <c r="C2174" s="213"/>
      <c r="D2174" s="213"/>
      <c r="E2174" s="24"/>
      <c r="F2174" s="215"/>
      <c r="G2174" s="26"/>
      <c r="H2174" s="199"/>
      <c r="I2174" s="29"/>
      <c r="J2174" s="192"/>
      <c r="K2174" s="31"/>
      <c r="L2174" s="200"/>
      <c r="M2174" s="212"/>
      <c r="N2174" s="3"/>
      <c r="O2174" s="40"/>
      <c r="P2174" s="40"/>
      <c r="Q2174" s="212"/>
      <c r="R2174" s="31"/>
      <c r="S2174" s="40"/>
      <c r="T2174" s="40"/>
      <c r="U2174" s="40"/>
      <c r="V2174" s="40"/>
      <c r="W2174" s="40"/>
      <c r="X2174" s="40"/>
      <c r="Y2174" s="40"/>
      <c r="Z2174" s="40"/>
      <c r="AA2174" s="40"/>
      <c r="AB2174" s="40"/>
    </row>
    <row r="2175" ht="18.75" customHeight="1">
      <c r="A2175" s="18"/>
      <c r="B2175" s="22"/>
      <c r="C2175" s="213"/>
      <c r="D2175" s="213"/>
      <c r="E2175" s="24"/>
      <c r="F2175" s="215"/>
      <c r="G2175" s="26"/>
      <c r="H2175" s="199"/>
      <c r="I2175" s="29"/>
      <c r="J2175" s="192"/>
      <c r="K2175" s="31"/>
      <c r="L2175" s="200"/>
      <c r="M2175" s="212"/>
      <c r="N2175" s="3"/>
      <c r="O2175" s="40"/>
      <c r="P2175" s="40"/>
      <c r="Q2175" s="212"/>
      <c r="R2175" s="31"/>
      <c r="S2175" s="40"/>
      <c r="T2175" s="40"/>
      <c r="U2175" s="40"/>
      <c r="V2175" s="40"/>
      <c r="W2175" s="40"/>
      <c r="X2175" s="40"/>
      <c r="Y2175" s="40"/>
      <c r="Z2175" s="40"/>
      <c r="AA2175" s="40"/>
      <c r="AB2175" s="40"/>
    </row>
    <row r="2176" ht="18.75" customHeight="1">
      <c r="A2176" s="18"/>
      <c r="B2176" s="22"/>
      <c r="C2176" s="213"/>
      <c r="D2176" s="213"/>
      <c r="E2176" s="24"/>
      <c r="F2176" s="215"/>
      <c r="G2176" s="26"/>
      <c r="H2176" s="199"/>
      <c r="I2176" s="29"/>
      <c r="J2176" s="192"/>
      <c r="K2176" s="31"/>
      <c r="L2176" s="200"/>
      <c r="M2176" s="212"/>
      <c r="N2176" s="3"/>
      <c r="O2176" s="40"/>
      <c r="P2176" s="40"/>
      <c r="Q2176" s="212"/>
      <c r="R2176" s="31"/>
      <c r="S2176" s="40"/>
      <c r="T2176" s="40"/>
      <c r="U2176" s="40"/>
      <c r="V2176" s="40"/>
      <c r="W2176" s="40"/>
      <c r="X2176" s="40"/>
      <c r="Y2176" s="40"/>
      <c r="Z2176" s="40"/>
      <c r="AA2176" s="40"/>
      <c r="AB2176" s="40"/>
    </row>
    <row r="2177" ht="18.75" customHeight="1">
      <c r="A2177" s="18"/>
      <c r="B2177" s="22"/>
      <c r="C2177" s="213"/>
      <c r="D2177" s="213"/>
      <c r="E2177" s="24"/>
      <c r="F2177" s="215"/>
      <c r="G2177" s="26"/>
      <c r="H2177" s="199"/>
      <c r="I2177" s="29"/>
      <c r="J2177" s="192"/>
      <c r="K2177" s="31"/>
      <c r="L2177" s="200"/>
      <c r="M2177" s="212"/>
      <c r="N2177" s="3"/>
      <c r="O2177" s="40"/>
      <c r="P2177" s="40"/>
      <c r="Q2177" s="212"/>
      <c r="R2177" s="31"/>
      <c r="S2177" s="40"/>
      <c r="T2177" s="40"/>
      <c r="U2177" s="40"/>
      <c r="V2177" s="40"/>
      <c r="W2177" s="40"/>
      <c r="X2177" s="40"/>
      <c r="Y2177" s="40"/>
      <c r="Z2177" s="40"/>
      <c r="AA2177" s="40"/>
      <c r="AB2177" s="40"/>
    </row>
    <row r="2178" ht="18.75" customHeight="1">
      <c r="A2178" s="18"/>
      <c r="B2178" s="22"/>
      <c r="C2178" s="213"/>
      <c r="D2178" s="213"/>
      <c r="E2178" s="24"/>
      <c r="F2178" s="215"/>
      <c r="G2178" s="26"/>
      <c r="H2178" s="199"/>
      <c r="I2178" s="29"/>
      <c r="J2178" s="192"/>
      <c r="K2178" s="31"/>
      <c r="L2178" s="200"/>
      <c r="M2178" s="212"/>
      <c r="N2178" s="3"/>
      <c r="O2178" s="40"/>
      <c r="P2178" s="40"/>
      <c r="Q2178" s="212"/>
      <c r="R2178" s="31"/>
      <c r="S2178" s="40"/>
      <c r="T2178" s="40"/>
      <c r="U2178" s="40"/>
      <c r="V2178" s="40"/>
      <c r="W2178" s="40"/>
      <c r="X2178" s="40"/>
      <c r="Y2178" s="40"/>
      <c r="Z2178" s="40"/>
      <c r="AA2178" s="40"/>
      <c r="AB2178" s="40"/>
    </row>
    <row r="2179" ht="18.75" customHeight="1">
      <c r="A2179" s="18"/>
      <c r="B2179" s="22"/>
      <c r="C2179" s="213"/>
      <c r="D2179" s="213"/>
      <c r="E2179" s="24"/>
      <c r="F2179" s="215"/>
      <c r="G2179" s="26"/>
      <c r="H2179" s="199"/>
      <c r="I2179" s="29"/>
      <c r="J2179" s="192"/>
      <c r="K2179" s="31"/>
      <c r="L2179" s="200"/>
      <c r="M2179" s="212"/>
      <c r="N2179" s="3"/>
      <c r="O2179" s="40"/>
      <c r="P2179" s="40"/>
      <c r="Q2179" s="212"/>
      <c r="R2179" s="31"/>
      <c r="S2179" s="40"/>
      <c r="T2179" s="40"/>
      <c r="U2179" s="40"/>
      <c r="V2179" s="40"/>
      <c r="W2179" s="40"/>
      <c r="X2179" s="40"/>
      <c r="Y2179" s="40"/>
      <c r="Z2179" s="40"/>
      <c r="AA2179" s="40"/>
      <c r="AB2179" s="40"/>
    </row>
    <row r="2180" ht="18.75" customHeight="1">
      <c r="A2180" s="18"/>
      <c r="B2180" s="22"/>
      <c r="C2180" s="213"/>
      <c r="D2180" s="213"/>
      <c r="E2180" s="24"/>
      <c r="F2180" s="215"/>
      <c r="G2180" s="26"/>
      <c r="H2180" s="199"/>
      <c r="I2180" s="29"/>
      <c r="J2180" s="192"/>
      <c r="K2180" s="31"/>
      <c r="L2180" s="200"/>
      <c r="M2180" s="212"/>
      <c r="N2180" s="3"/>
      <c r="O2180" s="40"/>
      <c r="P2180" s="40"/>
      <c r="Q2180" s="212"/>
      <c r="R2180" s="31"/>
      <c r="S2180" s="40"/>
      <c r="T2180" s="40"/>
      <c r="U2180" s="40"/>
      <c r="V2180" s="40"/>
      <c r="W2180" s="40"/>
      <c r="X2180" s="40"/>
      <c r="Y2180" s="40"/>
      <c r="Z2180" s="40"/>
      <c r="AA2180" s="40"/>
      <c r="AB2180" s="40"/>
    </row>
    <row r="2181" ht="18.75" customHeight="1">
      <c r="A2181" s="18"/>
      <c r="B2181" s="22"/>
      <c r="C2181" s="213"/>
      <c r="D2181" s="213"/>
      <c r="E2181" s="24"/>
      <c r="F2181" s="215"/>
      <c r="G2181" s="26"/>
      <c r="H2181" s="199"/>
      <c r="I2181" s="29"/>
      <c r="J2181" s="192"/>
      <c r="K2181" s="31"/>
      <c r="L2181" s="200"/>
      <c r="M2181" s="212"/>
      <c r="N2181" s="3"/>
      <c r="O2181" s="40"/>
      <c r="P2181" s="40"/>
      <c r="Q2181" s="212"/>
      <c r="R2181" s="31"/>
      <c r="S2181" s="40"/>
      <c r="T2181" s="40"/>
      <c r="U2181" s="40"/>
      <c r="V2181" s="40"/>
      <c r="W2181" s="40"/>
      <c r="X2181" s="40"/>
      <c r="Y2181" s="40"/>
      <c r="Z2181" s="40"/>
      <c r="AA2181" s="40"/>
      <c r="AB2181" s="40"/>
    </row>
    <row r="2182" ht="18.75" customHeight="1">
      <c r="A2182" s="18"/>
      <c r="B2182" s="22"/>
      <c r="C2182" s="213"/>
      <c r="D2182" s="213"/>
      <c r="E2182" s="24"/>
      <c r="F2182" s="215"/>
      <c r="G2182" s="26"/>
      <c r="H2182" s="199"/>
      <c r="I2182" s="29"/>
      <c r="J2182" s="192"/>
      <c r="K2182" s="31"/>
      <c r="L2182" s="200"/>
      <c r="M2182" s="212"/>
      <c r="N2182" s="3"/>
      <c r="O2182" s="40"/>
      <c r="P2182" s="40"/>
      <c r="Q2182" s="212"/>
      <c r="R2182" s="31"/>
      <c r="S2182" s="40"/>
      <c r="T2182" s="40"/>
      <c r="U2182" s="40"/>
      <c r="V2182" s="40"/>
      <c r="W2182" s="40"/>
      <c r="X2182" s="40"/>
      <c r="Y2182" s="40"/>
      <c r="Z2182" s="40"/>
      <c r="AA2182" s="40"/>
      <c r="AB2182" s="40"/>
    </row>
    <row r="2183" ht="18.75" customHeight="1">
      <c r="A2183" s="18"/>
      <c r="B2183" s="22"/>
      <c r="C2183" s="213"/>
      <c r="D2183" s="213"/>
      <c r="E2183" s="24"/>
      <c r="F2183" s="215"/>
      <c r="G2183" s="26"/>
      <c r="H2183" s="199"/>
      <c r="I2183" s="29"/>
      <c r="J2183" s="192"/>
      <c r="K2183" s="31"/>
      <c r="L2183" s="200"/>
      <c r="M2183" s="212"/>
      <c r="N2183" s="3"/>
      <c r="O2183" s="40"/>
      <c r="P2183" s="40"/>
      <c r="Q2183" s="212"/>
      <c r="R2183" s="31"/>
      <c r="S2183" s="40"/>
      <c r="T2183" s="40"/>
      <c r="U2183" s="40"/>
      <c r="V2183" s="40"/>
      <c r="W2183" s="40"/>
      <c r="X2183" s="40"/>
      <c r="Y2183" s="40"/>
      <c r="Z2183" s="40"/>
      <c r="AA2183" s="40"/>
      <c r="AB2183" s="40"/>
    </row>
    <row r="2184" ht="18.75" customHeight="1">
      <c r="A2184" s="18"/>
      <c r="B2184" s="22"/>
      <c r="C2184" s="213"/>
      <c r="D2184" s="213"/>
      <c r="E2184" s="24"/>
      <c r="F2184" s="215"/>
      <c r="G2184" s="26"/>
      <c r="H2184" s="199"/>
      <c r="I2184" s="29"/>
      <c r="J2184" s="192"/>
      <c r="K2184" s="31"/>
      <c r="L2184" s="200"/>
      <c r="M2184" s="212"/>
      <c r="N2184" s="3"/>
      <c r="O2184" s="40"/>
      <c r="P2184" s="40"/>
      <c r="Q2184" s="212"/>
      <c r="R2184" s="31"/>
      <c r="S2184" s="40"/>
      <c r="T2184" s="40"/>
      <c r="U2184" s="40"/>
      <c r="V2184" s="40"/>
      <c r="W2184" s="40"/>
      <c r="X2184" s="40"/>
      <c r="Y2184" s="40"/>
      <c r="Z2184" s="40"/>
      <c r="AA2184" s="40"/>
      <c r="AB2184" s="40"/>
    </row>
    <row r="2185" ht="18.75" customHeight="1">
      <c r="A2185" s="18"/>
      <c r="B2185" s="22"/>
      <c r="C2185" s="213"/>
      <c r="D2185" s="213"/>
      <c r="E2185" s="24"/>
      <c r="F2185" s="215"/>
      <c r="G2185" s="26"/>
      <c r="H2185" s="199"/>
      <c r="I2185" s="29"/>
      <c r="J2185" s="192"/>
      <c r="K2185" s="31"/>
      <c r="L2185" s="200"/>
      <c r="M2185" s="212"/>
      <c r="N2185" s="3"/>
      <c r="O2185" s="40"/>
      <c r="P2185" s="40"/>
      <c r="Q2185" s="212"/>
      <c r="R2185" s="31"/>
      <c r="S2185" s="40"/>
      <c r="T2185" s="40"/>
      <c r="U2185" s="40"/>
      <c r="V2185" s="40"/>
      <c r="W2185" s="40"/>
      <c r="X2185" s="40"/>
      <c r="Y2185" s="40"/>
      <c r="Z2185" s="40"/>
      <c r="AA2185" s="40"/>
      <c r="AB2185" s="40"/>
    </row>
    <row r="2186" ht="18.75" customHeight="1">
      <c r="A2186" s="18"/>
      <c r="B2186" s="22"/>
      <c r="C2186" s="213"/>
      <c r="D2186" s="213"/>
      <c r="E2186" s="24"/>
      <c r="F2186" s="215"/>
      <c r="G2186" s="26"/>
      <c r="H2186" s="199"/>
      <c r="I2186" s="29"/>
      <c r="J2186" s="192"/>
      <c r="K2186" s="31"/>
      <c r="L2186" s="200"/>
      <c r="M2186" s="212"/>
      <c r="N2186" s="3"/>
      <c r="O2186" s="40"/>
      <c r="P2186" s="40"/>
      <c r="Q2186" s="212"/>
      <c r="R2186" s="31"/>
      <c r="S2186" s="40"/>
      <c r="T2186" s="40"/>
      <c r="U2186" s="40"/>
      <c r="V2186" s="40"/>
      <c r="W2186" s="40"/>
      <c r="X2186" s="40"/>
      <c r="Y2186" s="40"/>
      <c r="Z2186" s="40"/>
      <c r="AA2186" s="40"/>
      <c r="AB2186" s="40"/>
    </row>
    <row r="2187" ht="18.75" customHeight="1">
      <c r="A2187" s="18"/>
      <c r="B2187" s="22"/>
      <c r="C2187" s="213"/>
      <c r="D2187" s="213"/>
      <c r="E2187" s="24"/>
      <c r="F2187" s="215"/>
      <c r="G2187" s="26"/>
      <c r="H2187" s="199"/>
      <c r="I2187" s="29"/>
      <c r="J2187" s="192"/>
      <c r="K2187" s="31"/>
      <c r="L2187" s="200"/>
      <c r="M2187" s="212"/>
      <c r="N2187" s="3"/>
      <c r="O2187" s="40"/>
      <c r="P2187" s="40"/>
      <c r="Q2187" s="212"/>
      <c r="R2187" s="31"/>
      <c r="S2187" s="40"/>
      <c r="T2187" s="40"/>
      <c r="U2187" s="40"/>
      <c r="V2187" s="40"/>
      <c r="W2187" s="40"/>
      <c r="X2187" s="40"/>
      <c r="Y2187" s="40"/>
      <c r="Z2187" s="40"/>
      <c r="AA2187" s="40"/>
      <c r="AB2187" s="40"/>
    </row>
    <row r="2188" ht="18.75" customHeight="1">
      <c r="A2188" s="18"/>
      <c r="B2188" s="22"/>
      <c r="C2188" s="213"/>
      <c r="D2188" s="213"/>
      <c r="E2188" s="24"/>
      <c r="F2188" s="215"/>
      <c r="G2188" s="26"/>
      <c r="H2188" s="199"/>
      <c r="I2188" s="29"/>
      <c r="J2188" s="192"/>
      <c r="K2188" s="31"/>
      <c r="L2188" s="200"/>
      <c r="M2188" s="212"/>
      <c r="N2188" s="3"/>
      <c r="O2188" s="40"/>
      <c r="P2188" s="40"/>
      <c r="Q2188" s="212"/>
      <c r="R2188" s="31"/>
      <c r="S2188" s="40"/>
      <c r="T2188" s="40"/>
      <c r="U2188" s="40"/>
      <c r="V2188" s="40"/>
      <c r="W2188" s="40"/>
      <c r="X2188" s="40"/>
      <c r="Y2188" s="40"/>
      <c r="Z2188" s="40"/>
      <c r="AA2188" s="40"/>
      <c r="AB2188" s="40"/>
    </row>
    <row r="2189" ht="18.75" customHeight="1">
      <c r="A2189" s="18"/>
      <c r="B2189" s="22"/>
      <c r="C2189" s="213"/>
      <c r="D2189" s="213"/>
      <c r="E2189" s="24"/>
      <c r="F2189" s="215"/>
      <c r="G2189" s="26"/>
      <c r="H2189" s="199"/>
      <c r="I2189" s="29"/>
      <c r="J2189" s="192"/>
      <c r="K2189" s="31"/>
      <c r="L2189" s="200"/>
      <c r="M2189" s="212"/>
      <c r="N2189" s="3"/>
      <c r="O2189" s="40"/>
      <c r="P2189" s="40"/>
      <c r="Q2189" s="212"/>
      <c r="R2189" s="31"/>
      <c r="S2189" s="40"/>
      <c r="T2189" s="40"/>
      <c r="U2189" s="40"/>
      <c r="V2189" s="40"/>
      <c r="W2189" s="40"/>
      <c r="X2189" s="40"/>
      <c r="Y2189" s="40"/>
      <c r="Z2189" s="40"/>
      <c r="AA2189" s="40"/>
      <c r="AB2189" s="40"/>
    </row>
    <row r="2190" ht="18.75" customHeight="1">
      <c r="A2190" s="18"/>
      <c r="B2190" s="22"/>
      <c r="C2190" s="213"/>
      <c r="D2190" s="213"/>
      <c r="E2190" s="24"/>
      <c r="F2190" s="215"/>
      <c r="G2190" s="26"/>
      <c r="H2190" s="199"/>
      <c r="I2190" s="29"/>
      <c r="J2190" s="192"/>
      <c r="K2190" s="31"/>
      <c r="L2190" s="200"/>
      <c r="M2190" s="212"/>
      <c r="N2190" s="3"/>
      <c r="O2190" s="40"/>
      <c r="P2190" s="40"/>
      <c r="Q2190" s="212"/>
      <c r="R2190" s="31"/>
      <c r="S2190" s="40"/>
      <c r="T2190" s="40"/>
      <c r="U2190" s="40"/>
      <c r="V2190" s="40"/>
      <c r="W2190" s="40"/>
      <c r="X2190" s="40"/>
      <c r="Y2190" s="40"/>
      <c r="Z2190" s="40"/>
      <c r="AA2190" s="40"/>
      <c r="AB2190" s="40"/>
    </row>
    <row r="2191" ht="18.75" customHeight="1">
      <c r="A2191" s="18"/>
      <c r="B2191" s="22"/>
      <c r="C2191" s="213"/>
      <c r="D2191" s="213"/>
      <c r="E2191" s="24"/>
      <c r="F2191" s="215"/>
      <c r="G2191" s="26"/>
      <c r="H2191" s="199"/>
      <c r="I2191" s="29"/>
      <c r="J2191" s="192"/>
      <c r="K2191" s="31"/>
      <c r="L2191" s="200"/>
      <c r="M2191" s="212"/>
      <c r="N2191" s="3"/>
      <c r="O2191" s="40"/>
      <c r="P2191" s="40"/>
      <c r="Q2191" s="212"/>
      <c r="R2191" s="31"/>
      <c r="S2191" s="40"/>
      <c r="T2191" s="40"/>
      <c r="U2191" s="40"/>
      <c r="V2191" s="40"/>
      <c r="W2191" s="40"/>
      <c r="X2191" s="40"/>
      <c r="Y2191" s="40"/>
      <c r="Z2191" s="40"/>
      <c r="AA2191" s="40"/>
      <c r="AB2191" s="40"/>
    </row>
    <row r="2192" ht="18.75" customHeight="1">
      <c r="A2192" s="18"/>
      <c r="B2192" s="22"/>
      <c r="C2192" s="213"/>
      <c r="D2192" s="213"/>
      <c r="E2192" s="24"/>
      <c r="F2192" s="215"/>
      <c r="G2192" s="26"/>
      <c r="H2192" s="199"/>
      <c r="I2192" s="29"/>
      <c r="J2192" s="192"/>
      <c r="K2192" s="31"/>
      <c r="L2192" s="200"/>
      <c r="M2192" s="212"/>
      <c r="N2192" s="3"/>
      <c r="O2192" s="40"/>
      <c r="P2192" s="40"/>
      <c r="Q2192" s="212"/>
      <c r="R2192" s="31"/>
      <c r="S2192" s="40"/>
      <c r="T2192" s="40"/>
      <c r="U2192" s="40"/>
      <c r="V2192" s="40"/>
      <c r="W2192" s="40"/>
      <c r="X2192" s="40"/>
      <c r="Y2192" s="40"/>
      <c r="Z2192" s="40"/>
      <c r="AA2192" s="40"/>
      <c r="AB2192" s="40"/>
    </row>
    <row r="2193" ht="18.75" customHeight="1">
      <c r="A2193" s="18"/>
      <c r="B2193" s="22"/>
      <c r="C2193" s="213"/>
      <c r="D2193" s="213"/>
      <c r="E2193" s="24"/>
      <c r="F2193" s="215"/>
      <c r="G2193" s="26"/>
      <c r="H2193" s="199"/>
      <c r="I2193" s="29"/>
      <c r="J2193" s="192"/>
      <c r="K2193" s="31"/>
      <c r="L2193" s="200"/>
      <c r="M2193" s="212"/>
      <c r="N2193" s="3"/>
      <c r="O2193" s="40"/>
      <c r="P2193" s="40"/>
      <c r="Q2193" s="212"/>
      <c r="R2193" s="31"/>
      <c r="S2193" s="40"/>
      <c r="T2193" s="40"/>
      <c r="U2193" s="40"/>
      <c r="V2193" s="40"/>
      <c r="W2193" s="40"/>
      <c r="X2193" s="40"/>
      <c r="Y2193" s="40"/>
      <c r="Z2193" s="40"/>
      <c r="AA2193" s="40"/>
      <c r="AB2193" s="40"/>
    </row>
    <row r="2194" ht="18.75" customHeight="1">
      <c r="A2194" s="18"/>
      <c r="B2194" s="22"/>
      <c r="C2194" s="213"/>
      <c r="D2194" s="213"/>
      <c r="E2194" s="24"/>
      <c r="F2194" s="215"/>
      <c r="G2194" s="26"/>
      <c r="H2194" s="199"/>
      <c r="I2194" s="29"/>
      <c r="J2194" s="192"/>
      <c r="K2194" s="31"/>
      <c r="L2194" s="200"/>
      <c r="M2194" s="212"/>
      <c r="N2194" s="3"/>
      <c r="O2194" s="40"/>
      <c r="P2194" s="40"/>
      <c r="Q2194" s="212"/>
      <c r="R2194" s="31"/>
      <c r="S2194" s="40"/>
      <c r="T2194" s="40"/>
      <c r="U2194" s="40"/>
      <c r="V2194" s="40"/>
      <c r="W2194" s="40"/>
      <c r="X2194" s="40"/>
      <c r="Y2194" s="40"/>
      <c r="Z2194" s="40"/>
      <c r="AA2194" s="40"/>
      <c r="AB2194" s="40"/>
    </row>
    <row r="2195" ht="18.75" customHeight="1">
      <c r="A2195" s="18"/>
      <c r="B2195" s="22"/>
      <c r="C2195" s="213"/>
      <c r="D2195" s="213"/>
      <c r="E2195" s="24"/>
      <c r="F2195" s="215"/>
      <c r="G2195" s="26"/>
      <c r="H2195" s="199"/>
      <c r="I2195" s="29"/>
      <c r="J2195" s="192"/>
      <c r="K2195" s="31"/>
      <c r="L2195" s="200"/>
      <c r="M2195" s="212"/>
      <c r="N2195" s="3"/>
      <c r="O2195" s="40"/>
      <c r="P2195" s="40"/>
      <c r="Q2195" s="212"/>
      <c r="R2195" s="31"/>
      <c r="S2195" s="40"/>
      <c r="T2195" s="40"/>
      <c r="U2195" s="40"/>
      <c r="V2195" s="40"/>
      <c r="W2195" s="40"/>
      <c r="X2195" s="40"/>
      <c r="Y2195" s="40"/>
      <c r="Z2195" s="40"/>
      <c r="AA2195" s="40"/>
      <c r="AB2195" s="40"/>
    </row>
    <row r="2196" ht="18.75" customHeight="1">
      <c r="A2196" s="18"/>
      <c r="B2196" s="22"/>
      <c r="C2196" s="213"/>
      <c r="D2196" s="213"/>
      <c r="E2196" s="24"/>
      <c r="F2196" s="215"/>
      <c r="G2196" s="26"/>
      <c r="H2196" s="199"/>
      <c r="I2196" s="29"/>
      <c r="J2196" s="192"/>
      <c r="K2196" s="31"/>
      <c r="L2196" s="200"/>
      <c r="M2196" s="212"/>
      <c r="N2196" s="3"/>
      <c r="O2196" s="40"/>
      <c r="P2196" s="40"/>
      <c r="Q2196" s="212"/>
      <c r="R2196" s="31"/>
      <c r="S2196" s="40"/>
      <c r="T2196" s="40"/>
      <c r="U2196" s="40"/>
      <c r="V2196" s="40"/>
      <c r="W2196" s="40"/>
      <c r="X2196" s="40"/>
      <c r="Y2196" s="40"/>
      <c r="Z2196" s="40"/>
      <c r="AA2196" s="40"/>
      <c r="AB2196" s="40"/>
    </row>
    <row r="2197" ht="18.75" customHeight="1">
      <c r="A2197" s="18"/>
      <c r="B2197" s="22"/>
      <c r="C2197" s="213"/>
      <c r="D2197" s="213"/>
      <c r="E2197" s="24"/>
      <c r="F2197" s="215"/>
      <c r="G2197" s="26"/>
      <c r="H2197" s="199"/>
      <c r="I2197" s="29"/>
      <c r="J2197" s="192"/>
      <c r="K2197" s="31"/>
      <c r="L2197" s="200"/>
      <c r="M2197" s="212"/>
      <c r="N2197" s="3"/>
      <c r="O2197" s="40"/>
      <c r="P2197" s="40"/>
      <c r="Q2197" s="212"/>
      <c r="R2197" s="31"/>
      <c r="S2197" s="40"/>
      <c r="T2197" s="40"/>
      <c r="U2197" s="40"/>
      <c r="V2197" s="40"/>
      <c r="W2197" s="40"/>
      <c r="X2197" s="40"/>
      <c r="Y2197" s="40"/>
      <c r="Z2197" s="40"/>
      <c r="AA2197" s="40"/>
      <c r="AB2197" s="40"/>
    </row>
    <row r="2198" ht="18.75" customHeight="1">
      <c r="A2198" s="18"/>
      <c r="B2198" s="22"/>
      <c r="C2198" s="213"/>
      <c r="D2198" s="213"/>
      <c r="E2198" s="24"/>
      <c r="F2198" s="215"/>
      <c r="G2198" s="26"/>
      <c r="H2198" s="199"/>
      <c r="I2198" s="29"/>
      <c r="J2198" s="192"/>
      <c r="K2198" s="31"/>
      <c r="L2198" s="200"/>
      <c r="M2198" s="212"/>
      <c r="N2198" s="3"/>
      <c r="O2198" s="40"/>
      <c r="P2198" s="40"/>
      <c r="Q2198" s="212"/>
      <c r="R2198" s="31"/>
      <c r="S2198" s="40"/>
      <c r="T2198" s="40"/>
      <c r="U2198" s="40"/>
      <c r="V2198" s="40"/>
      <c r="W2198" s="40"/>
      <c r="X2198" s="40"/>
      <c r="Y2198" s="40"/>
      <c r="Z2198" s="40"/>
      <c r="AA2198" s="40"/>
      <c r="AB2198" s="40"/>
    </row>
    <row r="2199" ht="18.75" customHeight="1">
      <c r="A2199" s="18"/>
      <c r="B2199" s="22"/>
      <c r="C2199" s="213"/>
      <c r="D2199" s="213"/>
      <c r="E2199" s="24"/>
      <c r="F2199" s="215"/>
      <c r="G2199" s="26"/>
      <c r="H2199" s="199"/>
      <c r="I2199" s="29"/>
      <c r="J2199" s="192"/>
      <c r="K2199" s="31"/>
      <c r="L2199" s="200"/>
      <c r="M2199" s="212"/>
      <c r="N2199" s="3"/>
      <c r="O2199" s="40"/>
      <c r="P2199" s="40"/>
      <c r="Q2199" s="212"/>
      <c r="R2199" s="31"/>
      <c r="S2199" s="40"/>
      <c r="T2199" s="40"/>
      <c r="U2199" s="40"/>
      <c r="V2199" s="40"/>
      <c r="W2199" s="40"/>
      <c r="X2199" s="40"/>
      <c r="Y2199" s="40"/>
      <c r="Z2199" s="40"/>
      <c r="AA2199" s="40"/>
      <c r="AB2199" s="40"/>
    </row>
    <row r="2200" ht="18.75" customHeight="1">
      <c r="A2200" s="18"/>
      <c r="B2200" s="22"/>
      <c r="C2200" s="213"/>
      <c r="D2200" s="213"/>
      <c r="E2200" s="24"/>
      <c r="F2200" s="215"/>
      <c r="G2200" s="26"/>
      <c r="H2200" s="199"/>
      <c r="I2200" s="29"/>
      <c r="J2200" s="192"/>
      <c r="K2200" s="31"/>
      <c r="L2200" s="200"/>
      <c r="M2200" s="212"/>
      <c r="N2200" s="3"/>
      <c r="O2200" s="40"/>
      <c r="P2200" s="40"/>
      <c r="Q2200" s="212"/>
      <c r="R2200" s="31"/>
      <c r="S2200" s="40"/>
      <c r="T2200" s="40"/>
      <c r="U2200" s="40"/>
      <c r="V2200" s="40"/>
      <c r="W2200" s="40"/>
      <c r="X2200" s="40"/>
      <c r="Y2200" s="40"/>
      <c r="Z2200" s="40"/>
      <c r="AA2200" s="40"/>
      <c r="AB2200" s="40"/>
    </row>
    <row r="2201" ht="18.75" customHeight="1">
      <c r="A2201" s="18"/>
      <c r="B2201" s="22"/>
      <c r="C2201" s="213"/>
      <c r="D2201" s="213"/>
      <c r="E2201" s="24"/>
      <c r="F2201" s="215"/>
      <c r="G2201" s="26"/>
      <c r="H2201" s="199"/>
      <c r="I2201" s="29"/>
      <c r="J2201" s="192"/>
      <c r="K2201" s="31"/>
      <c r="L2201" s="200"/>
      <c r="M2201" s="212"/>
      <c r="N2201" s="3"/>
      <c r="O2201" s="40"/>
      <c r="P2201" s="40"/>
      <c r="Q2201" s="212"/>
      <c r="R2201" s="31"/>
      <c r="S2201" s="40"/>
      <c r="T2201" s="40"/>
      <c r="U2201" s="40"/>
      <c r="V2201" s="40"/>
      <c r="W2201" s="40"/>
      <c r="X2201" s="40"/>
      <c r="Y2201" s="40"/>
      <c r="Z2201" s="40"/>
      <c r="AA2201" s="40"/>
      <c r="AB2201" s="40"/>
    </row>
    <row r="2202" ht="18.75" customHeight="1">
      <c r="A2202" s="18"/>
      <c r="B2202" s="22"/>
      <c r="C2202" s="213"/>
      <c r="D2202" s="213"/>
      <c r="E2202" s="24"/>
      <c r="F2202" s="215"/>
      <c r="G2202" s="26"/>
      <c r="H2202" s="199"/>
      <c r="I2202" s="29"/>
      <c r="J2202" s="192"/>
      <c r="K2202" s="31"/>
      <c r="L2202" s="200"/>
      <c r="M2202" s="212"/>
      <c r="N2202" s="3"/>
      <c r="O2202" s="40"/>
      <c r="P2202" s="40"/>
      <c r="Q2202" s="212"/>
      <c r="R2202" s="31"/>
      <c r="S2202" s="40"/>
      <c r="T2202" s="40"/>
      <c r="U2202" s="40"/>
      <c r="V2202" s="40"/>
      <c r="W2202" s="40"/>
      <c r="X2202" s="40"/>
      <c r="Y2202" s="40"/>
      <c r="Z2202" s="40"/>
      <c r="AA2202" s="40"/>
      <c r="AB2202" s="40"/>
    </row>
    <row r="2203" ht="18.75" customHeight="1">
      <c r="A2203" s="18"/>
      <c r="B2203" s="22"/>
      <c r="C2203" s="213"/>
      <c r="D2203" s="213"/>
      <c r="E2203" s="24"/>
      <c r="F2203" s="215"/>
      <c r="G2203" s="26"/>
      <c r="H2203" s="199"/>
      <c r="I2203" s="29"/>
      <c r="J2203" s="192"/>
      <c r="K2203" s="31"/>
      <c r="L2203" s="200"/>
      <c r="M2203" s="212"/>
      <c r="N2203" s="3"/>
      <c r="O2203" s="40"/>
      <c r="P2203" s="40"/>
      <c r="Q2203" s="212"/>
      <c r="R2203" s="31"/>
      <c r="S2203" s="40"/>
      <c r="T2203" s="40"/>
      <c r="U2203" s="40"/>
      <c r="V2203" s="40"/>
      <c r="W2203" s="40"/>
      <c r="X2203" s="40"/>
      <c r="Y2203" s="40"/>
      <c r="Z2203" s="40"/>
      <c r="AA2203" s="40"/>
      <c r="AB2203" s="40"/>
    </row>
    <row r="2204" ht="18.75" customHeight="1">
      <c r="A2204" s="18"/>
      <c r="B2204" s="22"/>
      <c r="C2204" s="213"/>
      <c r="D2204" s="213"/>
      <c r="E2204" s="24"/>
      <c r="F2204" s="215"/>
      <c r="G2204" s="26"/>
      <c r="H2204" s="199"/>
      <c r="I2204" s="29"/>
      <c r="J2204" s="192"/>
      <c r="K2204" s="31"/>
      <c r="L2204" s="200"/>
      <c r="M2204" s="212"/>
      <c r="N2204" s="3"/>
      <c r="O2204" s="40"/>
      <c r="P2204" s="40"/>
      <c r="Q2204" s="212"/>
      <c r="R2204" s="31"/>
      <c r="S2204" s="40"/>
      <c r="T2204" s="40"/>
      <c r="U2204" s="40"/>
      <c r="V2204" s="40"/>
      <c r="W2204" s="40"/>
      <c r="X2204" s="40"/>
      <c r="Y2204" s="40"/>
      <c r="Z2204" s="40"/>
      <c r="AA2204" s="40"/>
      <c r="AB2204" s="40"/>
    </row>
    <row r="2205" ht="18.75" customHeight="1">
      <c r="A2205" s="18"/>
      <c r="B2205" s="22"/>
      <c r="C2205" s="213"/>
      <c r="D2205" s="213"/>
      <c r="E2205" s="24"/>
      <c r="F2205" s="215"/>
      <c r="G2205" s="26"/>
      <c r="H2205" s="199"/>
      <c r="I2205" s="29"/>
      <c r="J2205" s="192"/>
      <c r="K2205" s="31"/>
      <c r="L2205" s="200"/>
      <c r="M2205" s="212"/>
      <c r="N2205" s="3"/>
      <c r="O2205" s="40"/>
      <c r="P2205" s="40"/>
      <c r="Q2205" s="212"/>
      <c r="R2205" s="31"/>
      <c r="S2205" s="40"/>
      <c r="T2205" s="40"/>
      <c r="U2205" s="40"/>
      <c r="V2205" s="40"/>
      <c r="W2205" s="40"/>
      <c r="X2205" s="40"/>
      <c r="Y2205" s="40"/>
      <c r="Z2205" s="40"/>
      <c r="AA2205" s="40"/>
      <c r="AB2205" s="40"/>
    </row>
    <row r="2206" ht="18.75" customHeight="1">
      <c r="A2206" s="18"/>
      <c r="B2206" s="22"/>
      <c r="C2206" s="213"/>
      <c r="D2206" s="213"/>
      <c r="E2206" s="24"/>
      <c r="F2206" s="215"/>
      <c r="G2206" s="26"/>
      <c r="H2206" s="199"/>
      <c r="I2206" s="29"/>
      <c r="J2206" s="192"/>
      <c r="K2206" s="31"/>
      <c r="L2206" s="200"/>
      <c r="M2206" s="212"/>
      <c r="N2206" s="3"/>
      <c r="O2206" s="40"/>
      <c r="P2206" s="40"/>
      <c r="Q2206" s="212"/>
      <c r="R2206" s="31"/>
      <c r="S2206" s="40"/>
      <c r="T2206" s="40"/>
      <c r="U2206" s="40"/>
      <c r="V2206" s="40"/>
      <c r="W2206" s="40"/>
      <c r="X2206" s="40"/>
      <c r="Y2206" s="40"/>
      <c r="Z2206" s="40"/>
      <c r="AA2206" s="40"/>
      <c r="AB2206" s="40"/>
    </row>
    <row r="2207" ht="18.75" customHeight="1">
      <c r="A2207" s="18"/>
      <c r="B2207" s="22"/>
      <c r="C2207" s="213"/>
      <c r="D2207" s="213"/>
      <c r="E2207" s="24"/>
      <c r="F2207" s="215"/>
      <c r="G2207" s="26"/>
      <c r="H2207" s="199"/>
      <c r="I2207" s="29"/>
      <c r="J2207" s="192"/>
      <c r="K2207" s="31"/>
      <c r="L2207" s="200"/>
      <c r="M2207" s="212"/>
      <c r="N2207" s="3"/>
      <c r="O2207" s="40"/>
      <c r="P2207" s="40"/>
      <c r="Q2207" s="212"/>
      <c r="R2207" s="31"/>
      <c r="S2207" s="40"/>
      <c r="T2207" s="40"/>
      <c r="U2207" s="40"/>
      <c r="V2207" s="40"/>
      <c r="W2207" s="40"/>
      <c r="X2207" s="40"/>
      <c r="Y2207" s="40"/>
      <c r="Z2207" s="40"/>
      <c r="AA2207" s="40"/>
      <c r="AB2207" s="40"/>
    </row>
    <row r="2208" ht="18.75" customHeight="1">
      <c r="A2208" s="18"/>
      <c r="B2208" s="22"/>
      <c r="C2208" s="213"/>
      <c r="D2208" s="213"/>
      <c r="E2208" s="24"/>
      <c r="F2208" s="215"/>
      <c r="G2208" s="26"/>
      <c r="H2208" s="199"/>
      <c r="I2208" s="29"/>
      <c r="J2208" s="192"/>
      <c r="K2208" s="31"/>
      <c r="L2208" s="200"/>
      <c r="M2208" s="212"/>
      <c r="N2208" s="3"/>
      <c r="O2208" s="40"/>
      <c r="P2208" s="40"/>
      <c r="Q2208" s="212"/>
      <c r="R2208" s="31"/>
      <c r="S2208" s="40"/>
      <c r="T2208" s="40"/>
      <c r="U2208" s="40"/>
      <c r="V2208" s="40"/>
      <c r="W2208" s="40"/>
      <c r="X2208" s="40"/>
      <c r="Y2208" s="40"/>
      <c r="Z2208" s="40"/>
      <c r="AA2208" s="40"/>
      <c r="AB2208" s="40"/>
    </row>
    <row r="2209" ht="18.75" customHeight="1">
      <c r="A2209" s="18"/>
      <c r="B2209" s="22"/>
      <c r="C2209" s="213"/>
      <c r="D2209" s="213"/>
      <c r="E2209" s="24"/>
      <c r="F2209" s="215"/>
      <c r="G2209" s="26"/>
      <c r="H2209" s="199"/>
      <c r="I2209" s="29"/>
      <c r="J2209" s="192"/>
      <c r="K2209" s="31"/>
      <c r="L2209" s="200"/>
      <c r="M2209" s="212"/>
      <c r="N2209" s="3"/>
      <c r="O2209" s="40"/>
      <c r="P2209" s="40"/>
      <c r="Q2209" s="212"/>
      <c r="R2209" s="31"/>
      <c r="S2209" s="40"/>
      <c r="T2209" s="40"/>
      <c r="U2209" s="40"/>
      <c r="V2209" s="40"/>
      <c r="W2209" s="40"/>
      <c r="X2209" s="40"/>
      <c r="Y2209" s="40"/>
      <c r="Z2209" s="40"/>
      <c r="AA2209" s="40"/>
      <c r="AB2209" s="40"/>
    </row>
    <row r="2210" ht="18.75" customHeight="1">
      <c r="A2210" s="18"/>
      <c r="B2210" s="22"/>
      <c r="C2210" s="213"/>
      <c r="D2210" s="213"/>
      <c r="E2210" s="24"/>
      <c r="F2210" s="215"/>
      <c r="G2210" s="26"/>
      <c r="H2210" s="199"/>
      <c r="I2210" s="29"/>
      <c r="J2210" s="192"/>
      <c r="K2210" s="31"/>
      <c r="L2210" s="200"/>
      <c r="M2210" s="212"/>
      <c r="N2210" s="3"/>
      <c r="O2210" s="40"/>
      <c r="P2210" s="40"/>
      <c r="Q2210" s="212"/>
      <c r="R2210" s="31"/>
      <c r="S2210" s="40"/>
      <c r="T2210" s="40"/>
      <c r="U2210" s="40"/>
      <c r="V2210" s="40"/>
      <c r="W2210" s="40"/>
      <c r="X2210" s="40"/>
      <c r="Y2210" s="40"/>
      <c r="Z2210" s="40"/>
      <c r="AA2210" s="40"/>
      <c r="AB2210" s="40"/>
    </row>
    <row r="2211" ht="18.75" customHeight="1">
      <c r="A2211" s="18"/>
      <c r="B2211" s="22"/>
      <c r="C2211" s="213"/>
      <c r="D2211" s="213"/>
      <c r="E2211" s="24"/>
      <c r="F2211" s="215"/>
      <c r="G2211" s="26"/>
      <c r="H2211" s="199"/>
      <c r="I2211" s="29"/>
      <c r="J2211" s="192"/>
      <c r="K2211" s="31"/>
      <c r="L2211" s="200"/>
      <c r="M2211" s="212"/>
      <c r="N2211" s="3"/>
      <c r="O2211" s="40"/>
      <c r="P2211" s="40"/>
      <c r="Q2211" s="212"/>
      <c r="R2211" s="31"/>
      <c r="S2211" s="40"/>
      <c r="T2211" s="40"/>
      <c r="U2211" s="40"/>
      <c r="V2211" s="40"/>
      <c r="W2211" s="40"/>
      <c r="X2211" s="40"/>
      <c r="Y2211" s="40"/>
      <c r="Z2211" s="40"/>
      <c r="AA2211" s="40"/>
      <c r="AB2211" s="40"/>
    </row>
    <row r="2212" ht="18.75" customHeight="1">
      <c r="A2212" s="18"/>
      <c r="B2212" s="22"/>
      <c r="C2212" s="213"/>
      <c r="D2212" s="213"/>
      <c r="E2212" s="24"/>
      <c r="F2212" s="215"/>
      <c r="G2212" s="26"/>
      <c r="H2212" s="199"/>
      <c r="I2212" s="29"/>
      <c r="J2212" s="192"/>
      <c r="K2212" s="31"/>
      <c r="L2212" s="200"/>
      <c r="M2212" s="212"/>
      <c r="N2212" s="3"/>
      <c r="O2212" s="40"/>
      <c r="P2212" s="40"/>
      <c r="Q2212" s="212"/>
      <c r="R2212" s="31"/>
      <c r="S2212" s="40"/>
      <c r="T2212" s="40"/>
      <c r="U2212" s="40"/>
      <c r="V2212" s="40"/>
      <c r="W2212" s="40"/>
      <c r="X2212" s="40"/>
      <c r="Y2212" s="40"/>
      <c r="Z2212" s="40"/>
      <c r="AA2212" s="40"/>
      <c r="AB2212" s="40"/>
    </row>
    <row r="2213" ht="18.75" customHeight="1">
      <c r="A2213" s="18"/>
      <c r="B2213" s="22"/>
      <c r="C2213" s="213"/>
      <c r="D2213" s="213"/>
      <c r="E2213" s="24"/>
      <c r="F2213" s="215"/>
      <c r="G2213" s="26"/>
      <c r="H2213" s="199"/>
      <c r="I2213" s="29"/>
      <c r="J2213" s="192"/>
      <c r="K2213" s="31"/>
      <c r="L2213" s="200"/>
      <c r="M2213" s="212"/>
      <c r="N2213" s="3"/>
      <c r="O2213" s="40"/>
      <c r="P2213" s="40"/>
      <c r="Q2213" s="212"/>
      <c r="R2213" s="31"/>
      <c r="S2213" s="40"/>
      <c r="T2213" s="40"/>
      <c r="U2213" s="40"/>
      <c r="V2213" s="40"/>
      <c r="W2213" s="40"/>
      <c r="X2213" s="40"/>
      <c r="Y2213" s="40"/>
      <c r="Z2213" s="40"/>
      <c r="AA2213" s="40"/>
      <c r="AB2213" s="40"/>
    </row>
    <row r="2214" ht="18.75" customHeight="1">
      <c r="A2214" s="18"/>
      <c r="B2214" s="22"/>
      <c r="C2214" s="213"/>
      <c r="D2214" s="213"/>
      <c r="E2214" s="24"/>
      <c r="F2214" s="215"/>
      <c r="G2214" s="26"/>
      <c r="H2214" s="199"/>
      <c r="I2214" s="29"/>
      <c r="J2214" s="192"/>
      <c r="K2214" s="31"/>
      <c r="L2214" s="200"/>
      <c r="M2214" s="212"/>
      <c r="N2214" s="3"/>
      <c r="O2214" s="40"/>
      <c r="P2214" s="40"/>
      <c r="Q2214" s="212"/>
      <c r="R2214" s="31"/>
      <c r="S2214" s="40"/>
      <c r="T2214" s="40"/>
      <c r="U2214" s="40"/>
      <c r="V2214" s="40"/>
      <c r="W2214" s="40"/>
      <c r="X2214" s="40"/>
      <c r="Y2214" s="40"/>
      <c r="Z2214" s="40"/>
      <c r="AA2214" s="40"/>
      <c r="AB2214" s="40"/>
    </row>
    <row r="2215" ht="18.75" customHeight="1">
      <c r="A2215" s="18"/>
      <c r="B2215" s="22"/>
      <c r="C2215" s="213"/>
      <c r="D2215" s="213"/>
      <c r="E2215" s="24"/>
      <c r="F2215" s="215"/>
      <c r="G2215" s="26"/>
      <c r="H2215" s="199"/>
      <c r="I2215" s="29"/>
      <c r="J2215" s="192"/>
      <c r="K2215" s="31"/>
      <c r="L2215" s="200"/>
      <c r="M2215" s="212"/>
      <c r="N2215" s="3"/>
      <c r="O2215" s="40"/>
      <c r="P2215" s="40"/>
      <c r="Q2215" s="212"/>
      <c r="R2215" s="31"/>
      <c r="S2215" s="40"/>
      <c r="T2215" s="40"/>
      <c r="U2215" s="40"/>
      <c r="V2215" s="40"/>
      <c r="W2215" s="40"/>
      <c r="X2215" s="40"/>
      <c r="Y2215" s="40"/>
      <c r="Z2215" s="40"/>
      <c r="AA2215" s="40"/>
      <c r="AB2215" s="40"/>
    </row>
    <row r="2216" ht="18.75" customHeight="1">
      <c r="A2216" s="18"/>
      <c r="B2216" s="22"/>
      <c r="C2216" s="213"/>
      <c r="D2216" s="213"/>
      <c r="E2216" s="24"/>
      <c r="F2216" s="215"/>
      <c r="G2216" s="26"/>
      <c r="H2216" s="199"/>
      <c r="I2216" s="29"/>
      <c r="J2216" s="192"/>
      <c r="K2216" s="31"/>
      <c r="L2216" s="200"/>
      <c r="M2216" s="212"/>
      <c r="N2216" s="3"/>
      <c r="O2216" s="40"/>
      <c r="P2216" s="40"/>
      <c r="Q2216" s="212"/>
      <c r="R2216" s="31"/>
      <c r="S2216" s="40"/>
      <c r="T2216" s="40"/>
      <c r="U2216" s="40"/>
      <c r="V2216" s="40"/>
      <c r="W2216" s="40"/>
      <c r="X2216" s="40"/>
      <c r="Y2216" s="40"/>
      <c r="Z2216" s="40"/>
      <c r="AA2216" s="40"/>
      <c r="AB2216" s="40"/>
    </row>
    <row r="2217" ht="18.75" customHeight="1">
      <c r="A2217" s="18"/>
      <c r="B2217" s="22"/>
      <c r="C2217" s="213"/>
      <c r="D2217" s="213"/>
      <c r="E2217" s="24"/>
      <c r="F2217" s="215"/>
      <c r="G2217" s="26"/>
      <c r="H2217" s="199"/>
      <c r="I2217" s="29"/>
      <c r="J2217" s="192"/>
      <c r="K2217" s="31"/>
      <c r="L2217" s="200"/>
      <c r="M2217" s="212"/>
      <c r="N2217" s="3"/>
      <c r="O2217" s="40"/>
      <c r="P2217" s="40"/>
      <c r="Q2217" s="212"/>
      <c r="R2217" s="31"/>
      <c r="S2217" s="40"/>
      <c r="T2217" s="40"/>
      <c r="U2217" s="40"/>
      <c r="V2217" s="40"/>
      <c r="W2217" s="40"/>
      <c r="X2217" s="40"/>
      <c r="Y2217" s="40"/>
      <c r="Z2217" s="40"/>
      <c r="AA2217" s="40"/>
      <c r="AB2217" s="40"/>
    </row>
    <row r="2218" ht="18.75" customHeight="1">
      <c r="A2218" s="18"/>
      <c r="B2218" s="22"/>
      <c r="C2218" s="213"/>
      <c r="D2218" s="213"/>
      <c r="E2218" s="24"/>
      <c r="F2218" s="215"/>
      <c r="G2218" s="26"/>
      <c r="H2218" s="199"/>
      <c r="I2218" s="29"/>
      <c r="J2218" s="192"/>
      <c r="K2218" s="31"/>
      <c r="L2218" s="200"/>
      <c r="M2218" s="212"/>
      <c r="N2218" s="3"/>
      <c r="O2218" s="40"/>
      <c r="P2218" s="40"/>
      <c r="Q2218" s="212"/>
      <c r="R2218" s="31"/>
      <c r="S2218" s="40"/>
      <c r="T2218" s="40"/>
      <c r="U2218" s="40"/>
      <c r="V2218" s="40"/>
      <c r="W2218" s="40"/>
      <c r="X2218" s="40"/>
      <c r="Y2218" s="40"/>
      <c r="Z2218" s="40"/>
      <c r="AA2218" s="40"/>
      <c r="AB2218" s="40"/>
    </row>
    <row r="2219" ht="18.75" customHeight="1">
      <c r="A2219" s="18"/>
      <c r="B2219" s="22"/>
      <c r="C2219" s="213"/>
      <c r="D2219" s="213"/>
      <c r="E2219" s="24"/>
      <c r="F2219" s="215"/>
      <c r="G2219" s="26"/>
      <c r="H2219" s="199"/>
      <c r="I2219" s="29"/>
      <c r="J2219" s="192"/>
      <c r="K2219" s="31"/>
      <c r="L2219" s="200"/>
      <c r="M2219" s="212"/>
      <c r="N2219" s="3"/>
      <c r="O2219" s="40"/>
      <c r="P2219" s="40"/>
      <c r="Q2219" s="212"/>
      <c r="R2219" s="31"/>
      <c r="S2219" s="40"/>
      <c r="T2219" s="40"/>
      <c r="U2219" s="40"/>
      <c r="V2219" s="40"/>
      <c r="W2219" s="40"/>
      <c r="X2219" s="40"/>
      <c r="Y2219" s="40"/>
      <c r="Z2219" s="40"/>
      <c r="AA2219" s="40"/>
      <c r="AB2219" s="40"/>
    </row>
    <row r="2220" ht="18.75" customHeight="1">
      <c r="A2220" s="18"/>
      <c r="B2220" s="22"/>
      <c r="C2220" s="213"/>
      <c r="D2220" s="213"/>
      <c r="E2220" s="24"/>
      <c r="F2220" s="215"/>
      <c r="G2220" s="26"/>
      <c r="H2220" s="199"/>
      <c r="I2220" s="29"/>
      <c r="J2220" s="192"/>
      <c r="K2220" s="31"/>
      <c r="L2220" s="200"/>
      <c r="M2220" s="212"/>
      <c r="N2220" s="3"/>
      <c r="O2220" s="40"/>
      <c r="P2220" s="40"/>
      <c r="Q2220" s="212"/>
      <c r="R2220" s="31"/>
      <c r="S2220" s="40"/>
      <c r="T2220" s="40"/>
      <c r="U2220" s="40"/>
      <c r="V2220" s="40"/>
      <c r="W2220" s="40"/>
      <c r="X2220" s="40"/>
      <c r="Y2220" s="40"/>
      <c r="Z2220" s="40"/>
      <c r="AA2220" s="40"/>
      <c r="AB2220" s="40"/>
    </row>
    <row r="2221" ht="18.75" customHeight="1">
      <c r="A2221" s="18"/>
      <c r="B2221" s="22"/>
      <c r="C2221" s="213"/>
      <c r="D2221" s="213"/>
      <c r="E2221" s="24"/>
      <c r="F2221" s="215"/>
      <c r="G2221" s="26"/>
      <c r="H2221" s="199"/>
      <c r="I2221" s="29"/>
      <c r="J2221" s="192"/>
      <c r="K2221" s="31"/>
      <c r="L2221" s="200"/>
      <c r="M2221" s="212"/>
      <c r="N2221" s="3"/>
      <c r="O2221" s="40"/>
      <c r="P2221" s="40"/>
      <c r="Q2221" s="212"/>
      <c r="R2221" s="31"/>
      <c r="S2221" s="40"/>
      <c r="T2221" s="40"/>
      <c r="U2221" s="40"/>
      <c r="V2221" s="40"/>
      <c r="W2221" s="40"/>
      <c r="X2221" s="40"/>
      <c r="Y2221" s="40"/>
      <c r="Z2221" s="40"/>
      <c r="AA2221" s="40"/>
      <c r="AB2221" s="40"/>
    </row>
    <row r="2222" ht="18.75" customHeight="1">
      <c r="A2222" s="18"/>
      <c r="B2222" s="22"/>
      <c r="C2222" s="213"/>
      <c r="D2222" s="213"/>
      <c r="E2222" s="24"/>
      <c r="F2222" s="215"/>
      <c r="G2222" s="26"/>
      <c r="H2222" s="199"/>
      <c r="I2222" s="29"/>
      <c r="J2222" s="192"/>
      <c r="K2222" s="31"/>
      <c r="L2222" s="200"/>
      <c r="M2222" s="212"/>
      <c r="N2222" s="3"/>
      <c r="O2222" s="40"/>
      <c r="P2222" s="40"/>
      <c r="Q2222" s="212"/>
      <c r="R2222" s="31"/>
      <c r="S2222" s="40"/>
      <c r="T2222" s="40"/>
      <c r="U2222" s="40"/>
      <c r="V2222" s="40"/>
      <c r="W2222" s="40"/>
      <c r="X2222" s="40"/>
      <c r="Y2222" s="40"/>
      <c r="Z2222" s="40"/>
      <c r="AA2222" s="40"/>
      <c r="AB2222" s="40"/>
    </row>
    <row r="2223" ht="18.75" customHeight="1">
      <c r="A2223" s="18"/>
      <c r="B2223" s="22"/>
      <c r="C2223" s="213"/>
      <c r="D2223" s="213"/>
      <c r="E2223" s="24"/>
      <c r="F2223" s="215"/>
      <c r="G2223" s="26"/>
      <c r="H2223" s="199"/>
      <c r="I2223" s="29"/>
      <c r="J2223" s="192"/>
      <c r="K2223" s="31"/>
      <c r="L2223" s="200"/>
      <c r="M2223" s="212"/>
      <c r="N2223" s="3"/>
      <c r="O2223" s="40"/>
      <c r="P2223" s="40"/>
      <c r="Q2223" s="212"/>
      <c r="R2223" s="31"/>
      <c r="S2223" s="40"/>
      <c r="T2223" s="40"/>
      <c r="U2223" s="40"/>
      <c r="V2223" s="40"/>
      <c r="W2223" s="40"/>
      <c r="X2223" s="40"/>
      <c r="Y2223" s="40"/>
      <c r="Z2223" s="40"/>
      <c r="AA2223" s="40"/>
      <c r="AB2223" s="40"/>
    </row>
    <row r="2224" ht="18.75" customHeight="1">
      <c r="A2224" s="18"/>
      <c r="B2224" s="22"/>
      <c r="C2224" s="213"/>
      <c r="D2224" s="213"/>
      <c r="E2224" s="24"/>
      <c r="F2224" s="215"/>
      <c r="G2224" s="26"/>
      <c r="H2224" s="199"/>
      <c r="I2224" s="29"/>
      <c r="J2224" s="192"/>
      <c r="K2224" s="31"/>
      <c r="L2224" s="200"/>
      <c r="M2224" s="212"/>
      <c r="N2224" s="3"/>
      <c r="O2224" s="40"/>
      <c r="P2224" s="40"/>
      <c r="Q2224" s="212"/>
      <c r="R2224" s="31"/>
      <c r="S2224" s="40"/>
      <c r="T2224" s="40"/>
      <c r="U2224" s="40"/>
      <c r="V2224" s="40"/>
      <c r="W2224" s="40"/>
      <c r="X2224" s="40"/>
      <c r="Y2224" s="40"/>
      <c r="Z2224" s="40"/>
      <c r="AA2224" s="40"/>
      <c r="AB2224" s="40"/>
    </row>
    <row r="2225" ht="18.75" customHeight="1">
      <c r="A2225" s="18"/>
      <c r="B2225" s="22"/>
      <c r="C2225" s="213"/>
      <c r="D2225" s="213"/>
      <c r="E2225" s="24"/>
      <c r="F2225" s="215"/>
      <c r="G2225" s="26"/>
      <c r="H2225" s="199"/>
      <c r="I2225" s="29"/>
      <c r="J2225" s="192"/>
      <c r="K2225" s="31"/>
      <c r="L2225" s="200"/>
      <c r="M2225" s="212"/>
      <c r="N2225" s="3"/>
      <c r="O2225" s="40"/>
      <c r="P2225" s="40"/>
      <c r="Q2225" s="212"/>
      <c r="R2225" s="31"/>
      <c r="S2225" s="40"/>
      <c r="T2225" s="40"/>
      <c r="U2225" s="40"/>
      <c r="V2225" s="40"/>
      <c r="W2225" s="40"/>
      <c r="X2225" s="40"/>
      <c r="Y2225" s="40"/>
      <c r="Z2225" s="40"/>
      <c r="AA2225" s="40"/>
      <c r="AB2225" s="40"/>
    </row>
    <row r="2226" ht="18.75" customHeight="1">
      <c r="A2226" s="18"/>
      <c r="B2226" s="22"/>
      <c r="C2226" s="213"/>
      <c r="D2226" s="213"/>
      <c r="E2226" s="24"/>
      <c r="F2226" s="215"/>
      <c r="G2226" s="26"/>
      <c r="H2226" s="199"/>
      <c r="I2226" s="29"/>
      <c r="J2226" s="192"/>
      <c r="K2226" s="31"/>
      <c r="L2226" s="200"/>
      <c r="M2226" s="212"/>
      <c r="N2226" s="3"/>
      <c r="O2226" s="40"/>
      <c r="P2226" s="40"/>
      <c r="Q2226" s="212"/>
      <c r="R2226" s="31"/>
      <c r="S2226" s="40"/>
      <c r="T2226" s="40"/>
      <c r="U2226" s="40"/>
      <c r="V2226" s="40"/>
      <c r="W2226" s="40"/>
      <c r="X2226" s="40"/>
      <c r="Y2226" s="40"/>
      <c r="Z2226" s="40"/>
      <c r="AA2226" s="40"/>
      <c r="AB2226" s="40"/>
    </row>
    <row r="2227" ht="18.75" customHeight="1">
      <c r="A2227" s="18"/>
      <c r="B2227" s="22"/>
      <c r="C2227" s="213"/>
      <c r="D2227" s="213"/>
      <c r="E2227" s="24"/>
      <c r="F2227" s="215"/>
      <c r="G2227" s="26"/>
      <c r="H2227" s="199"/>
      <c r="I2227" s="29"/>
      <c r="J2227" s="192"/>
      <c r="K2227" s="31"/>
      <c r="L2227" s="200"/>
      <c r="M2227" s="212"/>
      <c r="N2227" s="3"/>
      <c r="O2227" s="40"/>
      <c r="P2227" s="40"/>
      <c r="Q2227" s="212"/>
      <c r="R2227" s="31"/>
      <c r="S2227" s="40"/>
      <c r="T2227" s="40"/>
      <c r="U2227" s="40"/>
      <c r="V2227" s="40"/>
      <c r="W2227" s="40"/>
      <c r="X2227" s="40"/>
      <c r="Y2227" s="40"/>
      <c r="Z2227" s="40"/>
      <c r="AA2227" s="40"/>
      <c r="AB2227" s="40"/>
    </row>
    <row r="2228" ht="18.75" customHeight="1">
      <c r="A2228" s="18"/>
      <c r="B2228" s="22"/>
      <c r="C2228" s="213"/>
      <c r="D2228" s="213"/>
      <c r="E2228" s="24"/>
      <c r="F2228" s="215"/>
      <c r="G2228" s="26"/>
      <c r="H2228" s="199"/>
      <c r="I2228" s="29"/>
      <c r="J2228" s="192"/>
      <c r="K2228" s="31"/>
      <c r="L2228" s="200"/>
      <c r="M2228" s="212"/>
      <c r="N2228" s="3"/>
      <c r="O2228" s="40"/>
      <c r="P2228" s="40"/>
      <c r="Q2228" s="212"/>
      <c r="R2228" s="31"/>
      <c r="S2228" s="40"/>
      <c r="T2228" s="40"/>
      <c r="U2228" s="40"/>
      <c r="V2228" s="40"/>
      <c r="W2228" s="40"/>
      <c r="X2228" s="40"/>
      <c r="Y2228" s="40"/>
      <c r="Z2228" s="40"/>
      <c r="AA2228" s="40"/>
      <c r="AB2228" s="40"/>
    </row>
    <row r="2229" ht="18.75" customHeight="1">
      <c r="A2229" s="18"/>
      <c r="B2229" s="22"/>
      <c r="C2229" s="213"/>
      <c r="D2229" s="213"/>
      <c r="E2229" s="24"/>
      <c r="F2229" s="215"/>
      <c r="G2229" s="26"/>
      <c r="H2229" s="199"/>
      <c r="I2229" s="29"/>
      <c r="J2229" s="192"/>
      <c r="K2229" s="31"/>
      <c r="L2229" s="200"/>
      <c r="M2229" s="212"/>
      <c r="N2229" s="3"/>
      <c r="O2229" s="40"/>
      <c r="P2229" s="40"/>
      <c r="Q2229" s="212"/>
      <c r="R2229" s="31"/>
      <c r="S2229" s="40"/>
      <c r="T2229" s="40"/>
      <c r="U2229" s="40"/>
      <c r="V2229" s="40"/>
      <c r="W2229" s="40"/>
      <c r="X2229" s="40"/>
      <c r="Y2229" s="40"/>
      <c r="Z2229" s="40"/>
      <c r="AA2229" s="40"/>
      <c r="AB2229" s="40"/>
    </row>
    <row r="2230" ht="18.75" customHeight="1">
      <c r="A2230" s="18"/>
      <c r="B2230" s="22"/>
      <c r="C2230" s="213"/>
      <c r="D2230" s="213"/>
      <c r="E2230" s="24"/>
      <c r="F2230" s="215"/>
      <c r="G2230" s="26"/>
      <c r="H2230" s="199"/>
      <c r="I2230" s="29"/>
      <c r="J2230" s="192"/>
      <c r="K2230" s="31"/>
      <c r="L2230" s="200"/>
      <c r="M2230" s="212"/>
      <c r="N2230" s="3"/>
      <c r="O2230" s="40"/>
      <c r="P2230" s="40"/>
      <c r="Q2230" s="212"/>
      <c r="R2230" s="31"/>
      <c r="S2230" s="40"/>
      <c r="T2230" s="40"/>
      <c r="U2230" s="40"/>
      <c r="V2230" s="40"/>
      <c r="W2230" s="40"/>
      <c r="X2230" s="40"/>
      <c r="Y2230" s="40"/>
      <c r="Z2230" s="40"/>
      <c r="AA2230" s="40"/>
      <c r="AB2230" s="40"/>
    </row>
    <row r="2231" ht="18.75" customHeight="1">
      <c r="A2231" s="18"/>
      <c r="B2231" s="22"/>
      <c r="C2231" s="213"/>
      <c r="D2231" s="213"/>
      <c r="E2231" s="24"/>
      <c r="F2231" s="215"/>
      <c r="G2231" s="26"/>
      <c r="H2231" s="199"/>
      <c r="I2231" s="29"/>
      <c r="J2231" s="192"/>
      <c r="K2231" s="31"/>
      <c r="L2231" s="200"/>
      <c r="M2231" s="212"/>
      <c r="N2231" s="3"/>
      <c r="O2231" s="40"/>
      <c r="P2231" s="40"/>
      <c r="Q2231" s="212"/>
      <c r="R2231" s="31"/>
      <c r="S2231" s="40"/>
      <c r="T2231" s="40"/>
      <c r="U2231" s="40"/>
      <c r="V2231" s="40"/>
      <c r="W2231" s="40"/>
      <c r="X2231" s="40"/>
      <c r="Y2231" s="40"/>
      <c r="Z2231" s="40"/>
      <c r="AA2231" s="40"/>
      <c r="AB2231" s="40"/>
    </row>
    <row r="2232" ht="18.75" customHeight="1">
      <c r="A2232" s="18"/>
      <c r="B2232" s="22"/>
      <c r="C2232" s="213"/>
      <c r="D2232" s="213"/>
      <c r="E2232" s="24"/>
      <c r="F2232" s="215"/>
      <c r="G2232" s="26"/>
      <c r="H2232" s="199"/>
      <c r="I2232" s="29"/>
      <c r="J2232" s="192"/>
      <c r="K2232" s="31"/>
      <c r="L2232" s="200"/>
      <c r="M2232" s="212"/>
      <c r="N2232" s="3"/>
      <c r="O2232" s="40"/>
      <c r="P2232" s="40"/>
      <c r="Q2232" s="212"/>
      <c r="R2232" s="31"/>
      <c r="S2232" s="40"/>
      <c r="T2232" s="40"/>
      <c r="U2232" s="40"/>
      <c r="V2232" s="40"/>
      <c r="W2232" s="40"/>
      <c r="X2232" s="40"/>
      <c r="Y2232" s="40"/>
      <c r="Z2232" s="40"/>
      <c r="AA2232" s="40"/>
      <c r="AB2232" s="40"/>
    </row>
    <row r="2233" ht="18.75" customHeight="1">
      <c r="A2233" s="18"/>
      <c r="B2233" s="22"/>
      <c r="C2233" s="213"/>
      <c r="D2233" s="213"/>
      <c r="E2233" s="24"/>
      <c r="F2233" s="215"/>
      <c r="G2233" s="26"/>
      <c r="H2233" s="199"/>
      <c r="I2233" s="29"/>
      <c r="J2233" s="192"/>
      <c r="K2233" s="31"/>
      <c r="L2233" s="200"/>
      <c r="M2233" s="212"/>
      <c r="N2233" s="3"/>
      <c r="O2233" s="40"/>
      <c r="P2233" s="40"/>
      <c r="Q2233" s="212"/>
      <c r="R2233" s="31"/>
      <c r="S2233" s="40"/>
      <c r="T2233" s="40"/>
      <c r="U2233" s="40"/>
      <c r="V2233" s="40"/>
      <c r="W2233" s="40"/>
      <c r="X2233" s="40"/>
      <c r="Y2233" s="40"/>
      <c r="Z2233" s="40"/>
      <c r="AA2233" s="40"/>
      <c r="AB2233" s="40"/>
    </row>
    <row r="2234" ht="18.75" customHeight="1">
      <c r="A2234" s="18"/>
      <c r="B2234" s="22"/>
      <c r="C2234" s="213"/>
      <c r="D2234" s="213"/>
      <c r="E2234" s="24"/>
      <c r="F2234" s="215"/>
      <c r="G2234" s="26"/>
      <c r="H2234" s="199"/>
      <c r="I2234" s="29"/>
      <c r="J2234" s="192"/>
      <c r="K2234" s="31"/>
      <c r="L2234" s="200"/>
      <c r="M2234" s="212"/>
      <c r="N2234" s="3"/>
      <c r="O2234" s="40"/>
      <c r="P2234" s="40"/>
      <c r="Q2234" s="212"/>
      <c r="R2234" s="31"/>
      <c r="S2234" s="40"/>
      <c r="T2234" s="40"/>
      <c r="U2234" s="40"/>
      <c r="V2234" s="40"/>
      <c r="W2234" s="40"/>
      <c r="X2234" s="40"/>
      <c r="Y2234" s="40"/>
      <c r="Z2234" s="40"/>
      <c r="AA2234" s="40"/>
      <c r="AB2234" s="40"/>
    </row>
    <row r="2235" ht="18.75" customHeight="1">
      <c r="A2235" s="18"/>
      <c r="B2235" s="22"/>
      <c r="C2235" s="213"/>
      <c r="D2235" s="213"/>
      <c r="E2235" s="24"/>
      <c r="F2235" s="215"/>
      <c r="G2235" s="26"/>
      <c r="H2235" s="199"/>
      <c r="I2235" s="29"/>
      <c r="J2235" s="192"/>
      <c r="K2235" s="31"/>
      <c r="L2235" s="200"/>
      <c r="M2235" s="212"/>
      <c r="N2235" s="3"/>
      <c r="O2235" s="40"/>
      <c r="P2235" s="40"/>
      <c r="Q2235" s="212"/>
      <c r="R2235" s="31"/>
      <c r="S2235" s="40"/>
      <c r="T2235" s="40"/>
      <c r="U2235" s="40"/>
      <c r="V2235" s="40"/>
      <c r="W2235" s="40"/>
      <c r="X2235" s="40"/>
      <c r="Y2235" s="40"/>
      <c r="Z2235" s="40"/>
      <c r="AA2235" s="40"/>
      <c r="AB2235" s="40"/>
    </row>
    <row r="2236" ht="18.75" customHeight="1">
      <c r="A2236" s="18"/>
      <c r="B2236" s="22"/>
      <c r="C2236" s="213"/>
      <c r="D2236" s="213"/>
      <c r="E2236" s="24"/>
      <c r="F2236" s="215"/>
      <c r="G2236" s="26"/>
      <c r="H2236" s="199"/>
      <c r="I2236" s="29"/>
      <c r="J2236" s="192"/>
      <c r="K2236" s="31"/>
      <c r="L2236" s="200"/>
      <c r="M2236" s="212"/>
      <c r="N2236" s="3"/>
      <c r="O2236" s="40"/>
      <c r="P2236" s="40"/>
      <c r="Q2236" s="212"/>
      <c r="R2236" s="31"/>
      <c r="S2236" s="40"/>
      <c r="T2236" s="40"/>
      <c r="U2236" s="40"/>
      <c r="V2236" s="40"/>
      <c r="W2236" s="40"/>
      <c r="X2236" s="40"/>
      <c r="Y2236" s="40"/>
      <c r="Z2236" s="40"/>
      <c r="AA2236" s="40"/>
      <c r="AB2236" s="40"/>
    </row>
    <row r="2237" ht="18.75" customHeight="1">
      <c r="A2237" s="18"/>
      <c r="B2237" s="22"/>
      <c r="C2237" s="213"/>
      <c r="D2237" s="213"/>
      <c r="E2237" s="24"/>
      <c r="F2237" s="215"/>
      <c r="G2237" s="26"/>
      <c r="H2237" s="199"/>
      <c r="I2237" s="29"/>
      <c r="J2237" s="192"/>
      <c r="K2237" s="31"/>
      <c r="L2237" s="200"/>
      <c r="M2237" s="212"/>
      <c r="N2237" s="3"/>
      <c r="O2237" s="40"/>
      <c r="P2237" s="40"/>
      <c r="Q2237" s="212"/>
      <c r="R2237" s="31"/>
      <c r="S2237" s="40"/>
      <c r="T2237" s="40"/>
      <c r="U2237" s="40"/>
      <c r="V2237" s="40"/>
      <c r="W2237" s="40"/>
      <c r="X2237" s="40"/>
      <c r="Y2237" s="40"/>
      <c r="Z2237" s="40"/>
      <c r="AA2237" s="40"/>
      <c r="AB2237" s="40"/>
    </row>
    <row r="2238" ht="18.75" customHeight="1">
      <c r="A2238" s="18"/>
      <c r="B2238" s="22"/>
      <c r="C2238" s="213"/>
      <c r="D2238" s="213"/>
      <c r="E2238" s="24"/>
      <c r="F2238" s="215"/>
      <c r="G2238" s="26"/>
      <c r="H2238" s="199"/>
      <c r="I2238" s="29"/>
      <c r="J2238" s="192"/>
      <c r="K2238" s="31"/>
      <c r="L2238" s="200"/>
      <c r="M2238" s="212"/>
      <c r="N2238" s="3"/>
      <c r="O2238" s="40"/>
      <c r="P2238" s="40"/>
      <c r="Q2238" s="212"/>
      <c r="R2238" s="31"/>
      <c r="S2238" s="40"/>
      <c r="T2238" s="40"/>
      <c r="U2238" s="40"/>
      <c r="V2238" s="40"/>
      <c r="W2238" s="40"/>
      <c r="X2238" s="40"/>
      <c r="Y2238" s="40"/>
      <c r="Z2238" s="40"/>
      <c r="AA2238" s="40"/>
      <c r="AB2238" s="40"/>
    </row>
    <row r="2239" ht="18.75" customHeight="1">
      <c r="A2239" s="18"/>
      <c r="B2239" s="22"/>
      <c r="C2239" s="213"/>
      <c r="D2239" s="213"/>
      <c r="E2239" s="24"/>
      <c r="F2239" s="215"/>
      <c r="G2239" s="26"/>
      <c r="H2239" s="199"/>
      <c r="I2239" s="29"/>
      <c r="J2239" s="192"/>
      <c r="K2239" s="31"/>
      <c r="L2239" s="200"/>
      <c r="M2239" s="212"/>
      <c r="N2239" s="3"/>
      <c r="O2239" s="40"/>
      <c r="P2239" s="40"/>
      <c r="Q2239" s="212"/>
      <c r="R2239" s="31"/>
      <c r="S2239" s="40"/>
      <c r="T2239" s="40"/>
      <c r="U2239" s="40"/>
      <c r="V2239" s="40"/>
      <c r="W2239" s="40"/>
      <c r="X2239" s="40"/>
      <c r="Y2239" s="40"/>
      <c r="Z2239" s="40"/>
      <c r="AA2239" s="40"/>
      <c r="AB2239" s="40"/>
    </row>
    <row r="2240" ht="18.75" customHeight="1">
      <c r="A2240" s="18"/>
      <c r="B2240" s="22"/>
      <c r="C2240" s="213"/>
      <c r="D2240" s="213"/>
      <c r="E2240" s="24"/>
      <c r="F2240" s="215"/>
      <c r="G2240" s="26"/>
      <c r="H2240" s="199"/>
      <c r="I2240" s="29"/>
      <c r="J2240" s="192"/>
      <c r="K2240" s="31"/>
      <c r="L2240" s="200"/>
      <c r="M2240" s="212"/>
      <c r="N2240" s="3"/>
      <c r="O2240" s="40"/>
      <c r="P2240" s="40"/>
      <c r="Q2240" s="212"/>
      <c r="R2240" s="31"/>
      <c r="S2240" s="40"/>
      <c r="T2240" s="40"/>
      <c r="U2240" s="40"/>
      <c r="V2240" s="40"/>
      <c r="W2240" s="40"/>
      <c r="X2240" s="40"/>
      <c r="Y2240" s="40"/>
      <c r="Z2240" s="40"/>
      <c r="AA2240" s="40"/>
      <c r="AB2240" s="40"/>
    </row>
    <row r="2241" ht="18.75" customHeight="1">
      <c r="A2241" s="18"/>
      <c r="B2241" s="22"/>
      <c r="C2241" s="213"/>
      <c r="D2241" s="213"/>
      <c r="E2241" s="24"/>
      <c r="F2241" s="215"/>
      <c r="G2241" s="26"/>
      <c r="H2241" s="199"/>
      <c r="I2241" s="29"/>
      <c r="J2241" s="192"/>
      <c r="K2241" s="31"/>
      <c r="L2241" s="200"/>
      <c r="M2241" s="212"/>
      <c r="N2241" s="3"/>
      <c r="O2241" s="40"/>
      <c r="P2241" s="40"/>
      <c r="Q2241" s="212"/>
      <c r="R2241" s="31"/>
      <c r="S2241" s="40"/>
      <c r="T2241" s="40"/>
      <c r="U2241" s="40"/>
      <c r="V2241" s="40"/>
      <c r="W2241" s="40"/>
      <c r="X2241" s="40"/>
      <c r="Y2241" s="40"/>
      <c r="Z2241" s="40"/>
      <c r="AA2241" s="40"/>
      <c r="AB2241" s="40"/>
    </row>
    <row r="2242" ht="18.75" customHeight="1">
      <c r="A2242" s="18"/>
      <c r="B2242" s="22"/>
      <c r="C2242" s="213"/>
      <c r="D2242" s="213"/>
      <c r="E2242" s="24"/>
      <c r="F2242" s="215"/>
      <c r="G2242" s="26"/>
      <c r="H2242" s="199"/>
      <c r="I2242" s="29"/>
      <c r="J2242" s="192"/>
      <c r="K2242" s="31"/>
      <c r="L2242" s="200"/>
      <c r="M2242" s="212"/>
      <c r="N2242" s="3"/>
      <c r="O2242" s="40"/>
      <c r="P2242" s="40"/>
      <c r="Q2242" s="212"/>
      <c r="R2242" s="31"/>
      <c r="S2242" s="40"/>
      <c r="T2242" s="40"/>
      <c r="U2242" s="40"/>
      <c r="V2242" s="40"/>
      <c r="W2242" s="40"/>
      <c r="X2242" s="40"/>
      <c r="Y2242" s="40"/>
      <c r="Z2242" s="40"/>
      <c r="AA2242" s="40"/>
      <c r="AB2242" s="40"/>
    </row>
    <row r="2243" ht="18.75" customHeight="1">
      <c r="A2243" s="18"/>
      <c r="B2243" s="22"/>
      <c r="C2243" s="213"/>
      <c r="D2243" s="213"/>
      <c r="E2243" s="24"/>
      <c r="F2243" s="215"/>
      <c r="G2243" s="26"/>
      <c r="H2243" s="199"/>
      <c r="I2243" s="29"/>
      <c r="J2243" s="192"/>
      <c r="K2243" s="31"/>
      <c r="L2243" s="200"/>
      <c r="M2243" s="212"/>
      <c r="N2243" s="3"/>
      <c r="O2243" s="40"/>
      <c r="P2243" s="40"/>
      <c r="Q2243" s="212"/>
      <c r="R2243" s="31"/>
      <c r="S2243" s="40"/>
      <c r="T2243" s="40"/>
      <c r="U2243" s="40"/>
      <c r="V2243" s="40"/>
      <c r="W2243" s="40"/>
      <c r="X2243" s="40"/>
      <c r="Y2243" s="40"/>
      <c r="Z2243" s="40"/>
      <c r="AA2243" s="40"/>
      <c r="AB2243" s="40"/>
    </row>
    <row r="2244" ht="18.75" customHeight="1">
      <c r="A2244" s="18"/>
      <c r="B2244" s="22"/>
      <c r="C2244" s="213"/>
      <c r="D2244" s="213"/>
      <c r="E2244" s="24"/>
      <c r="F2244" s="215"/>
      <c r="G2244" s="26"/>
      <c r="H2244" s="199"/>
      <c r="I2244" s="29"/>
      <c r="J2244" s="192"/>
      <c r="K2244" s="31"/>
      <c r="L2244" s="200"/>
      <c r="M2244" s="212"/>
      <c r="N2244" s="3"/>
      <c r="O2244" s="40"/>
      <c r="P2244" s="40"/>
      <c r="Q2244" s="212"/>
      <c r="R2244" s="31"/>
      <c r="S2244" s="40"/>
      <c r="T2244" s="40"/>
      <c r="U2244" s="40"/>
      <c r="V2244" s="40"/>
      <c r="W2244" s="40"/>
      <c r="X2244" s="40"/>
      <c r="Y2244" s="40"/>
      <c r="Z2244" s="40"/>
      <c r="AA2244" s="40"/>
      <c r="AB2244" s="40"/>
    </row>
    <row r="2245" ht="18.75" customHeight="1">
      <c r="A2245" s="18"/>
      <c r="B2245" s="22"/>
      <c r="C2245" s="213"/>
      <c r="D2245" s="213"/>
      <c r="E2245" s="24"/>
      <c r="F2245" s="215"/>
      <c r="G2245" s="26"/>
      <c r="H2245" s="199"/>
      <c r="I2245" s="29"/>
      <c r="J2245" s="192"/>
      <c r="K2245" s="31"/>
      <c r="L2245" s="200"/>
      <c r="M2245" s="212"/>
      <c r="N2245" s="3"/>
      <c r="O2245" s="40"/>
      <c r="P2245" s="40"/>
      <c r="Q2245" s="212"/>
      <c r="R2245" s="31"/>
      <c r="S2245" s="40"/>
      <c r="T2245" s="40"/>
      <c r="U2245" s="40"/>
      <c r="V2245" s="40"/>
      <c r="W2245" s="40"/>
      <c r="X2245" s="40"/>
      <c r="Y2245" s="40"/>
      <c r="Z2245" s="40"/>
      <c r="AA2245" s="40"/>
      <c r="AB2245" s="40"/>
    </row>
    <row r="2246" ht="18.75" customHeight="1">
      <c r="A2246" s="18"/>
      <c r="B2246" s="22"/>
      <c r="C2246" s="213"/>
      <c r="D2246" s="213"/>
      <c r="E2246" s="24"/>
      <c r="F2246" s="215"/>
      <c r="G2246" s="26"/>
      <c r="H2246" s="199"/>
      <c r="I2246" s="29"/>
      <c r="J2246" s="192"/>
      <c r="K2246" s="31"/>
      <c r="L2246" s="200"/>
      <c r="M2246" s="212"/>
      <c r="N2246" s="3"/>
      <c r="O2246" s="40"/>
      <c r="P2246" s="40"/>
      <c r="Q2246" s="212"/>
      <c r="R2246" s="31"/>
      <c r="S2246" s="40"/>
      <c r="T2246" s="40"/>
      <c r="U2246" s="40"/>
      <c r="V2246" s="40"/>
      <c r="W2246" s="40"/>
      <c r="X2246" s="40"/>
      <c r="Y2246" s="40"/>
      <c r="Z2246" s="40"/>
      <c r="AA2246" s="40"/>
      <c r="AB2246" s="40"/>
    </row>
    <row r="2247" ht="18.75" customHeight="1">
      <c r="A2247" s="18"/>
      <c r="B2247" s="22"/>
      <c r="C2247" s="213"/>
      <c r="D2247" s="213"/>
      <c r="E2247" s="24"/>
      <c r="F2247" s="215"/>
      <c r="G2247" s="26"/>
      <c r="H2247" s="199"/>
      <c r="I2247" s="29"/>
      <c r="J2247" s="192"/>
      <c r="K2247" s="31"/>
      <c r="L2247" s="200"/>
      <c r="M2247" s="212"/>
      <c r="N2247" s="3"/>
      <c r="O2247" s="40"/>
      <c r="P2247" s="40"/>
      <c r="Q2247" s="212"/>
      <c r="R2247" s="31"/>
      <c r="S2247" s="40"/>
      <c r="T2247" s="40"/>
      <c r="U2247" s="40"/>
      <c r="V2247" s="40"/>
      <c r="W2247" s="40"/>
      <c r="X2247" s="40"/>
      <c r="Y2247" s="40"/>
      <c r="Z2247" s="40"/>
      <c r="AA2247" s="40"/>
      <c r="AB2247" s="40"/>
    </row>
    <row r="2248" ht="18.75" customHeight="1">
      <c r="A2248" s="18"/>
      <c r="B2248" s="22"/>
      <c r="C2248" s="213"/>
      <c r="D2248" s="213"/>
      <c r="E2248" s="24"/>
      <c r="F2248" s="215"/>
      <c r="G2248" s="26"/>
      <c r="H2248" s="199"/>
      <c r="I2248" s="29"/>
      <c r="J2248" s="192"/>
      <c r="K2248" s="31"/>
      <c r="L2248" s="200"/>
      <c r="M2248" s="212"/>
      <c r="N2248" s="3"/>
      <c r="O2248" s="40"/>
      <c r="P2248" s="40"/>
      <c r="Q2248" s="212"/>
      <c r="R2248" s="31"/>
      <c r="S2248" s="40"/>
      <c r="T2248" s="40"/>
      <c r="U2248" s="40"/>
      <c r="V2248" s="40"/>
      <c r="W2248" s="40"/>
      <c r="X2248" s="40"/>
      <c r="Y2248" s="40"/>
      <c r="Z2248" s="40"/>
      <c r="AA2248" s="40"/>
      <c r="AB2248" s="40"/>
    </row>
    <row r="2249" ht="18.75" customHeight="1">
      <c r="A2249" s="18"/>
      <c r="B2249" s="22"/>
      <c r="C2249" s="213"/>
      <c r="D2249" s="213"/>
      <c r="E2249" s="24"/>
      <c r="F2249" s="215"/>
      <c r="G2249" s="26"/>
      <c r="H2249" s="199"/>
      <c r="I2249" s="29"/>
      <c r="J2249" s="192"/>
      <c r="K2249" s="31"/>
      <c r="L2249" s="200"/>
      <c r="M2249" s="212"/>
      <c r="N2249" s="3"/>
      <c r="O2249" s="40"/>
      <c r="P2249" s="40"/>
      <c r="Q2249" s="212"/>
      <c r="R2249" s="31"/>
      <c r="S2249" s="40"/>
      <c r="T2249" s="40"/>
      <c r="U2249" s="40"/>
      <c r="V2249" s="40"/>
      <c r="W2249" s="40"/>
      <c r="X2249" s="40"/>
      <c r="Y2249" s="40"/>
      <c r="Z2249" s="40"/>
      <c r="AA2249" s="40"/>
      <c r="AB2249" s="40"/>
    </row>
    <row r="2250" ht="18.75" customHeight="1">
      <c r="A2250" s="18"/>
      <c r="B2250" s="22"/>
      <c r="C2250" s="213"/>
      <c r="D2250" s="213"/>
      <c r="E2250" s="24"/>
      <c r="F2250" s="215"/>
      <c r="G2250" s="26"/>
      <c r="H2250" s="199"/>
      <c r="I2250" s="29"/>
      <c r="J2250" s="192"/>
      <c r="K2250" s="31"/>
      <c r="L2250" s="200"/>
      <c r="M2250" s="212"/>
      <c r="N2250" s="3"/>
      <c r="O2250" s="40"/>
      <c r="P2250" s="40"/>
      <c r="Q2250" s="212"/>
      <c r="R2250" s="31"/>
      <c r="S2250" s="40"/>
      <c r="T2250" s="40"/>
      <c r="U2250" s="40"/>
      <c r="V2250" s="40"/>
      <c r="W2250" s="40"/>
      <c r="X2250" s="40"/>
      <c r="Y2250" s="40"/>
      <c r="Z2250" s="40"/>
      <c r="AA2250" s="40"/>
      <c r="AB2250" s="40"/>
    </row>
    <row r="2251" ht="18.75" customHeight="1">
      <c r="A2251" s="18"/>
      <c r="B2251" s="22"/>
      <c r="C2251" s="213"/>
      <c r="D2251" s="213"/>
      <c r="E2251" s="24"/>
      <c r="F2251" s="215"/>
      <c r="G2251" s="26"/>
      <c r="H2251" s="199"/>
      <c r="I2251" s="29"/>
      <c r="J2251" s="192"/>
      <c r="K2251" s="31"/>
      <c r="L2251" s="200"/>
      <c r="M2251" s="212"/>
      <c r="N2251" s="3"/>
      <c r="O2251" s="40"/>
      <c r="P2251" s="40"/>
      <c r="Q2251" s="212"/>
      <c r="R2251" s="31"/>
      <c r="S2251" s="40"/>
      <c r="T2251" s="40"/>
      <c r="U2251" s="40"/>
      <c r="V2251" s="40"/>
      <c r="W2251" s="40"/>
      <c r="X2251" s="40"/>
      <c r="Y2251" s="40"/>
      <c r="Z2251" s="40"/>
      <c r="AA2251" s="40"/>
      <c r="AB2251" s="40"/>
    </row>
    <row r="2252" ht="18.75" customHeight="1">
      <c r="A2252" s="18"/>
      <c r="B2252" s="22"/>
      <c r="C2252" s="213"/>
      <c r="D2252" s="213"/>
      <c r="E2252" s="24"/>
      <c r="F2252" s="215"/>
      <c r="G2252" s="26"/>
      <c r="H2252" s="199"/>
      <c r="I2252" s="29"/>
      <c r="J2252" s="192"/>
      <c r="K2252" s="31"/>
      <c r="L2252" s="200"/>
      <c r="M2252" s="212"/>
      <c r="N2252" s="3"/>
      <c r="O2252" s="40"/>
      <c r="P2252" s="40"/>
      <c r="Q2252" s="212"/>
      <c r="R2252" s="31"/>
      <c r="S2252" s="40"/>
      <c r="T2252" s="40"/>
      <c r="U2252" s="40"/>
      <c r="V2252" s="40"/>
      <c r="W2252" s="40"/>
      <c r="X2252" s="40"/>
      <c r="Y2252" s="40"/>
      <c r="Z2252" s="40"/>
      <c r="AA2252" s="40"/>
      <c r="AB2252" s="40"/>
    </row>
    <row r="2253" ht="18.75" customHeight="1">
      <c r="A2253" s="18"/>
      <c r="B2253" s="22"/>
      <c r="C2253" s="213"/>
      <c r="D2253" s="213"/>
      <c r="E2253" s="24"/>
      <c r="F2253" s="215"/>
      <c r="G2253" s="26"/>
      <c r="H2253" s="199"/>
      <c r="I2253" s="29"/>
      <c r="J2253" s="192"/>
      <c r="K2253" s="31"/>
      <c r="L2253" s="200"/>
      <c r="M2253" s="212"/>
      <c r="N2253" s="3"/>
      <c r="O2253" s="40"/>
      <c r="P2253" s="40"/>
      <c r="Q2253" s="212"/>
      <c r="R2253" s="31"/>
      <c r="S2253" s="40"/>
      <c r="T2253" s="40"/>
      <c r="U2253" s="40"/>
      <c r="V2253" s="40"/>
      <c r="W2253" s="40"/>
      <c r="X2253" s="40"/>
      <c r="Y2253" s="40"/>
      <c r="Z2253" s="40"/>
      <c r="AA2253" s="40"/>
      <c r="AB2253" s="40"/>
    </row>
    <row r="2254" ht="18.75" customHeight="1">
      <c r="A2254" s="18"/>
      <c r="B2254" s="22"/>
      <c r="C2254" s="213"/>
      <c r="D2254" s="213"/>
      <c r="E2254" s="24"/>
      <c r="F2254" s="215"/>
      <c r="G2254" s="26"/>
      <c r="H2254" s="199"/>
      <c r="I2254" s="29"/>
      <c r="J2254" s="192"/>
      <c r="K2254" s="31"/>
      <c r="L2254" s="200"/>
      <c r="M2254" s="212"/>
      <c r="N2254" s="3"/>
      <c r="O2254" s="40"/>
      <c r="P2254" s="40"/>
      <c r="Q2254" s="212"/>
      <c r="R2254" s="31"/>
      <c r="S2254" s="40"/>
      <c r="T2254" s="40"/>
      <c r="U2254" s="40"/>
      <c r="V2254" s="40"/>
      <c r="W2254" s="40"/>
      <c r="X2254" s="40"/>
      <c r="Y2254" s="40"/>
      <c r="Z2254" s="40"/>
      <c r="AA2254" s="40"/>
      <c r="AB2254" s="40"/>
    </row>
    <row r="2255" ht="18.75" customHeight="1">
      <c r="A2255" s="18"/>
      <c r="B2255" s="22"/>
      <c r="C2255" s="213"/>
      <c r="D2255" s="213"/>
      <c r="E2255" s="24"/>
      <c r="F2255" s="215"/>
      <c r="G2255" s="26"/>
      <c r="H2255" s="199"/>
      <c r="I2255" s="29"/>
      <c r="J2255" s="192"/>
      <c r="K2255" s="31"/>
      <c r="L2255" s="200"/>
      <c r="M2255" s="212"/>
      <c r="N2255" s="3"/>
      <c r="O2255" s="40"/>
      <c r="P2255" s="40"/>
      <c r="Q2255" s="212"/>
      <c r="R2255" s="31"/>
      <c r="S2255" s="40"/>
      <c r="T2255" s="40"/>
      <c r="U2255" s="40"/>
      <c r="V2255" s="40"/>
      <c r="W2255" s="40"/>
      <c r="X2255" s="40"/>
      <c r="Y2255" s="40"/>
      <c r="Z2255" s="40"/>
      <c r="AA2255" s="40"/>
      <c r="AB2255" s="40"/>
    </row>
    <row r="2256" ht="18.75" customHeight="1">
      <c r="A2256" s="18"/>
      <c r="B2256" s="22"/>
      <c r="C2256" s="213"/>
      <c r="D2256" s="213"/>
      <c r="E2256" s="24"/>
      <c r="F2256" s="215"/>
      <c r="G2256" s="26"/>
      <c r="H2256" s="199"/>
      <c r="I2256" s="29"/>
      <c r="J2256" s="192"/>
      <c r="K2256" s="31"/>
      <c r="L2256" s="200"/>
      <c r="M2256" s="212"/>
      <c r="N2256" s="3"/>
      <c r="O2256" s="40"/>
      <c r="P2256" s="40"/>
      <c r="Q2256" s="212"/>
      <c r="R2256" s="31"/>
      <c r="S2256" s="40"/>
      <c r="T2256" s="40"/>
      <c r="U2256" s="40"/>
      <c r="V2256" s="40"/>
      <c r="W2256" s="40"/>
      <c r="X2256" s="40"/>
      <c r="Y2256" s="40"/>
      <c r="Z2256" s="40"/>
      <c r="AA2256" s="40"/>
      <c r="AB2256" s="40"/>
    </row>
    <row r="2257" ht="18.75" customHeight="1">
      <c r="A2257" s="18"/>
      <c r="B2257" s="22"/>
      <c r="C2257" s="213"/>
      <c r="D2257" s="213"/>
      <c r="E2257" s="24"/>
      <c r="F2257" s="215"/>
      <c r="G2257" s="26"/>
      <c r="H2257" s="199"/>
      <c r="I2257" s="29"/>
      <c r="J2257" s="192"/>
      <c r="K2257" s="31"/>
      <c r="L2257" s="200"/>
      <c r="M2257" s="212"/>
      <c r="N2257" s="3"/>
      <c r="O2257" s="40"/>
      <c r="P2257" s="40"/>
      <c r="Q2257" s="212"/>
      <c r="R2257" s="31"/>
      <c r="S2257" s="40"/>
      <c r="T2257" s="40"/>
      <c r="U2257" s="40"/>
      <c r="V2257" s="40"/>
      <c r="W2257" s="40"/>
      <c r="X2257" s="40"/>
      <c r="Y2257" s="40"/>
      <c r="Z2257" s="40"/>
      <c r="AA2257" s="40"/>
      <c r="AB2257" s="40"/>
    </row>
    <row r="2258" ht="18.75" customHeight="1">
      <c r="A2258" s="18"/>
      <c r="B2258" s="22"/>
      <c r="C2258" s="213"/>
      <c r="D2258" s="213"/>
      <c r="E2258" s="24"/>
      <c r="F2258" s="215"/>
      <c r="G2258" s="26"/>
      <c r="H2258" s="199"/>
      <c r="I2258" s="29"/>
      <c r="J2258" s="192"/>
      <c r="K2258" s="31"/>
      <c r="L2258" s="200"/>
      <c r="M2258" s="212"/>
      <c r="N2258" s="3"/>
      <c r="O2258" s="40"/>
      <c r="P2258" s="40"/>
      <c r="Q2258" s="212"/>
      <c r="R2258" s="31"/>
      <c r="S2258" s="40"/>
      <c r="T2258" s="40"/>
      <c r="U2258" s="40"/>
      <c r="V2258" s="40"/>
      <c r="W2258" s="40"/>
      <c r="X2258" s="40"/>
      <c r="Y2258" s="40"/>
      <c r="Z2258" s="40"/>
      <c r="AA2258" s="40"/>
      <c r="AB2258" s="40"/>
    </row>
    <row r="2259" ht="18.75" customHeight="1">
      <c r="A2259" s="18"/>
      <c r="B2259" s="22"/>
      <c r="C2259" s="213"/>
      <c r="D2259" s="213"/>
      <c r="E2259" s="24"/>
      <c r="F2259" s="215"/>
      <c r="G2259" s="26"/>
      <c r="H2259" s="199"/>
      <c r="I2259" s="29"/>
      <c r="J2259" s="192"/>
      <c r="K2259" s="31"/>
      <c r="L2259" s="200"/>
      <c r="M2259" s="212"/>
      <c r="N2259" s="3"/>
      <c r="O2259" s="40"/>
      <c r="P2259" s="40"/>
      <c r="Q2259" s="212"/>
      <c r="R2259" s="31"/>
      <c r="S2259" s="40"/>
      <c r="T2259" s="40"/>
      <c r="U2259" s="40"/>
      <c r="V2259" s="40"/>
      <c r="W2259" s="40"/>
      <c r="X2259" s="40"/>
      <c r="Y2259" s="40"/>
      <c r="Z2259" s="40"/>
      <c r="AA2259" s="40"/>
      <c r="AB2259" s="40"/>
    </row>
    <row r="2260" ht="18.75" customHeight="1">
      <c r="A2260" s="18"/>
      <c r="B2260" s="22"/>
      <c r="C2260" s="213"/>
      <c r="D2260" s="213"/>
      <c r="E2260" s="24"/>
      <c r="F2260" s="215"/>
      <c r="G2260" s="26"/>
      <c r="H2260" s="199"/>
      <c r="I2260" s="29"/>
      <c r="J2260" s="192"/>
      <c r="K2260" s="31"/>
      <c r="L2260" s="200"/>
      <c r="M2260" s="212"/>
      <c r="N2260" s="3"/>
      <c r="O2260" s="40"/>
      <c r="P2260" s="40"/>
      <c r="Q2260" s="212"/>
      <c r="R2260" s="31"/>
      <c r="S2260" s="40"/>
      <c r="T2260" s="40"/>
      <c r="U2260" s="40"/>
      <c r="V2260" s="40"/>
      <c r="W2260" s="40"/>
      <c r="X2260" s="40"/>
      <c r="Y2260" s="40"/>
      <c r="Z2260" s="40"/>
      <c r="AA2260" s="40"/>
      <c r="AB2260" s="40"/>
    </row>
    <row r="2261" ht="18.75" customHeight="1">
      <c r="A2261" s="18"/>
      <c r="B2261" s="22"/>
      <c r="C2261" s="213"/>
      <c r="D2261" s="213"/>
      <c r="E2261" s="24"/>
      <c r="F2261" s="215"/>
      <c r="G2261" s="26"/>
      <c r="H2261" s="199"/>
      <c r="I2261" s="29"/>
      <c r="J2261" s="192"/>
      <c r="K2261" s="31"/>
      <c r="L2261" s="200"/>
      <c r="M2261" s="212"/>
      <c r="N2261" s="3"/>
      <c r="O2261" s="40"/>
      <c r="P2261" s="40"/>
      <c r="Q2261" s="212"/>
      <c r="R2261" s="31"/>
      <c r="S2261" s="40"/>
      <c r="T2261" s="40"/>
      <c r="U2261" s="40"/>
      <c r="V2261" s="40"/>
      <c r="W2261" s="40"/>
      <c r="X2261" s="40"/>
      <c r="Y2261" s="40"/>
      <c r="Z2261" s="40"/>
      <c r="AA2261" s="40"/>
      <c r="AB2261" s="40"/>
    </row>
    <row r="2262" ht="18.75" customHeight="1">
      <c r="A2262" s="18"/>
      <c r="B2262" s="22"/>
      <c r="C2262" s="213"/>
      <c r="D2262" s="213"/>
      <c r="E2262" s="24"/>
      <c r="F2262" s="215"/>
      <c r="G2262" s="26"/>
      <c r="H2262" s="199"/>
      <c r="I2262" s="29"/>
      <c r="J2262" s="192"/>
      <c r="K2262" s="31"/>
      <c r="L2262" s="200"/>
      <c r="M2262" s="212"/>
      <c r="N2262" s="3"/>
      <c r="O2262" s="40"/>
      <c r="P2262" s="40"/>
      <c r="Q2262" s="212"/>
      <c r="R2262" s="31"/>
      <c r="S2262" s="40"/>
      <c r="T2262" s="40"/>
      <c r="U2262" s="40"/>
      <c r="V2262" s="40"/>
      <c r="W2262" s="40"/>
      <c r="X2262" s="40"/>
      <c r="Y2262" s="40"/>
      <c r="Z2262" s="40"/>
      <c r="AA2262" s="40"/>
      <c r="AB2262" s="40"/>
    </row>
    <row r="2263" ht="18.75" customHeight="1">
      <c r="A2263" s="18"/>
      <c r="B2263" s="22"/>
      <c r="C2263" s="213"/>
      <c r="D2263" s="213"/>
      <c r="E2263" s="24"/>
      <c r="F2263" s="215"/>
      <c r="G2263" s="26"/>
      <c r="H2263" s="199"/>
      <c r="I2263" s="29"/>
      <c r="J2263" s="192"/>
      <c r="K2263" s="31"/>
      <c r="L2263" s="200"/>
      <c r="M2263" s="212"/>
      <c r="N2263" s="3"/>
      <c r="O2263" s="40"/>
      <c r="P2263" s="40"/>
      <c r="Q2263" s="212"/>
      <c r="R2263" s="31"/>
      <c r="S2263" s="40"/>
      <c r="T2263" s="40"/>
      <c r="U2263" s="40"/>
      <c r="V2263" s="40"/>
      <c r="W2263" s="40"/>
      <c r="X2263" s="40"/>
      <c r="Y2263" s="40"/>
      <c r="Z2263" s="40"/>
      <c r="AA2263" s="40"/>
      <c r="AB2263" s="40"/>
    </row>
    <row r="2264" ht="18.75" customHeight="1">
      <c r="A2264" s="18"/>
      <c r="B2264" s="22"/>
      <c r="C2264" s="213"/>
      <c r="D2264" s="213"/>
      <c r="E2264" s="24"/>
      <c r="F2264" s="215"/>
      <c r="G2264" s="26"/>
      <c r="H2264" s="199"/>
      <c r="I2264" s="29"/>
      <c r="J2264" s="192"/>
      <c r="K2264" s="31"/>
      <c r="L2264" s="200"/>
      <c r="M2264" s="212"/>
      <c r="N2264" s="3"/>
      <c r="O2264" s="40"/>
      <c r="P2264" s="40"/>
      <c r="Q2264" s="212"/>
      <c r="R2264" s="31"/>
      <c r="S2264" s="40"/>
      <c r="T2264" s="40"/>
      <c r="U2264" s="40"/>
      <c r="V2264" s="40"/>
      <c r="W2264" s="40"/>
      <c r="X2264" s="40"/>
      <c r="Y2264" s="40"/>
      <c r="Z2264" s="40"/>
      <c r="AA2264" s="40"/>
      <c r="AB2264" s="40"/>
    </row>
    <row r="2265" ht="18.75" customHeight="1">
      <c r="A2265" s="18"/>
      <c r="B2265" s="22"/>
      <c r="C2265" s="213"/>
      <c r="D2265" s="213"/>
      <c r="E2265" s="24"/>
      <c r="F2265" s="215"/>
      <c r="G2265" s="26"/>
      <c r="H2265" s="199"/>
      <c r="I2265" s="29"/>
      <c r="J2265" s="192"/>
      <c r="K2265" s="31"/>
      <c r="L2265" s="200"/>
      <c r="M2265" s="212"/>
      <c r="N2265" s="3"/>
      <c r="O2265" s="40"/>
      <c r="P2265" s="40"/>
      <c r="Q2265" s="212"/>
      <c r="R2265" s="31"/>
      <c r="S2265" s="40"/>
      <c r="T2265" s="40"/>
      <c r="U2265" s="40"/>
      <c r="V2265" s="40"/>
      <c r="W2265" s="40"/>
      <c r="X2265" s="40"/>
      <c r="Y2265" s="40"/>
      <c r="Z2265" s="40"/>
      <c r="AA2265" s="40"/>
      <c r="AB2265" s="40"/>
    </row>
    <row r="2266" ht="18.75" customHeight="1">
      <c r="A2266" s="18"/>
      <c r="B2266" s="22"/>
      <c r="C2266" s="213"/>
      <c r="D2266" s="213"/>
      <c r="E2266" s="24"/>
      <c r="F2266" s="215"/>
      <c r="G2266" s="26"/>
      <c r="H2266" s="199"/>
      <c r="I2266" s="29"/>
      <c r="J2266" s="192"/>
      <c r="K2266" s="31"/>
      <c r="L2266" s="200"/>
      <c r="M2266" s="212"/>
      <c r="N2266" s="3"/>
      <c r="O2266" s="40"/>
      <c r="P2266" s="40"/>
      <c r="Q2266" s="212"/>
      <c r="R2266" s="31"/>
      <c r="S2266" s="40"/>
      <c r="T2266" s="40"/>
      <c r="U2266" s="40"/>
      <c r="V2266" s="40"/>
      <c r="W2266" s="40"/>
      <c r="X2266" s="40"/>
      <c r="Y2266" s="40"/>
      <c r="Z2266" s="40"/>
      <c r="AA2266" s="40"/>
      <c r="AB2266" s="40"/>
    </row>
    <row r="2267" ht="18.75" customHeight="1">
      <c r="A2267" s="18"/>
      <c r="B2267" s="22"/>
      <c r="C2267" s="213"/>
      <c r="D2267" s="213"/>
      <c r="E2267" s="24"/>
      <c r="F2267" s="215"/>
      <c r="G2267" s="26"/>
      <c r="H2267" s="199"/>
      <c r="I2267" s="29"/>
      <c r="J2267" s="192"/>
      <c r="K2267" s="31"/>
      <c r="L2267" s="200"/>
      <c r="M2267" s="212"/>
      <c r="N2267" s="3"/>
      <c r="O2267" s="40"/>
      <c r="P2267" s="40"/>
      <c r="Q2267" s="212"/>
      <c r="R2267" s="31"/>
      <c r="S2267" s="40"/>
      <c r="T2267" s="40"/>
      <c r="U2267" s="40"/>
      <c r="V2267" s="40"/>
      <c r="W2267" s="40"/>
      <c r="X2267" s="40"/>
      <c r="Y2267" s="40"/>
      <c r="Z2267" s="40"/>
      <c r="AA2267" s="40"/>
      <c r="AB2267" s="40"/>
    </row>
    <row r="2268" ht="18.75" customHeight="1">
      <c r="A2268" s="18"/>
      <c r="B2268" s="22"/>
      <c r="C2268" s="213"/>
      <c r="D2268" s="213"/>
      <c r="E2268" s="24"/>
      <c r="F2268" s="215"/>
      <c r="G2268" s="26"/>
      <c r="H2268" s="199"/>
      <c r="I2268" s="29"/>
      <c r="J2268" s="192"/>
      <c r="K2268" s="31"/>
      <c r="L2268" s="200"/>
      <c r="M2268" s="212"/>
      <c r="N2268" s="3"/>
      <c r="O2268" s="40"/>
      <c r="P2268" s="40"/>
      <c r="Q2268" s="212"/>
      <c r="R2268" s="31"/>
      <c r="S2268" s="40"/>
      <c r="T2268" s="40"/>
      <c r="U2268" s="40"/>
      <c r="V2268" s="40"/>
      <c r="W2268" s="40"/>
      <c r="X2268" s="40"/>
      <c r="Y2268" s="40"/>
      <c r="Z2268" s="40"/>
      <c r="AA2268" s="40"/>
      <c r="AB2268" s="40"/>
    </row>
    <row r="2269" ht="18.75" customHeight="1">
      <c r="A2269" s="18"/>
      <c r="B2269" s="22"/>
      <c r="C2269" s="213"/>
      <c r="D2269" s="213"/>
      <c r="E2269" s="24"/>
      <c r="F2269" s="215"/>
      <c r="G2269" s="26"/>
      <c r="H2269" s="199"/>
      <c r="I2269" s="29"/>
      <c r="J2269" s="192"/>
      <c r="K2269" s="31"/>
      <c r="L2269" s="200"/>
      <c r="M2269" s="212"/>
      <c r="N2269" s="3"/>
      <c r="O2269" s="40"/>
      <c r="P2269" s="40"/>
      <c r="Q2269" s="212"/>
      <c r="R2269" s="31"/>
      <c r="S2269" s="40"/>
      <c r="T2269" s="40"/>
      <c r="U2269" s="40"/>
      <c r="V2269" s="40"/>
      <c r="W2269" s="40"/>
      <c r="X2269" s="40"/>
      <c r="Y2269" s="40"/>
      <c r="Z2269" s="40"/>
      <c r="AA2269" s="40"/>
      <c r="AB2269" s="40"/>
    </row>
    <row r="2270" ht="18.75" customHeight="1">
      <c r="A2270" s="18"/>
      <c r="B2270" s="22"/>
      <c r="C2270" s="213"/>
      <c r="D2270" s="213"/>
      <c r="E2270" s="24"/>
      <c r="F2270" s="215"/>
      <c r="G2270" s="26"/>
      <c r="H2270" s="199"/>
      <c r="I2270" s="29"/>
      <c r="J2270" s="192"/>
      <c r="K2270" s="31"/>
      <c r="L2270" s="200"/>
      <c r="M2270" s="212"/>
      <c r="N2270" s="3"/>
      <c r="O2270" s="40"/>
      <c r="P2270" s="40"/>
      <c r="Q2270" s="212"/>
      <c r="R2270" s="31"/>
      <c r="S2270" s="40"/>
      <c r="T2270" s="40"/>
      <c r="U2270" s="40"/>
      <c r="V2270" s="40"/>
      <c r="W2270" s="40"/>
      <c r="X2270" s="40"/>
      <c r="Y2270" s="40"/>
      <c r="Z2270" s="40"/>
      <c r="AA2270" s="40"/>
      <c r="AB2270" s="40"/>
    </row>
    <row r="2271" ht="18.75" customHeight="1">
      <c r="A2271" s="18"/>
      <c r="B2271" s="22"/>
      <c r="C2271" s="213"/>
      <c r="D2271" s="213"/>
      <c r="E2271" s="24"/>
      <c r="F2271" s="215"/>
      <c r="G2271" s="26"/>
      <c r="H2271" s="199"/>
      <c r="I2271" s="29"/>
      <c r="J2271" s="192"/>
      <c r="K2271" s="31"/>
      <c r="L2271" s="200"/>
      <c r="M2271" s="212"/>
      <c r="N2271" s="3"/>
      <c r="O2271" s="40"/>
      <c r="P2271" s="40"/>
      <c r="Q2271" s="212"/>
      <c r="R2271" s="31"/>
      <c r="S2271" s="40"/>
      <c r="T2271" s="40"/>
      <c r="U2271" s="40"/>
      <c r="V2271" s="40"/>
      <c r="W2271" s="40"/>
      <c r="X2271" s="40"/>
      <c r="Y2271" s="40"/>
      <c r="Z2271" s="40"/>
      <c r="AA2271" s="40"/>
      <c r="AB2271" s="40"/>
    </row>
    <row r="2272" ht="18.75" customHeight="1">
      <c r="A2272" s="18"/>
      <c r="B2272" s="22"/>
      <c r="C2272" s="213"/>
      <c r="D2272" s="213"/>
      <c r="E2272" s="24"/>
      <c r="F2272" s="215"/>
      <c r="G2272" s="26"/>
      <c r="H2272" s="199"/>
      <c r="I2272" s="29"/>
      <c r="J2272" s="192"/>
      <c r="K2272" s="31"/>
      <c r="L2272" s="200"/>
      <c r="M2272" s="212"/>
      <c r="N2272" s="3"/>
      <c r="O2272" s="40"/>
      <c r="P2272" s="40"/>
      <c r="Q2272" s="212"/>
      <c r="R2272" s="31"/>
      <c r="S2272" s="40"/>
      <c r="T2272" s="40"/>
      <c r="U2272" s="40"/>
      <c r="V2272" s="40"/>
      <c r="W2272" s="40"/>
      <c r="X2272" s="40"/>
      <c r="Y2272" s="40"/>
      <c r="Z2272" s="40"/>
      <c r="AA2272" s="40"/>
      <c r="AB2272" s="40"/>
    </row>
    <row r="2273" ht="18.75" customHeight="1">
      <c r="A2273" s="18"/>
      <c r="B2273" s="22"/>
      <c r="C2273" s="213"/>
      <c r="D2273" s="213"/>
      <c r="E2273" s="24"/>
      <c r="F2273" s="215"/>
      <c r="G2273" s="26"/>
      <c r="H2273" s="199"/>
      <c r="I2273" s="29"/>
      <c r="J2273" s="192"/>
      <c r="K2273" s="31"/>
      <c r="L2273" s="200"/>
      <c r="M2273" s="212"/>
      <c r="N2273" s="3"/>
      <c r="O2273" s="40"/>
      <c r="P2273" s="40"/>
      <c r="Q2273" s="212"/>
      <c r="R2273" s="31"/>
      <c r="S2273" s="40"/>
      <c r="T2273" s="40"/>
      <c r="U2273" s="40"/>
      <c r="V2273" s="40"/>
      <c r="W2273" s="40"/>
      <c r="X2273" s="40"/>
      <c r="Y2273" s="40"/>
      <c r="Z2273" s="40"/>
      <c r="AA2273" s="40"/>
      <c r="AB2273" s="40"/>
    </row>
    <row r="2274" ht="18.75" customHeight="1">
      <c r="A2274" s="18"/>
      <c r="B2274" s="22"/>
      <c r="C2274" s="213"/>
      <c r="D2274" s="213"/>
      <c r="E2274" s="24"/>
      <c r="F2274" s="215"/>
      <c r="G2274" s="26"/>
      <c r="H2274" s="199"/>
      <c r="I2274" s="29"/>
      <c r="J2274" s="192"/>
      <c r="K2274" s="31"/>
      <c r="L2274" s="200"/>
      <c r="M2274" s="212"/>
      <c r="N2274" s="3"/>
      <c r="O2274" s="40"/>
      <c r="P2274" s="40"/>
      <c r="Q2274" s="212"/>
      <c r="R2274" s="31"/>
      <c r="S2274" s="40"/>
      <c r="T2274" s="40"/>
      <c r="U2274" s="40"/>
      <c r="V2274" s="40"/>
      <c r="W2274" s="40"/>
      <c r="X2274" s="40"/>
      <c r="Y2274" s="40"/>
      <c r="Z2274" s="40"/>
      <c r="AA2274" s="40"/>
      <c r="AB2274" s="40"/>
    </row>
    <row r="2275" ht="18.75" customHeight="1">
      <c r="A2275" s="18"/>
      <c r="B2275" s="22"/>
      <c r="C2275" s="213"/>
      <c r="D2275" s="213"/>
      <c r="E2275" s="24"/>
      <c r="F2275" s="215"/>
      <c r="G2275" s="26"/>
      <c r="H2275" s="199"/>
      <c r="I2275" s="29"/>
      <c r="J2275" s="192"/>
      <c r="K2275" s="31"/>
      <c r="L2275" s="200"/>
      <c r="M2275" s="212"/>
      <c r="N2275" s="3"/>
      <c r="O2275" s="40"/>
      <c r="P2275" s="40"/>
      <c r="Q2275" s="212"/>
      <c r="R2275" s="31"/>
      <c r="S2275" s="40"/>
      <c r="T2275" s="40"/>
      <c r="U2275" s="40"/>
      <c r="V2275" s="40"/>
      <c r="W2275" s="40"/>
      <c r="X2275" s="40"/>
      <c r="Y2275" s="40"/>
      <c r="Z2275" s="40"/>
      <c r="AA2275" s="40"/>
      <c r="AB2275" s="40"/>
    </row>
    <row r="2276" ht="18.75" customHeight="1">
      <c r="A2276" s="18"/>
      <c r="B2276" s="22"/>
      <c r="C2276" s="213"/>
      <c r="D2276" s="213"/>
      <c r="E2276" s="24"/>
      <c r="F2276" s="215"/>
      <c r="G2276" s="26"/>
      <c r="H2276" s="199"/>
      <c r="I2276" s="29"/>
      <c r="J2276" s="192"/>
      <c r="K2276" s="31"/>
      <c r="L2276" s="200"/>
      <c r="M2276" s="212"/>
      <c r="N2276" s="3"/>
      <c r="O2276" s="40"/>
      <c r="P2276" s="40"/>
      <c r="Q2276" s="212"/>
      <c r="R2276" s="31"/>
      <c r="S2276" s="40"/>
      <c r="T2276" s="40"/>
      <c r="U2276" s="40"/>
      <c r="V2276" s="40"/>
      <c r="W2276" s="40"/>
      <c r="X2276" s="40"/>
      <c r="Y2276" s="40"/>
      <c r="Z2276" s="40"/>
      <c r="AA2276" s="40"/>
      <c r="AB2276" s="40"/>
    </row>
    <row r="2277" ht="18.75" customHeight="1">
      <c r="A2277" s="18"/>
      <c r="B2277" s="22"/>
      <c r="C2277" s="213"/>
      <c r="D2277" s="213"/>
      <c r="E2277" s="24"/>
      <c r="F2277" s="215"/>
      <c r="G2277" s="26"/>
      <c r="H2277" s="199"/>
      <c r="I2277" s="29"/>
      <c r="J2277" s="192"/>
      <c r="K2277" s="31"/>
      <c r="L2277" s="200"/>
      <c r="M2277" s="212"/>
      <c r="N2277" s="3"/>
      <c r="O2277" s="40"/>
      <c r="P2277" s="40"/>
      <c r="Q2277" s="212"/>
      <c r="R2277" s="31"/>
      <c r="S2277" s="40"/>
      <c r="T2277" s="40"/>
      <c r="U2277" s="40"/>
      <c r="V2277" s="40"/>
      <c r="W2277" s="40"/>
      <c r="X2277" s="40"/>
      <c r="Y2277" s="40"/>
      <c r="Z2277" s="40"/>
      <c r="AA2277" s="40"/>
      <c r="AB2277" s="40"/>
    </row>
    <row r="2278" ht="18.75" customHeight="1">
      <c r="A2278" s="18"/>
      <c r="B2278" s="22"/>
      <c r="C2278" s="213"/>
      <c r="D2278" s="213"/>
      <c r="E2278" s="24"/>
      <c r="F2278" s="215"/>
      <c r="G2278" s="26"/>
      <c r="H2278" s="199"/>
      <c r="I2278" s="29"/>
      <c r="J2278" s="192"/>
      <c r="K2278" s="31"/>
      <c r="L2278" s="200"/>
      <c r="M2278" s="212"/>
      <c r="N2278" s="3"/>
      <c r="O2278" s="40"/>
      <c r="P2278" s="40"/>
      <c r="Q2278" s="212"/>
      <c r="R2278" s="31"/>
      <c r="S2278" s="40"/>
      <c r="T2278" s="40"/>
      <c r="U2278" s="40"/>
      <c r="V2278" s="40"/>
      <c r="W2278" s="40"/>
      <c r="X2278" s="40"/>
      <c r="Y2278" s="40"/>
      <c r="Z2278" s="40"/>
      <c r="AA2278" s="40"/>
      <c r="AB2278" s="40"/>
    </row>
    <row r="2279" ht="18.75" customHeight="1">
      <c r="A2279" s="18"/>
      <c r="B2279" s="22"/>
      <c r="C2279" s="213"/>
      <c r="D2279" s="213"/>
      <c r="E2279" s="24"/>
      <c r="F2279" s="215"/>
      <c r="G2279" s="26"/>
      <c r="H2279" s="199"/>
      <c r="I2279" s="29"/>
      <c r="J2279" s="192"/>
      <c r="K2279" s="31"/>
      <c r="L2279" s="200"/>
      <c r="M2279" s="212"/>
      <c r="N2279" s="3"/>
      <c r="O2279" s="40"/>
      <c r="P2279" s="40"/>
      <c r="Q2279" s="212"/>
      <c r="R2279" s="31"/>
      <c r="S2279" s="40"/>
      <c r="T2279" s="40"/>
      <c r="U2279" s="40"/>
      <c r="V2279" s="40"/>
      <c r="W2279" s="40"/>
      <c r="X2279" s="40"/>
      <c r="Y2279" s="40"/>
      <c r="Z2279" s="40"/>
      <c r="AA2279" s="40"/>
      <c r="AB2279" s="40"/>
    </row>
    <row r="2280" ht="18.75" customHeight="1">
      <c r="A2280" s="18"/>
      <c r="B2280" s="22"/>
      <c r="C2280" s="213"/>
      <c r="D2280" s="213"/>
      <c r="E2280" s="24"/>
      <c r="F2280" s="215"/>
      <c r="G2280" s="26"/>
      <c r="H2280" s="199"/>
      <c r="I2280" s="29"/>
      <c r="J2280" s="192"/>
      <c r="K2280" s="31"/>
      <c r="L2280" s="200"/>
      <c r="M2280" s="212"/>
      <c r="N2280" s="3"/>
      <c r="O2280" s="40"/>
      <c r="P2280" s="40"/>
      <c r="Q2280" s="212"/>
      <c r="R2280" s="31"/>
      <c r="S2280" s="40"/>
      <c r="T2280" s="40"/>
      <c r="U2280" s="40"/>
      <c r="V2280" s="40"/>
      <c r="W2280" s="40"/>
      <c r="X2280" s="40"/>
      <c r="Y2280" s="40"/>
      <c r="Z2280" s="40"/>
      <c r="AA2280" s="40"/>
      <c r="AB2280" s="40"/>
    </row>
    <row r="2281" ht="18.75" customHeight="1">
      <c r="A2281" s="18"/>
      <c r="B2281" s="22"/>
      <c r="C2281" s="213"/>
      <c r="D2281" s="213"/>
      <c r="E2281" s="24"/>
      <c r="F2281" s="215"/>
      <c r="G2281" s="26"/>
      <c r="H2281" s="199"/>
      <c r="I2281" s="29"/>
      <c r="J2281" s="192"/>
      <c r="K2281" s="31"/>
      <c r="L2281" s="200"/>
      <c r="M2281" s="212"/>
      <c r="N2281" s="3"/>
      <c r="O2281" s="40"/>
      <c r="P2281" s="40"/>
      <c r="Q2281" s="212"/>
      <c r="R2281" s="31"/>
      <c r="S2281" s="40"/>
      <c r="T2281" s="40"/>
      <c r="U2281" s="40"/>
      <c r="V2281" s="40"/>
      <c r="W2281" s="40"/>
      <c r="X2281" s="40"/>
      <c r="Y2281" s="40"/>
      <c r="Z2281" s="40"/>
      <c r="AA2281" s="40"/>
      <c r="AB2281" s="40"/>
    </row>
    <row r="2282" ht="18.75" customHeight="1">
      <c r="A2282" s="18"/>
      <c r="B2282" s="22"/>
      <c r="C2282" s="213"/>
      <c r="D2282" s="213"/>
      <c r="E2282" s="24"/>
      <c r="F2282" s="215"/>
      <c r="G2282" s="26"/>
      <c r="H2282" s="199"/>
      <c r="I2282" s="29"/>
      <c r="J2282" s="192"/>
      <c r="K2282" s="31"/>
      <c r="L2282" s="200"/>
      <c r="M2282" s="212"/>
      <c r="N2282" s="3"/>
      <c r="O2282" s="40"/>
      <c r="P2282" s="40"/>
      <c r="Q2282" s="212"/>
      <c r="R2282" s="31"/>
      <c r="S2282" s="40"/>
      <c r="T2282" s="40"/>
      <c r="U2282" s="40"/>
      <c r="V2282" s="40"/>
      <c r="W2282" s="40"/>
      <c r="X2282" s="40"/>
      <c r="Y2282" s="40"/>
      <c r="Z2282" s="40"/>
      <c r="AA2282" s="40"/>
      <c r="AB2282" s="40"/>
    </row>
    <row r="2283" ht="18.75" customHeight="1">
      <c r="A2283" s="18"/>
      <c r="B2283" s="22"/>
      <c r="C2283" s="213"/>
      <c r="D2283" s="213"/>
      <c r="E2283" s="24"/>
      <c r="F2283" s="215"/>
      <c r="G2283" s="26"/>
      <c r="H2283" s="199"/>
      <c r="I2283" s="29"/>
      <c r="J2283" s="192"/>
      <c r="K2283" s="31"/>
      <c r="L2283" s="200"/>
      <c r="M2283" s="212"/>
      <c r="N2283" s="3"/>
      <c r="O2283" s="40"/>
      <c r="P2283" s="40"/>
      <c r="Q2283" s="212"/>
      <c r="R2283" s="31"/>
      <c r="S2283" s="40"/>
      <c r="T2283" s="40"/>
      <c r="U2283" s="40"/>
      <c r="V2283" s="40"/>
      <c r="W2283" s="40"/>
      <c r="X2283" s="40"/>
      <c r="Y2283" s="40"/>
      <c r="Z2283" s="40"/>
      <c r="AA2283" s="40"/>
      <c r="AB2283" s="40"/>
    </row>
    <row r="2284" ht="18.75" customHeight="1">
      <c r="A2284" s="18"/>
      <c r="B2284" s="22"/>
      <c r="C2284" s="213"/>
      <c r="D2284" s="213"/>
      <c r="E2284" s="24"/>
      <c r="F2284" s="215"/>
      <c r="G2284" s="26"/>
      <c r="H2284" s="199"/>
      <c r="I2284" s="29"/>
      <c r="J2284" s="192"/>
      <c r="K2284" s="31"/>
      <c r="L2284" s="200"/>
      <c r="M2284" s="212"/>
      <c r="N2284" s="3"/>
      <c r="O2284" s="40"/>
      <c r="P2284" s="40"/>
      <c r="Q2284" s="212"/>
      <c r="R2284" s="31"/>
      <c r="S2284" s="40"/>
      <c r="T2284" s="40"/>
      <c r="U2284" s="40"/>
      <c r="V2284" s="40"/>
      <c r="W2284" s="40"/>
      <c r="X2284" s="40"/>
      <c r="Y2284" s="40"/>
      <c r="Z2284" s="40"/>
      <c r="AA2284" s="40"/>
      <c r="AB2284" s="40"/>
    </row>
    <row r="2285" ht="18.75" customHeight="1">
      <c r="A2285" s="18"/>
      <c r="B2285" s="22"/>
      <c r="C2285" s="213"/>
      <c r="D2285" s="213"/>
      <c r="E2285" s="24"/>
      <c r="F2285" s="215"/>
      <c r="G2285" s="26"/>
      <c r="H2285" s="199"/>
      <c r="I2285" s="29"/>
      <c r="J2285" s="192"/>
      <c r="K2285" s="31"/>
      <c r="L2285" s="200"/>
      <c r="M2285" s="212"/>
      <c r="N2285" s="3"/>
      <c r="O2285" s="40"/>
      <c r="P2285" s="40"/>
      <c r="Q2285" s="212"/>
      <c r="R2285" s="31"/>
      <c r="S2285" s="40"/>
      <c r="T2285" s="40"/>
      <c r="U2285" s="40"/>
      <c r="V2285" s="40"/>
      <c r="W2285" s="40"/>
      <c r="X2285" s="40"/>
      <c r="Y2285" s="40"/>
      <c r="Z2285" s="40"/>
      <c r="AA2285" s="40"/>
      <c r="AB2285" s="40"/>
    </row>
    <row r="2286" ht="18.75" customHeight="1">
      <c r="A2286" s="18"/>
      <c r="B2286" s="22"/>
      <c r="C2286" s="213"/>
      <c r="D2286" s="213"/>
      <c r="E2286" s="24"/>
      <c r="F2286" s="215"/>
      <c r="G2286" s="26"/>
      <c r="H2286" s="199"/>
      <c r="I2286" s="29"/>
      <c r="J2286" s="192"/>
      <c r="K2286" s="31"/>
      <c r="L2286" s="200"/>
      <c r="M2286" s="212"/>
      <c r="N2286" s="3"/>
      <c r="O2286" s="40"/>
      <c r="P2286" s="40"/>
      <c r="Q2286" s="212"/>
      <c r="R2286" s="31"/>
      <c r="S2286" s="40"/>
      <c r="T2286" s="40"/>
      <c r="U2286" s="40"/>
      <c r="V2286" s="40"/>
      <c r="W2286" s="40"/>
      <c r="X2286" s="40"/>
      <c r="Y2286" s="40"/>
      <c r="Z2286" s="40"/>
      <c r="AA2286" s="40"/>
      <c r="AB2286" s="40"/>
    </row>
    <row r="2287" ht="18.75" customHeight="1">
      <c r="A2287" s="18"/>
      <c r="B2287" s="22"/>
      <c r="C2287" s="213"/>
      <c r="D2287" s="213"/>
      <c r="E2287" s="24"/>
      <c r="F2287" s="215"/>
      <c r="G2287" s="26"/>
      <c r="H2287" s="199"/>
      <c r="I2287" s="29"/>
      <c r="J2287" s="192"/>
      <c r="K2287" s="31"/>
      <c r="L2287" s="200"/>
      <c r="M2287" s="212"/>
      <c r="N2287" s="3"/>
      <c r="O2287" s="40"/>
      <c r="P2287" s="40"/>
      <c r="Q2287" s="212"/>
      <c r="R2287" s="31"/>
      <c r="S2287" s="40"/>
      <c r="T2287" s="40"/>
      <c r="U2287" s="40"/>
      <c r="V2287" s="40"/>
      <c r="W2287" s="40"/>
      <c r="X2287" s="40"/>
      <c r="Y2287" s="40"/>
      <c r="Z2287" s="40"/>
      <c r="AA2287" s="40"/>
      <c r="AB2287" s="40"/>
    </row>
    <row r="2288" ht="18.75" customHeight="1">
      <c r="A2288" s="18"/>
      <c r="B2288" s="22"/>
      <c r="C2288" s="213"/>
      <c r="D2288" s="213"/>
      <c r="E2288" s="24"/>
      <c r="F2288" s="215"/>
      <c r="G2288" s="26"/>
      <c r="H2288" s="199"/>
      <c r="I2288" s="29"/>
      <c r="J2288" s="192"/>
      <c r="K2288" s="31"/>
      <c r="L2288" s="200"/>
      <c r="M2288" s="212"/>
      <c r="N2288" s="3"/>
      <c r="O2288" s="40"/>
      <c r="P2288" s="40"/>
      <c r="Q2288" s="212"/>
      <c r="R2288" s="31"/>
      <c r="S2288" s="40"/>
      <c r="T2288" s="40"/>
      <c r="U2288" s="40"/>
      <c r="V2288" s="40"/>
      <c r="W2288" s="40"/>
      <c r="X2288" s="40"/>
      <c r="Y2288" s="40"/>
      <c r="Z2288" s="40"/>
      <c r="AA2288" s="40"/>
      <c r="AB2288" s="40"/>
    </row>
    <row r="2289" ht="18.75" customHeight="1">
      <c r="A2289" s="18"/>
      <c r="B2289" s="22"/>
      <c r="C2289" s="213"/>
      <c r="D2289" s="213"/>
      <c r="E2289" s="24"/>
      <c r="F2289" s="215"/>
      <c r="G2289" s="26"/>
      <c r="H2289" s="199"/>
      <c r="I2289" s="29"/>
      <c r="J2289" s="192"/>
      <c r="K2289" s="31"/>
      <c r="L2289" s="200"/>
      <c r="M2289" s="212"/>
      <c r="N2289" s="3"/>
      <c r="O2289" s="40"/>
      <c r="P2289" s="40"/>
      <c r="Q2289" s="212"/>
      <c r="R2289" s="31"/>
      <c r="S2289" s="40"/>
      <c r="T2289" s="40"/>
      <c r="U2289" s="40"/>
      <c r="V2289" s="40"/>
      <c r="W2289" s="40"/>
      <c r="X2289" s="40"/>
      <c r="Y2289" s="40"/>
      <c r="Z2289" s="40"/>
      <c r="AA2289" s="40"/>
      <c r="AB2289" s="40"/>
    </row>
    <row r="2290" ht="18.75" customHeight="1">
      <c r="A2290" s="18"/>
      <c r="B2290" s="22"/>
      <c r="C2290" s="213"/>
      <c r="D2290" s="213"/>
      <c r="E2290" s="24"/>
      <c r="F2290" s="215"/>
      <c r="G2290" s="26"/>
      <c r="H2290" s="199"/>
      <c r="I2290" s="29"/>
      <c r="J2290" s="192"/>
      <c r="K2290" s="31"/>
      <c r="L2290" s="200"/>
      <c r="M2290" s="212"/>
      <c r="N2290" s="3"/>
      <c r="O2290" s="40"/>
      <c r="P2290" s="40"/>
      <c r="Q2290" s="212"/>
      <c r="R2290" s="31"/>
      <c r="S2290" s="40"/>
      <c r="T2290" s="40"/>
      <c r="U2290" s="40"/>
      <c r="V2290" s="40"/>
      <c r="W2290" s="40"/>
      <c r="X2290" s="40"/>
      <c r="Y2290" s="40"/>
      <c r="Z2290" s="40"/>
      <c r="AA2290" s="40"/>
      <c r="AB2290" s="40"/>
    </row>
    <row r="2291" ht="18.75" customHeight="1">
      <c r="A2291" s="18"/>
      <c r="B2291" s="22"/>
      <c r="C2291" s="213"/>
      <c r="D2291" s="213"/>
      <c r="E2291" s="24"/>
      <c r="F2291" s="215"/>
      <c r="G2291" s="26"/>
      <c r="H2291" s="199"/>
      <c r="I2291" s="29"/>
      <c r="J2291" s="192"/>
      <c r="K2291" s="31"/>
      <c r="L2291" s="200"/>
      <c r="M2291" s="212"/>
      <c r="N2291" s="3"/>
      <c r="O2291" s="40"/>
      <c r="P2291" s="40"/>
      <c r="Q2291" s="212"/>
      <c r="R2291" s="31"/>
      <c r="S2291" s="40"/>
      <c r="T2291" s="40"/>
      <c r="U2291" s="40"/>
      <c r="V2291" s="40"/>
      <c r="W2291" s="40"/>
      <c r="X2291" s="40"/>
      <c r="Y2291" s="40"/>
      <c r="Z2291" s="40"/>
      <c r="AA2291" s="40"/>
      <c r="AB2291" s="40"/>
    </row>
    <row r="2292" ht="18.75" customHeight="1">
      <c r="A2292" s="18"/>
      <c r="B2292" s="22"/>
      <c r="C2292" s="213"/>
      <c r="D2292" s="213"/>
      <c r="E2292" s="24"/>
      <c r="F2292" s="215"/>
      <c r="G2292" s="26"/>
      <c r="H2292" s="199"/>
      <c r="I2292" s="29"/>
      <c r="J2292" s="192"/>
      <c r="K2292" s="31"/>
      <c r="L2292" s="200"/>
      <c r="M2292" s="212"/>
      <c r="N2292" s="3"/>
      <c r="O2292" s="40"/>
      <c r="P2292" s="40"/>
      <c r="Q2292" s="212"/>
      <c r="R2292" s="31"/>
      <c r="S2292" s="40"/>
      <c r="T2292" s="40"/>
      <c r="U2292" s="40"/>
      <c r="V2292" s="40"/>
      <c r="W2292" s="40"/>
      <c r="X2292" s="40"/>
      <c r="Y2292" s="40"/>
      <c r="Z2292" s="40"/>
      <c r="AA2292" s="40"/>
      <c r="AB2292" s="40"/>
    </row>
    <row r="2293" ht="18.75" customHeight="1">
      <c r="A2293" s="18"/>
      <c r="B2293" s="22"/>
      <c r="C2293" s="213"/>
      <c r="D2293" s="213"/>
      <c r="E2293" s="24"/>
      <c r="F2293" s="215"/>
      <c r="G2293" s="26"/>
      <c r="H2293" s="199"/>
      <c r="I2293" s="29"/>
      <c r="J2293" s="192"/>
      <c r="K2293" s="31"/>
      <c r="L2293" s="200"/>
      <c r="M2293" s="212"/>
      <c r="N2293" s="3"/>
      <c r="O2293" s="40"/>
      <c r="P2293" s="40"/>
      <c r="Q2293" s="212"/>
      <c r="R2293" s="31"/>
      <c r="S2293" s="40"/>
      <c r="T2293" s="40"/>
      <c r="U2293" s="40"/>
      <c r="V2293" s="40"/>
      <c r="W2293" s="40"/>
      <c r="X2293" s="40"/>
      <c r="Y2293" s="40"/>
      <c r="Z2293" s="40"/>
      <c r="AA2293" s="40"/>
      <c r="AB2293" s="40"/>
    </row>
    <row r="2294" ht="18.75" customHeight="1">
      <c r="A2294" s="18"/>
      <c r="B2294" s="22"/>
      <c r="C2294" s="213"/>
      <c r="D2294" s="213"/>
      <c r="E2294" s="24"/>
      <c r="F2294" s="215"/>
      <c r="G2294" s="26"/>
      <c r="H2294" s="199"/>
      <c r="I2294" s="29"/>
      <c r="J2294" s="192"/>
      <c r="K2294" s="31"/>
      <c r="L2294" s="200"/>
      <c r="M2294" s="212"/>
      <c r="N2294" s="3"/>
      <c r="O2294" s="40"/>
      <c r="P2294" s="40"/>
      <c r="Q2294" s="212"/>
      <c r="R2294" s="31"/>
      <c r="S2294" s="40"/>
      <c r="T2294" s="40"/>
      <c r="U2294" s="40"/>
      <c r="V2294" s="40"/>
      <c r="W2294" s="40"/>
      <c r="X2294" s="40"/>
      <c r="Y2294" s="40"/>
      <c r="Z2294" s="40"/>
      <c r="AA2294" s="40"/>
      <c r="AB2294" s="40"/>
    </row>
    <row r="2295" ht="18.75" customHeight="1">
      <c r="A2295" s="18"/>
      <c r="B2295" s="22"/>
      <c r="C2295" s="213"/>
      <c r="D2295" s="213"/>
      <c r="E2295" s="24"/>
      <c r="F2295" s="215"/>
      <c r="G2295" s="26"/>
      <c r="H2295" s="199"/>
      <c r="I2295" s="29"/>
      <c r="J2295" s="192"/>
      <c r="K2295" s="31"/>
      <c r="L2295" s="200"/>
      <c r="M2295" s="212"/>
      <c r="N2295" s="3"/>
      <c r="O2295" s="40"/>
      <c r="P2295" s="40"/>
      <c r="Q2295" s="212"/>
      <c r="R2295" s="31"/>
      <c r="S2295" s="40"/>
      <c r="T2295" s="40"/>
      <c r="U2295" s="40"/>
      <c r="V2295" s="40"/>
      <c r="W2295" s="40"/>
      <c r="X2295" s="40"/>
      <c r="Y2295" s="40"/>
      <c r="Z2295" s="40"/>
      <c r="AA2295" s="40"/>
      <c r="AB2295" s="40"/>
    </row>
    <row r="2296" ht="18.75" customHeight="1">
      <c r="A2296" s="18"/>
      <c r="B2296" s="22"/>
      <c r="C2296" s="213"/>
      <c r="D2296" s="213"/>
      <c r="E2296" s="24"/>
      <c r="F2296" s="215"/>
      <c r="G2296" s="26"/>
      <c r="H2296" s="199"/>
      <c r="I2296" s="29"/>
      <c r="J2296" s="192"/>
      <c r="K2296" s="31"/>
      <c r="L2296" s="200"/>
      <c r="M2296" s="212"/>
      <c r="N2296" s="3"/>
      <c r="O2296" s="40"/>
      <c r="P2296" s="40"/>
      <c r="Q2296" s="212"/>
      <c r="R2296" s="31"/>
      <c r="S2296" s="40"/>
      <c r="T2296" s="40"/>
      <c r="U2296" s="40"/>
      <c r="V2296" s="40"/>
      <c r="W2296" s="40"/>
      <c r="X2296" s="40"/>
      <c r="Y2296" s="40"/>
      <c r="Z2296" s="40"/>
      <c r="AA2296" s="40"/>
      <c r="AB2296" s="40"/>
    </row>
    <row r="2297" ht="18.75" customHeight="1">
      <c r="A2297" s="18"/>
      <c r="B2297" s="22"/>
      <c r="C2297" s="213"/>
      <c r="D2297" s="213"/>
      <c r="E2297" s="24"/>
      <c r="F2297" s="215"/>
      <c r="G2297" s="26"/>
      <c r="H2297" s="199"/>
      <c r="I2297" s="29"/>
      <c r="J2297" s="192"/>
      <c r="K2297" s="31"/>
      <c r="L2297" s="200"/>
      <c r="M2297" s="212"/>
      <c r="N2297" s="3"/>
      <c r="O2297" s="40"/>
      <c r="P2297" s="40"/>
      <c r="Q2297" s="212"/>
      <c r="R2297" s="31"/>
      <c r="S2297" s="40"/>
      <c r="T2297" s="40"/>
      <c r="U2297" s="40"/>
      <c r="V2297" s="40"/>
      <c r="W2297" s="40"/>
      <c r="X2297" s="40"/>
      <c r="Y2297" s="40"/>
      <c r="Z2297" s="40"/>
      <c r="AA2297" s="40"/>
      <c r="AB2297" s="40"/>
    </row>
    <row r="2298" ht="18.75" customHeight="1">
      <c r="A2298" s="18"/>
      <c r="B2298" s="22"/>
      <c r="C2298" s="213"/>
      <c r="D2298" s="213"/>
      <c r="E2298" s="24"/>
      <c r="F2298" s="215"/>
      <c r="G2298" s="26"/>
      <c r="H2298" s="199"/>
      <c r="I2298" s="29"/>
      <c r="J2298" s="192"/>
      <c r="K2298" s="31"/>
      <c r="L2298" s="200"/>
      <c r="M2298" s="212"/>
      <c r="N2298" s="3"/>
      <c r="O2298" s="40"/>
      <c r="P2298" s="40"/>
      <c r="Q2298" s="212"/>
      <c r="R2298" s="31"/>
      <c r="S2298" s="40"/>
      <c r="T2298" s="40"/>
      <c r="U2298" s="40"/>
      <c r="V2298" s="40"/>
      <c r="W2298" s="40"/>
      <c r="X2298" s="40"/>
      <c r="Y2298" s="40"/>
      <c r="Z2298" s="40"/>
      <c r="AA2298" s="40"/>
      <c r="AB2298" s="40"/>
    </row>
    <row r="2299" ht="18.75" customHeight="1">
      <c r="A2299" s="18"/>
      <c r="B2299" s="22"/>
      <c r="C2299" s="213"/>
      <c r="D2299" s="213"/>
      <c r="E2299" s="24"/>
      <c r="F2299" s="215"/>
      <c r="G2299" s="26"/>
      <c r="H2299" s="199"/>
      <c r="I2299" s="29"/>
      <c r="J2299" s="192"/>
      <c r="K2299" s="31"/>
      <c r="L2299" s="200"/>
      <c r="M2299" s="212"/>
      <c r="N2299" s="3"/>
      <c r="O2299" s="40"/>
      <c r="P2299" s="40"/>
      <c r="Q2299" s="212"/>
      <c r="R2299" s="31"/>
      <c r="S2299" s="40"/>
      <c r="T2299" s="40"/>
      <c r="U2299" s="40"/>
      <c r="V2299" s="40"/>
      <c r="W2299" s="40"/>
      <c r="X2299" s="40"/>
      <c r="Y2299" s="40"/>
      <c r="Z2299" s="40"/>
      <c r="AA2299" s="40"/>
      <c r="AB2299" s="40"/>
    </row>
    <row r="2300" ht="18.75" customHeight="1">
      <c r="A2300" s="18"/>
      <c r="B2300" s="22"/>
      <c r="C2300" s="213"/>
      <c r="D2300" s="213"/>
      <c r="E2300" s="24"/>
      <c r="F2300" s="215"/>
      <c r="G2300" s="26"/>
      <c r="H2300" s="199"/>
      <c r="I2300" s="29"/>
      <c r="J2300" s="192"/>
      <c r="K2300" s="31"/>
      <c r="L2300" s="200"/>
      <c r="M2300" s="212"/>
      <c r="N2300" s="3"/>
      <c r="O2300" s="40"/>
      <c r="P2300" s="40"/>
      <c r="Q2300" s="212"/>
      <c r="R2300" s="31"/>
      <c r="S2300" s="40"/>
      <c r="T2300" s="40"/>
      <c r="U2300" s="40"/>
      <c r="V2300" s="40"/>
      <c r="W2300" s="40"/>
      <c r="X2300" s="40"/>
      <c r="Y2300" s="40"/>
      <c r="Z2300" s="40"/>
      <c r="AA2300" s="40"/>
      <c r="AB2300" s="40"/>
    </row>
    <row r="2301" ht="18.75" customHeight="1">
      <c r="A2301" s="18"/>
      <c r="B2301" s="22"/>
      <c r="C2301" s="213"/>
      <c r="D2301" s="213"/>
      <c r="E2301" s="24"/>
      <c r="F2301" s="215"/>
      <c r="G2301" s="26"/>
      <c r="H2301" s="199"/>
      <c r="I2301" s="29"/>
      <c r="J2301" s="192"/>
      <c r="K2301" s="31"/>
      <c r="L2301" s="200"/>
      <c r="M2301" s="212"/>
      <c r="N2301" s="3"/>
      <c r="O2301" s="40"/>
      <c r="P2301" s="40"/>
      <c r="Q2301" s="212"/>
      <c r="R2301" s="31"/>
      <c r="S2301" s="40"/>
      <c r="T2301" s="40"/>
      <c r="U2301" s="40"/>
      <c r="V2301" s="40"/>
      <c r="W2301" s="40"/>
      <c r="X2301" s="40"/>
      <c r="Y2301" s="40"/>
      <c r="Z2301" s="40"/>
      <c r="AA2301" s="40"/>
      <c r="AB2301" s="40"/>
    </row>
    <row r="2302" ht="18.75" customHeight="1">
      <c r="A2302" s="18"/>
      <c r="B2302" s="22"/>
      <c r="C2302" s="213"/>
      <c r="D2302" s="213"/>
      <c r="E2302" s="24"/>
      <c r="F2302" s="215"/>
      <c r="G2302" s="26"/>
      <c r="H2302" s="199"/>
      <c r="I2302" s="29"/>
      <c r="J2302" s="192"/>
      <c r="K2302" s="31"/>
      <c r="L2302" s="200"/>
      <c r="M2302" s="212"/>
      <c r="N2302" s="3"/>
      <c r="O2302" s="40"/>
      <c r="P2302" s="40"/>
      <c r="Q2302" s="212"/>
      <c r="R2302" s="31"/>
      <c r="S2302" s="40"/>
      <c r="T2302" s="40"/>
      <c r="U2302" s="40"/>
      <c r="V2302" s="40"/>
      <c r="W2302" s="40"/>
      <c r="X2302" s="40"/>
      <c r="Y2302" s="40"/>
      <c r="Z2302" s="40"/>
      <c r="AA2302" s="40"/>
      <c r="AB2302" s="40"/>
    </row>
    <row r="2303" ht="18.75" customHeight="1">
      <c r="A2303" s="18"/>
      <c r="B2303" s="22"/>
      <c r="C2303" s="213"/>
      <c r="D2303" s="213"/>
      <c r="E2303" s="24"/>
      <c r="F2303" s="215"/>
      <c r="G2303" s="26"/>
      <c r="H2303" s="199"/>
      <c r="I2303" s="29"/>
      <c r="J2303" s="192"/>
      <c r="K2303" s="31"/>
      <c r="L2303" s="200"/>
      <c r="M2303" s="212"/>
      <c r="N2303" s="3"/>
      <c r="O2303" s="40"/>
      <c r="P2303" s="40"/>
      <c r="Q2303" s="212"/>
      <c r="R2303" s="31"/>
      <c r="S2303" s="40"/>
      <c r="T2303" s="40"/>
      <c r="U2303" s="40"/>
      <c r="V2303" s="40"/>
      <c r="W2303" s="40"/>
      <c r="X2303" s="40"/>
      <c r="Y2303" s="40"/>
      <c r="Z2303" s="40"/>
      <c r="AA2303" s="40"/>
      <c r="AB2303" s="40"/>
    </row>
    <row r="2304" ht="18.75" customHeight="1">
      <c r="A2304" s="18"/>
      <c r="B2304" s="22"/>
      <c r="C2304" s="213"/>
      <c r="D2304" s="213"/>
      <c r="E2304" s="24"/>
      <c r="F2304" s="215"/>
      <c r="G2304" s="26"/>
      <c r="H2304" s="199"/>
      <c r="I2304" s="29"/>
      <c r="J2304" s="192"/>
      <c r="K2304" s="31"/>
      <c r="L2304" s="200"/>
      <c r="M2304" s="212"/>
      <c r="N2304" s="3"/>
      <c r="O2304" s="40"/>
      <c r="P2304" s="40"/>
      <c r="Q2304" s="212"/>
      <c r="R2304" s="31"/>
      <c r="S2304" s="40"/>
      <c r="T2304" s="40"/>
      <c r="U2304" s="40"/>
      <c r="V2304" s="40"/>
      <c r="W2304" s="40"/>
      <c r="X2304" s="40"/>
      <c r="Y2304" s="40"/>
      <c r="Z2304" s="40"/>
      <c r="AA2304" s="40"/>
      <c r="AB2304" s="40"/>
    </row>
    <row r="2305" ht="18.75" customHeight="1">
      <c r="A2305" s="18"/>
      <c r="B2305" s="22"/>
      <c r="C2305" s="213"/>
      <c r="D2305" s="213"/>
      <c r="E2305" s="24"/>
      <c r="F2305" s="215"/>
      <c r="G2305" s="26"/>
      <c r="H2305" s="199"/>
      <c r="I2305" s="29"/>
      <c r="J2305" s="192"/>
      <c r="K2305" s="31"/>
      <c r="L2305" s="200"/>
      <c r="M2305" s="212"/>
      <c r="N2305" s="3"/>
      <c r="O2305" s="40"/>
      <c r="P2305" s="40"/>
      <c r="Q2305" s="212"/>
      <c r="R2305" s="31"/>
      <c r="S2305" s="40"/>
      <c r="T2305" s="40"/>
      <c r="U2305" s="40"/>
      <c r="V2305" s="40"/>
      <c r="W2305" s="40"/>
      <c r="X2305" s="40"/>
      <c r="Y2305" s="40"/>
      <c r="Z2305" s="40"/>
      <c r="AA2305" s="40"/>
      <c r="AB2305" s="40"/>
    </row>
    <row r="2306" ht="18.75" customHeight="1">
      <c r="A2306" s="18"/>
      <c r="B2306" s="22"/>
      <c r="C2306" s="213"/>
      <c r="D2306" s="213"/>
      <c r="E2306" s="24"/>
      <c r="F2306" s="215"/>
      <c r="G2306" s="26"/>
      <c r="H2306" s="199"/>
      <c r="I2306" s="29"/>
      <c r="J2306" s="192"/>
      <c r="K2306" s="31"/>
      <c r="L2306" s="200"/>
      <c r="M2306" s="212"/>
      <c r="N2306" s="3"/>
      <c r="O2306" s="40"/>
      <c r="P2306" s="40"/>
      <c r="Q2306" s="212"/>
      <c r="R2306" s="31"/>
      <c r="S2306" s="40"/>
      <c r="T2306" s="40"/>
      <c r="U2306" s="40"/>
      <c r="V2306" s="40"/>
      <c r="W2306" s="40"/>
      <c r="X2306" s="40"/>
      <c r="Y2306" s="40"/>
      <c r="Z2306" s="40"/>
      <c r="AA2306" s="40"/>
      <c r="AB2306" s="40"/>
    </row>
    <row r="2307" ht="18.75" customHeight="1">
      <c r="A2307" s="18"/>
      <c r="B2307" s="22"/>
      <c r="C2307" s="213"/>
      <c r="D2307" s="213"/>
      <c r="E2307" s="24"/>
      <c r="F2307" s="215"/>
      <c r="G2307" s="26"/>
      <c r="H2307" s="199"/>
      <c r="I2307" s="29"/>
      <c r="J2307" s="192"/>
      <c r="K2307" s="31"/>
      <c r="L2307" s="200"/>
      <c r="M2307" s="212"/>
      <c r="N2307" s="3"/>
      <c r="O2307" s="40"/>
      <c r="P2307" s="40"/>
      <c r="Q2307" s="212"/>
      <c r="R2307" s="31"/>
      <c r="S2307" s="40"/>
      <c r="T2307" s="40"/>
      <c r="U2307" s="40"/>
      <c r="V2307" s="40"/>
      <c r="W2307" s="40"/>
      <c r="X2307" s="40"/>
      <c r="Y2307" s="40"/>
      <c r="Z2307" s="40"/>
      <c r="AA2307" s="40"/>
      <c r="AB2307" s="40"/>
    </row>
    <row r="2308" ht="18.75" customHeight="1">
      <c r="A2308" s="18"/>
      <c r="B2308" s="22"/>
      <c r="C2308" s="213"/>
      <c r="D2308" s="213"/>
      <c r="E2308" s="24"/>
      <c r="F2308" s="215"/>
      <c r="G2308" s="26"/>
      <c r="H2308" s="199"/>
      <c r="I2308" s="29"/>
      <c r="J2308" s="192"/>
      <c r="K2308" s="31"/>
      <c r="L2308" s="200"/>
      <c r="M2308" s="212"/>
      <c r="N2308" s="3"/>
      <c r="O2308" s="40"/>
      <c r="P2308" s="40"/>
      <c r="Q2308" s="212"/>
      <c r="R2308" s="31"/>
      <c r="S2308" s="40"/>
      <c r="T2308" s="40"/>
      <c r="U2308" s="40"/>
      <c r="V2308" s="40"/>
      <c r="W2308" s="40"/>
      <c r="X2308" s="40"/>
      <c r="Y2308" s="40"/>
      <c r="Z2308" s="40"/>
      <c r="AA2308" s="40"/>
      <c r="AB2308" s="40"/>
    </row>
    <row r="2309" ht="18.75" customHeight="1">
      <c r="A2309" s="18"/>
      <c r="B2309" s="22"/>
      <c r="C2309" s="213"/>
      <c r="D2309" s="213"/>
      <c r="E2309" s="24"/>
      <c r="F2309" s="215"/>
      <c r="G2309" s="26"/>
      <c r="H2309" s="199"/>
      <c r="I2309" s="29"/>
      <c r="J2309" s="192"/>
      <c r="K2309" s="31"/>
      <c r="L2309" s="200"/>
      <c r="M2309" s="212"/>
      <c r="N2309" s="3"/>
      <c r="O2309" s="40"/>
      <c r="P2309" s="40"/>
      <c r="Q2309" s="212"/>
      <c r="R2309" s="31"/>
      <c r="S2309" s="40"/>
      <c r="T2309" s="40"/>
      <c r="U2309" s="40"/>
      <c r="V2309" s="40"/>
      <c r="W2309" s="40"/>
      <c r="X2309" s="40"/>
      <c r="Y2309" s="40"/>
      <c r="Z2309" s="40"/>
      <c r="AA2309" s="40"/>
      <c r="AB2309" s="40"/>
    </row>
    <row r="2310" ht="18.75" customHeight="1">
      <c r="A2310" s="18"/>
      <c r="B2310" s="22"/>
      <c r="C2310" s="213"/>
      <c r="D2310" s="213"/>
      <c r="E2310" s="24"/>
      <c r="F2310" s="215"/>
      <c r="G2310" s="26"/>
      <c r="H2310" s="199"/>
      <c r="I2310" s="29"/>
      <c r="J2310" s="192"/>
      <c r="K2310" s="31"/>
      <c r="L2310" s="200"/>
      <c r="M2310" s="212"/>
      <c r="N2310" s="3"/>
      <c r="O2310" s="40"/>
      <c r="P2310" s="40"/>
      <c r="Q2310" s="212"/>
      <c r="R2310" s="31"/>
      <c r="S2310" s="40"/>
      <c r="T2310" s="40"/>
      <c r="U2310" s="40"/>
      <c r="V2310" s="40"/>
      <c r="W2310" s="40"/>
      <c r="X2310" s="40"/>
      <c r="Y2310" s="40"/>
      <c r="Z2310" s="40"/>
      <c r="AA2310" s="40"/>
      <c r="AB2310" s="40"/>
    </row>
    <row r="2311" ht="18.75" customHeight="1">
      <c r="A2311" s="18"/>
      <c r="B2311" s="22"/>
      <c r="C2311" s="213"/>
      <c r="D2311" s="213"/>
      <c r="E2311" s="24"/>
      <c r="F2311" s="215"/>
      <c r="G2311" s="26"/>
      <c r="H2311" s="199"/>
      <c r="I2311" s="29"/>
      <c r="J2311" s="192"/>
      <c r="K2311" s="31"/>
      <c r="L2311" s="200"/>
      <c r="M2311" s="212"/>
      <c r="N2311" s="3"/>
      <c r="O2311" s="40"/>
      <c r="P2311" s="40"/>
      <c r="Q2311" s="212"/>
      <c r="R2311" s="31"/>
      <c r="S2311" s="40"/>
      <c r="T2311" s="40"/>
      <c r="U2311" s="40"/>
      <c r="V2311" s="40"/>
      <c r="W2311" s="40"/>
      <c r="X2311" s="40"/>
      <c r="Y2311" s="40"/>
      <c r="Z2311" s="40"/>
      <c r="AA2311" s="40"/>
      <c r="AB2311" s="40"/>
    </row>
    <row r="2312" ht="18.75" customHeight="1">
      <c r="A2312" s="18"/>
      <c r="B2312" s="22"/>
      <c r="C2312" s="213"/>
      <c r="D2312" s="213"/>
      <c r="E2312" s="24"/>
      <c r="F2312" s="215"/>
      <c r="G2312" s="26"/>
      <c r="H2312" s="199"/>
      <c r="I2312" s="29"/>
      <c r="J2312" s="192"/>
      <c r="K2312" s="31"/>
      <c r="L2312" s="200"/>
      <c r="M2312" s="212"/>
      <c r="N2312" s="3"/>
      <c r="O2312" s="40"/>
      <c r="P2312" s="40"/>
      <c r="Q2312" s="212"/>
      <c r="R2312" s="31"/>
      <c r="S2312" s="40"/>
      <c r="T2312" s="40"/>
      <c r="U2312" s="40"/>
      <c r="V2312" s="40"/>
      <c r="W2312" s="40"/>
      <c r="X2312" s="40"/>
      <c r="Y2312" s="40"/>
      <c r="Z2312" s="40"/>
      <c r="AA2312" s="40"/>
      <c r="AB2312" s="40"/>
    </row>
    <row r="2313" ht="18.75" customHeight="1">
      <c r="A2313" s="18"/>
      <c r="B2313" s="22"/>
      <c r="C2313" s="213"/>
      <c r="D2313" s="213"/>
      <c r="E2313" s="24"/>
      <c r="F2313" s="215"/>
      <c r="G2313" s="26"/>
      <c r="H2313" s="199"/>
      <c r="I2313" s="29"/>
      <c r="J2313" s="192"/>
      <c r="K2313" s="31"/>
      <c r="L2313" s="200"/>
      <c r="M2313" s="212"/>
      <c r="N2313" s="3"/>
      <c r="O2313" s="40"/>
      <c r="P2313" s="40"/>
      <c r="Q2313" s="212"/>
      <c r="R2313" s="31"/>
      <c r="S2313" s="40"/>
      <c r="T2313" s="40"/>
      <c r="U2313" s="40"/>
      <c r="V2313" s="40"/>
      <c r="W2313" s="40"/>
      <c r="X2313" s="40"/>
      <c r="Y2313" s="40"/>
      <c r="Z2313" s="40"/>
      <c r="AA2313" s="40"/>
      <c r="AB2313" s="40"/>
    </row>
    <row r="2314" ht="18.75" customHeight="1">
      <c r="A2314" s="18"/>
      <c r="B2314" s="22"/>
      <c r="C2314" s="213"/>
      <c r="D2314" s="213"/>
      <c r="E2314" s="24"/>
      <c r="F2314" s="215"/>
      <c r="G2314" s="26"/>
      <c r="H2314" s="199"/>
      <c r="I2314" s="29"/>
      <c r="J2314" s="192"/>
      <c r="K2314" s="31"/>
      <c r="L2314" s="200"/>
      <c r="M2314" s="212"/>
      <c r="N2314" s="3"/>
      <c r="O2314" s="40"/>
      <c r="P2314" s="40"/>
      <c r="Q2314" s="212"/>
      <c r="R2314" s="31"/>
      <c r="S2314" s="40"/>
      <c r="T2314" s="40"/>
      <c r="U2314" s="40"/>
      <c r="V2314" s="40"/>
      <c r="W2314" s="40"/>
      <c r="X2314" s="40"/>
      <c r="Y2314" s="40"/>
      <c r="Z2314" s="40"/>
      <c r="AA2314" s="40"/>
      <c r="AB2314" s="40"/>
    </row>
    <row r="2315" ht="18.75" customHeight="1">
      <c r="A2315" s="18"/>
      <c r="B2315" s="22"/>
      <c r="C2315" s="213"/>
      <c r="D2315" s="213"/>
      <c r="E2315" s="24"/>
      <c r="F2315" s="215"/>
      <c r="G2315" s="26"/>
      <c r="H2315" s="199"/>
      <c r="I2315" s="29"/>
      <c r="J2315" s="192"/>
      <c r="K2315" s="31"/>
      <c r="L2315" s="200"/>
      <c r="M2315" s="212"/>
      <c r="N2315" s="3"/>
      <c r="O2315" s="40"/>
      <c r="P2315" s="40"/>
      <c r="Q2315" s="212"/>
      <c r="R2315" s="31"/>
      <c r="S2315" s="40"/>
      <c r="T2315" s="40"/>
      <c r="U2315" s="40"/>
      <c r="V2315" s="40"/>
      <c r="W2315" s="40"/>
      <c r="X2315" s="40"/>
      <c r="Y2315" s="40"/>
      <c r="Z2315" s="40"/>
      <c r="AA2315" s="40"/>
      <c r="AB2315" s="40"/>
    </row>
    <row r="2316" ht="18.75" customHeight="1">
      <c r="A2316" s="18"/>
      <c r="B2316" s="22"/>
      <c r="C2316" s="213"/>
      <c r="D2316" s="213"/>
      <c r="E2316" s="24"/>
      <c r="F2316" s="215"/>
      <c r="G2316" s="26"/>
      <c r="H2316" s="199"/>
      <c r="I2316" s="29"/>
      <c r="J2316" s="192"/>
      <c r="K2316" s="31"/>
      <c r="L2316" s="200"/>
      <c r="M2316" s="212"/>
      <c r="N2316" s="3"/>
      <c r="O2316" s="40"/>
      <c r="P2316" s="40"/>
      <c r="Q2316" s="212"/>
      <c r="R2316" s="31"/>
      <c r="S2316" s="40"/>
      <c r="T2316" s="40"/>
      <c r="U2316" s="40"/>
      <c r="V2316" s="40"/>
      <c r="W2316" s="40"/>
      <c r="X2316" s="40"/>
      <c r="Y2316" s="40"/>
      <c r="Z2316" s="40"/>
      <c r="AA2316" s="40"/>
      <c r="AB2316" s="40"/>
    </row>
    <row r="2317" ht="18.75" customHeight="1">
      <c r="A2317" s="18"/>
      <c r="B2317" s="22"/>
      <c r="C2317" s="213"/>
      <c r="D2317" s="213"/>
      <c r="E2317" s="24"/>
      <c r="F2317" s="215"/>
      <c r="G2317" s="26"/>
      <c r="H2317" s="199"/>
      <c r="I2317" s="29"/>
      <c r="J2317" s="192"/>
      <c r="K2317" s="31"/>
      <c r="L2317" s="200"/>
      <c r="M2317" s="212"/>
      <c r="N2317" s="3"/>
      <c r="O2317" s="40"/>
      <c r="P2317" s="40"/>
      <c r="Q2317" s="212"/>
      <c r="R2317" s="31"/>
      <c r="S2317" s="40"/>
      <c r="T2317" s="40"/>
      <c r="U2317" s="40"/>
      <c r="V2317" s="40"/>
      <c r="W2317" s="40"/>
      <c r="X2317" s="40"/>
      <c r="Y2317" s="40"/>
      <c r="Z2317" s="40"/>
      <c r="AA2317" s="40"/>
      <c r="AB2317" s="40"/>
    </row>
    <row r="2318" ht="18.75" customHeight="1">
      <c r="A2318" s="18"/>
      <c r="B2318" s="22"/>
      <c r="C2318" s="213"/>
      <c r="D2318" s="213"/>
      <c r="E2318" s="24"/>
      <c r="F2318" s="215"/>
      <c r="G2318" s="26"/>
      <c r="H2318" s="199"/>
      <c r="I2318" s="29"/>
      <c r="J2318" s="192"/>
      <c r="K2318" s="31"/>
      <c r="L2318" s="200"/>
      <c r="M2318" s="212"/>
      <c r="N2318" s="3"/>
      <c r="O2318" s="40"/>
      <c r="P2318" s="40"/>
      <c r="Q2318" s="212"/>
      <c r="R2318" s="31"/>
      <c r="S2318" s="40"/>
      <c r="T2318" s="40"/>
      <c r="U2318" s="40"/>
      <c r="V2318" s="40"/>
      <c r="W2318" s="40"/>
      <c r="X2318" s="40"/>
      <c r="Y2318" s="40"/>
      <c r="Z2318" s="40"/>
      <c r="AA2318" s="40"/>
      <c r="AB2318" s="40"/>
    </row>
    <row r="2319" ht="18.75" customHeight="1">
      <c r="A2319" s="18"/>
      <c r="B2319" s="22"/>
      <c r="C2319" s="213"/>
      <c r="D2319" s="213"/>
      <c r="E2319" s="24"/>
      <c r="F2319" s="215"/>
      <c r="G2319" s="26"/>
      <c r="H2319" s="199"/>
      <c r="I2319" s="29"/>
      <c r="J2319" s="192"/>
      <c r="K2319" s="31"/>
      <c r="L2319" s="200"/>
      <c r="M2319" s="212"/>
      <c r="N2319" s="3"/>
      <c r="O2319" s="40"/>
      <c r="P2319" s="40"/>
      <c r="Q2319" s="212"/>
      <c r="R2319" s="31"/>
      <c r="S2319" s="40"/>
      <c r="T2319" s="40"/>
      <c r="U2319" s="40"/>
      <c r="V2319" s="40"/>
      <c r="W2319" s="40"/>
      <c r="X2319" s="40"/>
      <c r="Y2319" s="40"/>
      <c r="Z2319" s="40"/>
      <c r="AA2319" s="40"/>
      <c r="AB2319" s="40"/>
    </row>
    <row r="2320" ht="18.75" customHeight="1">
      <c r="A2320" s="18"/>
      <c r="B2320" s="22"/>
      <c r="C2320" s="213"/>
      <c r="D2320" s="213"/>
      <c r="E2320" s="24"/>
      <c r="F2320" s="215"/>
      <c r="G2320" s="26"/>
      <c r="H2320" s="199"/>
      <c r="I2320" s="29"/>
      <c r="J2320" s="192"/>
      <c r="K2320" s="31"/>
      <c r="L2320" s="200"/>
      <c r="M2320" s="212"/>
      <c r="N2320" s="3"/>
      <c r="O2320" s="40"/>
      <c r="P2320" s="40"/>
      <c r="Q2320" s="212"/>
      <c r="R2320" s="31"/>
      <c r="S2320" s="40"/>
      <c r="T2320" s="40"/>
      <c r="U2320" s="40"/>
      <c r="V2320" s="40"/>
      <c r="W2320" s="40"/>
      <c r="X2320" s="40"/>
      <c r="Y2320" s="40"/>
      <c r="Z2320" s="40"/>
      <c r="AA2320" s="40"/>
      <c r="AB2320" s="40"/>
    </row>
    <row r="2321" ht="18.75" customHeight="1">
      <c r="A2321" s="18"/>
      <c r="B2321" s="22"/>
      <c r="C2321" s="213"/>
      <c r="D2321" s="213"/>
      <c r="E2321" s="24"/>
      <c r="F2321" s="215"/>
      <c r="G2321" s="26"/>
      <c r="H2321" s="199"/>
      <c r="I2321" s="29"/>
      <c r="J2321" s="192"/>
      <c r="K2321" s="31"/>
      <c r="L2321" s="200"/>
      <c r="M2321" s="212"/>
      <c r="N2321" s="3"/>
      <c r="O2321" s="40"/>
      <c r="P2321" s="40"/>
      <c r="Q2321" s="212"/>
      <c r="R2321" s="31"/>
      <c r="S2321" s="40"/>
      <c r="T2321" s="40"/>
      <c r="U2321" s="40"/>
      <c r="V2321" s="40"/>
      <c r="W2321" s="40"/>
      <c r="X2321" s="40"/>
      <c r="Y2321" s="40"/>
      <c r="Z2321" s="40"/>
      <c r="AA2321" s="40"/>
      <c r="AB2321" s="40"/>
    </row>
    <row r="2322" ht="18.75" customHeight="1">
      <c r="A2322" s="18"/>
      <c r="B2322" s="22"/>
      <c r="C2322" s="213"/>
      <c r="D2322" s="213"/>
      <c r="E2322" s="24"/>
      <c r="F2322" s="215"/>
      <c r="G2322" s="26"/>
      <c r="H2322" s="199"/>
      <c r="I2322" s="29"/>
      <c r="J2322" s="192"/>
      <c r="K2322" s="31"/>
      <c r="L2322" s="200"/>
      <c r="M2322" s="212"/>
      <c r="N2322" s="3"/>
      <c r="O2322" s="40"/>
      <c r="P2322" s="40"/>
      <c r="Q2322" s="212"/>
      <c r="R2322" s="31"/>
      <c r="S2322" s="40"/>
      <c r="T2322" s="40"/>
      <c r="U2322" s="40"/>
      <c r="V2322" s="40"/>
      <c r="W2322" s="40"/>
      <c r="X2322" s="40"/>
      <c r="Y2322" s="40"/>
      <c r="Z2322" s="40"/>
      <c r="AA2322" s="40"/>
      <c r="AB2322" s="40"/>
    </row>
    <row r="2323" ht="18.75" customHeight="1">
      <c r="A2323" s="18"/>
      <c r="B2323" s="22"/>
      <c r="C2323" s="213"/>
      <c r="D2323" s="213"/>
      <c r="E2323" s="24"/>
      <c r="F2323" s="215"/>
      <c r="G2323" s="26"/>
      <c r="H2323" s="199"/>
      <c r="I2323" s="29"/>
      <c r="J2323" s="192"/>
      <c r="K2323" s="31"/>
      <c r="L2323" s="200"/>
      <c r="M2323" s="212"/>
      <c r="N2323" s="3"/>
      <c r="O2323" s="40"/>
      <c r="P2323" s="40"/>
      <c r="Q2323" s="212"/>
      <c r="R2323" s="31"/>
      <c r="S2323" s="40"/>
      <c r="T2323" s="40"/>
      <c r="U2323" s="40"/>
      <c r="V2323" s="40"/>
      <c r="W2323" s="40"/>
      <c r="X2323" s="40"/>
      <c r="Y2323" s="40"/>
      <c r="Z2323" s="40"/>
      <c r="AA2323" s="40"/>
      <c r="AB2323" s="40"/>
    </row>
    <row r="2324" ht="18.75" customHeight="1">
      <c r="A2324" s="18"/>
      <c r="B2324" s="22"/>
      <c r="C2324" s="213"/>
      <c r="D2324" s="213"/>
      <c r="E2324" s="24"/>
      <c r="F2324" s="215"/>
      <c r="G2324" s="26"/>
      <c r="H2324" s="199"/>
      <c r="I2324" s="29"/>
      <c r="J2324" s="192"/>
      <c r="K2324" s="31"/>
      <c r="L2324" s="200"/>
      <c r="M2324" s="212"/>
      <c r="N2324" s="3"/>
      <c r="O2324" s="40"/>
      <c r="P2324" s="40"/>
      <c r="Q2324" s="212"/>
      <c r="R2324" s="31"/>
      <c r="S2324" s="40"/>
      <c r="T2324" s="40"/>
      <c r="U2324" s="40"/>
      <c r="V2324" s="40"/>
      <c r="W2324" s="40"/>
      <c r="X2324" s="40"/>
      <c r="Y2324" s="40"/>
      <c r="Z2324" s="40"/>
      <c r="AA2324" s="40"/>
      <c r="AB2324" s="40"/>
    </row>
    <row r="2325" ht="18.75" customHeight="1">
      <c r="A2325" s="18"/>
      <c r="B2325" s="22"/>
      <c r="C2325" s="213"/>
      <c r="D2325" s="213"/>
      <c r="E2325" s="24"/>
      <c r="F2325" s="215"/>
      <c r="G2325" s="26"/>
      <c r="H2325" s="199"/>
      <c r="I2325" s="29"/>
      <c r="J2325" s="192"/>
      <c r="K2325" s="31"/>
      <c r="L2325" s="200"/>
      <c r="M2325" s="212"/>
      <c r="N2325" s="3"/>
      <c r="O2325" s="40"/>
      <c r="P2325" s="40"/>
      <c r="Q2325" s="212"/>
      <c r="R2325" s="31"/>
      <c r="S2325" s="40"/>
      <c r="T2325" s="40"/>
      <c r="U2325" s="40"/>
      <c r="V2325" s="40"/>
      <c r="W2325" s="40"/>
      <c r="X2325" s="40"/>
      <c r="Y2325" s="40"/>
      <c r="Z2325" s="40"/>
      <c r="AA2325" s="40"/>
      <c r="AB2325" s="40"/>
    </row>
    <row r="2326" ht="18.75" customHeight="1">
      <c r="A2326" s="18"/>
      <c r="B2326" s="22"/>
      <c r="C2326" s="213"/>
      <c r="D2326" s="213"/>
      <c r="E2326" s="24"/>
      <c r="F2326" s="215"/>
      <c r="G2326" s="26"/>
      <c r="H2326" s="199"/>
      <c r="I2326" s="29"/>
      <c r="J2326" s="192"/>
      <c r="K2326" s="31"/>
      <c r="L2326" s="200"/>
      <c r="M2326" s="212"/>
      <c r="N2326" s="3"/>
      <c r="O2326" s="40"/>
      <c r="P2326" s="40"/>
      <c r="Q2326" s="212"/>
      <c r="R2326" s="31"/>
      <c r="S2326" s="40"/>
      <c r="T2326" s="40"/>
      <c r="U2326" s="40"/>
      <c r="V2326" s="40"/>
      <c r="W2326" s="40"/>
      <c r="X2326" s="40"/>
      <c r="Y2326" s="40"/>
      <c r="Z2326" s="40"/>
      <c r="AA2326" s="40"/>
      <c r="AB2326" s="40"/>
    </row>
    <row r="2327" ht="18.75" customHeight="1">
      <c r="A2327" s="18"/>
      <c r="B2327" s="22"/>
      <c r="C2327" s="213"/>
      <c r="D2327" s="213"/>
      <c r="E2327" s="24"/>
      <c r="F2327" s="215"/>
      <c r="G2327" s="26"/>
      <c r="H2327" s="199"/>
      <c r="I2327" s="29"/>
      <c r="J2327" s="192"/>
      <c r="K2327" s="31"/>
      <c r="L2327" s="200"/>
      <c r="M2327" s="212"/>
      <c r="N2327" s="3"/>
      <c r="O2327" s="40"/>
      <c r="P2327" s="40"/>
      <c r="Q2327" s="212"/>
      <c r="R2327" s="31"/>
      <c r="S2327" s="40"/>
      <c r="T2327" s="40"/>
      <c r="U2327" s="40"/>
      <c r="V2327" s="40"/>
      <c r="W2327" s="40"/>
      <c r="X2327" s="40"/>
      <c r="Y2327" s="40"/>
      <c r="Z2327" s="40"/>
      <c r="AA2327" s="40"/>
      <c r="AB2327" s="40"/>
    </row>
    <row r="2328" ht="18.75" customHeight="1">
      <c r="A2328" s="18"/>
      <c r="B2328" s="22"/>
      <c r="C2328" s="213"/>
      <c r="D2328" s="213"/>
      <c r="E2328" s="24"/>
      <c r="F2328" s="215"/>
      <c r="G2328" s="26"/>
      <c r="H2328" s="199"/>
      <c r="I2328" s="29"/>
      <c r="J2328" s="192"/>
      <c r="K2328" s="31"/>
      <c r="L2328" s="200"/>
      <c r="M2328" s="212"/>
      <c r="N2328" s="3"/>
      <c r="O2328" s="40"/>
      <c r="P2328" s="40"/>
      <c r="Q2328" s="212"/>
      <c r="R2328" s="31"/>
      <c r="S2328" s="40"/>
      <c r="T2328" s="40"/>
      <c r="U2328" s="40"/>
      <c r="V2328" s="40"/>
      <c r="W2328" s="40"/>
      <c r="X2328" s="40"/>
      <c r="Y2328" s="40"/>
      <c r="Z2328" s="40"/>
      <c r="AA2328" s="40"/>
      <c r="AB2328" s="40"/>
    </row>
    <row r="2329" ht="18.75" customHeight="1">
      <c r="A2329" s="18"/>
      <c r="B2329" s="22"/>
      <c r="C2329" s="213"/>
      <c r="D2329" s="213"/>
      <c r="E2329" s="24"/>
      <c r="F2329" s="215"/>
      <c r="G2329" s="26"/>
      <c r="H2329" s="199"/>
      <c r="I2329" s="29"/>
      <c r="J2329" s="192"/>
      <c r="K2329" s="31"/>
      <c r="L2329" s="200"/>
      <c r="M2329" s="212"/>
      <c r="N2329" s="3"/>
      <c r="O2329" s="40"/>
      <c r="P2329" s="40"/>
      <c r="Q2329" s="212"/>
      <c r="R2329" s="31"/>
      <c r="S2329" s="40"/>
      <c r="T2329" s="40"/>
      <c r="U2329" s="40"/>
      <c r="V2329" s="40"/>
      <c r="W2329" s="40"/>
      <c r="X2329" s="40"/>
      <c r="Y2329" s="40"/>
      <c r="Z2329" s="40"/>
      <c r="AA2329" s="40"/>
      <c r="AB2329" s="40"/>
    </row>
    <row r="2330" ht="18.75" customHeight="1">
      <c r="A2330" s="18"/>
      <c r="B2330" s="22"/>
      <c r="C2330" s="213"/>
      <c r="D2330" s="213"/>
      <c r="E2330" s="24"/>
      <c r="F2330" s="215"/>
      <c r="G2330" s="26"/>
      <c r="H2330" s="199"/>
      <c r="I2330" s="29"/>
      <c r="J2330" s="192"/>
      <c r="K2330" s="31"/>
      <c r="L2330" s="200"/>
      <c r="M2330" s="212"/>
      <c r="N2330" s="3"/>
      <c r="O2330" s="40"/>
      <c r="P2330" s="40"/>
      <c r="Q2330" s="212"/>
      <c r="R2330" s="31"/>
      <c r="S2330" s="40"/>
      <c r="T2330" s="40"/>
      <c r="U2330" s="40"/>
      <c r="V2330" s="40"/>
      <c r="W2330" s="40"/>
      <c r="X2330" s="40"/>
      <c r="Y2330" s="40"/>
      <c r="Z2330" s="40"/>
      <c r="AA2330" s="40"/>
      <c r="AB2330" s="40"/>
    </row>
    <row r="2331" ht="18.75" customHeight="1">
      <c r="A2331" s="18"/>
      <c r="B2331" s="22"/>
      <c r="C2331" s="213"/>
      <c r="D2331" s="213"/>
      <c r="E2331" s="24"/>
      <c r="F2331" s="215"/>
      <c r="G2331" s="26"/>
      <c r="H2331" s="199"/>
      <c r="I2331" s="29"/>
      <c r="J2331" s="192"/>
      <c r="K2331" s="31"/>
      <c r="L2331" s="200"/>
      <c r="M2331" s="212"/>
      <c r="N2331" s="3"/>
      <c r="O2331" s="40"/>
      <c r="P2331" s="40"/>
      <c r="Q2331" s="212"/>
      <c r="R2331" s="31"/>
      <c r="S2331" s="40"/>
      <c r="T2331" s="40"/>
      <c r="U2331" s="40"/>
      <c r="V2331" s="40"/>
      <c r="W2331" s="40"/>
      <c r="X2331" s="40"/>
      <c r="Y2331" s="40"/>
      <c r="Z2331" s="40"/>
      <c r="AA2331" s="40"/>
      <c r="AB2331" s="40"/>
    </row>
    <row r="2332" ht="18.75" customHeight="1">
      <c r="A2332" s="18"/>
      <c r="B2332" s="22"/>
      <c r="C2332" s="213"/>
      <c r="D2332" s="213"/>
      <c r="E2332" s="24"/>
      <c r="F2332" s="215"/>
      <c r="G2332" s="26"/>
      <c r="H2332" s="199"/>
      <c r="I2332" s="29"/>
      <c r="J2332" s="192"/>
      <c r="K2332" s="31"/>
      <c r="L2332" s="200"/>
      <c r="M2332" s="212"/>
      <c r="N2332" s="3"/>
      <c r="O2332" s="40"/>
      <c r="P2332" s="40"/>
      <c r="Q2332" s="212"/>
      <c r="R2332" s="31"/>
      <c r="S2332" s="40"/>
      <c r="T2332" s="40"/>
      <c r="U2332" s="40"/>
      <c r="V2332" s="40"/>
      <c r="W2332" s="40"/>
      <c r="X2332" s="40"/>
      <c r="Y2332" s="40"/>
      <c r="Z2332" s="40"/>
      <c r="AA2332" s="40"/>
      <c r="AB2332" s="40"/>
    </row>
    <row r="2333" ht="18.75" customHeight="1">
      <c r="A2333" s="18"/>
      <c r="B2333" s="22"/>
      <c r="C2333" s="213"/>
      <c r="D2333" s="213"/>
      <c r="E2333" s="24"/>
      <c r="F2333" s="215"/>
      <c r="G2333" s="26"/>
      <c r="H2333" s="199"/>
      <c r="I2333" s="29"/>
      <c r="J2333" s="192"/>
      <c r="K2333" s="31"/>
      <c r="L2333" s="200"/>
      <c r="M2333" s="212"/>
      <c r="N2333" s="3"/>
      <c r="O2333" s="40"/>
      <c r="P2333" s="40"/>
      <c r="Q2333" s="212"/>
      <c r="R2333" s="31"/>
      <c r="S2333" s="40"/>
      <c r="T2333" s="40"/>
      <c r="U2333" s="40"/>
      <c r="V2333" s="40"/>
      <c r="W2333" s="40"/>
      <c r="X2333" s="40"/>
      <c r="Y2333" s="40"/>
      <c r="Z2333" s="40"/>
      <c r="AA2333" s="40"/>
      <c r="AB2333" s="40"/>
    </row>
    <row r="2334" ht="18.75" customHeight="1">
      <c r="A2334" s="18"/>
      <c r="B2334" s="22"/>
      <c r="C2334" s="213"/>
      <c r="D2334" s="213"/>
      <c r="E2334" s="24"/>
      <c r="F2334" s="215"/>
      <c r="G2334" s="26"/>
      <c r="H2334" s="199"/>
      <c r="I2334" s="29"/>
      <c r="J2334" s="192"/>
      <c r="K2334" s="31"/>
      <c r="L2334" s="200"/>
      <c r="M2334" s="212"/>
      <c r="N2334" s="3"/>
      <c r="O2334" s="40"/>
      <c r="P2334" s="40"/>
      <c r="Q2334" s="212"/>
      <c r="R2334" s="31"/>
      <c r="S2334" s="40"/>
      <c r="T2334" s="40"/>
      <c r="U2334" s="40"/>
      <c r="V2334" s="40"/>
      <c r="W2334" s="40"/>
      <c r="X2334" s="40"/>
      <c r="Y2334" s="40"/>
      <c r="Z2334" s="40"/>
      <c r="AA2334" s="40"/>
      <c r="AB2334" s="40"/>
    </row>
    <row r="2335" ht="18.75" customHeight="1">
      <c r="A2335" s="18"/>
      <c r="B2335" s="22"/>
      <c r="C2335" s="213"/>
      <c r="D2335" s="213"/>
      <c r="E2335" s="24"/>
      <c r="F2335" s="215"/>
      <c r="G2335" s="26"/>
      <c r="H2335" s="199"/>
      <c r="I2335" s="29"/>
      <c r="J2335" s="192"/>
      <c r="K2335" s="31"/>
      <c r="L2335" s="200"/>
      <c r="M2335" s="212"/>
      <c r="N2335" s="3"/>
      <c r="O2335" s="40"/>
      <c r="P2335" s="40"/>
      <c r="Q2335" s="212"/>
      <c r="R2335" s="31"/>
      <c r="S2335" s="40"/>
      <c r="T2335" s="40"/>
      <c r="U2335" s="40"/>
      <c r="V2335" s="40"/>
      <c r="W2335" s="40"/>
      <c r="X2335" s="40"/>
      <c r="Y2335" s="40"/>
      <c r="Z2335" s="40"/>
      <c r="AA2335" s="40"/>
      <c r="AB2335" s="40"/>
    </row>
    <row r="2336" ht="18.75" customHeight="1">
      <c r="A2336" s="18"/>
      <c r="B2336" s="22"/>
      <c r="C2336" s="213"/>
      <c r="D2336" s="213"/>
      <c r="E2336" s="24"/>
      <c r="F2336" s="215"/>
      <c r="G2336" s="26"/>
      <c r="H2336" s="199"/>
      <c r="I2336" s="29"/>
      <c r="J2336" s="192"/>
      <c r="K2336" s="31"/>
      <c r="L2336" s="200"/>
      <c r="M2336" s="212"/>
      <c r="N2336" s="3"/>
      <c r="O2336" s="40"/>
      <c r="P2336" s="40"/>
      <c r="Q2336" s="212"/>
      <c r="R2336" s="31"/>
      <c r="S2336" s="40"/>
      <c r="T2336" s="40"/>
      <c r="U2336" s="40"/>
      <c r="V2336" s="40"/>
      <c r="W2336" s="40"/>
      <c r="X2336" s="40"/>
      <c r="Y2336" s="40"/>
      <c r="Z2336" s="40"/>
      <c r="AA2336" s="40"/>
      <c r="AB2336" s="40"/>
    </row>
    <row r="2337" ht="18.75" customHeight="1">
      <c r="A2337" s="18"/>
      <c r="B2337" s="22"/>
      <c r="C2337" s="213"/>
      <c r="D2337" s="213"/>
      <c r="E2337" s="24"/>
      <c r="F2337" s="215"/>
      <c r="G2337" s="26"/>
      <c r="H2337" s="199"/>
      <c r="I2337" s="29"/>
      <c r="J2337" s="192"/>
      <c r="K2337" s="31"/>
      <c r="L2337" s="200"/>
      <c r="M2337" s="212"/>
      <c r="N2337" s="3"/>
      <c r="O2337" s="40"/>
      <c r="P2337" s="40"/>
      <c r="Q2337" s="212"/>
      <c r="R2337" s="31"/>
      <c r="S2337" s="40"/>
      <c r="T2337" s="40"/>
      <c r="U2337" s="40"/>
      <c r="V2337" s="40"/>
      <c r="W2337" s="40"/>
      <c r="X2337" s="40"/>
      <c r="Y2337" s="40"/>
      <c r="Z2337" s="40"/>
      <c r="AA2337" s="40"/>
      <c r="AB2337" s="40"/>
    </row>
    <row r="2338" ht="18.75" customHeight="1">
      <c r="A2338" s="18"/>
      <c r="B2338" s="22"/>
      <c r="C2338" s="213"/>
      <c r="D2338" s="213"/>
      <c r="E2338" s="24"/>
      <c r="F2338" s="215"/>
      <c r="G2338" s="26"/>
      <c r="H2338" s="199"/>
      <c r="I2338" s="29"/>
      <c r="J2338" s="192"/>
      <c r="K2338" s="31"/>
      <c r="L2338" s="200"/>
      <c r="M2338" s="212"/>
      <c r="N2338" s="3"/>
      <c r="O2338" s="40"/>
      <c r="P2338" s="40"/>
      <c r="Q2338" s="212"/>
      <c r="R2338" s="31"/>
      <c r="S2338" s="40"/>
      <c r="T2338" s="40"/>
      <c r="U2338" s="40"/>
      <c r="V2338" s="40"/>
      <c r="W2338" s="40"/>
      <c r="X2338" s="40"/>
      <c r="Y2338" s="40"/>
      <c r="Z2338" s="40"/>
      <c r="AA2338" s="40"/>
      <c r="AB2338" s="40"/>
    </row>
    <row r="2339" ht="18.75" customHeight="1">
      <c r="A2339" s="18"/>
      <c r="B2339" s="22"/>
      <c r="C2339" s="213"/>
      <c r="D2339" s="213"/>
      <c r="E2339" s="24"/>
      <c r="F2339" s="215"/>
      <c r="G2339" s="26"/>
      <c r="H2339" s="199"/>
      <c r="I2339" s="29"/>
      <c r="J2339" s="192"/>
      <c r="K2339" s="31"/>
      <c r="L2339" s="200"/>
      <c r="M2339" s="212"/>
      <c r="N2339" s="3"/>
      <c r="O2339" s="40"/>
      <c r="P2339" s="40"/>
      <c r="Q2339" s="212"/>
      <c r="R2339" s="31"/>
      <c r="S2339" s="40"/>
      <c r="T2339" s="40"/>
      <c r="U2339" s="40"/>
      <c r="V2339" s="40"/>
      <c r="W2339" s="40"/>
      <c r="X2339" s="40"/>
      <c r="Y2339" s="40"/>
      <c r="Z2339" s="40"/>
      <c r="AA2339" s="40"/>
      <c r="AB2339" s="40"/>
    </row>
    <row r="2340" ht="18.75" customHeight="1">
      <c r="A2340" s="18"/>
      <c r="B2340" s="22"/>
      <c r="C2340" s="213"/>
      <c r="D2340" s="213"/>
      <c r="E2340" s="24"/>
      <c r="F2340" s="215"/>
      <c r="G2340" s="26"/>
      <c r="H2340" s="199"/>
      <c r="I2340" s="29"/>
      <c r="J2340" s="192"/>
      <c r="K2340" s="31"/>
      <c r="L2340" s="200"/>
      <c r="M2340" s="212"/>
      <c r="N2340" s="3"/>
      <c r="O2340" s="40"/>
      <c r="P2340" s="40"/>
      <c r="Q2340" s="212"/>
      <c r="R2340" s="31"/>
      <c r="S2340" s="40"/>
      <c r="T2340" s="40"/>
      <c r="U2340" s="40"/>
      <c r="V2340" s="40"/>
      <c r="W2340" s="40"/>
      <c r="X2340" s="40"/>
      <c r="Y2340" s="40"/>
      <c r="Z2340" s="40"/>
      <c r="AA2340" s="40"/>
      <c r="AB2340" s="40"/>
    </row>
    <row r="2341" ht="18.75" customHeight="1">
      <c r="A2341" s="18"/>
      <c r="B2341" s="22"/>
      <c r="C2341" s="213"/>
      <c r="D2341" s="213"/>
      <c r="E2341" s="24"/>
      <c r="F2341" s="215"/>
      <c r="G2341" s="26"/>
      <c r="H2341" s="199"/>
      <c r="I2341" s="29"/>
      <c r="J2341" s="192"/>
      <c r="K2341" s="31"/>
      <c r="L2341" s="200"/>
      <c r="M2341" s="212"/>
      <c r="N2341" s="3"/>
      <c r="O2341" s="40"/>
      <c r="P2341" s="40"/>
      <c r="Q2341" s="212"/>
      <c r="R2341" s="31"/>
      <c r="S2341" s="40"/>
      <c r="T2341" s="40"/>
      <c r="U2341" s="40"/>
      <c r="V2341" s="40"/>
      <c r="W2341" s="40"/>
      <c r="X2341" s="40"/>
      <c r="Y2341" s="40"/>
      <c r="Z2341" s="40"/>
      <c r="AA2341" s="40"/>
      <c r="AB2341" s="40"/>
    </row>
    <row r="2342" ht="18.75" customHeight="1">
      <c r="A2342" s="18"/>
      <c r="B2342" s="22"/>
      <c r="C2342" s="213"/>
      <c r="D2342" s="213"/>
      <c r="E2342" s="24"/>
      <c r="F2342" s="215"/>
      <c r="G2342" s="26"/>
      <c r="H2342" s="199"/>
      <c r="I2342" s="29"/>
      <c r="J2342" s="192"/>
      <c r="K2342" s="31"/>
      <c r="L2342" s="200"/>
      <c r="M2342" s="212"/>
      <c r="N2342" s="3"/>
      <c r="O2342" s="40"/>
      <c r="P2342" s="40"/>
      <c r="Q2342" s="212"/>
      <c r="R2342" s="31"/>
      <c r="S2342" s="40"/>
      <c r="T2342" s="40"/>
      <c r="U2342" s="40"/>
      <c r="V2342" s="40"/>
      <c r="W2342" s="40"/>
      <c r="X2342" s="40"/>
      <c r="Y2342" s="40"/>
      <c r="Z2342" s="40"/>
      <c r="AA2342" s="40"/>
      <c r="AB2342" s="40"/>
    </row>
    <row r="2343" ht="18.75" customHeight="1">
      <c r="A2343" s="18"/>
      <c r="B2343" s="22"/>
      <c r="C2343" s="213"/>
      <c r="D2343" s="213"/>
      <c r="E2343" s="24"/>
      <c r="F2343" s="215"/>
      <c r="G2343" s="26"/>
      <c r="H2343" s="199"/>
      <c r="I2343" s="29"/>
      <c r="J2343" s="192"/>
      <c r="K2343" s="31"/>
      <c r="L2343" s="200"/>
      <c r="M2343" s="212"/>
      <c r="N2343" s="3"/>
      <c r="O2343" s="40"/>
      <c r="P2343" s="40"/>
      <c r="Q2343" s="212"/>
      <c r="R2343" s="31"/>
      <c r="S2343" s="40"/>
      <c r="T2343" s="40"/>
      <c r="U2343" s="40"/>
      <c r="V2343" s="40"/>
      <c r="W2343" s="40"/>
      <c r="X2343" s="40"/>
      <c r="Y2343" s="40"/>
      <c r="Z2343" s="40"/>
      <c r="AA2343" s="40"/>
      <c r="AB2343" s="40"/>
    </row>
    <row r="2344" ht="18.75" customHeight="1">
      <c r="A2344" s="18"/>
      <c r="B2344" s="22"/>
      <c r="C2344" s="213"/>
      <c r="D2344" s="213"/>
      <c r="E2344" s="24"/>
      <c r="F2344" s="215"/>
      <c r="G2344" s="26"/>
      <c r="H2344" s="199"/>
      <c r="I2344" s="29"/>
      <c r="J2344" s="192"/>
      <c r="K2344" s="31"/>
      <c r="L2344" s="200"/>
      <c r="M2344" s="212"/>
      <c r="N2344" s="3"/>
      <c r="O2344" s="40"/>
      <c r="P2344" s="40"/>
      <c r="Q2344" s="212"/>
      <c r="R2344" s="31"/>
      <c r="S2344" s="40"/>
      <c r="T2344" s="40"/>
      <c r="U2344" s="40"/>
      <c r="V2344" s="40"/>
      <c r="W2344" s="40"/>
      <c r="X2344" s="40"/>
      <c r="Y2344" s="40"/>
      <c r="Z2344" s="40"/>
      <c r="AA2344" s="40"/>
      <c r="AB2344" s="40"/>
    </row>
    <row r="2345" ht="18.75" customHeight="1">
      <c r="A2345" s="18"/>
      <c r="B2345" s="22"/>
      <c r="C2345" s="213"/>
      <c r="D2345" s="213"/>
      <c r="E2345" s="24"/>
      <c r="F2345" s="215"/>
      <c r="G2345" s="26"/>
      <c r="H2345" s="199"/>
      <c r="I2345" s="29"/>
      <c r="J2345" s="192"/>
      <c r="K2345" s="31"/>
      <c r="L2345" s="200"/>
      <c r="M2345" s="212"/>
      <c r="N2345" s="3"/>
      <c r="O2345" s="40"/>
      <c r="P2345" s="40"/>
      <c r="Q2345" s="212"/>
      <c r="R2345" s="31"/>
      <c r="S2345" s="40"/>
      <c r="T2345" s="40"/>
      <c r="U2345" s="40"/>
      <c r="V2345" s="40"/>
      <c r="W2345" s="40"/>
      <c r="X2345" s="40"/>
      <c r="Y2345" s="40"/>
      <c r="Z2345" s="40"/>
      <c r="AA2345" s="40"/>
      <c r="AB2345" s="40"/>
    </row>
    <row r="2346" ht="18.75" customHeight="1">
      <c r="A2346" s="18"/>
      <c r="B2346" s="22"/>
      <c r="C2346" s="213"/>
      <c r="D2346" s="213"/>
      <c r="E2346" s="24"/>
      <c r="F2346" s="215"/>
      <c r="G2346" s="26"/>
      <c r="H2346" s="199"/>
      <c r="I2346" s="29"/>
      <c r="J2346" s="192"/>
      <c r="K2346" s="31"/>
      <c r="L2346" s="200"/>
      <c r="M2346" s="212"/>
      <c r="N2346" s="3"/>
      <c r="O2346" s="40"/>
      <c r="P2346" s="40"/>
      <c r="Q2346" s="212"/>
      <c r="R2346" s="31"/>
      <c r="S2346" s="40"/>
      <c r="T2346" s="40"/>
      <c r="U2346" s="40"/>
      <c r="V2346" s="40"/>
      <c r="W2346" s="40"/>
      <c r="X2346" s="40"/>
      <c r="Y2346" s="40"/>
      <c r="Z2346" s="40"/>
      <c r="AA2346" s="40"/>
      <c r="AB2346" s="40"/>
    </row>
    <row r="2347" ht="18.75" customHeight="1">
      <c r="A2347" s="18"/>
      <c r="B2347" s="22"/>
      <c r="C2347" s="213"/>
      <c r="D2347" s="213"/>
      <c r="E2347" s="24"/>
      <c r="F2347" s="215"/>
      <c r="G2347" s="26"/>
      <c r="H2347" s="199"/>
      <c r="I2347" s="29"/>
      <c r="J2347" s="192"/>
      <c r="K2347" s="31"/>
      <c r="L2347" s="200"/>
      <c r="M2347" s="212"/>
      <c r="N2347" s="3"/>
      <c r="O2347" s="40"/>
      <c r="P2347" s="40"/>
      <c r="Q2347" s="212"/>
      <c r="R2347" s="31"/>
      <c r="S2347" s="40"/>
      <c r="T2347" s="40"/>
      <c r="U2347" s="40"/>
      <c r="V2347" s="40"/>
      <c r="W2347" s="40"/>
      <c r="X2347" s="40"/>
      <c r="Y2347" s="40"/>
      <c r="Z2347" s="40"/>
      <c r="AA2347" s="40"/>
      <c r="AB2347" s="40"/>
    </row>
    <row r="2348" ht="18.75" customHeight="1">
      <c r="A2348" s="18"/>
      <c r="B2348" s="22"/>
      <c r="C2348" s="213"/>
      <c r="D2348" s="213"/>
      <c r="E2348" s="24"/>
      <c r="F2348" s="215"/>
      <c r="G2348" s="26"/>
      <c r="H2348" s="199"/>
      <c r="I2348" s="29"/>
      <c r="J2348" s="192"/>
      <c r="K2348" s="31"/>
      <c r="L2348" s="200"/>
      <c r="M2348" s="212"/>
      <c r="N2348" s="3"/>
      <c r="O2348" s="40"/>
      <c r="P2348" s="40"/>
      <c r="Q2348" s="212"/>
      <c r="R2348" s="31"/>
      <c r="S2348" s="40"/>
      <c r="T2348" s="40"/>
      <c r="U2348" s="40"/>
      <c r="V2348" s="40"/>
      <c r="W2348" s="40"/>
      <c r="X2348" s="40"/>
      <c r="Y2348" s="40"/>
      <c r="Z2348" s="40"/>
      <c r="AA2348" s="40"/>
      <c r="AB2348" s="40"/>
    </row>
    <row r="2349" ht="18.75" customHeight="1">
      <c r="A2349" s="18"/>
      <c r="B2349" s="22"/>
      <c r="C2349" s="213"/>
      <c r="D2349" s="213"/>
      <c r="E2349" s="24"/>
      <c r="F2349" s="215"/>
      <c r="G2349" s="26"/>
      <c r="H2349" s="199"/>
      <c r="I2349" s="29"/>
      <c r="J2349" s="192"/>
      <c r="K2349" s="31"/>
      <c r="L2349" s="200"/>
      <c r="M2349" s="212"/>
      <c r="N2349" s="3"/>
      <c r="O2349" s="40"/>
      <c r="P2349" s="40"/>
      <c r="Q2349" s="212"/>
      <c r="R2349" s="31"/>
      <c r="S2349" s="40"/>
      <c r="T2349" s="40"/>
      <c r="U2349" s="40"/>
      <c r="V2349" s="40"/>
      <c r="W2349" s="40"/>
      <c r="X2349" s="40"/>
      <c r="Y2349" s="40"/>
      <c r="Z2349" s="40"/>
      <c r="AA2349" s="40"/>
      <c r="AB2349" s="40"/>
    </row>
    <row r="2350" ht="18.75" customHeight="1">
      <c r="A2350" s="18"/>
      <c r="B2350" s="22"/>
      <c r="C2350" s="213"/>
      <c r="D2350" s="213"/>
      <c r="E2350" s="24"/>
      <c r="F2350" s="215"/>
      <c r="G2350" s="26"/>
      <c r="H2350" s="199"/>
      <c r="I2350" s="29"/>
      <c r="J2350" s="192"/>
      <c r="K2350" s="31"/>
      <c r="L2350" s="200"/>
      <c r="M2350" s="212"/>
      <c r="N2350" s="3"/>
      <c r="O2350" s="40"/>
      <c r="P2350" s="40"/>
      <c r="Q2350" s="212"/>
      <c r="R2350" s="31"/>
      <c r="S2350" s="40"/>
      <c r="T2350" s="40"/>
      <c r="U2350" s="40"/>
      <c r="V2350" s="40"/>
      <c r="W2350" s="40"/>
      <c r="X2350" s="40"/>
      <c r="Y2350" s="40"/>
      <c r="Z2350" s="40"/>
      <c r="AA2350" s="40"/>
      <c r="AB2350" s="40"/>
    </row>
    <row r="2351" ht="18.75" customHeight="1">
      <c r="A2351" s="18"/>
      <c r="B2351" s="22"/>
      <c r="C2351" s="213"/>
      <c r="D2351" s="213"/>
      <c r="E2351" s="24"/>
      <c r="F2351" s="215"/>
      <c r="G2351" s="26"/>
      <c r="H2351" s="199"/>
      <c r="I2351" s="29"/>
      <c r="J2351" s="192"/>
      <c r="K2351" s="31"/>
      <c r="L2351" s="200"/>
      <c r="M2351" s="212"/>
      <c r="N2351" s="3"/>
      <c r="O2351" s="40"/>
      <c r="P2351" s="40"/>
      <c r="Q2351" s="212"/>
      <c r="R2351" s="31"/>
      <c r="S2351" s="40"/>
      <c r="T2351" s="40"/>
      <c r="U2351" s="40"/>
      <c r="V2351" s="40"/>
      <c r="W2351" s="40"/>
      <c r="X2351" s="40"/>
      <c r="Y2351" s="40"/>
      <c r="Z2351" s="40"/>
      <c r="AA2351" s="40"/>
      <c r="AB2351" s="40"/>
    </row>
    <row r="2352" ht="18.75" customHeight="1">
      <c r="A2352" s="18"/>
      <c r="B2352" s="22"/>
      <c r="C2352" s="213"/>
      <c r="D2352" s="213"/>
      <c r="E2352" s="24"/>
      <c r="F2352" s="215"/>
      <c r="G2352" s="26"/>
      <c r="H2352" s="199"/>
      <c r="I2352" s="29"/>
      <c r="J2352" s="192"/>
      <c r="K2352" s="31"/>
      <c r="L2352" s="200"/>
      <c r="M2352" s="212"/>
      <c r="N2352" s="3"/>
      <c r="O2352" s="40"/>
      <c r="P2352" s="40"/>
      <c r="Q2352" s="212"/>
      <c r="R2352" s="31"/>
      <c r="S2352" s="40"/>
      <c r="T2352" s="40"/>
      <c r="U2352" s="40"/>
      <c r="V2352" s="40"/>
      <c r="W2352" s="40"/>
      <c r="X2352" s="40"/>
      <c r="Y2352" s="40"/>
      <c r="Z2352" s="40"/>
      <c r="AA2352" s="40"/>
      <c r="AB2352" s="40"/>
    </row>
    <row r="2353" ht="18.75" customHeight="1">
      <c r="A2353" s="18"/>
      <c r="B2353" s="22"/>
      <c r="C2353" s="213"/>
      <c r="D2353" s="213"/>
      <c r="E2353" s="24"/>
      <c r="F2353" s="215"/>
      <c r="G2353" s="26"/>
      <c r="H2353" s="199"/>
      <c r="I2353" s="29"/>
      <c r="J2353" s="192"/>
      <c r="K2353" s="31"/>
      <c r="L2353" s="200"/>
      <c r="M2353" s="212"/>
      <c r="N2353" s="3"/>
      <c r="O2353" s="40"/>
      <c r="P2353" s="40"/>
      <c r="Q2353" s="212"/>
      <c r="R2353" s="31"/>
      <c r="S2353" s="40"/>
      <c r="T2353" s="40"/>
      <c r="U2353" s="40"/>
      <c r="V2353" s="40"/>
      <c r="W2353" s="40"/>
      <c r="X2353" s="40"/>
      <c r="Y2353" s="40"/>
      <c r="Z2353" s="40"/>
      <c r="AA2353" s="40"/>
      <c r="AB2353" s="40"/>
    </row>
    <row r="2354" ht="18.75" customHeight="1">
      <c r="A2354" s="18"/>
      <c r="B2354" s="22"/>
      <c r="C2354" s="213"/>
      <c r="D2354" s="213"/>
      <c r="E2354" s="24"/>
      <c r="F2354" s="215"/>
      <c r="G2354" s="26"/>
      <c r="H2354" s="199"/>
      <c r="I2354" s="29"/>
      <c r="J2354" s="192"/>
      <c r="K2354" s="31"/>
      <c r="L2354" s="200"/>
      <c r="M2354" s="212"/>
      <c r="N2354" s="3"/>
      <c r="O2354" s="40"/>
      <c r="P2354" s="40"/>
      <c r="Q2354" s="212"/>
      <c r="R2354" s="31"/>
      <c r="S2354" s="40"/>
      <c r="T2354" s="40"/>
      <c r="U2354" s="40"/>
      <c r="V2354" s="40"/>
      <c r="W2354" s="40"/>
      <c r="X2354" s="40"/>
      <c r="Y2354" s="40"/>
      <c r="Z2354" s="40"/>
      <c r="AA2354" s="40"/>
      <c r="AB2354" s="40"/>
    </row>
    <row r="2355" ht="18.75" customHeight="1">
      <c r="A2355" s="18"/>
      <c r="B2355" s="22"/>
      <c r="C2355" s="213"/>
      <c r="D2355" s="213"/>
      <c r="E2355" s="24"/>
      <c r="F2355" s="215"/>
      <c r="G2355" s="26"/>
      <c r="H2355" s="199"/>
      <c r="I2355" s="29"/>
      <c r="J2355" s="192"/>
      <c r="K2355" s="31"/>
      <c r="L2355" s="200"/>
      <c r="M2355" s="212"/>
      <c r="N2355" s="3"/>
      <c r="O2355" s="40"/>
      <c r="P2355" s="40"/>
      <c r="Q2355" s="212"/>
      <c r="R2355" s="31"/>
      <c r="S2355" s="40"/>
      <c r="T2355" s="40"/>
      <c r="U2355" s="40"/>
      <c r="V2355" s="40"/>
      <c r="W2355" s="40"/>
      <c r="X2355" s="40"/>
      <c r="Y2355" s="40"/>
      <c r="Z2355" s="40"/>
      <c r="AA2355" s="40"/>
      <c r="AB2355" s="40"/>
    </row>
    <row r="2356" ht="18.75" customHeight="1">
      <c r="A2356" s="18"/>
      <c r="B2356" s="22"/>
      <c r="C2356" s="213"/>
      <c r="D2356" s="213"/>
      <c r="E2356" s="24"/>
      <c r="F2356" s="215"/>
      <c r="G2356" s="26"/>
      <c r="H2356" s="199"/>
      <c r="I2356" s="29"/>
      <c r="J2356" s="192"/>
      <c r="K2356" s="31"/>
      <c r="L2356" s="200"/>
      <c r="M2356" s="212"/>
      <c r="N2356" s="3"/>
      <c r="O2356" s="40"/>
      <c r="P2356" s="40"/>
      <c r="Q2356" s="212"/>
      <c r="R2356" s="31"/>
      <c r="S2356" s="40"/>
      <c r="T2356" s="40"/>
      <c r="U2356" s="40"/>
      <c r="V2356" s="40"/>
      <c r="W2356" s="40"/>
      <c r="X2356" s="40"/>
      <c r="Y2356" s="40"/>
      <c r="Z2356" s="40"/>
      <c r="AA2356" s="40"/>
      <c r="AB2356" s="40"/>
    </row>
    <row r="2357" ht="18.75" customHeight="1">
      <c r="A2357" s="18"/>
      <c r="B2357" s="22"/>
      <c r="C2357" s="213"/>
      <c r="D2357" s="213"/>
      <c r="E2357" s="24"/>
      <c r="F2357" s="215"/>
      <c r="G2357" s="26"/>
      <c r="H2357" s="199"/>
      <c r="I2357" s="29"/>
      <c r="J2357" s="192"/>
      <c r="K2357" s="31"/>
      <c r="L2357" s="200"/>
      <c r="M2357" s="212"/>
      <c r="N2357" s="3"/>
      <c r="O2357" s="40"/>
      <c r="P2357" s="40"/>
      <c r="Q2357" s="212"/>
      <c r="R2357" s="31"/>
      <c r="S2357" s="40"/>
      <c r="T2357" s="40"/>
      <c r="U2357" s="40"/>
      <c r="V2357" s="40"/>
      <c r="W2357" s="40"/>
      <c r="X2357" s="40"/>
      <c r="Y2357" s="40"/>
      <c r="Z2357" s="40"/>
      <c r="AA2357" s="40"/>
      <c r="AB2357" s="40"/>
    </row>
    <row r="2358" ht="18.75" customHeight="1">
      <c r="A2358" s="18"/>
      <c r="B2358" s="22"/>
      <c r="C2358" s="213"/>
      <c r="D2358" s="213"/>
      <c r="E2358" s="24"/>
      <c r="F2358" s="215"/>
      <c r="G2358" s="26"/>
      <c r="H2358" s="199"/>
      <c r="I2358" s="29"/>
      <c r="J2358" s="192"/>
      <c r="K2358" s="31"/>
      <c r="L2358" s="200"/>
      <c r="M2358" s="212"/>
      <c r="N2358" s="3"/>
      <c r="O2358" s="40"/>
      <c r="P2358" s="40"/>
      <c r="Q2358" s="212"/>
      <c r="R2358" s="31"/>
      <c r="S2358" s="40"/>
      <c r="T2358" s="40"/>
      <c r="U2358" s="40"/>
      <c r="V2358" s="40"/>
      <c r="W2358" s="40"/>
      <c r="X2358" s="40"/>
      <c r="Y2358" s="40"/>
      <c r="Z2358" s="40"/>
      <c r="AA2358" s="40"/>
      <c r="AB2358" s="40"/>
    </row>
    <row r="2359" ht="18.75" customHeight="1">
      <c r="A2359" s="18"/>
      <c r="B2359" s="22"/>
      <c r="C2359" s="213"/>
      <c r="D2359" s="213"/>
      <c r="E2359" s="24"/>
      <c r="F2359" s="215"/>
      <c r="G2359" s="26"/>
      <c r="H2359" s="199"/>
      <c r="I2359" s="29"/>
      <c r="J2359" s="192"/>
      <c r="K2359" s="31"/>
      <c r="L2359" s="200"/>
      <c r="M2359" s="212"/>
      <c r="N2359" s="3"/>
      <c r="O2359" s="40"/>
      <c r="P2359" s="40"/>
      <c r="Q2359" s="212"/>
      <c r="R2359" s="31"/>
      <c r="S2359" s="40"/>
      <c r="T2359" s="40"/>
      <c r="U2359" s="40"/>
      <c r="V2359" s="40"/>
      <c r="W2359" s="40"/>
      <c r="X2359" s="40"/>
      <c r="Y2359" s="40"/>
      <c r="Z2359" s="40"/>
      <c r="AA2359" s="40"/>
      <c r="AB2359" s="40"/>
    </row>
    <row r="2360" ht="18.75" customHeight="1">
      <c r="A2360" s="18"/>
      <c r="B2360" s="22"/>
      <c r="C2360" s="213"/>
      <c r="D2360" s="213"/>
      <c r="E2360" s="24"/>
      <c r="F2360" s="215"/>
      <c r="G2360" s="26"/>
      <c r="H2360" s="199"/>
      <c r="I2360" s="29"/>
      <c r="J2360" s="192"/>
      <c r="K2360" s="31"/>
      <c r="L2360" s="200"/>
      <c r="M2360" s="212"/>
      <c r="N2360" s="3"/>
      <c r="O2360" s="40"/>
      <c r="P2360" s="40"/>
      <c r="Q2360" s="212"/>
      <c r="R2360" s="31"/>
      <c r="S2360" s="40"/>
      <c r="T2360" s="40"/>
      <c r="U2360" s="40"/>
      <c r="V2360" s="40"/>
      <c r="W2360" s="40"/>
      <c r="X2360" s="40"/>
      <c r="Y2360" s="40"/>
      <c r="Z2360" s="40"/>
      <c r="AA2360" s="40"/>
      <c r="AB2360" s="40"/>
    </row>
    <row r="2361" ht="18.75" customHeight="1">
      <c r="A2361" s="18"/>
      <c r="B2361" s="22"/>
      <c r="C2361" s="213"/>
      <c r="D2361" s="213"/>
      <c r="E2361" s="24"/>
      <c r="F2361" s="215"/>
      <c r="G2361" s="26"/>
      <c r="H2361" s="199"/>
      <c r="I2361" s="29"/>
      <c r="J2361" s="192"/>
      <c r="K2361" s="31"/>
      <c r="L2361" s="200"/>
      <c r="M2361" s="212"/>
      <c r="N2361" s="3"/>
      <c r="O2361" s="40"/>
      <c r="P2361" s="40"/>
      <c r="Q2361" s="212"/>
      <c r="R2361" s="31"/>
      <c r="S2361" s="40"/>
      <c r="T2361" s="40"/>
      <c r="U2361" s="40"/>
      <c r="V2361" s="40"/>
      <c r="W2361" s="40"/>
      <c r="X2361" s="40"/>
      <c r="Y2361" s="40"/>
      <c r="Z2361" s="40"/>
      <c r="AA2361" s="40"/>
      <c r="AB2361" s="40"/>
    </row>
    <row r="2362" ht="18.75" customHeight="1">
      <c r="A2362" s="18"/>
      <c r="B2362" s="22"/>
      <c r="C2362" s="213"/>
      <c r="D2362" s="213"/>
      <c r="E2362" s="24"/>
      <c r="F2362" s="215"/>
      <c r="G2362" s="26"/>
      <c r="H2362" s="199"/>
      <c r="I2362" s="29"/>
      <c r="J2362" s="192"/>
      <c r="K2362" s="31"/>
      <c r="L2362" s="200"/>
      <c r="M2362" s="212"/>
      <c r="N2362" s="3"/>
      <c r="O2362" s="40"/>
      <c r="P2362" s="40"/>
      <c r="Q2362" s="212"/>
      <c r="R2362" s="31"/>
      <c r="S2362" s="40"/>
      <c r="T2362" s="40"/>
      <c r="U2362" s="40"/>
      <c r="V2362" s="40"/>
      <c r="W2362" s="40"/>
      <c r="X2362" s="40"/>
      <c r="Y2362" s="40"/>
      <c r="Z2362" s="40"/>
      <c r="AA2362" s="40"/>
      <c r="AB2362" s="40"/>
    </row>
    <row r="2363" ht="18.75" customHeight="1">
      <c r="A2363" s="18"/>
      <c r="B2363" s="22"/>
      <c r="C2363" s="213"/>
      <c r="D2363" s="213"/>
      <c r="E2363" s="24"/>
      <c r="F2363" s="215"/>
      <c r="G2363" s="26"/>
      <c r="H2363" s="199"/>
      <c r="I2363" s="29"/>
      <c r="J2363" s="192"/>
      <c r="K2363" s="31"/>
      <c r="L2363" s="200"/>
      <c r="M2363" s="212"/>
      <c r="N2363" s="3"/>
      <c r="O2363" s="40"/>
      <c r="P2363" s="40"/>
      <c r="Q2363" s="212"/>
      <c r="R2363" s="31"/>
      <c r="S2363" s="40"/>
      <c r="T2363" s="40"/>
      <c r="U2363" s="40"/>
      <c r="V2363" s="40"/>
      <c r="W2363" s="40"/>
      <c r="X2363" s="40"/>
      <c r="Y2363" s="40"/>
      <c r="Z2363" s="40"/>
      <c r="AA2363" s="40"/>
      <c r="AB2363" s="40"/>
    </row>
    <row r="2364" ht="18.75" customHeight="1">
      <c r="A2364" s="18"/>
      <c r="B2364" s="22"/>
      <c r="C2364" s="213"/>
      <c r="D2364" s="213"/>
      <c r="E2364" s="24"/>
      <c r="F2364" s="215"/>
      <c r="G2364" s="26"/>
      <c r="H2364" s="199"/>
      <c r="I2364" s="29"/>
      <c r="J2364" s="192"/>
      <c r="K2364" s="31"/>
      <c r="L2364" s="200"/>
      <c r="M2364" s="212"/>
      <c r="N2364" s="3"/>
      <c r="O2364" s="40"/>
      <c r="P2364" s="40"/>
      <c r="Q2364" s="212"/>
      <c r="R2364" s="31"/>
      <c r="S2364" s="40"/>
      <c r="T2364" s="40"/>
      <c r="U2364" s="40"/>
      <c r="V2364" s="40"/>
      <c r="W2364" s="40"/>
      <c r="X2364" s="40"/>
      <c r="Y2364" s="40"/>
      <c r="Z2364" s="40"/>
      <c r="AA2364" s="40"/>
      <c r="AB2364" s="40"/>
    </row>
    <row r="2365" ht="18.75" customHeight="1">
      <c r="A2365" s="18"/>
      <c r="B2365" s="22"/>
      <c r="C2365" s="213"/>
      <c r="D2365" s="213"/>
      <c r="E2365" s="24"/>
      <c r="F2365" s="215"/>
      <c r="G2365" s="26"/>
      <c r="H2365" s="199"/>
      <c r="I2365" s="29"/>
      <c r="J2365" s="192"/>
      <c r="K2365" s="31"/>
      <c r="L2365" s="200"/>
      <c r="M2365" s="212"/>
      <c r="N2365" s="3"/>
      <c r="O2365" s="40"/>
      <c r="P2365" s="40"/>
      <c r="Q2365" s="212"/>
      <c r="R2365" s="31"/>
      <c r="S2365" s="40"/>
      <c r="T2365" s="40"/>
      <c r="U2365" s="40"/>
      <c r="V2365" s="40"/>
      <c r="W2365" s="40"/>
      <c r="X2365" s="40"/>
      <c r="Y2365" s="40"/>
      <c r="Z2365" s="40"/>
      <c r="AA2365" s="40"/>
      <c r="AB2365" s="40"/>
    </row>
    <row r="2366" ht="18.75" customHeight="1">
      <c r="A2366" s="18"/>
      <c r="B2366" s="22"/>
      <c r="C2366" s="213"/>
      <c r="D2366" s="213"/>
      <c r="E2366" s="24"/>
      <c r="F2366" s="215"/>
      <c r="G2366" s="26"/>
      <c r="H2366" s="199"/>
      <c r="I2366" s="29"/>
      <c r="J2366" s="192"/>
      <c r="K2366" s="31"/>
      <c r="L2366" s="200"/>
      <c r="M2366" s="212"/>
      <c r="N2366" s="3"/>
      <c r="O2366" s="40"/>
      <c r="P2366" s="40"/>
      <c r="Q2366" s="212"/>
      <c r="R2366" s="31"/>
      <c r="S2366" s="40"/>
      <c r="T2366" s="40"/>
      <c r="U2366" s="40"/>
      <c r="V2366" s="40"/>
      <c r="W2366" s="40"/>
      <c r="X2366" s="40"/>
      <c r="Y2366" s="40"/>
      <c r="Z2366" s="40"/>
      <c r="AA2366" s="40"/>
      <c r="AB2366" s="40"/>
    </row>
    <row r="2367" ht="18.75" customHeight="1">
      <c r="A2367" s="18"/>
      <c r="B2367" s="22"/>
      <c r="C2367" s="213"/>
      <c r="D2367" s="213"/>
      <c r="E2367" s="24"/>
      <c r="F2367" s="215"/>
      <c r="G2367" s="26"/>
      <c r="H2367" s="199"/>
      <c r="I2367" s="29"/>
      <c r="J2367" s="192"/>
      <c r="K2367" s="31"/>
      <c r="L2367" s="200"/>
      <c r="M2367" s="212"/>
      <c r="N2367" s="3"/>
      <c r="O2367" s="40"/>
      <c r="P2367" s="40"/>
      <c r="Q2367" s="212"/>
      <c r="R2367" s="31"/>
      <c r="S2367" s="40"/>
      <c r="T2367" s="40"/>
      <c r="U2367" s="40"/>
      <c r="V2367" s="40"/>
      <c r="W2367" s="40"/>
      <c r="X2367" s="40"/>
      <c r="Y2367" s="40"/>
      <c r="Z2367" s="40"/>
      <c r="AA2367" s="40"/>
      <c r="AB2367" s="40"/>
    </row>
    <row r="2368" ht="18.75" customHeight="1">
      <c r="A2368" s="18"/>
      <c r="B2368" s="22"/>
      <c r="C2368" s="213"/>
      <c r="D2368" s="213"/>
      <c r="E2368" s="24"/>
      <c r="F2368" s="215"/>
      <c r="G2368" s="26"/>
      <c r="H2368" s="199"/>
      <c r="I2368" s="29"/>
      <c r="J2368" s="192"/>
      <c r="K2368" s="31"/>
      <c r="L2368" s="200"/>
      <c r="M2368" s="212"/>
      <c r="N2368" s="3"/>
      <c r="O2368" s="40"/>
      <c r="P2368" s="40"/>
      <c r="Q2368" s="212"/>
      <c r="R2368" s="31"/>
      <c r="S2368" s="40"/>
      <c r="T2368" s="40"/>
      <c r="U2368" s="40"/>
      <c r="V2368" s="40"/>
      <c r="W2368" s="40"/>
      <c r="X2368" s="40"/>
      <c r="Y2368" s="40"/>
      <c r="Z2368" s="40"/>
      <c r="AA2368" s="40"/>
      <c r="AB2368" s="40"/>
    </row>
    <row r="2369" ht="18.75" customHeight="1">
      <c r="A2369" s="18"/>
      <c r="B2369" s="22"/>
      <c r="C2369" s="213"/>
      <c r="D2369" s="213"/>
      <c r="E2369" s="24"/>
      <c r="F2369" s="215"/>
      <c r="G2369" s="26"/>
      <c r="H2369" s="199"/>
      <c r="I2369" s="29"/>
      <c r="J2369" s="192"/>
      <c r="K2369" s="31"/>
      <c r="L2369" s="200"/>
      <c r="M2369" s="212"/>
      <c r="N2369" s="3"/>
      <c r="O2369" s="40"/>
      <c r="P2369" s="40"/>
      <c r="Q2369" s="212"/>
      <c r="R2369" s="31"/>
      <c r="S2369" s="40"/>
      <c r="T2369" s="40"/>
      <c r="U2369" s="40"/>
      <c r="V2369" s="40"/>
      <c r="W2369" s="40"/>
      <c r="X2369" s="40"/>
      <c r="Y2369" s="40"/>
      <c r="Z2369" s="40"/>
      <c r="AA2369" s="40"/>
      <c r="AB2369" s="40"/>
    </row>
    <row r="2370" ht="18.75" customHeight="1">
      <c r="A2370" s="18"/>
      <c r="B2370" s="22"/>
      <c r="C2370" s="213"/>
      <c r="D2370" s="213"/>
      <c r="E2370" s="24"/>
      <c r="F2370" s="215"/>
      <c r="G2370" s="26"/>
      <c r="H2370" s="199"/>
      <c r="I2370" s="29"/>
      <c r="J2370" s="192"/>
      <c r="K2370" s="31"/>
      <c r="L2370" s="200"/>
      <c r="M2370" s="212"/>
      <c r="N2370" s="3"/>
      <c r="O2370" s="40"/>
      <c r="P2370" s="40"/>
      <c r="Q2370" s="212"/>
      <c r="R2370" s="31"/>
      <c r="S2370" s="40"/>
      <c r="T2370" s="40"/>
      <c r="U2370" s="40"/>
      <c r="V2370" s="40"/>
      <c r="W2370" s="40"/>
      <c r="X2370" s="40"/>
      <c r="Y2370" s="40"/>
      <c r="Z2370" s="40"/>
      <c r="AA2370" s="40"/>
      <c r="AB2370" s="40"/>
    </row>
    <row r="2371" ht="18.75" customHeight="1">
      <c r="A2371" s="18"/>
      <c r="B2371" s="22"/>
      <c r="C2371" s="213"/>
      <c r="D2371" s="213"/>
      <c r="E2371" s="24"/>
      <c r="F2371" s="215"/>
      <c r="G2371" s="26"/>
      <c r="H2371" s="199"/>
      <c r="I2371" s="29"/>
      <c r="J2371" s="192"/>
      <c r="K2371" s="31"/>
      <c r="L2371" s="200"/>
      <c r="M2371" s="212"/>
      <c r="N2371" s="3"/>
      <c r="O2371" s="40"/>
      <c r="P2371" s="40"/>
      <c r="Q2371" s="212"/>
      <c r="R2371" s="31"/>
      <c r="S2371" s="40"/>
      <c r="T2371" s="40"/>
      <c r="U2371" s="40"/>
      <c r="V2371" s="40"/>
      <c r="W2371" s="40"/>
      <c r="X2371" s="40"/>
      <c r="Y2371" s="40"/>
      <c r="Z2371" s="40"/>
      <c r="AA2371" s="40"/>
      <c r="AB2371" s="40"/>
    </row>
    <row r="2372" ht="18.75" customHeight="1">
      <c r="A2372" s="18"/>
      <c r="B2372" s="22"/>
      <c r="C2372" s="213"/>
      <c r="D2372" s="213"/>
      <c r="E2372" s="24"/>
      <c r="F2372" s="215"/>
      <c r="G2372" s="26"/>
      <c r="H2372" s="199"/>
      <c r="I2372" s="29"/>
      <c r="J2372" s="192"/>
      <c r="K2372" s="31"/>
      <c r="L2372" s="200"/>
      <c r="M2372" s="212"/>
      <c r="N2372" s="3"/>
      <c r="O2372" s="40"/>
      <c r="P2372" s="40"/>
      <c r="Q2372" s="212"/>
      <c r="R2372" s="31"/>
      <c r="S2372" s="40"/>
      <c r="T2372" s="40"/>
      <c r="U2372" s="40"/>
      <c r="V2372" s="40"/>
      <c r="W2372" s="40"/>
      <c r="X2372" s="40"/>
      <c r="Y2372" s="40"/>
      <c r="Z2372" s="40"/>
      <c r="AA2372" s="40"/>
      <c r="AB2372" s="40"/>
    </row>
    <row r="2373" ht="18.75" customHeight="1">
      <c r="A2373" s="18"/>
      <c r="B2373" s="22"/>
      <c r="C2373" s="213"/>
      <c r="D2373" s="213"/>
      <c r="E2373" s="24"/>
      <c r="F2373" s="215"/>
      <c r="G2373" s="26"/>
      <c r="H2373" s="199"/>
      <c r="I2373" s="29"/>
      <c r="J2373" s="192"/>
      <c r="K2373" s="31"/>
      <c r="L2373" s="200"/>
      <c r="M2373" s="212"/>
      <c r="N2373" s="3"/>
      <c r="O2373" s="40"/>
      <c r="P2373" s="40"/>
      <c r="Q2373" s="212"/>
      <c r="R2373" s="31"/>
      <c r="S2373" s="40"/>
      <c r="T2373" s="40"/>
      <c r="U2373" s="40"/>
      <c r="V2373" s="40"/>
      <c r="W2373" s="40"/>
      <c r="X2373" s="40"/>
      <c r="Y2373" s="40"/>
      <c r="Z2373" s="40"/>
      <c r="AA2373" s="40"/>
      <c r="AB2373" s="40"/>
    </row>
    <row r="2374" ht="18.75" customHeight="1">
      <c r="A2374" s="18"/>
      <c r="B2374" s="22"/>
      <c r="C2374" s="213"/>
      <c r="D2374" s="213"/>
      <c r="E2374" s="24"/>
      <c r="F2374" s="215"/>
      <c r="G2374" s="26"/>
      <c r="H2374" s="199"/>
      <c r="I2374" s="29"/>
      <c r="J2374" s="192"/>
      <c r="K2374" s="31"/>
      <c r="L2374" s="200"/>
      <c r="M2374" s="212"/>
      <c r="N2374" s="3"/>
      <c r="O2374" s="40"/>
      <c r="P2374" s="40"/>
      <c r="Q2374" s="212"/>
      <c r="R2374" s="31"/>
      <c r="S2374" s="40"/>
      <c r="T2374" s="40"/>
      <c r="U2374" s="40"/>
      <c r="V2374" s="40"/>
      <c r="W2374" s="40"/>
      <c r="X2374" s="40"/>
      <c r="Y2374" s="40"/>
      <c r="Z2374" s="40"/>
      <c r="AA2374" s="40"/>
      <c r="AB2374" s="40"/>
    </row>
    <row r="2375" ht="18.75" customHeight="1">
      <c r="A2375" s="18"/>
      <c r="B2375" s="22"/>
      <c r="C2375" s="213"/>
      <c r="D2375" s="213"/>
      <c r="E2375" s="24"/>
      <c r="F2375" s="215"/>
      <c r="G2375" s="26"/>
      <c r="H2375" s="199"/>
      <c r="I2375" s="29"/>
      <c r="J2375" s="192"/>
      <c r="K2375" s="31"/>
      <c r="L2375" s="200"/>
      <c r="M2375" s="212"/>
      <c r="N2375" s="3"/>
      <c r="O2375" s="40"/>
      <c r="P2375" s="40"/>
      <c r="Q2375" s="212"/>
      <c r="R2375" s="31"/>
      <c r="S2375" s="40"/>
      <c r="T2375" s="40"/>
      <c r="U2375" s="40"/>
      <c r="V2375" s="40"/>
      <c r="W2375" s="40"/>
      <c r="X2375" s="40"/>
      <c r="Y2375" s="40"/>
      <c r="Z2375" s="40"/>
      <c r="AA2375" s="40"/>
      <c r="AB2375" s="40"/>
    </row>
    <row r="2376" ht="18.75" customHeight="1">
      <c r="A2376" s="18"/>
      <c r="B2376" s="22"/>
      <c r="C2376" s="213"/>
      <c r="D2376" s="213"/>
      <c r="E2376" s="24"/>
      <c r="F2376" s="215"/>
      <c r="G2376" s="26"/>
      <c r="H2376" s="199"/>
      <c r="I2376" s="29"/>
      <c r="J2376" s="192"/>
      <c r="K2376" s="31"/>
      <c r="L2376" s="200"/>
      <c r="M2376" s="212"/>
      <c r="N2376" s="3"/>
      <c r="O2376" s="40"/>
      <c r="P2376" s="40"/>
      <c r="Q2376" s="212"/>
      <c r="R2376" s="31"/>
      <c r="S2376" s="40"/>
      <c r="T2376" s="40"/>
      <c r="U2376" s="40"/>
      <c r="V2376" s="40"/>
      <c r="W2376" s="40"/>
      <c r="X2376" s="40"/>
      <c r="Y2376" s="40"/>
      <c r="Z2376" s="40"/>
      <c r="AA2376" s="40"/>
      <c r="AB2376" s="40"/>
    </row>
    <row r="2377" ht="18.75" customHeight="1">
      <c r="A2377" s="18"/>
      <c r="B2377" s="22"/>
      <c r="C2377" s="213"/>
      <c r="D2377" s="213"/>
      <c r="E2377" s="24"/>
      <c r="F2377" s="215"/>
      <c r="G2377" s="26"/>
      <c r="H2377" s="199"/>
      <c r="I2377" s="29"/>
      <c r="J2377" s="192"/>
      <c r="K2377" s="31"/>
      <c r="L2377" s="200"/>
      <c r="M2377" s="212"/>
      <c r="N2377" s="3"/>
      <c r="O2377" s="40"/>
      <c r="P2377" s="40"/>
      <c r="Q2377" s="212"/>
      <c r="R2377" s="31"/>
      <c r="S2377" s="40"/>
      <c r="T2377" s="40"/>
      <c r="U2377" s="40"/>
      <c r="V2377" s="40"/>
      <c r="W2377" s="40"/>
      <c r="X2377" s="40"/>
      <c r="Y2377" s="40"/>
      <c r="Z2377" s="40"/>
      <c r="AA2377" s="40"/>
      <c r="AB2377" s="40"/>
    </row>
    <row r="2378" ht="18.75" customHeight="1">
      <c r="A2378" s="18"/>
      <c r="B2378" s="22"/>
      <c r="C2378" s="213"/>
      <c r="D2378" s="213"/>
      <c r="E2378" s="24"/>
      <c r="F2378" s="215"/>
      <c r="G2378" s="26"/>
      <c r="H2378" s="199"/>
      <c r="I2378" s="29"/>
      <c r="J2378" s="192"/>
      <c r="K2378" s="31"/>
      <c r="L2378" s="200"/>
      <c r="M2378" s="212"/>
      <c r="N2378" s="3"/>
      <c r="O2378" s="40"/>
      <c r="P2378" s="40"/>
      <c r="Q2378" s="212"/>
      <c r="R2378" s="31"/>
      <c r="S2378" s="40"/>
      <c r="T2378" s="40"/>
      <c r="U2378" s="40"/>
      <c r="V2378" s="40"/>
      <c r="W2378" s="40"/>
      <c r="X2378" s="40"/>
      <c r="Y2378" s="40"/>
      <c r="Z2378" s="40"/>
      <c r="AA2378" s="40"/>
      <c r="AB2378" s="40"/>
    </row>
    <row r="2379" ht="18.75" customHeight="1">
      <c r="A2379" s="18"/>
      <c r="B2379" s="22"/>
      <c r="C2379" s="213"/>
      <c r="D2379" s="213"/>
      <c r="E2379" s="24"/>
      <c r="F2379" s="215"/>
      <c r="G2379" s="26"/>
      <c r="H2379" s="199"/>
      <c r="I2379" s="29"/>
      <c r="J2379" s="192"/>
      <c r="K2379" s="31"/>
      <c r="L2379" s="200"/>
      <c r="M2379" s="212"/>
      <c r="N2379" s="3"/>
      <c r="O2379" s="40"/>
      <c r="P2379" s="40"/>
      <c r="Q2379" s="212"/>
      <c r="R2379" s="31"/>
      <c r="S2379" s="40"/>
      <c r="T2379" s="40"/>
      <c r="U2379" s="40"/>
      <c r="V2379" s="40"/>
      <c r="W2379" s="40"/>
      <c r="X2379" s="40"/>
      <c r="Y2379" s="40"/>
      <c r="Z2379" s="40"/>
      <c r="AA2379" s="40"/>
      <c r="AB2379" s="40"/>
    </row>
    <row r="2380" ht="18.75" customHeight="1">
      <c r="A2380" s="18"/>
      <c r="B2380" s="22"/>
      <c r="C2380" s="213"/>
      <c r="D2380" s="213"/>
      <c r="E2380" s="24"/>
      <c r="F2380" s="215"/>
      <c r="G2380" s="26"/>
      <c r="H2380" s="199"/>
      <c r="I2380" s="29"/>
      <c r="J2380" s="192"/>
      <c r="K2380" s="31"/>
      <c r="L2380" s="200"/>
      <c r="M2380" s="212"/>
      <c r="N2380" s="3"/>
      <c r="O2380" s="40"/>
      <c r="P2380" s="40"/>
      <c r="Q2380" s="212"/>
      <c r="R2380" s="31"/>
      <c r="S2380" s="40"/>
      <c r="T2380" s="40"/>
      <c r="U2380" s="40"/>
      <c r="V2380" s="40"/>
      <c r="W2380" s="40"/>
      <c r="X2380" s="40"/>
      <c r="Y2380" s="40"/>
      <c r="Z2380" s="40"/>
      <c r="AA2380" s="40"/>
      <c r="AB2380" s="40"/>
    </row>
    <row r="2381" ht="18.75" customHeight="1">
      <c r="A2381" s="18"/>
      <c r="B2381" s="22"/>
      <c r="C2381" s="213"/>
      <c r="D2381" s="213"/>
      <c r="E2381" s="24"/>
      <c r="F2381" s="215"/>
      <c r="G2381" s="26"/>
      <c r="H2381" s="199"/>
      <c r="I2381" s="29"/>
      <c r="J2381" s="192"/>
      <c r="K2381" s="31"/>
      <c r="L2381" s="200"/>
      <c r="M2381" s="212"/>
      <c r="N2381" s="3"/>
      <c r="O2381" s="40"/>
      <c r="P2381" s="40"/>
      <c r="Q2381" s="212"/>
      <c r="R2381" s="31"/>
      <c r="S2381" s="40"/>
      <c r="T2381" s="40"/>
      <c r="U2381" s="40"/>
      <c r="V2381" s="40"/>
      <c r="W2381" s="40"/>
      <c r="X2381" s="40"/>
      <c r="Y2381" s="40"/>
      <c r="Z2381" s="40"/>
      <c r="AA2381" s="40"/>
      <c r="AB2381" s="40"/>
    </row>
    <row r="2382" ht="18.75" customHeight="1">
      <c r="A2382" s="18"/>
      <c r="B2382" s="22"/>
      <c r="C2382" s="213"/>
      <c r="D2382" s="213"/>
      <c r="E2382" s="24"/>
      <c r="F2382" s="215"/>
      <c r="G2382" s="26"/>
      <c r="H2382" s="199"/>
      <c r="I2382" s="29"/>
      <c r="J2382" s="192"/>
      <c r="K2382" s="31"/>
      <c r="L2382" s="200"/>
      <c r="M2382" s="212"/>
      <c r="N2382" s="3"/>
      <c r="O2382" s="40"/>
      <c r="P2382" s="40"/>
      <c r="Q2382" s="212"/>
      <c r="R2382" s="31"/>
      <c r="S2382" s="40"/>
      <c r="T2382" s="40"/>
      <c r="U2382" s="40"/>
      <c r="V2382" s="40"/>
      <c r="W2382" s="40"/>
      <c r="X2382" s="40"/>
      <c r="Y2382" s="40"/>
      <c r="Z2382" s="40"/>
      <c r="AA2382" s="40"/>
      <c r="AB2382" s="40"/>
    </row>
    <row r="2383" ht="18.75" customHeight="1">
      <c r="A2383" s="18"/>
      <c r="B2383" s="22"/>
      <c r="C2383" s="213"/>
      <c r="D2383" s="213"/>
      <c r="E2383" s="24"/>
      <c r="F2383" s="215"/>
      <c r="G2383" s="26"/>
      <c r="H2383" s="199"/>
      <c r="I2383" s="29"/>
      <c r="J2383" s="192"/>
      <c r="K2383" s="31"/>
      <c r="L2383" s="200"/>
      <c r="M2383" s="212"/>
      <c r="N2383" s="3"/>
      <c r="O2383" s="40"/>
      <c r="P2383" s="40"/>
      <c r="Q2383" s="212"/>
      <c r="R2383" s="31"/>
      <c r="S2383" s="40"/>
      <c r="T2383" s="40"/>
      <c r="U2383" s="40"/>
      <c r="V2383" s="40"/>
      <c r="W2383" s="40"/>
      <c r="X2383" s="40"/>
      <c r="Y2383" s="40"/>
      <c r="Z2383" s="40"/>
      <c r="AA2383" s="40"/>
      <c r="AB2383" s="40"/>
    </row>
    <row r="2384" ht="18.75" customHeight="1">
      <c r="A2384" s="18"/>
      <c r="B2384" s="22"/>
      <c r="C2384" s="213"/>
      <c r="D2384" s="213"/>
      <c r="E2384" s="24"/>
      <c r="F2384" s="215"/>
      <c r="G2384" s="26"/>
      <c r="H2384" s="199"/>
      <c r="I2384" s="29"/>
      <c r="J2384" s="192"/>
      <c r="K2384" s="31"/>
      <c r="L2384" s="200"/>
      <c r="M2384" s="212"/>
      <c r="N2384" s="3"/>
      <c r="O2384" s="40"/>
      <c r="P2384" s="40"/>
      <c r="Q2384" s="212"/>
      <c r="R2384" s="31"/>
      <c r="S2384" s="40"/>
      <c r="T2384" s="40"/>
      <c r="U2384" s="40"/>
      <c r="V2384" s="40"/>
      <c r="W2384" s="40"/>
      <c r="X2384" s="40"/>
      <c r="Y2384" s="40"/>
      <c r="Z2384" s="40"/>
      <c r="AA2384" s="40"/>
      <c r="AB2384" s="40"/>
    </row>
    <row r="2385" ht="18.75" customHeight="1">
      <c r="A2385" s="18"/>
      <c r="B2385" s="22"/>
      <c r="C2385" s="213"/>
      <c r="D2385" s="213"/>
      <c r="E2385" s="24"/>
      <c r="F2385" s="215"/>
      <c r="G2385" s="26"/>
      <c r="H2385" s="199"/>
      <c r="I2385" s="29"/>
      <c r="J2385" s="192"/>
      <c r="K2385" s="31"/>
      <c r="L2385" s="200"/>
      <c r="M2385" s="212"/>
      <c r="N2385" s="3"/>
      <c r="O2385" s="40"/>
      <c r="P2385" s="40"/>
      <c r="Q2385" s="212"/>
      <c r="R2385" s="31"/>
      <c r="S2385" s="40"/>
      <c r="T2385" s="40"/>
      <c r="U2385" s="40"/>
      <c r="V2385" s="40"/>
      <c r="W2385" s="40"/>
      <c r="X2385" s="40"/>
      <c r="Y2385" s="40"/>
      <c r="Z2385" s="40"/>
      <c r="AA2385" s="40"/>
      <c r="AB2385" s="40"/>
    </row>
    <row r="2386" ht="18.75" customHeight="1">
      <c r="A2386" s="18"/>
      <c r="B2386" s="22"/>
      <c r="C2386" s="213"/>
      <c r="D2386" s="213"/>
      <c r="E2386" s="24"/>
      <c r="F2386" s="215"/>
      <c r="G2386" s="26"/>
      <c r="H2386" s="199"/>
      <c r="I2386" s="29"/>
      <c r="J2386" s="192"/>
      <c r="K2386" s="31"/>
      <c r="L2386" s="200"/>
      <c r="M2386" s="212"/>
      <c r="N2386" s="3"/>
      <c r="O2386" s="40"/>
      <c r="P2386" s="40"/>
      <c r="Q2386" s="212"/>
      <c r="R2386" s="31"/>
      <c r="S2386" s="40"/>
      <c r="T2386" s="40"/>
      <c r="U2386" s="40"/>
      <c r="V2386" s="40"/>
      <c r="W2386" s="40"/>
      <c r="X2386" s="40"/>
      <c r="Y2386" s="40"/>
      <c r="Z2386" s="40"/>
      <c r="AA2386" s="40"/>
      <c r="AB2386" s="40"/>
    </row>
    <row r="2387" ht="18.75" customHeight="1">
      <c r="A2387" s="18"/>
      <c r="B2387" s="22"/>
      <c r="C2387" s="213"/>
      <c r="D2387" s="213"/>
      <c r="E2387" s="24"/>
      <c r="F2387" s="215"/>
      <c r="G2387" s="26"/>
      <c r="H2387" s="199"/>
      <c r="I2387" s="29"/>
      <c r="J2387" s="192"/>
      <c r="K2387" s="31"/>
      <c r="L2387" s="200"/>
      <c r="M2387" s="212"/>
      <c r="N2387" s="3"/>
      <c r="O2387" s="40"/>
      <c r="P2387" s="40"/>
      <c r="Q2387" s="212"/>
      <c r="R2387" s="31"/>
      <c r="S2387" s="40"/>
      <c r="T2387" s="40"/>
      <c r="U2387" s="40"/>
      <c r="V2387" s="40"/>
      <c r="W2387" s="40"/>
      <c r="X2387" s="40"/>
      <c r="Y2387" s="40"/>
      <c r="Z2387" s="40"/>
      <c r="AA2387" s="40"/>
      <c r="AB2387" s="40"/>
    </row>
    <row r="2388" ht="18.75" customHeight="1">
      <c r="A2388" s="18"/>
      <c r="B2388" s="22"/>
      <c r="C2388" s="213"/>
      <c r="D2388" s="213"/>
      <c r="E2388" s="24"/>
      <c r="F2388" s="215"/>
      <c r="G2388" s="26"/>
      <c r="H2388" s="199"/>
      <c r="I2388" s="29"/>
      <c r="J2388" s="192"/>
      <c r="K2388" s="31"/>
      <c r="L2388" s="200"/>
      <c r="M2388" s="212"/>
      <c r="N2388" s="3"/>
      <c r="O2388" s="40"/>
      <c r="P2388" s="40"/>
      <c r="Q2388" s="212"/>
      <c r="R2388" s="31"/>
      <c r="S2388" s="40"/>
      <c r="T2388" s="40"/>
      <c r="U2388" s="40"/>
      <c r="V2388" s="40"/>
      <c r="W2388" s="40"/>
      <c r="X2388" s="40"/>
      <c r="Y2388" s="40"/>
      <c r="Z2388" s="40"/>
      <c r="AA2388" s="40"/>
      <c r="AB2388" s="40"/>
    </row>
    <row r="2389" ht="18.75" customHeight="1">
      <c r="A2389" s="18"/>
      <c r="B2389" s="22"/>
      <c r="C2389" s="213"/>
      <c r="D2389" s="213"/>
      <c r="E2389" s="24"/>
      <c r="F2389" s="215"/>
      <c r="G2389" s="26"/>
      <c r="H2389" s="199"/>
      <c r="I2389" s="29"/>
      <c r="J2389" s="192"/>
      <c r="K2389" s="31"/>
      <c r="L2389" s="200"/>
      <c r="M2389" s="212"/>
      <c r="N2389" s="3"/>
      <c r="O2389" s="40"/>
      <c r="P2389" s="40"/>
      <c r="Q2389" s="212"/>
      <c r="R2389" s="31"/>
      <c r="S2389" s="40"/>
      <c r="T2389" s="40"/>
      <c r="U2389" s="40"/>
      <c r="V2389" s="40"/>
      <c r="W2389" s="40"/>
      <c r="X2389" s="40"/>
      <c r="Y2389" s="40"/>
      <c r="Z2389" s="40"/>
      <c r="AA2389" s="40"/>
      <c r="AB2389" s="40"/>
    </row>
    <row r="2390" ht="18.75" customHeight="1">
      <c r="A2390" s="18"/>
      <c r="B2390" s="22"/>
      <c r="C2390" s="213"/>
      <c r="D2390" s="213"/>
      <c r="E2390" s="24"/>
      <c r="F2390" s="215"/>
      <c r="G2390" s="26"/>
      <c r="H2390" s="199"/>
      <c r="I2390" s="29"/>
      <c r="J2390" s="192"/>
      <c r="K2390" s="31"/>
      <c r="L2390" s="200"/>
      <c r="M2390" s="212"/>
      <c r="N2390" s="3"/>
      <c r="O2390" s="40"/>
      <c r="P2390" s="40"/>
      <c r="Q2390" s="212"/>
      <c r="R2390" s="31"/>
      <c r="S2390" s="40"/>
      <c r="T2390" s="40"/>
      <c r="U2390" s="40"/>
      <c r="V2390" s="40"/>
      <c r="W2390" s="40"/>
      <c r="X2390" s="40"/>
      <c r="Y2390" s="40"/>
      <c r="Z2390" s="40"/>
      <c r="AA2390" s="40"/>
      <c r="AB2390" s="40"/>
    </row>
    <row r="2391" ht="18.75" customHeight="1">
      <c r="A2391" s="18"/>
      <c r="B2391" s="22"/>
      <c r="C2391" s="213"/>
      <c r="D2391" s="213"/>
      <c r="E2391" s="24"/>
      <c r="F2391" s="215"/>
      <c r="G2391" s="26"/>
      <c r="H2391" s="199"/>
      <c r="I2391" s="29"/>
      <c r="J2391" s="192"/>
      <c r="K2391" s="31"/>
      <c r="L2391" s="200"/>
      <c r="M2391" s="212"/>
      <c r="N2391" s="3"/>
      <c r="O2391" s="40"/>
      <c r="P2391" s="40"/>
      <c r="Q2391" s="212"/>
      <c r="R2391" s="31"/>
      <c r="S2391" s="40"/>
      <c r="T2391" s="40"/>
      <c r="U2391" s="40"/>
      <c r="V2391" s="40"/>
      <c r="W2391" s="40"/>
      <c r="X2391" s="40"/>
      <c r="Y2391" s="40"/>
      <c r="Z2391" s="40"/>
      <c r="AA2391" s="40"/>
      <c r="AB2391" s="40"/>
    </row>
    <row r="2392" ht="18.75" customHeight="1">
      <c r="A2392" s="18"/>
      <c r="B2392" s="22"/>
      <c r="C2392" s="213"/>
      <c r="D2392" s="213"/>
      <c r="E2392" s="24"/>
      <c r="F2392" s="215"/>
      <c r="G2392" s="26"/>
      <c r="H2392" s="199"/>
      <c r="I2392" s="29"/>
      <c r="J2392" s="192"/>
      <c r="K2392" s="31"/>
      <c r="L2392" s="200"/>
      <c r="M2392" s="212"/>
      <c r="N2392" s="3"/>
      <c r="O2392" s="40"/>
      <c r="P2392" s="40"/>
      <c r="Q2392" s="212"/>
      <c r="R2392" s="31"/>
      <c r="S2392" s="40"/>
      <c r="T2392" s="40"/>
      <c r="U2392" s="40"/>
      <c r="V2392" s="40"/>
      <c r="W2392" s="40"/>
      <c r="X2392" s="40"/>
      <c r="Y2392" s="40"/>
      <c r="Z2392" s="40"/>
      <c r="AA2392" s="40"/>
      <c r="AB2392" s="40"/>
    </row>
    <row r="2393" ht="18.75" customHeight="1">
      <c r="A2393" s="18"/>
      <c r="B2393" s="22"/>
      <c r="C2393" s="213"/>
      <c r="D2393" s="213"/>
      <c r="E2393" s="24"/>
      <c r="F2393" s="215"/>
      <c r="G2393" s="26"/>
      <c r="H2393" s="199"/>
      <c r="I2393" s="29"/>
      <c r="J2393" s="192"/>
      <c r="K2393" s="31"/>
      <c r="L2393" s="200"/>
      <c r="M2393" s="212"/>
      <c r="N2393" s="3"/>
      <c r="O2393" s="40"/>
      <c r="P2393" s="40"/>
      <c r="Q2393" s="212"/>
      <c r="R2393" s="31"/>
      <c r="S2393" s="40"/>
      <c r="T2393" s="40"/>
      <c r="U2393" s="40"/>
      <c r="V2393" s="40"/>
      <c r="W2393" s="40"/>
      <c r="X2393" s="40"/>
      <c r="Y2393" s="40"/>
      <c r="Z2393" s="40"/>
      <c r="AA2393" s="40"/>
      <c r="AB2393" s="40"/>
    </row>
    <row r="2394" ht="18.75" customHeight="1">
      <c r="A2394" s="18"/>
      <c r="B2394" s="22"/>
      <c r="C2394" s="213"/>
      <c r="D2394" s="213"/>
      <c r="E2394" s="24"/>
      <c r="F2394" s="215"/>
      <c r="G2394" s="26"/>
      <c r="H2394" s="199"/>
      <c r="I2394" s="29"/>
      <c r="J2394" s="192"/>
      <c r="K2394" s="31"/>
      <c r="L2394" s="200"/>
      <c r="M2394" s="212"/>
      <c r="N2394" s="3"/>
      <c r="O2394" s="40"/>
      <c r="P2394" s="40"/>
      <c r="Q2394" s="212"/>
      <c r="R2394" s="31"/>
      <c r="S2394" s="40"/>
      <c r="T2394" s="40"/>
      <c r="U2394" s="40"/>
      <c r="V2394" s="40"/>
      <c r="W2394" s="40"/>
      <c r="X2394" s="40"/>
      <c r="Y2394" s="40"/>
      <c r="Z2394" s="40"/>
      <c r="AA2394" s="40"/>
      <c r="AB2394" s="40"/>
    </row>
    <row r="2395" ht="18.75" customHeight="1">
      <c r="A2395" s="18"/>
      <c r="B2395" s="22"/>
      <c r="C2395" s="213"/>
      <c r="D2395" s="213"/>
      <c r="E2395" s="24"/>
      <c r="F2395" s="215"/>
      <c r="G2395" s="26"/>
      <c r="H2395" s="199"/>
      <c r="I2395" s="29"/>
      <c r="J2395" s="192"/>
      <c r="K2395" s="31"/>
      <c r="L2395" s="200"/>
      <c r="M2395" s="212"/>
      <c r="N2395" s="3"/>
      <c r="O2395" s="40"/>
      <c r="P2395" s="40"/>
      <c r="Q2395" s="212"/>
      <c r="R2395" s="31"/>
      <c r="S2395" s="40"/>
      <c r="T2395" s="40"/>
      <c r="U2395" s="40"/>
      <c r="V2395" s="40"/>
      <c r="W2395" s="40"/>
      <c r="X2395" s="40"/>
      <c r="Y2395" s="40"/>
      <c r="Z2395" s="40"/>
      <c r="AA2395" s="40"/>
      <c r="AB2395" s="40"/>
    </row>
    <row r="2396" ht="18.75" customHeight="1">
      <c r="A2396" s="18"/>
      <c r="B2396" s="22"/>
      <c r="C2396" s="213"/>
      <c r="D2396" s="213"/>
      <c r="E2396" s="24"/>
      <c r="F2396" s="215"/>
      <c r="G2396" s="26"/>
      <c r="H2396" s="199"/>
      <c r="I2396" s="29"/>
      <c r="J2396" s="192"/>
      <c r="K2396" s="31"/>
      <c r="L2396" s="200"/>
      <c r="M2396" s="212"/>
      <c r="N2396" s="3"/>
      <c r="O2396" s="40"/>
      <c r="P2396" s="40"/>
      <c r="Q2396" s="212"/>
      <c r="R2396" s="31"/>
      <c r="S2396" s="40"/>
      <c r="T2396" s="40"/>
      <c r="U2396" s="40"/>
      <c r="V2396" s="40"/>
      <c r="W2396" s="40"/>
      <c r="X2396" s="40"/>
      <c r="Y2396" s="40"/>
      <c r="Z2396" s="40"/>
      <c r="AA2396" s="40"/>
      <c r="AB2396" s="40"/>
    </row>
    <row r="2397" ht="18.75" customHeight="1">
      <c r="A2397" s="18"/>
      <c r="B2397" s="22"/>
      <c r="C2397" s="213"/>
      <c r="D2397" s="213"/>
      <c r="E2397" s="24"/>
      <c r="F2397" s="215"/>
      <c r="G2397" s="26"/>
      <c r="H2397" s="199"/>
      <c r="I2397" s="29"/>
      <c r="J2397" s="192"/>
      <c r="K2397" s="31"/>
      <c r="L2397" s="200"/>
      <c r="M2397" s="212"/>
      <c r="N2397" s="3"/>
      <c r="O2397" s="40"/>
      <c r="P2397" s="40"/>
      <c r="Q2397" s="212"/>
      <c r="R2397" s="31"/>
      <c r="S2397" s="40"/>
      <c r="T2397" s="40"/>
      <c r="U2397" s="40"/>
      <c r="V2397" s="40"/>
      <c r="W2397" s="40"/>
      <c r="X2397" s="40"/>
      <c r="Y2397" s="40"/>
      <c r="Z2397" s="40"/>
      <c r="AA2397" s="40"/>
      <c r="AB2397" s="40"/>
    </row>
    <row r="2398" ht="18.75" customHeight="1">
      <c r="A2398" s="18"/>
      <c r="B2398" s="22"/>
      <c r="C2398" s="213"/>
      <c r="D2398" s="213"/>
      <c r="E2398" s="24"/>
      <c r="F2398" s="215"/>
      <c r="G2398" s="26"/>
      <c r="H2398" s="199"/>
      <c r="I2398" s="29"/>
      <c r="J2398" s="192"/>
      <c r="K2398" s="31"/>
      <c r="L2398" s="200"/>
      <c r="M2398" s="212"/>
      <c r="N2398" s="3"/>
      <c r="O2398" s="40"/>
      <c r="P2398" s="40"/>
      <c r="Q2398" s="212"/>
      <c r="R2398" s="31"/>
      <c r="S2398" s="40"/>
      <c r="T2398" s="40"/>
      <c r="U2398" s="40"/>
      <c r="V2398" s="40"/>
      <c r="W2398" s="40"/>
      <c r="X2398" s="40"/>
      <c r="Y2398" s="40"/>
      <c r="Z2398" s="40"/>
      <c r="AA2398" s="40"/>
      <c r="AB2398" s="40"/>
    </row>
    <row r="2399" ht="18.75" customHeight="1">
      <c r="A2399" s="18"/>
      <c r="B2399" s="22"/>
      <c r="C2399" s="213"/>
      <c r="D2399" s="213"/>
      <c r="E2399" s="24"/>
      <c r="F2399" s="215"/>
      <c r="G2399" s="26"/>
      <c r="H2399" s="199"/>
      <c r="I2399" s="29"/>
      <c r="J2399" s="192"/>
      <c r="K2399" s="31"/>
      <c r="L2399" s="200"/>
      <c r="M2399" s="212"/>
      <c r="N2399" s="3"/>
      <c r="O2399" s="40"/>
      <c r="P2399" s="40"/>
      <c r="Q2399" s="212"/>
      <c r="R2399" s="31"/>
      <c r="S2399" s="40"/>
      <c r="T2399" s="40"/>
      <c r="U2399" s="40"/>
      <c r="V2399" s="40"/>
      <c r="W2399" s="40"/>
      <c r="X2399" s="40"/>
      <c r="Y2399" s="40"/>
      <c r="Z2399" s="40"/>
      <c r="AA2399" s="40"/>
      <c r="AB2399" s="40"/>
    </row>
    <row r="2400" ht="18.75" customHeight="1">
      <c r="A2400" s="18"/>
      <c r="B2400" s="22"/>
      <c r="C2400" s="213"/>
      <c r="D2400" s="213"/>
      <c r="E2400" s="24"/>
      <c r="F2400" s="215"/>
      <c r="G2400" s="26"/>
      <c r="H2400" s="199"/>
      <c r="I2400" s="29"/>
      <c r="J2400" s="192"/>
      <c r="K2400" s="31"/>
      <c r="L2400" s="200"/>
      <c r="M2400" s="212"/>
      <c r="N2400" s="3"/>
      <c r="O2400" s="40"/>
      <c r="P2400" s="40"/>
      <c r="Q2400" s="212"/>
      <c r="R2400" s="31"/>
      <c r="S2400" s="40"/>
      <c r="T2400" s="40"/>
      <c r="U2400" s="40"/>
      <c r="V2400" s="40"/>
      <c r="W2400" s="40"/>
      <c r="X2400" s="40"/>
      <c r="Y2400" s="40"/>
      <c r="Z2400" s="40"/>
      <c r="AA2400" s="40"/>
      <c r="AB2400" s="40"/>
    </row>
    <row r="2401" ht="18.75" customHeight="1">
      <c r="A2401" s="18"/>
      <c r="B2401" s="22"/>
      <c r="C2401" s="213"/>
      <c r="D2401" s="213"/>
      <c r="E2401" s="24"/>
      <c r="F2401" s="215"/>
      <c r="G2401" s="26"/>
      <c r="H2401" s="199"/>
      <c r="I2401" s="29"/>
      <c r="J2401" s="192"/>
      <c r="K2401" s="31"/>
      <c r="L2401" s="200"/>
      <c r="M2401" s="212"/>
      <c r="N2401" s="3"/>
      <c r="O2401" s="40"/>
      <c r="P2401" s="40"/>
      <c r="Q2401" s="212"/>
      <c r="R2401" s="31"/>
      <c r="S2401" s="40"/>
      <c r="T2401" s="40"/>
      <c r="U2401" s="40"/>
      <c r="V2401" s="40"/>
      <c r="W2401" s="40"/>
      <c r="X2401" s="40"/>
      <c r="Y2401" s="40"/>
      <c r="Z2401" s="40"/>
      <c r="AA2401" s="40"/>
      <c r="AB2401" s="40"/>
    </row>
    <row r="2402" ht="18.75" customHeight="1">
      <c r="A2402" s="18"/>
      <c r="B2402" s="22"/>
      <c r="C2402" s="213"/>
      <c r="D2402" s="213"/>
      <c r="E2402" s="24"/>
      <c r="F2402" s="215"/>
      <c r="G2402" s="26"/>
      <c r="H2402" s="199"/>
      <c r="I2402" s="29"/>
      <c r="J2402" s="192"/>
      <c r="K2402" s="31"/>
      <c r="L2402" s="200"/>
      <c r="M2402" s="212"/>
      <c r="N2402" s="3"/>
      <c r="O2402" s="40"/>
      <c r="P2402" s="40"/>
      <c r="Q2402" s="212"/>
      <c r="R2402" s="31"/>
      <c r="S2402" s="40"/>
      <c r="T2402" s="40"/>
      <c r="U2402" s="40"/>
      <c r="V2402" s="40"/>
      <c r="W2402" s="40"/>
      <c r="X2402" s="40"/>
      <c r="Y2402" s="40"/>
      <c r="Z2402" s="40"/>
      <c r="AA2402" s="40"/>
      <c r="AB2402" s="40"/>
    </row>
    <row r="2403" ht="18.75" customHeight="1">
      <c r="A2403" s="18"/>
      <c r="B2403" s="22"/>
      <c r="C2403" s="213"/>
      <c r="D2403" s="213"/>
      <c r="E2403" s="24"/>
      <c r="F2403" s="215"/>
      <c r="G2403" s="26"/>
      <c r="H2403" s="199"/>
      <c r="I2403" s="29"/>
      <c r="J2403" s="192"/>
      <c r="K2403" s="31"/>
      <c r="L2403" s="200"/>
      <c r="M2403" s="212"/>
      <c r="N2403" s="3"/>
      <c r="O2403" s="40"/>
      <c r="P2403" s="40"/>
      <c r="Q2403" s="212"/>
      <c r="R2403" s="31"/>
      <c r="S2403" s="40"/>
      <c r="T2403" s="40"/>
      <c r="U2403" s="40"/>
      <c r="V2403" s="40"/>
      <c r="W2403" s="40"/>
      <c r="X2403" s="40"/>
      <c r="Y2403" s="40"/>
      <c r="Z2403" s="40"/>
      <c r="AA2403" s="40"/>
      <c r="AB2403" s="40"/>
    </row>
    <row r="2404" ht="18.75" customHeight="1">
      <c r="A2404" s="18"/>
      <c r="B2404" s="22"/>
      <c r="C2404" s="213"/>
      <c r="D2404" s="213"/>
      <c r="E2404" s="24"/>
      <c r="F2404" s="215"/>
      <c r="G2404" s="26"/>
      <c r="H2404" s="199"/>
      <c r="I2404" s="29"/>
      <c r="J2404" s="192"/>
      <c r="K2404" s="31"/>
      <c r="L2404" s="200"/>
      <c r="M2404" s="212"/>
      <c r="N2404" s="3"/>
      <c r="O2404" s="40"/>
      <c r="P2404" s="40"/>
      <c r="Q2404" s="212"/>
      <c r="R2404" s="31"/>
      <c r="S2404" s="40"/>
      <c r="T2404" s="40"/>
      <c r="U2404" s="40"/>
      <c r="V2404" s="40"/>
      <c r="W2404" s="40"/>
      <c r="X2404" s="40"/>
      <c r="Y2404" s="40"/>
      <c r="Z2404" s="40"/>
      <c r="AA2404" s="40"/>
      <c r="AB2404" s="40"/>
    </row>
    <row r="2405" ht="18.75" customHeight="1">
      <c r="A2405" s="18"/>
      <c r="B2405" s="22"/>
      <c r="C2405" s="213"/>
      <c r="D2405" s="213"/>
      <c r="E2405" s="24"/>
      <c r="F2405" s="215"/>
      <c r="G2405" s="26"/>
      <c r="H2405" s="199"/>
      <c r="I2405" s="29"/>
      <c r="J2405" s="192"/>
      <c r="K2405" s="31"/>
      <c r="L2405" s="200"/>
      <c r="M2405" s="212"/>
      <c r="N2405" s="3"/>
      <c r="O2405" s="40"/>
      <c r="P2405" s="40"/>
      <c r="Q2405" s="212"/>
      <c r="R2405" s="31"/>
      <c r="S2405" s="40"/>
      <c r="T2405" s="40"/>
      <c r="U2405" s="40"/>
      <c r="V2405" s="40"/>
      <c r="W2405" s="40"/>
      <c r="X2405" s="40"/>
      <c r="Y2405" s="40"/>
      <c r="Z2405" s="40"/>
      <c r="AA2405" s="40"/>
      <c r="AB2405" s="40"/>
    </row>
    <row r="2406" ht="18.75" customHeight="1">
      <c r="A2406" s="18"/>
      <c r="B2406" s="22"/>
      <c r="C2406" s="213"/>
      <c r="D2406" s="213"/>
      <c r="E2406" s="24"/>
      <c r="F2406" s="215"/>
      <c r="G2406" s="26"/>
      <c r="H2406" s="199"/>
      <c r="I2406" s="29"/>
      <c r="J2406" s="192"/>
      <c r="K2406" s="31"/>
      <c r="L2406" s="200"/>
      <c r="M2406" s="212"/>
      <c r="N2406" s="3"/>
      <c r="O2406" s="40"/>
      <c r="P2406" s="40"/>
      <c r="Q2406" s="212"/>
      <c r="R2406" s="31"/>
      <c r="S2406" s="40"/>
      <c r="T2406" s="40"/>
      <c r="U2406" s="40"/>
      <c r="V2406" s="40"/>
      <c r="W2406" s="40"/>
      <c r="X2406" s="40"/>
      <c r="Y2406" s="40"/>
      <c r="Z2406" s="40"/>
      <c r="AA2406" s="40"/>
      <c r="AB2406" s="40"/>
    </row>
    <row r="2407" ht="18.75" customHeight="1">
      <c r="A2407" s="18"/>
      <c r="B2407" s="22"/>
      <c r="C2407" s="213"/>
      <c r="D2407" s="213"/>
      <c r="E2407" s="24"/>
      <c r="F2407" s="215"/>
      <c r="G2407" s="26"/>
      <c r="H2407" s="199"/>
      <c r="I2407" s="29"/>
      <c r="J2407" s="192"/>
      <c r="K2407" s="31"/>
      <c r="L2407" s="200"/>
      <c r="M2407" s="212"/>
      <c r="N2407" s="3"/>
      <c r="O2407" s="40"/>
      <c r="P2407" s="40"/>
      <c r="Q2407" s="212"/>
      <c r="R2407" s="31"/>
      <c r="S2407" s="40"/>
      <c r="T2407" s="40"/>
      <c r="U2407" s="40"/>
      <c r="V2407" s="40"/>
      <c r="W2407" s="40"/>
      <c r="X2407" s="40"/>
      <c r="Y2407" s="40"/>
      <c r="Z2407" s="40"/>
      <c r="AA2407" s="40"/>
      <c r="AB2407" s="40"/>
    </row>
    <row r="2408" ht="18.75" customHeight="1">
      <c r="A2408" s="18"/>
      <c r="B2408" s="22"/>
      <c r="C2408" s="213"/>
      <c r="D2408" s="213"/>
      <c r="E2408" s="24"/>
      <c r="F2408" s="215"/>
      <c r="G2408" s="26"/>
      <c r="H2408" s="199"/>
      <c r="I2408" s="29"/>
      <c r="J2408" s="192"/>
      <c r="K2408" s="31"/>
      <c r="L2408" s="200"/>
      <c r="M2408" s="212"/>
      <c r="N2408" s="3"/>
      <c r="O2408" s="40"/>
      <c r="P2408" s="40"/>
      <c r="Q2408" s="212"/>
      <c r="R2408" s="31"/>
      <c r="S2408" s="40"/>
      <c r="T2408" s="40"/>
      <c r="U2408" s="40"/>
      <c r="V2408" s="40"/>
      <c r="W2408" s="40"/>
      <c r="X2408" s="40"/>
      <c r="Y2408" s="40"/>
      <c r="Z2408" s="40"/>
      <c r="AA2408" s="40"/>
      <c r="AB2408" s="40"/>
    </row>
    <row r="2409" ht="18.75" customHeight="1">
      <c r="A2409" s="18"/>
      <c r="B2409" s="22"/>
      <c r="C2409" s="213"/>
      <c r="D2409" s="213"/>
      <c r="E2409" s="24"/>
      <c r="F2409" s="215"/>
      <c r="G2409" s="26"/>
      <c r="H2409" s="199"/>
      <c r="I2409" s="29"/>
      <c r="J2409" s="192"/>
      <c r="K2409" s="31"/>
      <c r="L2409" s="200"/>
      <c r="M2409" s="212"/>
      <c r="N2409" s="3"/>
      <c r="O2409" s="40"/>
      <c r="P2409" s="40"/>
      <c r="Q2409" s="212"/>
      <c r="R2409" s="31"/>
      <c r="S2409" s="40"/>
      <c r="T2409" s="40"/>
      <c r="U2409" s="40"/>
      <c r="V2409" s="40"/>
      <c r="W2409" s="40"/>
      <c r="X2409" s="40"/>
      <c r="Y2409" s="40"/>
      <c r="Z2409" s="40"/>
      <c r="AA2409" s="40"/>
      <c r="AB2409" s="40"/>
    </row>
    <row r="2410" ht="18.75" customHeight="1">
      <c r="A2410" s="18"/>
      <c r="B2410" s="22"/>
      <c r="C2410" s="213"/>
      <c r="D2410" s="213"/>
      <c r="E2410" s="24"/>
      <c r="F2410" s="215"/>
      <c r="G2410" s="26"/>
      <c r="H2410" s="199"/>
      <c r="I2410" s="29"/>
      <c r="J2410" s="192"/>
      <c r="K2410" s="31"/>
      <c r="L2410" s="200"/>
      <c r="M2410" s="212"/>
      <c r="N2410" s="3"/>
      <c r="O2410" s="40"/>
      <c r="P2410" s="40"/>
      <c r="Q2410" s="212"/>
      <c r="R2410" s="31"/>
      <c r="S2410" s="40"/>
      <c r="T2410" s="40"/>
      <c r="U2410" s="40"/>
      <c r="V2410" s="40"/>
      <c r="W2410" s="40"/>
      <c r="X2410" s="40"/>
      <c r="Y2410" s="40"/>
      <c r="Z2410" s="40"/>
      <c r="AA2410" s="40"/>
      <c r="AB2410" s="40"/>
    </row>
    <row r="2411" ht="18.75" customHeight="1">
      <c r="A2411" s="18"/>
      <c r="B2411" s="22"/>
      <c r="C2411" s="213"/>
      <c r="D2411" s="213"/>
      <c r="E2411" s="24"/>
      <c r="F2411" s="215"/>
      <c r="G2411" s="26"/>
      <c r="H2411" s="199"/>
      <c r="I2411" s="29"/>
      <c r="J2411" s="192"/>
      <c r="K2411" s="31"/>
      <c r="L2411" s="200"/>
      <c r="M2411" s="212"/>
      <c r="N2411" s="3"/>
      <c r="O2411" s="40"/>
      <c r="P2411" s="40"/>
      <c r="Q2411" s="212"/>
      <c r="R2411" s="31"/>
      <c r="S2411" s="40"/>
      <c r="T2411" s="40"/>
      <c r="U2411" s="40"/>
      <c r="V2411" s="40"/>
      <c r="W2411" s="40"/>
      <c r="X2411" s="40"/>
      <c r="Y2411" s="40"/>
      <c r="Z2411" s="40"/>
      <c r="AA2411" s="40"/>
      <c r="AB2411" s="40"/>
    </row>
    <row r="2412" ht="18.75" customHeight="1">
      <c r="A2412" s="18"/>
      <c r="B2412" s="22"/>
      <c r="C2412" s="213"/>
      <c r="D2412" s="213"/>
      <c r="E2412" s="24"/>
      <c r="F2412" s="215"/>
      <c r="G2412" s="26"/>
      <c r="H2412" s="199"/>
      <c r="I2412" s="29"/>
      <c r="J2412" s="192"/>
      <c r="K2412" s="31"/>
      <c r="L2412" s="200"/>
      <c r="M2412" s="212"/>
      <c r="N2412" s="3"/>
      <c r="O2412" s="40"/>
      <c r="P2412" s="40"/>
      <c r="Q2412" s="212"/>
      <c r="R2412" s="31"/>
      <c r="S2412" s="40"/>
      <c r="T2412" s="40"/>
      <c r="U2412" s="40"/>
      <c r="V2412" s="40"/>
      <c r="W2412" s="40"/>
      <c r="X2412" s="40"/>
      <c r="Y2412" s="40"/>
      <c r="Z2412" s="40"/>
      <c r="AA2412" s="40"/>
      <c r="AB2412" s="40"/>
    </row>
    <row r="2413" ht="18.75" customHeight="1">
      <c r="A2413" s="18"/>
      <c r="B2413" s="22"/>
      <c r="C2413" s="213"/>
      <c r="D2413" s="213"/>
      <c r="E2413" s="24"/>
      <c r="F2413" s="215"/>
      <c r="G2413" s="26"/>
      <c r="H2413" s="199"/>
      <c r="I2413" s="29"/>
      <c r="J2413" s="192"/>
      <c r="K2413" s="31"/>
      <c r="L2413" s="200"/>
      <c r="M2413" s="212"/>
      <c r="N2413" s="3"/>
      <c r="O2413" s="40"/>
      <c r="P2413" s="40"/>
      <c r="Q2413" s="212"/>
      <c r="R2413" s="31"/>
      <c r="S2413" s="40"/>
      <c r="T2413" s="40"/>
      <c r="U2413" s="40"/>
      <c r="V2413" s="40"/>
      <c r="W2413" s="40"/>
      <c r="X2413" s="40"/>
      <c r="Y2413" s="40"/>
      <c r="Z2413" s="40"/>
      <c r="AA2413" s="40"/>
      <c r="AB2413" s="40"/>
    </row>
    <row r="2414" ht="18.75" customHeight="1">
      <c r="A2414" s="18"/>
      <c r="B2414" s="22"/>
      <c r="C2414" s="213"/>
      <c r="D2414" s="213"/>
      <c r="E2414" s="24"/>
      <c r="F2414" s="215"/>
      <c r="G2414" s="26"/>
      <c r="H2414" s="199"/>
      <c r="I2414" s="29"/>
      <c r="J2414" s="192"/>
      <c r="K2414" s="31"/>
      <c r="L2414" s="200"/>
      <c r="M2414" s="212"/>
      <c r="N2414" s="3"/>
      <c r="O2414" s="40"/>
      <c r="P2414" s="40"/>
      <c r="Q2414" s="212"/>
      <c r="R2414" s="31"/>
      <c r="S2414" s="40"/>
      <c r="T2414" s="40"/>
      <c r="U2414" s="40"/>
      <c r="V2414" s="40"/>
      <c r="W2414" s="40"/>
      <c r="X2414" s="40"/>
      <c r="Y2414" s="40"/>
      <c r="Z2414" s="40"/>
      <c r="AA2414" s="40"/>
      <c r="AB2414" s="40"/>
    </row>
    <row r="2415" ht="18.75" customHeight="1">
      <c r="A2415" s="18"/>
      <c r="B2415" s="22"/>
      <c r="C2415" s="213"/>
      <c r="D2415" s="213"/>
      <c r="E2415" s="24"/>
      <c r="F2415" s="215"/>
      <c r="G2415" s="26"/>
      <c r="H2415" s="199"/>
      <c r="I2415" s="29"/>
      <c r="J2415" s="192"/>
      <c r="K2415" s="31"/>
      <c r="L2415" s="200"/>
      <c r="M2415" s="212"/>
      <c r="N2415" s="3"/>
      <c r="O2415" s="40"/>
      <c r="P2415" s="40"/>
      <c r="Q2415" s="212"/>
      <c r="R2415" s="31"/>
      <c r="S2415" s="40"/>
      <c r="T2415" s="40"/>
      <c r="U2415" s="40"/>
      <c r="V2415" s="40"/>
      <c r="W2415" s="40"/>
      <c r="X2415" s="40"/>
      <c r="Y2415" s="40"/>
      <c r="Z2415" s="40"/>
      <c r="AA2415" s="40"/>
      <c r="AB2415" s="40"/>
    </row>
    <row r="2416" ht="18.75" customHeight="1">
      <c r="A2416" s="18"/>
      <c r="B2416" s="22"/>
      <c r="C2416" s="213"/>
      <c r="D2416" s="213"/>
      <c r="E2416" s="24"/>
      <c r="F2416" s="215"/>
      <c r="G2416" s="26"/>
      <c r="H2416" s="199"/>
      <c r="I2416" s="29"/>
      <c r="J2416" s="192"/>
      <c r="K2416" s="31"/>
      <c r="L2416" s="200"/>
      <c r="M2416" s="212"/>
      <c r="N2416" s="3"/>
      <c r="O2416" s="40"/>
      <c r="P2416" s="40"/>
      <c r="Q2416" s="212"/>
      <c r="R2416" s="31"/>
      <c r="S2416" s="40"/>
      <c r="T2416" s="40"/>
      <c r="U2416" s="40"/>
      <c r="V2416" s="40"/>
      <c r="W2416" s="40"/>
      <c r="X2416" s="40"/>
      <c r="Y2416" s="40"/>
      <c r="Z2416" s="40"/>
      <c r="AA2416" s="40"/>
      <c r="AB2416" s="40"/>
    </row>
    <row r="2417" ht="18.75" customHeight="1">
      <c r="A2417" s="18"/>
      <c r="B2417" s="22"/>
      <c r="C2417" s="213"/>
      <c r="D2417" s="213"/>
      <c r="E2417" s="24"/>
      <c r="F2417" s="215"/>
      <c r="G2417" s="26"/>
      <c r="H2417" s="199"/>
      <c r="I2417" s="29"/>
      <c r="J2417" s="192"/>
      <c r="K2417" s="31"/>
      <c r="L2417" s="200"/>
      <c r="M2417" s="212"/>
      <c r="N2417" s="3"/>
      <c r="O2417" s="40"/>
      <c r="P2417" s="40"/>
      <c r="Q2417" s="212"/>
      <c r="R2417" s="31"/>
      <c r="S2417" s="40"/>
      <c r="T2417" s="40"/>
      <c r="U2417" s="40"/>
      <c r="V2417" s="40"/>
      <c r="W2417" s="40"/>
      <c r="X2417" s="40"/>
      <c r="Y2417" s="40"/>
      <c r="Z2417" s="40"/>
      <c r="AA2417" s="40"/>
      <c r="AB2417" s="40"/>
    </row>
    <row r="2418" ht="18.75" customHeight="1">
      <c r="A2418" s="18"/>
      <c r="B2418" s="22"/>
      <c r="C2418" s="213"/>
      <c r="D2418" s="213"/>
      <c r="E2418" s="24"/>
      <c r="F2418" s="215"/>
      <c r="G2418" s="26"/>
      <c r="H2418" s="199"/>
      <c r="I2418" s="29"/>
      <c r="J2418" s="192"/>
      <c r="K2418" s="31"/>
      <c r="L2418" s="200"/>
      <c r="M2418" s="212"/>
      <c r="N2418" s="3"/>
      <c r="O2418" s="40"/>
      <c r="P2418" s="40"/>
      <c r="Q2418" s="212"/>
      <c r="R2418" s="31"/>
      <c r="S2418" s="40"/>
      <c r="T2418" s="40"/>
      <c r="U2418" s="40"/>
      <c r="V2418" s="40"/>
      <c r="W2418" s="40"/>
      <c r="X2418" s="40"/>
      <c r="Y2418" s="40"/>
      <c r="Z2418" s="40"/>
      <c r="AA2418" s="40"/>
      <c r="AB2418" s="40"/>
    </row>
    <row r="2419" ht="18.75" customHeight="1">
      <c r="A2419" s="18"/>
      <c r="B2419" s="22"/>
      <c r="C2419" s="213"/>
      <c r="D2419" s="213"/>
      <c r="E2419" s="24"/>
      <c r="F2419" s="215"/>
      <c r="G2419" s="26"/>
      <c r="H2419" s="199"/>
      <c r="I2419" s="29"/>
      <c r="J2419" s="192"/>
      <c r="K2419" s="31"/>
      <c r="L2419" s="200"/>
      <c r="M2419" s="212"/>
      <c r="N2419" s="3"/>
      <c r="O2419" s="40"/>
      <c r="P2419" s="40"/>
      <c r="Q2419" s="212"/>
      <c r="R2419" s="31"/>
      <c r="S2419" s="40"/>
      <c r="T2419" s="40"/>
      <c r="U2419" s="40"/>
      <c r="V2419" s="40"/>
      <c r="W2419" s="40"/>
      <c r="X2419" s="40"/>
      <c r="Y2419" s="40"/>
      <c r="Z2419" s="40"/>
      <c r="AA2419" s="40"/>
      <c r="AB2419" s="40"/>
    </row>
    <row r="2420" ht="18.75" customHeight="1">
      <c r="A2420" s="18"/>
      <c r="B2420" s="22"/>
      <c r="C2420" s="213"/>
      <c r="D2420" s="213"/>
      <c r="E2420" s="24"/>
      <c r="F2420" s="215"/>
      <c r="G2420" s="26"/>
      <c r="H2420" s="199"/>
      <c r="I2420" s="29"/>
      <c r="J2420" s="192"/>
      <c r="K2420" s="31"/>
      <c r="L2420" s="200"/>
      <c r="M2420" s="212"/>
      <c r="N2420" s="3"/>
      <c r="O2420" s="40"/>
      <c r="P2420" s="40"/>
      <c r="Q2420" s="212"/>
      <c r="R2420" s="31"/>
      <c r="S2420" s="40"/>
      <c r="T2420" s="40"/>
      <c r="U2420" s="40"/>
      <c r="V2420" s="40"/>
      <c r="W2420" s="40"/>
      <c r="X2420" s="40"/>
      <c r="Y2420" s="40"/>
      <c r="Z2420" s="40"/>
      <c r="AA2420" s="40"/>
      <c r="AB2420" s="40"/>
    </row>
    <row r="2421" ht="18.75" customHeight="1">
      <c r="A2421" s="18"/>
      <c r="B2421" s="22"/>
      <c r="C2421" s="213"/>
      <c r="D2421" s="213"/>
      <c r="E2421" s="24"/>
      <c r="F2421" s="215"/>
      <c r="G2421" s="26"/>
      <c r="H2421" s="199"/>
      <c r="I2421" s="29"/>
      <c r="J2421" s="192"/>
      <c r="K2421" s="31"/>
      <c r="L2421" s="200"/>
      <c r="M2421" s="212"/>
      <c r="N2421" s="3"/>
      <c r="O2421" s="40"/>
      <c r="P2421" s="40"/>
      <c r="Q2421" s="212"/>
      <c r="R2421" s="31"/>
      <c r="S2421" s="40"/>
      <c r="T2421" s="40"/>
      <c r="U2421" s="40"/>
      <c r="V2421" s="40"/>
      <c r="W2421" s="40"/>
      <c r="X2421" s="40"/>
      <c r="Y2421" s="40"/>
      <c r="Z2421" s="40"/>
      <c r="AA2421" s="40"/>
      <c r="AB2421" s="40"/>
    </row>
    <row r="2422" ht="18.75" customHeight="1">
      <c r="A2422" s="18"/>
      <c r="B2422" s="22"/>
      <c r="C2422" s="213"/>
      <c r="D2422" s="213"/>
      <c r="E2422" s="24"/>
      <c r="F2422" s="215"/>
      <c r="G2422" s="26"/>
      <c r="H2422" s="199"/>
      <c r="I2422" s="29"/>
      <c r="J2422" s="192"/>
      <c r="K2422" s="31"/>
      <c r="L2422" s="200"/>
      <c r="M2422" s="212"/>
      <c r="N2422" s="3"/>
      <c r="O2422" s="40"/>
      <c r="P2422" s="40"/>
      <c r="Q2422" s="212"/>
      <c r="R2422" s="31"/>
      <c r="S2422" s="40"/>
      <c r="T2422" s="40"/>
      <c r="U2422" s="40"/>
      <c r="V2422" s="40"/>
      <c r="W2422" s="40"/>
      <c r="X2422" s="40"/>
      <c r="Y2422" s="40"/>
      <c r="Z2422" s="40"/>
      <c r="AA2422" s="40"/>
      <c r="AB2422" s="40"/>
    </row>
    <row r="2423" ht="18.75" customHeight="1">
      <c r="A2423" s="18"/>
      <c r="B2423" s="22"/>
      <c r="C2423" s="213"/>
      <c r="D2423" s="213"/>
      <c r="E2423" s="24"/>
      <c r="F2423" s="215"/>
      <c r="G2423" s="26"/>
      <c r="H2423" s="199"/>
      <c r="I2423" s="29"/>
      <c r="J2423" s="192"/>
      <c r="K2423" s="31"/>
      <c r="L2423" s="200"/>
      <c r="M2423" s="212"/>
      <c r="N2423" s="3"/>
      <c r="O2423" s="40"/>
      <c r="P2423" s="40"/>
      <c r="Q2423" s="212"/>
      <c r="R2423" s="31"/>
      <c r="S2423" s="40"/>
      <c r="T2423" s="40"/>
      <c r="U2423" s="40"/>
      <c r="V2423" s="40"/>
      <c r="W2423" s="40"/>
      <c r="X2423" s="40"/>
      <c r="Y2423" s="40"/>
      <c r="Z2423" s="40"/>
      <c r="AA2423" s="40"/>
      <c r="AB2423" s="40"/>
    </row>
    <row r="2424" ht="18.75" customHeight="1">
      <c r="A2424" s="18"/>
      <c r="B2424" s="22"/>
      <c r="C2424" s="213"/>
      <c r="D2424" s="213"/>
      <c r="E2424" s="24"/>
      <c r="F2424" s="215"/>
      <c r="G2424" s="26"/>
      <c r="H2424" s="199"/>
      <c r="I2424" s="29"/>
      <c r="J2424" s="192"/>
      <c r="K2424" s="31"/>
      <c r="L2424" s="200"/>
      <c r="M2424" s="212"/>
      <c r="N2424" s="3"/>
      <c r="O2424" s="40"/>
      <c r="P2424" s="40"/>
      <c r="Q2424" s="212"/>
      <c r="R2424" s="31"/>
      <c r="S2424" s="40"/>
      <c r="T2424" s="40"/>
      <c r="U2424" s="40"/>
      <c r="V2424" s="40"/>
      <c r="W2424" s="40"/>
      <c r="X2424" s="40"/>
      <c r="Y2424" s="40"/>
      <c r="Z2424" s="40"/>
      <c r="AA2424" s="40"/>
      <c r="AB2424" s="40"/>
    </row>
    <row r="2425" ht="18.75" customHeight="1">
      <c r="A2425" s="18"/>
      <c r="B2425" s="22"/>
      <c r="C2425" s="213"/>
      <c r="D2425" s="213"/>
      <c r="E2425" s="24"/>
      <c r="F2425" s="215"/>
      <c r="G2425" s="26"/>
      <c r="H2425" s="199"/>
      <c r="I2425" s="29"/>
      <c r="J2425" s="192"/>
      <c r="K2425" s="31"/>
      <c r="L2425" s="200"/>
      <c r="M2425" s="212"/>
      <c r="N2425" s="3"/>
      <c r="O2425" s="40"/>
      <c r="P2425" s="40"/>
      <c r="Q2425" s="212"/>
      <c r="R2425" s="31"/>
      <c r="S2425" s="40"/>
      <c r="T2425" s="40"/>
      <c r="U2425" s="40"/>
      <c r="V2425" s="40"/>
      <c r="W2425" s="40"/>
      <c r="X2425" s="40"/>
      <c r="Y2425" s="40"/>
      <c r="Z2425" s="40"/>
      <c r="AA2425" s="40"/>
      <c r="AB2425" s="40"/>
    </row>
    <row r="2426" ht="18.75" customHeight="1">
      <c r="A2426" s="18"/>
      <c r="B2426" s="22"/>
      <c r="C2426" s="213"/>
      <c r="D2426" s="213"/>
      <c r="E2426" s="24"/>
      <c r="F2426" s="215"/>
      <c r="G2426" s="26"/>
      <c r="H2426" s="199"/>
      <c r="I2426" s="29"/>
      <c r="J2426" s="192"/>
      <c r="K2426" s="31"/>
      <c r="L2426" s="200"/>
      <c r="M2426" s="212"/>
      <c r="N2426" s="3"/>
      <c r="O2426" s="40"/>
      <c r="P2426" s="40"/>
      <c r="Q2426" s="212"/>
      <c r="R2426" s="31"/>
      <c r="S2426" s="40"/>
      <c r="T2426" s="40"/>
      <c r="U2426" s="40"/>
      <c r="V2426" s="40"/>
      <c r="W2426" s="40"/>
      <c r="X2426" s="40"/>
      <c r="Y2426" s="40"/>
      <c r="Z2426" s="40"/>
      <c r="AA2426" s="40"/>
      <c r="AB2426" s="40"/>
    </row>
    <row r="2427" ht="18.75" customHeight="1">
      <c r="A2427" s="18"/>
      <c r="B2427" s="22"/>
      <c r="C2427" s="213"/>
      <c r="D2427" s="213"/>
      <c r="E2427" s="24"/>
      <c r="F2427" s="215"/>
      <c r="G2427" s="26"/>
      <c r="H2427" s="199"/>
      <c r="I2427" s="29"/>
      <c r="J2427" s="192"/>
      <c r="K2427" s="31"/>
      <c r="L2427" s="200"/>
      <c r="M2427" s="212"/>
      <c r="N2427" s="3"/>
      <c r="O2427" s="40"/>
      <c r="P2427" s="40"/>
      <c r="Q2427" s="212"/>
      <c r="R2427" s="31"/>
      <c r="S2427" s="40"/>
      <c r="T2427" s="40"/>
      <c r="U2427" s="40"/>
      <c r="V2427" s="40"/>
      <c r="W2427" s="40"/>
      <c r="X2427" s="40"/>
      <c r="Y2427" s="40"/>
      <c r="Z2427" s="40"/>
      <c r="AA2427" s="40"/>
      <c r="AB2427" s="40"/>
    </row>
    <row r="2428" ht="18.75" customHeight="1">
      <c r="A2428" s="18"/>
      <c r="B2428" s="22"/>
      <c r="C2428" s="213"/>
      <c r="D2428" s="213"/>
      <c r="E2428" s="24"/>
      <c r="F2428" s="215"/>
      <c r="G2428" s="26"/>
      <c r="H2428" s="199"/>
      <c r="I2428" s="29"/>
      <c r="J2428" s="192"/>
      <c r="K2428" s="31"/>
      <c r="L2428" s="200"/>
      <c r="M2428" s="212"/>
      <c r="N2428" s="3"/>
      <c r="O2428" s="40"/>
      <c r="P2428" s="40"/>
      <c r="Q2428" s="212"/>
      <c r="R2428" s="31"/>
      <c r="S2428" s="40"/>
      <c r="T2428" s="40"/>
      <c r="U2428" s="40"/>
      <c r="V2428" s="40"/>
      <c r="W2428" s="40"/>
      <c r="X2428" s="40"/>
      <c r="Y2428" s="40"/>
      <c r="Z2428" s="40"/>
      <c r="AA2428" s="40"/>
      <c r="AB2428" s="40"/>
    </row>
    <row r="2429" ht="18.75" customHeight="1">
      <c r="A2429" s="18"/>
      <c r="B2429" s="22"/>
      <c r="C2429" s="213"/>
      <c r="D2429" s="213"/>
      <c r="E2429" s="24"/>
      <c r="F2429" s="215"/>
      <c r="G2429" s="26"/>
      <c r="H2429" s="199"/>
      <c r="I2429" s="29"/>
      <c r="J2429" s="192"/>
      <c r="K2429" s="31"/>
      <c r="L2429" s="200"/>
      <c r="M2429" s="212"/>
      <c r="N2429" s="3"/>
      <c r="O2429" s="40"/>
      <c r="P2429" s="40"/>
      <c r="Q2429" s="212"/>
      <c r="R2429" s="31"/>
      <c r="S2429" s="40"/>
      <c r="T2429" s="40"/>
      <c r="U2429" s="40"/>
      <c r="V2429" s="40"/>
      <c r="W2429" s="40"/>
      <c r="X2429" s="40"/>
      <c r="Y2429" s="40"/>
      <c r="Z2429" s="40"/>
      <c r="AA2429" s="40"/>
      <c r="AB2429" s="40"/>
    </row>
    <row r="2430" ht="18.75" customHeight="1">
      <c r="A2430" s="18"/>
      <c r="B2430" s="22"/>
      <c r="C2430" s="213"/>
      <c r="D2430" s="213"/>
      <c r="E2430" s="24"/>
      <c r="F2430" s="215"/>
      <c r="G2430" s="26"/>
      <c r="H2430" s="199"/>
      <c r="I2430" s="29"/>
      <c r="J2430" s="192"/>
      <c r="K2430" s="31"/>
      <c r="L2430" s="200"/>
      <c r="M2430" s="212"/>
      <c r="N2430" s="3"/>
      <c r="O2430" s="40"/>
      <c r="P2430" s="40"/>
      <c r="Q2430" s="212"/>
      <c r="R2430" s="31"/>
      <c r="S2430" s="40"/>
      <c r="T2430" s="40"/>
      <c r="U2430" s="40"/>
      <c r="V2430" s="40"/>
      <c r="W2430" s="40"/>
      <c r="X2430" s="40"/>
      <c r="Y2430" s="40"/>
      <c r="Z2430" s="40"/>
      <c r="AA2430" s="40"/>
      <c r="AB2430" s="40"/>
    </row>
    <row r="2431" ht="18.75" customHeight="1">
      <c r="A2431" s="18"/>
      <c r="B2431" s="22"/>
      <c r="C2431" s="213"/>
      <c r="D2431" s="213"/>
      <c r="E2431" s="24"/>
      <c r="F2431" s="215"/>
      <c r="G2431" s="26"/>
      <c r="H2431" s="199"/>
      <c r="I2431" s="29"/>
      <c r="J2431" s="192"/>
      <c r="K2431" s="31"/>
      <c r="L2431" s="200"/>
      <c r="M2431" s="212"/>
      <c r="N2431" s="3"/>
      <c r="O2431" s="40"/>
      <c r="P2431" s="40"/>
      <c r="Q2431" s="212"/>
      <c r="R2431" s="31"/>
      <c r="S2431" s="40"/>
      <c r="T2431" s="40"/>
      <c r="U2431" s="40"/>
      <c r="V2431" s="40"/>
      <c r="W2431" s="40"/>
      <c r="X2431" s="40"/>
      <c r="Y2431" s="40"/>
      <c r="Z2431" s="40"/>
      <c r="AA2431" s="40"/>
      <c r="AB2431" s="40"/>
    </row>
    <row r="2432" ht="18.75" customHeight="1">
      <c r="A2432" s="18"/>
      <c r="B2432" s="22"/>
      <c r="C2432" s="213"/>
      <c r="D2432" s="213"/>
      <c r="E2432" s="24"/>
      <c r="F2432" s="215"/>
      <c r="G2432" s="26"/>
      <c r="H2432" s="199"/>
      <c r="I2432" s="29"/>
      <c r="J2432" s="192"/>
      <c r="K2432" s="31"/>
      <c r="L2432" s="200"/>
      <c r="M2432" s="212"/>
      <c r="N2432" s="3"/>
      <c r="O2432" s="40"/>
      <c r="P2432" s="40"/>
      <c r="Q2432" s="212"/>
      <c r="R2432" s="31"/>
      <c r="S2432" s="40"/>
      <c r="T2432" s="40"/>
      <c r="U2432" s="40"/>
      <c r="V2432" s="40"/>
      <c r="W2432" s="40"/>
      <c r="X2432" s="40"/>
      <c r="Y2432" s="40"/>
      <c r="Z2432" s="40"/>
      <c r="AA2432" s="40"/>
      <c r="AB2432" s="40"/>
    </row>
    <row r="2433" ht="18.75" customHeight="1">
      <c r="A2433" s="18"/>
      <c r="B2433" s="22"/>
      <c r="C2433" s="213"/>
      <c r="D2433" s="213"/>
      <c r="E2433" s="24"/>
      <c r="F2433" s="215"/>
      <c r="G2433" s="26"/>
      <c r="H2433" s="199"/>
      <c r="I2433" s="29"/>
      <c r="J2433" s="192"/>
      <c r="K2433" s="31"/>
      <c r="L2433" s="200"/>
      <c r="M2433" s="212"/>
      <c r="N2433" s="3"/>
      <c r="O2433" s="40"/>
      <c r="P2433" s="40"/>
      <c r="Q2433" s="212"/>
      <c r="R2433" s="31"/>
      <c r="S2433" s="40"/>
      <c r="T2433" s="40"/>
      <c r="U2433" s="40"/>
      <c r="V2433" s="40"/>
      <c r="W2433" s="40"/>
      <c r="X2433" s="40"/>
      <c r="Y2433" s="40"/>
      <c r="Z2433" s="40"/>
      <c r="AA2433" s="40"/>
      <c r="AB2433" s="40"/>
    </row>
    <row r="2434" ht="18.75" customHeight="1">
      <c r="A2434" s="18"/>
      <c r="B2434" s="22"/>
      <c r="C2434" s="213"/>
      <c r="D2434" s="213"/>
      <c r="E2434" s="24"/>
      <c r="F2434" s="215"/>
      <c r="G2434" s="26"/>
      <c r="H2434" s="199"/>
      <c r="I2434" s="29"/>
      <c r="J2434" s="192"/>
      <c r="K2434" s="31"/>
      <c r="L2434" s="200"/>
      <c r="M2434" s="212"/>
      <c r="N2434" s="3"/>
      <c r="O2434" s="40"/>
      <c r="P2434" s="40"/>
      <c r="Q2434" s="212"/>
      <c r="R2434" s="31"/>
      <c r="S2434" s="40"/>
      <c r="T2434" s="40"/>
      <c r="U2434" s="40"/>
      <c r="V2434" s="40"/>
      <c r="W2434" s="40"/>
      <c r="X2434" s="40"/>
      <c r="Y2434" s="40"/>
      <c r="Z2434" s="40"/>
      <c r="AA2434" s="40"/>
      <c r="AB2434" s="40"/>
    </row>
    <row r="2435" ht="18.75" customHeight="1">
      <c r="A2435" s="18"/>
      <c r="B2435" s="22"/>
      <c r="C2435" s="213"/>
      <c r="D2435" s="213"/>
      <c r="E2435" s="24"/>
      <c r="F2435" s="215"/>
      <c r="G2435" s="26"/>
      <c r="H2435" s="199"/>
      <c r="I2435" s="29"/>
      <c r="J2435" s="192"/>
      <c r="K2435" s="31"/>
      <c r="L2435" s="200"/>
      <c r="M2435" s="212"/>
      <c r="N2435" s="3"/>
      <c r="O2435" s="40"/>
      <c r="P2435" s="40"/>
      <c r="Q2435" s="212"/>
      <c r="R2435" s="31"/>
      <c r="S2435" s="40"/>
      <c r="T2435" s="40"/>
      <c r="U2435" s="40"/>
      <c r="V2435" s="40"/>
      <c r="W2435" s="40"/>
      <c r="X2435" s="40"/>
      <c r="Y2435" s="40"/>
      <c r="Z2435" s="40"/>
      <c r="AA2435" s="40"/>
      <c r="AB2435" s="40"/>
    </row>
    <row r="2436" ht="18.75" customHeight="1">
      <c r="A2436" s="18"/>
      <c r="B2436" s="22"/>
      <c r="C2436" s="213"/>
      <c r="D2436" s="213"/>
      <c r="E2436" s="24"/>
      <c r="F2436" s="215"/>
      <c r="G2436" s="26"/>
      <c r="H2436" s="199"/>
      <c r="I2436" s="29"/>
      <c r="J2436" s="192"/>
      <c r="K2436" s="31"/>
      <c r="L2436" s="200"/>
      <c r="M2436" s="212"/>
      <c r="N2436" s="3"/>
      <c r="O2436" s="40"/>
      <c r="P2436" s="40"/>
      <c r="Q2436" s="212"/>
      <c r="R2436" s="31"/>
      <c r="S2436" s="40"/>
      <c r="T2436" s="40"/>
      <c r="U2436" s="40"/>
      <c r="V2436" s="40"/>
      <c r="W2436" s="40"/>
      <c r="X2436" s="40"/>
      <c r="Y2436" s="40"/>
      <c r="Z2436" s="40"/>
      <c r="AA2436" s="40"/>
      <c r="AB2436" s="40"/>
    </row>
    <row r="2437" ht="18.75" customHeight="1">
      <c r="A2437" s="18"/>
      <c r="B2437" s="22"/>
      <c r="C2437" s="213"/>
      <c r="D2437" s="213"/>
      <c r="E2437" s="24"/>
      <c r="F2437" s="215"/>
      <c r="G2437" s="26"/>
      <c r="H2437" s="199"/>
      <c r="I2437" s="29"/>
      <c r="J2437" s="192"/>
      <c r="K2437" s="31"/>
      <c r="L2437" s="200"/>
      <c r="M2437" s="212"/>
      <c r="N2437" s="3"/>
      <c r="O2437" s="40"/>
      <c r="P2437" s="40"/>
      <c r="Q2437" s="212"/>
      <c r="R2437" s="31"/>
      <c r="S2437" s="40"/>
      <c r="T2437" s="40"/>
      <c r="U2437" s="40"/>
      <c r="V2437" s="40"/>
      <c r="W2437" s="40"/>
      <c r="X2437" s="40"/>
      <c r="Y2437" s="40"/>
      <c r="Z2437" s="40"/>
      <c r="AA2437" s="40"/>
      <c r="AB2437" s="40"/>
    </row>
    <row r="2438" ht="18.75" customHeight="1">
      <c r="A2438" s="18"/>
      <c r="B2438" s="22"/>
      <c r="C2438" s="213"/>
      <c r="D2438" s="213"/>
      <c r="E2438" s="24"/>
      <c r="F2438" s="215"/>
      <c r="G2438" s="26"/>
      <c r="H2438" s="199"/>
      <c r="I2438" s="29"/>
      <c r="J2438" s="192"/>
      <c r="K2438" s="31"/>
      <c r="L2438" s="200"/>
      <c r="M2438" s="212"/>
      <c r="N2438" s="3"/>
      <c r="O2438" s="40"/>
      <c r="P2438" s="40"/>
      <c r="Q2438" s="212"/>
      <c r="R2438" s="31"/>
      <c r="S2438" s="40"/>
      <c r="T2438" s="40"/>
      <c r="U2438" s="40"/>
      <c r="V2438" s="40"/>
      <c r="W2438" s="40"/>
      <c r="X2438" s="40"/>
      <c r="Y2438" s="40"/>
      <c r="Z2438" s="40"/>
      <c r="AA2438" s="40"/>
      <c r="AB2438" s="40"/>
    </row>
    <row r="2439" ht="18.75" customHeight="1">
      <c r="A2439" s="18"/>
      <c r="B2439" s="22"/>
      <c r="C2439" s="213"/>
      <c r="D2439" s="213"/>
      <c r="E2439" s="24"/>
      <c r="F2439" s="215"/>
      <c r="G2439" s="26"/>
      <c r="H2439" s="199"/>
      <c r="I2439" s="29"/>
      <c r="J2439" s="192"/>
      <c r="K2439" s="31"/>
      <c r="L2439" s="200"/>
      <c r="M2439" s="212"/>
      <c r="N2439" s="3"/>
      <c r="O2439" s="40"/>
      <c r="P2439" s="40"/>
      <c r="Q2439" s="212"/>
      <c r="R2439" s="31"/>
      <c r="S2439" s="40"/>
      <c r="T2439" s="40"/>
      <c r="U2439" s="40"/>
      <c r="V2439" s="40"/>
      <c r="W2439" s="40"/>
      <c r="X2439" s="40"/>
      <c r="Y2439" s="40"/>
      <c r="Z2439" s="40"/>
      <c r="AA2439" s="40"/>
      <c r="AB2439" s="40"/>
    </row>
    <row r="2440" ht="18.75" customHeight="1">
      <c r="A2440" s="18"/>
      <c r="B2440" s="22"/>
      <c r="C2440" s="213"/>
      <c r="D2440" s="213"/>
      <c r="E2440" s="24"/>
      <c r="F2440" s="215"/>
      <c r="G2440" s="26"/>
      <c r="H2440" s="199"/>
      <c r="I2440" s="29"/>
      <c r="J2440" s="192"/>
      <c r="K2440" s="31"/>
      <c r="L2440" s="200"/>
      <c r="M2440" s="212"/>
      <c r="N2440" s="3"/>
      <c r="O2440" s="40"/>
      <c r="P2440" s="40"/>
      <c r="Q2440" s="212"/>
      <c r="R2440" s="31"/>
      <c r="S2440" s="40"/>
      <c r="T2440" s="40"/>
      <c r="U2440" s="40"/>
      <c r="V2440" s="40"/>
      <c r="W2440" s="40"/>
      <c r="X2440" s="40"/>
      <c r="Y2440" s="40"/>
      <c r="Z2440" s="40"/>
      <c r="AA2440" s="40"/>
      <c r="AB2440" s="40"/>
    </row>
    <row r="2441" ht="18.75" customHeight="1">
      <c r="A2441" s="18"/>
      <c r="B2441" s="22"/>
      <c r="C2441" s="213"/>
      <c r="D2441" s="213"/>
      <c r="E2441" s="24"/>
      <c r="F2441" s="215"/>
      <c r="G2441" s="26"/>
      <c r="H2441" s="199"/>
      <c r="I2441" s="29"/>
      <c r="J2441" s="192"/>
      <c r="K2441" s="31"/>
      <c r="L2441" s="200"/>
      <c r="M2441" s="212"/>
      <c r="N2441" s="3"/>
      <c r="O2441" s="40"/>
      <c r="P2441" s="40"/>
      <c r="Q2441" s="212"/>
      <c r="R2441" s="31"/>
      <c r="S2441" s="40"/>
      <c r="T2441" s="40"/>
      <c r="U2441" s="40"/>
      <c r="V2441" s="40"/>
      <c r="W2441" s="40"/>
      <c r="X2441" s="40"/>
      <c r="Y2441" s="40"/>
      <c r="Z2441" s="40"/>
      <c r="AA2441" s="40"/>
      <c r="AB2441" s="40"/>
    </row>
    <row r="2442" ht="18.75" customHeight="1">
      <c r="A2442" s="18"/>
      <c r="B2442" s="22"/>
      <c r="C2442" s="213"/>
      <c r="D2442" s="213"/>
      <c r="E2442" s="24"/>
      <c r="F2442" s="215"/>
      <c r="G2442" s="26"/>
      <c r="H2442" s="199"/>
      <c r="I2442" s="29"/>
      <c r="J2442" s="192"/>
      <c r="K2442" s="31"/>
      <c r="L2442" s="200"/>
      <c r="M2442" s="212"/>
      <c r="N2442" s="3"/>
      <c r="O2442" s="40"/>
      <c r="P2442" s="40"/>
      <c r="Q2442" s="212"/>
      <c r="R2442" s="31"/>
      <c r="S2442" s="40"/>
      <c r="T2442" s="40"/>
      <c r="U2442" s="40"/>
      <c r="V2442" s="40"/>
      <c r="W2442" s="40"/>
      <c r="X2442" s="40"/>
      <c r="Y2442" s="40"/>
      <c r="Z2442" s="40"/>
      <c r="AA2442" s="40"/>
      <c r="AB2442" s="40"/>
    </row>
    <row r="2443" ht="18.75" customHeight="1">
      <c r="A2443" s="18"/>
      <c r="B2443" s="22"/>
      <c r="C2443" s="213"/>
      <c r="D2443" s="213"/>
      <c r="E2443" s="24"/>
      <c r="F2443" s="215"/>
      <c r="G2443" s="26"/>
      <c r="H2443" s="199"/>
      <c r="I2443" s="29"/>
      <c r="J2443" s="192"/>
      <c r="K2443" s="31"/>
      <c r="L2443" s="200"/>
      <c r="M2443" s="212"/>
      <c r="N2443" s="3"/>
      <c r="O2443" s="40"/>
      <c r="P2443" s="40"/>
      <c r="Q2443" s="212"/>
      <c r="R2443" s="31"/>
      <c r="S2443" s="40"/>
      <c r="T2443" s="40"/>
      <c r="U2443" s="40"/>
      <c r="V2443" s="40"/>
      <c r="W2443" s="40"/>
      <c r="X2443" s="40"/>
      <c r="Y2443" s="40"/>
      <c r="Z2443" s="40"/>
      <c r="AA2443" s="40"/>
      <c r="AB2443" s="40"/>
    </row>
    <row r="2444" ht="18.75" customHeight="1">
      <c r="A2444" s="18"/>
      <c r="B2444" s="22"/>
      <c r="C2444" s="213"/>
      <c r="D2444" s="213"/>
      <c r="E2444" s="24"/>
      <c r="F2444" s="215"/>
      <c r="G2444" s="26"/>
      <c r="H2444" s="199"/>
      <c r="I2444" s="29"/>
      <c r="J2444" s="192"/>
      <c r="K2444" s="31"/>
      <c r="L2444" s="200"/>
      <c r="M2444" s="212"/>
      <c r="N2444" s="3"/>
      <c r="O2444" s="40"/>
      <c r="P2444" s="40"/>
      <c r="Q2444" s="212"/>
      <c r="R2444" s="31"/>
      <c r="S2444" s="40"/>
      <c r="T2444" s="40"/>
      <c r="U2444" s="40"/>
      <c r="V2444" s="40"/>
      <c r="W2444" s="40"/>
      <c r="X2444" s="40"/>
      <c r="Y2444" s="40"/>
      <c r="Z2444" s="40"/>
      <c r="AA2444" s="40"/>
      <c r="AB2444" s="40"/>
    </row>
    <row r="2445" ht="18.75" customHeight="1">
      <c r="A2445" s="18"/>
      <c r="B2445" s="22"/>
      <c r="C2445" s="213"/>
      <c r="D2445" s="213"/>
      <c r="E2445" s="24"/>
      <c r="F2445" s="215"/>
      <c r="G2445" s="26"/>
      <c r="H2445" s="199"/>
      <c r="I2445" s="29"/>
      <c r="J2445" s="192"/>
      <c r="K2445" s="31"/>
      <c r="L2445" s="200"/>
      <c r="M2445" s="212"/>
      <c r="N2445" s="3"/>
      <c r="O2445" s="40"/>
      <c r="P2445" s="40"/>
      <c r="Q2445" s="212"/>
      <c r="R2445" s="31"/>
      <c r="S2445" s="40"/>
      <c r="T2445" s="40"/>
      <c r="U2445" s="40"/>
      <c r="V2445" s="40"/>
      <c r="W2445" s="40"/>
      <c r="X2445" s="40"/>
      <c r="Y2445" s="40"/>
      <c r="Z2445" s="40"/>
      <c r="AA2445" s="40"/>
      <c r="AB2445" s="40"/>
    </row>
    <row r="2446" ht="18.75" customHeight="1">
      <c r="A2446" s="18"/>
      <c r="B2446" s="22"/>
      <c r="C2446" s="213"/>
      <c r="D2446" s="213"/>
      <c r="E2446" s="24"/>
      <c r="F2446" s="215"/>
      <c r="G2446" s="26"/>
      <c r="H2446" s="199"/>
      <c r="I2446" s="29"/>
      <c r="J2446" s="192"/>
      <c r="K2446" s="31"/>
      <c r="L2446" s="200"/>
      <c r="M2446" s="212"/>
      <c r="N2446" s="3"/>
      <c r="O2446" s="40"/>
      <c r="P2446" s="40"/>
      <c r="Q2446" s="212"/>
      <c r="R2446" s="31"/>
      <c r="S2446" s="40"/>
      <c r="T2446" s="40"/>
      <c r="U2446" s="40"/>
      <c r="V2446" s="40"/>
      <c r="W2446" s="40"/>
      <c r="X2446" s="40"/>
      <c r="Y2446" s="40"/>
      <c r="Z2446" s="40"/>
      <c r="AA2446" s="40"/>
      <c r="AB2446" s="40"/>
    </row>
    <row r="2447" ht="18.75" customHeight="1">
      <c r="A2447" s="18"/>
      <c r="B2447" s="22"/>
      <c r="C2447" s="213"/>
      <c r="D2447" s="213"/>
      <c r="E2447" s="24"/>
      <c r="F2447" s="215"/>
      <c r="G2447" s="26"/>
      <c r="H2447" s="199"/>
      <c r="I2447" s="29"/>
      <c r="J2447" s="192"/>
      <c r="K2447" s="31"/>
      <c r="L2447" s="200"/>
      <c r="M2447" s="212"/>
      <c r="N2447" s="3"/>
      <c r="O2447" s="40"/>
      <c r="P2447" s="40"/>
      <c r="Q2447" s="212"/>
      <c r="R2447" s="31"/>
      <c r="S2447" s="40"/>
      <c r="T2447" s="40"/>
      <c r="U2447" s="40"/>
      <c r="V2447" s="40"/>
      <c r="W2447" s="40"/>
      <c r="X2447" s="40"/>
      <c r="Y2447" s="40"/>
      <c r="Z2447" s="40"/>
      <c r="AA2447" s="40"/>
      <c r="AB2447" s="40"/>
    </row>
    <row r="2448" ht="18.75" customHeight="1">
      <c r="A2448" s="18"/>
      <c r="B2448" s="22"/>
      <c r="C2448" s="213"/>
      <c r="D2448" s="213"/>
      <c r="E2448" s="24"/>
      <c r="F2448" s="215"/>
      <c r="G2448" s="26"/>
      <c r="H2448" s="199"/>
      <c r="I2448" s="29"/>
      <c r="J2448" s="192"/>
      <c r="K2448" s="31"/>
      <c r="L2448" s="200"/>
      <c r="M2448" s="212"/>
      <c r="N2448" s="3"/>
      <c r="O2448" s="40"/>
      <c r="P2448" s="40"/>
      <c r="Q2448" s="212"/>
      <c r="R2448" s="31"/>
      <c r="S2448" s="40"/>
      <c r="T2448" s="40"/>
      <c r="U2448" s="40"/>
      <c r="V2448" s="40"/>
      <c r="W2448" s="40"/>
      <c r="X2448" s="40"/>
      <c r="Y2448" s="40"/>
      <c r="Z2448" s="40"/>
      <c r="AA2448" s="40"/>
      <c r="AB2448" s="40"/>
    </row>
    <row r="2449" ht="18.75" customHeight="1">
      <c r="A2449" s="18"/>
      <c r="B2449" s="22"/>
      <c r="C2449" s="213"/>
      <c r="D2449" s="213"/>
      <c r="E2449" s="24"/>
      <c r="F2449" s="215"/>
      <c r="G2449" s="26"/>
      <c r="H2449" s="199"/>
      <c r="I2449" s="29"/>
      <c r="J2449" s="192"/>
      <c r="K2449" s="31"/>
      <c r="L2449" s="200"/>
      <c r="M2449" s="212"/>
      <c r="N2449" s="3"/>
      <c r="O2449" s="40"/>
      <c r="P2449" s="40"/>
      <c r="Q2449" s="212"/>
      <c r="R2449" s="31"/>
      <c r="S2449" s="40"/>
      <c r="T2449" s="40"/>
      <c r="U2449" s="40"/>
      <c r="V2449" s="40"/>
      <c r="W2449" s="40"/>
      <c r="X2449" s="40"/>
      <c r="Y2449" s="40"/>
      <c r="Z2449" s="40"/>
      <c r="AA2449" s="40"/>
      <c r="AB2449" s="40"/>
    </row>
    <row r="2450" ht="18.75" customHeight="1">
      <c r="A2450" s="18"/>
      <c r="B2450" s="22"/>
      <c r="C2450" s="213"/>
      <c r="D2450" s="213"/>
      <c r="E2450" s="24"/>
      <c r="F2450" s="215"/>
      <c r="G2450" s="26"/>
      <c r="H2450" s="199"/>
      <c r="I2450" s="29"/>
      <c r="J2450" s="192"/>
      <c r="K2450" s="31"/>
      <c r="L2450" s="200"/>
      <c r="M2450" s="212"/>
      <c r="N2450" s="3"/>
      <c r="O2450" s="40"/>
      <c r="P2450" s="40"/>
      <c r="Q2450" s="212"/>
      <c r="R2450" s="31"/>
      <c r="S2450" s="40"/>
      <c r="T2450" s="40"/>
      <c r="U2450" s="40"/>
      <c r="V2450" s="40"/>
      <c r="W2450" s="40"/>
      <c r="X2450" s="40"/>
      <c r="Y2450" s="40"/>
      <c r="Z2450" s="40"/>
      <c r="AA2450" s="40"/>
      <c r="AB2450" s="40"/>
    </row>
    <row r="2451" ht="18.75" customHeight="1">
      <c r="A2451" s="18"/>
      <c r="B2451" s="22"/>
      <c r="C2451" s="213"/>
      <c r="D2451" s="213"/>
      <c r="E2451" s="24"/>
      <c r="F2451" s="215"/>
      <c r="G2451" s="26"/>
      <c r="H2451" s="199"/>
      <c r="I2451" s="29"/>
      <c r="J2451" s="192"/>
      <c r="K2451" s="31"/>
      <c r="L2451" s="200"/>
      <c r="M2451" s="212"/>
      <c r="N2451" s="3"/>
      <c r="O2451" s="40"/>
      <c r="P2451" s="40"/>
      <c r="Q2451" s="212"/>
      <c r="R2451" s="31"/>
      <c r="S2451" s="40"/>
      <c r="T2451" s="40"/>
      <c r="U2451" s="40"/>
      <c r="V2451" s="40"/>
      <c r="W2451" s="40"/>
      <c r="X2451" s="40"/>
      <c r="Y2451" s="40"/>
      <c r="Z2451" s="40"/>
      <c r="AA2451" s="40"/>
      <c r="AB2451" s="40"/>
    </row>
    <row r="2452" ht="18.75" customHeight="1">
      <c r="A2452" s="18"/>
      <c r="B2452" s="22"/>
      <c r="C2452" s="213"/>
      <c r="D2452" s="213"/>
      <c r="E2452" s="24"/>
      <c r="F2452" s="215"/>
      <c r="G2452" s="26"/>
      <c r="H2452" s="199"/>
      <c r="I2452" s="29"/>
      <c r="J2452" s="192"/>
      <c r="K2452" s="31"/>
      <c r="L2452" s="200"/>
      <c r="M2452" s="212"/>
      <c r="N2452" s="3"/>
      <c r="O2452" s="40"/>
      <c r="P2452" s="40"/>
      <c r="Q2452" s="212"/>
      <c r="R2452" s="31"/>
      <c r="S2452" s="40"/>
      <c r="T2452" s="40"/>
      <c r="U2452" s="40"/>
      <c r="V2452" s="40"/>
      <c r="W2452" s="40"/>
      <c r="X2452" s="40"/>
      <c r="Y2452" s="40"/>
      <c r="Z2452" s="40"/>
      <c r="AA2452" s="40"/>
      <c r="AB2452" s="40"/>
    </row>
    <row r="2453" ht="18.75" customHeight="1">
      <c r="A2453" s="18"/>
      <c r="B2453" s="22"/>
      <c r="C2453" s="213"/>
      <c r="D2453" s="213"/>
      <c r="E2453" s="24"/>
      <c r="F2453" s="215"/>
      <c r="G2453" s="26"/>
      <c r="H2453" s="199"/>
      <c r="I2453" s="29"/>
      <c r="J2453" s="192"/>
      <c r="K2453" s="31"/>
      <c r="L2453" s="200"/>
      <c r="M2453" s="212"/>
      <c r="N2453" s="3"/>
      <c r="O2453" s="40"/>
      <c r="P2453" s="40"/>
      <c r="Q2453" s="212"/>
      <c r="R2453" s="31"/>
      <c r="S2453" s="40"/>
      <c r="T2453" s="40"/>
      <c r="U2453" s="40"/>
      <c r="V2453" s="40"/>
      <c r="W2453" s="40"/>
      <c r="X2453" s="40"/>
      <c r="Y2453" s="40"/>
      <c r="Z2453" s="40"/>
      <c r="AA2453" s="40"/>
      <c r="AB2453" s="40"/>
    </row>
    <row r="2454" ht="18.75" customHeight="1">
      <c r="A2454" s="18"/>
      <c r="B2454" s="22"/>
      <c r="C2454" s="213"/>
      <c r="D2454" s="213"/>
      <c r="E2454" s="24"/>
      <c r="F2454" s="215"/>
      <c r="G2454" s="26"/>
      <c r="H2454" s="199"/>
      <c r="I2454" s="29"/>
      <c r="J2454" s="192"/>
      <c r="K2454" s="31"/>
      <c r="L2454" s="200"/>
      <c r="M2454" s="212"/>
      <c r="N2454" s="3"/>
      <c r="O2454" s="40"/>
      <c r="P2454" s="40"/>
      <c r="Q2454" s="212"/>
      <c r="R2454" s="31"/>
      <c r="S2454" s="40"/>
      <c r="T2454" s="40"/>
      <c r="U2454" s="40"/>
      <c r="V2454" s="40"/>
      <c r="W2454" s="40"/>
      <c r="X2454" s="40"/>
      <c r="Y2454" s="40"/>
      <c r="Z2454" s="40"/>
      <c r="AA2454" s="40"/>
      <c r="AB2454" s="40"/>
    </row>
    <row r="2455" ht="18.75" customHeight="1">
      <c r="A2455" s="18"/>
      <c r="B2455" s="22"/>
      <c r="C2455" s="213"/>
      <c r="D2455" s="213"/>
      <c r="E2455" s="24"/>
      <c r="F2455" s="215"/>
      <c r="G2455" s="26"/>
      <c r="H2455" s="199"/>
      <c r="I2455" s="29"/>
      <c r="J2455" s="192"/>
      <c r="K2455" s="31"/>
      <c r="L2455" s="200"/>
      <c r="M2455" s="212"/>
      <c r="N2455" s="3"/>
      <c r="O2455" s="40"/>
      <c r="P2455" s="40"/>
      <c r="Q2455" s="212"/>
      <c r="R2455" s="31"/>
      <c r="S2455" s="40"/>
      <c r="T2455" s="40"/>
      <c r="U2455" s="40"/>
      <c r="V2455" s="40"/>
      <c r="W2455" s="40"/>
      <c r="X2455" s="40"/>
      <c r="Y2455" s="40"/>
      <c r="Z2455" s="40"/>
      <c r="AA2455" s="40"/>
      <c r="AB2455" s="40"/>
    </row>
    <row r="2456" ht="18.75" customHeight="1">
      <c r="A2456" s="18"/>
      <c r="B2456" s="22"/>
      <c r="C2456" s="213"/>
      <c r="D2456" s="213"/>
      <c r="E2456" s="24"/>
      <c r="F2456" s="215"/>
      <c r="G2456" s="26"/>
      <c r="H2456" s="199"/>
      <c r="I2456" s="29"/>
      <c r="J2456" s="192"/>
      <c r="K2456" s="31"/>
      <c r="L2456" s="200"/>
      <c r="M2456" s="212"/>
      <c r="N2456" s="3"/>
      <c r="O2456" s="40"/>
      <c r="P2456" s="40"/>
      <c r="Q2456" s="212"/>
      <c r="R2456" s="31"/>
      <c r="S2456" s="40"/>
      <c r="T2456" s="40"/>
      <c r="U2456" s="40"/>
      <c r="V2456" s="40"/>
      <c r="W2456" s="40"/>
      <c r="X2456" s="40"/>
      <c r="Y2456" s="40"/>
      <c r="Z2456" s="40"/>
      <c r="AA2456" s="40"/>
      <c r="AB2456" s="40"/>
    </row>
    <row r="2457" ht="18.75" customHeight="1">
      <c r="A2457" s="18"/>
      <c r="B2457" s="22"/>
      <c r="C2457" s="213"/>
      <c r="D2457" s="213"/>
      <c r="E2457" s="24"/>
      <c r="F2457" s="215"/>
      <c r="G2457" s="26"/>
      <c r="H2457" s="199"/>
      <c r="I2457" s="29"/>
      <c r="J2457" s="192"/>
      <c r="K2457" s="31"/>
      <c r="L2457" s="200"/>
      <c r="M2457" s="212"/>
      <c r="N2457" s="3"/>
      <c r="O2457" s="40"/>
      <c r="P2457" s="40"/>
      <c r="Q2457" s="212"/>
      <c r="R2457" s="31"/>
      <c r="S2457" s="40"/>
      <c r="T2457" s="40"/>
      <c r="U2457" s="40"/>
      <c r="V2457" s="40"/>
      <c r="W2457" s="40"/>
      <c r="X2457" s="40"/>
      <c r="Y2457" s="40"/>
      <c r="Z2457" s="40"/>
      <c r="AA2457" s="40"/>
      <c r="AB2457" s="40"/>
    </row>
    <row r="2458" ht="18.75" customHeight="1">
      <c r="A2458" s="18"/>
      <c r="B2458" s="22"/>
      <c r="C2458" s="213"/>
      <c r="D2458" s="213"/>
      <c r="E2458" s="24"/>
      <c r="F2458" s="215"/>
      <c r="G2458" s="26"/>
      <c r="H2458" s="199"/>
      <c r="I2458" s="29"/>
      <c r="J2458" s="192"/>
      <c r="K2458" s="31"/>
      <c r="L2458" s="200"/>
      <c r="M2458" s="212"/>
      <c r="N2458" s="3"/>
      <c r="O2458" s="40"/>
      <c r="P2458" s="40"/>
      <c r="Q2458" s="212"/>
      <c r="R2458" s="31"/>
      <c r="S2458" s="40"/>
      <c r="T2458" s="40"/>
      <c r="U2458" s="40"/>
      <c r="V2458" s="40"/>
      <c r="W2458" s="40"/>
      <c r="X2458" s="40"/>
      <c r="Y2458" s="40"/>
      <c r="Z2458" s="40"/>
      <c r="AA2458" s="40"/>
      <c r="AB2458" s="40"/>
    </row>
    <row r="2459" ht="18.75" customHeight="1">
      <c r="A2459" s="18"/>
      <c r="B2459" s="22"/>
      <c r="C2459" s="213"/>
      <c r="D2459" s="213"/>
      <c r="E2459" s="24"/>
      <c r="F2459" s="215"/>
      <c r="G2459" s="26"/>
      <c r="H2459" s="199"/>
      <c r="I2459" s="29"/>
      <c r="J2459" s="192"/>
      <c r="K2459" s="31"/>
      <c r="L2459" s="200"/>
      <c r="M2459" s="212"/>
      <c r="N2459" s="3"/>
      <c r="O2459" s="40"/>
      <c r="P2459" s="40"/>
      <c r="Q2459" s="212"/>
      <c r="R2459" s="31"/>
      <c r="S2459" s="40"/>
      <c r="T2459" s="40"/>
      <c r="U2459" s="40"/>
      <c r="V2459" s="40"/>
      <c r="W2459" s="40"/>
      <c r="X2459" s="40"/>
      <c r="Y2459" s="40"/>
      <c r="Z2459" s="40"/>
      <c r="AA2459" s="40"/>
      <c r="AB2459" s="40"/>
    </row>
    <row r="2460" ht="18.75" customHeight="1">
      <c r="A2460" s="18"/>
      <c r="B2460" s="22"/>
      <c r="C2460" s="213"/>
      <c r="D2460" s="213"/>
      <c r="E2460" s="24"/>
      <c r="F2460" s="215"/>
      <c r="G2460" s="26"/>
      <c r="H2460" s="199"/>
      <c r="I2460" s="29"/>
      <c r="J2460" s="192"/>
      <c r="K2460" s="31"/>
      <c r="L2460" s="200"/>
      <c r="M2460" s="212"/>
      <c r="N2460" s="3"/>
      <c r="O2460" s="40"/>
      <c r="P2460" s="40"/>
      <c r="Q2460" s="212"/>
      <c r="R2460" s="31"/>
      <c r="S2460" s="40"/>
      <c r="T2460" s="40"/>
      <c r="U2460" s="40"/>
      <c r="V2460" s="40"/>
      <c r="W2460" s="40"/>
      <c r="X2460" s="40"/>
      <c r="Y2460" s="40"/>
      <c r="Z2460" s="40"/>
      <c r="AA2460" s="40"/>
      <c r="AB2460" s="40"/>
    </row>
    <row r="2461" ht="18.75" customHeight="1">
      <c r="A2461" s="18"/>
      <c r="B2461" s="22"/>
      <c r="C2461" s="213"/>
      <c r="D2461" s="213"/>
      <c r="E2461" s="24"/>
      <c r="F2461" s="215"/>
      <c r="G2461" s="26"/>
      <c r="H2461" s="199"/>
      <c r="I2461" s="29"/>
      <c r="J2461" s="192"/>
      <c r="K2461" s="31"/>
      <c r="L2461" s="200"/>
      <c r="M2461" s="212"/>
      <c r="N2461" s="3"/>
      <c r="O2461" s="40"/>
      <c r="P2461" s="40"/>
      <c r="Q2461" s="212"/>
      <c r="R2461" s="31"/>
      <c r="S2461" s="40"/>
      <c r="T2461" s="40"/>
      <c r="U2461" s="40"/>
      <c r="V2461" s="40"/>
      <c r="W2461" s="40"/>
      <c r="X2461" s="40"/>
      <c r="Y2461" s="40"/>
      <c r="Z2461" s="40"/>
      <c r="AA2461" s="40"/>
      <c r="AB2461" s="40"/>
    </row>
    <row r="2462" ht="18.75" customHeight="1">
      <c r="A2462" s="18"/>
      <c r="B2462" s="22"/>
      <c r="C2462" s="213"/>
      <c r="D2462" s="213"/>
      <c r="E2462" s="24"/>
      <c r="F2462" s="215"/>
      <c r="G2462" s="26"/>
      <c r="H2462" s="199"/>
      <c r="I2462" s="29"/>
      <c r="J2462" s="192"/>
      <c r="K2462" s="31"/>
      <c r="L2462" s="200"/>
      <c r="M2462" s="212"/>
      <c r="N2462" s="3"/>
      <c r="O2462" s="40"/>
      <c r="P2462" s="40"/>
      <c r="Q2462" s="212"/>
      <c r="R2462" s="31"/>
      <c r="S2462" s="40"/>
      <c r="T2462" s="40"/>
      <c r="U2462" s="40"/>
      <c r="V2462" s="40"/>
      <c r="W2462" s="40"/>
      <c r="X2462" s="40"/>
      <c r="Y2462" s="40"/>
      <c r="Z2462" s="40"/>
      <c r="AA2462" s="40"/>
      <c r="AB2462" s="40"/>
    </row>
    <row r="2463" ht="18.75" customHeight="1">
      <c r="A2463" s="18"/>
      <c r="B2463" s="22"/>
      <c r="C2463" s="213"/>
      <c r="D2463" s="213"/>
      <c r="E2463" s="24"/>
      <c r="F2463" s="215"/>
      <c r="G2463" s="26"/>
      <c r="H2463" s="199"/>
      <c r="I2463" s="29"/>
      <c r="J2463" s="192"/>
      <c r="K2463" s="31"/>
      <c r="L2463" s="200"/>
      <c r="M2463" s="212"/>
      <c r="N2463" s="3"/>
      <c r="O2463" s="40"/>
      <c r="P2463" s="40"/>
      <c r="Q2463" s="212"/>
      <c r="R2463" s="31"/>
      <c r="S2463" s="40"/>
      <c r="T2463" s="40"/>
      <c r="U2463" s="40"/>
      <c r="V2463" s="40"/>
      <c r="W2463" s="40"/>
      <c r="X2463" s="40"/>
      <c r="Y2463" s="40"/>
      <c r="Z2463" s="40"/>
      <c r="AA2463" s="40"/>
      <c r="AB2463" s="40"/>
    </row>
    <row r="2464" ht="18.75" customHeight="1">
      <c r="A2464" s="18"/>
      <c r="B2464" s="22"/>
      <c r="C2464" s="213"/>
      <c r="D2464" s="213"/>
      <c r="E2464" s="24"/>
      <c r="F2464" s="215"/>
      <c r="G2464" s="26"/>
      <c r="H2464" s="199"/>
      <c r="I2464" s="29"/>
      <c r="J2464" s="192"/>
      <c r="K2464" s="31"/>
      <c r="L2464" s="200"/>
      <c r="M2464" s="212"/>
      <c r="N2464" s="3"/>
      <c r="O2464" s="40"/>
      <c r="P2464" s="40"/>
      <c r="Q2464" s="212"/>
      <c r="R2464" s="31"/>
      <c r="S2464" s="40"/>
      <c r="T2464" s="40"/>
      <c r="U2464" s="40"/>
      <c r="V2464" s="40"/>
      <c r="W2464" s="40"/>
      <c r="X2464" s="40"/>
      <c r="Y2464" s="40"/>
      <c r="Z2464" s="40"/>
      <c r="AA2464" s="40"/>
      <c r="AB2464" s="40"/>
    </row>
    <row r="2465" ht="18.75" customHeight="1">
      <c r="A2465" s="18"/>
      <c r="B2465" s="22"/>
      <c r="C2465" s="213"/>
      <c r="D2465" s="213"/>
      <c r="E2465" s="24"/>
      <c r="F2465" s="215"/>
      <c r="G2465" s="26"/>
      <c r="H2465" s="199"/>
      <c r="I2465" s="29"/>
      <c r="J2465" s="192"/>
      <c r="K2465" s="31"/>
      <c r="L2465" s="200"/>
      <c r="M2465" s="212"/>
      <c r="N2465" s="3"/>
      <c r="O2465" s="40"/>
      <c r="P2465" s="40"/>
      <c r="Q2465" s="212"/>
      <c r="R2465" s="31"/>
      <c r="S2465" s="40"/>
      <c r="T2465" s="40"/>
      <c r="U2465" s="40"/>
      <c r="V2465" s="40"/>
      <c r="W2465" s="40"/>
      <c r="X2465" s="40"/>
      <c r="Y2465" s="40"/>
      <c r="Z2465" s="40"/>
      <c r="AA2465" s="40"/>
      <c r="AB2465" s="40"/>
    </row>
    <row r="2466" ht="18.75" customHeight="1">
      <c r="A2466" s="18"/>
      <c r="B2466" s="22"/>
      <c r="C2466" s="213"/>
      <c r="D2466" s="213"/>
      <c r="E2466" s="24"/>
      <c r="F2466" s="215"/>
      <c r="G2466" s="26"/>
      <c r="H2466" s="199"/>
      <c r="I2466" s="29"/>
      <c r="J2466" s="192"/>
      <c r="K2466" s="31"/>
      <c r="L2466" s="200"/>
      <c r="M2466" s="212"/>
      <c r="N2466" s="3"/>
      <c r="O2466" s="40"/>
      <c r="P2466" s="40"/>
      <c r="Q2466" s="212"/>
      <c r="R2466" s="31"/>
      <c r="S2466" s="40"/>
      <c r="T2466" s="40"/>
      <c r="U2466" s="40"/>
      <c r="V2466" s="40"/>
      <c r="W2466" s="40"/>
      <c r="X2466" s="40"/>
      <c r="Y2466" s="40"/>
      <c r="Z2466" s="40"/>
      <c r="AA2466" s="40"/>
      <c r="AB2466" s="40"/>
    </row>
    <row r="2467" ht="18.75" customHeight="1">
      <c r="A2467" s="18"/>
      <c r="B2467" s="22"/>
      <c r="C2467" s="213"/>
      <c r="D2467" s="213"/>
      <c r="E2467" s="24"/>
      <c r="F2467" s="215"/>
      <c r="G2467" s="26"/>
      <c r="H2467" s="199"/>
      <c r="I2467" s="29"/>
      <c r="J2467" s="192"/>
      <c r="K2467" s="31"/>
      <c r="L2467" s="200"/>
      <c r="M2467" s="212"/>
      <c r="N2467" s="3"/>
      <c r="O2467" s="40"/>
      <c r="P2467" s="40"/>
      <c r="Q2467" s="212"/>
      <c r="R2467" s="31"/>
      <c r="S2467" s="40"/>
      <c r="T2467" s="40"/>
      <c r="U2467" s="40"/>
      <c r="V2467" s="40"/>
      <c r="W2467" s="40"/>
      <c r="X2467" s="40"/>
      <c r="Y2467" s="40"/>
      <c r="Z2467" s="40"/>
      <c r="AA2467" s="40"/>
      <c r="AB2467" s="40"/>
    </row>
    <row r="2468" ht="18.75" customHeight="1">
      <c r="A2468" s="18"/>
      <c r="B2468" s="22"/>
      <c r="C2468" s="213"/>
      <c r="D2468" s="213"/>
      <c r="E2468" s="24"/>
      <c r="F2468" s="215"/>
      <c r="G2468" s="26"/>
      <c r="H2468" s="199"/>
      <c r="I2468" s="29"/>
      <c r="J2468" s="192"/>
      <c r="K2468" s="31"/>
      <c r="L2468" s="200"/>
      <c r="M2468" s="212"/>
      <c r="N2468" s="3"/>
      <c r="O2468" s="40"/>
      <c r="P2468" s="40"/>
      <c r="Q2468" s="212"/>
      <c r="R2468" s="31"/>
      <c r="S2468" s="40"/>
      <c r="T2468" s="40"/>
      <c r="U2468" s="40"/>
      <c r="V2468" s="40"/>
      <c r="W2468" s="40"/>
      <c r="X2468" s="40"/>
      <c r="Y2468" s="40"/>
      <c r="Z2468" s="40"/>
      <c r="AA2468" s="40"/>
      <c r="AB2468" s="40"/>
    </row>
    <row r="2469" ht="18.75" customHeight="1">
      <c r="A2469" s="18"/>
      <c r="B2469" s="22"/>
      <c r="C2469" s="213"/>
      <c r="D2469" s="213"/>
      <c r="E2469" s="24"/>
      <c r="F2469" s="215"/>
      <c r="G2469" s="26"/>
      <c r="H2469" s="199"/>
      <c r="I2469" s="29"/>
      <c r="J2469" s="192"/>
      <c r="K2469" s="31"/>
      <c r="L2469" s="200"/>
      <c r="M2469" s="212"/>
      <c r="N2469" s="3"/>
      <c r="O2469" s="40"/>
      <c r="P2469" s="40"/>
      <c r="Q2469" s="212"/>
      <c r="R2469" s="31"/>
      <c r="S2469" s="40"/>
      <c r="T2469" s="40"/>
      <c r="U2469" s="40"/>
      <c r="V2469" s="40"/>
      <c r="W2469" s="40"/>
      <c r="X2469" s="40"/>
      <c r="Y2469" s="40"/>
      <c r="Z2469" s="40"/>
      <c r="AA2469" s="40"/>
      <c r="AB2469" s="40"/>
    </row>
    <row r="2470" ht="18.75" customHeight="1">
      <c r="A2470" s="18"/>
      <c r="B2470" s="22"/>
      <c r="C2470" s="213"/>
      <c r="D2470" s="213"/>
      <c r="E2470" s="24"/>
      <c r="F2470" s="215"/>
      <c r="G2470" s="26"/>
      <c r="H2470" s="199"/>
      <c r="I2470" s="29"/>
      <c r="J2470" s="192"/>
      <c r="K2470" s="31"/>
      <c r="L2470" s="200"/>
      <c r="M2470" s="212"/>
      <c r="N2470" s="3"/>
      <c r="O2470" s="40"/>
      <c r="P2470" s="40"/>
      <c r="Q2470" s="212"/>
      <c r="R2470" s="31"/>
      <c r="S2470" s="40"/>
      <c r="T2470" s="40"/>
      <c r="U2470" s="40"/>
      <c r="V2470" s="40"/>
      <c r="W2470" s="40"/>
      <c r="X2470" s="40"/>
      <c r="Y2470" s="40"/>
      <c r="Z2470" s="40"/>
      <c r="AA2470" s="40"/>
      <c r="AB2470" s="40"/>
    </row>
    <row r="2471" ht="18.75" customHeight="1">
      <c r="A2471" s="18"/>
      <c r="B2471" s="22"/>
      <c r="C2471" s="213"/>
      <c r="D2471" s="213"/>
      <c r="E2471" s="24"/>
      <c r="F2471" s="215"/>
      <c r="G2471" s="26"/>
      <c r="H2471" s="199"/>
      <c r="I2471" s="29"/>
      <c r="J2471" s="192"/>
      <c r="K2471" s="31"/>
      <c r="L2471" s="200"/>
      <c r="M2471" s="212"/>
      <c r="N2471" s="3"/>
      <c r="O2471" s="40"/>
      <c r="P2471" s="40"/>
      <c r="Q2471" s="212"/>
      <c r="R2471" s="31"/>
      <c r="S2471" s="40"/>
      <c r="T2471" s="40"/>
      <c r="U2471" s="40"/>
      <c r="V2471" s="40"/>
      <c r="W2471" s="40"/>
      <c r="X2471" s="40"/>
      <c r="Y2471" s="40"/>
      <c r="Z2471" s="40"/>
      <c r="AA2471" s="40"/>
      <c r="AB2471" s="40"/>
    </row>
    <row r="2472" ht="18.75" customHeight="1">
      <c r="A2472" s="18"/>
      <c r="B2472" s="22"/>
      <c r="C2472" s="213"/>
      <c r="D2472" s="213"/>
      <c r="E2472" s="24"/>
      <c r="F2472" s="215"/>
      <c r="G2472" s="26"/>
      <c r="H2472" s="199"/>
      <c r="I2472" s="29"/>
      <c r="J2472" s="192"/>
      <c r="K2472" s="31"/>
      <c r="L2472" s="200"/>
      <c r="M2472" s="212"/>
      <c r="N2472" s="3"/>
      <c r="O2472" s="40"/>
      <c r="P2472" s="40"/>
      <c r="Q2472" s="212"/>
      <c r="R2472" s="31"/>
      <c r="S2472" s="40"/>
      <c r="T2472" s="40"/>
      <c r="U2472" s="40"/>
      <c r="V2472" s="40"/>
      <c r="W2472" s="40"/>
      <c r="X2472" s="40"/>
      <c r="Y2472" s="40"/>
      <c r="Z2472" s="40"/>
      <c r="AA2472" s="40"/>
      <c r="AB2472" s="40"/>
    </row>
    <row r="2473" ht="18.75" customHeight="1">
      <c r="A2473" s="18"/>
      <c r="B2473" s="22"/>
      <c r="C2473" s="213"/>
      <c r="D2473" s="213"/>
      <c r="E2473" s="24"/>
      <c r="F2473" s="215"/>
      <c r="G2473" s="26"/>
      <c r="H2473" s="199"/>
      <c r="I2473" s="29"/>
      <c r="J2473" s="192"/>
      <c r="K2473" s="31"/>
      <c r="L2473" s="200"/>
      <c r="M2473" s="212"/>
      <c r="N2473" s="3"/>
      <c r="O2473" s="40"/>
      <c r="P2473" s="40"/>
      <c r="Q2473" s="212"/>
      <c r="R2473" s="31"/>
      <c r="S2473" s="40"/>
      <c r="T2473" s="40"/>
      <c r="U2473" s="40"/>
      <c r="V2473" s="40"/>
      <c r="W2473" s="40"/>
      <c r="X2473" s="40"/>
      <c r="Y2473" s="40"/>
      <c r="Z2473" s="40"/>
      <c r="AA2473" s="40"/>
      <c r="AB2473" s="40"/>
    </row>
    <row r="2474" ht="18.75" customHeight="1">
      <c r="A2474" s="18"/>
      <c r="B2474" s="22"/>
      <c r="C2474" s="213"/>
      <c r="D2474" s="213"/>
      <c r="E2474" s="24"/>
      <c r="F2474" s="215"/>
      <c r="G2474" s="26"/>
      <c r="H2474" s="199"/>
      <c r="I2474" s="29"/>
      <c r="J2474" s="192"/>
      <c r="K2474" s="31"/>
      <c r="L2474" s="200"/>
      <c r="M2474" s="212"/>
      <c r="N2474" s="3"/>
      <c r="O2474" s="40"/>
      <c r="P2474" s="40"/>
      <c r="Q2474" s="212"/>
      <c r="R2474" s="31"/>
      <c r="S2474" s="40"/>
      <c r="T2474" s="40"/>
      <c r="U2474" s="40"/>
      <c r="V2474" s="40"/>
      <c r="W2474" s="40"/>
      <c r="X2474" s="40"/>
      <c r="Y2474" s="40"/>
      <c r="Z2474" s="40"/>
      <c r="AA2474" s="40"/>
      <c r="AB2474" s="40"/>
    </row>
    <row r="2475" ht="18.75" customHeight="1">
      <c r="A2475" s="18"/>
      <c r="B2475" s="22"/>
      <c r="C2475" s="213"/>
      <c r="D2475" s="213"/>
      <c r="E2475" s="24"/>
      <c r="F2475" s="215"/>
      <c r="G2475" s="26"/>
      <c r="H2475" s="199"/>
      <c r="I2475" s="29"/>
      <c r="J2475" s="192"/>
      <c r="K2475" s="31"/>
      <c r="L2475" s="200"/>
      <c r="M2475" s="212"/>
      <c r="N2475" s="3"/>
      <c r="O2475" s="40"/>
      <c r="P2475" s="40"/>
      <c r="Q2475" s="212"/>
      <c r="R2475" s="31"/>
      <c r="S2475" s="40"/>
      <c r="T2475" s="40"/>
      <c r="U2475" s="40"/>
      <c r="V2475" s="40"/>
      <c r="W2475" s="40"/>
      <c r="X2475" s="40"/>
      <c r="Y2475" s="40"/>
      <c r="Z2475" s="40"/>
      <c r="AA2475" s="40"/>
      <c r="AB2475" s="40"/>
    </row>
    <row r="2476" ht="18.75" customHeight="1">
      <c r="A2476" s="18"/>
      <c r="B2476" s="22"/>
      <c r="C2476" s="213"/>
      <c r="D2476" s="213"/>
      <c r="E2476" s="24"/>
      <c r="F2476" s="215"/>
      <c r="G2476" s="26"/>
      <c r="H2476" s="199"/>
      <c r="I2476" s="29"/>
      <c r="J2476" s="192"/>
      <c r="K2476" s="31"/>
      <c r="L2476" s="200"/>
      <c r="M2476" s="212"/>
      <c r="N2476" s="3"/>
      <c r="O2476" s="40"/>
      <c r="P2476" s="40"/>
      <c r="Q2476" s="212"/>
      <c r="R2476" s="31"/>
      <c r="S2476" s="40"/>
      <c r="T2476" s="40"/>
      <c r="U2476" s="40"/>
      <c r="V2476" s="40"/>
      <c r="W2476" s="40"/>
      <c r="X2476" s="40"/>
      <c r="Y2476" s="40"/>
      <c r="Z2476" s="40"/>
      <c r="AA2476" s="40"/>
      <c r="AB2476" s="40"/>
    </row>
    <row r="2477" ht="18.75" customHeight="1">
      <c r="A2477" s="18"/>
      <c r="B2477" s="22"/>
      <c r="C2477" s="213"/>
      <c r="D2477" s="213"/>
      <c r="E2477" s="24"/>
      <c r="F2477" s="215"/>
      <c r="G2477" s="26"/>
      <c r="H2477" s="199"/>
      <c r="I2477" s="29"/>
      <c r="J2477" s="192"/>
      <c r="K2477" s="31"/>
      <c r="L2477" s="200"/>
      <c r="M2477" s="212"/>
      <c r="N2477" s="3"/>
      <c r="O2477" s="40"/>
      <c r="P2477" s="40"/>
      <c r="Q2477" s="212"/>
      <c r="R2477" s="31"/>
      <c r="S2477" s="40"/>
      <c r="T2477" s="40"/>
      <c r="U2477" s="40"/>
      <c r="V2477" s="40"/>
      <c r="W2477" s="40"/>
      <c r="X2477" s="40"/>
      <c r="Y2477" s="40"/>
      <c r="Z2477" s="40"/>
      <c r="AA2477" s="40"/>
      <c r="AB2477" s="40"/>
    </row>
    <row r="2478" ht="18.75" customHeight="1">
      <c r="A2478" s="18"/>
      <c r="B2478" s="22"/>
      <c r="C2478" s="213"/>
      <c r="D2478" s="213"/>
      <c r="E2478" s="24"/>
      <c r="F2478" s="215"/>
      <c r="G2478" s="26"/>
      <c r="H2478" s="199"/>
      <c r="I2478" s="29"/>
      <c r="J2478" s="192"/>
      <c r="K2478" s="31"/>
      <c r="L2478" s="200"/>
      <c r="M2478" s="212"/>
      <c r="N2478" s="3"/>
      <c r="O2478" s="40"/>
      <c r="P2478" s="40"/>
      <c r="Q2478" s="212"/>
      <c r="R2478" s="31"/>
      <c r="S2478" s="40"/>
      <c r="T2478" s="40"/>
      <c r="U2478" s="40"/>
      <c r="V2478" s="40"/>
      <c r="W2478" s="40"/>
      <c r="X2478" s="40"/>
      <c r="Y2478" s="40"/>
      <c r="Z2478" s="40"/>
      <c r="AA2478" s="40"/>
      <c r="AB2478" s="40"/>
    </row>
    <row r="2479" ht="18.75" customHeight="1">
      <c r="A2479" s="18"/>
      <c r="B2479" s="22"/>
      <c r="C2479" s="213"/>
      <c r="D2479" s="213"/>
      <c r="E2479" s="24"/>
      <c r="F2479" s="215"/>
      <c r="G2479" s="26"/>
      <c r="H2479" s="199"/>
      <c r="I2479" s="29"/>
      <c r="J2479" s="192"/>
      <c r="K2479" s="31"/>
      <c r="L2479" s="200"/>
      <c r="M2479" s="212"/>
      <c r="N2479" s="3"/>
      <c r="O2479" s="40"/>
      <c r="P2479" s="40"/>
      <c r="Q2479" s="212"/>
      <c r="R2479" s="31"/>
      <c r="S2479" s="40"/>
      <c r="T2479" s="40"/>
      <c r="U2479" s="40"/>
      <c r="V2479" s="40"/>
      <c r="W2479" s="40"/>
      <c r="X2479" s="40"/>
      <c r="Y2479" s="40"/>
      <c r="Z2479" s="40"/>
      <c r="AA2479" s="40"/>
      <c r="AB2479" s="40"/>
    </row>
    <row r="2480" ht="18.75" customHeight="1">
      <c r="A2480" s="18"/>
      <c r="B2480" s="22"/>
      <c r="C2480" s="213"/>
      <c r="D2480" s="213"/>
      <c r="E2480" s="24"/>
      <c r="F2480" s="215"/>
      <c r="G2480" s="26"/>
      <c r="H2480" s="199"/>
      <c r="I2480" s="29"/>
      <c r="J2480" s="192"/>
      <c r="K2480" s="31"/>
      <c r="L2480" s="200"/>
      <c r="M2480" s="212"/>
      <c r="N2480" s="3"/>
      <c r="O2480" s="40"/>
      <c r="P2480" s="40"/>
      <c r="Q2480" s="212"/>
      <c r="R2480" s="31"/>
      <c r="S2480" s="40"/>
      <c r="T2480" s="40"/>
      <c r="U2480" s="40"/>
      <c r="V2480" s="40"/>
      <c r="W2480" s="40"/>
      <c r="X2480" s="40"/>
      <c r="Y2480" s="40"/>
      <c r="Z2480" s="40"/>
      <c r="AA2480" s="40"/>
      <c r="AB2480" s="40"/>
    </row>
    <row r="2481" ht="18.75" customHeight="1">
      <c r="A2481" s="18"/>
      <c r="B2481" s="22"/>
      <c r="C2481" s="213"/>
      <c r="D2481" s="213"/>
      <c r="E2481" s="24"/>
      <c r="F2481" s="215"/>
      <c r="G2481" s="26"/>
      <c r="H2481" s="199"/>
      <c r="I2481" s="29"/>
      <c r="J2481" s="192"/>
      <c r="K2481" s="31"/>
      <c r="L2481" s="200"/>
      <c r="M2481" s="212"/>
      <c r="N2481" s="3"/>
      <c r="O2481" s="40"/>
      <c r="P2481" s="40"/>
      <c r="Q2481" s="212"/>
      <c r="R2481" s="31"/>
      <c r="S2481" s="40"/>
      <c r="T2481" s="40"/>
      <c r="U2481" s="40"/>
      <c r="V2481" s="40"/>
      <c r="W2481" s="40"/>
      <c r="X2481" s="40"/>
      <c r="Y2481" s="40"/>
      <c r="Z2481" s="40"/>
      <c r="AA2481" s="40"/>
      <c r="AB2481" s="40"/>
    </row>
    <row r="2482" ht="18.75" customHeight="1">
      <c r="A2482" s="18"/>
      <c r="B2482" s="22"/>
      <c r="C2482" s="213"/>
      <c r="D2482" s="213"/>
      <c r="E2482" s="24"/>
      <c r="F2482" s="215"/>
      <c r="G2482" s="26"/>
      <c r="H2482" s="199"/>
      <c r="I2482" s="29"/>
      <c r="J2482" s="192"/>
      <c r="K2482" s="31"/>
      <c r="L2482" s="200"/>
      <c r="M2482" s="212"/>
      <c r="N2482" s="3"/>
      <c r="O2482" s="40"/>
      <c r="P2482" s="40"/>
      <c r="Q2482" s="212"/>
      <c r="R2482" s="31"/>
      <c r="S2482" s="40"/>
      <c r="T2482" s="40"/>
      <c r="U2482" s="40"/>
      <c r="V2482" s="40"/>
      <c r="W2482" s="40"/>
      <c r="X2482" s="40"/>
      <c r="Y2482" s="40"/>
      <c r="Z2482" s="40"/>
      <c r="AA2482" s="40"/>
      <c r="AB2482" s="40"/>
    </row>
    <row r="2483" ht="18.75" customHeight="1">
      <c r="A2483" s="18"/>
      <c r="B2483" s="22"/>
      <c r="C2483" s="213"/>
      <c r="D2483" s="213"/>
      <c r="E2483" s="24"/>
      <c r="F2483" s="215"/>
      <c r="G2483" s="26"/>
      <c r="H2483" s="199"/>
      <c r="I2483" s="29"/>
      <c r="J2483" s="192"/>
      <c r="K2483" s="31"/>
      <c r="L2483" s="200"/>
      <c r="M2483" s="212"/>
      <c r="N2483" s="3"/>
      <c r="O2483" s="40"/>
      <c r="P2483" s="40"/>
      <c r="Q2483" s="212"/>
      <c r="R2483" s="31"/>
      <c r="S2483" s="40"/>
      <c r="T2483" s="40"/>
      <c r="U2483" s="40"/>
      <c r="V2483" s="40"/>
      <c r="W2483" s="40"/>
      <c r="X2483" s="40"/>
      <c r="Y2483" s="40"/>
      <c r="Z2483" s="40"/>
      <c r="AA2483" s="40"/>
      <c r="AB2483" s="40"/>
    </row>
    <row r="2484" ht="18.75" customHeight="1">
      <c r="A2484" s="18"/>
      <c r="B2484" s="22"/>
      <c r="C2484" s="213"/>
      <c r="D2484" s="213"/>
      <c r="E2484" s="24"/>
      <c r="F2484" s="215"/>
      <c r="G2484" s="26"/>
      <c r="H2484" s="199"/>
      <c r="I2484" s="29"/>
      <c r="J2484" s="192"/>
      <c r="K2484" s="31"/>
      <c r="L2484" s="200"/>
      <c r="M2484" s="212"/>
      <c r="N2484" s="3"/>
      <c r="O2484" s="40"/>
      <c r="P2484" s="40"/>
      <c r="Q2484" s="212"/>
      <c r="R2484" s="31"/>
      <c r="S2484" s="40"/>
      <c r="T2484" s="40"/>
      <c r="U2484" s="40"/>
      <c r="V2484" s="40"/>
      <c r="W2484" s="40"/>
      <c r="X2484" s="40"/>
      <c r="Y2484" s="40"/>
      <c r="Z2484" s="40"/>
      <c r="AA2484" s="40"/>
      <c r="AB2484" s="40"/>
    </row>
    <row r="2485" ht="18.75" customHeight="1">
      <c r="A2485" s="18"/>
      <c r="B2485" s="22"/>
      <c r="C2485" s="213"/>
      <c r="D2485" s="213"/>
      <c r="E2485" s="24"/>
      <c r="F2485" s="215"/>
      <c r="G2485" s="26"/>
      <c r="H2485" s="199"/>
      <c r="I2485" s="29"/>
      <c r="J2485" s="192"/>
      <c r="K2485" s="31"/>
      <c r="L2485" s="200"/>
      <c r="M2485" s="212"/>
      <c r="N2485" s="3"/>
      <c r="O2485" s="40"/>
      <c r="P2485" s="40"/>
      <c r="Q2485" s="212"/>
      <c r="R2485" s="31"/>
      <c r="S2485" s="40"/>
      <c r="T2485" s="40"/>
      <c r="U2485" s="40"/>
      <c r="V2485" s="40"/>
      <c r="W2485" s="40"/>
      <c r="X2485" s="40"/>
      <c r="Y2485" s="40"/>
      <c r="Z2485" s="40"/>
      <c r="AA2485" s="40"/>
      <c r="AB2485" s="40"/>
    </row>
    <row r="2486" ht="18.75" customHeight="1">
      <c r="A2486" s="18"/>
      <c r="B2486" s="22"/>
      <c r="C2486" s="213"/>
      <c r="D2486" s="213"/>
      <c r="E2486" s="24"/>
      <c r="F2486" s="215"/>
      <c r="G2486" s="26"/>
      <c r="H2486" s="199"/>
      <c r="I2486" s="29"/>
      <c r="J2486" s="192"/>
      <c r="K2486" s="31"/>
      <c r="L2486" s="200"/>
      <c r="M2486" s="212"/>
      <c r="N2486" s="3"/>
      <c r="O2486" s="40"/>
      <c r="P2486" s="40"/>
      <c r="Q2486" s="212"/>
      <c r="R2486" s="31"/>
      <c r="S2486" s="40"/>
      <c r="T2486" s="40"/>
      <c r="U2486" s="40"/>
      <c r="V2486" s="40"/>
      <c r="W2486" s="40"/>
      <c r="X2486" s="40"/>
      <c r="Y2486" s="40"/>
      <c r="Z2486" s="40"/>
      <c r="AA2486" s="40"/>
      <c r="AB2486" s="40"/>
    </row>
    <row r="2487" ht="18.75" customHeight="1">
      <c r="A2487" s="18"/>
      <c r="B2487" s="22"/>
      <c r="C2487" s="213"/>
      <c r="D2487" s="213"/>
      <c r="E2487" s="24"/>
      <c r="F2487" s="215"/>
      <c r="G2487" s="26"/>
      <c r="H2487" s="199"/>
      <c r="I2487" s="29"/>
      <c r="J2487" s="192"/>
      <c r="K2487" s="31"/>
      <c r="L2487" s="200"/>
      <c r="M2487" s="212"/>
      <c r="N2487" s="3"/>
      <c r="O2487" s="40"/>
      <c r="P2487" s="40"/>
      <c r="Q2487" s="212"/>
      <c r="R2487" s="31"/>
      <c r="S2487" s="40"/>
      <c r="T2487" s="40"/>
      <c r="U2487" s="40"/>
      <c r="V2487" s="40"/>
      <c r="W2487" s="40"/>
      <c r="X2487" s="40"/>
      <c r="Y2487" s="40"/>
      <c r="Z2487" s="40"/>
      <c r="AA2487" s="40"/>
      <c r="AB2487" s="40"/>
    </row>
    <row r="2488" ht="18.75" customHeight="1">
      <c r="A2488" s="18"/>
      <c r="B2488" s="22"/>
      <c r="C2488" s="213"/>
      <c r="D2488" s="213"/>
      <c r="E2488" s="24"/>
      <c r="F2488" s="215"/>
      <c r="G2488" s="26"/>
      <c r="H2488" s="199"/>
      <c r="I2488" s="29"/>
      <c r="J2488" s="192"/>
      <c r="K2488" s="31"/>
      <c r="L2488" s="200"/>
      <c r="M2488" s="212"/>
      <c r="N2488" s="3"/>
      <c r="O2488" s="40"/>
      <c r="P2488" s="40"/>
      <c r="Q2488" s="212"/>
      <c r="R2488" s="31"/>
      <c r="S2488" s="40"/>
      <c r="T2488" s="40"/>
      <c r="U2488" s="40"/>
      <c r="V2488" s="40"/>
      <c r="W2488" s="40"/>
      <c r="X2488" s="40"/>
      <c r="Y2488" s="40"/>
      <c r="Z2488" s="40"/>
      <c r="AA2488" s="40"/>
      <c r="AB2488" s="40"/>
    </row>
  </sheetData>
  <autoFilter ref="$A$1:$T$1260">
    <filterColumn colId="9">
      <filters blank="1">
        <filter val="/salesAndService"/>
        <filter val="/experience/crossChannel/customerWorkbench"/>
        <filter val="/system/regulationsAndCompliance/fraudResolution"/>
        <filter val="/payments/paymentOrder"/>
        <filter val="/experience/documentManagementAndArchive/documentServices"/>
        <filter val="/tradeBanking/creditFacility"/>
        <filter val="/system/operationalServices/issuedDeviceTracking"/>
        <filter val="/servicing"/>
        <filter val="/experience/customerManagement/customerProductAndServiceEligibility"/>
        <filter val="/system/loansAndDeposits/savingsAccount"/>
        <filter val="/experience/channelSpecific/branchLocationOperations"/>
        <filter val="/system/relationshipManagement/customerCreditRating"/>
        <filter val="/experience/customerManagement/customerAgreement"/>
        <filter val="/operationalServices"/>
        <filter val="/loansAndDeposits/currentAccount"/>
        <filter val="/system/relationshipManagement/customerRelationshipManagement"/>
        <filter val="/experience/crossProductOperations"/>
        <filter val="/experience/corporateBanking/creditFacility"/>
        <filter val="/experience/operationsAndExecution"/>
        <filter val="/system/loansAndDeposits/loan"/>
        <filter val="/tradeBanking/directDebit"/>
        <filter val="/system/regulationsAndCompliance/regulatoryCompliance"/>
        <filter val="/crossChannel/sessionDialogue"/>
        <filter val="/experience/crossChannel/partyAuthentication"/>
        <filter val="/crossChannel/interactiveHelp"/>
        <filter val="/system/party/legalEntityDirectory"/>
        <filter val="/iTManagement/platformOperations"/>
        <filter val="/regulationsAndCompliance/regulatoryCompliance"/>
        <filter val="/system/crossChanel/partyAuthentication"/>
        <filter val="/experience/consumerServices/currencyExchange"/>
        <filter val="/system/cards/creditCardPositionKeeping"/>
        <filter val="/system/clearingAndSettlement/paymentRailOperations"/>
        <filter val="/documentManagementAndArchive/documentDirectory"/>
        <filter val="/clearingAndSettlement/paymentRailOperations"/>
        <filter val="/system/payments/chequeProcessing"/>
        <filter val="/system/accountManagement/customerPosition"/>
        <filter val="/experience/accountManagement/transactionEngine"/>
        <filter val="/party/legalEntityDirectory"/>
        <filter val="/customerManagement/salesProductAgreement"/>
        <filter val="/system/customerManagement/customerAgreement"/>
        <filter val="/system/accountManagement/counterpartyRisk"/>
        <filter val="/system/regulationsAndCompliance/financialAccounting"/>
        <filter val="/system/accountManagement/positionKeeping"/>
        <filter val="/system/customerManagement/salesProductAgreement"/>
        <filter val="/experience/operationalServices"/>
        <filter val="/system/accountManagement/transactionEngine"/>
        <filter val="/customerManagement/customerProductAndServiceEligibility"/>
        <filter val="/experience/clearingAndSettlement/remittances"/>
        <filter val="/cards"/>
        <filter val="/system/documentManagementAndArchive/correspondence"/>
        <filter val="/system/channelSpecific/branchNetworkManagement"/>
        <filter val="/system/customerManagement/customerRelationshipManagement"/>
        <filter val="/experience/servicing"/>
        <filter val="/experience/cards/creditCard"/>
        <filter val="/experience/productManagement/productDirectory"/>
        <filter val="/operationalServices/issuedDeviceTracking"/>
        <filter val="/businessSupport"/>
        <filter val="/operationalServices/cardTransactionSwitch"/>
        <filter val="/experience/productSpecificFulfillment"/>
        <filter val="/operationalServices/issuedDeviceAdministration"/>
        <filter val="/crossChannel/partyAuthentication"/>
        <filter val="/system/cards/creditCard"/>
        <filter val="/system/operationalServices/internalBankAccount"/>
        <filter val="/system/customerManagement/customerAccessEntitlement"/>
        <filter val="/system/sales/customerOffer"/>
        <filter val="/experience/marketData/locationDataManagement"/>
        <filter val="/system/operationalService/internalBankAccount"/>
        <filter val="/channelSpecific/branchNetworkManagement"/>
        <filter val="/experience/payments/paymentOrder"/>
        <filter val="/system/productManagement/productDirectory"/>
        <filter val="/experience/loansAndDeposits/corporateCurrentAccount"/>
        <filter val="/experience/documentManagementAndArchive/documentDirectory"/>
        <filter val="/system/payments/cardeCommerceGateway"/>
        <filter val="/operationalServices/internalBankAccount"/>
        <filter val="/regulationsAndCompliance/financialAccounting"/>
        <filter val="/system/crossChannel/sessionDialogue"/>
        <filter val="/investmentManagement/investmentAccount"/>
        <filter val="/customerManagement/partyReferenceDataDirectory"/>
        <filter val="/customerManagement/customerAgreement"/>
        <filter val="/system/tradeBanking/directDebit"/>
        <filter val="/operationsAndExecution"/>
        <filter val="/experience/cards/creditCardPositionKeeping"/>
        <filter val="/accountManagement/positionKeeping"/>
        <filter val="/system/customerManagement/customerProductsAndServices"/>
        <filter val="/system/customerManagement/partyReferenceDataDirectory"/>
        <filter val="/payments/paymentExecution"/>
        <filter val="/system/sales/productMatching"/>
        <filter val="/partyReference/partyRetailReferenceDataDirectory"/>
        <filter val="/system/operationalServices/issuedDeviceAdministration"/>
        <filter val="/experience/accountManagement/counterpartyRisk"/>
        <filter val="/system/accountManagement/accountReconciliation"/>
        <filter val="/accountManagement/transactionEngine"/>
        <filter val="/system/iTManagement/systemsOperations"/>
        <filter val="/accountManagement/customerPosition"/>
        <filter val="/iTManagement/systemsOperations"/>
        <filter val="/system/consumerServices/currencyExchange"/>
        <filter val="/loansAndDeposits/savingsAccount"/>
        <filter val="/customerManagement"/>
        <filter val="/system/enterpriseServices/securityAdvisory"/>
        <filter val="/system/payments/paymentOrder"/>
        <filter val="/accountManagement/accountReconciliation"/>
        <filter val="/system/clearingAndSettlement/transactionEngine"/>
        <filter val="/enterpriseServices/securityAdvisory"/>
        <filter val="/customerManagement/customerCreditRating"/>
        <filter val="/experience/enterpriseServices/securityAdvisory"/>
        <filter val="/clearingAndSettlement/remittances"/>
        <filter val="/experience/sales/customerOffer"/>
        <filter val="/crossProductOperations"/>
        <filter val="/marketData/locationDataManagement"/>
        <filter val="/system/partyReference/partyRetailReferenceDataDirectory"/>
        <filter val="/experience/salesAndService"/>
        <filter val="/loansAndDeposits/corporateCurrentAccount"/>
        <filter val="/sales/customerOffer"/>
        <filter val="/system/documentManagementAndArchive/documentDirectory"/>
        <filter val="/experience/payments/paymentExecution"/>
        <filter val="/relationshipManagement/customerRelationshipManagement"/>
        <filter val="/loansAndDeposits/loan"/>
        <filter val="/system/channelSpecific/branchLocationOperations"/>
        <filter val="/experience/iTManagement/systemsOperations"/>
        <filter val="/system/customerManagement/customerCreditRating"/>
        <filter val="/system/sales/partyLifecycleManagement"/>
        <filter val="/system/clearingAndSettlement/remittances"/>
        <filter val="/utility/utility"/>
        <filter val="/system/loansAndDeposits/currentAccount"/>
        <filter val="/experience/customerManagement/partyReferenceDataDirectory"/>
        <filter val="/system/investmentManagement/investmentAccount"/>
        <filter val="/servicing/servicingOrder"/>
        <filter val="/experience/accountManagement/positionKeeping"/>
        <filter val="/experience/clearingAndSettlement/paymentRailOperations"/>
        <filter val="/payments"/>
        <filter val="/documentManagementAndArchive/documentServices"/>
        <filter val="/experience/clearingAndSettlement/transactionEngine"/>
        <filter val="/system/tradeBanking/cashManagementAndAccountServices"/>
        <filter val="/system/utility/utility"/>
        <filter val="/customerManagement/customerProductsAndServices"/>
        <filter val="/sales/productMatching"/>
        <filter val="/experience/customerManagement/customerProductsAndServices"/>
        <filter val="/documentManagementAndArchive/correspondence"/>
        <filter val="/productSpecificFulfillment"/>
        <filter val="/experience/operationalServices/issuedDeviceAdministration"/>
        <filter val="/system/marketData/locationDataManagement"/>
        <filter val="/system/documentManagementAndArchive/documentServices"/>
        <filter val="/experience/loanAndDeposits/loan"/>
        <filter val="/operationalService/internalBankAccount"/>
        <filter val="/experience/sales/partyLifecycleManagement"/>
        <filter val="/customerManagement/customerAccessEntitlement"/>
        <filter val="/system/crossChannel/partyAuthentication"/>
        <filter val="/experience/channelSpecific"/>
        <filter val="/productManagement/productDirectory"/>
        <filter val="/cards/creditCard"/>
        <filter val="/system/tradeBanking/creditFacility"/>
        <filter val="/channelSpecific"/>
        <filter val="/businessRule/customerManagement/partyReferenceDataDirectory"/>
        <filter val="/businessRule/marketData/locationDataManagement"/>
        <filter val="/system/loansAndDeposits/corporateCurrentAccount"/>
        <filter val="/channelSpecific/branchLocationOperations"/>
        <filter val="/experience/payments/cardeCommerceGateway"/>
        <filter val="/experience/party/legalEntityDirectory"/>
        <filter val="/referenceData"/>
        <filter val="/businessRule/customerManagement/customerProductAndServiceEligibility"/>
        <filter val="/corporateBanking/creditFacility"/>
        <filter val="/sales/partyLifecycleManagement"/>
        <filter val="/system/corporateBanking/creditFacility"/>
        <filter val="/system/payments/paymentExecution"/>
        <filter val="/payments/cardeCommerceGateway"/>
        <filter val="/system/crossChannel/customerWorkbench"/>
        <filter val="/experience/payments"/>
        <filter val="/accountManagement/counterpartyRisk"/>
        <filter val="/experience/customerManagement/CustomerAccessEntitlement"/>
        <filter val="/experience/customerManagement/customerCreditRating"/>
        <filter val="/experience/utility/utility"/>
        <filter val="/relationshipManagement/customerCreditRating"/>
        <filter val="/consumerServices/currencyExchange"/>
        <filter val="/experience/crossChannel/sessionDialogue"/>
        <filter val="/system/crossChannel/interactiveHelp"/>
        <filter val="/crossChanel/partyAuthentication"/>
        <filter val="/crossChannel/customerWorkbench"/>
        <filter val="/regulationsAndCompliance/fraudResolution"/>
        <filter val="/system/customerManagement/customerProductAndServiceEligibility"/>
        <filter val="/experience/referenceData"/>
        <filter val="/experience/cards"/>
        <filter val="/cards/creditCardPositionKeeping"/>
        <filter val="/customerManagement/customerRelationshipManagement"/>
        <filter val="/system/iTManagement/platformOperations"/>
        <filter val="/experience/customerManagement"/>
        <filter val="/system/servicing/servicingOrder"/>
        <filter val="/system/operationalServices/cardTransactionSwitch"/>
      </filters>
    </filterColumn>
  </autoFilter>
  <customSheetViews>
    <customSheetView guid="{8BF8B6BB-0008-48F4-8569-81D9ECF90274}" filter="1" showAutoFilter="1">
      <autoFilter ref="$A$1:$U$1573"/>
    </customSheetView>
    <customSheetView guid="{D2EFDD39-CFE4-4115-9425-92D166ECA4CD}" filter="1" showAutoFilter="1">
      <autoFilter ref="$B$1:$P$1354">
        <sortState ref="B1:P1354">
          <sortCondition ref="G1:G1354"/>
        </sortState>
      </autoFilter>
    </customSheetView>
    <customSheetView guid="{95E4B99E-D5CB-425E-A53A-3FE8C3A49BA8}" filter="1" showAutoFilter="1">
      <autoFilter ref="$B$1:$Z$1354">
        <sortState ref="B1:Z1354">
          <sortCondition ref="G1:G1354"/>
        </sortState>
      </autoFilter>
    </customSheetView>
    <customSheetView guid="{10B4FCE2-1400-4929-BF26-C875B3731B98}" filter="1" showAutoFilter="1">
      <autoFilter ref="$A$1:$T$1653">
        <filterColumn colId="4">
          <filters>
            <filter val="APIMX000116"/>
            <filter val="APIMX000004"/>
            <filter val="APIMX000001"/>
            <filter val="APIMX000097"/>
          </filters>
        </filterColumn>
        <filterColumn colId="16">
          <filters blank="1">
            <filter val="https://coppelmx.atlassian.net/wiki/x/WoBaOQ"/>
            <filter val="https://coppelmx.atlassian.net/wiki/x/CYAGOw"/>
            <filter val="https://coppelmx.atlassian.net/wiki/x/koBkOw"/>
            <filter val="https://coppelmx.atlassian.net/wiki/spaces/GAC/pages/2158821554/RESMX000036_Bus_ExecuteBiometricManagement_V1"/>
            <filter val="https://coppelmx.atlassian.net/wiki/x/ZoBdOQ"/>
            <filter val="https://coppelmx.atlassian.net/wiki/spaces/SEAC/pages/1370128427/RESMX001456+Pro_CreateFileStatementProductsCorporateV1"/>
            <filter val="https://coppelmx.atlassian.net/wiki/x/yIC8g"/>
            <filter val="https://coppelmx.atlassian.net/wiki/x/QoBlOw"/>
            <filter val="https://coppelmx.atlassian.net/wiki/x/B4DRPw"/>
            <filter val="https://coppelmx.atlassian.net/wiki/spaces/SEAC/pages/1728413722/RESMX001551+Pro_CloseSessionCorporateV1"/>
            <filter val="https://coppelmx.atlassian.net/wiki/spaces/SEAC/pages/1798965274/RESMX001569+Dom_CreateErrorTransferCorporateV1"/>
            <filter val="https://coppelmx.atlassian.net/wiki/x/WYBrPQ"/>
            <filter val="https://coppelmx.atlassian.net/wiki/x/AgBiO"/>
            <filter val="https://coppelmx.atlassian.net/wiki/x/YoBIQg"/>
            <filter val="https://coppelmx.atlassian.net/wiki/spaces/SEAC/pages/1571750120/RESMX001539+Dom_UpdateUserAuthenticationCorporateV1"/>
            <filter val="https://coppelmx.atlassian.net/wiki/spaces/SEAC/pages/1400012931/RESMX001555+Dom_ValidateRecordsCorporateV1"/>
            <filter val="https://coppelmx.atlassian.net/wiki/x/5wBtQQ"/>
            <filter val="https://coppelmx.atlassian.net/wiki/x/AYCcOQ"/>
            <filter val="https://coppelmx.atlassian.net/wiki/spaces/SEAC/pages/1334378497/RESMX001415+Dom_UnassignHardTokenCorporateV1"/>
            <filter val="https://coppelmx.atlassian.net/wiki/x/FAAkgQ"/>
            <filter val="https://coppelmx.atlassian.net/wiki/spaces/SHAC/pages/1962410025/Bus_DirectDebitHubV1+0"/>
            <filter val="https://coppelmx.atlassian.net/wiki/x/9AC6g"/>
            <filter val="https://coppelmx.atlassian.net/wiki/spaces/SEAC/pages/1366000097/RESMX001453+Pro_RetrieveStatementProductsCorporateV1"/>
            <filter val="https://coppelmx.atlassian.net/wiki/x/DwDTOQ"/>
            <filter val="https://coppelmx.atlassian.net/wiki/x/SgBfQg"/>
            <filter val="https://coppelmx.atlassian.net/wiki/x/KAA9OQ"/>
            <filter val="https://coppelmx.atlassian.net/wiki/x/CgBJOg"/>
            <filter val="https://coppelmx.atlassian.net/wiki/spaces/SEAC/pages/1372323890/RESMX001438+Bus_CaptureDocumentsCorporateV1"/>
            <filter val="https://coppelmx.atlassian.net/wiki/spaces/GAC/pages/2209087512/RESMX001026+Bus_EvaluatePartyAgeEligibilityV1"/>
            <filter val="https://coppelmx.atlassian.net/wiki/x/M4B_Og"/>
            <filter val="https://coppelmx.atlassian.net/wiki/x/AYAqOg"/>
            <filter val="https://coppelmx.atlassian.net/wiki/x/CIAzOg"/>
            <filter val="https://coppelmx.atlassian.net/wiki/x/CgCKOQ"/>
            <filter val="https://coppelmx.atlassian.net/wiki/x/AwC0Og"/>
            <filter val="https://coppelmx.atlassian.net/wiki/x/cABtQQ"/>
            <filter val="https://coppelmx.atlassian.net/wiki/x/AwAoQg"/>
            <filter val="https://coppelmx.atlassian.net/wiki/x/DwCcOw"/>
            <filter val="https://coppelmx.atlassian.net/wiki/x/nADuOg"/>
            <filter val="https://coppelmx.atlassian.net/wiki/x/K4BIQg"/>
            <filter val="https://coppelmx.atlassian.net/wiki/x/ZgCYg"/>
            <filter val="https://coppelmx.atlassian.net/wiki/x/WIBwQQ"/>
            <filter val="https://coppelmx.atlassian.net/wiki/x/0IBtO"/>
            <filter val="https://coppelmx.atlassian.net/wiki/x/AgCcOw"/>
            <filter val="https://coppelmx.atlassian.net/wiki/x/G4AyPg"/>
            <filter val="https://coppelmx.atlassian.net/wiki/x/FACcOQ"/>
            <filter val="https://coppelmx.atlassian.net/wiki/x/MQDROQ"/>
            <filter val="https://coppelmx.atlassian.net/wiki/spaces/SEAC/pages/1352761375/RESMX001164+Pro_EditStatusHardTokenCorporateV1"/>
            <filter val="https://coppelmx.atlassian.net/wiki/x/DQBFNw"/>
            <filter val="https://coppelmx.atlassian.net/wiki/x/RAHQO"/>
            <filter val="https://coppelmx.atlassian.net/wiki/x/JIDMO"/>
            <filter val="https://coppelmx.atlassian.net/wiki/x/KADoOQ"/>
            <filter val="https://coppelmx.atlassian.net/wiki/spaces/SEAC/pages/1372323850/RESMX001421+Dom_ValidatePartyContactDataCorporateV1"/>
            <filter val="https://coppelmx.atlassian.net/wiki/x/FoDMO"/>
            <filter val="https://coppelmx.atlassian.net/wiki/x/DQCUO"/>
            <filter val="https://coppelmx.atlassian.net/wiki/spaces/GAC/pages/2159214684/RESMX000004_Bus_InitiatePaymentOrderProcedure_V1"/>
            <filter val="https://coppelmx.atlassian.net/wiki/x/eYCQO"/>
            <filter val="https://coppelmx.atlassian.net/wiki/spaces/SEAC/pages/1796641614/RESMX001567+Dom_RetrieveTransferRecordsFileCorporateV1"/>
            <filter val="https://coppelmx.atlassian.net/wiki/x/AwD3PQ"/>
            <filter val="https://coppelmx.atlassian.net/wiki/x/QID1PQ"/>
            <filter val="https://coppelmx.atlassian.net/wiki/x/DQA5OQ"/>
            <filter val="https://coppelmx.atlassian.net/wiki/x/DoBsPQ"/>
            <filter val="https://coppelmx.atlassian.net/wiki/spaces/SEAC/pages/1388282193/RESMX001430+Pro_UnassignTokenRsaCorporateV1"/>
            <filter val="https://coppelmx.atlassian.net/wiki/x/AoD5PQ"/>
            <filter val="https://coppelmx.atlassian.net/wiki/x/OoAcOQ"/>
            <filter val="https://coppelmx.atlassian.net/wiki/spaces/SEAC/pages/1367343105/RESMX001451+Pro_UpdateOtpStatusValidateRecoveryCodeUserCorporeateV1"/>
            <filter val="https://coppelmx.atlassian.net/wiki/x/HYCdOw"/>
            <filter val="https://coppelmx.atlassian.net/wiki/x/GYB-O"/>
            <filter val="https://coppelmx.atlassian.net/wiki/x/SwADP"/>
            <filter val="x"/>
            <filter val="https://coppelmx.atlassian.net/wiki/x/EAADP"/>
            <filter val="https://coppelmx.atlassian.net/wiki/x/_QDNO"/>
            <filter val="https://coppelmx.atlassian.net/wiki/x/UoBiOw"/>
            <filter val="https://coppelmx.atlassian.net/wiki/x/wADnPg"/>
            <filter val="https://coppelmx.atlassian.net/wiki/x/BYANPw"/>
            <filter val="https://coppelmx.atlassian.net/wiki/x/WYF5P"/>
            <filter val="https://coppelmx.atlassian.net/wiki/x/CoCKOQ"/>
            <filter val="https://coppelmx.atlassian.net/wiki/x/WoBcOQ"/>
            <filter val="https://coppelmx.atlassian.net/wiki/x/fwAkNw"/>
            <filter val="https://coppelmx.atlassian.net/wiki/x/KoAFPg"/>
            <filter val="https://coppelmx.atlassian.net/wiki/x/wQDxO"/>
            <filter val="https://coppelmx.atlassian.net/wiki/x/DoCgOQ"/>
            <filter val="https://coppelmx.atlassian.net/wiki/x/DIADOw"/>
            <filter val="https://coppelmx.atlassian.net/wiki/x/ZgByQQ"/>
            <filter val="https://coppelmx.atlassian.net/wiki/x/NABvO"/>
            <filter val="https://coppelmx.atlassian.net/wiki/x/CQD1O"/>
            <filter val="https://coppelmx.atlassian.net/wiki/x/VADpOg"/>
            <filter val="https://coppelmx.atlassian.net/wiki/spaces/SEAC/pages/1353580620/RESMX001434+Bus_ValidateRecoveryCodeUserCorporateV1"/>
            <filter val="https://coppelmx.atlassian.net/wiki/x/lYBzQQ"/>
            <filter val="https://coppelmx.atlassian.net/wiki/x/MwBJQg"/>
            <filter val="https://coppelmx.atlassian.net/wiki/spaces/SEAC/pages/1801487062/RESMX001582+Bus_ProcessFileRecordsCorporateV1"/>
            <filter val="Pending load documentation..."/>
            <filter val="https://coppelmx.atlassian.net/wiki/x/NACnPQ"/>
            <filter val="https://coppelmx.atlassian.net/wiki/x/f4D3Ow"/>
            <filter val="https://coppelmx.atlassian.net/wiki/x/CACMPQ"/>
            <filter val="https://coppelmx.atlassian.net/wiki/x/CAAzOg"/>
            <filter val="https://coppelmx.atlassian.net/wiki/spaces/SEAC/pages/1372454916/RESMX001465+Rec_CaptureDocumentsCorporateV1"/>
            <filter val="https://coppelmx.atlassian.net/wiki/spaces/SEAC/pages/1381269507/RESMX001468+Dom_DownloadFileTransferAuthorizationsCorporateV1"/>
            <filter val="https://coppelmx.atlassian.net/wiki/x/KgDhPg"/>
            <filter val="https://coppelmx.atlassian.net/wiki/x/fABCOw"/>
            <filter val="https://coppelmx.atlassian.net/wiki/x/EQDFPQ"/>
            <filter val="https://coppelmx.atlassian.net/wiki/spaces/SEAC/pages/1400471582/RESMX001536+Pro_ExchangeMessageCorporateV1"/>
            <filter val="https://coppelmx.atlassian.net/wiki/x/EACIOw"/>
            <filter val="https://coppelmx.atlassian.net/wiki/x/soBzQQ"/>
            <filter val="https://coppelmx.atlassian.net/wiki/x/EoDpOg"/>
            <filter val="https://coppelmx.atlassian.net/wiki/x/I4CGQ"/>
            <filter val="https://coppelmx.atlassian.net/wiki/spaces/SEAC/pages/1798965281/RESMX001570+Dom_CreateFolioTransferCorporateV1"/>
            <filter val="https://coppelmx.atlassian.net/wiki/x/QQIEOQ"/>
            <filter val="https://coppelmx.atlassian.net/wiki/x/HwA7O"/>
            <filter val="https://coppelmx.atlassian.net/wiki/x/74JGOw"/>
            <filter val="https://coppelmx.atlassian.net/wiki/x/CwDXOQ"/>
            <filter val="https://coppelmx.atlassian.net/wiki/x/SgD4O"/>
            <filter val="https://coppelmx.atlassian.net/wiki/x/tIBFOw"/>
            <filter val="https://coppelmx.atlassian.net/wiki/x/CYBuO"/>
            <filter val="https://coppelmx.atlassian.net/wiki/spaces/SEAC/pages/1397096461/RESMX001473+Pro_SignFileTransferCorporateV1"/>
            <filter val="https://coppelmx.atlassian.net/wiki/spaces/SEAC/pages/1397162082/RESMX001475+Dom_EvaluateVerificationDocumentCorporateV1"/>
            <filter val="https://coppelmx.atlassian.net/wiki/x/HIBfP"/>
            <filter val="https://coppelmx.atlassian.net/wiki/x/KID1O"/>
            <filter val="https://coppelmx.atlassian.net/wiki/x/DADIPQ"/>
            <filter val="https://coppelmx.atlassian.net/wiki/spaces/SEAC/pages/1370325068/RESMX001448+Dom_CreateFileStatementProductsCorporateV1"/>
            <filter val="https://coppelmx.atlassian.net/wiki/x/EQD7O"/>
            <filter val="https://coppelmx.atlassian.net/wiki/x/Q4CpPQ"/>
            <filter val="https://coppelmx.atlassian.net/wiki/x/vQCsg"/>
            <filter val="https://coppelmx.atlassian.net/wiki/x/IgAoOQ"/>
            <filter val="https://coppelmx.atlassian.net/wiki/x/GYCSO"/>
            <filter val="https://coppelmx.atlassian.net/wiki/x/DYDVOQ"/>
            <filter val="https://coppelmx.atlassian.net/wiki/x/AQAAP"/>
            <filter val="https://coppelmx.atlassian.net/wiki/x/SQDWO"/>
            <filter val="https://coppelmx.atlassian.net/wiki/x/CwBFQg"/>
            <filter val="https://coppelmx.atlassian.net/wiki/spaces/SEAC/pages/1386283086/RESMX001470+Dom_RegisterOnlineTransferAuthorizationsCorporateV1"/>
            <filter val="https://coppelmx.atlassian.net/wiki/x/D4AtOw"/>
            <filter val="https://coppelmx.atlassian.net/wiki/x/NABKOw"/>
            <filter val="https://coppelmx.atlassian.net/wiki/x/BwCXP"/>
            <filter val="https://coppelmx.atlassian.net/wiki/x/cIDcPg"/>
            <filter val="https://coppelmx.atlassian.net/wiki/x/LAByQQ"/>
            <filter val="https://coppelmx.atlassian.net/wiki/x/CoD5O"/>
            <filter val="https://coppelmx.atlassian.net/wiki/x/x4AoOQ"/>
            <filter val="https://coppelmx.atlassian.net/wiki/x/FAAtQ"/>
            <filter val="https://coppelmx.atlassian.net/wiki/x/ZADQO"/>
            <filter val="https://coppelmx.atlassian.net/wiki/x/BQBHP"/>
            <filter val="https://coppelmx.atlassian.net/wiki/x/DYD6Pw"/>
            <filter val="https://coppelmx.atlassian.net/wiki/x/FQAJOw"/>
            <filter val="https://coppelmx.atlassian.net/wiki/x/KoCGPQ"/>
            <filter val="https://coppelmx.atlassian.net/wiki/x/M4BvO"/>
            <filter val="https://coppelmx.atlassian.net/wiki/x/GoDTO"/>
            <filter val="https://coppelmx.atlassian.net/wiki/x/EQCUP"/>
            <filter val="https://coppelmx.atlassian.net/wiki/x/OIADOw"/>
            <filter val="https://coppelmx.atlassian.net/wiki/x/K4ADOw"/>
            <filter val="https://coppelmx.atlassian.net/wiki/x/JADqPg"/>
            <filter val="https://coppelmx.atlassian.net/wiki/spaces/SEAC/pages/1366097961/RESMX001445+Dom_RetrieveStatementProductsCorporateV1"/>
            <filter val="https://coppelmx.atlassian.net/wiki/x/e4A9WQ"/>
            <filter val="https://coppelmx.atlassian.net/wiki/x/BACZP"/>
            <filter val="https://coppelmx.atlassian.net/wiki/x/FgBeO"/>
            <filter val="https://coppelmx.atlassian.net/wiki/spaces/SEAC/pages/1807089946/RESMX001576+Pro_RetrieveStatusFileCorporateV1"/>
            <filter val="https://coppelmx.atlassian.net/wiki/x/BwBlOw"/>
            <filter val="https://coppelmx.atlassian.net/wiki/x/ZwBoPQ"/>
            <filter val="https://coppelmx.atlassian.net/wiki/x/E4ByP"/>
            <filter val="https://coppelmx.atlassian.net/wiki/x/CgAUPw"/>
            <filter val="https://coppelmx.atlassian.net/wiki/spaces/SEAC/pages/1312653313/RESMX001407+Dom_RetrieveStatusHardTokenCorporateV1"/>
            <filter val="https://coppelmx.atlassian.net/wiki/spaces/SEAC/pages/1328250881/RESMX001419+Dom_RegisterTokenCorporateV1"/>
            <filter val="https://coppelmx.atlassian.net/wiki/x/B4AQOw"/>
            <filter val="https://coppelmx.atlassian.net/wiki/x/4wBlOw"/>
            <filter val="https://coppelmx.atlassian.net/wiki/x/OABfOw"/>
            <filter val="https://coppelmx.atlassian.net/wiki/x/YIBiOw"/>
            <filter val="https://coppelmx.atlassian.net/wiki/x/GgDpPQ"/>
            <filter val="https://coppelmx.atlassian.net/wiki/spaces/SEAC/pages/1359806465/RESMX001440+Dom_ValidateStatusChangedHardTokenCorporateV1"/>
            <filter val="https://coppelmx.atlassian.net/wiki/spaces/SEAC/pages/1367343143/RESMX001442+Dom_UpdateOtpStatusValidateRecoveryCodeUserCorporeateV1"/>
            <filter val="https://coppelmx.atlassian.net/wiki/spaces/SEAC/pages/1350500379/RESMX001375+Bus_GetStatementProductsCorporateV1"/>
            <filter val="https://coppelmx.atlassian.net/wiki/x/BICUOQ"/>
            <filter val="https://coppelmx.atlassian.net/wiki/x/CABZOw"/>
            <filter val="https://coppelmx.atlassian.net/wiki/spaces/SEAC/pages/1690960207/RESMX001550+Pro_UpdateStatusUserCorporateV1"/>
            <filter val="https://coppelmx.atlassian.net/wiki/spaces/SEAC/pages/1359872001/RESMX001458+Pro_ValidateStatusChangedHardTokenCorporateV1"/>
            <filter val="https://coppelmx.atlassian.net/wiki/spaces/SEAC/pages/1566146813/RESMX001565+Rec_ContactDataUserCorporateV1"/>
            <filter val="https://coppelmx.atlassian.net/wiki/x/HACPO"/>
            <filter val="https://coppelmx.atlassian.net/wiki/x/FQDmPg"/>
            <filter val="https://coppelmx.atlassian.net/wiki/x/GwApOQ"/>
            <filter val="https://coppelmx.atlassian.net/wiki/x/QQCcOQ"/>
            <filter val="https://coppelmx.atlassian.net/wiki/x/IIDiPg"/>
            <filter val="https://coppelmx.atlassian.net/wiki/spaces/SEAC/pages/1835532340/RESMX001478+Dom_DeleteFileCorporateV1"/>
            <filter val="https://coppelmx.atlassian.net/wiki/spaces/SEAC/pages/1567719747/RESMX001561+Pro_ContactDataUserCorporateV1"/>
            <filter val="https://coppelmx.atlassian.net/wiki/x/FID6Ow"/>
            <filter val="https://coppelmx.atlassian.net/wiki/x/VABGNw"/>
            <filter val="https://coppelmx.atlassian.net/wiki/x/QwB5P"/>
            <filter val="https://coppelmx.atlassian.net/wiki/x/HwBTOg"/>
            <filter val="https://coppelmx.atlassian.net/wiki/x/ZwH9O"/>
            <filter val="https://coppelmx.atlassian.net/wiki/x/EgDWOQ"/>
            <filter val="https://coppelmx.atlassian.net/wiki/x/L4AEQ"/>
            <filter val="https://coppelmx.atlassian.net/wiki/spaces/SEAC/pages/1403125816/RESMX001480+Dom_DeleteFileRecordsCorporateV1"/>
            <filter val="https://coppelmx.atlassian.net/wiki/x/KQAcQg"/>
            <filter val="https://coppelmx.atlassian.net/wiki/x/GQA2Ow"/>
            <filter val="https://coppelmx.atlassian.net/wiki/x/YABtQQ"/>
            <filter val="https://coppelmx.atlassian.net/wiki/x/UQCYO"/>
            <filter val="https://coppelmx.atlassian.net/wiki/spaces/SEAC/pages/1727889560/RESMX001544+Dom_CloseSessionCorporateV1"/>
            <filter val="https://coppelmx.atlassian.net/wiki/spaces/SEAC/pages/1324548118/RESMX001420+Dom_GrantAssignHardTokenCorporateV1"/>
            <filter val="https://coppelmx.atlassian.net/wiki/x/MQD_Ow"/>
            <filter val="https://coppelmx.atlassian.net/wiki/x/D4BkPQ"/>
            <filter val="https://coppelmx.atlassian.net/wiki/x/FQDmOQ"/>
            <filter val="https://coppelmx.atlassian.net/wiki/x/PYCwOg"/>
            <filter val="https://coppelmx.atlassian.net/wiki/spaces/SEAC/pages/1372356611/RESMX001450+Pro_ValidatePartyContactDataCorporateV1"/>
            <filter val="https://coppelmx.atlassian.net/wiki/x/MICgOQ"/>
            <filter val="https://coppelmx.atlassian.net/wiki/spaces/SEAC/pages/1508245563/RESMX001577+Dom_RegisterFileAuthorizationsCorporateV1"/>
            <filter val="https://coppelmx.atlassian.net/wiki/x/KIA4Ow"/>
            <filter val="https://coppelmx.atlassian.net/wiki/x/L4DdPg"/>
            <filter val="https://coppelmx.atlassian.net/wiki/x/mIBsPQ"/>
            <filter val="https://coppelmx.atlassian.net/wiki/x/pwDaOQ"/>
            <filter val="https://coppelmx.atlassian.net/wiki/x/BgDmPg"/>
            <filter val="https://coppelmx.atlassian.net/wiki/x/RoDWOQ"/>
            <filter val="https://coppelmx.atlassian.net/wiki/x/uAByQQ"/>
            <filter val="https://coppelmx.atlassian.net/wiki/x/KIBgOw"/>
            <filter val="https://coppelmx.atlassian.net/wiki/x/FAADOg"/>
            <filter val="https://coppelmx.atlassian.net/wiki/x/AQCRO"/>
            <filter val="https://coppelmx.atlassian.net/wiki/x/t4BIOw"/>
            <filter val="https://coppelmx.atlassian.net/wiki/x/kwCmg"/>
            <filter val="https://coppelmx.atlassian.net/wiki/x/FwBGOw"/>
            <filter val="https://coppelmx.atlassian.net/wiki/x/WgBnPQ"/>
            <filter val="https://coppelmx.atlassian.net/wiki/x/D4GQOQ"/>
            <filter val="https://coppelmx.atlassian.net/wiki/x/DICwOg"/>
            <filter val="https://coppelmx.atlassian.net/wiki/spaces/SEAC/pages/1363345598/RESMX001437+Bus_DeleteFileCorporateV1"/>
            <filter val="https://coppelmx.atlassian.net/wiki/spaces/SEAC/pages/1349091440/RESMX001447+Dom_ExecuteGenerateOTPRecoveryCodeUserCorporateV1"/>
            <filter val="https://coppelmx.atlassian.net/wiki/x/KwBrPQ"/>
            <filter val="https://coppelmx.atlassian.net/wiki/x/OIAkPw"/>
            <filter val="https://coppelmx.atlassian.net/wiki/spaces/SEAC/pages/1403846684/RESMX001484+Pro_CreateFileRecordsCorporateV1"/>
            <filter val="https://coppelmx.atlassian.net/wiki/spaces/SEAC/pages/1835729068/RESMX001485+Wrk_QInitiateFundsTransferCorporateV1+Wrk_DLQInitiateFundsTransferCorporateV1"/>
            <filter val="https://coppelmx.atlassian.net/wiki/spaces/SEAC/pages/1682212422/RESMX001537+Bus_ValidatePasswordSecurityCorporateV1"/>
            <filter val="https://coppelmx.atlassian.net/wiki/x/BQDyO"/>
            <filter val="https://coppelmx.atlassian.net/wiki/x/PgDoOQ"/>
            <filter val="https://coppelmx.atlassian.net/wiki/spaces/SEAC/pages/1359314979/RESMX001446+Dom_RecordPasswordCorporateV1"/>
            <filter val="https://coppelmx.atlassian.net/wiki/x/LIB_PQ"/>
            <filter val="https://coppelmx.atlassian.net/wiki/x/tQBtPQ"/>
            <filter val="https://coppelmx.atlassian.net/wiki/x/gAAAP"/>
            <filter val="https://coppelmx.atlassian.net/wiki/x/DQGKOg"/>
            <filter val="https://coppelmx.atlassian.net/wiki/x/AYCWP"/>
            <filter val="https://coppelmx.atlassian.net/wiki/x/JAD_g"/>
            <filter val="https://coppelmx.atlassian.net/wiki/x/J4BrPQ"/>
            <filter val="https://coppelmx.atlassian.net/wiki/x/KIFYOw"/>
            <filter val="https://coppelmx.atlassian.net/wiki/x/BIBjP"/>
            <filter val="https://coppelmx.atlassian.net/wiki/spaces/SEAC/pages/1801618119/RESMX001568+Dom_UpdateStatusFileCorporateV1"/>
            <filter val="https://coppelmx.atlassian.net/wiki/x/IoDdPg"/>
            <filter val="https://coppelmx.atlassian.net/wiki/spaces/SEAC/pages/1798965259/RESMX001572+Pro_RetrieveTransferRecordsFileCorporateV1"/>
            <filter val="https://coppelmx.atlassian.net/wiki/x/DwAsPg"/>
            <filter val="https://coppelmx.atlassian.net/wiki/x/MQBIQg"/>
            <filter val="https://coppelmx.atlassian.net/wiki/x/BgBLOQ"/>
            <filter val="https://coppelmx.atlassian.net/wiki/spaces/SEAC/pages/1334870058/RESMX001418+Dom_RetrieveHardTokenAssociateCorporateV1"/>
            <filter val="https://coppelmx.atlassian.net/wiki/x/u4BzP"/>
            <filter val="https://coppelmx.atlassian.net/wiki/spaces/SEAC/pages/1641152568/RESMX001548+Pro_LogsUserCorporateV1"/>
            <filter val="https://coppelmx.atlassian.net/wiki/x/JoCyPQ"/>
            <filter val="https://coppelmx.atlassian.net/wiki/x/FYCJOg"/>
            <filter val="https://coppelmx.atlassian.net/wiki/x/JoD9OQ"/>
            <filter val="https://coppelmx.atlassian.net/wiki/x/LAHQO"/>
            <filter val="https://coppelmx.atlassian.net/wiki/x/A4DPOQ"/>
            <filter val="https://coppelmx.atlassian.net/wiki/x/gYCpPQ"/>
            <filter val="https://coppelmx.atlassian.net/wiki/x/C4DSPQ"/>
            <filter val="https://coppelmx.atlassian.net/wiki/x/K4BHP"/>
            <filter val="https://coppelmx.atlassian.net/wiki/x/LIBMP"/>
            <filter val="https://coppelmx.atlassian.net/wiki/spaces/SEAC/pages/1353744401/RESMX001457+Pro_CheckOtpStatusValidateRecoveryCodeUserCorporeateV1"/>
            <filter val="https://coppelmx.atlassian.net/wiki/spaces/SEAC/pages/1335197717/RESMX001432+Pro_RetrieveHardTokenAssociateCorporateV1"/>
            <filter val="https://coppelmx.atlassian.net/wiki/x/MgDdOQ"/>
            <filter val="https://coppelmx.atlassian.net/wiki/x/EgByQQ"/>
            <filter val="https://coppelmx.atlassian.net/wiki/x/HYAKPw"/>
            <filter val="https://coppelmx.atlassian.net/wiki/spaces/GAC/pages/1452736555/RESMX000420+Pro_UpdateLocationV1?atlOrigin=eyJpIjoiNzFlMTZhYzIyMTc1NGMwNTgxYTY3MDJhYjMwZTQ1MGYiLCJwIjoiYyJ9"/>
            <filter val="https://coppelmx.atlassian.net/wiki/x/IADcOQ"/>
            <filter val="https://coppelmx.atlassian.net/wiki/x/CwAiPw"/>
            <filter val="https://coppelmx.atlassian.net/wiki/x/SYDfPg"/>
            <filter val="https://coppelmx.atlassian.net/wiki/x/MQBjOw"/>
            <filter val="https://coppelmx.atlassian.net/wiki/x/AgArOg"/>
            <filter val="https://coppelmx.atlassian.net/wiki/x/9QD2O"/>
            <filter val="https://coppelmx.atlassian.net/wiki/x/B4GmPQ"/>
            <filter val="https://coppelmx.atlassian.net/wiki/x/uADWO"/>
            <filter val="https://coppelmx.atlassian.net/wiki/x/IIBAO"/>
            <filter val="https://coppelmx.atlassian.net/wiki/spaces/SEAC/pages/1361543241/RESMX001452+Pro_RetrieveStatusStatementProductsCorporateV1"/>
            <filter val="https://coppelmx.atlassian.net/wiki/x/DQCfOQ"/>
            <filter val="https://coppelmx.atlassian.net/wiki/x/SADpPQ"/>
            <filter val="https://coppelmx.atlassian.net/wiki/spaces/SEAC/pages/1359478786/RESMX001454+Pro_RecordPasswordCorporateV1"/>
            <filter val="https://coppelmx.atlassian.net/wiki/x/eoB2OQ"/>
            <filter val="https://coppelmx.atlassian.net/wiki/spaces/SEAC/pages/1836155038/RESMX001487+Wrk_QExecuteFundsTransferSPEI_V1+Wrk_DLQExecuteFundsTransferSPEI_V1"/>
            <filter val="https://coppelmx.atlassian.net/wiki/spaces/SEAC/pages/1361379329/RESMX001444+Dom_RetrieveStatusStatementProductsCorporateV1"/>
            <filter val="https://coppelmx.atlassian.net/wiki/x/EIA0P"/>
            <filter val="https://coppelmx.atlassian.net/wiki/spaces/SEAC/pages/1507131438/RESMX001566+Bus_SignFileTransferAuthorizationsCorporateV1"/>
            <filter val="https://coppelmx.atlassian.net/wiki/x/VABiPQ"/>
            <filter val="https://coppelmx.atlassian.net/wiki/x/mQHTO"/>
            <filter val="https://coppelmx.atlassian.net/wiki/spaces/SEAC/pages/1354399756/RESMX001449+Dom_CheckOtpStatusValidateRecoveryCodeUserCorporeateV1"/>
            <filter val="https://coppelmx.atlassian.net/wiki/spaces/SEAC/pages/1835401281/RESMX001467+Wrk_QDestinationAccountRegisterCorporateV1"/>
            <filter val="https://coppelmx.atlassian.net/wiki/x/MAADP"/>
            <filter val="https://coppelmx.atlassian.net/wiki/x/IABzQ"/>
            <filter val="https://coppelmx.atlassian.net/wiki/x/CIClPQ"/>
            <filter val="https://coppelmx.atlassian.net/wiki/x/AoANgQ"/>
            <filter val="https://coppelmx.atlassian.net/wiki/x/RQBGNw"/>
            <filter val="https://coppelmx.atlassian.net/wiki/spaces/SEAC/pages/1801749065/RESMX001575+Pro_CreateFolioTransferCorporateV1"/>
            <filter val="https://coppelmx.atlassian.net/wiki/x/V4DQO"/>
            <filter val="https://coppelmx.atlassian.net/wiki/x/KgBpPQ"/>
            <filter val="https://coppelmx.atlassian.net/wiki/x/IwB0Og"/>
            <filter val="https://coppelmx.atlassian.net/wiki/spaces/SEAC/pages/1570767155/RESMX001540+Dom_TokenAuthenticationCorporateV1"/>
            <filter val="https://coppelmx.atlassian.net/wiki/spaces/SEAC/pages/1350533137/RESMX001376+Rec_GetStatementProductsCorporateV1"/>
            <filter val="https://coppelmx.atlassian.net/wiki/x/n4CWP"/>
            <filter val="https://coppelmx.atlassian.net/wiki/x/MoAtQ"/>
            <filter val="https://coppelmx.atlassian.net/wiki/x/FIAEOg"/>
            <filter val="https://coppelmx.atlassian.net/wiki/x/IoDYPQ"/>
            <filter val="https://coppelmx.atlassian.net/wiki/spaces/SEAC/pages/1386545169/RESMX001471+Pro_RegisterOnlineTransferAuthorizationsCorporateV1"/>
            <filter val="https://coppelmx.atlassian.net/wiki/x/M4CyPQ"/>
            <filter val="https://coppelmx.atlassian.net/wiki/x/CACgOQ"/>
            <filter val="https://coppelmx.atlassian.net/wiki/x/DQBnPQ"/>
            <filter val="https://coppelmx.atlassian.net/wiki/spaces/SEAC/pages/1343127699/RESMX001433+Bus_EditStatusHardTokenCorporateV1"/>
            <filter val="https://coppelmx.atlassian.net/wiki/x/CQD5PQ"/>
            <filter val="https://coppelmx.atlassian.net/wiki/x/IYBfOQ"/>
            <filter val="https://coppelmx.atlassian.net/wiki/x/xYC4g"/>
            <filter val="https://coppelmx.atlassian.net/wiki/x/AoAHQg"/>
            <filter val="https://coppelmx.atlassian.net/wiki/x/QICZO"/>
            <filter val="https://coppelmx.atlassian.net/wiki/x/AgC9P"/>
            <filter val="https://coppelmx.atlassian.net/wiki/x/CABsO"/>
            <filter val="https://coppelmx.atlassian.net/wiki/x/GoDbOQ"/>
            <filter val="https://coppelmx.atlassian.net/wiki/x/DIDtPw"/>
            <filter val="https://coppelmx.atlassian.net/wiki/x/IgCZOw"/>
            <filter val="https://coppelmx.atlassian.net/wiki/x/boBzQQ"/>
            <filter val="https://coppelmx.atlassian.net/wiki/x/boCSO"/>
            <filter val="https://coppelmx.atlassian.net/wiki/x/FYARPw"/>
            <filter val="https://coppelmx.atlassian.net/wiki/spaces/SEAC/pages/1328250918/RESMX001425+Pro_RegisterTokenCorporateV1"/>
            <filter val="https://coppelmx.atlassian.net/wiki/x/AoA7Og"/>
            <filter val="https://coppelmx.atlassian.net/wiki/x/QwAbQg"/>
            <filter val="https://coppelmx.atlassian.net/wiki/x/nICxg"/>
            <filter val="https://coppelmx.atlassian.net/wiki/spaces/SEAC/pages/1834614946/RESMX001474+Wrk_QValidateDestinationAccountFileCorporateV1"/>
            <filter val="https://coppelmx.atlassian.net/wiki/spaces/SEAC/pages/1325498369/RESMX001545+Pro_CreateUserRsaCorporateV1"/>
            <filter val="https://coppelmx.atlassian.net/wiki/x/AoBaP"/>
            <filter val="https://coppelmx.atlassian.net/wiki/spaces/SEAC/pages/1311768609/RESMX001374+Bus_SyncHardTokenCorporateV1"/>
            <filter val="https://coppelmx.atlassian.net/wiki/x/A4CMOw"/>
            <filter val="https://coppelmx.atlassian.net/wiki/spaces/SEAC/pages/1506804024/RESMX001580+Pro_RollbackFileAuthorizationsCorporateV1"/>
            <filter val="https://coppelmx.atlassian.net/wiki/spaces/SEAC/pages/1697284097/RESMX001558+Dom_UpdateUsersCorporateV1"/>
            <filter val="https://coppelmx.atlassian.net/wiki/x/EwBwPQ"/>
            <filter val="https://coppelmx.atlassian.net/wiki/x/RQDSOQ"/>
            <filter val="https://coppelmx.atlassian.net/wiki/x/xICFQ"/>
            <filter val="https://coppelmx.atlassian.net/wiki/x/LYBiOw"/>
            <filter val="https://coppelmx.atlassian.net/wiki/x/EQCJO"/>
            <filter val="https://coppelmx.atlassian.net/wiki/x/DAA0Q"/>
            <filter val="https://coppelmx.atlassian.net/wiki/x/FwB2Ow"/>
            <filter val="https://coppelmx.atlassian.net/wiki/x/YYBaQg"/>
            <filter val="https://coppelmx.atlassian.net/wiki/x/FgD3O"/>
            <filter val="https://coppelmx.atlassian.net/wiki/x/EQAgOQ"/>
            <filter val="https://coppelmx.atlassian.net/wiki/spaces/SEAC/pages/1340112897/RESMX001463+Rec_ExecuteRecoveryCodeCorporateV1"/>
            <filter val="https://coppelmx.atlassian.net/wiki/x/SABBWQ"/>
            <filter val="https://coppelmx.atlassian.net/wiki/x/aYDbOQ"/>
            <filter val="https://coppelmx.atlassian.net/wiki/x/VIFFOw"/>
            <filter val="https://coppelmx.atlassian.net/wiki/x/AoAyOg"/>
            <filter val="https://coppelmx.atlassian.net/wiki/spaces/SEAC/pages/1330905139/RESMX001422+Dom_UpdateEnrollmentPhaseCorporateV1"/>
            <filter val="https://coppelmx.atlassian.net/wiki/x/AwCzPQ"/>
            <filter val="https://coppelmx.atlassian.net/wiki/x/BwAIQ"/>
            <filter val="https://coppelmx.atlassian.net/wiki/x/LQAiOw"/>
            <filter val="https://coppelmx.atlassian.net/wiki/x/VIAcWw"/>
            <filter val="https://coppelmx.atlassian.net/wiki/x/E4Dbg"/>
            <filter val="https://coppelmx.atlassian.net/wiki/spaces/SEAC/pages/1346535425/RESMX001489+Dom_UpdateUserCorporateV1"/>
            <filter val="https://coppelmx.atlassian.net/wiki/x/EoBuP"/>
            <filter val="https://coppelmx.atlassian.net/wiki/x/ToCSO"/>
            <filter val="https://coppelmx.atlassian.net/wiki/spaces/SEAC/pages/1570996548/RESMX001546+Pro_UpdateUserAuthenticationCorporateV1"/>
            <filter val="https://coppelmx.atlassian.net/wiki/spaces/SEAC/pages/1807384757/RESMX001571+Dom_RetrieveStatusFileCorporateV1"/>
            <filter val="https://coppelmx.atlassian.net/wiki/x/MQG4g"/>
            <filter val="https://coppelmx.atlassian.net/wiki/x/BABIQg"/>
            <filter val="https://coppelmx.atlassian.net/wiki/spaces/SEAC/pages/1689846111/RESMX001543+Dom_UpdateStatusUserCorporateV1"/>
            <filter val="https://coppelmx.atlassian.net/wiki/spaces/SEAC/pages/1381007373/RESMX001469+Pro_DownloadFileTransferAuthorizationsCorporateV1"/>
            <filter val="https://coppelmx.atlassian.net/wiki/x/CgBTQg"/>
            <filter val="https://coppelmx.atlassian.net/wiki/x/AwAEP"/>
            <filter val="https://coppelmx.atlassian.net/wiki/x/DIBrPw"/>
            <filter val="https://coppelmx.atlassian.net/wiki/x/lIGZg"/>
            <filter val="https://coppelmx.atlassian.net/wiki/spaces/SEAC/pages/1311768641/RESMX001412+Pro_ControlRegisterAttemptsCorporateV1"/>
            <filter val="https://coppelmx.atlassian.net/wiki/spaces/SEAC/pages/1681198333/RESMX001549+Pro_ValidateUserAuthenticationCorporateV1"/>
            <filter val="https://coppelmx.atlassian.net/wiki/x/iABvP"/>
            <filter val="https://coppelmx.atlassian.net/wiki/spaces/SEAC/pages/1400274945/RESMX001481+Dom_RegisterFileCorporateV1"/>
            <filter val="https://coppelmx.atlassian.net/wiki/x/nAD-PQ"/>
            <filter val="https://coppelmx.atlassian.net/wiki/x/PABKOg"/>
            <filter val="https://coppelmx.atlassian.net/wiki/x/QoDVOQ"/>
            <filter val="https://coppelmx.atlassian.net/wiki/x/AwB8Ow"/>
            <filter val="https://coppelmx.atlassian.net/wiki/x/LYCIPQ"/>
            <filter val="https://coppelmx.atlassian.net/wiki/spaces/SEAC/pages/1801421512/RESMX001574+Pro_CreateErrorTransferCorporateV1"/>
            <filter val="https://coppelmx.atlassian.net/wiki/x/cgCQO"/>
            <filter val="https://coppelmx.atlassian.net/wiki/x/M4BFOw"/>
            <filter val="https://coppelmx.atlassian.net/wiki/x/IIBxOQ"/>
            <filter val="https://coppelmx.atlassian.net/wiki/x/EwDyPQ"/>
            <filter val="https://coppelmx.atlassian.net/wiki/spaces/SEAC/pages/1400012963/RESMX001560+Pro_ValidateRecordsCorporateV1"/>
            <filter val="https://coppelmx.atlassian.net/wiki/x/EwA3OQ"/>
            <filter val="https://coppelmx.atlassian.net/wiki/spaces/SEAC/pages/1397096571/RESMX001476+Pro_EvaluateVerificationDocumentCorporateV1"/>
            <filter val="https://coppelmx.atlassian.net/wiki/x/UoDxQQ"/>
            <filter val="https://coppelmx.atlassian.net/wiki/x/EQBKOQ"/>
            <filter val="https://coppelmx.atlassian.net/wiki/spaces/SEAC/pages/1311670323/RESMX001409+Dom_ControlRegisterAttemptsCorporateV1"/>
            <filter val="https://coppelmx.atlassian.net/wiki/x/EQBgO"/>
            <filter val="https://coppelmx.atlassian.net/wiki/x/QIAhOw"/>
            <filter val="https://coppelmx.atlassian.net/wiki/spaces/SEAC/pages/1370816760/RESMX001462+Rec_GetFileFileTransferAuthorizationsCorporateV1"/>
            <filter val="https://coppelmx.atlassian.net/wiki/x/FACHPQ"/>
            <filter val="https://coppelmx.atlassian.net/wiki/x/IgAyPg"/>
            <filter val="https://coppelmx.atlassian.net/wiki/x/A4BzQQ"/>
            <filter val="https://coppelmx.atlassian.net/wiki/x/dQCVOg"/>
            <filter val="https://coppelmx.atlassian.net/wiki/x/JYDWOQ"/>
            <filter val="https://coppelmx.atlassian.net/wiki/x/igDQO"/>
            <filter val="https://coppelmx.atlassian.net/wiki/x/A4AHPg"/>
            <filter val="https://coppelmx.atlassian.net/wiki/x/FIBKP"/>
            <filter val="https://coppelmx.atlassian.net/wiki/x/OYAZP"/>
            <filter val="https://coppelmx.atlassian.net/wiki/spaces/SEAC/pages/1835532377/RESMX001488+Wrk_QExecuteFundsTransferIntraBankMassive_V1+Wrk_DLQExecuteFundsTransferIntraBankMassive_V1"/>
            <filter val="https://coppelmx.atlassian.net/wiki/x/fIClOQ"/>
            <filter val="https://coppelmx.atlassian.net/wiki/spaces/SEAC/pages/1312653345/RESMX001413+Pro_RetrieveStatusHardTokenCorporateV1"/>
            <filter val="https://coppelmx.atlassian.net/wiki/x/MYByQQ"/>
            <filter val="https://coppelmx.atlassian.net/wiki/x/LwCkOQ"/>
            <filter val="https://coppelmx.atlassian.net/wiki/x/34DOO"/>
            <filter val="https://coppelmx.atlassian.net/wiki/x/LYA2Q"/>
            <filter val="https://coppelmx.atlassian.net/wiki/x/KgAFQ"/>
            <filter val="https://coppelmx.atlassian.net/wiki/x/aADWO"/>
            <filter val="https://coppelmx.atlassian.net/wiki/x/AgCWO"/>
            <filter val="https://coppelmx.atlassian.net/wiki/x/YwBwQ"/>
            <filter val="https://coppelmx.atlassian.net/wiki/x/G4ALQ"/>
            <filter val="https://coppelmx.atlassian.net/wiki/spaces/SEAC/pages/1749188805/RESMX001562+Pro_RegisterUsersCorporateV1"/>
            <filter val="https://coppelmx.atlassian.net/wiki/x/iIBaQg"/>
            <filter val="https://coppelmx.atlassian.net/wiki/x/QQDfPg"/>
            <filter val="https://coppelmx.atlassian.net/wiki/spaces/SEAC/pages/1313505387/RESMX001431+Pro_RetrieveValidateHardTokenCustomerCorporateV1"/>
            <filter val="https://coppelmx.atlassian.net/wiki/x/DAD2O"/>
            <filter val="https://coppelmx.atlassian.net/wiki/x/LYDWg"/>
            <filter val="https://coppelmx.atlassian.net/wiki/x/HwDQO"/>
            <filter val="https://coppelmx.atlassian.net/wiki/x/E4DjPg"/>
            <filter val="https://coppelmx.atlassian.net/wiki/x/BwCeOQ"/>
            <filter val="https://coppelmx.atlassian.net/wiki/x/pgBlPQ"/>
            <filter val="https://coppelmx.atlassian.net/wiki/x/JAAUPw"/>
            <filter val="https://coppelmx.atlassian.net/wiki/x/fgCHOw"/>
            <filter val="https://coppelmx.atlassian.net/wiki/spaces/SEAC/pages/1608319283/RESMX001553+Bus_UpdateCredentialsUserCorporateV1"/>
            <filter val="https://coppelmx.atlassian.net/wiki/x/BQAvQ"/>
            <filter val="https://coppelmx.atlassian.net/wiki/x/P4AkOQ"/>
            <filter val="https://coppelmx.atlassian.net/wiki/x/BQDJPQ"/>
            <filter val="https://coppelmx.atlassian.net/wiki/x/YQBUQg"/>
            <filter val="https://coppelmx.atlassian.net/wiki/x/8IFFOw"/>
            <filter val="https://coppelmx.atlassian.net/wiki/x/XQBdOg"/>
            <filter val="https://coppelmx.atlassian.net/wiki/spaces/SEAC/pages/1400307713/RESMX001535+Pro_RegisterFileCorporateV1"/>
            <filter val="https://coppelmx.atlassian.net/wiki/x/FoAfQg"/>
            <filter val="https://coppelmx.atlassian.net/wiki/x/CwBlO"/>
            <filter val="https://coppelmx.atlassian.net/wiki/x/AwCEP"/>
            <filter val="https://coppelmx.atlassian.net/wiki/spaces/SEAC/pages/1353252884/RESMX001461+Rec_ValidateRecoveryCodeUserCorporateV1"/>
            <filter val="https://coppelmx.atlassian.net/wiki/x/LgDMO"/>
            <filter val="https://coppelmx.atlassian.net/wiki/x/CID9Ow"/>
            <filter val="https://coppelmx.atlassian.net/wiki/x/MAAhOQ"/>
            <filter val="https://coppelmx.atlassian.net/wiki/x/cYBuO"/>
            <filter val="https://coppelmx.atlassian.net/wiki/x/AgAFQg"/>
            <filter val="https://coppelmx.atlassian.net/wiki/spaces/SEAC/pages/1507885385/RESMX001578+Dom_RollbackFileAuthorizationsCorporateV1"/>
            <filter val="https://coppelmx.atlassian.net/wiki/x/GQALPg"/>
            <filter val="https://coppelmx.atlassian.net/wiki/x/nYGug"/>
            <filter val="https://coppelmx.atlassian.net/wiki/spaces/SEAC/pages/1340047362/RESMX001436+Bus_ExecuteRecoveryCodeCorporateV1"/>
            <filter val="https://coppelmx.atlassian.net/wiki/x/AQCVO"/>
            <filter val="https://coppelmx.atlassian.net/wiki/spaces/SEAC/pages/1801487076/RESMX001573+Pro_UpdateStatusFileCorporateV1"/>
            <filter val="https://coppelmx.atlassian.net/wiki/spaces/SEAC/pages/1685324761/RESMX001542+Dom_ValidateUserAuthenticationCorporateV1"/>
            <filter val="https://coppelmx.atlassian.net/wiki/x/XYD1O"/>
            <filter val="https://coppelmx.atlassian.net/wiki/spaces/SEAC/pages/1639874737/RESMX001541+Dom_LogsUserCorporateV1"/>
            <filter val="https://coppelmx.atlassian.net/wiki/x/KYDTO"/>
            <filter val="https://coppelmx.atlassian.net/wiki/x/TQBGQ"/>
            <filter val="https://coppelmx.atlassian.net/wiki/x/AQALPg"/>
            <filter val="https://coppelmx.atlassian.net/wiki/x/AYDaO"/>
            <filter val="https://coppelmx.atlassian.net/wiki/spaces/SEAC/pages/1312522242/RESMX001372+Pro_ExecuteSyncHardTokenCorporateV1"/>
            <filter val="https://coppelmx.atlassian.net/wiki/x/O4ClPQ"/>
            <filter val="https://coppelmx.atlassian.net/wiki/x/cID1O"/>
            <filter val="https://coppelmx.atlassian.net/wiki/x/A4DjOg"/>
            <filter val="https://coppelmx.atlassian.net/wiki/x/FwB-PQ"/>
            <filter val="https://coppelmx.atlassian.net/wiki/spaces/SEAC/pages/1834188942/RESMX001486+Wrk_QValidateTransferFileV1+Wrk_DLQValidateTransferFileV1"/>
            <filter val="https://coppelmx.atlassian.net/wiki/x/CAB1Ow"/>
            <filter val="https://coppelmx.atlassian.net/wiki/x/BYDlOg"/>
            <filter val="https://coppelmx.atlassian.net/wiki/spaces/SEAC/pages/1349255310/RESMX001455+Pro_ExecuteGenerateOTPRecoveryCodeUserCorporateV1"/>
            <filter val="https://coppelmx.atlassian.net/wiki/x/OgAiPw"/>
            <filter val="https://coppelmx.atlassian.net/wiki/x/LoADPg"/>
            <filter val="https://coppelmx.atlassian.net/wiki/x/BoCjPQ"/>
            <filter val="https://coppelmx.atlassian.net/wiki/spaces/SEAC/pages/1314291714/RESMX001406+Dom_UpdateDisableHardTokenCorporateV1"/>
            <filter val="https://coppelmx.atlassian.net/wiki/x/JYAdOQ"/>
            <filter val="https://coppelmx.atlassian.net/wiki/spaces/SEAC/pages/1370915089/RESMX001435+Bus_GetFileFileTransferAuthorizationsCorporateV1"/>
            <filter val="https://coppelmx.atlassian.net/wiki/spaces/SEAC/pages/1363345510/RESMX001464+Rec_DeleteFileCorporateV1"/>
            <filter val="https://coppelmx.atlassian.net/wiki/x/IQCUO"/>
            <filter val="https://coppelmx.atlassian.net/wiki/x/CYD8QQ"/>
            <filter val="https://coppelmx.atlassian.net/wiki/spaces/GAC/pages/2159313123/RESMX000037_Bus_EvaluateCustomerContactOperation_V1"/>
            <filter val="https://coppelmx.atlassian.net/wiki/x/IgACPw"/>
            <filter val="https://coppelmx.atlassian.net/wiki/spaces/SEAC/pages/1313669177/RESMX001417+Dom_RetrieveValidateHardTokenCustomerCorporateV1"/>
            <filter val="https://coppelmx.atlassian.net/wiki/spaces/SEAC/pages/1571061983/RESMX001547+Pro_TokenAuthenticationCorporateV1"/>
            <filter val="https://coppelmx.atlassian.net/wiki/x/KQBLQg"/>
            <filter val="https://coppelmx.atlassian.net/wiki/x/Y4B6OQ"/>
            <filter val="https://coppelmx.atlassian.net/wiki/spaces/SEAC/pages/1749451031/RESMX001557+Dom_RegisterUsersCorporateV1"/>
            <filter val="https://coppelmx.atlassian.net/wiki/spaces/GAC/pages/2158362691/RESMX000002_Bus_ExecuteExecuteOrderConfirmation_V1"/>
            <filter val="https://coppelmx.atlassian.net/wiki/spaces/SEAC/pages/1397162034/RESMX001472+Dom_SignFileTransferCorporateV1"/>
            <filter val="https://coppelmx.atlassian.net/wiki/x/HQDePg"/>
            <filter val="https://coppelmx.atlassian.net/wiki/spaces/SEAC/pages/1401159685/RESMX001482+Dom_ExchangeMessageCorporateV1"/>
            <filter val="https://coppelmx.atlassian.net/wiki/spaces/SEAC/pages/1695711666/RESMX001563+Pro_UpdateUsersCorporateV1"/>
            <filter val="https://coppelmx.atlassian.net/wiki/x/D4CSOw"/>
            <filter val="https://coppelmx.atlassian.net/wiki/x/DgAiQg"/>
            <filter val="https://coppelmx.atlassian.net/wiki/x/HYAFPg"/>
            <filter val="https://coppelmx.atlassian.net/wiki/spaces/GAC/pages/1184071702/RESMX000765_Pro_exchangeDocumentation"/>
            <filter val="https://coppelmx.atlassian.net/wiki/x/A4AtQ"/>
            <filter val="https://coppelmx.atlassian.net/wiki/x/JYDHPQ"/>
            <filter val="https://coppelmx.atlassian.net/wiki/x/NwDmPQ"/>
            <filter val="https://coppelmx.atlassian.net/wiki/x/jwDnPg"/>
            <filter val="https://coppelmx.atlassian.net/wiki/spaces/SEAC/pages/1314357249/RESMX001408+Dom_EvaluateAuthenticationCorporateV1"/>
            <filter val="https://coppelmx.atlassian.net/wiki/x/LADRO"/>
            <filter val="https://coppelmx.atlassian.net/wiki/x/EoBLP"/>
            <filter val="https://coppelmx.atlassian.net/wiki/spaces/SEAC/pages/1403912243/RESMX001483+Dom_CreateFileRecordsCorporateV1"/>
            <filter val="https://coppelmx.atlassian.net/wiki/x/BIBKOw"/>
            <filter val="https://coppelmx.atlassian.net/wiki/x/DYARP"/>
            <filter val="https://coppelmx.atlassian.net/wiki/spaces/SEAC/pages/1312325638/RESMX001371+Dom_ExecuteSyncHardTokenCorporateV1"/>
            <filter val="https://coppelmx.atlassian.net/wiki/spaces/SEAC/pages/1331232789/RESMX001426+Pro_UpdateEnrollmentPhaseCorporateV1"/>
            <filter val="https://coppelmx.atlassian.net/wiki/x/6gD4O"/>
            <filter val="https://coppelmx.atlassian.net/wiki/x/RgAjOg"/>
            <filter val="https://coppelmx.atlassian.net/wiki/spaces/SEAC/pages/1724088999/RESMX001552+Rec_CloseSessionCorporateV1"/>
            <filter val="https://coppelmx.atlassian.net/wiki/x/GAAEOg"/>
            <filter val="https://coppelmx.atlassian.net/wiki/x/NoFYOw"/>
            <filter val="https://coppelmx.atlassian.net/wiki/x/JwH2O"/>
            <filter val="https://coppelmx.atlassian.net/wiki/spaces/GAC/pages/2157936745/RESMX000003_Bus_RetrieveOrderCancellation_V1"/>
            <filter val="https://coppelmx.atlassian.net/wiki/x/EYBkOw"/>
            <filter val="https://coppelmx.atlassian.net/wiki/x/EYDNPw"/>
            <filter val="https://coppelmx.atlassian.net/wiki/x/FwCPOQ"/>
            <filter val="https://coppelmx.atlassian.net/wiki/x/DAFbOw"/>
            <filter val="https://coppelmx.atlassian.net/wiki/x/IoAxOw"/>
            <filter val="https://coppelmx.atlassian.net/wiki/x/IoCJOg"/>
            <filter val="https://coppelmx.atlassian.net/wiki/spaces/SEAC/pages/1324613648/RESMX001428+Pro_GrantAssignHardTokenCorporateV1"/>
            <filter val="https://coppelmx.atlassian.net/wiki/x/DoDwO"/>
            <filter val="https://coppelmx.atlassian.net/wiki/spaces/SEAC/pages/1347715124/RESMX001424+Dom_DeleteUserRsaCorporateV1"/>
            <filter val="https://coppelmx.atlassian.net/wiki/spaces/SEAC/pages/1360265237/RESMX001459+Pro_EnabledTokenEditStatusHardTokenCorporateV1"/>
            <filter val="https://coppelmx.atlassian.net/wiki/x/AgDpPQ"/>
            <filter val="https://coppelmx.atlassian.net/wiki/spaces/SEAC/pages/1311768577/RESMX001373+Rec_SyncHardTokenCorporateV1"/>
            <filter val="https://coppelmx.atlassian.net/wiki/x/AQCaPQ"/>
            <filter val="https://coppelmx.atlassian.net/wiki/x/SIBIOw"/>
            <filter val="https://coppelmx.atlassian.net/wiki/x/CQBhQ"/>
            <filter val="https://coppelmx.atlassian.net/wiki/spaces/SEAC/pages/1566605537/RESMX001556+Dom_ContactDataUserCorporateV1"/>
            <filter val="https://coppelmx.atlassian.net/wiki/x/D4DfPg"/>
            <filter val="https://coppelmx.atlassian.net/wiki/x/WgBzQQ"/>
            <filter val="https://coppelmx.atlassian.net/wiki/x/awADOQ"/>
            <filter val="https://coppelmx.atlassian.net/wiki/x/OoDqOQ"/>
            <filter val="https://coppelmx.atlassian.net/wiki/spaces/SEAC/pages/1325367297/RESMX001423+Dom_CreateUserRsaCorporateV1"/>
            <filter val="https://coppelmx.atlassian.net/wiki/spaces/SEAC/pages/1314324512/RESMX001411+Pro_EvaluateAuthenticationCorporateV1"/>
            <filter val="https://coppelmx.atlassian.net/wiki/x/SIBIQg"/>
            <filter val="https://coppelmx.atlassian.net/wiki/x/F4AcQg"/>
            <filter val="https://coppelmx.atlassian.net/wiki/x/CwDzO"/>
            <filter val="https://coppelmx.atlassian.net/wiki/x/94AjOg"/>
            <filter val="https://coppelmx.atlassian.net/wiki/spaces/SEAC/pages/1314357606/RESMX001405+Bus_ValidateOtpHardTokenCorporateV1"/>
            <filter val="https://coppelmx.atlassian.net/wiki/x/QQByPw"/>
            <filter val="https://coppelmx.atlassian.net/wiki/spaces/SEAC/pages/1388282145/RESMX001416+Dom_UnassignTokenRsaCorporateV1"/>
            <filter val="https://coppelmx.atlassian.net/wiki/x/BIBjOQ"/>
            <filter val="https://coppelmx.atlassian.net/wiki/x/Q4AgO"/>
            <filter val="https://coppelmx.atlassian.net/wiki/x/LIChOg"/>
            <filter val="https://coppelmx.atlassian.net/wiki/x/_ICcg"/>
            <filter val="https://coppelmx.atlassian.net/wiki/x/DoBZOw"/>
            <filter val="https://coppelmx.atlassian.net/wiki/spaces/GAC/pages/1289912333/RESMX001360_Bus_executeCardPaymentTransaction"/>
            <filter val="https://coppelmx.atlassian.net/wiki/x/D4BaP"/>
            <filter val="https://coppelmx.atlassian.net/wiki/x/QIBfOw"/>
            <filter val="https://coppelmx.atlassian.net/wiki/x/BIAyQ"/>
            <filter val="https://coppelmx.atlassian.net/wiki/spaces/SEAC/pages/1403879478/RESMX001479+Pro_DeleteFileRecordsCorporateV1"/>
            <filter val="https://coppelmx.atlassian.net/wiki/x/CYBgNw"/>
            <filter val="https://coppelmx.atlassian.net/wiki/x/IQClOQ"/>
            <filter val="https://coppelmx.atlassian.net/wiki/spaces/SEAC/pages/1801388700/RESMX001581+Bus_ProcessFileMainCorporateV1"/>
            <filter val="https://coppelmx.atlassian.net/wiki/x/FoAQO"/>
            <filter val="https://coppelmx.atlassian.net/wiki/x/L4AyPg"/>
            <filter val="https://coppelmx.atlassian.net/wiki/x/IoAwPg"/>
            <filter val="https://coppelmx.atlassian.net/wiki/spaces/SEAC/pages/1314324481/RESMX001410+Pro_UpdateDisableHardTokenCorporateV1"/>
            <filter val="https://coppelmx.atlassian.net/wiki/x/U4D0Og"/>
            <filter val="https://coppelmx.atlassian.net/wiki/x/PwDlOg"/>
            <filter val="https://coppelmx.atlassian.net/wiki/x/FgBkO"/>
            <filter val="https://coppelmx.atlassian.net/wiki/x/BoBHO"/>
            <filter val="https://coppelmx.atlassian.net/wiki/x/awAfOw"/>
            <filter val="https://coppelmx.atlassian.net/wiki/x/sYBtO"/>
            <filter val="https://coppelmx.atlassian.net/wiki/x/CQACP"/>
            <filter val="https://coppelmx.atlassian.net/wiki/spaces/SEAC/pages/1376747533/RESMX001439+Bus_SignFileTransferCorporateV1"/>
            <filter val="https://coppelmx.atlassian.net/wiki/spaces/SEAC/pages/1834713196/RESMX001477+Pro_DeleteFileCorporateV1"/>
            <filter val="https://coppelmx.atlassian.net/wiki/x/TIB1QQ"/>
            <filter val="https://coppelmx.atlassian.net/wiki/x/EgH2O"/>
            <filter val="https://coppelmx.atlassian.net/wiki/spaces/SEAC/pages/1507393726/RESMX001579+Pro_RegisterFileAuthorizationsCorporateV1"/>
            <filter val="https://coppelmx.atlassian.net/wiki/x/BgDVPQ"/>
            <filter val="https://coppelmx.atlassian.net/wiki/x/FgAIQ"/>
            <filter val="https://coppelmx.atlassian.net/wiki/x/A4CvOg"/>
            <filter val="https://coppelmx.atlassian.net/wiki/x/PwAhOg"/>
            <filter val="https://coppelmx.atlassian.net/wiki/x/SQB9PQ"/>
            <filter val="https://coppelmx.atlassian.net/wiki/x/EIAbO"/>
            <filter val="https://coppelmx.atlassian.net/wiki/x/jICfg"/>
            <filter val="https://coppelmx.atlassian.net/wiki/x/AQCSOw"/>
            <filter val="https://coppelmx.atlassian.net/wiki/x/KACQO"/>
            <filter val="https://coppelmx.atlassian.net/wiki/x/CoCPPQ"/>
            <filter val="https://coppelmx.atlassian.net/wiki/x/DwAjPw"/>
            <filter val="https://coppelmx.atlassian.net/wiki/x/FYA3Q"/>
            <filter val="https://coppelmx.atlassian.net/wiki/x/AgAJQg"/>
            <filter val="https://coppelmx.atlassian.net/wiki/x/XYAhOw"/>
            <filter val="https://coppelmx.atlassian.net/wiki/x/l4CMQ"/>
            <filter val="https://coppelmx.atlassian.net/wiki/x/AgAzOw"/>
            <filter val="https://coppelmx.atlassian.net/wiki/x/VYBpO"/>
            <filter val="https://coppelmx.atlassian.net/wiki/x/doDfPg"/>
            <filter val="https://coppelmx.atlassian.net/wiki/x/PQDVO"/>
            <filter val="https://coppelmx.atlassian.net/wiki/x/AoBdP"/>
            <filter val="https://coppelmx.atlassian.net/wiki/x/NYDWO"/>
            <filter val="https://coppelmx.atlassian.net/wiki/x/LoF1P"/>
            <filter val="https://coppelmx.atlassian.net/wiki/x/DYAigQ"/>
            <filter val="https://coppelmx.atlassian.net/wiki/x/AoCNOw"/>
            <filter val="https://coppelmx.atlassian.net/wiki/x/BAD3O"/>
            <filter val="https://coppelmx.atlassian.net/wiki/x/GIDJPQ"/>
            <filter val="https://coppelmx.atlassian.net/wiki/spaces/SEAC/pages/1376518255/RESMX001466+Rec_SignFileTransferCorporateV1"/>
            <filter val="https://coppelmx.atlassian.net/wiki/x/C4CiOw"/>
            <filter val="https://coppelmx.atlassian.net/wiki/x/KIBmOw"/>
            <filter val="https://coppelmx.atlassian.net/wiki/x/JYCXOQ"/>
            <filter val="https://coppelmx.atlassian.net/wiki/spaces/SEAC/pages/1360265220/RESMX001441+Dom_EnabledTokenEditStatusHardTokenCorporateV1"/>
          </filters>
        </filterColumn>
        <sortState ref="A1:T1653">
          <sortCondition ref="E1:E1653"/>
        </sortState>
      </autoFilter>
    </customSheetView>
  </customSheetViews>
  <conditionalFormatting sqref="N1:N2488">
    <cfRule type="expression" dxfId="5" priority="1">
      <formula>" =CONTAR.SI(M:M,M2)&gt;1"</formula>
    </cfRule>
  </conditionalFormatting>
  <conditionalFormatting sqref="N1014:N1573">
    <cfRule type="expression" dxfId="6" priority="2">
      <formula>COUNTIF($N:$N,N2)&gt;1</formula>
    </cfRule>
  </conditionalFormatting>
  <dataValidations>
    <dataValidation type="list" allowBlank="1" showErrorMessage="1" sqref="D978:D988 D990:D1009 D1011:D1013 D1077 D1080 D1090 D1096:D1098 D1101 D1115 D1117 D1125 D1127 D1136:D1137 D1148:D1150 D1166:D1167 D1171 D1176:D1177 D1180 D1184 D1193 D1212:D1213 D1215:D1217 D1220 D1222 D1224:D1226 D1230 D1241">
      <formula1>"RECEPTION,BUSINESS,DOMAIN,PROXY,BUSINESS RULE"</formula1>
    </dataValidation>
    <dataValidation type="list" allowBlank="1" showErrorMessage="1" sqref="D111:D112 D120 D174 D252 D325 D362 D459 D463 D465 D473 D525 D609 D685 D715 D1014:D1015 D1020 D1032:D1033 D1042:D1043 D1045:D1047 D1051 D1053:D1065 D1067:D1072 D1076 D1079 D1081 D1095 D1099 D1118 D1120 D1135 D1152 D1154:D1155 D1199 D1202:D1204 D1210:D1211 D1228:D1229 D1232 D1236 D1239:D1240 D1243:D1244 D1246:D1247 D1250 D1262 D1269:D1273 D1276 D1286:D1287 D1291:D1294 D1297:D1302 D1323:D1324 D1332 D1353:D1355 D1357 D1359:D1360 D1398:D1400 D1408 D1412 D1416 D1424">
      <formula1>"RECEPTION,BUSINESS,DOMAIN,PROXY,BUSINESS RULE,WORKER"</formula1>
    </dataValidation>
    <dataValidation type="list" allowBlank="1" showErrorMessage="1" sqref="D1146 D1526:D1544 D1546:D1547 D1549:D1552 D1554 D1556:D1619">
      <formula1>"RECEPTION,BUSINESS,DOMAIN,PROXY,WORKER"</formula1>
    </dataValidation>
    <dataValidation type="list" allowBlank="1" showErrorMessage="1" sqref="C1545 C1548 C1553">
      <formula1>"OAS,RAML"</formula1>
    </dataValidation>
    <dataValidation type="list" allowBlank="1" showErrorMessage="1" sqref="C2:C1226 C1228:C1236 C1239:C1247 C1250:C1260 C1262:C1263 C1265:C1274 C1276 C1278 C1286:C1287 C1289:C1355 C1357 C1359:C1360 C1363:C1365 C1367:C1403 C1405 C1408:C1409 C1411:C1433 C1435:C1450 C1452:C1544 C1546:C1547 C1549:C1552 C1554 C1556:C1668">
      <formula1>"OAS,RAML,AsyncAPI"</formula1>
    </dataValidation>
    <dataValidation type="list" allowBlank="1" showErrorMessage="1" sqref="D8 D10 D38:D39 D41 D52 D65:D66 D72 D74:D75 D77 D82:D83 D93 D95 D99 D106 D109 D121 D149:D150 D152 D160:D161 D165 D168:D169 D177 D185 D187 D193 D208 D237 D245 D274 D291 D304 D321:D322 D374:D375 D397 D425 D428:D429 D451 D470 D496:D497 D505:D506 D511 D532 D579 D593 D595 D605 D630 D634 D643 D665 D675 D677:D678 D704 D719 D723 D725 D729:D730 D736 D769:D770 D783:D784 D794 D800 D804 D822:D824 D835 D839 D841:D855 D877:D881 D891 D945:D950 D952 D977 D989 D1010 D1016:D1019 D1021:D1031 D1034:D1041 D1044 D1048:D1050 D1052 D1066 D1073:D1075 D1078 D1082:D1089 D1091:D1094 D1100 D1102:D1114 D1116 D1119 D1121:D1124 D1126 D1128:D1134 D1138:D1145 D1147 D1151 D1153 D1156:D1165 D1168:D1170 D1172:D1175 D1178:D1179 D1181:D1183 D1185:D1192 D1194:D1198 D1200:D1201 D1205:D1209 D1214 D1218:D1219 D1221 D1223 D1231 D1233:D1235 D1242 D1245 D1251:D1260 D1263 D1265:D1268 D1274 D1278 D1289:D1290 D1295:D1296 D1303:D1322 D1325:D1331 D1333:D1352 D1363:D1365 D1367:D1397 D1401:D1403 D1405 D1409 D1411 D1413:D1415 D1417:D1423 D1425:D1433 D1435:D1450 D1452:D1525 D1623:D1625 D1631:D1640 D1643 D1667:D1668">
      <formula1>"RECEPTION,BUSINESS,DOMAIN,PROXY,BUSINESS RULE,WORKER"</formula1>
    </dataValidation>
    <dataValidation type="list" allowBlank="1" showErrorMessage="1" sqref="L1580:L1617">
      <formula1>"POST,PUT,GET,PATCH,DELETE"</formula1>
    </dataValidation>
    <dataValidation type="list" allowBlank="1" showErrorMessage="1" sqref="O1146 L2:L1226 L1228:L1236 L1239:L1247 L1250:L1260 L1262:L1263 L1265:L1274 L1276 L1278 L1286:L1287 L1289:L1355 L1357 L1359:L1360 L1363:L1365 L1367:L1403 L1405 L1408:L1409 L1411:L1433 L1435:L1450 L1452:L1554 L1556:L1579 L1620:L1668">
      <formula1>"POST,PUT,GET,PATCH,DELETE,QUEUE"</formula1>
    </dataValidation>
    <dataValidation type="list" allowBlank="1" showErrorMessage="1" sqref="D2:D7 D9 D11:D37 D40 D42:D51 D53:D64 D67:D71 D73 D76 D78:D81 D84:D92 D94 D96:D98 D100:D105 D107:D108 D110 D113:D119 D122:D148 D151 D153:D159 D162:D164 D166:D167 D170:D173 D175:D176 D178:D184 D186 D188:D192 D194:D207 D209:D236 D238:D244 D246:D251 D253:D273 D275:D290 D292:D303 D305:D320 D323:D324 D326:D361 D363:D373 D376:D396 D398:D424 D426:D427 D430:D450 D452:D458 D460:D462 D464 D466:D469 D471:D472 D474:D495 D498:D504 D507:D510 D512:D524 D526:D531 D533:D578 D580:D592 D594 D596:D604 D606:D608 D610:D629 D631:D633 D635:D642 D644:D664 D666:D674 D676 D679:D684 D686:D703 D705:D714 D716:D718 D720:D722 D724 D726:D728 D731:D735 D737:D768 D771:D782 D785:D793 D795:D799 D801:D803 D805:D821 D825:D834 D836:D838 D840 D856:D876 D882:D890 D892:D944 D951 D953:D976 D1620:D1622 D1626:D1630 D1641:D1642 D1644:D1666">
      <formula1>"RECEPTION,BUSINESS,DOMAIN,PROXY"</formula1>
    </dataValidation>
    <dataValidation type="list" allowBlank="1" showErrorMessage="1" sqref="A1574:A1619 A1624:A1640 A1667:A1668">
      <formula1>"SSFF,Afore,Empresa Net,Hub Domiciliación"</formula1>
    </dataValidation>
    <dataValidation type="list" allowBlank="1" showErrorMessage="1" sqref="A2:A1226 A1228:A1236 A1239:A1247 A1250:A1260 A1262:A1263 A1265:A1274 A1276 A1278 A1286:A1287 A1289:A1355 A1357 A1359:A1360 A1363:A1365 A1367:A1403 A1405 A1408:A1409 A1411:A1433 A1435:A1450 A1452:A1554 A1556:A1573 A1620:A1623 A1641:A1666">
      <formula1>"SSFF,Afore,Empresa Net,Hub Domiciliacion"</formula1>
    </dataValidation>
    <dataValidation type="list" allowBlank="1" showErrorMessage="1" sqref="S1146">
      <formula1>"With Observations,To Confirm,Complete,Done,Invalid"</formula1>
    </dataValidation>
    <dataValidation type="list" allowBlank="1" showErrorMessage="1" sqref="R2:R1226 R1228:R1236 R1239:R1247 R1250:R1260 R1262:R1263 R1265:R1274 R1276 R1278 R1286:R1287 R1289:R1355 R1357 R1359:R1360 R1363:R1365 R1367:R1403 R1405 R1408:R1409 R1411:R1433 R1435:R1450 R1452:R1554 R1556:R2488">
      <formula1>"Deprecated,Design,Develop,QA,Production"</formula1>
    </dataValidation>
    <dataValidation type="list" allowBlank="1" showErrorMessage="1" sqref="D1545 D1548 D1553">
      <formula1>"RECEPTION,BUSINESS,DOMAIN,PROXY,WORKER"</formula1>
    </dataValidation>
  </dataValidations>
  <hyperlinks>
    <hyperlink r:id="rId1" ref="Q2"/>
    <hyperlink r:id="rId2" ref="Q3"/>
    <hyperlink r:id="rId3" ref="Q4"/>
    <hyperlink r:id="rId4" ref="Q5"/>
    <hyperlink r:id="rId5" ref="Q37"/>
    <hyperlink r:id="rId6" ref="Q38"/>
    <hyperlink r:id="rId7" ref="Q39"/>
    <hyperlink r:id="rId8" ref="Q41"/>
    <hyperlink r:id="rId9" ref="Q44"/>
    <hyperlink r:id="rId10" ref="Q45"/>
    <hyperlink r:id="rId11" ref="Q182"/>
    <hyperlink r:id="rId12" ref="Q421"/>
    <hyperlink r:id="rId13" ref="Q438"/>
    <hyperlink r:id="rId14" ref="Q439"/>
    <hyperlink r:id="rId15" ref="Q440"/>
    <hyperlink r:id="rId16" ref="Q441"/>
    <hyperlink r:id="rId17" ref="Q445"/>
    <hyperlink r:id="rId18" ref="Q447"/>
    <hyperlink r:id="rId19" ref="Q516"/>
    <hyperlink r:id="rId20" ref="Q517"/>
    <hyperlink r:id="rId21" ref="Q518"/>
    <hyperlink r:id="rId22" ref="Q519"/>
    <hyperlink r:id="rId23" ref="Q750"/>
    <hyperlink r:id="rId24" ref="Q760"/>
    <hyperlink r:id="rId25" ref="Q824"/>
    <hyperlink r:id="rId26" ref="Q825"/>
    <hyperlink r:id="rId27" ref="Q1088"/>
    <hyperlink r:id="rId28" ref="Q1089"/>
    <hyperlink r:id="rId29" ref="Q1105"/>
    <hyperlink r:id="rId30" ref="Q1106"/>
    <hyperlink r:id="rId31" ref="Q1107"/>
    <hyperlink r:id="rId32" ref="Q1108"/>
    <hyperlink r:id="rId33" ref="Q1109"/>
    <hyperlink r:id="rId34" ref="Q1110"/>
    <hyperlink r:id="rId35" ref="Q1111"/>
    <hyperlink r:id="rId36" ref="Q1112"/>
    <hyperlink r:id="rId37" ref="Q1113"/>
    <hyperlink r:id="rId38" ref="Q1114"/>
    <hyperlink r:id="rId39" ref="Q1121"/>
    <hyperlink r:id="rId40" ref="Q1122"/>
    <hyperlink r:id="rId41" ref="Q1123"/>
    <hyperlink r:id="rId42" ref="Q1124"/>
    <hyperlink r:id="rId43" ref="Q1152"/>
    <hyperlink r:id="rId44" ref="Q1157"/>
    <hyperlink r:id="rId45" ref="Q1158"/>
    <hyperlink r:id="rId46" ref="Q1159"/>
    <hyperlink r:id="rId47" ref="Q1160"/>
    <hyperlink r:id="rId48" ref="Q1161"/>
    <hyperlink r:id="rId49" ref="Q1163"/>
    <hyperlink r:id="rId50" ref="Q1164"/>
    <hyperlink r:id="rId51" ref="Q1165"/>
    <hyperlink r:id="rId52" ref="Q1172"/>
    <hyperlink r:id="rId53" ref="Q1173"/>
    <hyperlink r:id="rId54" ref="Q1213"/>
    <hyperlink r:id="rId55" ref="S1213"/>
    <hyperlink r:id="rId56" ref="Q1392"/>
    <hyperlink r:id="rId57" ref="Q1394"/>
    <hyperlink r:id="rId58" ref="Q1395"/>
    <hyperlink r:id="rId59" ref="Q1418"/>
    <hyperlink r:id="rId60" ref="Q1420"/>
    <hyperlink r:id="rId61" ref="Q1421"/>
    <hyperlink r:id="rId62" ref="Q1422"/>
    <hyperlink r:id="rId63" ref="Q1426"/>
    <hyperlink r:id="rId64" ref="Q1427"/>
    <hyperlink r:id="rId65" ref="Q1428"/>
    <hyperlink r:id="rId66" ref="Q1429"/>
    <hyperlink r:id="rId67" ref="Q1430"/>
    <hyperlink r:id="rId68" ref="Q1431"/>
    <hyperlink r:id="rId69" ref="Q1432"/>
    <hyperlink r:id="rId70" ref="Q1433"/>
    <hyperlink r:id="rId71" ref="Q1435"/>
    <hyperlink r:id="rId72" ref="Q1436"/>
    <hyperlink r:id="rId73" ref="Q1437"/>
    <hyperlink r:id="rId74" ref="Q1438"/>
    <hyperlink r:id="rId75" ref="Q1439"/>
    <hyperlink r:id="rId76" ref="Q1440"/>
    <hyperlink r:id="rId77" ref="Q1441"/>
    <hyperlink r:id="rId78" ref="Q1442"/>
    <hyperlink r:id="rId79" ref="Q1443"/>
    <hyperlink r:id="rId80" ref="Q1444"/>
    <hyperlink r:id="rId81" ref="Q1445"/>
    <hyperlink r:id="rId82" ref="Q1446"/>
    <hyperlink r:id="rId83" ref="Q1447"/>
    <hyperlink r:id="rId84" ref="Q1448"/>
    <hyperlink r:id="rId85" ref="Q1449"/>
    <hyperlink r:id="rId86" ref="Q1450"/>
    <hyperlink r:id="rId87" ref="Q1452"/>
    <hyperlink r:id="rId88" ref="Q1453"/>
    <hyperlink r:id="rId89" ref="Q1454"/>
    <hyperlink r:id="rId90" ref="Q1455"/>
    <hyperlink r:id="rId91" ref="Q1456"/>
    <hyperlink r:id="rId92" ref="Q1457"/>
    <hyperlink r:id="rId93" ref="Q1458"/>
    <hyperlink r:id="rId94" ref="Q1459"/>
    <hyperlink r:id="rId95" ref="Q1460"/>
    <hyperlink r:id="rId96" ref="Q1461"/>
    <hyperlink r:id="rId97" ref="Q1462"/>
    <hyperlink r:id="rId98" ref="Q1463"/>
    <hyperlink r:id="rId99" ref="Q1464"/>
    <hyperlink r:id="rId100" ref="Q1465"/>
    <hyperlink r:id="rId101" ref="Q1466"/>
    <hyperlink r:id="rId102" ref="Q1467"/>
    <hyperlink r:id="rId103" ref="Q1468"/>
    <hyperlink r:id="rId104" ref="Q1469"/>
    <hyperlink r:id="rId105" ref="Q1470"/>
    <hyperlink r:id="rId106" ref="Q1471"/>
    <hyperlink r:id="rId107" ref="Q1472"/>
    <hyperlink r:id="rId108" ref="Q1473"/>
    <hyperlink r:id="rId109" ref="Q1474"/>
    <hyperlink r:id="rId110" ref="Q1475"/>
    <hyperlink r:id="rId111" ref="Q1476"/>
    <hyperlink r:id="rId112" ref="Q1477"/>
    <hyperlink r:id="rId113" ref="Q1478"/>
    <hyperlink r:id="rId114" ref="Q1479"/>
    <hyperlink r:id="rId115" ref="Q1480"/>
    <hyperlink r:id="rId116" ref="Q1484"/>
    <hyperlink r:id="rId117" ref="Q1526"/>
    <hyperlink r:id="rId118" ref="Q1527"/>
    <hyperlink r:id="rId119" ref="Q1528"/>
    <hyperlink r:id="rId120" ref="Q1529"/>
    <hyperlink r:id="rId121" ref="Q1530"/>
    <hyperlink r:id="rId122" ref="Q1531"/>
    <hyperlink r:id="rId123" ref="Q1532"/>
    <hyperlink r:id="rId124" ref="Q1533"/>
    <hyperlink r:id="rId125" ref="Q1534"/>
    <hyperlink r:id="rId126" ref="Q1535"/>
    <hyperlink r:id="rId127" ref="Q1536"/>
    <hyperlink r:id="rId128" ref="Q1537"/>
    <hyperlink r:id="rId129" ref="Q1538"/>
    <hyperlink r:id="rId130" ref="Q1539"/>
    <hyperlink r:id="rId131" ref="Q1540"/>
    <hyperlink r:id="rId132" ref="Q1541"/>
    <hyperlink r:id="rId133" ref="Q1542"/>
    <hyperlink r:id="rId134" ref="Q1543"/>
    <hyperlink r:id="rId135" ref="Q1544"/>
    <hyperlink r:id="rId136" ref="Q1546"/>
    <hyperlink r:id="rId137" ref="Q1547"/>
    <hyperlink r:id="rId138" ref="Q1548"/>
    <hyperlink r:id="rId139" ref="Q1549"/>
    <hyperlink r:id="rId140" ref="Q1550"/>
    <hyperlink r:id="rId141" ref="Q1551"/>
    <hyperlink r:id="rId142" ref="Q1552"/>
    <hyperlink r:id="rId143" ref="Q1553"/>
    <hyperlink r:id="rId144" ref="Q1554"/>
    <hyperlink r:id="rId145" ref="Q1556"/>
    <hyperlink r:id="rId146" ref="Q1557"/>
    <hyperlink r:id="rId147" ref="Q1558"/>
    <hyperlink r:id="rId148" ref="Q1559"/>
    <hyperlink r:id="rId149" ref="Q1560"/>
    <hyperlink r:id="rId150" ref="Q1561"/>
    <hyperlink r:id="rId151" ref="Q1562"/>
    <hyperlink r:id="rId152" ref="Q1563"/>
    <hyperlink r:id="rId153" ref="Q1564"/>
    <hyperlink r:id="rId154" ref="Q1565"/>
    <hyperlink r:id="rId155" ref="Q1566"/>
    <hyperlink r:id="rId156" ref="Q1567"/>
    <hyperlink r:id="rId157" ref="Q1568"/>
    <hyperlink r:id="rId158" ref="Q1569"/>
    <hyperlink r:id="rId159" ref="Q1570"/>
    <hyperlink r:id="rId160" ref="Q1571"/>
    <hyperlink r:id="rId161" ref="Q1572"/>
    <hyperlink r:id="rId162" ref="Q1573"/>
    <hyperlink r:id="rId163" ref="Q1621"/>
    <hyperlink r:id="rId164" ref="Q1654"/>
    <hyperlink r:id="rId165" ref="Q1655"/>
    <hyperlink r:id="rId166" ref="B1668"/>
  </hyperlinks>
  <drawing r:id="rId16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1.89"/>
    <col customWidth="1" min="2" max="2" width="42.78"/>
    <col customWidth="1" min="3" max="3" width="21.89"/>
    <col customWidth="1" min="4" max="4" width="16.0"/>
    <col customWidth="1" min="5" max="5" width="40.44"/>
    <col customWidth="1" min="6" max="6" width="16.0"/>
    <col customWidth="1" min="7" max="7" width="41.11"/>
    <col customWidth="1" min="8" max="8" width="24.0"/>
    <col customWidth="1" min="9" max="9" width="30.44"/>
    <col customWidth="1" min="10" max="10" width="52.89"/>
    <col customWidth="1" min="11" max="11" width="19.0"/>
    <col customWidth="1" hidden="1" min="12" max="12" width="39.22"/>
    <col customWidth="1" min="13" max="13" width="47.0"/>
    <col customWidth="1" min="14" max="15" width="12.11"/>
    <col customWidth="1" min="16" max="17" width="24.78"/>
    <col customWidth="1" min="18" max="18" width="20.33"/>
  </cols>
  <sheetData>
    <row r="1">
      <c r="A1" s="6" t="s">
        <v>6</v>
      </c>
      <c r="B1" s="9" t="s">
        <v>10</v>
      </c>
      <c r="C1" s="10" t="s">
        <v>16</v>
      </c>
      <c r="D1" s="11" t="s">
        <v>8</v>
      </c>
      <c r="E1" s="11" t="s">
        <v>23</v>
      </c>
      <c r="F1" s="13" t="s">
        <v>24</v>
      </c>
      <c r="G1" s="11" t="s">
        <v>28</v>
      </c>
      <c r="H1" s="11" t="s">
        <v>30</v>
      </c>
      <c r="I1" s="14" t="s">
        <v>32</v>
      </c>
      <c r="J1" s="15" t="s">
        <v>33</v>
      </c>
      <c r="K1" s="14" t="s">
        <v>34</v>
      </c>
      <c r="L1" s="15" t="s">
        <v>35</v>
      </c>
      <c r="M1" s="15" t="s">
        <v>36</v>
      </c>
      <c r="N1" s="14" t="s">
        <v>37</v>
      </c>
      <c r="O1" s="14" t="s">
        <v>38</v>
      </c>
      <c r="P1" s="14" t="s">
        <v>39</v>
      </c>
      <c r="Q1" s="14" t="s">
        <v>40</v>
      </c>
      <c r="R1" s="16"/>
      <c r="S1" s="16"/>
      <c r="T1" s="16"/>
      <c r="U1" s="16"/>
      <c r="V1" s="16"/>
      <c r="W1" s="16"/>
      <c r="X1" s="16"/>
      <c r="Y1" s="16"/>
      <c r="Z1" s="16"/>
      <c r="AA1" s="16"/>
      <c r="AB1" s="16"/>
      <c r="AC1" s="16"/>
      <c r="AD1" s="16"/>
      <c r="AE1" s="16"/>
      <c r="AF1" s="16"/>
      <c r="AG1" s="16"/>
      <c r="AH1" s="16"/>
      <c r="AI1" s="16"/>
      <c r="AJ1" s="16"/>
    </row>
    <row r="2">
      <c r="A2" s="27" t="s">
        <v>44</v>
      </c>
      <c r="B2" s="28" t="s">
        <v>43</v>
      </c>
      <c r="C2" s="33">
        <f>COUNTIF(develop!F2:F980,B2)</f>
        <v>6</v>
      </c>
      <c r="D2" s="34" t="s">
        <v>42</v>
      </c>
      <c r="E2" s="28" t="s">
        <v>54</v>
      </c>
      <c r="F2" s="34" t="s">
        <v>55</v>
      </c>
      <c r="G2" s="35" t="str">
        <f t="shared" ref="G2:G234" si="1">E2</f>
        <v>mx-api-bc-bus-business-support</v>
      </c>
      <c r="H2" s="37" t="str">
        <f t="shared" ref="H2:H262" si="2">CONCATENATE("https://anypoint.mulesoft.com/exchange/834f46f4-ef08-4c50-81ae-56f917b413cc/", G2)</f>
        <v>https://anypoint.mulesoft.com/exchange/834f46f4-ef08-4c50-81ae-56f917b413cc/mx-api-bc-bus-business-support</v>
      </c>
      <c r="I2" s="39" t="s">
        <v>57</v>
      </c>
      <c r="J2" s="41" t="str">
        <f t="shared" ref="J2:J12" si="3">obtenerRepoMS(E2)</f>
        <v>mx-ms-bc-bus-business-support-mule</v>
      </c>
      <c r="K2" s="39" t="s">
        <v>58</v>
      </c>
      <c r="L2" s="41" t="str">
        <f>IFERROR(__xludf.DUMMYFUNCTION("REGEXREPLACE(REGEXREPLACE(REGEXREPLACE(J2, ""mx-ms-bc-"", """"), ""-mule"", ""-api-dev""), ""-apigee"", ""-api-dev"")"),"bus-business-support-api-dev")</f>
        <v>bus-business-support-api-dev</v>
      </c>
      <c r="M2" s="41" t="str">
        <f t="shared" ref="M2:M22" si="4">generarNombreDeploy(J2)</f>
        <v>bus-business-support-api-dev</v>
      </c>
      <c r="N2" s="39" t="str">
        <f t="shared" ref="N2:N192" si="5">validateAPIName(M2,D2)</f>
        <v>Valid</v>
      </c>
      <c r="O2" s="42">
        <f t="shared" ref="O2:O273" si="6">LEN(M2)</f>
        <v>28</v>
      </c>
      <c r="P2" s="42"/>
      <c r="Q2" s="39"/>
      <c r="R2" s="43"/>
      <c r="S2" s="43"/>
      <c r="T2" s="43"/>
      <c r="U2" s="43"/>
      <c r="V2" s="43"/>
      <c r="W2" s="43"/>
      <c r="X2" s="43"/>
      <c r="Y2" s="43"/>
      <c r="Z2" s="43"/>
      <c r="AA2" s="43"/>
      <c r="AB2" s="43"/>
      <c r="AC2" s="43"/>
      <c r="AD2" s="43"/>
      <c r="AE2" s="43"/>
      <c r="AF2" s="43"/>
      <c r="AG2" s="43"/>
      <c r="AH2" s="43"/>
      <c r="AI2" s="43"/>
      <c r="AJ2" s="43"/>
    </row>
    <row r="3">
      <c r="A3" s="46" t="s">
        <v>44</v>
      </c>
      <c r="B3" s="47" t="s">
        <v>72</v>
      </c>
      <c r="C3" s="50">
        <f>COUNTIF(develop!F3:F980,B3)</f>
        <v>32</v>
      </c>
      <c r="D3" s="51" t="s">
        <v>42</v>
      </c>
      <c r="E3" s="47" t="s">
        <v>76</v>
      </c>
      <c r="F3" s="51" t="s">
        <v>77</v>
      </c>
      <c r="G3" s="53" t="str">
        <f t="shared" si="1"/>
        <v>mx-api-bc-bus-operations-and-execution</v>
      </c>
      <c r="H3" s="54" t="str">
        <f t="shared" si="2"/>
        <v>https://anypoint.mulesoft.com/exchange/834f46f4-ef08-4c50-81ae-56f917b413cc/mx-api-bc-bus-operations-and-execution</v>
      </c>
      <c r="I3" s="55" t="s">
        <v>78</v>
      </c>
      <c r="J3" s="57" t="str">
        <f t="shared" si="3"/>
        <v>mx-ms-bc-bus-operations-and-execution-mule</v>
      </c>
      <c r="K3" s="55" t="s">
        <v>58</v>
      </c>
      <c r="L3" s="57" t="str">
        <f>IFERROR(__xludf.DUMMYFUNCTION("REGEXREPLACE(REGEXREPLACE(REGEXREPLACE(J3, ""mx-ms-bc-"", """"), ""-mule"", ""-api-dev""), ""-apigee"", ""-api-dev"")"),"bus-operations-and-execution-api-dev")</f>
        <v>bus-operations-and-execution-api-dev</v>
      </c>
      <c r="M3" s="57" t="str">
        <f t="shared" si="4"/>
        <v>bus-operations-and-execution-api-dev</v>
      </c>
      <c r="N3" s="55" t="str">
        <f t="shared" si="5"/>
        <v>Valid</v>
      </c>
      <c r="O3" s="59">
        <f t="shared" si="6"/>
        <v>36</v>
      </c>
      <c r="P3" s="59"/>
      <c r="Q3" s="55"/>
      <c r="R3" s="60"/>
      <c r="S3" s="60"/>
      <c r="T3" s="60"/>
      <c r="U3" s="60"/>
      <c r="V3" s="60"/>
      <c r="W3" s="60"/>
      <c r="X3" s="60"/>
      <c r="Y3" s="60"/>
      <c r="Z3" s="60"/>
      <c r="AA3" s="60"/>
      <c r="AB3" s="60"/>
      <c r="AC3" s="60"/>
      <c r="AD3" s="60"/>
      <c r="AE3" s="60"/>
      <c r="AF3" s="60"/>
      <c r="AG3" s="60"/>
      <c r="AH3" s="60"/>
      <c r="AI3" s="60"/>
      <c r="AJ3" s="60"/>
    </row>
    <row r="4">
      <c r="A4" s="27" t="s">
        <v>44</v>
      </c>
      <c r="B4" s="28" t="s">
        <v>86</v>
      </c>
      <c r="C4" s="33">
        <f>COUNTIF(develop!F4:F980,B4)</f>
        <v>14</v>
      </c>
      <c r="D4" s="34" t="s">
        <v>42</v>
      </c>
      <c r="E4" s="28" t="s">
        <v>87</v>
      </c>
      <c r="F4" s="34" t="s">
        <v>89</v>
      </c>
      <c r="G4" s="35" t="str">
        <f t="shared" si="1"/>
        <v>mx-api-bc-bus-reference-data</v>
      </c>
      <c r="H4" s="37" t="str">
        <f t="shared" si="2"/>
        <v>https://anypoint.mulesoft.com/exchange/834f46f4-ef08-4c50-81ae-56f917b413cc/mx-api-bc-bus-reference-data</v>
      </c>
      <c r="I4" s="39" t="s">
        <v>92</v>
      </c>
      <c r="J4" s="41" t="str">
        <f t="shared" si="3"/>
        <v>mx-ms-bc-bus-reference-data-mule</v>
      </c>
      <c r="K4" s="39" t="s">
        <v>58</v>
      </c>
      <c r="L4" s="41" t="s">
        <v>94</v>
      </c>
      <c r="M4" s="41" t="str">
        <f t="shared" si="4"/>
        <v>bus-reference-data-api-dev</v>
      </c>
      <c r="N4" s="39" t="str">
        <f t="shared" si="5"/>
        <v>Valid</v>
      </c>
      <c r="O4" s="42">
        <f t="shared" si="6"/>
        <v>26</v>
      </c>
      <c r="P4" s="42"/>
      <c r="Q4" s="39"/>
      <c r="R4" s="43"/>
      <c r="S4" s="43"/>
      <c r="T4" s="43"/>
      <c r="U4" s="43"/>
      <c r="V4" s="43"/>
      <c r="W4" s="43"/>
      <c r="X4" s="43"/>
      <c r="Y4" s="43"/>
      <c r="Z4" s="43"/>
      <c r="AA4" s="43"/>
      <c r="AB4" s="43"/>
      <c r="AC4" s="43"/>
      <c r="AD4" s="43"/>
      <c r="AE4" s="43"/>
      <c r="AF4" s="43"/>
      <c r="AG4" s="43"/>
      <c r="AH4" s="43"/>
      <c r="AI4" s="43"/>
      <c r="AJ4" s="43"/>
    </row>
    <row r="5">
      <c r="A5" s="46" t="s">
        <v>44</v>
      </c>
      <c r="B5" s="47" t="s">
        <v>101</v>
      </c>
      <c r="C5" s="50">
        <f>COUNTIF(develop!F5:F980,B5)</f>
        <v>27</v>
      </c>
      <c r="D5" s="51" t="s">
        <v>42</v>
      </c>
      <c r="E5" s="47" t="s">
        <v>106</v>
      </c>
      <c r="F5" s="51" t="s">
        <v>107</v>
      </c>
      <c r="G5" s="53" t="str">
        <f t="shared" si="1"/>
        <v>mx-api-bc-bus-sales-and-service</v>
      </c>
      <c r="H5" s="54" t="str">
        <f t="shared" si="2"/>
        <v>https://anypoint.mulesoft.com/exchange/834f46f4-ef08-4c50-81ae-56f917b413cc/mx-api-bc-bus-sales-and-service</v>
      </c>
      <c r="I5" s="55" t="s">
        <v>111</v>
      </c>
      <c r="J5" s="57" t="str">
        <f t="shared" si="3"/>
        <v>mx-ms-bc-bus-sales-and-service-mule</v>
      </c>
      <c r="K5" s="55" t="s">
        <v>58</v>
      </c>
      <c r="L5" s="57" t="s">
        <v>113</v>
      </c>
      <c r="M5" s="57" t="str">
        <f t="shared" si="4"/>
        <v>bus-sales-and-service-api-dev</v>
      </c>
      <c r="N5" s="55" t="str">
        <f t="shared" si="5"/>
        <v>Valid</v>
      </c>
      <c r="O5" s="59">
        <f t="shared" si="6"/>
        <v>29</v>
      </c>
      <c r="P5" s="59"/>
      <c r="Q5" s="55"/>
      <c r="R5" s="60"/>
      <c r="S5" s="60"/>
      <c r="T5" s="60"/>
      <c r="U5" s="60"/>
      <c r="V5" s="60"/>
      <c r="W5" s="60"/>
      <c r="X5" s="60"/>
      <c r="Y5" s="60"/>
      <c r="Z5" s="60"/>
      <c r="AA5" s="60"/>
      <c r="AB5" s="60"/>
      <c r="AC5" s="60"/>
      <c r="AD5" s="60"/>
      <c r="AE5" s="60"/>
      <c r="AF5" s="60"/>
      <c r="AG5" s="60"/>
      <c r="AH5" s="60"/>
      <c r="AI5" s="60"/>
      <c r="AJ5" s="60"/>
    </row>
    <row r="6">
      <c r="A6" s="27" t="s">
        <v>44</v>
      </c>
      <c r="B6" s="28" t="s">
        <v>118</v>
      </c>
      <c r="C6" s="33">
        <f>COUNTIF(develop!F6:F980,B6)</f>
        <v>1</v>
      </c>
      <c r="D6" s="34" t="s">
        <v>119</v>
      </c>
      <c r="E6" s="28" t="s">
        <v>120</v>
      </c>
      <c r="F6" s="34" t="s">
        <v>121</v>
      </c>
      <c r="G6" s="35" t="str">
        <f t="shared" si="1"/>
        <v>mx-api-bc-dom-account-reconciliation</v>
      </c>
      <c r="H6" s="37" t="str">
        <f t="shared" si="2"/>
        <v>https://anypoint.mulesoft.com/exchange/834f46f4-ef08-4c50-81ae-56f917b413cc/mx-api-bc-dom-account-reconciliation</v>
      </c>
      <c r="I6" s="39" t="s">
        <v>122</v>
      </c>
      <c r="J6" s="41" t="str">
        <f t="shared" si="3"/>
        <v>mx-ms-bc-dom-account-reconciliation-mule</v>
      </c>
      <c r="K6" s="39" t="s">
        <v>58</v>
      </c>
      <c r="L6" s="41" t="str">
        <f>IFERROR(__xludf.DUMMYFUNCTION("REGEXREPLACE(REGEXREPLACE(REGEXREPLACE(J6, ""mx-ms-bc-"", """"), ""-mule"", ""-api-dev""), ""-apigee"", ""-api-dev"")"),"dom-account-reconciliation-api-dev")</f>
        <v>dom-account-reconciliation-api-dev</v>
      </c>
      <c r="M6" s="41" t="str">
        <f t="shared" si="4"/>
        <v>dom-account-reconciliation-api-dev</v>
      </c>
      <c r="N6" s="39" t="str">
        <f t="shared" si="5"/>
        <v>Valid</v>
      </c>
      <c r="O6" s="42">
        <f t="shared" si="6"/>
        <v>34</v>
      </c>
      <c r="P6" s="42"/>
      <c r="Q6" s="39"/>
      <c r="R6" s="67"/>
      <c r="S6" s="43"/>
      <c r="T6" s="43"/>
      <c r="U6" s="43"/>
      <c r="V6" s="43"/>
      <c r="W6" s="43"/>
      <c r="X6" s="43"/>
      <c r="Y6" s="43"/>
      <c r="Z6" s="43"/>
      <c r="AA6" s="43"/>
      <c r="AB6" s="43"/>
      <c r="AC6" s="43"/>
      <c r="AD6" s="43"/>
      <c r="AE6" s="43"/>
      <c r="AF6" s="43"/>
      <c r="AG6" s="43"/>
      <c r="AH6" s="43"/>
      <c r="AI6" s="43"/>
      <c r="AJ6" s="43"/>
    </row>
    <row r="7">
      <c r="A7" s="46" t="s">
        <v>44</v>
      </c>
      <c r="B7" s="47" t="s">
        <v>129</v>
      </c>
      <c r="C7" s="50">
        <f>COUNTIF(develop!F7:F980,B7)</f>
        <v>2</v>
      </c>
      <c r="D7" s="51" t="s">
        <v>119</v>
      </c>
      <c r="E7" s="47" t="s">
        <v>132</v>
      </c>
      <c r="F7" s="51" t="s">
        <v>133</v>
      </c>
      <c r="G7" s="53" t="str">
        <f t="shared" si="1"/>
        <v>mx-api-bc-dom-branch-location-operations</v>
      </c>
      <c r="H7" s="54" t="str">
        <f t="shared" si="2"/>
        <v>https://anypoint.mulesoft.com/exchange/834f46f4-ef08-4c50-81ae-56f917b413cc/mx-api-bc-dom-branch-location-operations</v>
      </c>
      <c r="I7" s="55" t="s">
        <v>134</v>
      </c>
      <c r="J7" s="57" t="str">
        <f t="shared" si="3"/>
        <v>mx-ms-bc-dom-branch-location-operations-mule</v>
      </c>
      <c r="K7" s="55" t="s">
        <v>58</v>
      </c>
      <c r="L7" s="57" t="str">
        <f>IFERROR(__xludf.DUMMYFUNCTION("REGEXREPLACE(REGEXREPLACE(REGEXREPLACE(J7, ""mx-ms-bc-"", """"), ""-mule"", ""-api-dev""), ""-apigee"", ""-api-dev"")"),"dom-branch-location-operations-api-dev")</f>
        <v>dom-branch-location-operations-api-dev</v>
      </c>
      <c r="M7" s="57" t="str">
        <f t="shared" si="4"/>
        <v>dom-branch-location-operations-api-dev</v>
      </c>
      <c r="N7" s="55" t="str">
        <f t="shared" si="5"/>
        <v>Valid</v>
      </c>
      <c r="O7" s="59">
        <f t="shared" si="6"/>
        <v>38</v>
      </c>
      <c r="P7" s="59"/>
      <c r="Q7" s="55"/>
      <c r="R7" s="60"/>
      <c r="S7" s="60"/>
      <c r="T7" s="60"/>
      <c r="U7" s="60"/>
      <c r="V7" s="60"/>
      <c r="W7" s="60"/>
      <c r="X7" s="60"/>
      <c r="Y7" s="60"/>
      <c r="Z7" s="60"/>
      <c r="AA7" s="60"/>
      <c r="AB7" s="60"/>
      <c r="AC7" s="60"/>
      <c r="AD7" s="60"/>
      <c r="AE7" s="60"/>
      <c r="AF7" s="60"/>
      <c r="AG7" s="60"/>
      <c r="AH7" s="60"/>
      <c r="AI7" s="60"/>
      <c r="AJ7" s="60"/>
    </row>
    <row r="8">
      <c r="A8" s="27" t="s">
        <v>44</v>
      </c>
      <c r="B8" s="28" t="s">
        <v>139</v>
      </c>
      <c r="C8" s="33">
        <f>COUNTIF(develop!F8:F980,B8)</f>
        <v>1</v>
      </c>
      <c r="D8" s="34" t="s">
        <v>119</v>
      </c>
      <c r="E8" s="28" t="s">
        <v>141</v>
      </c>
      <c r="F8" s="34" t="s">
        <v>144</v>
      </c>
      <c r="G8" s="35" t="str">
        <f t="shared" si="1"/>
        <v>mx-api-bc-dom-branch-network-management</v>
      </c>
      <c r="H8" s="37" t="str">
        <f t="shared" si="2"/>
        <v>https://anypoint.mulesoft.com/exchange/834f46f4-ef08-4c50-81ae-56f917b413cc/mx-api-bc-dom-branch-network-management</v>
      </c>
      <c r="I8" s="39" t="s">
        <v>122</v>
      </c>
      <c r="J8" s="41" t="str">
        <f t="shared" si="3"/>
        <v>mx-ms-bc-dom-branch-network-management-mule</v>
      </c>
      <c r="K8" s="39" t="s">
        <v>58</v>
      </c>
      <c r="L8" s="41" t="s">
        <v>145</v>
      </c>
      <c r="M8" s="41" t="str">
        <f t="shared" si="4"/>
        <v>dom-branch-network-management-api-dev</v>
      </c>
      <c r="N8" s="39" t="str">
        <f t="shared" si="5"/>
        <v>Valid</v>
      </c>
      <c r="O8" s="42">
        <f t="shared" si="6"/>
        <v>37</v>
      </c>
      <c r="P8" s="42"/>
      <c r="Q8" s="39"/>
      <c r="R8" s="43"/>
      <c r="S8" s="43"/>
      <c r="T8" s="43"/>
      <c r="U8" s="43"/>
      <c r="V8" s="43"/>
      <c r="W8" s="43"/>
      <c r="X8" s="43"/>
      <c r="Y8" s="43"/>
      <c r="Z8" s="43"/>
      <c r="AA8" s="43"/>
      <c r="AB8" s="43"/>
      <c r="AC8" s="43"/>
      <c r="AD8" s="43"/>
      <c r="AE8" s="43"/>
      <c r="AF8" s="43"/>
      <c r="AG8" s="43"/>
      <c r="AH8" s="43"/>
      <c r="AI8" s="43"/>
      <c r="AJ8" s="43"/>
    </row>
    <row r="9">
      <c r="A9" s="46" t="s">
        <v>44</v>
      </c>
      <c r="B9" s="47" t="s">
        <v>156</v>
      </c>
      <c r="C9" s="50">
        <f>COUNTIF(develop!F9:F980,B9)</f>
        <v>1</v>
      </c>
      <c r="D9" s="51" t="s">
        <v>119</v>
      </c>
      <c r="E9" s="47" t="s">
        <v>157</v>
      </c>
      <c r="F9" s="51" t="s">
        <v>158</v>
      </c>
      <c r="G9" s="53" t="str">
        <f t="shared" si="1"/>
        <v>mx-api-bc-dom-card-ecommerce-gateway</v>
      </c>
      <c r="H9" s="54" t="str">
        <f t="shared" si="2"/>
        <v>https://anypoint.mulesoft.com/exchange/834f46f4-ef08-4c50-81ae-56f917b413cc/mx-api-bc-dom-card-ecommerce-gateway</v>
      </c>
      <c r="I9" s="59" t="s">
        <v>162</v>
      </c>
      <c r="J9" s="57" t="str">
        <f t="shared" si="3"/>
        <v>mx-ms-bc-dom-card-ecommerce-gateway-mule</v>
      </c>
      <c r="K9" s="55" t="s">
        <v>58</v>
      </c>
      <c r="L9" s="57" t="str">
        <f>IFERROR(__xludf.DUMMYFUNCTION("REGEXREPLACE(REGEXREPLACE(REGEXREPLACE(J9, ""mx-ms-bc-"", """"), ""-mule"", ""-api-dev""), ""-apigee"", ""-api-dev"")"),"dom-card-ecommerce-gateway-api-dev")</f>
        <v>dom-card-ecommerce-gateway-api-dev</v>
      </c>
      <c r="M9" s="57" t="str">
        <f t="shared" si="4"/>
        <v>dom-card-ecommerce-gateway-api-dev</v>
      </c>
      <c r="N9" s="55" t="str">
        <f t="shared" si="5"/>
        <v>Valid</v>
      </c>
      <c r="O9" s="59">
        <f t="shared" si="6"/>
        <v>34</v>
      </c>
      <c r="P9" s="59"/>
      <c r="Q9" s="59"/>
      <c r="R9" s="60"/>
      <c r="S9" s="60"/>
      <c r="T9" s="60"/>
      <c r="U9" s="60"/>
      <c r="V9" s="60"/>
      <c r="W9" s="60"/>
      <c r="X9" s="60"/>
      <c r="Y9" s="60"/>
      <c r="Z9" s="60"/>
      <c r="AA9" s="60"/>
      <c r="AB9" s="60"/>
      <c r="AC9" s="60"/>
      <c r="AD9" s="60"/>
      <c r="AE9" s="60"/>
      <c r="AF9" s="60"/>
      <c r="AG9" s="60"/>
      <c r="AH9" s="60"/>
      <c r="AI9" s="60"/>
      <c r="AJ9" s="60"/>
    </row>
    <row r="10">
      <c r="A10" s="27" t="s">
        <v>44</v>
      </c>
      <c r="B10" s="28" t="s">
        <v>174</v>
      </c>
      <c r="C10" s="33">
        <f>COUNTIF(develop!F10:F980,B10)</f>
        <v>1</v>
      </c>
      <c r="D10" s="34" t="s">
        <v>119</v>
      </c>
      <c r="E10" s="28" t="s">
        <v>175</v>
      </c>
      <c r="F10" s="34" t="s">
        <v>176</v>
      </c>
      <c r="G10" s="35" t="str">
        <f t="shared" si="1"/>
        <v>mx-api-bc-dom-corporate-current-account</v>
      </c>
      <c r="H10" s="37" t="str">
        <f t="shared" si="2"/>
        <v>https://anypoint.mulesoft.com/exchange/834f46f4-ef08-4c50-81ae-56f917b413cc/mx-api-bc-dom-corporate-current-account</v>
      </c>
      <c r="I10" s="39" t="s">
        <v>122</v>
      </c>
      <c r="J10" s="41" t="str">
        <f t="shared" si="3"/>
        <v>mx-ms-bc-dom-corporate-current-account-mule</v>
      </c>
      <c r="K10" s="39" t="s">
        <v>58</v>
      </c>
      <c r="L10" s="41" t="s">
        <v>178</v>
      </c>
      <c r="M10" s="41" t="str">
        <f t="shared" si="4"/>
        <v>dom-corporate-current-account-api-dev</v>
      </c>
      <c r="N10" s="39" t="str">
        <f t="shared" si="5"/>
        <v>Valid</v>
      </c>
      <c r="O10" s="42">
        <f t="shared" si="6"/>
        <v>37</v>
      </c>
      <c r="P10" s="42"/>
      <c r="Q10" s="39"/>
      <c r="R10" s="43"/>
      <c r="S10" s="43"/>
      <c r="T10" s="43"/>
      <c r="U10" s="43"/>
      <c r="V10" s="43"/>
      <c r="W10" s="43"/>
      <c r="X10" s="43"/>
      <c r="Y10" s="43"/>
      <c r="Z10" s="43"/>
      <c r="AA10" s="43"/>
      <c r="AB10" s="43"/>
      <c r="AC10" s="43"/>
      <c r="AD10" s="43"/>
      <c r="AE10" s="43"/>
      <c r="AF10" s="43"/>
      <c r="AG10" s="43"/>
      <c r="AH10" s="43"/>
      <c r="AI10" s="43"/>
      <c r="AJ10" s="43"/>
    </row>
    <row r="11">
      <c r="A11" s="46" t="s">
        <v>44</v>
      </c>
      <c r="B11" s="47" t="s">
        <v>186</v>
      </c>
      <c r="C11" s="50">
        <f>COUNTIF(develop!F11:F980,B11)</f>
        <v>1</v>
      </c>
      <c r="D11" s="51" t="s">
        <v>119</v>
      </c>
      <c r="E11" s="47" t="s">
        <v>192</v>
      </c>
      <c r="F11" s="51" t="s">
        <v>193</v>
      </c>
      <c r="G11" s="53" t="str">
        <f t="shared" si="1"/>
        <v>mx-api-bc-dom-correspondence</v>
      </c>
      <c r="H11" s="54" t="str">
        <f t="shared" si="2"/>
        <v>https://anypoint.mulesoft.com/exchange/834f46f4-ef08-4c50-81ae-56f917b413cc/mx-api-bc-dom-correspondence</v>
      </c>
      <c r="I11" s="59" t="s">
        <v>162</v>
      </c>
      <c r="J11" s="57" t="str">
        <f t="shared" si="3"/>
        <v>mx-ms-bc-dom-correspondence-mule</v>
      </c>
      <c r="K11" s="55" t="s">
        <v>58</v>
      </c>
      <c r="L11" s="57" t="str">
        <f>IFERROR(__xludf.DUMMYFUNCTION("REGEXREPLACE(REGEXREPLACE(REGEXREPLACE(J11, ""mx-ms-bc-"", """"), ""-mule"", ""-api-dev""), ""-apigee"", ""-api-dev"")"),"dom-correspondence-api-dev")</f>
        <v>dom-correspondence-api-dev</v>
      </c>
      <c r="M11" s="57" t="str">
        <f t="shared" si="4"/>
        <v>dom-correspondence-api-dev</v>
      </c>
      <c r="N11" s="55" t="str">
        <f t="shared" si="5"/>
        <v>Valid</v>
      </c>
      <c r="O11" s="59">
        <f t="shared" si="6"/>
        <v>26</v>
      </c>
      <c r="P11" s="59"/>
      <c r="Q11" s="59"/>
      <c r="R11" s="60"/>
      <c r="S11" s="60"/>
      <c r="T11" s="60"/>
      <c r="U11" s="60"/>
      <c r="V11" s="60"/>
      <c r="W11" s="60"/>
      <c r="X11" s="60"/>
      <c r="Y11" s="60"/>
      <c r="Z11" s="60"/>
      <c r="AA11" s="60"/>
      <c r="AB11" s="60"/>
      <c r="AC11" s="60"/>
      <c r="AD11" s="60"/>
      <c r="AE11" s="60"/>
      <c r="AF11" s="60"/>
      <c r="AG11" s="60"/>
      <c r="AH11" s="60"/>
      <c r="AI11" s="60"/>
      <c r="AJ11" s="60"/>
    </row>
    <row r="12">
      <c r="A12" s="27" t="s">
        <v>44</v>
      </c>
      <c r="B12" s="28" t="s">
        <v>202</v>
      </c>
      <c r="C12" s="33">
        <f>COUNTIF(develop!F12:F980,B12)</f>
        <v>15</v>
      </c>
      <c r="D12" s="34" t="s">
        <v>119</v>
      </c>
      <c r="E12" s="28" t="s">
        <v>206</v>
      </c>
      <c r="F12" s="34" t="s">
        <v>207</v>
      </c>
      <c r="G12" s="35" t="str">
        <f t="shared" si="1"/>
        <v>mx-api-bc-dom-counterparty-risk</v>
      </c>
      <c r="H12" s="37" t="str">
        <f t="shared" si="2"/>
        <v>https://anypoint.mulesoft.com/exchange/834f46f4-ef08-4c50-81ae-56f917b413cc/mx-api-bc-dom-counterparty-risk</v>
      </c>
      <c r="I12" s="42" t="s">
        <v>134</v>
      </c>
      <c r="J12" s="41" t="str">
        <f t="shared" si="3"/>
        <v>mx-ms-bc-dom-counterparty-risk-mule</v>
      </c>
      <c r="K12" s="39" t="s">
        <v>58</v>
      </c>
      <c r="L12" s="41" t="str">
        <f>IFERROR(__xludf.DUMMYFUNCTION("REGEXREPLACE(REGEXREPLACE(REGEXREPLACE(J12, ""mx-ms-bc-"", """"), ""-mule"", ""-api-dev""), ""-apigee"", ""-api-dev"")"),"dom-counterparty-risk-api-dev")</f>
        <v>dom-counterparty-risk-api-dev</v>
      </c>
      <c r="M12" s="41" t="str">
        <f t="shared" si="4"/>
        <v>dom-counterparty-risk-api-dev</v>
      </c>
      <c r="N12" s="39" t="str">
        <f t="shared" si="5"/>
        <v>Valid</v>
      </c>
      <c r="O12" s="42">
        <f t="shared" si="6"/>
        <v>29</v>
      </c>
      <c r="P12" s="42"/>
      <c r="Q12" s="42"/>
      <c r="R12" s="43"/>
      <c r="S12" s="43"/>
      <c r="T12" s="43"/>
      <c r="U12" s="43"/>
      <c r="V12" s="43"/>
      <c r="W12" s="43"/>
      <c r="X12" s="43"/>
      <c r="Y12" s="43"/>
      <c r="Z12" s="43"/>
      <c r="AA12" s="43"/>
      <c r="AB12" s="43"/>
      <c r="AC12" s="43"/>
      <c r="AD12" s="43"/>
      <c r="AE12" s="43"/>
      <c r="AF12" s="43"/>
      <c r="AG12" s="43"/>
      <c r="AH12" s="43"/>
      <c r="AI12" s="43"/>
      <c r="AJ12" s="43"/>
    </row>
    <row r="13">
      <c r="A13" s="46" t="s">
        <v>44</v>
      </c>
      <c r="B13" s="47" t="s">
        <v>218</v>
      </c>
      <c r="C13" s="50">
        <f>COUNTIF(develop!F13:F980,B13)</f>
        <v>55</v>
      </c>
      <c r="D13" s="51" t="s">
        <v>119</v>
      </c>
      <c r="E13" s="47" t="s">
        <v>220</v>
      </c>
      <c r="F13" s="51" t="s">
        <v>221</v>
      </c>
      <c r="G13" s="53" t="str">
        <f t="shared" si="1"/>
        <v>mx-api-bc-dom-credit-card</v>
      </c>
      <c r="H13" s="54" t="str">
        <f t="shared" si="2"/>
        <v>https://anypoint.mulesoft.com/exchange/834f46f4-ef08-4c50-81ae-56f917b413cc/mx-api-bc-dom-credit-card</v>
      </c>
      <c r="I13" s="59" t="s">
        <v>225</v>
      </c>
      <c r="J13" s="57" t="s">
        <v>226</v>
      </c>
      <c r="K13" s="55" t="s">
        <v>58</v>
      </c>
      <c r="L13" s="76" t="s">
        <v>229</v>
      </c>
      <c r="M13" s="57" t="str">
        <f t="shared" si="4"/>
        <v>dom-credit-card-api-dev</v>
      </c>
      <c r="N13" s="55" t="str">
        <f t="shared" si="5"/>
        <v>Valid</v>
      </c>
      <c r="O13" s="59">
        <f t="shared" si="6"/>
        <v>23</v>
      </c>
      <c r="P13" s="59"/>
      <c r="Q13" s="59"/>
      <c r="R13" s="60"/>
      <c r="S13" s="60"/>
      <c r="T13" s="60"/>
      <c r="U13" s="60"/>
      <c r="V13" s="60"/>
      <c r="W13" s="60"/>
      <c r="X13" s="60"/>
      <c r="Y13" s="60"/>
      <c r="Z13" s="60"/>
      <c r="AA13" s="60"/>
      <c r="AB13" s="60"/>
      <c r="AC13" s="60"/>
      <c r="AD13" s="60"/>
      <c r="AE13" s="60"/>
      <c r="AF13" s="60"/>
      <c r="AG13" s="60"/>
      <c r="AH13" s="60"/>
      <c r="AI13" s="60"/>
      <c r="AJ13" s="60"/>
    </row>
    <row r="14">
      <c r="A14" s="27" t="s">
        <v>44</v>
      </c>
      <c r="B14" s="28" t="s">
        <v>237</v>
      </c>
      <c r="C14" s="33">
        <f>COUNTIF(develop!F14:F980,B14)</f>
        <v>5</v>
      </c>
      <c r="D14" s="34" t="s">
        <v>119</v>
      </c>
      <c r="E14" s="28" t="s">
        <v>239</v>
      </c>
      <c r="F14" s="34" t="s">
        <v>240</v>
      </c>
      <c r="G14" s="35" t="str">
        <f t="shared" si="1"/>
        <v>mx-api-bc-dom-credit-card-position-keeping</v>
      </c>
      <c r="H14" s="37" t="str">
        <f t="shared" si="2"/>
        <v>https://anypoint.mulesoft.com/exchange/834f46f4-ef08-4c50-81ae-56f917b413cc/mx-api-bc-dom-credit-card-position-keeping</v>
      </c>
      <c r="I14" s="42" t="s">
        <v>241</v>
      </c>
      <c r="J14" s="41" t="str">
        <f t="shared" ref="J14:J42" si="7">obtenerRepoMS(E14)</f>
        <v>mx-ms-bc-dom-credit-card-position-keeping-mule</v>
      </c>
      <c r="K14" s="39" t="s">
        <v>58</v>
      </c>
      <c r="L14" s="77" t="s">
        <v>243</v>
      </c>
      <c r="M14" s="41" t="str">
        <f t="shared" si="4"/>
        <v>dom-credit-card-position-keeping-api-dev</v>
      </c>
      <c r="N14" s="39" t="str">
        <f t="shared" si="5"/>
        <v>Valid</v>
      </c>
      <c r="O14" s="42">
        <f t="shared" si="6"/>
        <v>40</v>
      </c>
      <c r="P14" s="42"/>
      <c r="Q14" s="42"/>
      <c r="R14" s="43"/>
      <c r="S14" s="43"/>
      <c r="T14" s="43"/>
      <c r="U14" s="43"/>
      <c r="V14" s="43"/>
      <c r="W14" s="43"/>
      <c r="X14" s="43"/>
      <c r="Y14" s="43"/>
      <c r="Z14" s="43"/>
      <c r="AA14" s="43"/>
      <c r="AB14" s="43"/>
      <c r="AC14" s="43"/>
      <c r="AD14" s="43"/>
      <c r="AE14" s="43"/>
      <c r="AF14" s="43"/>
      <c r="AG14" s="43"/>
      <c r="AH14" s="43"/>
      <c r="AI14" s="43"/>
      <c r="AJ14" s="43"/>
    </row>
    <row r="15">
      <c r="A15" s="46" t="s">
        <v>44</v>
      </c>
      <c r="B15" s="47" t="s">
        <v>250</v>
      </c>
      <c r="C15" s="50">
        <f>COUNTIF(develop!F15:F980,B15)</f>
        <v>2</v>
      </c>
      <c r="D15" s="51" t="s">
        <v>119</v>
      </c>
      <c r="E15" s="47" t="s">
        <v>251</v>
      </c>
      <c r="F15" s="51" t="s">
        <v>254</v>
      </c>
      <c r="G15" s="53" t="str">
        <f t="shared" si="1"/>
        <v>mx-api-bc-dom-credit-facility</v>
      </c>
      <c r="H15" s="54" t="str">
        <f t="shared" si="2"/>
        <v>https://anypoint.mulesoft.com/exchange/834f46f4-ef08-4c50-81ae-56f917b413cc/mx-api-bc-dom-credit-facility</v>
      </c>
      <c r="I15" s="59" t="s">
        <v>255</v>
      </c>
      <c r="J15" s="57" t="str">
        <f t="shared" si="7"/>
        <v>mx-ms-bc-dom-credit-facility-mule</v>
      </c>
      <c r="K15" s="55" t="s">
        <v>58</v>
      </c>
      <c r="L15" s="57" t="str">
        <f>IFERROR(__xludf.DUMMYFUNCTION("REGEXREPLACE(REGEXREPLACE(REGEXREPLACE(J15, ""mx-ms-bc-"", """"), ""-mule"", ""-api-dev""), ""-apigee"", ""-api-dev"")"),"dom-credit-facility-api-dev")</f>
        <v>dom-credit-facility-api-dev</v>
      </c>
      <c r="M15" s="57" t="str">
        <f t="shared" si="4"/>
        <v>dom-credit-facility-api-dev</v>
      </c>
      <c r="N15" s="55" t="str">
        <f t="shared" si="5"/>
        <v>Valid</v>
      </c>
      <c r="O15" s="59">
        <f t="shared" si="6"/>
        <v>27</v>
      </c>
      <c r="P15" s="59"/>
      <c r="Q15" s="59"/>
      <c r="R15" s="60"/>
      <c r="S15" s="60"/>
      <c r="T15" s="60"/>
      <c r="U15" s="60"/>
      <c r="V15" s="60"/>
      <c r="W15" s="60"/>
      <c r="X15" s="60"/>
      <c r="Y15" s="60"/>
      <c r="Z15" s="60"/>
      <c r="AA15" s="60"/>
      <c r="AB15" s="60"/>
      <c r="AC15" s="60"/>
      <c r="AD15" s="60"/>
      <c r="AE15" s="60"/>
      <c r="AF15" s="60"/>
      <c r="AG15" s="60"/>
      <c r="AH15" s="60"/>
      <c r="AI15" s="60"/>
      <c r="AJ15" s="60"/>
    </row>
    <row r="16">
      <c r="A16" s="27" t="s">
        <v>44</v>
      </c>
      <c r="B16" s="28" t="s">
        <v>261</v>
      </c>
      <c r="C16" s="33">
        <f>COUNTIF(develop!F16:F980,B16)</f>
        <v>1</v>
      </c>
      <c r="D16" s="34" t="s">
        <v>119</v>
      </c>
      <c r="E16" s="28" t="s">
        <v>264</v>
      </c>
      <c r="F16" s="34" t="s">
        <v>266</v>
      </c>
      <c r="G16" s="35" t="str">
        <f t="shared" si="1"/>
        <v>mx-api-bc-dom-currency-exchange</v>
      </c>
      <c r="H16" s="37" t="str">
        <f t="shared" si="2"/>
        <v>https://anypoint.mulesoft.com/exchange/834f46f4-ef08-4c50-81ae-56f917b413cc/mx-api-bc-dom-currency-exchange</v>
      </c>
      <c r="I16" s="42" t="s">
        <v>162</v>
      </c>
      <c r="J16" s="41" t="str">
        <f t="shared" si="7"/>
        <v>mx-ms-bc-dom-currency-exchange-mule</v>
      </c>
      <c r="K16" s="39" t="s">
        <v>58</v>
      </c>
      <c r="L16" s="41" t="str">
        <f>IFERROR(__xludf.DUMMYFUNCTION("REGEXREPLACE(REGEXREPLACE(REGEXREPLACE(J16, ""mx-ms-bc-"", """"), ""-mule"", ""-api-dev""), ""-apigee"", ""-api-dev"")"),"dom-currency-exchange-api-dev")</f>
        <v>dom-currency-exchange-api-dev</v>
      </c>
      <c r="M16" s="41" t="str">
        <f t="shared" si="4"/>
        <v>dom-currency-exchange-api-dev</v>
      </c>
      <c r="N16" s="39" t="str">
        <f t="shared" si="5"/>
        <v>Valid</v>
      </c>
      <c r="O16" s="42">
        <f t="shared" si="6"/>
        <v>29</v>
      </c>
      <c r="P16" s="42"/>
      <c r="Q16" s="42"/>
      <c r="R16" s="43"/>
      <c r="S16" s="43"/>
      <c r="T16" s="43"/>
      <c r="U16" s="43"/>
      <c r="V16" s="43"/>
      <c r="W16" s="43"/>
      <c r="X16" s="43"/>
      <c r="Y16" s="43"/>
      <c r="Z16" s="43"/>
      <c r="AA16" s="43"/>
      <c r="AB16" s="43"/>
      <c r="AC16" s="43"/>
      <c r="AD16" s="43"/>
      <c r="AE16" s="43"/>
      <c r="AF16" s="43"/>
      <c r="AG16" s="43"/>
      <c r="AH16" s="43"/>
      <c r="AI16" s="43"/>
      <c r="AJ16" s="43"/>
    </row>
    <row r="17">
      <c r="A17" s="46" t="s">
        <v>44</v>
      </c>
      <c r="B17" s="47" t="s">
        <v>279</v>
      </c>
      <c r="C17" s="50">
        <f>COUNTIF(develop!F17:F980,B17)</f>
        <v>1</v>
      </c>
      <c r="D17" s="51" t="s">
        <v>119</v>
      </c>
      <c r="E17" s="47" t="s">
        <v>280</v>
      </c>
      <c r="F17" s="51" t="s">
        <v>282</v>
      </c>
      <c r="G17" s="53" t="str">
        <f t="shared" si="1"/>
        <v>mx-api-bc-dom-current-account</v>
      </c>
      <c r="H17" s="54" t="str">
        <f t="shared" si="2"/>
        <v>https://anypoint.mulesoft.com/exchange/834f46f4-ef08-4c50-81ae-56f917b413cc/mx-api-bc-dom-current-account</v>
      </c>
      <c r="I17" s="59" t="s">
        <v>162</v>
      </c>
      <c r="J17" s="57" t="str">
        <f t="shared" si="7"/>
        <v>mx-ms-bc-dom-current-account-mule</v>
      </c>
      <c r="K17" s="55" t="s">
        <v>58</v>
      </c>
      <c r="L17" s="57" t="str">
        <f>IFERROR(__xludf.DUMMYFUNCTION("REGEXREPLACE(REGEXREPLACE(REGEXREPLACE(J17, ""mx-ms-bc-"", """"), ""-mule"", ""-api-dev""), ""-apigee"", ""-api-dev"")"),"dom-current-account-api-dev")</f>
        <v>dom-current-account-api-dev</v>
      </c>
      <c r="M17" s="57" t="str">
        <f t="shared" si="4"/>
        <v>dom-current-account-api-dev</v>
      </c>
      <c r="N17" s="55" t="str">
        <f t="shared" si="5"/>
        <v>Valid</v>
      </c>
      <c r="O17" s="59">
        <f t="shared" si="6"/>
        <v>27</v>
      </c>
      <c r="P17" s="59"/>
      <c r="Q17" s="59"/>
      <c r="R17" s="60"/>
      <c r="S17" s="60"/>
      <c r="T17" s="60"/>
      <c r="U17" s="60"/>
      <c r="V17" s="60"/>
      <c r="W17" s="60"/>
      <c r="X17" s="60"/>
      <c r="Y17" s="60"/>
      <c r="Z17" s="60"/>
      <c r="AA17" s="60"/>
      <c r="AB17" s="60"/>
      <c r="AC17" s="60"/>
      <c r="AD17" s="60"/>
      <c r="AE17" s="60"/>
      <c r="AF17" s="60"/>
      <c r="AG17" s="60"/>
      <c r="AH17" s="60"/>
      <c r="AI17" s="60"/>
      <c r="AJ17" s="60"/>
    </row>
    <row r="18">
      <c r="A18" s="27" t="s">
        <v>44</v>
      </c>
      <c r="B18" s="28" t="s">
        <v>294</v>
      </c>
      <c r="C18" s="33">
        <f>COUNTIF(develop!F18:F980,B18)</f>
        <v>2</v>
      </c>
      <c r="D18" s="34" t="s">
        <v>119</v>
      </c>
      <c r="E18" s="28" t="s">
        <v>296</v>
      </c>
      <c r="F18" s="34" t="s">
        <v>297</v>
      </c>
      <c r="G18" s="35" t="str">
        <f t="shared" si="1"/>
        <v>mx-api-bc-dom-customer-access-entitlement</v>
      </c>
      <c r="H18" s="37" t="str">
        <f t="shared" si="2"/>
        <v>https://anypoint.mulesoft.com/exchange/834f46f4-ef08-4c50-81ae-56f917b413cc/mx-api-bc-dom-customer-access-entitlement</v>
      </c>
      <c r="I18" s="42" t="s">
        <v>299</v>
      </c>
      <c r="J18" s="41" t="str">
        <f t="shared" si="7"/>
        <v>mx-ms-bc-dom-customer-access-entitlement-mule</v>
      </c>
      <c r="K18" s="39" t="s">
        <v>58</v>
      </c>
      <c r="L18" s="41" t="str">
        <f>IFERROR(__xludf.DUMMYFUNCTION("REGEXREPLACE(REGEXREPLACE(REGEXREPLACE(J18, ""mx-ms-bc-"", """"), ""-mule"", ""-api-dev""), ""-apigee"", ""-api-dev"")"),"dom-customer-access-entitlement-api-dev")</f>
        <v>dom-customer-access-entitlement-api-dev</v>
      </c>
      <c r="M18" s="41" t="str">
        <f t="shared" si="4"/>
        <v>dom-customer-access-entitlement-api-dev</v>
      </c>
      <c r="N18" s="39" t="str">
        <f t="shared" si="5"/>
        <v>Valid</v>
      </c>
      <c r="O18" s="42">
        <f t="shared" si="6"/>
        <v>39</v>
      </c>
      <c r="P18" s="42"/>
      <c r="Q18" s="42"/>
      <c r="R18" s="43"/>
      <c r="S18" s="43"/>
      <c r="T18" s="43"/>
      <c r="U18" s="43"/>
      <c r="V18" s="43"/>
      <c r="W18" s="43"/>
      <c r="X18" s="43"/>
      <c r="Y18" s="43"/>
      <c r="Z18" s="43"/>
      <c r="AA18" s="43"/>
      <c r="AB18" s="43"/>
      <c r="AC18" s="43"/>
      <c r="AD18" s="43"/>
      <c r="AE18" s="43"/>
      <c r="AF18" s="43"/>
      <c r="AG18" s="43"/>
      <c r="AH18" s="43"/>
      <c r="AI18" s="43"/>
      <c r="AJ18" s="43"/>
    </row>
    <row r="19">
      <c r="A19" s="46" t="s">
        <v>44</v>
      </c>
      <c r="B19" s="47" t="s">
        <v>311</v>
      </c>
      <c r="C19" s="50">
        <f>COUNTIF(develop!F19:F980,B19)</f>
        <v>6</v>
      </c>
      <c r="D19" s="51" t="s">
        <v>119</v>
      </c>
      <c r="E19" s="47" t="s">
        <v>312</v>
      </c>
      <c r="F19" s="51" t="s">
        <v>314</v>
      </c>
      <c r="G19" s="53" t="str">
        <f t="shared" si="1"/>
        <v>mx-api-bc-dom-customer-agreement</v>
      </c>
      <c r="H19" s="54" t="str">
        <f t="shared" si="2"/>
        <v>https://anypoint.mulesoft.com/exchange/834f46f4-ef08-4c50-81ae-56f917b413cc/mx-api-bc-dom-customer-agreement</v>
      </c>
      <c r="I19" s="59" t="s">
        <v>57</v>
      </c>
      <c r="J19" s="57" t="str">
        <f t="shared" si="7"/>
        <v>mx-ms-bc-dom-customer-agreement-mule</v>
      </c>
      <c r="K19" s="55" t="s">
        <v>58</v>
      </c>
      <c r="L19" s="76" t="s">
        <v>317</v>
      </c>
      <c r="M19" s="57" t="str">
        <f t="shared" si="4"/>
        <v>dom-customer-agreement-api-dev</v>
      </c>
      <c r="N19" s="55" t="str">
        <f t="shared" si="5"/>
        <v>Valid</v>
      </c>
      <c r="O19" s="59">
        <f t="shared" si="6"/>
        <v>30</v>
      </c>
      <c r="P19" s="59"/>
      <c r="Q19" s="59"/>
      <c r="R19" s="60"/>
      <c r="S19" s="60"/>
      <c r="T19" s="60"/>
      <c r="U19" s="60"/>
      <c r="V19" s="60"/>
      <c r="W19" s="60"/>
      <c r="X19" s="60"/>
      <c r="Y19" s="60"/>
      <c r="Z19" s="60"/>
      <c r="AA19" s="60"/>
      <c r="AB19" s="60"/>
      <c r="AC19" s="60"/>
      <c r="AD19" s="60"/>
      <c r="AE19" s="60"/>
      <c r="AF19" s="60"/>
      <c r="AG19" s="60"/>
      <c r="AH19" s="60"/>
      <c r="AI19" s="60"/>
      <c r="AJ19" s="60"/>
    </row>
    <row r="20">
      <c r="A20" s="27" t="s">
        <v>44</v>
      </c>
      <c r="B20" s="28" t="s">
        <v>325</v>
      </c>
      <c r="C20" s="33">
        <f>COUNTIF(develop!F20:F980,B20)</f>
        <v>17</v>
      </c>
      <c r="D20" s="34" t="s">
        <v>119</v>
      </c>
      <c r="E20" s="67" t="s">
        <v>329</v>
      </c>
      <c r="F20" s="34" t="s">
        <v>331</v>
      </c>
      <c r="G20" s="35" t="str">
        <f t="shared" si="1"/>
        <v>mx-api-bc-dom-customer-credit-rating</v>
      </c>
      <c r="H20" s="37" t="str">
        <f t="shared" si="2"/>
        <v>https://anypoint.mulesoft.com/exchange/834f46f4-ef08-4c50-81ae-56f917b413cc/mx-api-bc-dom-customer-credit-rating</v>
      </c>
      <c r="I20" s="42" t="s">
        <v>333</v>
      </c>
      <c r="J20" s="41" t="str">
        <f t="shared" si="7"/>
        <v>mx-ms-bc-dom-customer-credit-rating-mule</v>
      </c>
      <c r="K20" s="39" t="s">
        <v>58</v>
      </c>
      <c r="L20" s="41" t="str">
        <f>IFERROR(__xludf.DUMMYFUNCTION("REGEXREPLACE(REGEXREPLACE(REGEXREPLACE(J20, ""mx-ms-bc-"", """"), ""-mule"", ""-api-dev""), ""-apigee"", ""-api-dev"")"),"dom-customer-credit-rating-api-dev")</f>
        <v>dom-customer-credit-rating-api-dev</v>
      </c>
      <c r="M20" s="41" t="str">
        <f t="shared" si="4"/>
        <v>dom-customer-credit-rating-api-dev</v>
      </c>
      <c r="N20" s="39" t="str">
        <f t="shared" si="5"/>
        <v>Valid</v>
      </c>
      <c r="O20" s="42">
        <f t="shared" si="6"/>
        <v>34</v>
      </c>
      <c r="P20" s="42"/>
      <c r="Q20" s="42"/>
      <c r="R20" s="43"/>
      <c r="S20" s="43"/>
      <c r="T20" s="43"/>
      <c r="U20" s="43"/>
      <c r="V20" s="43"/>
      <c r="W20" s="43"/>
      <c r="X20" s="43"/>
      <c r="Y20" s="43"/>
      <c r="Z20" s="43"/>
      <c r="AA20" s="43"/>
      <c r="AB20" s="43"/>
      <c r="AC20" s="43"/>
      <c r="AD20" s="43"/>
      <c r="AE20" s="43"/>
      <c r="AF20" s="43"/>
      <c r="AG20" s="43"/>
      <c r="AH20" s="43"/>
      <c r="AI20" s="43"/>
      <c r="AJ20" s="43"/>
    </row>
    <row r="21">
      <c r="A21" s="46" t="s">
        <v>44</v>
      </c>
      <c r="B21" s="47" t="s">
        <v>340</v>
      </c>
      <c r="C21" s="50">
        <f>COUNTIF(develop!F21:F980,B21)</f>
        <v>4</v>
      </c>
      <c r="D21" s="51" t="s">
        <v>119</v>
      </c>
      <c r="E21" s="47" t="s">
        <v>344</v>
      </c>
      <c r="F21" s="51" t="s">
        <v>345</v>
      </c>
      <c r="G21" s="53" t="str">
        <f t="shared" si="1"/>
        <v>mx-api-bc-dom-customer-offer</v>
      </c>
      <c r="H21" s="54" t="str">
        <f t="shared" si="2"/>
        <v>https://anypoint.mulesoft.com/exchange/834f46f4-ef08-4c50-81ae-56f917b413cc/mx-api-bc-dom-customer-offer</v>
      </c>
      <c r="I21" s="59" t="s">
        <v>162</v>
      </c>
      <c r="J21" s="57" t="str">
        <f t="shared" si="7"/>
        <v>mx-ms-bc-dom-customer-offer-mule</v>
      </c>
      <c r="K21" s="55" t="s">
        <v>58</v>
      </c>
      <c r="L21" s="57" t="str">
        <f>IFERROR(__xludf.DUMMYFUNCTION("REGEXREPLACE(REGEXREPLACE(REGEXREPLACE(J21, ""mx-ms-bc-"", """"), ""-mule"", ""-api-dev""), ""-apigee"", ""-api-dev"")"),"dom-customer-offer-api-dev")</f>
        <v>dom-customer-offer-api-dev</v>
      </c>
      <c r="M21" s="57" t="str">
        <f t="shared" si="4"/>
        <v>dom-customer-offer-api-dev</v>
      </c>
      <c r="N21" s="55" t="str">
        <f t="shared" si="5"/>
        <v>Valid</v>
      </c>
      <c r="O21" s="59">
        <f t="shared" si="6"/>
        <v>26</v>
      </c>
      <c r="P21" s="59"/>
      <c r="Q21" s="59"/>
      <c r="R21" s="60"/>
      <c r="S21" s="60"/>
      <c r="T21" s="60"/>
      <c r="U21" s="60"/>
      <c r="V21" s="60"/>
      <c r="W21" s="60"/>
      <c r="X21" s="60"/>
      <c r="Y21" s="60"/>
      <c r="Z21" s="60"/>
      <c r="AA21" s="60"/>
      <c r="AB21" s="60"/>
      <c r="AC21" s="60"/>
      <c r="AD21" s="60"/>
      <c r="AE21" s="60"/>
      <c r="AF21" s="60"/>
      <c r="AG21" s="60"/>
      <c r="AH21" s="60"/>
      <c r="AI21" s="60"/>
      <c r="AJ21" s="60"/>
    </row>
    <row r="22">
      <c r="A22" s="27" t="s">
        <v>44</v>
      </c>
      <c r="B22" s="28" t="s">
        <v>358</v>
      </c>
      <c r="C22" s="33">
        <f>COUNTIF(develop!F22:F980,B22)</f>
        <v>5</v>
      </c>
      <c r="D22" s="34" t="s">
        <v>119</v>
      </c>
      <c r="E22" s="28" t="s">
        <v>364</v>
      </c>
      <c r="F22" s="34" t="s">
        <v>366</v>
      </c>
      <c r="G22" s="35" t="str">
        <f t="shared" si="1"/>
        <v>mx-api-bc-dom-customer-position</v>
      </c>
      <c r="H22" s="37" t="str">
        <f t="shared" si="2"/>
        <v>https://anypoint.mulesoft.com/exchange/834f46f4-ef08-4c50-81ae-56f917b413cc/mx-api-bc-dom-customer-position</v>
      </c>
      <c r="I22" s="42" t="s">
        <v>57</v>
      </c>
      <c r="J22" s="41" t="str">
        <f t="shared" si="7"/>
        <v>mx-ms-bc-dom-customer-position-mule</v>
      </c>
      <c r="K22" s="39" t="s">
        <v>58</v>
      </c>
      <c r="L22" s="77" t="s">
        <v>367</v>
      </c>
      <c r="M22" s="41" t="str">
        <f t="shared" si="4"/>
        <v>dom-customer-position-api-dev</v>
      </c>
      <c r="N22" s="39" t="str">
        <f t="shared" si="5"/>
        <v>Valid</v>
      </c>
      <c r="O22" s="42">
        <f t="shared" si="6"/>
        <v>29</v>
      </c>
      <c r="P22" s="42"/>
      <c r="Q22" s="42"/>
      <c r="R22" s="43"/>
      <c r="S22" s="43"/>
      <c r="T22" s="43"/>
      <c r="U22" s="43"/>
      <c r="V22" s="43"/>
      <c r="W22" s="43"/>
      <c r="X22" s="43"/>
      <c r="Y22" s="43"/>
      <c r="Z22" s="43"/>
      <c r="AA22" s="43"/>
      <c r="AB22" s="43"/>
      <c r="AC22" s="43"/>
      <c r="AD22" s="43"/>
      <c r="AE22" s="43"/>
      <c r="AF22" s="43"/>
      <c r="AG22" s="43"/>
      <c r="AH22" s="43"/>
      <c r="AI22" s="43"/>
      <c r="AJ22" s="43"/>
    </row>
    <row r="23">
      <c r="A23" s="46" t="s">
        <v>44</v>
      </c>
      <c r="B23" s="47" t="s">
        <v>375</v>
      </c>
      <c r="C23" s="50">
        <f>COUNTIF(develop!F23:F980,B23)</f>
        <v>4</v>
      </c>
      <c r="D23" s="51" t="s">
        <v>119</v>
      </c>
      <c r="E23" s="47" t="s">
        <v>377</v>
      </c>
      <c r="F23" s="51" t="s">
        <v>378</v>
      </c>
      <c r="G23" s="53" t="str">
        <f t="shared" si="1"/>
        <v>mx-api-bc-dom-customer-product-and-service-eligibility</v>
      </c>
      <c r="H23" s="54" t="str">
        <f t="shared" si="2"/>
        <v>https://anypoint.mulesoft.com/exchange/834f46f4-ef08-4c50-81ae-56f917b413cc/mx-api-bc-dom-customer-product-and-service-eligibility</v>
      </c>
      <c r="I23" s="59" t="s">
        <v>122</v>
      </c>
      <c r="J23" s="57" t="str">
        <f t="shared" si="7"/>
        <v>mx-ms-bc-dom-customer-product-and-service-eligibility-mule</v>
      </c>
      <c r="K23" s="55" t="s">
        <v>58</v>
      </c>
      <c r="L23" s="76" t="s">
        <v>380</v>
      </c>
      <c r="M23" s="76" t="s">
        <v>380</v>
      </c>
      <c r="N23" s="55" t="str">
        <f t="shared" si="5"/>
        <v>Valid</v>
      </c>
      <c r="O23" s="59">
        <f t="shared" si="6"/>
        <v>30</v>
      </c>
      <c r="P23" s="59"/>
      <c r="Q23" s="59"/>
      <c r="R23" s="60"/>
      <c r="S23" s="60"/>
      <c r="T23" s="60"/>
      <c r="U23" s="60"/>
      <c r="V23" s="60"/>
      <c r="W23" s="60"/>
      <c r="X23" s="60"/>
      <c r="Y23" s="60"/>
      <c r="Z23" s="60"/>
      <c r="AA23" s="60"/>
      <c r="AB23" s="60"/>
      <c r="AC23" s="60"/>
      <c r="AD23" s="60"/>
      <c r="AE23" s="60"/>
      <c r="AF23" s="60"/>
      <c r="AG23" s="60"/>
      <c r="AH23" s="60"/>
      <c r="AI23" s="60"/>
      <c r="AJ23" s="60"/>
    </row>
    <row r="24">
      <c r="A24" s="27" t="s">
        <v>44</v>
      </c>
      <c r="B24" s="67" t="s">
        <v>388</v>
      </c>
      <c r="C24" s="33">
        <f>COUNTIF(develop!F24:F980,B24)</f>
        <v>16</v>
      </c>
      <c r="D24" s="34" t="s">
        <v>119</v>
      </c>
      <c r="E24" s="28" t="s">
        <v>389</v>
      </c>
      <c r="F24" s="34" t="s">
        <v>391</v>
      </c>
      <c r="G24" s="35" t="str">
        <f t="shared" si="1"/>
        <v>mx-api-bc-dom-customer-products-and-services</v>
      </c>
      <c r="H24" s="37" t="str">
        <f t="shared" si="2"/>
        <v>https://anypoint.mulesoft.com/exchange/834f46f4-ef08-4c50-81ae-56f917b413cc/mx-api-bc-dom-customer-products-and-services</v>
      </c>
      <c r="I24" s="42" t="s">
        <v>255</v>
      </c>
      <c r="J24" s="41" t="str">
        <f t="shared" si="7"/>
        <v>mx-ms-bc-dom-customer-products-and-services-mule</v>
      </c>
      <c r="K24" s="39" t="s">
        <v>58</v>
      </c>
      <c r="L24" s="77" t="s">
        <v>394</v>
      </c>
      <c r="M24" s="41" t="str">
        <f>generarNombreDeploy(J24)</f>
        <v>dom-customer-products-and-services-api-dev</v>
      </c>
      <c r="N24" s="39" t="str">
        <f t="shared" si="5"/>
        <v>Valid</v>
      </c>
      <c r="O24" s="42">
        <f t="shared" si="6"/>
        <v>42</v>
      </c>
      <c r="P24" s="42"/>
      <c r="Q24" s="42"/>
      <c r="R24" s="43"/>
      <c r="S24" s="43"/>
      <c r="T24" s="43"/>
      <c r="U24" s="43"/>
      <c r="V24" s="43"/>
      <c r="W24" s="43"/>
      <c r="X24" s="43"/>
      <c r="Y24" s="43"/>
      <c r="Z24" s="43"/>
      <c r="AA24" s="43"/>
      <c r="AB24" s="43"/>
      <c r="AC24" s="43"/>
      <c r="AD24" s="43"/>
      <c r="AE24" s="43"/>
      <c r="AF24" s="43"/>
      <c r="AG24" s="43"/>
      <c r="AH24" s="43"/>
      <c r="AI24" s="43"/>
      <c r="AJ24" s="43"/>
    </row>
    <row r="25">
      <c r="A25" s="46" t="s">
        <v>44</v>
      </c>
      <c r="B25" s="47" t="s">
        <v>403</v>
      </c>
      <c r="C25" s="50">
        <f>COUNTIF(develop!F25:F980,B25)</f>
        <v>3</v>
      </c>
      <c r="D25" s="51" t="s">
        <v>119</v>
      </c>
      <c r="E25" s="47" t="s">
        <v>404</v>
      </c>
      <c r="F25" s="51" t="s">
        <v>406</v>
      </c>
      <c r="G25" s="53" t="str">
        <f t="shared" si="1"/>
        <v>mx-api-bc-dom-customer-relationship-management</v>
      </c>
      <c r="H25" s="54" t="str">
        <f t="shared" si="2"/>
        <v>https://anypoint.mulesoft.com/exchange/834f46f4-ef08-4c50-81ae-56f917b413cc/mx-api-bc-dom-customer-relationship-management</v>
      </c>
      <c r="I25" s="59" t="s">
        <v>122</v>
      </c>
      <c r="J25" s="57" t="str">
        <f t="shared" si="7"/>
        <v>mx-ms-bc-dom-customer-relationship-management-mule</v>
      </c>
      <c r="K25" s="55" t="s">
        <v>58</v>
      </c>
      <c r="L25" s="76" t="s">
        <v>409</v>
      </c>
      <c r="M25" s="76" t="s">
        <v>409</v>
      </c>
      <c r="N25" s="55" t="str">
        <f t="shared" si="5"/>
        <v>Valid</v>
      </c>
      <c r="O25" s="59">
        <f t="shared" si="6"/>
        <v>25</v>
      </c>
      <c r="P25" s="59"/>
      <c r="Q25" s="59"/>
      <c r="R25" s="60"/>
      <c r="S25" s="60"/>
      <c r="T25" s="60"/>
      <c r="U25" s="60"/>
      <c r="V25" s="60"/>
      <c r="W25" s="60"/>
      <c r="X25" s="60"/>
      <c r="Y25" s="60"/>
      <c r="Z25" s="60"/>
      <c r="AA25" s="60"/>
      <c r="AB25" s="60"/>
      <c r="AC25" s="60"/>
      <c r="AD25" s="60"/>
      <c r="AE25" s="60"/>
      <c r="AF25" s="60"/>
      <c r="AG25" s="60"/>
      <c r="AH25" s="60"/>
      <c r="AI25" s="60"/>
      <c r="AJ25" s="60"/>
    </row>
    <row r="26">
      <c r="A26" s="27" t="s">
        <v>44</v>
      </c>
      <c r="B26" s="28" t="s">
        <v>416</v>
      </c>
      <c r="C26" s="33">
        <f>COUNTIF(develop!F26:F980,B26)</f>
        <v>1</v>
      </c>
      <c r="D26" s="34" t="s">
        <v>119</v>
      </c>
      <c r="E26" s="28" t="s">
        <v>419</v>
      </c>
      <c r="F26" s="34" t="s">
        <v>421</v>
      </c>
      <c r="G26" s="35" t="str">
        <f t="shared" si="1"/>
        <v>mx-api-bc-dom-customer-workbench</v>
      </c>
      <c r="H26" s="37" t="str">
        <f t="shared" si="2"/>
        <v>https://anypoint.mulesoft.com/exchange/834f46f4-ef08-4c50-81ae-56f917b413cc/mx-api-bc-dom-customer-workbench</v>
      </c>
      <c r="I26" s="42" t="s">
        <v>162</v>
      </c>
      <c r="J26" s="41" t="str">
        <f t="shared" si="7"/>
        <v>mx-ms-bc-dom-customer-workbench-mule</v>
      </c>
      <c r="K26" s="39" t="s">
        <v>58</v>
      </c>
      <c r="L26" s="77" t="s">
        <v>423</v>
      </c>
      <c r="M26" s="41" t="str">
        <f t="shared" ref="M26:M42" si="8">generarNombreDeploy(J26)</f>
        <v>dom-customer-workbench-api-dev</v>
      </c>
      <c r="N26" s="39" t="str">
        <f t="shared" si="5"/>
        <v>Valid</v>
      </c>
      <c r="O26" s="42">
        <f t="shared" si="6"/>
        <v>30</v>
      </c>
      <c r="P26" s="42"/>
      <c r="Q26" s="42"/>
      <c r="R26" s="43"/>
      <c r="S26" s="43"/>
      <c r="T26" s="43"/>
      <c r="U26" s="43"/>
      <c r="V26" s="43"/>
      <c r="W26" s="43"/>
      <c r="X26" s="43"/>
      <c r="Y26" s="43"/>
      <c r="Z26" s="43"/>
      <c r="AA26" s="43"/>
      <c r="AB26" s="43"/>
      <c r="AC26" s="43"/>
      <c r="AD26" s="43"/>
      <c r="AE26" s="43"/>
      <c r="AF26" s="43"/>
      <c r="AG26" s="43"/>
      <c r="AH26" s="43"/>
      <c r="AI26" s="43"/>
      <c r="AJ26" s="43"/>
    </row>
    <row r="27">
      <c r="A27" s="46" t="s">
        <v>44</v>
      </c>
      <c r="B27" s="47" t="s">
        <v>438</v>
      </c>
      <c r="C27" s="50">
        <f>COUNTIF(develop!F27:F980,B27)</f>
        <v>1</v>
      </c>
      <c r="D27" s="51" t="s">
        <v>119</v>
      </c>
      <c r="E27" s="47" t="s">
        <v>441</v>
      </c>
      <c r="F27" s="51" t="s">
        <v>442</v>
      </c>
      <c r="G27" s="53" t="str">
        <f t="shared" si="1"/>
        <v>mx-api-bc-dom-direct-debit</v>
      </c>
      <c r="H27" s="54" t="str">
        <f t="shared" si="2"/>
        <v>https://anypoint.mulesoft.com/exchange/834f46f4-ef08-4c50-81ae-56f917b413cc/mx-api-bc-dom-direct-debit</v>
      </c>
      <c r="I27" s="59" t="s">
        <v>162</v>
      </c>
      <c r="J27" s="57" t="str">
        <f t="shared" si="7"/>
        <v>mx-ms-bc-dom-direct-debit-mule</v>
      </c>
      <c r="K27" s="55" t="s">
        <v>58</v>
      </c>
      <c r="L27" s="57" t="str">
        <f>IFERROR(__xludf.DUMMYFUNCTION("REGEXREPLACE(REGEXREPLACE(REGEXREPLACE(J27, ""mx-ms-bc-"", """"), ""-mule"", ""-api-dev""), ""-apigee"", ""-api-dev"")"),"dom-direct-debit-api-dev")</f>
        <v>dom-direct-debit-api-dev</v>
      </c>
      <c r="M27" s="57" t="str">
        <f t="shared" si="8"/>
        <v>dom-direct-debit-api-dev</v>
      </c>
      <c r="N27" s="55" t="str">
        <f t="shared" si="5"/>
        <v>Valid</v>
      </c>
      <c r="O27" s="59">
        <f t="shared" si="6"/>
        <v>24</v>
      </c>
      <c r="P27" s="59"/>
      <c r="Q27" s="59"/>
      <c r="R27" s="60"/>
      <c r="S27" s="60"/>
      <c r="T27" s="60"/>
      <c r="U27" s="60"/>
      <c r="V27" s="60"/>
      <c r="W27" s="60"/>
      <c r="X27" s="60"/>
      <c r="Y27" s="60"/>
      <c r="Z27" s="60"/>
      <c r="AA27" s="60"/>
      <c r="AB27" s="60"/>
      <c r="AC27" s="60"/>
      <c r="AD27" s="60"/>
      <c r="AE27" s="60"/>
      <c r="AF27" s="60"/>
      <c r="AG27" s="60"/>
      <c r="AH27" s="60"/>
      <c r="AI27" s="60"/>
      <c r="AJ27" s="60"/>
    </row>
    <row r="28">
      <c r="A28" s="27" t="s">
        <v>44</v>
      </c>
      <c r="B28" s="28" t="s">
        <v>451</v>
      </c>
      <c r="C28" s="33">
        <f>COUNTIF(develop!F28:F980,B28)</f>
        <v>3</v>
      </c>
      <c r="D28" s="34" t="s">
        <v>119</v>
      </c>
      <c r="E28" s="28" t="s">
        <v>452</v>
      </c>
      <c r="F28" s="34" t="s">
        <v>453</v>
      </c>
      <c r="G28" s="35" t="str">
        <f t="shared" si="1"/>
        <v>mx-api-bc-dom-document-directory</v>
      </c>
      <c r="H28" s="37" t="str">
        <f t="shared" si="2"/>
        <v>https://anypoint.mulesoft.com/exchange/834f46f4-ef08-4c50-81ae-56f917b413cc/mx-api-bc-dom-document-directory</v>
      </c>
      <c r="I28" s="42" t="s">
        <v>162</v>
      </c>
      <c r="J28" s="41" t="str">
        <f t="shared" si="7"/>
        <v>mx-ms-bc-dom-document-directory-mule</v>
      </c>
      <c r="K28" s="39" t="s">
        <v>58</v>
      </c>
      <c r="L28" s="41" t="str">
        <f>IFERROR(__xludf.DUMMYFUNCTION("REGEXREPLACE(REGEXREPLACE(REGEXREPLACE(J28, ""mx-ms-bc-"", """"), ""-mule"", ""-api-dev""), ""-apigee"", ""-api-dev"")"),"dom-document-directory-api-dev")</f>
        <v>dom-document-directory-api-dev</v>
      </c>
      <c r="M28" s="41" t="str">
        <f t="shared" si="8"/>
        <v>dom-document-directory-api-dev</v>
      </c>
      <c r="N28" s="39" t="str">
        <f t="shared" si="5"/>
        <v>Valid</v>
      </c>
      <c r="O28" s="42">
        <f t="shared" si="6"/>
        <v>30</v>
      </c>
      <c r="P28" s="42"/>
      <c r="Q28" s="42"/>
      <c r="R28" s="43"/>
      <c r="S28" s="43"/>
      <c r="T28" s="43"/>
      <c r="U28" s="43"/>
      <c r="V28" s="43"/>
      <c r="W28" s="43"/>
      <c r="X28" s="43"/>
      <c r="Y28" s="43"/>
      <c r="Z28" s="43"/>
      <c r="AA28" s="43"/>
      <c r="AB28" s="43"/>
      <c r="AC28" s="43"/>
      <c r="AD28" s="43"/>
      <c r="AE28" s="43"/>
      <c r="AF28" s="43"/>
      <c r="AG28" s="43"/>
      <c r="AH28" s="43"/>
      <c r="AI28" s="43"/>
      <c r="AJ28" s="43"/>
    </row>
    <row r="29">
      <c r="A29" s="46" t="s">
        <v>44</v>
      </c>
      <c r="B29" s="47" t="s">
        <v>462</v>
      </c>
      <c r="C29" s="50">
        <f>COUNTIF(develop!F29:F980,B29)</f>
        <v>7</v>
      </c>
      <c r="D29" s="51" t="s">
        <v>119</v>
      </c>
      <c r="E29" s="47" t="s">
        <v>465</v>
      </c>
      <c r="F29" s="51" t="s">
        <v>466</v>
      </c>
      <c r="G29" s="53" t="str">
        <f t="shared" si="1"/>
        <v>mx-api-bc-dom-document-services</v>
      </c>
      <c r="H29" s="54" t="str">
        <f t="shared" si="2"/>
        <v>https://anypoint.mulesoft.com/exchange/834f46f4-ef08-4c50-81ae-56f917b413cc/mx-api-bc-dom-document-services</v>
      </c>
      <c r="I29" s="59" t="s">
        <v>92</v>
      </c>
      <c r="J29" s="57" t="str">
        <f t="shared" si="7"/>
        <v>mx-ms-bc-dom-document-services-mule</v>
      </c>
      <c r="K29" s="55" t="s">
        <v>58</v>
      </c>
      <c r="L29" s="76" t="s">
        <v>470</v>
      </c>
      <c r="M29" s="57" t="str">
        <f t="shared" si="8"/>
        <v>dom-document-services-api-dev</v>
      </c>
      <c r="N29" s="55" t="str">
        <f t="shared" si="5"/>
        <v>Valid</v>
      </c>
      <c r="O29" s="59">
        <f t="shared" si="6"/>
        <v>29</v>
      </c>
      <c r="P29" s="59"/>
      <c r="Q29" s="59"/>
      <c r="R29" s="60"/>
      <c r="S29" s="60"/>
      <c r="T29" s="60"/>
      <c r="U29" s="60"/>
      <c r="V29" s="60"/>
      <c r="W29" s="60"/>
      <c r="X29" s="60"/>
      <c r="Y29" s="60"/>
      <c r="Z29" s="60"/>
      <c r="AA29" s="60"/>
      <c r="AB29" s="60"/>
      <c r="AC29" s="60"/>
      <c r="AD29" s="60"/>
      <c r="AE29" s="60"/>
      <c r="AF29" s="60"/>
      <c r="AG29" s="60"/>
      <c r="AH29" s="60"/>
      <c r="AI29" s="60"/>
      <c r="AJ29" s="60"/>
    </row>
    <row r="30">
      <c r="A30" s="27" t="s">
        <v>44</v>
      </c>
      <c r="B30" s="28" t="s">
        <v>478</v>
      </c>
      <c r="C30" s="33">
        <f>COUNTIF(develop!F30:F980,B30)</f>
        <v>4</v>
      </c>
      <c r="D30" s="34" t="s">
        <v>119</v>
      </c>
      <c r="E30" s="28" t="s">
        <v>479</v>
      </c>
      <c r="F30" s="34" t="s">
        <v>480</v>
      </c>
      <c r="G30" s="35" t="str">
        <f t="shared" si="1"/>
        <v>mx-api-bc-dom-financial-accounting</v>
      </c>
      <c r="H30" s="37" t="str">
        <f t="shared" si="2"/>
        <v>https://anypoint.mulesoft.com/exchange/834f46f4-ef08-4c50-81ae-56f917b413cc/mx-api-bc-dom-financial-accounting</v>
      </c>
      <c r="I30" s="42" t="s">
        <v>162</v>
      </c>
      <c r="J30" s="41" t="str">
        <f t="shared" si="7"/>
        <v>mx-ms-bc-dom-financial-accounting-mule</v>
      </c>
      <c r="K30" s="39" t="s">
        <v>58</v>
      </c>
      <c r="L30" s="41" t="str">
        <f>IFERROR(__xludf.DUMMYFUNCTION("REGEXREPLACE(REGEXREPLACE(REGEXREPLACE(J30, ""mx-ms-bc-"", """"), ""-mule"", ""-api-dev""), ""-apigee"", ""-api-dev"")"),"dom-financial-accounting-api-dev")</f>
        <v>dom-financial-accounting-api-dev</v>
      </c>
      <c r="M30" s="41" t="str">
        <f t="shared" si="8"/>
        <v>dom-financial-accounting-api-dev</v>
      </c>
      <c r="N30" s="39" t="str">
        <f t="shared" si="5"/>
        <v>Valid</v>
      </c>
      <c r="O30" s="42">
        <f t="shared" si="6"/>
        <v>32</v>
      </c>
      <c r="P30" s="42"/>
      <c r="Q30" s="42"/>
      <c r="R30" s="43"/>
      <c r="S30" s="43"/>
      <c r="T30" s="43"/>
      <c r="U30" s="43"/>
      <c r="V30" s="43"/>
      <c r="W30" s="43"/>
      <c r="X30" s="43"/>
      <c r="Y30" s="43"/>
      <c r="Z30" s="43"/>
      <c r="AA30" s="43"/>
      <c r="AB30" s="43"/>
      <c r="AC30" s="43"/>
      <c r="AD30" s="43"/>
      <c r="AE30" s="43"/>
      <c r="AF30" s="43"/>
      <c r="AG30" s="43"/>
      <c r="AH30" s="43"/>
      <c r="AI30" s="43"/>
      <c r="AJ30" s="43"/>
    </row>
    <row r="31">
      <c r="A31" s="46" t="s">
        <v>44</v>
      </c>
      <c r="B31" s="47" t="s">
        <v>494</v>
      </c>
      <c r="C31" s="50">
        <f>COUNTIF(develop!F31:F980,B31)</f>
        <v>1</v>
      </c>
      <c r="D31" s="51" t="s">
        <v>119</v>
      </c>
      <c r="E31" s="47" t="s">
        <v>496</v>
      </c>
      <c r="F31" s="51" t="s">
        <v>497</v>
      </c>
      <c r="G31" s="53" t="str">
        <f t="shared" si="1"/>
        <v>mx-api-bc-dom-fraud-resolution</v>
      </c>
      <c r="H31" s="54" t="str">
        <f t="shared" si="2"/>
        <v>https://anypoint.mulesoft.com/exchange/834f46f4-ef08-4c50-81ae-56f917b413cc/mx-api-bc-dom-fraud-resolution</v>
      </c>
      <c r="I31" s="59" t="s">
        <v>162</v>
      </c>
      <c r="J31" s="57" t="str">
        <f t="shared" si="7"/>
        <v>mx-ms-bc-dom-fraud-resolution-mule</v>
      </c>
      <c r="K31" s="55" t="s">
        <v>58</v>
      </c>
      <c r="L31" s="57" t="str">
        <f>IFERROR(__xludf.DUMMYFUNCTION("REGEXREPLACE(REGEXREPLACE(REGEXREPLACE(J31, ""mx-ms-bc-"", """"), ""-mule"", ""-api-dev""), ""-apigee"", ""-api-dev"")"),"dom-fraud-resolution-api-dev")</f>
        <v>dom-fraud-resolution-api-dev</v>
      </c>
      <c r="M31" s="57" t="str">
        <f t="shared" si="8"/>
        <v>dom-fraud-resolution-api-dev</v>
      </c>
      <c r="N31" s="55" t="str">
        <f t="shared" si="5"/>
        <v>Valid</v>
      </c>
      <c r="O31" s="59">
        <f t="shared" si="6"/>
        <v>28</v>
      </c>
      <c r="P31" s="59"/>
      <c r="Q31" s="59"/>
      <c r="R31" s="60"/>
      <c r="S31" s="60"/>
      <c r="T31" s="60"/>
      <c r="U31" s="60"/>
      <c r="V31" s="60"/>
      <c r="W31" s="60"/>
      <c r="X31" s="60"/>
      <c r="Y31" s="60"/>
      <c r="Z31" s="60"/>
      <c r="AA31" s="60"/>
      <c r="AB31" s="60"/>
      <c r="AC31" s="60"/>
      <c r="AD31" s="60"/>
      <c r="AE31" s="60"/>
      <c r="AF31" s="60"/>
      <c r="AG31" s="60"/>
      <c r="AH31" s="60"/>
      <c r="AI31" s="60"/>
      <c r="AJ31" s="60"/>
    </row>
    <row r="32">
      <c r="A32" s="27" t="s">
        <v>44</v>
      </c>
      <c r="B32" s="28" t="s">
        <v>509</v>
      </c>
      <c r="C32" s="33">
        <f>COUNTIF(develop!F32:F980,B32)</f>
        <v>2</v>
      </c>
      <c r="D32" s="34" t="s">
        <v>119</v>
      </c>
      <c r="E32" s="28" t="s">
        <v>513</v>
      </c>
      <c r="F32" s="34" t="s">
        <v>515</v>
      </c>
      <c r="G32" s="35" t="str">
        <f t="shared" si="1"/>
        <v>mx-api-bc-dom-interactive-help</v>
      </c>
      <c r="H32" s="37" t="str">
        <f t="shared" si="2"/>
        <v>https://anypoint.mulesoft.com/exchange/834f46f4-ef08-4c50-81ae-56f917b413cc/mx-api-bc-dom-interactive-help</v>
      </c>
      <c r="I32" s="42" t="s">
        <v>162</v>
      </c>
      <c r="J32" s="41" t="str">
        <f t="shared" si="7"/>
        <v>mx-ms-bc-dom-interactive-help-mule</v>
      </c>
      <c r="K32" s="39" t="s">
        <v>58</v>
      </c>
      <c r="L32" s="41" t="str">
        <f>IFERROR(__xludf.DUMMYFUNCTION("REGEXREPLACE(REGEXREPLACE(REGEXREPLACE(J32, ""mx-ms-bc-"", """"), ""-mule"", ""-api-dev""), ""-apigee"", ""-api-dev"")"),"dom-interactive-help-api-dev")</f>
        <v>dom-interactive-help-api-dev</v>
      </c>
      <c r="M32" s="41" t="str">
        <f t="shared" si="8"/>
        <v>dom-interactive-help-api-dev</v>
      </c>
      <c r="N32" s="39" t="str">
        <f t="shared" si="5"/>
        <v>Valid</v>
      </c>
      <c r="O32" s="42">
        <f t="shared" si="6"/>
        <v>28</v>
      </c>
      <c r="P32" s="42"/>
      <c r="Q32" s="42"/>
      <c r="R32" s="43"/>
      <c r="S32" s="43"/>
      <c r="T32" s="43"/>
      <c r="U32" s="43"/>
      <c r="V32" s="43"/>
      <c r="W32" s="43"/>
      <c r="X32" s="43"/>
      <c r="Y32" s="43"/>
      <c r="Z32" s="43"/>
      <c r="AA32" s="43"/>
      <c r="AB32" s="43"/>
      <c r="AC32" s="43"/>
      <c r="AD32" s="43"/>
      <c r="AE32" s="43"/>
      <c r="AF32" s="43"/>
      <c r="AG32" s="43"/>
      <c r="AH32" s="43"/>
      <c r="AI32" s="43"/>
      <c r="AJ32" s="43"/>
    </row>
    <row r="33">
      <c r="A33" s="46" t="s">
        <v>44</v>
      </c>
      <c r="B33" s="47" t="s">
        <v>522</v>
      </c>
      <c r="C33" s="50">
        <f>COUNTIF(develop!F33:F980,B33)</f>
        <v>2</v>
      </c>
      <c r="D33" s="51" t="s">
        <v>119</v>
      </c>
      <c r="E33" s="47" t="s">
        <v>526</v>
      </c>
      <c r="F33" s="51" t="s">
        <v>527</v>
      </c>
      <c r="G33" s="53" t="str">
        <f t="shared" si="1"/>
        <v>mx-api-bc-dom-internal-bank-account</v>
      </c>
      <c r="H33" s="54" t="str">
        <f t="shared" si="2"/>
        <v>https://anypoint.mulesoft.com/exchange/834f46f4-ef08-4c50-81ae-56f917b413cc/mx-api-bc-dom-internal-bank-account</v>
      </c>
      <c r="I33" s="59" t="s">
        <v>162</v>
      </c>
      <c r="J33" s="57" t="str">
        <f t="shared" si="7"/>
        <v>mx-ms-bc-dom-internal-bank-account-mule</v>
      </c>
      <c r="K33" s="55" t="s">
        <v>58</v>
      </c>
      <c r="L33" s="57" t="str">
        <f>IFERROR(__xludf.DUMMYFUNCTION("REGEXREPLACE(REGEXREPLACE(REGEXREPLACE(J33, ""mx-ms-bc-"", """"), ""-mule"", ""-api-dev""), ""-apigee"", ""-api-dev"")"),"dom-internal-bank-account-api-dev")</f>
        <v>dom-internal-bank-account-api-dev</v>
      </c>
      <c r="M33" s="57" t="str">
        <f t="shared" si="8"/>
        <v>dom-internal-bank-account-api-dev</v>
      </c>
      <c r="N33" s="55" t="str">
        <f t="shared" si="5"/>
        <v>Valid</v>
      </c>
      <c r="O33" s="59">
        <f t="shared" si="6"/>
        <v>33</v>
      </c>
      <c r="P33" s="59"/>
      <c r="Q33" s="59"/>
      <c r="R33" s="60"/>
      <c r="S33" s="60"/>
      <c r="T33" s="60"/>
      <c r="U33" s="60"/>
      <c r="V33" s="60"/>
      <c r="W33" s="60"/>
      <c r="X33" s="60"/>
      <c r="Y33" s="60"/>
      <c r="Z33" s="60"/>
      <c r="AA33" s="60"/>
      <c r="AB33" s="60"/>
      <c r="AC33" s="60"/>
      <c r="AD33" s="60"/>
      <c r="AE33" s="60"/>
      <c r="AF33" s="60"/>
      <c r="AG33" s="60"/>
      <c r="AH33" s="60"/>
      <c r="AI33" s="60"/>
      <c r="AJ33" s="60"/>
    </row>
    <row r="34">
      <c r="A34" s="27" t="s">
        <v>44</v>
      </c>
      <c r="B34" s="28" t="s">
        <v>536</v>
      </c>
      <c r="C34" s="33">
        <f>COUNTIF(develop!F34:F980,B34)</f>
        <v>1</v>
      </c>
      <c r="D34" s="34" t="s">
        <v>119</v>
      </c>
      <c r="E34" s="28" t="s">
        <v>539</v>
      </c>
      <c r="F34" s="34" t="s">
        <v>541</v>
      </c>
      <c r="G34" s="35" t="str">
        <f t="shared" si="1"/>
        <v>mx-api-bc-dom-investment-account</v>
      </c>
      <c r="H34" s="37" t="str">
        <f t="shared" si="2"/>
        <v>https://anypoint.mulesoft.com/exchange/834f46f4-ef08-4c50-81ae-56f917b413cc/mx-api-bc-dom-investment-account</v>
      </c>
      <c r="I34" s="42" t="s">
        <v>162</v>
      </c>
      <c r="J34" s="41" t="str">
        <f t="shared" si="7"/>
        <v>mx-ms-bc-dom-investment-account-mule</v>
      </c>
      <c r="K34" s="39" t="s">
        <v>58</v>
      </c>
      <c r="L34" s="41" t="str">
        <f>IFERROR(__xludf.DUMMYFUNCTION("REGEXREPLACE(REGEXREPLACE(REGEXREPLACE(J34, ""mx-ms-bc-"", """"), ""-mule"", ""-api-dev""), ""-apigee"", ""-api-dev"")"),"dom-investment-account-api-dev")</f>
        <v>dom-investment-account-api-dev</v>
      </c>
      <c r="M34" s="41" t="str">
        <f t="shared" si="8"/>
        <v>dom-investment-account-api-dev</v>
      </c>
      <c r="N34" s="39" t="str">
        <f t="shared" si="5"/>
        <v>Valid</v>
      </c>
      <c r="O34" s="42">
        <f t="shared" si="6"/>
        <v>30</v>
      </c>
      <c r="P34" s="42"/>
      <c r="Q34" s="42"/>
      <c r="R34" s="43"/>
      <c r="S34" s="43"/>
      <c r="T34" s="43"/>
      <c r="U34" s="43"/>
      <c r="V34" s="43"/>
      <c r="W34" s="43"/>
      <c r="X34" s="43"/>
      <c r="Y34" s="43"/>
      <c r="Z34" s="43"/>
      <c r="AA34" s="43"/>
      <c r="AB34" s="43"/>
      <c r="AC34" s="43"/>
      <c r="AD34" s="43"/>
      <c r="AE34" s="43"/>
      <c r="AF34" s="43"/>
      <c r="AG34" s="43"/>
      <c r="AH34" s="43"/>
      <c r="AI34" s="43"/>
      <c r="AJ34" s="43"/>
    </row>
    <row r="35">
      <c r="A35" s="46" t="s">
        <v>44</v>
      </c>
      <c r="B35" s="47" t="s">
        <v>551</v>
      </c>
      <c r="C35" s="50">
        <f>COUNTIF(develop!F35:F980,B35)</f>
        <v>17</v>
      </c>
      <c r="D35" s="51" t="s">
        <v>119</v>
      </c>
      <c r="E35" s="47" t="s">
        <v>553</v>
      </c>
      <c r="F35" s="51" t="s">
        <v>554</v>
      </c>
      <c r="G35" s="53" t="str">
        <f t="shared" si="1"/>
        <v>mx-api-bc-dom-issued-device-administration</v>
      </c>
      <c r="H35" s="54" t="str">
        <f t="shared" si="2"/>
        <v>https://anypoint.mulesoft.com/exchange/834f46f4-ef08-4c50-81ae-56f917b413cc/mx-api-bc-dom-issued-device-administration</v>
      </c>
      <c r="I35" s="59" t="s">
        <v>255</v>
      </c>
      <c r="J35" s="57" t="str">
        <f t="shared" si="7"/>
        <v>mx-ms-bc-dom-issued-device-administration-mule</v>
      </c>
      <c r="K35" s="55" t="s">
        <v>58</v>
      </c>
      <c r="L35" s="76" t="s">
        <v>556</v>
      </c>
      <c r="M35" s="57" t="str">
        <f t="shared" si="8"/>
        <v>dom-issued-device-administration-api-dev</v>
      </c>
      <c r="N35" s="55" t="str">
        <f t="shared" si="5"/>
        <v>Valid</v>
      </c>
      <c r="O35" s="59">
        <f t="shared" si="6"/>
        <v>40</v>
      </c>
      <c r="P35" s="59"/>
      <c r="Q35" s="59"/>
      <c r="R35" s="60"/>
      <c r="S35" s="60"/>
      <c r="T35" s="60"/>
      <c r="U35" s="60"/>
      <c r="V35" s="60"/>
      <c r="W35" s="60"/>
      <c r="X35" s="60"/>
      <c r="Y35" s="60"/>
      <c r="Z35" s="60"/>
      <c r="AA35" s="60"/>
      <c r="AB35" s="60"/>
      <c r="AC35" s="60"/>
      <c r="AD35" s="60"/>
      <c r="AE35" s="60"/>
      <c r="AF35" s="60"/>
      <c r="AG35" s="60"/>
      <c r="AH35" s="60"/>
      <c r="AI35" s="60"/>
      <c r="AJ35" s="60"/>
    </row>
    <row r="36">
      <c r="A36" s="27" t="s">
        <v>44</v>
      </c>
      <c r="B36" s="28" t="s">
        <v>565</v>
      </c>
      <c r="C36" s="33">
        <f>COUNTIF(develop!F36:F980,B36)</f>
        <v>2</v>
      </c>
      <c r="D36" s="34" t="s">
        <v>119</v>
      </c>
      <c r="E36" s="28" t="s">
        <v>567</v>
      </c>
      <c r="F36" s="34" t="s">
        <v>570</v>
      </c>
      <c r="G36" s="35" t="str">
        <f t="shared" si="1"/>
        <v>mx-api-bc-dom-issued-device-tracking</v>
      </c>
      <c r="H36" s="37" t="str">
        <f t="shared" si="2"/>
        <v>https://anypoint.mulesoft.com/exchange/834f46f4-ef08-4c50-81ae-56f917b413cc/mx-api-bc-dom-issued-device-tracking</v>
      </c>
      <c r="I36" s="42" t="s">
        <v>122</v>
      </c>
      <c r="J36" s="41" t="str">
        <f t="shared" si="7"/>
        <v>mx-ms-bc-dom-issued-device-tracking-mule</v>
      </c>
      <c r="K36" s="39" t="s">
        <v>58</v>
      </c>
      <c r="L36" s="77" t="s">
        <v>577</v>
      </c>
      <c r="M36" s="41" t="str">
        <f t="shared" si="8"/>
        <v>dom-issued-device-tracking-api-dev</v>
      </c>
      <c r="N36" s="39" t="str">
        <f t="shared" si="5"/>
        <v>Valid</v>
      </c>
      <c r="O36" s="42">
        <f t="shared" si="6"/>
        <v>34</v>
      </c>
      <c r="P36" s="42"/>
      <c r="Q36" s="42"/>
      <c r="R36" s="43"/>
      <c r="S36" s="43"/>
      <c r="T36" s="43"/>
      <c r="U36" s="43"/>
      <c r="V36" s="43"/>
      <c r="W36" s="43"/>
      <c r="X36" s="43"/>
      <c r="Y36" s="43"/>
      <c r="Z36" s="43"/>
      <c r="AA36" s="43"/>
      <c r="AB36" s="43"/>
      <c r="AC36" s="43"/>
      <c r="AD36" s="43"/>
      <c r="AE36" s="43"/>
      <c r="AF36" s="43"/>
      <c r="AG36" s="43"/>
      <c r="AH36" s="43"/>
      <c r="AI36" s="43"/>
      <c r="AJ36" s="43"/>
    </row>
    <row r="37">
      <c r="A37" s="46" t="s">
        <v>44</v>
      </c>
      <c r="B37" s="47" t="s">
        <v>583</v>
      </c>
      <c r="C37" s="50">
        <f>COUNTIF(develop!F37:F980,B37)</f>
        <v>2</v>
      </c>
      <c r="D37" s="51" t="s">
        <v>119</v>
      </c>
      <c r="E37" s="47" t="s">
        <v>584</v>
      </c>
      <c r="F37" s="51" t="s">
        <v>585</v>
      </c>
      <c r="G37" s="53" t="str">
        <f t="shared" si="1"/>
        <v>mx-api-bc-dom-legal-entity-directory</v>
      </c>
      <c r="H37" s="54" t="str">
        <f t="shared" si="2"/>
        <v>https://anypoint.mulesoft.com/exchange/834f46f4-ef08-4c50-81ae-56f917b413cc/mx-api-bc-dom-legal-entity-directory</v>
      </c>
      <c r="I37" s="59" t="s">
        <v>162</v>
      </c>
      <c r="J37" s="57" t="str">
        <f t="shared" si="7"/>
        <v>mx-ms-bc-dom-legal-entity-directory-mule</v>
      </c>
      <c r="K37" s="55" t="s">
        <v>58</v>
      </c>
      <c r="L37" s="76" t="s">
        <v>586</v>
      </c>
      <c r="M37" s="57" t="str">
        <f t="shared" si="8"/>
        <v>dom-legal-entity-directory-api-dev</v>
      </c>
      <c r="N37" s="55" t="str">
        <f t="shared" si="5"/>
        <v>Valid</v>
      </c>
      <c r="O37" s="59">
        <f t="shared" si="6"/>
        <v>34</v>
      </c>
      <c r="P37" s="59"/>
      <c r="Q37" s="59"/>
      <c r="R37" s="60"/>
      <c r="S37" s="60"/>
      <c r="T37" s="60"/>
      <c r="U37" s="60"/>
      <c r="V37" s="60"/>
      <c r="W37" s="60"/>
      <c r="X37" s="60"/>
      <c r="Y37" s="60"/>
      <c r="Z37" s="60"/>
      <c r="AA37" s="60"/>
      <c r="AB37" s="60"/>
      <c r="AC37" s="60"/>
      <c r="AD37" s="60"/>
      <c r="AE37" s="60"/>
      <c r="AF37" s="60"/>
      <c r="AG37" s="60"/>
      <c r="AH37" s="60"/>
      <c r="AI37" s="60"/>
      <c r="AJ37" s="60"/>
    </row>
    <row r="38">
      <c r="A38" s="27" t="s">
        <v>44</v>
      </c>
      <c r="B38" s="28" t="s">
        <v>592</v>
      </c>
      <c r="C38" s="33">
        <f>COUNTIF(develop!F38:F980,B38)</f>
        <v>11</v>
      </c>
      <c r="D38" s="34" t="s">
        <v>119</v>
      </c>
      <c r="E38" s="28" t="s">
        <v>593</v>
      </c>
      <c r="F38" s="34" t="s">
        <v>594</v>
      </c>
      <c r="G38" s="35" t="str">
        <f t="shared" si="1"/>
        <v>mx-api-bc-dom-loan</v>
      </c>
      <c r="H38" s="37" t="str">
        <f t="shared" si="2"/>
        <v>https://anypoint.mulesoft.com/exchange/834f46f4-ef08-4c50-81ae-56f917b413cc/mx-api-bc-dom-loan</v>
      </c>
      <c r="I38" s="89" t="s">
        <v>134</v>
      </c>
      <c r="J38" s="41" t="str">
        <f t="shared" si="7"/>
        <v>mx-ms-bc-dom-loan-mule</v>
      </c>
      <c r="K38" s="39" t="s">
        <v>58</v>
      </c>
      <c r="L38" s="77" t="s">
        <v>598</v>
      </c>
      <c r="M38" s="41" t="str">
        <f t="shared" si="8"/>
        <v>dom-loan-api-dev</v>
      </c>
      <c r="N38" s="39" t="str">
        <f t="shared" si="5"/>
        <v>Valid</v>
      </c>
      <c r="O38" s="42">
        <f t="shared" si="6"/>
        <v>16</v>
      </c>
      <c r="P38" s="89"/>
      <c r="Q38" s="89"/>
      <c r="R38" s="43"/>
      <c r="S38" s="43"/>
      <c r="T38" s="43"/>
      <c r="U38" s="43"/>
      <c r="V38" s="43"/>
      <c r="W38" s="43"/>
      <c r="X38" s="43"/>
      <c r="Y38" s="43"/>
      <c r="Z38" s="43"/>
      <c r="AA38" s="43"/>
      <c r="AB38" s="43"/>
      <c r="AC38" s="43"/>
      <c r="AD38" s="43"/>
      <c r="AE38" s="43"/>
      <c r="AF38" s="43"/>
      <c r="AG38" s="43"/>
      <c r="AH38" s="43"/>
      <c r="AI38" s="43"/>
      <c r="AJ38" s="43"/>
    </row>
    <row r="39">
      <c r="A39" s="46" t="s">
        <v>44</v>
      </c>
      <c r="B39" s="47" t="s">
        <v>603</v>
      </c>
      <c r="C39" s="50">
        <f>COUNTIF(develop!F39:F980,B39)</f>
        <v>12</v>
      </c>
      <c r="D39" s="51" t="s">
        <v>119</v>
      </c>
      <c r="E39" s="47" t="s">
        <v>605</v>
      </c>
      <c r="F39" s="51" t="s">
        <v>606</v>
      </c>
      <c r="G39" s="53" t="str">
        <f t="shared" si="1"/>
        <v>mx-api-bc-dom-location-data-management</v>
      </c>
      <c r="H39" s="54" t="str">
        <f t="shared" si="2"/>
        <v>https://anypoint.mulesoft.com/exchange/834f46f4-ef08-4c50-81ae-56f917b413cc/mx-api-bc-dom-location-data-management</v>
      </c>
      <c r="I39" s="59" t="s">
        <v>255</v>
      </c>
      <c r="J39" s="57" t="str">
        <f t="shared" si="7"/>
        <v>mx-ms-bc-dom-location-data-management-mule</v>
      </c>
      <c r="K39" s="55" t="s">
        <v>58</v>
      </c>
      <c r="L39" s="76" t="s">
        <v>609</v>
      </c>
      <c r="M39" s="57" t="str">
        <f t="shared" si="8"/>
        <v>dom-location-data-management-api-dev</v>
      </c>
      <c r="N39" s="55" t="str">
        <f t="shared" si="5"/>
        <v>Valid</v>
      </c>
      <c r="O39" s="59">
        <f t="shared" si="6"/>
        <v>36</v>
      </c>
      <c r="P39" s="59"/>
      <c r="Q39" s="59"/>
      <c r="R39" s="60"/>
      <c r="S39" s="60"/>
      <c r="T39" s="60"/>
      <c r="U39" s="60"/>
      <c r="V39" s="60"/>
      <c r="W39" s="60"/>
      <c r="X39" s="60"/>
      <c r="Y39" s="60"/>
      <c r="Z39" s="60"/>
      <c r="AA39" s="60"/>
      <c r="AB39" s="60"/>
      <c r="AC39" s="60"/>
      <c r="AD39" s="60"/>
      <c r="AE39" s="60"/>
      <c r="AF39" s="60"/>
      <c r="AG39" s="60"/>
      <c r="AH39" s="60"/>
      <c r="AI39" s="60"/>
      <c r="AJ39" s="60"/>
    </row>
    <row r="40">
      <c r="A40" s="27" t="s">
        <v>44</v>
      </c>
      <c r="B40" s="28" t="s">
        <v>615</v>
      </c>
      <c r="C40" s="33">
        <f>COUNTIF(develop!F40:F980,B40)</f>
        <v>5</v>
      </c>
      <c r="D40" s="34" t="s">
        <v>119</v>
      </c>
      <c r="E40" s="28" t="s">
        <v>616</v>
      </c>
      <c r="F40" s="34" t="s">
        <v>617</v>
      </c>
      <c r="G40" s="35" t="str">
        <f t="shared" si="1"/>
        <v>mx-api-bc-dom-party-authentication</v>
      </c>
      <c r="H40" s="37" t="str">
        <f t="shared" si="2"/>
        <v>https://anypoint.mulesoft.com/exchange/834f46f4-ef08-4c50-81ae-56f917b413cc/mx-api-bc-dom-party-authentication</v>
      </c>
      <c r="I40" s="42" t="s">
        <v>122</v>
      </c>
      <c r="J40" s="41" t="str">
        <f t="shared" si="7"/>
        <v>mx-ms-bc-dom-party-authentication-mule</v>
      </c>
      <c r="K40" s="39" t="s">
        <v>58</v>
      </c>
      <c r="L40" s="77" t="s">
        <v>618</v>
      </c>
      <c r="M40" s="41" t="str">
        <f t="shared" si="8"/>
        <v>dom-party-authentication-api-dev</v>
      </c>
      <c r="N40" s="39" t="str">
        <f t="shared" si="5"/>
        <v>Valid</v>
      </c>
      <c r="O40" s="42">
        <f t="shared" si="6"/>
        <v>32</v>
      </c>
      <c r="P40" s="42"/>
      <c r="Q40" s="42"/>
      <c r="R40" s="43"/>
      <c r="S40" s="43"/>
      <c r="T40" s="43"/>
      <c r="U40" s="43"/>
      <c r="V40" s="43"/>
      <c r="W40" s="43"/>
      <c r="X40" s="43"/>
      <c r="Y40" s="43"/>
      <c r="Z40" s="43"/>
      <c r="AA40" s="43"/>
      <c r="AB40" s="43"/>
      <c r="AC40" s="43"/>
      <c r="AD40" s="43"/>
      <c r="AE40" s="43"/>
      <c r="AF40" s="43"/>
      <c r="AG40" s="43"/>
      <c r="AH40" s="43"/>
      <c r="AI40" s="43"/>
      <c r="AJ40" s="43"/>
    </row>
    <row r="41">
      <c r="A41" s="46" t="s">
        <v>44</v>
      </c>
      <c r="B41" s="47" t="s">
        <v>624</v>
      </c>
      <c r="C41" s="50">
        <f>COUNTIF(develop!F41:F980,B41)</f>
        <v>52</v>
      </c>
      <c r="D41" s="51" t="s">
        <v>119</v>
      </c>
      <c r="E41" s="47" t="s">
        <v>627</v>
      </c>
      <c r="F41" s="51" t="s">
        <v>628</v>
      </c>
      <c r="G41" s="53" t="str">
        <f t="shared" si="1"/>
        <v>mx-api-bc-dom-party-lifecycle-management</v>
      </c>
      <c r="H41" s="54" t="str">
        <f t="shared" si="2"/>
        <v>https://anypoint.mulesoft.com/exchange/834f46f4-ef08-4c50-81ae-56f917b413cc/mx-api-bc-dom-party-lifecycle-management</v>
      </c>
      <c r="I41" s="59" t="s">
        <v>629</v>
      </c>
      <c r="J41" s="57" t="str">
        <f t="shared" si="7"/>
        <v>mx-ms-bc-dom-party-lifecycle-management-mule</v>
      </c>
      <c r="K41" s="55" t="s">
        <v>58</v>
      </c>
      <c r="L41" s="76" t="s">
        <v>632</v>
      </c>
      <c r="M41" s="57" t="str">
        <f t="shared" si="8"/>
        <v>dom-party-lifecycle-management-api-dev</v>
      </c>
      <c r="N41" s="55" t="str">
        <f t="shared" si="5"/>
        <v>Valid</v>
      </c>
      <c r="O41" s="59">
        <f t="shared" si="6"/>
        <v>38</v>
      </c>
      <c r="P41" s="59"/>
      <c r="Q41" s="59"/>
      <c r="R41" s="60"/>
      <c r="S41" s="60"/>
      <c r="T41" s="60"/>
      <c r="U41" s="60"/>
      <c r="V41" s="60"/>
      <c r="W41" s="60"/>
      <c r="X41" s="60"/>
      <c r="Y41" s="60"/>
      <c r="Z41" s="60"/>
      <c r="AA41" s="60"/>
      <c r="AB41" s="60"/>
      <c r="AC41" s="60"/>
      <c r="AD41" s="60"/>
      <c r="AE41" s="60"/>
      <c r="AF41" s="60"/>
      <c r="AG41" s="60"/>
      <c r="AH41" s="60"/>
      <c r="AI41" s="60"/>
      <c r="AJ41" s="60"/>
    </row>
    <row r="42">
      <c r="A42" s="27" t="s">
        <v>44</v>
      </c>
      <c r="B42" s="28" t="s">
        <v>637</v>
      </c>
      <c r="C42" s="33">
        <f>COUNTIF(develop!F42:F980,B42)</f>
        <v>28</v>
      </c>
      <c r="D42" s="34" t="s">
        <v>119</v>
      </c>
      <c r="E42" s="28" t="s">
        <v>638</v>
      </c>
      <c r="F42" s="34" t="s">
        <v>639</v>
      </c>
      <c r="G42" s="35" t="str">
        <f t="shared" si="1"/>
        <v>mx-api-bc-dom-party-reference-data-directory</v>
      </c>
      <c r="H42" s="37" t="str">
        <f t="shared" si="2"/>
        <v>https://anypoint.mulesoft.com/exchange/834f46f4-ef08-4c50-81ae-56f917b413cc/mx-api-bc-dom-party-reference-data-directory</v>
      </c>
      <c r="I42" s="42" t="s">
        <v>640</v>
      </c>
      <c r="J42" s="41" t="str">
        <f t="shared" si="7"/>
        <v>mx-ms-bc-dom-party-reference-data-directory-mule</v>
      </c>
      <c r="K42" s="39" t="s">
        <v>58</v>
      </c>
      <c r="L42" s="77" t="s">
        <v>643</v>
      </c>
      <c r="M42" s="41" t="str">
        <f t="shared" si="8"/>
        <v>dom-party-reference-data-directory-api-dev</v>
      </c>
      <c r="N42" s="39" t="str">
        <f t="shared" si="5"/>
        <v>Valid</v>
      </c>
      <c r="O42" s="42">
        <f t="shared" si="6"/>
        <v>42</v>
      </c>
      <c r="P42" s="42"/>
      <c r="Q42" s="42"/>
      <c r="R42" s="43"/>
      <c r="S42" s="43"/>
      <c r="T42" s="43"/>
      <c r="U42" s="43"/>
      <c r="V42" s="43"/>
      <c r="W42" s="43"/>
      <c r="X42" s="43"/>
      <c r="Y42" s="43"/>
      <c r="Z42" s="43"/>
      <c r="AA42" s="43"/>
      <c r="AB42" s="43"/>
      <c r="AC42" s="43"/>
      <c r="AD42" s="43"/>
      <c r="AE42" s="43"/>
      <c r="AF42" s="43"/>
      <c r="AG42" s="43"/>
      <c r="AH42" s="43"/>
      <c r="AI42" s="43"/>
      <c r="AJ42" s="43"/>
    </row>
    <row r="43">
      <c r="A43" s="46" t="s">
        <v>44</v>
      </c>
      <c r="B43" s="47" t="s">
        <v>649</v>
      </c>
      <c r="C43" s="50">
        <f>COUNTIF(develop!F43:F980,B43)</f>
        <v>6</v>
      </c>
      <c r="D43" s="51" t="s">
        <v>119</v>
      </c>
      <c r="E43" s="47" t="s">
        <v>653</v>
      </c>
      <c r="F43" s="51" t="s">
        <v>655</v>
      </c>
      <c r="G43" s="53" t="str">
        <f t="shared" si="1"/>
        <v>mx-api-cpp-dom-party-retail-reference-data-directory</v>
      </c>
      <c r="H43" s="54" t="str">
        <f t="shared" si="2"/>
        <v>https://anypoint.mulesoft.com/exchange/834f46f4-ef08-4c50-81ae-56f917b413cc/mx-api-cpp-dom-party-retail-reference-data-directory</v>
      </c>
      <c r="I43" s="59" t="s">
        <v>122</v>
      </c>
      <c r="J43" s="57" t="s">
        <v>656</v>
      </c>
      <c r="K43" s="55" t="s">
        <v>58</v>
      </c>
      <c r="L43" s="76" t="s">
        <v>657</v>
      </c>
      <c r="M43" s="76" t="s">
        <v>657</v>
      </c>
      <c r="N43" s="55" t="str">
        <f t="shared" si="5"/>
        <v>Valid</v>
      </c>
      <c r="O43" s="59">
        <f t="shared" si="6"/>
        <v>38</v>
      </c>
      <c r="P43" s="59"/>
      <c r="Q43" s="59"/>
      <c r="R43" s="60"/>
      <c r="S43" s="60"/>
      <c r="T43" s="60"/>
      <c r="U43" s="60"/>
      <c r="V43" s="60"/>
      <c r="W43" s="60"/>
      <c r="X43" s="60"/>
      <c r="Y43" s="60"/>
      <c r="Z43" s="60"/>
      <c r="AA43" s="60"/>
      <c r="AB43" s="60"/>
      <c r="AC43" s="60"/>
      <c r="AD43" s="60"/>
      <c r="AE43" s="60"/>
      <c r="AF43" s="60"/>
      <c r="AG43" s="60"/>
      <c r="AH43" s="60"/>
      <c r="AI43" s="60"/>
      <c r="AJ43" s="60"/>
    </row>
    <row r="44">
      <c r="A44" s="27" t="s">
        <v>44</v>
      </c>
      <c r="B44" s="28" t="s">
        <v>661</v>
      </c>
      <c r="C44" s="33">
        <f>COUNTIF(develop!F44:F980,B44)</f>
        <v>7</v>
      </c>
      <c r="D44" s="34" t="s">
        <v>119</v>
      </c>
      <c r="E44" s="28" t="s">
        <v>664</v>
      </c>
      <c r="F44" s="34" t="s">
        <v>666</v>
      </c>
      <c r="G44" s="35" t="str">
        <f t="shared" si="1"/>
        <v>mx-api-bc-dom-payment-execution</v>
      </c>
      <c r="H44" s="37" t="str">
        <f t="shared" si="2"/>
        <v>https://anypoint.mulesoft.com/exchange/834f46f4-ef08-4c50-81ae-56f917b413cc/mx-api-bc-dom-payment-execution</v>
      </c>
      <c r="I44" s="42" t="s">
        <v>667</v>
      </c>
      <c r="J44" s="41" t="str">
        <f t="shared" ref="J44:J98" si="9">obtenerRepoMS(E44)</f>
        <v>mx-ms-bc-dom-payment-execution-mule</v>
      </c>
      <c r="K44" s="39" t="s">
        <v>58</v>
      </c>
      <c r="L44" s="41" t="str">
        <f>IFERROR(__xludf.DUMMYFUNCTION("REGEXREPLACE(REGEXREPLACE(REGEXREPLACE(J44, ""mx-ms-bc-"", """"), ""-mule"", ""-api-dev""), ""-apigee"", ""-api-dev"")"),"dom-payment-execution-api-dev")</f>
        <v>dom-payment-execution-api-dev</v>
      </c>
      <c r="M44" s="41" t="str">
        <f t="shared" ref="M44:M98" si="10">generarNombreDeploy(J44)</f>
        <v>dom-payment-execution-api-dev</v>
      </c>
      <c r="N44" s="39" t="str">
        <f t="shared" si="5"/>
        <v>Valid</v>
      </c>
      <c r="O44" s="42">
        <f t="shared" si="6"/>
        <v>29</v>
      </c>
      <c r="P44" s="42"/>
      <c r="Q44" s="42"/>
      <c r="R44" s="43"/>
      <c r="S44" s="43"/>
      <c r="T44" s="43"/>
      <c r="U44" s="43"/>
      <c r="V44" s="43"/>
      <c r="W44" s="43"/>
      <c r="X44" s="43"/>
      <c r="Y44" s="43"/>
      <c r="Z44" s="43"/>
      <c r="AA44" s="43"/>
      <c r="AB44" s="43"/>
      <c r="AC44" s="43"/>
      <c r="AD44" s="43"/>
      <c r="AE44" s="43"/>
      <c r="AF44" s="43"/>
      <c r="AG44" s="43"/>
      <c r="AH44" s="43"/>
      <c r="AI44" s="43"/>
      <c r="AJ44" s="43"/>
    </row>
    <row r="45">
      <c r="A45" s="46" t="s">
        <v>44</v>
      </c>
      <c r="B45" s="47" t="s">
        <v>672</v>
      </c>
      <c r="C45" s="50">
        <f>COUNTIF(develop!F45:F980,B45)</f>
        <v>11</v>
      </c>
      <c r="D45" s="51" t="s">
        <v>119</v>
      </c>
      <c r="E45" s="47" t="s">
        <v>675</v>
      </c>
      <c r="F45" s="51" t="s">
        <v>676</v>
      </c>
      <c r="G45" s="53" t="str">
        <f t="shared" si="1"/>
        <v>mx-api-bc-dom-payment-order</v>
      </c>
      <c r="H45" s="54" t="str">
        <f t="shared" si="2"/>
        <v>https://anypoint.mulesoft.com/exchange/834f46f4-ef08-4c50-81ae-56f917b413cc/mx-api-bc-dom-payment-order</v>
      </c>
      <c r="I45" s="59" t="s">
        <v>122</v>
      </c>
      <c r="J45" s="57" t="str">
        <f t="shared" si="9"/>
        <v>mx-ms-bc-dom-payment-order-mule</v>
      </c>
      <c r="K45" s="55" t="s">
        <v>58</v>
      </c>
      <c r="L45" s="57" t="str">
        <f>IFERROR(__xludf.DUMMYFUNCTION("REGEXREPLACE(REGEXREPLACE(REGEXREPLACE(J45, ""mx-ms-bc-"", """"), ""-mule"", ""-api-dev""), ""-apigee"", ""-api-dev"")"),"dom-payment-order-api-dev")</f>
        <v>dom-payment-order-api-dev</v>
      </c>
      <c r="M45" s="57" t="str">
        <f t="shared" si="10"/>
        <v>dom-payment-order-api-dev</v>
      </c>
      <c r="N45" s="55" t="str">
        <f t="shared" si="5"/>
        <v>Valid</v>
      </c>
      <c r="O45" s="59">
        <f t="shared" si="6"/>
        <v>25</v>
      </c>
      <c r="P45" s="59"/>
      <c r="Q45" s="59"/>
      <c r="R45" s="60"/>
      <c r="S45" s="60"/>
      <c r="T45" s="60"/>
      <c r="U45" s="60"/>
      <c r="V45" s="60"/>
      <c r="W45" s="60"/>
      <c r="X45" s="60"/>
      <c r="Y45" s="60"/>
      <c r="Z45" s="60"/>
      <c r="AA45" s="60"/>
      <c r="AB45" s="60"/>
      <c r="AC45" s="60"/>
      <c r="AD45" s="60"/>
      <c r="AE45" s="60"/>
      <c r="AF45" s="60"/>
      <c r="AG45" s="60"/>
      <c r="AH45" s="60"/>
      <c r="AI45" s="60"/>
      <c r="AJ45" s="60"/>
    </row>
    <row r="46">
      <c r="A46" s="27" t="s">
        <v>44</v>
      </c>
      <c r="B46" s="28" t="s">
        <v>682</v>
      </c>
      <c r="C46" s="33">
        <f>COUNTIF(develop!F46:F980,B46)</f>
        <v>1</v>
      </c>
      <c r="D46" s="34" t="s">
        <v>119</v>
      </c>
      <c r="E46" s="28" t="s">
        <v>683</v>
      </c>
      <c r="F46" s="34" t="s">
        <v>684</v>
      </c>
      <c r="G46" s="35" t="str">
        <f t="shared" si="1"/>
        <v>mx-api-bc-dom-payment-rail-operations</v>
      </c>
      <c r="H46" s="37" t="str">
        <f t="shared" si="2"/>
        <v>https://anypoint.mulesoft.com/exchange/834f46f4-ef08-4c50-81ae-56f917b413cc/mx-api-bc-dom-payment-rail-operations</v>
      </c>
      <c r="I46" s="42" t="s">
        <v>162</v>
      </c>
      <c r="J46" s="41" t="str">
        <f t="shared" si="9"/>
        <v>mx-ms-bc-dom-payment-rail-operations-mule</v>
      </c>
      <c r="K46" s="39" t="s">
        <v>58</v>
      </c>
      <c r="L46" s="41" t="str">
        <f>IFERROR(__xludf.DUMMYFUNCTION("REGEXREPLACE(REGEXREPLACE(REGEXREPLACE(J46, ""mx-ms-bc-"", """"), ""-mule"", ""-api-dev""), ""-apigee"", ""-api-dev"")"),"dom-payment-rail-operations-api-dev")</f>
        <v>dom-payment-rail-operations-api-dev</v>
      </c>
      <c r="M46" s="41" t="str">
        <f t="shared" si="10"/>
        <v>dom-payment-rail-operations-api-dev</v>
      </c>
      <c r="N46" s="39" t="str">
        <f t="shared" si="5"/>
        <v>Valid</v>
      </c>
      <c r="O46" s="42">
        <f t="shared" si="6"/>
        <v>35</v>
      </c>
      <c r="P46" s="42"/>
      <c r="Q46" s="42"/>
      <c r="R46" s="43"/>
      <c r="S46" s="43"/>
      <c r="T46" s="43"/>
      <c r="U46" s="43"/>
      <c r="V46" s="43"/>
      <c r="W46" s="43"/>
      <c r="X46" s="43"/>
      <c r="Y46" s="43"/>
      <c r="Z46" s="43"/>
      <c r="AA46" s="43"/>
      <c r="AB46" s="43"/>
      <c r="AC46" s="43"/>
      <c r="AD46" s="43"/>
      <c r="AE46" s="43"/>
      <c r="AF46" s="43"/>
      <c r="AG46" s="43"/>
      <c r="AH46" s="43"/>
      <c r="AI46" s="43"/>
      <c r="AJ46" s="43"/>
    </row>
    <row r="47">
      <c r="A47" s="46" t="s">
        <v>44</v>
      </c>
      <c r="B47" s="47" t="s">
        <v>692</v>
      </c>
      <c r="C47" s="50">
        <f>COUNTIF(develop!F47:F980,B47)</f>
        <v>3</v>
      </c>
      <c r="D47" s="51" t="s">
        <v>119</v>
      </c>
      <c r="E47" s="90" t="s">
        <v>694</v>
      </c>
      <c r="F47" s="51" t="s">
        <v>697</v>
      </c>
      <c r="G47" s="53" t="str">
        <f t="shared" si="1"/>
        <v>mx-api-bc-dom-platform-operations</v>
      </c>
      <c r="H47" s="54" t="str">
        <f t="shared" si="2"/>
        <v>https://anypoint.mulesoft.com/exchange/834f46f4-ef08-4c50-81ae-56f917b413cc/mx-api-bc-dom-platform-operations</v>
      </c>
      <c r="I47" s="59" t="s">
        <v>162</v>
      </c>
      <c r="J47" s="57" t="str">
        <f t="shared" si="9"/>
        <v>mx-ms-bc-dom-platform-operations-mule</v>
      </c>
      <c r="K47" s="55" t="s">
        <v>58</v>
      </c>
      <c r="L47" s="57" t="str">
        <f>IFERROR(__xludf.DUMMYFUNCTION("REGEXREPLACE(REGEXREPLACE(REGEXREPLACE(J47, ""mx-ms-bc-"", """"), ""-mule"", ""-api-dev""), ""-apigee"", ""-api-dev"")"),"dom-platform-operations-api-dev")</f>
        <v>dom-platform-operations-api-dev</v>
      </c>
      <c r="M47" s="57" t="str">
        <f t="shared" si="10"/>
        <v>dom-platform-operations-api-dev</v>
      </c>
      <c r="N47" s="55" t="str">
        <f t="shared" si="5"/>
        <v>Valid</v>
      </c>
      <c r="O47" s="59">
        <f t="shared" si="6"/>
        <v>31</v>
      </c>
      <c r="P47" s="59"/>
      <c r="Q47" s="59"/>
      <c r="R47" s="60"/>
      <c r="S47" s="60"/>
      <c r="T47" s="60"/>
      <c r="U47" s="60"/>
      <c r="V47" s="60"/>
      <c r="W47" s="60"/>
      <c r="X47" s="60"/>
      <c r="Y47" s="60"/>
      <c r="Z47" s="60"/>
      <c r="AA47" s="60"/>
      <c r="AB47" s="60"/>
      <c r="AC47" s="60"/>
      <c r="AD47" s="60"/>
      <c r="AE47" s="60"/>
      <c r="AF47" s="60"/>
      <c r="AG47" s="60"/>
      <c r="AH47" s="60"/>
      <c r="AI47" s="60"/>
      <c r="AJ47" s="60"/>
    </row>
    <row r="48">
      <c r="A48" s="27" t="s">
        <v>44</v>
      </c>
      <c r="B48" s="28" t="s">
        <v>702</v>
      </c>
      <c r="C48" s="33">
        <f>COUNTIF(develop!F48:F980,B48)</f>
        <v>3</v>
      </c>
      <c r="D48" s="34" t="s">
        <v>119</v>
      </c>
      <c r="E48" s="28" t="s">
        <v>705</v>
      </c>
      <c r="F48" s="34" t="s">
        <v>706</v>
      </c>
      <c r="G48" s="35" t="str">
        <f t="shared" si="1"/>
        <v>mx-api-bc-dom-position-keeping</v>
      </c>
      <c r="H48" s="37" t="str">
        <f t="shared" si="2"/>
        <v>https://anypoint.mulesoft.com/exchange/834f46f4-ef08-4c50-81ae-56f917b413cc/mx-api-bc-dom-position-keeping</v>
      </c>
      <c r="I48" s="42" t="s">
        <v>122</v>
      </c>
      <c r="J48" s="41" t="str">
        <f t="shared" si="9"/>
        <v>mx-ms-bc-dom-position-keeping-mule</v>
      </c>
      <c r="K48" s="39" t="s">
        <v>58</v>
      </c>
      <c r="L48" s="41" t="str">
        <f>IFERROR(__xludf.DUMMYFUNCTION("REGEXREPLACE(REGEXREPLACE(REGEXREPLACE(J48, ""mx-ms-bc-"", """"), ""-mule"", ""-api-dev""), ""-apigee"", ""-api-dev"")"),"dom-position-keeping-api-dev")</f>
        <v>dom-position-keeping-api-dev</v>
      </c>
      <c r="M48" s="41" t="str">
        <f t="shared" si="10"/>
        <v>dom-position-keeping-api-dev</v>
      </c>
      <c r="N48" s="39" t="str">
        <f t="shared" si="5"/>
        <v>Valid</v>
      </c>
      <c r="O48" s="42">
        <f t="shared" si="6"/>
        <v>28</v>
      </c>
      <c r="P48" s="42"/>
      <c r="Q48" s="42"/>
      <c r="R48" s="43"/>
      <c r="S48" s="43"/>
      <c r="T48" s="43"/>
      <c r="U48" s="43"/>
      <c r="V48" s="43"/>
      <c r="W48" s="43"/>
      <c r="X48" s="43"/>
      <c r="Y48" s="43"/>
      <c r="Z48" s="43"/>
      <c r="AA48" s="43"/>
      <c r="AB48" s="43"/>
      <c r="AC48" s="43"/>
      <c r="AD48" s="43"/>
      <c r="AE48" s="43"/>
      <c r="AF48" s="43"/>
      <c r="AG48" s="43"/>
      <c r="AH48" s="43"/>
      <c r="AI48" s="43"/>
      <c r="AJ48" s="43"/>
    </row>
    <row r="49">
      <c r="A49" s="46" t="s">
        <v>44</v>
      </c>
      <c r="B49" s="47" t="s">
        <v>709</v>
      </c>
      <c r="C49" s="50">
        <f>COUNTIF(develop!F49:F980,B49)</f>
        <v>4</v>
      </c>
      <c r="D49" s="51" t="s">
        <v>119</v>
      </c>
      <c r="E49" s="47" t="s">
        <v>712</v>
      </c>
      <c r="F49" s="51" t="s">
        <v>713</v>
      </c>
      <c r="G49" s="53" t="str">
        <f t="shared" si="1"/>
        <v>mx-api-bc-dom-product-directory</v>
      </c>
      <c r="H49" s="54" t="str">
        <f t="shared" si="2"/>
        <v>https://anypoint.mulesoft.com/exchange/834f46f4-ef08-4c50-81ae-56f917b413cc/mx-api-bc-dom-product-directory</v>
      </c>
      <c r="I49" s="59" t="s">
        <v>162</v>
      </c>
      <c r="J49" s="57" t="str">
        <f t="shared" si="9"/>
        <v>mx-ms-bc-dom-product-directory-mule</v>
      </c>
      <c r="K49" s="55" t="s">
        <v>58</v>
      </c>
      <c r="L49" s="57" t="str">
        <f>IFERROR(__xludf.DUMMYFUNCTION("REGEXREPLACE(REGEXREPLACE(REGEXREPLACE(J49, ""mx-ms-bc-"", """"), ""-mule"", ""-api-dev""), ""-apigee"", ""-api-dev"")"),"dom-product-directory-api-dev")</f>
        <v>dom-product-directory-api-dev</v>
      </c>
      <c r="M49" s="57" t="str">
        <f t="shared" si="10"/>
        <v>dom-product-directory-api-dev</v>
      </c>
      <c r="N49" s="55" t="str">
        <f t="shared" si="5"/>
        <v>Valid</v>
      </c>
      <c r="O49" s="59">
        <f t="shared" si="6"/>
        <v>29</v>
      </c>
      <c r="P49" s="59"/>
      <c r="Q49" s="59"/>
      <c r="R49" s="60"/>
      <c r="S49" s="60"/>
      <c r="T49" s="60"/>
      <c r="U49" s="60"/>
      <c r="V49" s="60"/>
      <c r="W49" s="60"/>
      <c r="X49" s="60"/>
      <c r="Y49" s="60"/>
      <c r="Z49" s="60"/>
      <c r="AA49" s="60"/>
      <c r="AB49" s="60"/>
      <c r="AC49" s="60"/>
      <c r="AD49" s="60"/>
      <c r="AE49" s="60"/>
      <c r="AF49" s="60"/>
      <c r="AG49" s="60"/>
      <c r="AH49" s="60"/>
      <c r="AI49" s="60"/>
      <c r="AJ49" s="60"/>
    </row>
    <row r="50">
      <c r="A50" s="27" t="s">
        <v>44</v>
      </c>
      <c r="B50" s="28" t="s">
        <v>719</v>
      </c>
      <c r="C50" s="33">
        <f>COUNTIF(develop!F50:F980,B50)</f>
        <v>11</v>
      </c>
      <c r="D50" s="34" t="s">
        <v>119</v>
      </c>
      <c r="E50" s="28" t="s">
        <v>720</v>
      </c>
      <c r="F50" s="34" t="s">
        <v>721</v>
      </c>
      <c r="G50" s="35" t="str">
        <f t="shared" si="1"/>
        <v>mx-api-bc-dom-product-matching</v>
      </c>
      <c r="H50" s="37" t="str">
        <f t="shared" si="2"/>
        <v>https://anypoint.mulesoft.com/exchange/834f46f4-ef08-4c50-81ae-56f917b413cc/mx-api-bc-dom-product-matching</v>
      </c>
      <c r="I50" s="42" t="s">
        <v>162</v>
      </c>
      <c r="J50" s="41" t="str">
        <f t="shared" si="9"/>
        <v>mx-ms-bc-dom-product-matching-mule</v>
      </c>
      <c r="K50" s="39" t="s">
        <v>58</v>
      </c>
      <c r="L50" s="41" t="str">
        <f>IFERROR(__xludf.DUMMYFUNCTION("REGEXREPLACE(REGEXREPLACE(REGEXREPLACE(J50, ""mx-ms-bc-"", """"), ""-mule"", ""-api-dev""), ""-apigee"", ""-api-dev"")"),"dom-product-matching-api-dev")</f>
        <v>dom-product-matching-api-dev</v>
      </c>
      <c r="M50" s="41" t="str">
        <f t="shared" si="10"/>
        <v>dom-product-matching-api-dev</v>
      </c>
      <c r="N50" s="39" t="str">
        <f t="shared" si="5"/>
        <v>Valid</v>
      </c>
      <c r="O50" s="42">
        <f t="shared" si="6"/>
        <v>28</v>
      </c>
      <c r="P50" s="42"/>
      <c r="Q50" s="42"/>
      <c r="R50" s="43"/>
      <c r="S50" s="43"/>
      <c r="T50" s="43"/>
      <c r="U50" s="43"/>
      <c r="V50" s="43"/>
      <c r="W50" s="43"/>
      <c r="X50" s="43"/>
      <c r="Y50" s="43"/>
      <c r="Z50" s="43"/>
      <c r="AA50" s="43"/>
      <c r="AB50" s="43"/>
      <c r="AC50" s="43"/>
      <c r="AD50" s="43"/>
      <c r="AE50" s="43"/>
      <c r="AF50" s="43"/>
      <c r="AG50" s="43"/>
      <c r="AH50" s="43"/>
      <c r="AI50" s="43"/>
      <c r="AJ50" s="43"/>
    </row>
    <row r="51">
      <c r="A51" s="46" t="s">
        <v>44</v>
      </c>
      <c r="B51" s="47" t="s">
        <v>727</v>
      </c>
      <c r="C51" s="50">
        <f>COUNTIF(develop!F51:F980,B51)</f>
        <v>1</v>
      </c>
      <c r="D51" s="51" t="s">
        <v>119</v>
      </c>
      <c r="E51" s="47" t="s">
        <v>730</v>
      </c>
      <c r="F51" s="51" t="s">
        <v>731</v>
      </c>
      <c r="G51" s="53" t="str">
        <f t="shared" si="1"/>
        <v>mx-api-bc-dom-regulatory-compliance</v>
      </c>
      <c r="H51" s="54" t="str">
        <f t="shared" si="2"/>
        <v>https://anypoint.mulesoft.com/exchange/834f46f4-ef08-4c50-81ae-56f917b413cc/mx-api-bc-dom-regulatory-compliance</v>
      </c>
      <c r="I51" s="59" t="s">
        <v>162</v>
      </c>
      <c r="J51" s="57" t="str">
        <f t="shared" si="9"/>
        <v>mx-ms-bc-dom-regulatory-compliance-mule</v>
      </c>
      <c r="K51" s="55" t="s">
        <v>58</v>
      </c>
      <c r="L51" s="57" t="str">
        <f>IFERROR(__xludf.DUMMYFUNCTION("REGEXREPLACE(REGEXREPLACE(REGEXREPLACE(J51, ""mx-ms-bc-"", """"), ""-mule"", ""-api-dev""), ""-apigee"", ""-api-dev"")"),"dom-regulatory-compliance-api-dev")</f>
        <v>dom-regulatory-compliance-api-dev</v>
      </c>
      <c r="M51" s="57" t="str">
        <f t="shared" si="10"/>
        <v>dom-regulatory-compliance-api-dev</v>
      </c>
      <c r="N51" s="55" t="str">
        <f t="shared" si="5"/>
        <v>Valid</v>
      </c>
      <c r="O51" s="59">
        <f t="shared" si="6"/>
        <v>33</v>
      </c>
      <c r="P51" s="59"/>
      <c r="Q51" s="59"/>
      <c r="R51" s="60"/>
      <c r="S51" s="60"/>
      <c r="T51" s="60"/>
      <c r="U51" s="60"/>
      <c r="V51" s="60"/>
      <c r="W51" s="60"/>
      <c r="X51" s="60"/>
      <c r="Y51" s="60"/>
      <c r="Z51" s="60"/>
      <c r="AA51" s="60"/>
      <c r="AB51" s="60"/>
      <c r="AC51" s="60"/>
      <c r="AD51" s="60"/>
      <c r="AE51" s="60"/>
      <c r="AF51" s="60"/>
      <c r="AG51" s="60"/>
      <c r="AH51" s="60"/>
      <c r="AI51" s="60"/>
      <c r="AJ51" s="60"/>
    </row>
    <row r="52">
      <c r="A52" s="27" t="s">
        <v>44</v>
      </c>
      <c r="B52" s="28" t="s">
        <v>736</v>
      </c>
      <c r="C52" s="33">
        <f>COUNTIF(develop!F52:F980,B52)</f>
        <v>1</v>
      </c>
      <c r="D52" s="34" t="s">
        <v>119</v>
      </c>
      <c r="E52" s="28" t="s">
        <v>737</v>
      </c>
      <c r="F52" s="34" t="s">
        <v>738</v>
      </c>
      <c r="G52" s="35" t="str">
        <f t="shared" si="1"/>
        <v>mx-api-bc-dom-remittances</v>
      </c>
      <c r="H52" s="37" t="str">
        <f t="shared" si="2"/>
        <v>https://anypoint.mulesoft.com/exchange/834f46f4-ef08-4c50-81ae-56f917b413cc/mx-api-bc-dom-remittances</v>
      </c>
      <c r="I52" s="42" t="s">
        <v>162</v>
      </c>
      <c r="J52" s="41" t="str">
        <f t="shared" si="9"/>
        <v>mx-ms-bc-dom-remittances-mule</v>
      </c>
      <c r="K52" s="39" t="s">
        <v>58</v>
      </c>
      <c r="L52" s="41" t="str">
        <f>IFERROR(__xludf.DUMMYFUNCTION("REGEXREPLACE(REGEXREPLACE(REGEXREPLACE(J52, ""mx-ms-bc-"", """"), ""-mule"", ""-api-dev""), ""-apigee"", ""-api-dev"")"),"dom-remittances-api-dev")</f>
        <v>dom-remittances-api-dev</v>
      </c>
      <c r="M52" s="41" t="str">
        <f t="shared" si="10"/>
        <v>dom-remittances-api-dev</v>
      </c>
      <c r="N52" s="39" t="str">
        <f t="shared" si="5"/>
        <v>Valid</v>
      </c>
      <c r="O52" s="42">
        <f t="shared" si="6"/>
        <v>23</v>
      </c>
      <c r="P52" s="42"/>
      <c r="Q52" s="42"/>
      <c r="R52" s="43"/>
      <c r="S52" s="43"/>
      <c r="T52" s="43"/>
      <c r="U52" s="43"/>
      <c r="V52" s="43"/>
      <c r="W52" s="43"/>
      <c r="X52" s="43"/>
      <c r="Y52" s="43"/>
      <c r="Z52" s="43"/>
      <c r="AA52" s="43"/>
      <c r="AB52" s="43"/>
      <c r="AC52" s="43"/>
      <c r="AD52" s="43"/>
      <c r="AE52" s="43"/>
      <c r="AF52" s="43"/>
      <c r="AG52" s="43"/>
      <c r="AH52" s="43"/>
      <c r="AI52" s="43"/>
      <c r="AJ52" s="43"/>
    </row>
    <row r="53">
      <c r="A53" s="46" t="s">
        <v>44</v>
      </c>
      <c r="B53" s="47" t="s">
        <v>743</v>
      </c>
      <c r="C53" s="50">
        <f>COUNTIF(develop!F53:F980,B53)</f>
        <v>3</v>
      </c>
      <c r="D53" s="51" t="s">
        <v>119</v>
      </c>
      <c r="E53" s="47" t="s">
        <v>744</v>
      </c>
      <c r="F53" s="51" t="s">
        <v>745</v>
      </c>
      <c r="G53" s="53" t="str">
        <f t="shared" si="1"/>
        <v>mx-api-bc-dom-sales-product-agreement</v>
      </c>
      <c r="H53" s="54" t="str">
        <f t="shared" si="2"/>
        <v>https://anypoint.mulesoft.com/exchange/834f46f4-ef08-4c50-81ae-56f917b413cc/mx-api-bc-dom-sales-product-agreement</v>
      </c>
      <c r="I53" s="59" t="s">
        <v>162</v>
      </c>
      <c r="J53" s="57" t="str">
        <f t="shared" si="9"/>
        <v>mx-ms-bc-dom-sales-product-agreement-mule</v>
      </c>
      <c r="K53" s="55" t="s">
        <v>58</v>
      </c>
      <c r="L53" s="57" t="str">
        <f>IFERROR(__xludf.DUMMYFUNCTION("REGEXREPLACE(REGEXREPLACE(REGEXREPLACE(J53, ""mx-ms-bc-"", """"), ""-mule"", ""-api-dev""), ""-apigee"", ""-api-dev"")"),"dom-sales-product-agreement-api-dev")</f>
        <v>dom-sales-product-agreement-api-dev</v>
      </c>
      <c r="M53" s="57" t="str">
        <f t="shared" si="10"/>
        <v>dom-sales-product-agreement-api-dev</v>
      </c>
      <c r="N53" s="55" t="str">
        <f t="shared" si="5"/>
        <v>Valid</v>
      </c>
      <c r="O53" s="59">
        <f t="shared" si="6"/>
        <v>35</v>
      </c>
      <c r="P53" s="59"/>
      <c r="Q53" s="59"/>
      <c r="R53" s="60"/>
      <c r="S53" s="60"/>
      <c r="T53" s="60"/>
      <c r="U53" s="60"/>
      <c r="V53" s="60"/>
      <c r="W53" s="60"/>
      <c r="X53" s="60"/>
      <c r="Y53" s="60"/>
      <c r="Z53" s="60"/>
      <c r="AA53" s="60"/>
      <c r="AB53" s="60"/>
      <c r="AC53" s="60"/>
      <c r="AD53" s="60"/>
      <c r="AE53" s="60"/>
      <c r="AF53" s="60"/>
      <c r="AG53" s="60"/>
      <c r="AH53" s="60"/>
      <c r="AI53" s="60"/>
      <c r="AJ53" s="60"/>
    </row>
    <row r="54">
      <c r="A54" s="27" t="s">
        <v>44</v>
      </c>
      <c r="B54" s="28" t="s">
        <v>755</v>
      </c>
      <c r="C54" s="33">
        <f>COUNTIF(develop!F54:F980,B54)</f>
        <v>3</v>
      </c>
      <c r="D54" s="34" t="s">
        <v>119</v>
      </c>
      <c r="E54" s="28" t="s">
        <v>756</v>
      </c>
      <c r="F54" s="34" t="s">
        <v>757</v>
      </c>
      <c r="G54" s="35" t="str">
        <f t="shared" si="1"/>
        <v>mx-api-bc-dom-savings-account</v>
      </c>
      <c r="H54" s="37" t="str">
        <f t="shared" si="2"/>
        <v>https://anypoint.mulesoft.com/exchange/834f46f4-ef08-4c50-81ae-56f917b413cc/mx-api-bc-dom-savings-account</v>
      </c>
      <c r="I54" s="42" t="s">
        <v>162</v>
      </c>
      <c r="J54" s="41" t="str">
        <f t="shared" si="9"/>
        <v>mx-ms-bc-dom-savings-account-mule</v>
      </c>
      <c r="K54" s="39" t="s">
        <v>58</v>
      </c>
      <c r="L54" s="41" t="str">
        <f>IFERROR(__xludf.DUMMYFUNCTION("REGEXREPLACE(REGEXREPLACE(REGEXREPLACE(J54, ""mx-ms-bc-"", """"), ""-mule"", ""-api-dev""), ""-apigee"", ""-api-dev"")"),"dom-savings-account-api-dev")</f>
        <v>dom-savings-account-api-dev</v>
      </c>
      <c r="M54" s="41" t="str">
        <f t="shared" si="10"/>
        <v>dom-savings-account-api-dev</v>
      </c>
      <c r="N54" s="39" t="str">
        <f t="shared" si="5"/>
        <v>Valid</v>
      </c>
      <c r="O54" s="42">
        <f t="shared" si="6"/>
        <v>27</v>
      </c>
      <c r="P54" s="42"/>
      <c r="Q54" s="42"/>
      <c r="R54" s="43"/>
      <c r="S54" s="43"/>
      <c r="T54" s="43"/>
      <c r="U54" s="43"/>
      <c r="V54" s="43"/>
      <c r="W54" s="43"/>
      <c r="X54" s="43"/>
      <c r="Y54" s="43"/>
      <c r="Z54" s="43"/>
      <c r="AA54" s="43"/>
      <c r="AB54" s="43"/>
      <c r="AC54" s="43"/>
      <c r="AD54" s="43"/>
      <c r="AE54" s="43"/>
      <c r="AF54" s="43"/>
      <c r="AG54" s="43"/>
      <c r="AH54" s="43"/>
      <c r="AI54" s="43"/>
      <c r="AJ54" s="43"/>
    </row>
    <row r="55">
      <c r="A55" s="46" t="s">
        <v>44</v>
      </c>
      <c r="B55" s="47" t="s">
        <v>764</v>
      </c>
      <c r="C55" s="50">
        <f>COUNTIF(develop!F55:F980,B55)</f>
        <v>1</v>
      </c>
      <c r="D55" s="51" t="s">
        <v>119</v>
      </c>
      <c r="E55" s="47" t="s">
        <v>766</v>
      </c>
      <c r="F55" s="51" t="s">
        <v>768</v>
      </c>
      <c r="G55" s="53" t="str">
        <f t="shared" si="1"/>
        <v>mx-api-bc-dom-servicing-order</v>
      </c>
      <c r="H55" s="54" t="str">
        <f t="shared" si="2"/>
        <v>https://anypoint.mulesoft.com/exchange/834f46f4-ef08-4c50-81ae-56f917b413cc/mx-api-bc-dom-servicing-order</v>
      </c>
      <c r="I55" s="59" t="s">
        <v>162</v>
      </c>
      <c r="J55" s="57" t="str">
        <f t="shared" si="9"/>
        <v>mx-ms-bc-dom-servicing-order-mule</v>
      </c>
      <c r="K55" s="55" t="s">
        <v>58</v>
      </c>
      <c r="L55" s="57" t="str">
        <f>IFERROR(__xludf.DUMMYFUNCTION("REGEXREPLACE(REGEXREPLACE(REGEXREPLACE(J55, ""mx-ms-bc-"", """"), ""-mule"", ""-api-dev""), ""-apigee"", ""-api-dev"")"),"dom-servicing-order-api-dev")</f>
        <v>dom-servicing-order-api-dev</v>
      </c>
      <c r="M55" s="57" t="str">
        <f t="shared" si="10"/>
        <v>dom-servicing-order-api-dev</v>
      </c>
      <c r="N55" s="55" t="str">
        <f t="shared" si="5"/>
        <v>Valid</v>
      </c>
      <c r="O55" s="59">
        <f t="shared" si="6"/>
        <v>27</v>
      </c>
      <c r="P55" s="59"/>
      <c r="Q55" s="59"/>
      <c r="R55" s="60"/>
      <c r="S55" s="60"/>
      <c r="T55" s="60"/>
      <c r="U55" s="60"/>
      <c r="V55" s="60"/>
      <c r="W55" s="60"/>
      <c r="X55" s="60"/>
      <c r="Y55" s="60"/>
      <c r="Z55" s="60"/>
      <c r="AA55" s="60"/>
      <c r="AB55" s="60"/>
      <c r="AC55" s="60"/>
      <c r="AD55" s="60"/>
      <c r="AE55" s="60"/>
      <c r="AF55" s="60"/>
      <c r="AG55" s="60"/>
      <c r="AH55" s="60"/>
      <c r="AI55" s="60"/>
      <c r="AJ55" s="60"/>
    </row>
    <row r="56">
      <c r="A56" s="27" t="s">
        <v>44</v>
      </c>
      <c r="B56" s="28" t="s">
        <v>773</v>
      </c>
      <c r="C56" s="33">
        <f>COUNTIF(develop!F56:F980,B56)</f>
        <v>9</v>
      </c>
      <c r="D56" s="34" t="s">
        <v>119</v>
      </c>
      <c r="E56" s="28" t="s">
        <v>774</v>
      </c>
      <c r="F56" s="34" t="s">
        <v>775</v>
      </c>
      <c r="G56" s="35" t="str">
        <f t="shared" si="1"/>
        <v>mx-api-bc-dom-session-dialogue</v>
      </c>
      <c r="H56" s="37" t="str">
        <f t="shared" si="2"/>
        <v>https://anypoint.mulesoft.com/exchange/834f46f4-ef08-4c50-81ae-56f917b413cc/mx-api-bc-dom-session-dialogue</v>
      </c>
      <c r="I56" s="42" t="s">
        <v>122</v>
      </c>
      <c r="J56" s="41" t="str">
        <f t="shared" si="9"/>
        <v>mx-ms-bc-dom-session-dialogue-mule</v>
      </c>
      <c r="K56" s="39" t="s">
        <v>58</v>
      </c>
      <c r="L56" s="77" t="s">
        <v>776</v>
      </c>
      <c r="M56" s="41" t="str">
        <f t="shared" si="10"/>
        <v>dom-session-dialogue-api-dev</v>
      </c>
      <c r="N56" s="39" t="str">
        <f t="shared" si="5"/>
        <v>Valid</v>
      </c>
      <c r="O56" s="42">
        <f t="shared" si="6"/>
        <v>28</v>
      </c>
      <c r="P56" s="42"/>
      <c r="Q56" s="42"/>
      <c r="R56" s="43"/>
      <c r="S56" s="43"/>
      <c r="T56" s="43"/>
      <c r="U56" s="43"/>
      <c r="V56" s="43"/>
      <c r="W56" s="43"/>
      <c r="X56" s="43"/>
      <c r="Y56" s="43"/>
      <c r="Z56" s="43"/>
      <c r="AA56" s="43"/>
      <c r="AB56" s="43"/>
      <c r="AC56" s="43"/>
      <c r="AD56" s="43"/>
      <c r="AE56" s="43"/>
      <c r="AF56" s="43"/>
      <c r="AG56" s="43"/>
      <c r="AH56" s="43"/>
      <c r="AI56" s="43"/>
      <c r="AJ56" s="43"/>
    </row>
    <row r="57">
      <c r="A57" s="46" t="s">
        <v>44</v>
      </c>
      <c r="B57" s="47" t="s">
        <v>781</v>
      </c>
      <c r="C57" s="50">
        <f>COUNTIF(develop!F57:F980,B57)</f>
        <v>3</v>
      </c>
      <c r="D57" s="51" t="s">
        <v>119</v>
      </c>
      <c r="E57" s="47" t="s">
        <v>784</v>
      </c>
      <c r="F57" s="51" t="s">
        <v>785</v>
      </c>
      <c r="G57" s="53" t="str">
        <f t="shared" si="1"/>
        <v>mx-api-bc-dom-systems-operations</v>
      </c>
      <c r="H57" s="54" t="str">
        <f t="shared" si="2"/>
        <v>https://anypoint.mulesoft.com/exchange/834f46f4-ef08-4c50-81ae-56f917b413cc/mx-api-bc-dom-systems-operations</v>
      </c>
      <c r="I57" s="59" t="s">
        <v>162</v>
      </c>
      <c r="J57" s="57" t="str">
        <f t="shared" si="9"/>
        <v>mx-ms-bc-dom-systems-operations-mule</v>
      </c>
      <c r="K57" s="55" t="s">
        <v>58</v>
      </c>
      <c r="L57" s="57" t="str">
        <f>IFERROR(__xludf.DUMMYFUNCTION("REGEXREPLACE(REGEXREPLACE(REGEXREPLACE(J57, ""mx-ms-bc-"", """"), ""-mule"", ""-api-dev""), ""-apigee"", ""-api-dev"")"),"dom-systems-operations-api-dev")</f>
        <v>dom-systems-operations-api-dev</v>
      </c>
      <c r="M57" s="57" t="str">
        <f t="shared" si="10"/>
        <v>dom-systems-operations-api-dev</v>
      </c>
      <c r="N57" s="55" t="str">
        <f t="shared" si="5"/>
        <v>Valid</v>
      </c>
      <c r="O57" s="59">
        <f t="shared" si="6"/>
        <v>30</v>
      </c>
      <c r="P57" s="59"/>
      <c r="Q57" s="59"/>
      <c r="R57" s="60"/>
      <c r="S57" s="60"/>
      <c r="T57" s="60"/>
      <c r="U57" s="60"/>
      <c r="V57" s="60"/>
      <c r="W57" s="60"/>
      <c r="X57" s="60"/>
      <c r="Y57" s="60"/>
      <c r="Z57" s="60"/>
      <c r="AA57" s="60"/>
      <c r="AB57" s="60"/>
      <c r="AC57" s="60"/>
      <c r="AD57" s="60"/>
      <c r="AE57" s="60"/>
      <c r="AF57" s="60"/>
      <c r="AG57" s="60"/>
      <c r="AH57" s="60"/>
      <c r="AI57" s="60"/>
      <c r="AJ57" s="60"/>
    </row>
    <row r="58">
      <c r="A58" s="27" t="s">
        <v>44</v>
      </c>
      <c r="B58" s="28" t="s">
        <v>792</v>
      </c>
      <c r="C58" s="33">
        <f>COUNTIF(develop!F58:F980,B58)</f>
        <v>3</v>
      </c>
      <c r="D58" s="34" t="s">
        <v>119</v>
      </c>
      <c r="E58" s="28" t="s">
        <v>793</v>
      </c>
      <c r="F58" s="34" t="s">
        <v>794</v>
      </c>
      <c r="G58" s="35" t="str">
        <f t="shared" si="1"/>
        <v>mx-api-bc-dom-transaction-engine</v>
      </c>
      <c r="H58" s="37" t="str">
        <f t="shared" si="2"/>
        <v>https://anypoint.mulesoft.com/exchange/834f46f4-ef08-4c50-81ae-56f917b413cc/mx-api-bc-dom-transaction-engine</v>
      </c>
      <c r="I58" s="42" t="s">
        <v>162</v>
      </c>
      <c r="J58" s="41" t="str">
        <f t="shared" si="9"/>
        <v>mx-ms-bc-dom-transaction-engine-mule</v>
      </c>
      <c r="K58" s="39" t="s">
        <v>58</v>
      </c>
      <c r="L58" s="41" t="str">
        <f>IFERROR(__xludf.DUMMYFUNCTION("REGEXREPLACE(REGEXREPLACE(REGEXREPLACE(J58, ""mx-ms-bc-"", """"), ""-mule"", ""-api-dev""), ""-apigee"", ""-api-dev"")"),"dom-transaction-engine-api-dev")</f>
        <v>dom-transaction-engine-api-dev</v>
      </c>
      <c r="M58" s="41" t="str">
        <f t="shared" si="10"/>
        <v>dom-transaction-engine-api-dev</v>
      </c>
      <c r="N58" s="39" t="str">
        <f t="shared" si="5"/>
        <v>Valid</v>
      </c>
      <c r="O58" s="42">
        <f t="shared" si="6"/>
        <v>30</v>
      </c>
      <c r="P58" s="42"/>
      <c r="Q58" s="42"/>
      <c r="R58" s="43"/>
      <c r="S58" s="43"/>
      <c r="T58" s="43"/>
      <c r="U58" s="43"/>
      <c r="V58" s="43"/>
      <c r="W58" s="43"/>
      <c r="X58" s="43"/>
      <c r="Y58" s="43"/>
      <c r="Z58" s="43"/>
      <c r="AA58" s="43"/>
      <c r="AB58" s="43"/>
      <c r="AC58" s="43"/>
      <c r="AD58" s="43"/>
      <c r="AE58" s="43"/>
      <c r="AF58" s="43"/>
      <c r="AG58" s="43"/>
      <c r="AH58" s="43"/>
      <c r="AI58" s="43"/>
      <c r="AJ58" s="43"/>
    </row>
    <row r="59">
      <c r="A59" s="46" t="s">
        <v>44</v>
      </c>
      <c r="B59" s="47" t="s">
        <v>802</v>
      </c>
      <c r="C59" s="50">
        <f>COUNTIF(develop!F59:F980,B59)</f>
        <v>14</v>
      </c>
      <c r="D59" s="51" t="s">
        <v>119</v>
      </c>
      <c r="E59" s="47" t="s">
        <v>805</v>
      </c>
      <c r="F59" s="51" t="s">
        <v>806</v>
      </c>
      <c r="G59" s="53" t="str">
        <f t="shared" si="1"/>
        <v>mx-api-bc-dom-utility</v>
      </c>
      <c r="H59" s="54" t="str">
        <f t="shared" si="2"/>
        <v>https://anypoint.mulesoft.com/exchange/834f46f4-ef08-4c50-81ae-56f917b413cc/mx-api-bc-dom-utility</v>
      </c>
      <c r="I59" s="59" t="s">
        <v>122</v>
      </c>
      <c r="J59" s="57" t="str">
        <f t="shared" si="9"/>
        <v>mx-ms-bc-dom-utility-mule</v>
      </c>
      <c r="K59" s="55" t="s">
        <v>58</v>
      </c>
      <c r="L59" s="76" t="str">
        <f>IFERROR(__xludf.DUMMYFUNCTION("REGEXREPLACE(REGEXREPLACE(REGEXREPLACE(J59, ""mx-ms-bc-"", """"), ""-mule"", ""-api-dev""), ""-apigee"", ""-api-dev"")"),"dom-utility-api-dev")</f>
        <v>dom-utility-api-dev</v>
      </c>
      <c r="M59" s="57" t="str">
        <f t="shared" si="10"/>
        <v>dom-utility-api-dev</v>
      </c>
      <c r="N59" s="55" t="str">
        <f t="shared" si="5"/>
        <v>Valid</v>
      </c>
      <c r="O59" s="59">
        <f t="shared" si="6"/>
        <v>19</v>
      </c>
      <c r="P59" s="59"/>
      <c r="Q59" s="59"/>
      <c r="R59" s="60"/>
      <c r="S59" s="60"/>
      <c r="T59" s="60"/>
      <c r="U59" s="60"/>
      <c r="V59" s="60"/>
      <c r="W59" s="60"/>
      <c r="X59" s="60"/>
      <c r="Y59" s="60"/>
      <c r="Z59" s="60"/>
      <c r="AA59" s="60"/>
      <c r="AB59" s="60"/>
      <c r="AC59" s="60"/>
      <c r="AD59" s="60"/>
      <c r="AE59" s="60"/>
      <c r="AF59" s="60"/>
      <c r="AG59" s="60"/>
      <c r="AH59" s="60"/>
      <c r="AI59" s="60"/>
      <c r="AJ59" s="60"/>
    </row>
    <row r="60">
      <c r="A60" s="27" t="s">
        <v>44</v>
      </c>
      <c r="B60" s="28" t="s">
        <v>810</v>
      </c>
      <c r="C60" s="33">
        <f>COUNTIF(develop!F60:F980,B60)</f>
        <v>1</v>
      </c>
      <c r="D60" s="34" t="s">
        <v>811</v>
      </c>
      <c r="E60" s="28" t="s">
        <v>812</v>
      </c>
      <c r="F60" s="34" t="s">
        <v>813</v>
      </c>
      <c r="G60" s="35" t="str">
        <f t="shared" si="1"/>
        <v>mx-api-bc-pro-account-reconciliation</v>
      </c>
      <c r="H60" s="37" t="str">
        <f t="shared" si="2"/>
        <v>https://anypoint.mulesoft.com/exchange/834f46f4-ef08-4c50-81ae-56f917b413cc/mx-api-bc-pro-account-reconciliation</v>
      </c>
      <c r="I60" s="42" t="s">
        <v>162</v>
      </c>
      <c r="J60" s="41" t="str">
        <f t="shared" si="9"/>
        <v>mx-ms-bc-pro-account-reconciliation</v>
      </c>
      <c r="K60" s="39" t="s">
        <v>816</v>
      </c>
      <c r="L60" s="77" t="str">
        <f>IFERROR(__xludf.DUMMYFUNCTION("REGEXREPLACE(REGEXREPLACE(REGEXREPLACE(J60, ""mx-ms-bc-"", """"), ""-mule"", ""-api-dev""), ""-apigee"", ""-api-dev"")"),"pro-account-reconciliation")</f>
        <v>pro-account-reconciliation</v>
      </c>
      <c r="M60" s="41" t="str">
        <f t="shared" si="10"/>
        <v>mx-ms-bc-pro-account-reconciliation</v>
      </c>
      <c r="N60" s="39" t="str">
        <f t="shared" si="5"/>
        <v>Valid</v>
      </c>
      <c r="O60" s="42">
        <f t="shared" si="6"/>
        <v>35</v>
      </c>
      <c r="P60" s="42"/>
      <c r="Q60" s="42"/>
      <c r="R60" s="43"/>
      <c r="S60" s="43"/>
      <c r="T60" s="43"/>
      <c r="U60" s="43"/>
      <c r="V60" s="43"/>
      <c r="W60" s="43"/>
      <c r="X60" s="43"/>
      <c r="Y60" s="43"/>
      <c r="Z60" s="43"/>
      <c r="AA60" s="43"/>
      <c r="AB60" s="43"/>
      <c r="AC60" s="43"/>
      <c r="AD60" s="43"/>
      <c r="AE60" s="43"/>
      <c r="AF60" s="43"/>
      <c r="AG60" s="43"/>
      <c r="AH60" s="43"/>
      <c r="AI60" s="43"/>
      <c r="AJ60" s="43"/>
    </row>
    <row r="61">
      <c r="A61" s="46" t="s">
        <v>44</v>
      </c>
      <c r="B61" s="47" t="s">
        <v>822</v>
      </c>
      <c r="C61" s="50">
        <f>COUNTIF(develop!F61:F980,B61)</f>
        <v>2</v>
      </c>
      <c r="D61" s="51" t="s">
        <v>811</v>
      </c>
      <c r="E61" s="47" t="s">
        <v>825</v>
      </c>
      <c r="F61" s="51" t="s">
        <v>826</v>
      </c>
      <c r="G61" s="53" t="str">
        <f t="shared" si="1"/>
        <v>mx-api-bc-pro-branch-location-operations</v>
      </c>
      <c r="H61" s="54" t="str">
        <f t="shared" si="2"/>
        <v>https://anypoint.mulesoft.com/exchange/834f46f4-ef08-4c50-81ae-56f917b413cc/mx-api-bc-pro-branch-location-operations</v>
      </c>
      <c r="I61" s="59" t="s">
        <v>134</v>
      </c>
      <c r="J61" s="57" t="str">
        <f t="shared" si="9"/>
        <v>mx-ms-bc-pro-branch-location-operations</v>
      </c>
      <c r="K61" s="55" t="s">
        <v>816</v>
      </c>
      <c r="L61" s="76" t="str">
        <f>IFERROR(__xludf.DUMMYFUNCTION("REGEXREPLACE(REGEXREPLACE(REGEXREPLACE(J61, ""mx-ms-bc-"", """"), ""-mule"", ""-api-dev""), ""-apigee"", ""-api-dev"")"),"pro-branch-location-operations")</f>
        <v>pro-branch-location-operations</v>
      </c>
      <c r="M61" s="57" t="str">
        <f t="shared" si="10"/>
        <v>mx-ms-bc-pro-branch-location-operations</v>
      </c>
      <c r="N61" s="55" t="str">
        <f t="shared" si="5"/>
        <v>Valid</v>
      </c>
      <c r="O61" s="59">
        <f t="shared" si="6"/>
        <v>39</v>
      </c>
      <c r="P61" s="59"/>
      <c r="Q61" s="59"/>
      <c r="R61" s="60"/>
      <c r="S61" s="60"/>
      <c r="T61" s="60"/>
      <c r="U61" s="60"/>
      <c r="V61" s="60"/>
      <c r="W61" s="60"/>
      <c r="X61" s="60"/>
      <c r="Y61" s="60"/>
      <c r="Z61" s="60"/>
      <c r="AA61" s="60"/>
      <c r="AB61" s="60"/>
      <c r="AC61" s="60"/>
      <c r="AD61" s="60"/>
      <c r="AE61" s="60"/>
      <c r="AF61" s="60"/>
      <c r="AG61" s="60"/>
      <c r="AH61" s="60"/>
      <c r="AI61" s="60"/>
      <c r="AJ61" s="60"/>
    </row>
    <row r="62">
      <c r="A62" s="27" t="s">
        <v>44</v>
      </c>
      <c r="B62" s="28" t="s">
        <v>829</v>
      </c>
      <c r="C62" s="33">
        <f>COUNTIF(develop!F62:F980,B62)</f>
        <v>1</v>
      </c>
      <c r="D62" s="34" t="s">
        <v>811</v>
      </c>
      <c r="E62" s="28" t="s">
        <v>835</v>
      </c>
      <c r="F62" s="34" t="s">
        <v>837</v>
      </c>
      <c r="G62" s="35" t="str">
        <f t="shared" si="1"/>
        <v>mx-api-bc-pro-branch-network-management</v>
      </c>
      <c r="H62" s="37" t="str">
        <f t="shared" si="2"/>
        <v>https://anypoint.mulesoft.com/exchange/834f46f4-ef08-4c50-81ae-56f917b413cc/mx-api-bc-pro-branch-network-management</v>
      </c>
      <c r="I62" s="42" t="s">
        <v>122</v>
      </c>
      <c r="J62" s="41" t="str">
        <f t="shared" si="9"/>
        <v>mx-ms-bc-pro-branch-network-management</v>
      </c>
      <c r="K62" s="39" t="s">
        <v>816</v>
      </c>
      <c r="L62" s="77" t="str">
        <f>IFERROR(__xludf.DUMMYFUNCTION("REGEXREPLACE(REGEXREPLACE(REGEXREPLACE(J62, ""mx-ms-bc-"", """"), ""-mule"", ""-api-dev""), ""-apigee"", ""-api-dev"")"),"pro-branch-network-management")</f>
        <v>pro-branch-network-management</v>
      </c>
      <c r="M62" s="41" t="str">
        <f t="shared" si="10"/>
        <v>mx-ms-bc-pro-branch-network-management</v>
      </c>
      <c r="N62" s="39" t="str">
        <f t="shared" si="5"/>
        <v>Valid</v>
      </c>
      <c r="O62" s="42">
        <f t="shared" si="6"/>
        <v>38</v>
      </c>
      <c r="P62" s="42"/>
      <c r="Q62" s="42"/>
      <c r="R62" s="43"/>
      <c r="S62" s="43"/>
      <c r="T62" s="43"/>
      <c r="U62" s="43"/>
      <c r="V62" s="43"/>
      <c r="W62" s="43"/>
      <c r="X62" s="43"/>
      <c r="Y62" s="43"/>
      <c r="Z62" s="43"/>
      <c r="AA62" s="43"/>
      <c r="AB62" s="43"/>
      <c r="AC62" s="43"/>
      <c r="AD62" s="43"/>
      <c r="AE62" s="43"/>
      <c r="AF62" s="43"/>
      <c r="AG62" s="43"/>
      <c r="AH62" s="43"/>
      <c r="AI62" s="43"/>
      <c r="AJ62" s="43"/>
    </row>
    <row r="63">
      <c r="A63" s="46" t="s">
        <v>44</v>
      </c>
      <c r="B63" s="47" t="s">
        <v>843</v>
      </c>
      <c r="C63" s="50">
        <f>COUNTIF(develop!F63:F980,B63)</f>
        <v>1</v>
      </c>
      <c r="D63" s="51" t="s">
        <v>811</v>
      </c>
      <c r="E63" s="47" t="s">
        <v>849</v>
      </c>
      <c r="F63" s="51" t="s">
        <v>850</v>
      </c>
      <c r="G63" s="53" t="str">
        <f t="shared" si="1"/>
        <v>mx-api-bc-pro-card-ecommerce-gateway</v>
      </c>
      <c r="H63" s="54" t="str">
        <f t="shared" si="2"/>
        <v>https://anypoint.mulesoft.com/exchange/834f46f4-ef08-4c50-81ae-56f917b413cc/mx-api-bc-pro-card-ecommerce-gateway</v>
      </c>
      <c r="I63" s="59" t="s">
        <v>162</v>
      </c>
      <c r="J63" s="57" t="str">
        <f t="shared" si="9"/>
        <v>mx-ms-bc-pro-card-ecommerce-gateway</v>
      </c>
      <c r="K63" s="55" t="s">
        <v>816</v>
      </c>
      <c r="L63" s="76" t="str">
        <f>IFERROR(__xludf.DUMMYFUNCTION("REGEXREPLACE(REGEXREPLACE(REGEXREPLACE(J63, ""mx-ms-bc-"", """"), ""-mule"", ""-api-dev""), ""-apigee"", ""-api-dev"")"),"pro-card-ecommerce-gateway")</f>
        <v>pro-card-ecommerce-gateway</v>
      </c>
      <c r="M63" s="57" t="str">
        <f t="shared" si="10"/>
        <v>mx-ms-bc-pro-card-ecommerce-gateway</v>
      </c>
      <c r="N63" s="55" t="str">
        <f t="shared" si="5"/>
        <v>Valid</v>
      </c>
      <c r="O63" s="59">
        <f t="shared" si="6"/>
        <v>35</v>
      </c>
      <c r="P63" s="59"/>
      <c r="Q63" s="59"/>
      <c r="R63" s="60"/>
      <c r="S63" s="60"/>
      <c r="T63" s="60"/>
      <c r="U63" s="60"/>
      <c r="V63" s="60"/>
      <c r="W63" s="60"/>
      <c r="X63" s="60"/>
      <c r="Y63" s="60"/>
      <c r="Z63" s="60"/>
      <c r="AA63" s="60"/>
      <c r="AB63" s="60"/>
      <c r="AC63" s="60"/>
      <c r="AD63" s="60"/>
      <c r="AE63" s="60"/>
      <c r="AF63" s="60"/>
      <c r="AG63" s="60"/>
      <c r="AH63" s="60"/>
      <c r="AI63" s="60"/>
      <c r="AJ63" s="60"/>
    </row>
    <row r="64">
      <c r="A64" s="27" t="s">
        <v>44</v>
      </c>
      <c r="B64" s="28" t="s">
        <v>856</v>
      </c>
      <c r="C64" s="33">
        <f>COUNTIF(develop!F64:F980,B64)</f>
        <v>1</v>
      </c>
      <c r="D64" s="34" t="s">
        <v>811</v>
      </c>
      <c r="E64" s="28" t="s">
        <v>857</v>
      </c>
      <c r="F64" s="34" t="s">
        <v>858</v>
      </c>
      <c r="G64" s="35" t="str">
        <f t="shared" si="1"/>
        <v>mx-api-bc-pro-cash-management-and-account-services</v>
      </c>
      <c r="H64" s="37" t="str">
        <f t="shared" si="2"/>
        <v>https://anypoint.mulesoft.com/exchange/834f46f4-ef08-4c50-81ae-56f917b413cc/mx-api-bc-pro-cash-management-and-account-services</v>
      </c>
      <c r="I64" s="42" t="s">
        <v>162</v>
      </c>
      <c r="J64" s="41" t="str">
        <f t="shared" si="9"/>
        <v>mx-ms-bc-pro-cash-management-and-account-services</v>
      </c>
      <c r="K64" s="39" t="s">
        <v>816</v>
      </c>
      <c r="L64" s="77" t="str">
        <f>IFERROR(__xludf.DUMMYFUNCTION("REGEXREPLACE(REGEXREPLACE(REGEXREPLACE(J64, ""mx-ms-bc-"", """"), ""-mule"", ""-api-dev""), ""-apigee"", ""-api-dev"")"),"pro-cash-management-and-account-services")</f>
        <v>pro-cash-management-and-account-services</v>
      </c>
      <c r="M64" s="41" t="str">
        <f t="shared" si="10"/>
        <v>mx-ms-bc-pro-cash-management-and-account-services</v>
      </c>
      <c r="N64" s="39" t="str">
        <f t="shared" si="5"/>
        <v>Valid</v>
      </c>
      <c r="O64" s="42">
        <f t="shared" si="6"/>
        <v>49</v>
      </c>
      <c r="P64" s="42"/>
      <c r="Q64" s="42"/>
      <c r="R64" s="43"/>
      <c r="S64" s="43"/>
      <c r="T64" s="43"/>
      <c r="U64" s="43"/>
      <c r="V64" s="43"/>
      <c r="W64" s="43"/>
      <c r="X64" s="43"/>
      <c r="Y64" s="43"/>
      <c r="Z64" s="43"/>
      <c r="AA64" s="43"/>
      <c r="AB64" s="43"/>
      <c r="AC64" s="43"/>
      <c r="AD64" s="43"/>
      <c r="AE64" s="43"/>
      <c r="AF64" s="43"/>
      <c r="AG64" s="43"/>
      <c r="AH64" s="43"/>
      <c r="AI64" s="43"/>
      <c r="AJ64" s="43"/>
    </row>
    <row r="65">
      <c r="A65" s="46" t="s">
        <v>44</v>
      </c>
      <c r="B65" s="47" t="s">
        <v>866</v>
      </c>
      <c r="C65" s="50">
        <f>COUNTIF(develop!F65:F980,B65)</f>
        <v>1</v>
      </c>
      <c r="D65" s="51" t="s">
        <v>811</v>
      </c>
      <c r="E65" s="47" t="s">
        <v>870</v>
      </c>
      <c r="F65" s="51" t="s">
        <v>872</v>
      </c>
      <c r="G65" s="53" t="str">
        <f t="shared" si="1"/>
        <v>mx-api-bc-pro-cheque-processing</v>
      </c>
      <c r="H65" s="54" t="str">
        <f t="shared" si="2"/>
        <v>https://anypoint.mulesoft.com/exchange/834f46f4-ef08-4c50-81ae-56f917b413cc/mx-api-bc-pro-cheque-processing</v>
      </c>
      <c r="I65" s="59" t="s">
        <v>162</v>
      </c>
      <c r="J65" s="57" t="str">
        <f t="shared" si="9"/>
        <v>mx-ms-bc-pro-cheque-processing</v>
      </c>
      <c r="K65" s="55" t="s">
        <v>816</v>
      </c>
      <c r="L65" s="76" t="str">
        <f>IFERROR(__xludf.DUMMYFUNCTION("REGEXREPLACE(REGEXREPLACE(REGEXREPLACE(J65, ""mx-ms-bc-"", """"), ""-mule"", ""-api-dev""), ""-apigee"", ""-api-dev"")"),"pro-cheque-processing")</f>
        <v>pro-cheque-processing</v>
      </c>
      <c r="M65" s="57" t="str">
        <f t="shared" si="10"/>
        <v>mx-ms-bc-pro-cheque-processing</v>
      </c>
      <c r="N65" s="55" t="str">
        <f t="shared" si="5"/>
        <v>Valid</v>
      </c>
      <c r="O65" s="59">
        <f t="shared" si="6"/>
        <v>30</v>
      </c>
      <c r="P65" s="59"/>
      <c r="Q65" s="59"/>
      <c r="R65" s="60"/>
      <c r="S65" s="60"/>
      <c r="T65" s="60"/>
      <c r="U65" s="60"/>
      <c r="V65" s="60"/>
      <c r="W65" s="60"/>
      <c r="X65" s="60"/>
      <c r="Y65" s="60"/>
      <c r="Z65" s="60"/>
      <c r="AA65" s="60"/>
      <c r="AB65" s="60"/>
      <c r="AC65" s="60"/>
      <c r="AD65" s="60"/>
      <c r="AE65" s="60"/>
      <c r="AF65" s="60"/>
      <c r="AG65" s="60"/>
      <c r="AH65" s="60"/>
      <c r="AI65" s="60"/>
      <c r="AJ65" s="60"/>
    </row>
    <row r="66">
      <c r="A66" s="27" t="s">
        <v>44</v>
      </c>
      <c r="B66" s="28" t="s">
        <v>879</v>
      </c>
      <c r="C66" s="33">
        <f>COUNTIF(develop!F66:F980,B66)</f>
        <v>1</v>
      </c>
      <c r="D66" s="34" t="s">
        <v>811</v>
      </c>
      <c r="E66" s="28" t="s">
        <v>882</v>
      </c>
      <c r="F66" s="34" t="s">
        <v>883</v>
      </c>
      <c r="G66" s="35" t="str">
        <f t="shared" si="1"/>
        <v>mx-api-bc-pro-corporate-current-account</v>
      </c>
      <c r="H66" s="37" t="str">
        <f t="shared" si="2"/>
        <v>https://anypoint.mulesoft.com/exchange/834f46f4-ef08-4c50-81ae-56f917b413cc/mx-api-bc-pro-corporate-current-account</v>
      </c>
      <c r="I66" s="42" t="s">
        <v>122</v>
      </c>
      <c r="J66" s="41" t="str">
        <f t="shared" si="9"/>
        <v>mx-ms-bc-pro-corporate-current-account</v>
      </c>
      <c r="K66" s="39" t="s">
        <v>816</v>
      </c>
      <c r="L66" s="77" t="str">
        <f>IFERROR(__xludf.DUMMYFUNCTION("REGEXREPLACE(REGEXREPLACE(REGEXREPLACE(J66, ""mx-ms-bc-"", """"), ""-mule"", ""-api-dev""), ""-apigee"", ""-api-dev"")"),"pro-corporate-current-account")</f>
        <v>pro-corporate-current-account</v>
      </c>
      <c r="M66" s="41" t="str">
        <f t="shared" si="10"/>
        <v>mx-ms-bc-pro-corporate-current-account</v>
      </c>
      <c r="N66" s="39" t="str">
        <f t="shared" si="5"/>
        <v>Valid</v>
      </c>
      <c r="O66" s="42">
        <f t="shared" si="6"/>
        <v>38</v>
      </c>
      <c r="P66" s="42"/>
      <c r="Q66" s="42"/>
      <c r="R66" s="43"/>
      <c r="S66" s="43"/>
      <c r="T66" s="43"/>
      <c r="U66" s="43"/>
      <c r="V66" s="43"/>
      <c r="W66" s="43"/>
      <c r="X66" s="43"/>
      <c r="Y66" s="43"/>
      <c r="Z66" s="43"/>
      <c r="AA66" s="43"/>
      <c r="AB66" s="43"/>
      <c r="AC66" s="43"/>
      <c r="AD66" s="43"/>
      <c r="AE66" s="43"/>
      <c r="AF66" s="43"/>
      <c r="AG66" s="43"/>
      <c r="AH66" s="43"/>
      <c r="AI66" s="43"/>
      <c r="AJ66" s="43"/>
    </row>
    <row r="67">
      <c r="A67" s="46" t="s">
        <v>44</v>
      </c>
      <c r="B67" s="47" t="s">
        <v>892</v>
      </c>
      <c r="C67" s="50">
        <f>COUNTIF(develop!F67:F980,B67)</f>
        <v>1</v>
      </c>
      <c r="D67" s="51" t="s">
        <v>811</v>
      </c>
      <c r="E67" s="47" t="s">
        <v>893</v>
      </c>
      <c r="F67" s="51" t="s">
        <v>894</v>
      </c>
      <c r="G67" s="53" t="str">
        <f t="shared" si="1"/>
        <v>mx-api-bc-pro-correspondence</v>
      </c>
      <c r="H67" s="54" t="str">
        <f t="shared" si="2"/>
        <v>https://anypoint.mulesoft.com/exchange/834f46f4-ef08-4c50-81ae-56f917b413cc/mx-api-bc-pro-correspondence</v>
      </c>
      <c r="I67" s="59" t="s">
        <v>162</v>
      </c>
      <c r="J67" s="57" t="str">
        <f t="shared" si="9"/>
        <v>mx-ms-bc-pro-correspondence</v>
      </c>
      <c r="K67" s="55" t="s">
        <v>816</v>
      </c>
      <c r="L67" s="76" t="str">
        <f>IFERROR(__xludf.DUMMYFUNCTION("REGEXREPLACE(REGEXREPLACE(REGEXREPLACE(J67, ""mx-ms-bc-"", """"), ""-mule"", ""-api-dev""), ""-apigee"", ""-api-dev"")"),"pro-correspondence")</f>
        <v>pro-correspondence</v>
      </c>
      <c r="M67" s="57" t="str">
        <f t="shared" si="10"/>
        <v>mx-ms-bc-pro-correspondence</v>
      </c>
      <c r="N67" s="55" t="str">
        <f t="shared" si="5"/>
        <v>Valid</v>
      </c>
      <c r="O67" s="59">
        <f t="shared" si="6"/>
        <v>27</v>
      </c>
      <c r="P67" s="59"/>
      <c r="Q67" s="59"/>
      <c r="R67" s="60"/>
      <c r="S67" s="60"/>
      <c r="T67" s="60"/>
      <c r="U67" s="60"/>
      <c r="V67" s="60"/>
      <c r="W67" s="60"/>
      <c r="X67" s="60"/>
      <c r="Y67" s="60"/>
      <c r="Z67" s="60"/>
      <c r="AA67" s="60"/>
      <c r="AB67" s="60"/>
      <c r="AC67" s="60"/>
      <c r="AD67" s="60"/>
      <c r="AE67" s="60"/>
      <c r="AF67" s="60"/>
      <c r="AG67" s="60"/>
      <c r="AH67" s="60"/>
      <c r="AI67" s="60"/>
      <c r="AJ67" s="60"/>
    </row>
    <row r="68">
      <c r="A68" s="27" t="s">
        <v>44</v>
      </c>
      <c r="B68" s="28" t="s">
        <v>905</v>
      </c>
      <c r="C68" s="33">
        <f>COUNTIF(develop!F68:F980,B68)</f>
        <v>15</v>
      </c>
      <c r="D68" s="34" t="s">
        <v>811</v>
      </c>
      <c r="E68" s="28" t="s">
        <v>906</v>
      </c>
      <c r="F68" s="34" t="s">
        <v>907</v>
      </c>
      <c r="G68" s="35" t="str">
        <f t="shared" si="1"/>
        <v>mx-api-bc-pro-counterparty-risk</v>
      </c>
      <c r="H68" s="37" t="str">
        <f t="shared" si="2"/>
        <v>https://anypoint.mulesoft.com/exchange/834f46f4-ef08-4c50-81ae-56f917b413cc/mx-api-bc-pro-counterparty-risk</v>
      </c>
      <c r="I68" s="42" t="s">
        <v>134</v>
      </c>
      <c r="J68" s="41" t="str">
        <f t="shared" si="9"/>
        <v>mx-ms-bc-pro-counterparty-risk</v>
      </c>
      <c r="K68" s="39" t="s">
        <v>816</v>
      </c>
      <c r="L68" s="77" t="str">
        <f>IFERROR(__xludf.DUMMYFUNCTION("REGEXREPLACE(REGEXREPLACE(REGEXREPLACE(J68, ""mx-ms-bc-"", """"), ""-mule"", ""-api-dev""), ""-apigee"", ""-api-dev"")"),"pro-counterparty-risk")</f>
        <v>pro-counterparty-risk</v>
      </c>
      <c r="M68" s="41" t="str">
        <f t="shared" si="10"/>
        <v>mx-ms-bc-pro-counterparty-risk</v>
      </c>
      <c r="N68" s="39" t="str">
        <f t="shared" si="5"/>
        <v>Valid</v>
      </c>
      <c r="O68" s="42">
        <f t="shared" si="6"/>
        <v>30</v>
      </c>
      <c r="P68" s="42"/>
      <c r="Q68" s="42"/>
      <c r="R68" s="43"/>
      <c r="S68" s="43"/>
      <c r="T68" s="43"/>
      <c r="U68" s="43"/>
      <c r="V68" s="43"/>
      <c r="W68" s="43"/>
      <c r="X68" s="43"/>
      <c r="Y68" s="43"/>
      <c r="Z68" s="43"/>
      <c r="AA68" s="43"/>
      <c r="AB68" s="43"/>
      <c r="AC68" s="43"/>
      <c r="AD68" s="43"/>
      <c r="AE68" s="43"/>
      <c r="AF68" s="43"/>
      <c r="AG68" s="43"/>
      <c r="AH68" s="43"/>
      <c r="AI68" s="43"/>
      <c r="AJ68" s="43"/>
    </row>
    <row r="69">
      <c r="A69" s="46" t="s">
        <v>44</v>
      </c>
      <c r="B69" s="47" t="s">
        <v>913</v>
      </c>
      <c r="C69" s="50">
        <f>COUNTIF(develop!F69:F980,B69)</f>
        <v>55</v>
      </c>
      <c r="D69" s="51" t="s">
        <v>811</v>
      </c>
      <c r="E69" s="47" t="s">
        <v>914</v>
      </c>
      <c r="F69" s="51" t="s">
        <v>915</v>
      </c>
      <c r="G69" s="53" t="str">
        <f t="shared" si="1"/>
        <v>mx-api-bc-pro-credit-card</v>
      </c>
      <c r="H69" s="54" t="str">
        <f t="shared" si="2"/>
        <v>https://anypoint.mulesoft.com/exchange/834f46f4-ef08-4c50-81ae-56f917b413cc/mx-api-bc-pro-credit-card</v>
      </c>
      <c r="I69" s="59" t="s">
        <v>225</v>
      </c>
      <c r="J69" s="57" t="str">
        <f t="shared" si="9"/>
        <v>mx-ms-bc-pro-credit-card</v>
      </c>
      <c r="K69" s="55" t="s">
        <v>816</v>
      </c>
      <c r="L69" s="76" t="str">
        <f>IFERROR(__xludf.DUMMYFUNCTION("REGEXREPLACE(REGEXREPLACE(REGEXREPLACE(J69, ""mx-ms-bc-"", """"), ""-mule"", ""-api-dev""), ""-apigee"", ""-api-dev"")"),"pro-credit-card")</f>
        <v>pro-credit-card</v>
      </c>
      <c r="M69" s="57" t="str">
        <f t="shared" si="10"/>
        <v>mx-ms-bc-pro-credit-card</v>
      </c>
      <c r="N69" s="55" t="str">
        <f t="shared" si="5"/>
        <v>Valid</v>
      </c>
      <c r="O69" s="59">
        <f t="shared" si="6"/>
        <v>24</v>
      </c>
      <c r="P69" s="59"/>
      <c r="Q69" s="59"/>
      <c r="R69" s="60"/>
      <c r="S69" s="60"/>
      <c r="T69" s="60"/>
      <c r="U69" s="60"/>
      <c r="V69" s="60"/>
      <c r="W69" s="60"/>
      <c r="X69" s="60"/>
      <c r="Y69" s="60"/>
      <c r="Z69" s="60"/>
      <c r="AA69" s="60"/>
      <c r="AB69" s="60"/>
      <c r="AC69" s="60"/>
      <c r="AD69" s="60"/>
      <c r="AE69" s="60"/>
      <c r="AF69" s="60"/>
      <c r="AG69" s="60"/>
      <c r="AH69" s="60"/>
      <c r="AI69" s="60"/>
      <c r="AJ69" s="60"/>
    </row>
    <row r="70">
      <c r="A70" s="27" t="s">
        <v>44</v>
      </c>
      <c r="B70" s="28" t="s">
        <v>922</v>
      </c>
      <c r="C70" s="33">
        <f>COUNTIF(develop!F70:F980,B70)</f>
        <v>5</v>
      </c>
      <c r="D70" s="34" t="s">
        <v>811</v>
      </c>
      <c r="E70" s="28" t="s">
        <v>925</v>
      </c>
      <c r="F70" s="34" t="s">
        <v>926</v>
      </c>
      <c r="G70" s="35" t="str">
        <f t="shared" si="1"/>
        <v>mx-api-bc-pro-credit-card-position-keeping</v>
      </c>
      <c r="H70" s="37" t="str">
        <f t="shared" si="2"/>
        <v>https://anypoint.mulesoft.com/exchange/834f46f4-ef08-4c50-81ae-56f917b413cc/mx-api-bc-pro-credit-card-position-keeping</v>
      </c>
      <c r="I70" s="42" t="s">
        <v>333</v>
      </c>
      <c r="J70" s="41" t="str">
        <f t="shared" si="9"/>
        <v>mx-ms-bc-pro-credit-card-position-keeping</v>
      </c>
      <c r="K70" s="39" t="s">
        <v>816</v>
      </c>
      <c r="L70" s="41" t="str">
        <f>IFERROR(__xludf.DUMMYFUNCTION("REGEXREPLACE(REGEXREPLACE(REGEXREPLACE(J70, ""mx-ms-bc-"", """"), ""-mule"", ""-api-dev""), ""-apigee"", ""-api-dev"")"),"pro-credit-card-position-keeping")</f>
        <v>pro-credit-card-position-keeping</v>
      </c>
      <c r="M70" s="41" t="str">
        <f t="shared" si="10"/>
        <v>mx-ms-bc-pro-credit-card-position-keeping</v>
      </c>
      <c r="N70" s="39" t="str">
        <f t="shared" si="5"/>
        <v>Valid</v>
      </c>
      <c r="O70" s="42">
        <f t="shared" si="6"/>
        <v>41</v>
      </c>
      <c r="P70" s="42"/>
      <c r="Q70" s="42"/>
      <c r="R70" s="43"/>
      <c r="S70" s="43"/>
      <c r="T70" s="43"/>
      <c r="U70" s="43"/>
      <c r="V70" s="43"/>
      <c r="W70" s="43"/>
      <c r="X70" s="43"/>
      <c r="Y70" s="43"/>
      <c r="Z70" s="43"/>
      <c r="AA70" s="43"/>
      <c r="AB70" s="43"/>
      <c r="AC70" s="43"/>
      <c r="AD70" s="43"/>
      <c r="AE70" s="43"/>
      <c r="AF70" s="43"/>
      <c r="AG70" s="43"/>
      <c r="AH70" s="43"/>
      <c r="AI70" s="43"/>
      <c r="AJ70" s="43"/>
    </row>
    <row r="71">
      <c r="A71" s="46" t="s">
        <v>44</v>
      </c>
      <c r="B71" s="47" t="s">
        <v>934</v>
      </c>
      <c r="C71" s="50">
        <f>COUNTIF(develop!F71:F980,B71)</f>
        <v>2</v>
      </c>
      <c r="D71" s="51" t="s">
        <v>811</v>
      </c>
      <c r="E71" s="47" t="s">
        <v>936</v>
      </c>
      <c r="F71" s="51" t="s">
        <v>937</v>
      </c>
      <c r="G71" s="53" t="str">
        <f t="shared" si="1"/>
        <v>mx-api-bc-pro-credit-facility</v>
      </c>
      <c r="H71" s="54" t="str">
        <f t="shared" si="2"/>
        <v>https://anypoint.mulesoft.com/exchange/834f46f4-ef08-4c50-81ae-56f917b413cc/mx-api-bc-pro-credit-facility</v>
      </c>
      <c r="I71" s="59" t="s">
        <v>255</v>
      </c>
      <c r="J71" s="57" t="str">
        <f t="shared" si="9"/>
        <v>mx-ms-bc-pro-credit-facility</v>
      </c>
      <c r="K71" s="55" t="s">
        <v>816</v>
      </c>
      <c r="L71" s="76" t="str">
        <f>IFERROR(__xludf.DUMMYFUNCTION("REGEXREPLACE(REGEXREPLACE(REGEXREPLACE(J71, ""mx-ms-bc-"", """"), ""-mule"", ""-api-dev""), ""-apigee"", ""-api-dev"")"),"pro-credit-facility")</f>
        <v>pro-credit-facility</v>
      </c>
      <c r="M71" s="57" t="str">
        <f t="shared" si="10"/>
        <v>mx-ms-bc-pro-credit-facility</v>
      </c>
      <c r="N71" s="55" t="str">
        <f t="shared" si="5"/>
        <v>Valid</v>
      </c>
      <c r="O71" s="59">
        <f t="shared" si="6"/>
        <v>28</v>
      </c>
      <c r="P71" s="59"/>
      <c r="Q71" s="59"/>
      <c r="R71" s="60"/>
      <c r="S71" s="60"/>
      <c r="T71" s="60"/>
      <c r="U71" s="60"/>
      <c r="V71" s="60"/>
      <c r="W71" s="60"/>
      <c r="X71" s="60"/>
      <c r="Y71" s="60"/>
      <c r="Z71" s="60"/>
      <c r="AA71" s="60"/>
      <c r="AB71" s="60"/>
      <c r="AC71" s="60"/>
      <c r="AD71" s="60"/>
      <c r="AE71" s="60"/>
      <c r="AF71" s="60"/>
      <c r="AG71" s="60"/>
      <c r="AH71" s="60"/>
      <c r="AI71" s="60"/>
      <c r="AJ71" s="60"/>
    </row>
    <row r="72">
      <c r="A72" s="27" t="s">
        <v>44</v>
      </c>
      <c r="B72" s="28" t="s">
        <v>946</v>
      </c>
      <c r="C72" s="33">
        <f>COUNTIF(develop!F72:F980,B72)</f>
        <v>1</v>
      </c>
      <c r="D72" s="34" t="s">
        <v>811</v>
      </c>
      <c r="E72" s="28" t="s">
        <v>950</v>
      </c>
      <c r="F72" s="34" t="s">
        <v>951</v>
      </c>
      <c r="G72" s="35" t="str">
        <f t="shared" si="1"/>
        <v>mx-api-bc-pro-currency-exchange</v>
      </c>
      <c r="H72" s="37" t="str">
        <f t="shared" si="2"/>
        <v>https://anypoint.mulesoft.com/exchange/834f46f4-ef08-4c50-81ae-56f917b413cc/mx-api-bc-pro-currency-exchange</v>
      </c>
      <c r="I72" s="42" t="s">
        <v>162</v>
      </c>
      <c r="J72" s="41" t="str">
        <f t="shared" si="9"/>
        <v>mx-ms-bc-pro-currency-exchange</v>
      </c>
      <c r="K72" s="39" t="s">
        <v>816</v>
      </c>
      <c r="L72" s="77" t="str">
        <f>IFERROR(__xludf.DUMMYFUNCTION("REGEXREPLACE(REGEXREPLACE(REGEXREPLACE(J72, ""mx-ms-bc-"", """"), ""-mule"", ""-api-dev""), ""-apigee"", ""-api-dev"")"),"pro-currency-exchange")</f>
        <v>pro-currency-exchange</v>
      </c>
      <c r="M72" s="41" t="str">
        <f t="shared" si="10"/>
        <v>mx-ms-bc-pro-currency-exchange</v>
      </c>
      <c r="N72" s="39" t="str">
        <f t="shared" si="5"/>
        <v>Valid</v>
      </c>
      <c r="O72" s="42">
        <f t="shared" si="6"/>
        <v>30</v>
      </c>
      <c r="P72" s="42"/>
      <c r="Q72" s="42"/>
      <c r="R72" s="43"/>
      <c r="S72" s="43"/>
      <c r="T72" s="43"/>
      <c r="U72" s="43"/>
      <c r="V72" s="43"/>
      <c r="W72" s="43"/>
      <c r="X72" s="43"/>
      <c r="Y72" s="43"/>
      <c r="Z72" s="43"/>
      <c r="AA72" s="43"/>
      <c r="AB72" s="43"/>
      <c r="AC72" s="43"/>
      <c r="AD72" s="43"/>
      <c r="AE72" s="43"/>
      <c r="AF72" s="43"/>
      <c r="AG72" s="43"/>
      <c r="AH72" s="43"/>
      <c r="AI72" s="43"/>
      <c r="AJ72" s="43"/>
    </row>
    <row r="73">
      <c r="A73" s="46" t="s">
        <v>44</v>
      </c>
      <c r="B73" s="47" t="s">
        <v>956</v>
      </c>
      <c r="C73" s="50">
        <f>COUNTIF(develop!F73:F980,B73)</f>
        <v>1</v>
      </c>
      <c r="D73" s="51" t="s">
        <v>811</v>
      </c>
      <c r="E73" s="47" t="s">
        <v>957</v>
      </c>
      <c r="F73" s="51" t="s">
        <v>959</v>
      </c>
      <c r="G73" s="53" t="str">
        <f t="shared" si="1"/>
        <v>mx-api-bc-pro-current-account</v>
      </c>
      <c r="H73" s="54" t="str">
        <f t="shared" si="2"/>
        <v>https://anypoint.mulesoft.com/exchange/834f46f4-ef08-4c50-81ae-56f917b413cc/mx-api-bc-pro-current-account</v>
      </c>
      <c r="I73" s="59" t="s">
        <v>162</v>
      </c>
      <c r="J73" s="57" t="str">
        <f t="shared" si="9"/>
        <v>mx-ms-bc-pro-current-account</v>
      </c>
      <c r="K73" s="55" t="s">
        <v>816</v>
      </c>
      <c r="L73" s="76" t="str">
        <f>IFERROR(__xludf.DUMMYFUNCTION("REGEXREPLACE(REGEXREPLACE(REGEXREPLACE(J73, ""mx-ms-bc-"", """"), ""-mule"", ""-api-dev""), ""-apigee"", ""-api-dev"")"),"pro-current-account")</f>
        <v>pro-current-account</v>
      </c>
      <c r="M73" s="57" t="str">
        <f t="shared" si="10"/>
        <v>mx-ms-bc-pro-current-account</v>
      </c>
      <c r="N73" s="55" t="str">
        <f t="shared" si="5"/>
        <v>Valid</v>
      </c>
      <c r="O73" s="59">
        <f t="shared" si="6"/>
        <v>28</v>
      </c>
      <c r="P73" s="59"/>
      <c r="Q73" s="59"/>
      <c r="R73" s="60"/>
      <c r="S73" s="60"/>
      <c r="T73" s="60"/>
      <c r="U73" s="60"/>
      <c r="V73" s="60"/>
      <c r="W73" s="60"/>
      <c r="X73" s="60"/>
      <c r="Y73" s="60"/>
      <c r="Z73" s="60"/>
      <c r="AA73" s="60"/>
      <c r="AB73" s="60"/>
      <c r="AC73" s="60"/>
      <c r="AD73" s="60"/>
      <c r="AE73" s="60"/>
      <c r="AF73" s="60"/>
      <c r="AG73" s="60"/>
      <c r="AH73" s="60"/>
      <c r="AI73" s="60"/>
      <c r="AJ73" s="60"/>
    </row>
    <row r="74">
      <c r="A74" s="27" t="s">
        <v>44</v>
      </c>
      <c r="B74" s="28" t="s">
        <v>968</v>
      </c>
      <c r="C74" s="33">
        <f>COUNTIF(develop!F74:F980,B74)</f>
        <v>2</v>
      </c>
      <c r="D74" s="34" t="s">
        <v>811</v>
      </c>
      <c r="E74" s="28" t="s">
        <v>969</v>
      </c>
      <c r="F74" s="34" t="s">
        <v>970</v>
      </c>
      <c r="G74" s="35" t="str">
        <f t="shared" si="1"/>
        <v>mx-api-bc-pro-customer-access-entitlement</v>
      </c>
      <c r="H74" s="37" t="str">
        <f t="shared" si="2"/>
        <v>https://anypoint.mulesoft.com/exchange/834f46f4-ef08-4c50-81ae-56f917b413cc/mx-api-bc-pro-customer-access-entitlement</v>
      </c>
      <c r="I74" s="42" t="s">
        <v>134</v>
      </c>
      <c r="J74" s="41" t="str">
        <f t="shared" si="9"/>
        <v>mx-ms-bc-pro-customer-access-entitlement</v>
      </c>
      <c r="K74" s="39" t="s">
        <v>816</v>
      </c>
      <c r="L74" s="77" t="str">
        <f>IFERROR(__xludf.DUMMYFUNCTION("REGEXREPLACE(REGEXREPLACE(REGEXREPLACE(J74, ""mx-ms-bc-"", """"), ""-mule"", ""-api-dev""), ""-apigee"", ""-api-dev"")"),"pro-customer-access-entitlement")</f>
        <v>pro-customer-access-entitlement</v>
      </c>
      <c r="M74" s="41" t="str">
        <f t="shared" si="10"/>
        <v>mx-ms-bc-pro-customer-access-entitlement</v>
      </c>
      <c r="N74" s="39" t="str">
        <f t="shared" si="5"/>
        <v>Valid</v>
      </c>
      <c r="O74" s="42">
        <f t="shared" si="6"/>
        <v>40</v>
      </c>
      <c r="P74" s="42"/>
      <c r="Q74" s="42"/>
      <c r="R74" s="43"/>
      <c r="S74" s="43"/>
      <c r="T74" s="43"/>
      <c r="U74" s="43"/>
      <c r="V74" s="43"/>
      <c r="W74" s="43"/>
      <c r="X74" s="43"/>
      <c r="Y74" s="43"/>
      <c r="Z74" s="43"/>
      <c r="AA74" s="43"/>
      <c r="AB74" s="43"/>
      <c r="AC74" s="43"/>
      <c r="AD74" s="43"/>
      <c r="AE74" s="43"/>
      <c r="AF74" s="43"/>
      <c r="AG74" s="43"/>
      <c r="AH74" s="43"/>
      <c r="AI74" s="43"/>
      <c r="AJ74" s="43"/>
    </row>
    <row r="75">
      <c r="A75" s="46" t="s">
        <v>44</v>
      </c>
      <c r="B75" s="47" t="s">
        <v>977</v>
      </c>
      <c r="C75" s="50">
        <f>COUNTIF(develop!F75:F980,B75)</f>
        <v>6</v>
      </c>
      <c r="D75" s="51" t="s">
        <v>811</v>
      </c>
      <c r="E75" s="47" t="s">
        <v>980</v>
      </c>
      <c r="F75" s="51" t="s">
        <v>981</v>
      </c>
      <c r="G75" s="53" t="str">
        <f t="shared" si="1"/>
        <v>mx-api-bc-pro-customer-agreement</v>
      </c>
      <c r="H75" s="54" t="str">
        <f t="shared" si="2"/>
        <v>https://anypoint.mulesoft.com/exchange/834f46f4-ef08-4c50-81ae-56f917b413cc/mx-api-bc-pro-customer-agreement</v>
      </c>
      <c r="I75" s="59" t="s">
        <v>57</v>
      </c>
      <c r="J75" s="57" t="str">
        <f t="shared" si="9"/>
        <v>mx-ms-bc-pro-customer-agreement</v>
      </c>
      <c r="K75" s="55" t="s">
        <v>816</v>
      </c>
      <c r="L75" s="76" t="str">
        <f>IFERROR(__xludf.DUMMYFUNCTION("REGEXREPLACE(REGEXREPLACE(REGEXREPLACE(J75, ""mx-ms-bc-"", """"), ""-mule"", ""-api-dev""), ""-apigee"", ""-api-dev"")"),"pro-customer-agreement")</f>
        <v>pro-customer-agreement</v>
      </c>
      <c r="M75" s="57" t="str">
        <f t="shared" si="10"/>
        <v>mx-ms-bc-pro-customer-agreement</v>
      </c>
      <c r="N75" s="55" t="str">
        <f t="shared" si="5"/>
        <v>Valid</v>
      </c>
      <c r="O75" s="59">
        <f t="shared" si="6"/>
        <v>31</v>
      </c>
      <c r="P75" s="59"/>
      <c r="Q75" s="59"/>
      <c r="R75" s="60"/>
      <c r="S75" s="60"/>
      <c r="T75" s="60"/>
      <c r="U75" s="60"/>
      <c r="V75" s="60"/>
      <c r="W75" s="60"/>
      <c r="X75" s="60"/>
      <c r="Y75" s="60"/>
      <c r="Z75" s="60"/>
      <c r="AA75" s="60"/>
      <c r="AB75" s="60"/>
      <c r="AC75" s="60"/>
      <c r="AD75" s="60"/>
      <c r="AE75" s="60"/>
      <c r="AF75" s="60"/>
      <c r="AG75" s="60"/>
      <c r="AH75" s="60"/>
      <c r="AI75" s="60"/>
      <c r="AJ75" s="60"/>
    </row>
    <row r="76">
      <c r="A76" s="27" t="s">
        <v>44</v>
      </c>
      <c r="B76" s="28" t="s">
        <v>986</v>
      </c>
      <c r="C76" s="33">
        <f>COUNTIF(develop!F76:F980,B76)</f>
        <v>17</v>
      </c>
      <c r="D76" s="34" t="s">
        <v>811</v>
      </c>
      <c r="E76" s="28" t="s">
        <v>992</v>
      </c>
      <c r="F76" s="34" t="s">
        <v>993</v>
      </c>
      <c r="G76" s="35" t="str">
        <f t="shared" si="1"/>
        <v>mx-api-bc-pro-customer-credit-rating</v>
      </c>
      <c r="H76" s="37" t="str">
        <f t="shared" si="2"/>
        <v>https://anypoint.mulesoft.com/exchange/834f46f4-ef08-4c50-81ae-56f917b413cc/mx-api-bc-pro-customer-credit-rating</v>
      </c>
      <c r="I76" s="42" t="s">
        <v>994</v>
      </c>
      <c r="J76" s="41" t="str">
        <f t="shared" si="9"/>
        <v>mx-ms-bc-pro-customer-credit-rating</v>
      </c>
      <c r="K76" s="39" t="s">
        <v>816</v>
      </c>
      <c r="L76" s="77" t="str">
        <f>IFERROR(__xludf.DUMMYFUNCTION("REGEXREPLACE(REGEXREPLACE(REGEXREPLACE(J76, ""mx-ms-bc-"", """"), ""-mule"", ""-api-dev""), ""-apigee"", ""-api-dev"")"),"pro-customer-credit-rating")</f>
        <v>pro-customer-credit-rating</v>
      </c>
      <c r="M76" s="41" t="str">
        <f t="shared" si="10"/>
        <v>mx-ms-bc-pro-customer-credit-rating</v>
      </c>
      <c r="N76" s="39" t="str">
        <f t="shared" si="5"/>
        <v>Valid</v>
      </c>
      <c r="O76" s="42">
        <f t="shared" si="6"/>
        <v>35</v>
      </c>
      <c r="P76" s="42"/>
      <c r="Q76" s="42"/>
      <c r="R76" s="43"/>
      <c r="S76" s="43"/>
      <c r="T76" s="43"/>
      <c r="U76" s="43"/>
      <c r="V76" s="43"/>
      <c r="W76" s="43"/>
      <c r="X76" s="43"/>
      <c r="Y76" s="43"/>
      <c r="Z76" s="43"/>
      <c r="AA76" s="43"/>
      <c r="AB76" s="43"/>
      <c r="AC76" s="43"/>
      <c r="AD76" s="43"/>
      <c r="AE76" s="43"/>
      <c r="AF76" s="43"/>
      <c r="AG76" s="43"/>
      <c r="AH76" s="43"/>
      <c r="AI76" s="43"/>
      <c r="AJ76" s="43"/>
    </row>
    <row r="77">
      <c r="A77" s="46" t="s">
        <v>44</v>
      </c>
      <c r="B77" s="47" t="s">
        <v>1001</v>
      </c>
      <c r="C77" s="50">
        <f>COUNTIF(develop!F77:F980,B77)</f>
        <v>4</v>
      </c>
      <c r="D77" s="51" t="s">
        <v>811</v>
      </c>
      <c r="E77" s="47" t="s">
        <v>1005</v>
      </c>
      <c r="F77" s="51" t="s">
        <v>1006</v>
      </c>
      <c r="G77" s="53" t="str">
        <f t="shared" si="1"/>
        <v>mx-api-bc-pro-customer-offer</v>
      </c>
      <c r="H77" s="54" t="str">
        <f t="shared" si="2"/>
        <v>https://anypoint.mulesoft.com/exchange/834f46f4-ef08-4c50-81ae-56f917b413cc/mx-api-bc-pro-customer-offer</v>
      </c>
      <c r="I77" s="59" t="s">
        <v>162</v>
      </c>
      <c r="J77" s="57" t="str">
        <f t="shared" si="9"/>
        <v>mx-ms-bc-pro-customer-offer</v>
      </c>
      <c r="K77" s="55" t="s">
        <v>816</v>
      </c>
      <c r="L77" s="76" t="str">
        <f>IFERROR(__xludf.DUMMYFUNCTION("REGEXREPLACE(REGEXREPLACE(REGEXREPLACE(J77, ""mx-ms-bc-"", """"), ""-mule"", ""-api-dev""), ""-apigee"", ""-api-dev"")"),"pro-customer-offer")</f>
        <v>pro-customer-offer</v>
      </c>
      <c r="M77" s="57" t="str">
        <f t="shared" si="10"/>
        <v>mx-ms-bc-pro-customer-offer</v>
      </c>
      <c r="N77" s="55" t="str">
        <f t="shared" si="5"/>
        <v>Valid</v>
      </c>
      <c r="O77" s="59">
        <f t="shared" si="6"/>
        <v>27</v>
      </c>
      <c r="P77" s="59"/>
      <c r="Q77" s="59"/>
      <c r="R77" s="60"/>
      <c r="S77" s="60"/>
      <c r="T77" s="60"/>
      <c r="U77" s="60"/>
      <c r="V77" s="60"/>
      <c r="W77" s="60"/>
      <c r="X77" s="60"/>
      <c r="Y77" s="60"/>
      <c r="Z77" s="60"/>
      <c r="AA77" s="60"/>
      <c r="AB77" s="60"/>
      <c r="AC77" s="60"/>
      <c r="AD77" s="60"/>
      <c r="AE77" s="60"/>
      <c r="AF77" s="60"/>
      <c r="AG77" s="60"/>
      <c r="AH77" s="60"/>
      <c r="AI77" s="60"/>
      <c r="AJ77" s="60"/>
    </row>
    <row r="78">
      <c r="A78" s="27" t="s">
        <v>44</v>
      </c>
      <c r="B78" s="28" t="s">
        <v>1012</v>
      </c>
      <c r="C78" s="33">
        <f>COUNTIF(develop!F78:F980,B78)</f>
        <v>7</v>
      </c>
      <c r="D78" s="34" t="s">
        <v>811</v>
      </c>
      <c r="E78" s="28" t="s">
        <v>1013</v>
      </c>
      <c r="F78" s="34" t="s">
        <v>1014</v>
      </c>
      <c r="G78" s="35" t="str">
        <f t="shared" si="1"/>
        <v>mx-api-bc-pro-customer-position</v>
      </c>
      <c r="H78" s="37" t="str">
        <f t="shared" si="2"/>
        <v>https://anypoint.mulesoft.com/exchange/834f46f4-ef08-4c50-81ae-56f917b413cc/mx-api-bc-pro-customer-position</v>
      </c>
      <c r="I78" s="42" t="s">
        <v>57</v>
      </c>
      <c r="J78" s="41" t="str">
        <f t="shared" si="9"/>
        <v>mx-ms-bc-pro-customer-position</v>
      </c>
      <c r="K78" s="39" t="s">
        <v>816</v>
      </c>
      <c r="L78" s="77" t="str">
        <f>IFERROR(__xludf.DUMMYFUNCTION("REGEXREPLACE(REGEXREPLACE(REGEXREPLACE(J78, ""mx-ms-bc-"", """"), ""-mule"", ""-api-dev""), ""-apigee"", ""-api-dev"")"),"pro-customer-position")</f>
        <v>pro-customer-position</v>
      </c>
      <c r="M78" s="41" t="str">
        <f t="shared" si="10"/>
        <v>mx-ms-bc-pro-customer-position</v>
      </c>
      <c r="N78" s="39" t="str">
        <f t="shared" si="5"/>
        <v>Valid</v>
      </c>
      <c r="O78" s="42">
        <f t="shared" si="6"/>
        <v>30</v>
      </c>
      <c r="P78" s="42"/>
      <c r="Q78" s="42"/>
      <c r="R78" s="43"/>
      <c r="S78" s="43"/>
      <c r="T78" s="43"/>
      <c r="U78" s="43"/>
      <c r="V78" s="43"/>
      <c r="W78" s="43"/>
      <c r="X78" s="43"/>
      <c r="Y78" s="43"/>
      <c r="Z78" s="43"/>
      <c r="AA78" s="43"/>
      <c r="AB78" s="43"/>
      <c r="AC78" s="43"/>
      <c r="AD78" s="43"/>
      <c r="AE78" s="43"/>
      <c r="AF78" s="43"/>
      <c r="AG78" s="43"/>
      <c r="AH78" s="43"/>
      <c r="AI78" s="43"/>
      <c r="AJ78" s="43"/>
    </row>
    <row r="79">
      <c r="A79" s="46" t="s">
        <v>44</v>
      </c>
      <c r="B79" s="47" t="s">
        <v>1023</v>
      </c>
      <c r="C79" s="50">
        <f>COUNTIF(develop!F79:F980,B79)</f>
        <v>4</v>
      </c>
      <c r="D79" s="51" t="s">
        <v>811</v>
      </c>
      <c r="E79" s="47" t="s">
        <v>1024</v>
      </c>
      <c r="F79" s="51" t="s">
        <v>1025</v>
      </c>
      <c r="G79" s="53" t="str">
        <f t="shared" si="1"/>
        <v>mx-api-bc-pro-customer-product-and-service-eligibility</v>
      </c>
      <c r="H79" s="54" t="str">
        <f t="shared" si="2"/>
        <v>https://anypoint.mulesoft.com/exchange/834f46f4-ef08-4c50-81ae-56f917b413cc/mx-api-bc-pro-customer-product-and-service-eligibility</v>
      </c>
      <c r="I79" s="59" t="s">
        <v>122</v>
      </c>
      <c r="J79" s="57" t="str">
        <f t="shared" si="9"/>
        <v>mx-ms-bc-pro-customer-product-and-service-eligibility</v>
      </c>
      <c r="K79" s="55" t="s">
        <v>816</v>
      </c>
      <c r="L79" s="76" t="str">
        <f>IFERROR(__xludf.DUMMYFUNCTION("REGEXREPLACE(REGEXREPLACE(REGEXREPLACE(J79, ""mx-ms-bc-"", """"), ""-mule"", ""-api-dev""), ""-apigee"", ""-api-dev"")"),"pro-customer-product-and-service-eligibility")</f>
        <v>pro-customer-product-and-service-eligibility</v>
      </c>
      <c r="M79" s="57" t="str">
        <f t="shared" si="10"/>
        <v>mx-ms-bc-pro-customer-product-and-service-eligibility</v>
      </c>
      <c r="N79" s="55" t="str">
        <f t="shared" si="5"/>
        <v>Valid</v>
      </c>
      <c r="O79" s="59">
        <f t="shared" si="6"/>
        <v>53</v>
      </c>
      <c r="P79" s="59"/>
      <c r="Q79" s="59"/>
      <c r="R79" s="60"/>
      <c r="S79" s="60"/>
      <c r="T79" s="60"/>
      <c r="U79" s="60"/>
      <c r="V79" s="60"/>
      <c r="W79" s="60"/>
      <c r="X79" s="60"/>
      <c r="Y79" s="60"/>
      <c r="Z79" s="60"/>
      <c r="AA79" s="60"/>
      <c r="AB79" s="60"/>
      <c r="AC79" s="60"/>
      <c r="AD79" s="60"/>
      <c r="AE79" s="60"/>
      <c r="AF79" s="60"/>
      <c r="AG79" s="60"/>
      <c r="AH79" s="60"/>
      <c r="AI79" s="60"/>
      <c r="AJ79" s="60"/>
    </row>
    <row r="80">
      <c r="A80" s="27" t="s">
        <v>44</v>
      </c>
      <c r="B80" s="67" t="s">
        <v>1034</v>
      </c>
      <c r="C80" s="33">
        <f>COUNTIF(develop!F80:F980,B80)</f>
        <v>16</v>
      </c>
      <c r="D80" s="34" t="s">
        <v>811</v>
      </c>
      <c r="E80" s="28" t="s">
        <v>1038</v>
      </c>
      <c r="F80" s="34" t="s">
        <v>1039</v>
      </c>
      <c r="G80" s="35" t="str">
        <f t="shared" si="1"/>
        <v>mx-api-bc-pro-customer-products-and-services</v>
      </c>
      <c r="H80" s="37" t="str">
        <f t="shared" si="2"/>
        <v>https://anypoint.mulesoft.com/exchange/834f46f4-ef08-4c50-81ae-56f917b413cc/mx-api-bc-pro-customer-products-and-services</v>
      </c>
      <c r="I80" s="42" t="s">
        <v>134</v>
      </c>
      <c r="J80" s="41" t="str">
        <f t="shared" si="9"/>
        <v>mx-ms-bc-pro-customer-products-and-services</v>
      </c>
      <c r="K80" s="39" t="s">
        <v>816</v>
      </c>
      <c r="L80" s="77" t="str">
        <f>IFERROR(__xludf.DUMMYFUNCTION("REGEXREPLACE(REGEXREPLACE(REGEXREPLACE(J80, ""mx-ms-bc-"", """"), ""-mule"", ""-api-dev""), ""-apigee"", ""-api-dev"")"),"pro-customer-products-and-services")</f>
        <v>pro-customer-products-and-services</v>
      </c>
      <c r="M80" s="41" t="str">
        <f t="shared" si="10"/>
        <v>mx-ms-bc-pro-customer-products-and-services</v>
      </c>
      <c r="N80" s="39" t="str">
        <f t="shared" si="5"/>
        <v>Valid</v>
      </c>
      <c r="O80" s="42">
        <f t="shared" si="6"/>
        <v>43</v>
      </c>
      <c r="P80" s="42"/>
      <c r="Q80" s="42"/>
      <c r="R80" s="43"/>
      <c r="S80" s="43"/>
      <c r="T80" s="43"/>
      <c r="U80" s="43"/>
      <c r="V80" s="43"/>
      <c r="W80" s="43"/>
      <c r="X80" s="43"/>
      <c r="Y80" s="43"/>
      <c r="Z80" s="43"/>
      <c r="AA80" s="43"/>
      <c r="AB80" s="43"/>
      <c r="AC80" s="43"/>
      <c r="AD80" s="43"/>
      <c r="AE80" s="43"/>
      <c r="AF80" s="43"/>
      <c r="AG80" s="43"/>
      <c r="AH80" s="43"/>
      <c r="AI80" s="43"/>
      <c r="AJ80" s="43"/>
    </row>
    <row r="81">
      <c r="A81" s="46" t="s">
        <v>44</v>
      </c>
      <c r="B81" s="47" t="s">
        <v>1044</v>
      </c>
      <c r="C81" s="50">
        <f>COUNTIF(develop!F81:F980,B81)</f>
        <v>3</v>
      </c>
      <c r="D81" s="51" t="s">
        <v>811</v>
      </c>
      <c r="E81" s="47" t="s">
        <v>1046</v>
      </c>
      <c r="F81" s="51" t="s">
        <v>1048</v>
      </c>
      <c r="G81" s="53" t="str">
        <f t="shared" si="1"/>
        <v>mx-api-bc-pro-customer-relationship-management</v>
      </c>
      <c r="H81" s="54" t="str">
        <f t="shared" si="2"/>
        <v>https://anypoint.mulesoft.com/exchange/834f46f4-ef08-4c50-81ae-56f917b413cc/mx-api-bc-pro-customer-relationship-management</v>
      </c>
      <c r="I81" s="59" t="s">
        <v>162</v>
      </c>
      <c r="J81" s="57" t="str">
        <f t="shared" si="9"/>
        <v>mx-ms-bc-pro-customer-relationship-management</v>
      </c>
      <c r="K81" s="55" t="s">
        <v>816</v>
      </c>
      <c r="L81" s="76" t="str">
        <f>IFERROR(__xludf.DUMMYFUNCTION("REGEXREPLACE(REGEXREPLACE(REGEXREPLACE(J81, ""mx-ms-bc-"", """"), ""-mule"", ""-api-dev""), ""-apigee"", ""-api-dev"")"),"pro-customer-relationship-management")</f>
        <v>pro-customer-relationship-management</v>
      </c>
      <c r="M81" s="57" t="str">
        <f t="shared" si="10"/>
        <v>mx-ms-bc-pro-customer-relationship-management</v>
      </c>
      <c r="N81" s="55" t="str">
        <f t="shared" si="5"/>
        <v>Valid</v>
      </c>
      <c r="O81" s="59">
        <f t="shared" si="6"/>
        <v>45</v>
      </c>
      <c r="P81" s="59"/>
      <c r="Q81" s="59"/>
      <c r="R81" s="60"/>
      <c r="S81" s="60"/>
      <c r="T81" s="60"/>
      <c r="U81" s="60"/>
      <c r="V81" s="60"/>
      <c r="W81" s="60"/>
      <c r="X81" s="60"/>
      <c r="Y81" s="60"/>
      <c r="Z81" s="60"/>
      <c r="AA81" s="60"/>
      <c r="AB81" s="60"/>
      <c r="AC81" s="60"/>
      <c r="AD81" s="60"/>
      <c r="AE81" s="60"/>
      <c r="AF81" s="60"/>
      <c r="AG81" s="60"/>
      <c r="AH81" s="60"/>
      <c r="AI81" s="60"/>
      <c r="AJ81" s="60"/>
    </row>
    <row r="82">
      <c r="A82" s="27" t="s">
        <v>44</v>
      </c>
      <c r="B82" s="28" t="s">
        <v>1055</v>
      </c>
      <c r="C82" s="33">
        <f>COUNTIF(develop!F82:F980,B82)</f>
        <v>1</v>
      </c>
      <c r="D82" s="34" t="s">
        <v>811</v>
      </c>
      <c r="E82" s="28" t="s">
        <v>1056</v>
      </c>
      <c r="F82" s="34" t="s">
        <v>1057</v>
      </c>
      <c r="G82" s="35" t="str">
        <f t="shared" si="1"/>
        <v>mx-api-bc-pro-customer-workbench</v>
      </c>
      <c r="H82" s="37" t="str">
        <f t="shared" si="2"/>
        <v>https://anypoint.mulesoft.com/exchange/834f46f4-ef08-4c50-81ae-56f917b413cc/mx-api-bc-pro-customer-workbench</v>
      </c>
      <c r="I82" s="42" t="s">
        <v>162</v>
      </c>
      <c r="J82" s="41" t="str">
        <f t="shared" si="9"/>
        <v>mx-ms-bc-pro-customer-workbench</v>
      </c>
      <c r="K82" s="39" t="s">
        <v>816</v>
      </c>
      <c r="L82" s="77" t="str">
        <f>IFERROR(__xludf.DUMMYFUNCTION("REGEXREPLACE(REGEXREPLACE(REGEXREPLACE(J82, ""mx-ms-bc-"", """"), ""-mule"", ""-api-dev""), ""-apigee"", ""-api-dev"")"),"pro-customer-workbench")</f>
        <v>pro-customer-workbench</v>
      </c>
      <c r="M82" s="41" t="str">
        <f t="shared" si="10"/>
        <v>mx-ms-bc-pro-customer-workbench</v>
      </c>
      <c r="N82" s="39" t="str">
        <f t="shared" si="5"/>
        <v>Valid</v>
      </c>
      <c r="O82" s="42">
        <f t="shared" si="6"/>
        <v>31</v>
      </c>
      <c r="P82" s="42"/>
      <c r="Q82" s="42"/>
      <c r="R82" s="43"/>
      <c r="S82" s="43"/>
      <c r="T82" s="43"/>
      <c r="U82" s="43"/>
      <c r="V82" s="43"/>
      <c r="W82" s="43"/>
      <c r="X82" s="43"/>
      <c r="Y82" s="43"/>
      <c r="Z82" s="43"/>
      <c r="AA82" s="43"/>
      <c r="AB82" s="43"/>
      <c r="AC82" s="43"/>
      <c r="AD82" s="43"/>
      <c r="AE82" s="43"/>
      <c r="AF82" s="43"/>
      <c r="AG82" s="43"/>
      <c r="AH82" s="43"/>
      <c r="AI82" s="43"/>
      <c r="AJ82" s="43"/>
    </row>
    <row r="83">
      <c r="A83" s="46" t="s">
        <v>44</v>
      </c>
      <c r="B83" s="47" t="s">
        <v>1065</v>
      </c>
      <c r="C83" s="50">
        <f>COUNTIF(develop!F83:F980,B83)</f>
        <v>1</v>
      </c>
      <c r="D83" s="51" t="s">
        <v>811</v>
      </c>
      <c r="E83" s="47" t="s">
        <v>1069</v>
      </c>
      <c r="F83" s="51" t="s">
        <v>1070</v>
      </c>
      <c r="G83" s="53" t="str">
        <f t="shared" si="1"/>
        <v>mx-api-bc-pro-direct-debit</v>
      </c>
      <c r="H83" s="54" t="str">
        <f t="shared" si="2"/>
        <v>https://anypoint.mulesoft.com/exchange/834f46f4-ef08-4c50-81ae-56f917b413cc/mx-api-bc-pro-direct-debit</v>
      </c>
      <c r="I83" s="59" t="s">
        <v>162</v>
      </c>
      <c r="J83" s="57" t="str">
        <f t="shared" si="9"/>
        <v>mx-ms-bc-pro-direct-debit</v>
      </c>
      <c r="K83" s="55" t="s">
        <v>816</v>
      </c>
      <c r="L83" s="76" t="str">
        <f>IFERROR(__xludf.DUMMYFUNCTION("REGEXREPLACE(REGEXREPLACE(REGEXREPLACE(J83, ""mx-ms-bc-"", """"), ""-mule"", ""-api-dev""), ""-apigee"", ""-api-dev"")"),"pro-direct-debit")</f>
        <v>pro-direct-debit</v>
      </c>
      <c r="M83" s="57" t="str">
        <f t="shared" si="10"/>
        <v>mx-ms-bc-pro-direct-debit</v>
      </c>
      <c r="N83" s="55" t="str">
        <f t="shared" si="5"/>
        <v>Valid</v>
      </c>
      <c r="O83" s="59">
        <f t="shared" si="6"/>
        <v>25</v>
      </c>
      <c r="P83" s="59"/>
      <c r="Q83" s="59"/>
      <c r="R83" s="60"/>
      <c r="S83" s="60"/>
      <c r="T83" s="60"/>
      <c r="U83" s="60"/>
      <c r="V83" s="60"/>
      <c r="W83" s="60"/>
      <c r="X83" s="60"/>
      <c r="Y83" s="60"/>
      <c r="Z83" s="60"/>
      <c r="AA83" s="60"/>
      <c r="AB83" s="60"/>
      <c r="AC83" s="60"/>
      <c r="AD83" s="60"/>
      <c r="AE83" s="60"/>
      <c r="AF83" s="60"/>
      <c r="AG83" s="60"/>
      <c r="AH83" s="60"/>
      <c r="AI83" s="60"/>
      <c r="AJ83" s="60"/>
    </row>
    <row r="84">
      <c r="A84" s="27" t="s">
        <v>44</v>
      </c>
      <c r="B84" s="28" t="s">
        <v>1075</v>
      </c>
      <c r="C84" s="33">
        <f>COUNTIF(develop!F84:F980,B84)</f>
        <v>3</v>
      </c>
      <c r="D84" s="34" t="s">
        <v>811</v>
      </c>
      <c r="E84" s="28" t="s">
        <v>1078</v>
      </c>
      <c r="F84" s="34" t="s">
        <v>1079</v>
      </c>
      <c r="G84" s="35" t="str">
        <f t="shared" si="1"/>
        <v>mx-api-bc-pro-document-directory</v>
      </c>
      <c r="H84" s="37" t="str">
        <f t="shared" si="2"/>
        <v>https://anypoint.mulesoft.com/exchange/834f46f4-ef08-4c50-81ae-56f917b413cc/mx-api-bc-pro-document-directory</v>
      </c>
      <c r="I84" s="42" t="s">
        <v>162</v>
      </c>
      <c r="J84" s="41" t="str">
        <f t="shared" si="9"/>
        <v>mx-ms-bc-pro-document-directory</v>
      </c>
      <c r="K84" s="39" t="s">
        <v>816</v>
      </c>
      <c r="L84" s="77" t="str">
        <f>IFERROR(__xludf.DUMMYFUNCTION("REGEXREPLACE(REGEXREPLACE(REGEXREPLACE(J84, ""mx-ms-bc-"", """"), ""-mule"", ""-api-dev""), ""-apigee"", ""-api-dev"")"),"pro-document-directory")</f>
        <v>pro-document-directory</v>
      </c>
      <c r="M84" s="41" t="str">
        <f t="shared" si="10"/>
        <v>mx-ms-bc-pro-document-directory</v>
      </c>
      <c r="N84" s="39" t="str">
        <f t="shared" si="5"/>
        <v>Valid</v>
      </c>
      <c r="O84" s="42">
        <f t="shared" si="6"/>
        <v>31</v>
      </c>
      <c r="P84" s="42"/>
      <c r="Q84" s="42"/>
      <c r="R84" s="43"/>
      <c r="S84" s="43"/>
      <c r="T84" s="43"/>
      <c r="U84" s="43"/>
      <c r="V84" s="43"/>
      <c r="W84" s="43"/>
      <c r="X84" s="43"/>
      <c r="Y84" s="43"/>
      <c r="Z84" s="43"/>
      <c r="AA84" s="43"/>
      <c r="AB84" s="43"/>
      <c r="AC84" s="43"/>
      <c r="AD84" s="43"/>
      <c r="AE84" s="43"/>
      <c r="AF84" s="43"/>
      <c r="AG84" s="43"/>
      <c r="AH84" s="43"/>
      <c r="AI84" s="43"/>
      <c r="AJ84" s="43"/>
    </row>
    <row r="85">
      <c r="A85" s="46" t="s">
        <v>44</v>
      </c>
      <c r="B85" s="47" t="s">
        <v>1088</v>
      </c>
      <c r="C85" s="50">
        <f>COUNTIF(develop!F85:F980,B85)</f>
        <v>7</v>
      </c>
      <c r="D85" s="51" t="s">
        <v>811</v>
      </c>
      <c r="E85" s="47" t="s">
        <v>1091</v>
      </c>
      <c r="F85" s="51" t="s">
        <v>1092</v>
      </c>
      <c r="G85" s="53" t="str">
        <f t="shared" si="1"/>
        <v>mx-api-bc-pro-document-services</v>
      </c>
      <c r="H85" s="54" t="str">
        <f t="shared" si="2"/>
        <v>https://anypoint.mulesoft.com/exchange/834f46f4-ef08-4c50-81ae-56f917b413cc/mx-api-bc-pro-document-services</v>
      </c>
      <c r="I85" s="59" t="s">
        <v>92</v>
      </c>
      <c r="J85" s="57" t="str">
        <f t="shared" si="9"/>
        <v>mx-ms-bc-pro-document-services</v>
      </c>
      <c r="K85" s="55" t="s">
        <v>816</v>
      </c>
      <c r="L85" s="76" t="str">
        <f>IFERROR(__xludf.DUMMYFUNCTION("REGEXREPLACE(REGEXREPLACE(REGEXREPLACE(J85, ""mx-ms-bc-"", """"), ""-mule"", ""-api-dev""), ""-apigee"", ""-api-dev"")"),"pro-document-services")</f>
        <v>pro-document-services</v>
      </c>
      <c r="M85" s="57" t="str">
        <f t="shared" si="10"/>
        <v>mx-ms-bc-pro-document-services</v>
      </c>
      <c r="N85" s="55" t="str">
        <f t="shared" si="5"/>
        <v>Valid</v>
      </c>
      <c r="O85" s="59">
        <f t="shared" si="6"/>
        <v>30</v>
      </c>
      <c r="P85" s="59"/>
      <c r="Q85" s="59"/>
      <c r="R85" s="60"/>
      <c r="S85" s="60"/>
      <c r="T85" s="60"/>
      <c r="U85" s="60"/>
      <c r="V85" s="60"/>
      <c r="W85" s="60"/>
      <c r="X85" s="60"/>
      <c r="Y85" s="60"/>
      <c r="Z85" s="60"/>
      <c r="AA85" s="60"/>
      <c r="AB85" s="60"/>
      <c r="AC85" s="60"/>
      <c r="AD85" s="60"/>
      <c r="AE85" s="60"/>
      <c r="AF85" s="60"/>
      <c r="AG85" s="60"/>
      <c r="AH85" s="60"/>
      <c r="AI85" s="60"/>
      <c r="AJ85" s="60"/>
    </row>
    <row r="86">
      <c r="A86" s="27" t="s">
        <v>44</v>
      </c>
      <c r="B86" s="28" t="s">
        <v>1097</v>
      </c>
      <c r="C86" s="33">
        <f>COUNTIF(develop!F86:F980,B86)</f>
        <v>4</v>
      </c>
      <c r="D86" s="34" t="s">
        <v>811</v>
      </c>
      <c r="E86" s="28" t="s">
        <v>1098</v>
      </c>
      <c r="F86" s="34" t="s">
        <v>1101</v>
      </c>
      <c r="G86" s="35" t="str">
        <f t="shared" si="1"/>
        <v>mx-api-bc-pro-financial-accounting</v>
      </c>
      <c r="H86" s="37" t="str">
        <f t="shared" si="2"/>
        <v>https://anypoint.mulesoft.com/exchange/834f46f4-ef08-4c50-81ae-56f917b413cc/mx-api-bc-pro-financial-accounting</v>
      </c>
      <c r="I86" s="42" t="s">
        <v>162</v>
      </c>
      <c r="J86" s="41" t="str">
        <f t="shared" si="9"/>
        <v>mx-ms-bc-pro-financial-accounting</v>
      </c>
      <c r="K86" s="39" t="s">
        <v>816</v>
      </c>
      <c r="L86" s="77" t="str">
        <f>IFERROR(__xludf.DUMMYFUNCTION("REGEXREPLACE(REGEXREPLACE(REGEXREPLACE(J86, ""mx-ms-bc-"", """"), ""-mule"", ""-api-dev""), ""-apigee"", ""-api-dev"")"),"pro-financial-accounting")</f>
        <v>pro-financial-accounting</v>
      </c>
      <c r="M86" s="41" t="str">
        <f t="shared" si="10"/>
        <v>mx-ms-bc-pro-financial-accounting</v>
      </c>
      <c r="N86" s="39" t="str">
        <f t="shared" si="5"/>
        <v>Valid</v>
      </c>
      <c r="O86" s="42">
        <f t="shared" si="6"/>
        <v>33</v>
      </c>
      <c r="P86" s="42"/>
      <c r="Q86" s="42"/>
      <c r="R86" s="43"/>
      <c r="S86" s="43"/>
      <c r="T86" s="43"/>
      <c r="U86" s="43"/>
      <c r="V86" s="43"/>
      <c r="W86" s="43"/>
      <c r="X86" s="43"/>
      <c r="Y86" s="43"/>
      <c r="Z86" s="43"/>
      <c r="AA86" s="43"/>
      <c r="AB86" s="43"/>
      <c r="AC86" s="43"/>
      <c r="AD86" s="43"/>
      <c r="AE86" s="43"/>
      <c r="AF86" s="43"/>
      <c r="AG86" s="43"/>
      <c r="AH86" s="43"/>
      <c r="AI86" s="43"/>
      <c r="AJ86" s="43"/>
    </row>
    <row r="87">
      <c r="A87" s="46" t="s">
        <v>44</v>
      </c>
      <c r="B87" s="47" t="s">
        <v>1111</v>
      </c>
      <c r="C87" s="50">
        <f>COUNTIF(develop!F87:F980,B87)</f>
        <v>1</v>
      </c>
      <c r="D87" s="51" t="s">
        <v>811</v>
      </c>
      <c r="E87" s="47" t="s">
        <v>1112</v>
      </c>
      <c r="F87" s="51" t="s">
        <v>1113</v>
      </c>
      <c r="G87" s="53" t="str">
        <f t="shared" si="1"/>
        <v>mx-api-bc-pro-fraud-resolution</v>
      </c>
      <c r="H87" s="54" t="str">
        <f t="shared" si="2"/>
        <v>https://anypoint.mulesoft.com/exchange/834f46f4-ef08-4c50-81ae-56f917b413cc/mx-api-bc-pro-fraud-resolution</v>
      </c>
      <c r="I87" s="59" t="s">
        <v>162</v>
      </c>
      <c r="J87" s="57" t="str">
        <f t="shared" si="9"/>
        <v>mx-ms-bc-pro-fraud-resolution</v>
      </c>
      <c r="K87" s="55" t="s">
        <v>816</v>
      </c>
      <c r="L87" s="76" t="str">
        <f>IFERROR(__xludf.DUMMYFUNCTION("REGEXREPLACE(REGEXREPLACE(REGEXREPLACE(J87, ""mx-ms-bc-"", """"), ""-mule"", ""-api-dev""), ""-apigee"", ""-api-dev"")"),"pro-fraud-resolution")</f>
        <v>pro-fraud-resolution</v>
      </c>
      <c r="M87" s="57" t="str">
        <f t="shared" si="10"/>
        <v>mx-ms-bc-pro-fraud-resolution</v>
      </c>
      <c r="N87" s="55" t="str">
        <f t="shared" si="5"/>
        <v>Valid</v>
      </c>
      <c r="O87" s="59">
        <f t="shared" si="6"/>
        <v>29</v>
      </c>
      <c r="P87" s="59"/>
      <c r="Q87" s="59"/>
      <c r="R87" s="60"/>
      <c r="S87" s="60"/>
      <c r="T87" s="60"/>
      <c r="U87" s="60"/>
      <c r="V87" s="60"/>
      <c r="W87" s="60"/>
      <c r="X87" s="60"/>
      <c r="Y87" s="60"/>
      <c r="Z87" s="60"/>
      <c r="AA87" s="60"/>
      <c r="AB87" s="60"/>
      <c r="AC87" s="60"/>
      <c r="AD87" s="60"/>
      <c r="AE87" s="60"/>
      <c r="AF87" s="60"/>
      <c r="AG87" s="60"/>
      <c r="AH87" s="60"/>
      <c r="AI87" s="60"/>
      <c r="AJ87" s="60"/>
    </row>
    <row r="88">
      <c r="A88" s="27" t="s">
        <v>44</v>
      </c>
      <c r="B88" s="28" t="s">
        <v>1121</v>
      </c>
      <c r="C88" s="33">
        <f>COUNTIF(develop!F88:F980,B88)</f>
        <v>2</v>
      </c>
      <c r="D88" s="34" t="s">
        <v>811</v>
      </c>
      <c r="E88" s="28" t="s">
        <v>1125</v>
      </c>
      <c r="F88" s="34" t="s">
        <v>1126</v>
      </c>
      <c r="G88" s="35" t="str">
        <f t="shared" si="1"/>
        <v>mx-api-bc-pro-interactive-help</v>
      </c>
      <c r="H88" s="37" t="str">
        <f t="shared" si="2"/>
        <v>https://anypoint.mulesoft.com/exchange/834f46f4-ef08-4c50-81ae-56f917b413cc/mx-api-bc-pro-interactive-help</v>
      </c>
      <c r="I88" s="42" t="s">
        <v>162</v>
      </c>
      <c r="J88" s="41" t="str">
        <f t="shared" si="9"/>
        <v>mx-ms-bc-pro-interactive-help</v>
      </c>
      <c r="K88" s="39" t="s">
        <v>816</v>
      </c>
      <c r="L88" s="77" t="str">
        <f>IFERROR(__xludf.DUMMYFUNCTION("REGEXREPLACE(REGEXREPLACE(REGEXREPLACE(J88, ""mx-ms-bc-"", """"), ""-mule"", ""-api-dev""), ""-apigee"", ""-api-dev"")"),"pro-interactive-help")</f>
        <v>pro-interactive-help</v>
      </c>
      <c r="M88" s="41" t="str">
        <f t="shared" si="10"/>
        <v>mx-ms-bc-pro-interactive-help</v>
      </c>
      <c r="N88" s="39" t="str">
        <f t="shared" si="5"/>
        <v>Valid</v>
      </c>
      <c r="O88" s="42">
        <f t="shared" si="6"/>
        <v>29</v>
      </c>
      <c r="P88" s="42"/>
      <c r="Q88" s="42"/>
      <c r="R88" s="43"/>
      <c r="S88" s="43"/>
      <c r="T88" s="43"/>
      <c r="U88" s="43"/>
      <c r="V88" s="43"/>
      <c r="W88" s="43"/>
      <c r="X88" s="43"/>
      <c r="Y88" s="43"/>
      <c r="Z88" s="43"/>
      <c r="AA88" s="43"/>
      <c r="AB88" s="43"/>
      <c r="AC88" s="43"/>
      <c r="AD88" s="43"/>
      <c r="AE88" s="43"/>
      <c r="AF88" s="43"/>
      <c r="AG88" s="43"/>
      <c r="AH88" s="43"/>
      <c r="AI88" s="43"/>
      <c r="AJ88" s="43"/>
    </row>
    <row r="89">
      <c r="A89" s="46" t="s">
        <v>44</v>
      </c>
      <c r="B89" s="47" t="s">
        <v>1134</v>
      </c>
      <c r="C89" s="50">
        <f>COUNTIF(develop!F89:F980,B89)</f>
        <v>2</v>
      </c>
      <c r="D89" s="51" t="s">
        <v>811</v>
      </c>
      <c r="E89" s="47" t="s">
        <v>1137</v>
      </c>
      <c r="F89" s="51" t="s">
        <v>1138</v>
      </c>
      <c r="G89" s="53" t="str">
        <f t="shared" si="1"/>
        <v>mx-api-bc-pro-internal-bank-account</v>
      </c>
      <c r="H89" s="54" t="str">
        <f t="shared" si="2"/>
        <v>https://anypoint.mulesoft.com/exchange/834f46f4-ef08-4c50-81ae-56f917b413cc/mx-api-bc-pro-internal-bank-account</v>
      </c>
      <c r="I89" s="59" t="s">
        <v>162</v>
      </c>
      <c r="J89" s="57" t="str">
        <f t="shared" si="9"/>
        <v>mx-ms-bc-pro-internal-bank-account</v>
      </c>
      <c r="K89" s="55" t="s">
        <v>816</v>
      </c>
      <c r="L89" s="76" t="str">
        <f>IFERROR(__xludf.DUMMYFUNCTION("REGEXREPLACE(REGEXREPLACE(REGEXREPLACE(J89, ""mx-ms-bc-"", """"), ""-mule"", ""-api-dev""), ""-apigee"", ""-api-dev"")"),"pro-internal-bank-account")</f>
        <v>pro-internal-bank-account</v>
      </c>
      <c r="M89" s="57" t="str">
        <f t="shared" si="10"/>
        <v>mx-ms-bc-pro-internal-bank-account</v>
      </c>
      <c r="N89" s="55" t="str">
        <f t="shared" si="5"/>
        <v>Valid</v>
      </c>
      <c r="O89" s="59">
        <f t="shared" si="6"/>
        <v>34</v>
      </c>
      <c r="P89" s="59"/>
      <c r="Q89" s="59"/>
      <c r="R89" s="60"/>
      <c r="S89" s="60"/>
      <c r="T89" s="60"/>
      <c r="U89" s="60"/>
      <c r="V89" s="60"/>
      <c r="W89" s="60"/>
      <c r="X89" s="60"/>
      <c r="Y89" s="60"/>
      <c r="Z89" s="60"/>
      <c r="AA89" s="60"/>
      <c r="AB89" s="60"/>
      <c r="AC89" s="60"/>
      <c r="AD89" s="60"/>
      <c r="AE89" s="60"/>
      <c r="AF89" s="60"/>
      <c r="AG89" s="60"/>
      <c r="AH89" s="60"/>
      <c r="AI89" s="60"/>
      <c r="AJ89" s="60"/>
    </row>
    <row r="90">
      <c r="A90" s="27" t="s">
        <v>44</v>
      </c>
      <c r="B90" s="28" t="s">
        <v>1143</v>
      </c>
      <c r="C90" s="33">
        <f>COUNTIF(develop!F90:F980,B90)</f>
        <v>1</v>
      </c>
      <c r="D90" s="34" t="s">
        <v>811</v>
      </c>
      <c r="E90" s="28" t="s">
        <v>1144</v>
      </c>
      <c r="F90" s="34" t="s">
        <v>1146</v>
      </c>
      <c r="G90" s="35" t="str">
        <f t="shared" si="1"/>
        <v>mx-api-bc-pro-investment-account</v>
      </c>
      <c r="H90" s="37" t="str">
        <f t="shared" si="2"/>
        <v>https://anypoint.mulesoft.com/exchange/834f46f4-ef08-4c50-81ae-56f917b413cc/mx-api-bc-pro-investment-account</v>
      </c>
      <c r="I90" s="42" t="s">
        <v>162</v>
      </c>
      <c r="J90" s="41" t="str">
        <f t="shared" si="9"/>
        <v>mx-ms-bc-pro-investment-account</v>
      </c>
      <c r="K90" s="39" t="s">
        <v>816</v>
      </c>
      <c r="L90" s="77" t="str">
        <f>IFERROR(__xludf.DUMMYFUNCTION("REGEXREPLACE(REGEXREPLACE(REGEXREPLACE(J90, ""mx-ms-bc-"", """"), ""-mule"", ""-api-dev""), ""-apigee"", ""-api-dev"")"),"pro-investment-account")</f>
        <v>pro-investment-account</v>
      </c>
      <c r="M90" s="41" t="str">
        <f t="shared" si="10"/>
        <v>mx-ms-bc-pro-investment-account</v>
      </c>
      <c r="N90" s="39" t="str">
        <f t="shared" si="5"/>
        <v>Valid</v>
      </c>
      <c r="O90" s="42">
        <f t="shared" si="6"/>
        <v>31</v>
      </c>
      <c r="P90" s="42"/>
      <c r="Q90" s="42"/>
      <c r="R90" s="43"/>
      <c r="S90" s="43"/>
      <c r="T90" s="43"/>
      <c r="U90" s="43"/>
      <c r="V90" s="43"/>
      <c r="W90" s="43"/>
      <c r="X90" s="43"/>
      <c r="Y90" s="43"/>
      <c r="Z90" s="43"/>
      <c r="AA90" s="43"/>
      <c r="AB90" s="43"/>
      <c r="AC90" s="43"/>
      <c r="AD90" s="43"/>
      <c r="AE90" s="43"/>
      <c r="AF90" s="43"/>
      <c r="AG90" s="43"/>
      <c r="AH90" s="43"/>
      <c r="AI90" s="43"/>
      <c r="AJ90" s="43"/>
    </row>
    <row r="91">
      <c r="A91" s="46" t="s">
        <v>44</v>
      </c>
      <c r="B91" s="47" t="s">
        <v>1155</v>
      </c>
      <c r="C91" s="50">
        <f>COUNTIF(develop!F91:F980,B91)</f>
        <v>17</v>
      </c>
      <c r="D91" s="51" t="s">
        <v>811</v>
      </c>
      <c r="E91" s="47" t="s">
        <v>1156</v>
      </c>
      <c r="F91" s="51" t="s">
        <v>1157</v>
      </c>
      <c r="G91" s="53" t="str">
        <f t="shared" si="1"/>
        <v>mx-api-bc-pro-issued-device-administration</v>
      </c>
      <c r="H91" s="54" t="str">
        <f t="shared" si="2"/>
        <v>https://anypoint.mulesoft.com/exchange/834f46f4-ef08-4c50-81ae-56f917b413cc/mx-api-bc-pro-issued-device-administration</v>
      </c>
      <c r="I91" s="59" t="s">
        <v>57</v>
      </c>
      <c r="J91" s="57" t="str">
        <f t="shared" si="9"/>
        <v>mx-ms-bc-pro-issued-device-administration</v>
      </c>
      <c r="K91" s="55" t="s">
        <v>58</v>
      </c>
      <c r="L91" s="76" t="s">
        <v>1162</v>
      </c>
      <c r="M91" s="57" t="str">
        <f t="shared" si="10"/>
        <v>mx-ms-bc-pro-issued-device-administration</v>
      </c>
      <c r="N91" s="55" t="str">
        <f t="shared" si="5"/>
        <v>Valid</v>
      </c>
      <c r="O91" s="59">
        <f t="shared" si="6"/>
        <v>41</v>
      </c>
      <c r="P91" s="59"/>
      <c r="Q91" s="59"/>
      <c r="R91" s="60"/>
      <c r="S91" s="60"/>
      <c r="T91" s="60"/>
      <c r="U91" s="60"/>
      <c r="V91" s="60"/>
      <c r="W91" s="60"/>
      <c r="X91" s="60"/>
      <c r="Y91" s="60"/>
      <c r="Z91" s="60"/>
      <c r="AA91" s="60"/>
      <c r="AB91" s="60"/>
      <c r="AC91" s="60"/>
      <c r="AD91" s="60"/>
      <c r="AE91" s="60"/>
      <c r="AF91" s="60"/>
      <c r="AG91" s="60"/>
      <c r="AH91" s="60"/>
      <c r="AI91" s="60"/>
      <c r="AJ91" s="60"/>
    </row>
    <row r="92">
      <c r="A92" s="27" t="s">
        <v>44</v>
      </c>
      <c r="B92" s="28" t="s">
        <v>1167</v>
      </c>
      <c r="C92" s="33">
        <f>COUNTIF(develop!F92:F980,B92)</f>
        <v>2</v>
      </c>
      <c r="D92" s="34" t="s">
        <v>811</v>
      </c>
      <c r="E92" s="28" t="s">
        <v>1168</v>
      </c>
      <c r="F92" s="34" t="s">
        <v>1169</v>
      </c>
      <c r="G92" s="35" t="str">
        <f t="shared" si="1"/>
        <v>mx-api-bc-pro-issued-device-tracking</v>
      </c>
      <c r="H92" s="37" t="str">
        <f t="shared" si="2"/>
        <v>https://anypoint.mulesoft.com/exchange/834f46f4-ef08-4c50-81ae-56f917b413cc/mx-api-bc-pro-issued-device-tracking</v>
      </c>
      <c r="I92" s="42" t="s">
        <v>122</v>
      </c>
      <c r="J92" s="41" t="str">
        <f t="shared" si="9"/>
        <v>mx-ms-bc-pro-issued-device-tracking</v>
      </c>
      <c r="K92" s="39" t="s">
        <v>816</v>
      </c>
      <c r="L92" s="77" t="str">
        <f>IFERROR(__xludf.DUMMYFUNCTION("REGEXREPLACE(REGEXREPLACE(REGEXREPLACE(J92, ""mx-ms-bc-"", """"), ""-mule"", ""-api-dev""), ""-apigee"", ""-api-dev"")"),"pro-issued-device-tracking")</f>
        <v>pro-issued-device-tracking</v>
      </c>
      <c r="M92" s="41" t="str">
        <f t="shared" si="10"/>
        <v>mx-ms-bc-pro-issued-device-tracking</v>
      </c>
      <c r="N92" s="39" t="str">
        <f t="shared" si="5"/>
        <v>Valid</v>
      </c>
      <c r="O92" s="42">
        <f t="shared" si="6"/>
        <v>35</v>
      </c>
      <c r="P92" s="42"/>
      <c r="Q92" s="42"/>
      <c r="R92" s="43"/>
      <c r="S92" s="43"/>
      <c r="T92" s="43"/>
      <c r="U92" s="43"/>
      <c r="V92" s="43"/>
      <c r="W92" s="43"/>
      <c r="X92" s="43"/>
      <c r="Y92" s="43"/>
      <c r="Z92" s="43"/>
      <c r="AA92" s="43"/>
      <c r="AB92" s="43"/>
      <c r="AC92" s="43"/>
      <c r="AD92" s="43"/>
      <c r="AE92" s="43"/>
      <c r="AF92" s="43"/>
      <c r="AG92" s="43"/>
      <c r="AH92" s="43"/>
      <c r="AI92" s="43"/>
      <c r="AJ92" s="43"/>
    </row>
    <row r="93">
      <c r="A93" s="46" t="s">
        <v>44</v>
      </c>
      <c r="B93" s="47" t="s">
        <v>1179</v>
      </c>
      <c r="C93" s="50">
        <f>COUNTIF(develop!F93:F980,B93)</f>
        <v>2</v>
      </c>
      <c r="D93" s="51" t="s">
        <v>811</v>
      </c>
      <c r="E93" s="47" t="s">
        <v>1180</v>
      </c>
      <c r="F93" s="51" t="s">
        <v>1181</v>
      </c>
      <c r="G93" s="53" t="str">
        <f t="shared" si="1"/>
        <v>mx-api-bc-pro-legal-entity-directory</v>
      </c>
      <c r="H93" s="54" t="str">
        <f t="shared" si="2"/>
        <v>https://anypoint.mulesoft.com/exchange/834f46f4-ef08-4c50-81ae-56f917b413cc/mx-api-bc-pro-legal-entity-directory</v>
      </c>
      <c r="I93" s="59" t="s">
        <v>162</v>
      </c>
      <c r="J93" s="57" t="str">
        <f t="shared" si="9"/>
        <v>mx-ms-bc-pro-legal-entity-directory</v>
      </c>
      <c r="K93" s="55" t="s">
        <v>816</v>
      </c>
      <c r="L93" s="76" t="str">
        <f>IFERROR(__xludf.DUMMYFUNCTION("REGEXREPLACE(REGEXREPLACE(REGEXREPLACE(J93, ""mx-ms-bc-"", """"), ""-mule"", ""-api-dev""), ""-apigee"", ""-api-dev"")"),"pro-legal-entity-directory")</f>
        <v>pro-legal-entity-directory</v>
      </c>
      <c r="M93" s="57" t="str">
        <f t="shared" si="10"/>
        <v>mx-ms-bc-pro-legal-entity-directory</v>
      </c>
      <c r="N93" s="55" t="str">
        <f t="shared" si="5"/>
        <v>Valid</v>
      </c>
      <c r="O93" s="59">
        <f t="shared" si="6"/>
        <v>35</v>
      </c>
      <c r="P93" s="59"/>
      <c r="Q93" s="59"/>
      <c r="R93" s="60"/>
      <c r="S93" s="60"/>
      <c r="T93" s="60"/>
      <c r="U93" s="60"/>
      <c r="V93" s="60"/>
      <c r="W93" s="60"/>
      <c r="X93" s="60"/>
      <c r="Y93" s="60"/>
      <c r="Z93" s="60"/>
      <c r="AA93" s="60"/>
      <c r="AB93" s="60"/>
      <c r="AC93" s="60"/>
      <c r="AD93" s="60"/>
      <c r="AE93" s="60"/>
      <c r="AF93" s="60"/>
      <c r="AG93" s="60"/>
      <c r="AH93" s="60"/>
      <c r="AI93" s="60"/>
      <c r="AJ93" s="60"/>
    </row>
    <row r="94">
      <c r="A94" s="27" t="s">
        <v>44</v>
      </c>
      <c r="B94" s="28" t="s">
        <v>1186</v>
      </c>
      <c r="C94" s="33">
        <f>COUNTIF(develop!F94:F980,B94)</f>
        <v>11</v>
      </c>
      <c r="D94" s="34" t="s">
        <v>811</v>
      </c>
      <c r="E94" s="28" t="s">
        <v>1187</v>
      </c>
      <c r="F94" s="34" t="s">
        <v>1188</v>
      </c>
      <c r="G94" s="35" t="str">
        <f t="shared" si="1"/>
        <v>mx-api-bc-pro-loan</v>
      </c>
      <c r="H94" s="37" t="str">
        <f t="shared" si="2"/>
        <v>https://anypoint.mulesoft.com/exchange/834f46f4-ef08-4c50-81ae-56f917b413cc/mx-api-bc-pro-loan</v>
      </c>
      <c r="I94" s="42" t="s">
        <v>1189</v>
      </c>
      <c r="J94" s="41" t="str">
        <f t="shared" si="9"/>
        <v>mx-ms-bc-pro-loan</v>
      </c>
      <c r="K94" s="39" t="s">
        <v>816</v>
      </c>
      <c r="L94" s="77" t="str">
        <f>IFERROR(__xludf.DUMMYFUNCTION("REGEXREPLACE(REGEXREPLACE(REGEXREPLACE(J94, ""mx-ms-bc-"", """"), ""-mule"", ""-api-dev""), ""-apigee"", ""-api-dev"")"),"pro-loan")</f>
        <v>pro-loan</v>
      </c>
      <c r="M94" s="41" t="str">
        <f t="shared" si="10"/>
        <v>mx-ms-bc-pro-loan</v>
      </c>
      <c r="N94" s="39" t="str">
        <f t="shared" si="5"/>
        <v>Valid</v>
      </c>
      <c r="O94" s="42">
        <f t="shared" si="6"/>
        <v>17</v>
      </c>
      <c r="P94" s="42"/>
      <c r="Q94" s="42"/>
      <c r="R94" s="43"/>
      <c r="S94" s="43"/>
      <c r="T94" s="43"/>
      <c r="U94" s="43"/>
      <c r="V94" s="43"/>
      <c r="W94" s="43"/>
      <c r="X94" s="43"/>
      <c r="Y94" s="43"/>
      <c r="Z94" s="43"/>
      <c r="AA94" s="43"/>
      <c r="AB94" s="43"/>
      <c r="AC94" s="43"/>
      <c r="AD94" s="43"/>
      <c r="AE94" s="43"/>
      <c r="AF94" s="43"/>
      <c r="AG94" s="43"/>
      <c r="AH94" s="43"/>
      <c r="AI94" s="43"/>
      <c r="AJ94" s="43"/>
    </row>
    <row r="95">
      <c r="A95" s="46" t="s">
        <v>44</v>
      </c>
      <c r="B95" s="47" t="s">
        <v>1198</v>
      </c>
      <c r="C95" s="50">
        <f>COUNTIF(develop!F95:F980,B95)</f>
        <v>11</v>
      </c>
      <c r="D95" s="51" t="s">
        <v>811</v>
      </c>
      <c r="E95" s="47" t="s">
        <v>1200</v>
      </c>
      <c r="F95" s="51" t="s">
        <v>1201</v>
      </c>
      <c r="G95" s="53" t="str">
        <f t="shared" si="1"/>
        <v>mx-api-bc-pro-location-data-management</v>
      </c>
      <c r="H95" s="54" t="str">
        <f t="shared" si="2"/>
        <v>https://anypoint.mulesoft.com/exchange/834f46f4-ef08-4c50-81ae-56f917b413cc/mx-api-bc-pro-location-data-management</v>
      </c>
      <c r="I95" s="59" t="s">
        <v>994</v>
      </c>
      <c r="J95" s="57" t="str">
        <f t="shared" si="9"/>
        <v>mx-ms-bc-pro-location-data-management</v>
      </c>
      <c r="K95" s="55" t="s">
        <v>816</v>
      </c>
      <c r="L95" s="76" t="str">
        <f>IFERROR(__xludf.DUMMYFUNCTION("REGEXREPLACE(REGEXREPLACE(REGEXREPLACE(J95, ""mx-ms-bc-"", """"), ""-mule"", ""-api-dev""), ""-apigee"", ""-api-dev"")"),"pro-location-data-management")</f>
        <v>pro-location-data-management</v>
      </c>
      <c r="M95" s="57" t="str">
        <f t="shared" si="10"/>
        <v>mx-ms-bc-pro-location-data-management</v>
      </c>
      <c r="N95" s="55" t="str">
        <f t="shared" si="5"/>
        <v>Valid</v>
      </c>
      <c r="O95" s="59">
        <f t="shared" si="6"/>
        <v>37</v>
      </c>
      <c r="P95" s="59"/>
      <c r="Q95" s="59"/>
      <c r="R95" s="60"/>
      <c r="S95" s="60"/>
      <c r="T95" s="60"/>
      <c r="U95" s="60"/>
      <c r="V95" s="60"/>
      <c r="W95" s="60"/>
      <c r="X95" s="60"/>
      <c r="Y95" s="60"/>
      <c r="Z95" s="60"/>
      <c r="AA95" s="60"/>
      <c r="AB95" s="60"/>
      <c r="AC95" s="60"/>
      <c r="AD95" s="60"/>
      <c r="AE95" s="60"/>
      <c r="AF95" s="60"/>
      <c r="AG95" s="60"/>
      <c r="AH95" s="60"/>
      <c r="AI95" s="60"/>
      <c r="AJ95" s="60"/>
    </row>
    <row r="96">
      <c r="A96" s="27" t="s">
        <v>44</v>
      </c>
      <c r="B96" s="28" t="s">
        <v>1204</v>
      </c>
      <c r="C96" s="33">
        <f>COUNTIF(develop!F96:F980,B96)</f>
        <v>5</v>
      </c>
      <c r="D96" s="34" t="s">
        <v>811</v>
      </c>
      <c r="E96" s="28" t="s">
        <v>1208</v>
      </c>
      <c r="F96" s="34" t="s">
        <v>1209</v>
      </c>
      <c r="G96" s="35" t="str">
        <f t="shared" si="1"/>
        <v>mx-api-bc-pro-party-authentication</v>
      </c>
      <c r="H96" s="37" t="str">
        <f t="shared" si="2"/>
        <v>https://anypoint.mulesoft.com/exchange/834f46f4-ef08-4c50-81ae-56f917b413cc/mx-api-bc-pro-party-authentication</v>
      </c>
      <c r="I96" s="42" t="s">
        <v>122</v>
      </c>
      <c r="J96" s="41" t="str">
        <f t="shared" si="9"/>
        <v>mx-ms-bc-pro-party-authentication</v>
      </c>
      <c r="K96" s="39" t="s">
        <v>816</v>
      </c>
      <c r="L96" s="77" t="str">
        <f>IFERROR(__xludf.DUMMYFUNCTION("REGEXREPLACE(REGEXREPLACE(REGEXREPLACE(J96, ""mx-ms-bc-"", """"), ""-mule"", ""-api-dev""), ""-apigee"", ""-api-dev"")"),"pro-party-authentication")</f>
        <v>pro-party-authentication</v>
      </c>
      <c r="M96" s="41" t="str">
        <f t="shared" si="10"/>
        <v>mx-ms-bc-pro-party-authentication</v>
      </c>
      <c r="N96" s="39" t="str">
        <f t="shared" si="5"/>
        <v>Valid</v>
      </c>
      <c r="O96" s="42">
        <f t="shared" si="6"/>
        <v>33</v>
      </c>
      <c r="P96" s="42"/>
      <c r="Q96" s="42"/>
      <c r="R96" s="43"/>
      <c r="S96" s="43"/>
      <c r="T96" s="43"/>
      <c r="U96" s="43"/>
      <c r="V96" s="43"/>
      <c r="W96" s="43"/>
      <c r="X96" s="43"/>
      <c r="Y96" s="43"/>
      <c r="Z96" s="43"/>
      <c r="AA96" s="43"/>
      <c r="AB96" s="43"/>
      <c r="AC96" s="43"/>
      <c r="AD96" s="43"/>
      <c r="AE96" s="43"/>
      <c r="AF96" s="43"/>
      <c r="AG96" s="43"/>
      <c r="AH96" s="43"/>
      <c r="AI96" s="43"/>
      <c r="AJ96" s="43"/>
    </row>
    <row r="97">
      <c r="A97" s="46" t="s">
        <v>44</v>
      </c>
      <c r="B97" s="47" t="s">
        <v>1214</v>
      </c>
      <c r="C97" s="50">
        <f>COUNTIF(develop!F97:F980,B97)</f>
        <v>52</v>
      </c>
      <c r="D97" s="51" t="s">
        <v>811</v>
      </c>
      <c r="E97" s="47" t="s">
        <v>1215</v>
      </c>
      <c r="F97" s="51" t="s">
        <v>1216</v>
      </c>
      <c r="G97" s="53" t="str">
        <f t="shared" si="1"/>
        <v>mx-api-bc-pro-party-lifecycle-management</v>
      </c>
      <c r="H97" s="54" t="str">
        <f t="shared" si="2"/>
        <v>https://anypoint.mulesoft.com/exchange/834f46f4-ef08-4c50-81ae-56f917b413cc/mx-api-bc-pro-party-lifecycle-management</v>
      </c>
      <c r="I97" s="59" t="s">
        <v>1217</v>
      </c>
      <c r="J97" s="57" t="str">
        <f t="shared" si="9"/>
        <v>mx-ms-bc-pro-party-lifecycle-management</v>
      </c>
      <c r="K97" s="55" t="s">
        <v>58</v>
      </c>
      <c r="L97" s="76" t="s">
        <v>1218</v>
      </c>
      <c r="M97" s="57" t="str">
        <f t="shared" si="10"/>
        <v>mx-ms-bc-pro-party-lifecycle-management</v>
      </c>
      <c r="N97" s="55" t="str">
        <f t="shared" si="5"/>
        <v>Valid</v>
      </c>
      <c r="O97" s="59">
        <f t="shared" si="6"/>
        <v>39</v>
      </c>
      <c r="P97" s="59"/>
      <c r="Q97" s="59"/>
      <c r="R97" s="60"/>
      <c r="S97" s="60"/>
      <c r="T97" s="60"/>
      <c r="U97" s="60"/>
      <c r="V97" s="60"/>
      <c r="W97" s="60"/>
      <c r="X97" s="60"/>
      <c r="Y97" s="60"/>
      <c r="Z97" s="60"/>
      <c r="AA97" s="60"/>
      <c r="AB97" s="60"/>
      <c r="AC97" s="60"/>
      <c r="AD97" s="60"/>
      <c r="AE97" s="60"/>
      <c r="AF97" s="60"/>
      <c r="AG97" s="60"/>
      <c r="AH97" s="60"/>
      <c r="AI97" s="60"/>
      <c r="AJ97" s="60"/>
    </row>
    <row r="98">
      <c r="A98" s="27" t="s">
        <v>44</v>
      </c>
      <c r="B98" s="28" t="s">
        <v>1222</v>
      </c>
      <c r="C98" s="33">
        <f>COUNTIF(develop!F98:F980,B98)</f>
        <v>27</v>
      </c>
      <c r="D98" s="34" t="s">
        <v>811</v>
      </c>
      <c r="E98" s="28" t="s">
        <v>1223</v>
      </c>
      <c r="F98" s="34" t="s">
        <v>1226</v>
      </c>
      <c r="G98" s="35" t="str">
        <f t="shared" si="1"/>
        <v>mx-api-bc-pro-party-reference-data-directory</v>
      </c>
      <c r="H98" s="37" t="str">
        <f t="shared" si="2"/>
        <v>https://anypoint.mulesoft.com/exchange/834f46f4-ef08-4c50-81ae-56f917b413cc/mx-api-bc-pro-party-reference-data-directory</v>
      </c>
      <c r="I98" s="42" t="s">
        <v>1227</v>
      </c>
      <c r="J98" s="41" t="str">
        <f t="shared" si="9"/>
        <v>mx-ms-bc-pro-party-reference-data-directory</v>
      </c>
      <c r="K98" s="39" t="s">
        <v>816</v>
      </c>
      <c r="L98" s="77" t="str">
        <f>IFERROR(__xludf.DUMMYFUNCTION("REGEXREPLACE(REGEXREPLACE(REGEXREPLACE(J98, ""mx-ms-bc-"", """"), ""-mule"", ""-api-dev""), ""-apigee"", ""-api-dev"")"),"pro-party-reference-data-directory")</f>
        <v>pro-party-reference-data-directory</v>
      </c>
      <c r="M98" s="41" t="str">
        <f t="shared" si="10"/>
        <v>mx-ms-bc-pro-party-reference-data-directory</v>
      </c>
      <c r="N98" s="39" t="str">
        <f t="shared" si="5"/>
        <v>Valid</v>
      </c>
      <c r="O98" s="42">
        <f t="shared" si="6"/>
        <v>43</v>
      </c>
      <c r="P98" s="42"/>
      <c r="Q98" s="42"/>
      <c r="R98" s="43"/>
      <c r="S98" s="43"/>
      <c r="T98" s="43"/>
      <c r="U98" s="43"/>
      <c r="V98" s="43"/>
      <c r="W98" s="43"/>
      <c r="X98" s="43"/>
      <c r="Y98" s="43"/>
      <c r="Z98" s="43"/>
      <c r="AA98" s="43"/>
      <c r="AB98" s="43"/>
      <c r="AC98" s="43"/>
      <c r="AD98" s="43"/>
      <c r="AE98" s="43"/>
      <c r="AF98" s="43"/>
      <c r="AG98" s="43"/>
      <c r="AH98" s="43"/>
      <c r="AI98" s="43"/>
      <c r="AJ98" s="43"/>
    </row>
    <row r="99">
      <c r="A99" s="46" t="s">
        <v>44</v>
      </c>
      <c r="B99" s="47" t="s">
        <v>1234</v>
      </c>
      <c r="C99" s="50">
        <f>COUNTIF(develop!F99:F980,B99)</f>
        <v>6</v>
      </c>
      <c r="D99" s="51" t="s">
        <v>811</v>
      </c>
      <c r="E99" s="47" t="s">
        <v>1235</v>
      </c>
      <c r="F99" s="51" t="s">
        <v>1236</v>
      </c>
      <c r="G99" s="53" t="str">
        <f t="shared" si="1"/>
        <v>mx-api-cpp-pro-party-retail-reference-data-directory</v>
      </c>
      <c r="H99" s="54" t="str">
        <f t="shared" si="2"/>
        <v>https://anypoint.mulesoft.com/exchange/834f46f4-ef08-4c50-81ae-56f917b413cc/mx-api-cpp-pro-party-retail-reference-data-directory</v>
      </c>
      <c r="I99" s="59" t="s">
        <v>299</v>
      </c>
      <c r="J99" s="91" t="s">
        <v>424</v>
      </c>
      <c r="K99" s="55" t="s">
        <v>816</v>
      </c>
      <c r="L99" s="76" t="str">
        <f>IFERROR(__xludf.DUMMYFUNCTION("REGEXREPLACE(REGEXREPLACE(REGEXREPLACE(REGEXREPLACE(J99, ""mx-ms-bc-"", """"), ""-mule"", ""-api-dev""), ""-apigee"", ""-api-dev""), ""mx-ms-cpp-"", """")"),"pro-party-retail-reference-data-directory")</f>
        <v>pro-party-retail-reference-data-directory</v>
      </c>
      <c r="M99" s="91" t="s">
        <v>424</v>
      </c>
      <c r="N99" s="55" t="str">
        <f t="shared" si="5"/>
        <v>Valid</v>
      </c>
      <c r="O99" s="59">
        <f t="shared" si="6"/>
        <v>51</v>
      </c>
      <c r="P99" s="59"/>
      <c r="Q99" s="59"/>
      <c r="R99" s="60"/>
      <c r="S99" s="60"/>
      <c r="T99" s="60"/>
      <c r="U99" s="60"/>
      <c r="V99" s="60"/>
      <c r="W99" s="60"/>
      <c r="X99" s="60"/>
      <c r="Y99" s="60"/>
      <c r="Z99" s="60"/>
      <c r="AA99" s="60"/>
      <c r="AB99" s="60"/>
      <c r="AC99" s="60"/>
      <c r="AD99" s="60"/>
      <c r="AE99" s="60"/>
      <c r="AF99" s="60"/>
      <c r="AG99" s="60"/>
      <c r="AH99" s="60"/>
      <c r="AI99" s="60"/>
      <c r="AJ99" s="60"/>
    </row>
    <row r="100">
      <c r="A100" s="27" t="s">
        <v>44</v>
      </c>
      <c r="B100" s="28" t="s">
        <v>1243</v>
      </c>
      <c r="C100" s="33">
        <f>COUNTIF(develop!F100:F980,B100)</f>
        <v>7</v>
      </c>
      <c r="D100" s="34" t="s">
        <v>811</v>
      </c>
      <c r="E100" s="28" t="s">
        <v>1245</v>
      </c>
      <c r="F100" s="34" t="s">
        <v>1246</v>
      </c>
      <c r="G100" s="35" t="str">
        <f t="shared" si="1"/>
        <v>mx-api-bc-pro-payment-execution</v>
      </c>
      <c r="H100" s="37" t="str">
        <f t="shared" si="2"/>
        <v>https://anypoint.mulesoft.com/exchange/834f46f4-ef08-4c50-81ae-56f917b413cc/mx-api-bc-pro-payment-execution</v>
      </c>
      <c r="I100" s="42" t="s">
        <v>1249</v>
      </c>
      <c r="J100" s="41" t="str">
        <f t="shared" ref="J100:J233" si="11">obtenerRepoMS(E100)</f>
        <v>mx-ms-bc-pro-payment-execution</v>
      </c>
      <c r="K100" s="39" t="s">
        <v>816</v>
      </c>
      <c r="L100" s="77" t="str">
        <f>IFERROR(__xludf.DUMMYFUNCTION("REGEXREPLACE(REGEXREPLACE(REGEXREPLACE(J100, ""mx-ms-bc-"", """"), ""-mule"", ""-api-dev""), ""-apigee"", ""-api-dev"")"),"pro-payment-execution")</f>
        <v>pro-payment-execution</v>
      </c>
      <c r="M100" s="41" t="str">
        <f t="shared" ref="M100:M233" si="12">generarNombreDeploy(J100)</f>
        <v>mx-ms-bc-pro-payment-execution</v>
      </c>
      <c r="N100" s="39" t="str">
        <f t="shared" si="5"/>
        <v>Valid</v>
      </c>
      <c r="O100" s="42">
        <f t="shared" si="6"/>
        <v>30</v>
      </c>
      <c r="P100" s="42"/>
      <c r="Q100" s="42"/>
      <c r="R100" s="43"/>
      <c r="S100" s="43"/>
      <c r="T100" s="43"/>
      <c r="U100" s="43"/>
      <c r="V100" s="43"/>
      <c r="W100" s="43"/>
      <c r="X100" s="43"/>
      <c r="Y100" s="43"/>
      <c r="Z100" s="43"/>
      <c r="AA100" s="43"/>
      <c r="AB100" s="43"/>
      <c r="AC100" s="43"/>
      <c r="AD100" s="43"/>
      <c r="AE100" s="43"/>
      <c r="AF100" s="43"/>
      <c r="AG100" s="43"/>
      <c r="AH100" s="43"/>
      <c r="AI100" s="43"/>
      <c r="AJ100" s="43"/>
    </row>
    <row r="101">
      <c r="A101" s="46" t="s">
        <v>44</v>
      </c>
      <c r="B101" s="47" t="s">
        <v>1256</v>
      </c>
      <c r="C101" s="50">
        <f>COUNTIF(develop!F101:F980,B101)</f>
        <v>12</v>
      </c>
      <c r="D101" s="51" t="s">
        <v>811</v>
      </c>
      <c r="E101" s="47" t="s">
        <v>1259</v>
      </c>
      <c r="F101" s="51" t="s">
        <v>1260</v>
      </c>
      <c r="G101" s="53" t="str">
        <f t="shared" si="1"/>
        <v>mx-api-bc-pro-payment-order</v>
      </c>
      <c r="H101" s="54" t="str">
        <f t="shared" si="2"/>
        <v>https://anypoint.mulesoft.com/exchange/834f46f4-ef08-4c50-81ae-56f917b413cc/mx-api-bc-pro-payment-order</v>
      </c>
      <c r="I101" s="92" t="s">
        <v>162</v>
      </c>
      <c r="J101" s="57" t="str">
        <f t="shared" si="11"/>
        <v>mx-ms-bc-pro-payment-order</v>
      </c>
      <c r="K101" s="55" t="s">
        <v>816</v>
      </c>
      <c r="L101" s="57" t="str">
        <f>IFERROR(__xludf.DUMMYFUNCTION("REGEXREPLACE(REGEXREPLACE(REGEXREPLACE(J101, ""mx-ms-bc-"", """"), ""-mule"", ""-api-dev""), ""-apigee"", ""-api-dev"")"),"pro-payment-order")</f>
        <v>pro-payment-order</v>
      </c>
      <c r="M101" s="57" t="str">
        <f t="shared" si="12"/>
        <v>mx-ms-bc-pro-payment-order</v>
      </c>
      <c r="N101" s="55" t="str">
        <f t="shared" si="5"/>
        <v>Valid</v>
      </c>
      <c r="O101" s="59">
        <f t="shared" si="6"/>
        <v>26</v>
      </c>
      <c r="P101" s="59"/>
      <c r="Q101" s="59"/>
      <c r="R101" s="60"/>
      <c r="S101" s="60"/>
      <c r="T101" s="60"/>
      <c r="U101" s="60"/>
      <c r="V101" s="60"/>
      <c r="W101" s="60"/>
      <c r="X101" s="60"/>
      <c r="Y101" s="60"/>
      <c r="Z101" s="60"/>
      <c r="AA101" s="60"/>
      <c r="AB101" s="60"/>
      <c r="AC101" s="60"/>
      <c r="AD101" s="60"/>
      <c r="AE101" s="60"/>
      <c r="AF101" s="60"/>
      <c r="AG101" s="60"/>
      <c r="AH101" s="60"/>
      <c r="AI101" s="60"/>
      <c r="AJ101" s="60"/>
    </row>
    <row r="102">
      <c r="A102" s="27" t="s">
        <v>44</v>
      </c>
      <c r="B102" s="28" t="s">
        <v>1270</v>
      </c>
      <c r="C102" s="33">
        <f>COUNTIF(develop!F102:F980,B102)</f>
        <v>1</v>
      </c>
      <c r="D102" s="34" t="s">
        <v>811</v>
      </c>
      <c r="E102" s="28" t="s">
        <v>1271</v>
      </c>
      <c r="F102" s="34" t="s">
        <v>1272</v>
      </c>
      <c r="G102" s="35" t="str">
        <f t="shared" si="1"/>
        <v>mx-api-bc-pro-payment-rail-operations</v>
      </c>
      <c r="H102" s="37" t="str">
        <f t="shared" si="2"/>
        <v>https://anypoint.mulesoft.com/exchange/834f46f4-ef08-4c50-81ae-56f917b413cc/mx-api-bc-pro-payment-rail-operations</v>
      </c>
      <c r="I102" s="42" t="s">
        <v>162</v>
      </c>
      <c r="J102" s="41" t="str">
        <f t="shared" si="11"/>
        <v>mx-ms-bc-pro-payment-rail-operations</v>
      </c>
      <c r="K102" s="39" t="s">
        <v>816</v>
      </c>
      <c r="L102" s="41" t="str">
        <f>IFERROR(__xludf.DUMMYFUNCTION("REGEXREPLACE(REGEXREPLACE(REGEXREPLACE(J102, ""mx-ms-bc-"", """"), ""-mule"", ""-api-dev""), ""-apigee"", ""-api-dev"")"),"pro-payment-rail-operations")</f>
        <v>pro-payment-rail-operations</v>
      </c>
      <c r="M102" s="41" t="str">
        <f t="shared" si="12"/>
        <v>mx-ms-bc-pro-payment-rail-operations</v>
      </c>
      <c r="N102" s="39" t="str">
        <f t="shared" si="5"/>
        <v>Valid</v>
      </c>
      <c r="O102" s="42">
        <f t="shared" si="6"/>
        <v>36</v>
      </c>
      <c r="P102" s="42"/>
      <c r="Q102" s="42"/>
      <c r="R102" s="43"/>
      <c r="S102" s="43"/>
      <c r="T102" s="43"/>
      <c r="U102" s="43"/>
      <c r="V102" s="43"/>
      <c r="W102" s="43"/>
      <c r="X102" s="43"/>
      <c r="Y102" s="43"/>
      <c r="Z102" s="43"/>
      <c r="AA102" s="43"/>
      <c r="AB102" s="43"/>
      <c r="AC102" s="43"/>
      <c r="AD102" s="43"/>
      <c r="AE102" s="43"/>
      <c r="AF102" s="43"/>
      <c r="AG102" s="43"/>
      <c r="AH102" s="43"/>
      <c r="AI102" s="43"/>
      <c r="AJ102" s="43"/>
    </row>
    <row r="103">
      <c r="A103" s="46" t="s">
        <v>44</v>
      </c>
      <c r="B103" s="47" t="s">
        <v>1277</v>
      </c>
      <c r="C103" s="50">
        <f>COUNTIF(develop!F103:F980,B103)</f>
        <v>3</v>
      </c>
      <c r="D103" s="51" t="s">
        <v>811</v>
      </c>
      <c r="E103" s="47" t="s">
        <v>1279</v>
      </c>
      <c r="F103" s="51" t="s">
        <v>1281</v>
      </c>
      <c r="G103" s="53" t="str">
        <f t="shared" si="1"/>
        <v>mx-api-bc-pro-platform-operations</v>
      </c>
      <c r="H103" s="54" t="str">
        <f t="shared" si="2"/>
        <v>https://anypoint.mulesoft.com/exchange/834f46f4-ef08-4c50-81ae-56f917b413cc/mx-api-bc-pro-platform-operations</v>
      </c>
      <c r="I103" s="59" t="s">
        <v>122</v>
      </c>
      <c r="J103" s="57" t="str">
        <f t="shared" si="11"/>
        <v>mx-ms-bc-pro-platform-operations</v>
      </c>
      <c r="K103" s="55" t="s">
        <v>816</v>
      </c>
      <c r="L103" s="57" t="str">
        <f>IFERROR(__xludf.DUMMYFUNCTION("REGEXREPLACE(REGEXREPLACE(REGEXREPLACE(J103, ""mx-ms-bc-"", """"), ""-mule"", ""-api-dev""), ""-apigee"", ""-api-dev"")"),"pro-platform-operations")</f>
        <v>pro-platform-operations</v>
      </c>
      <c r="M103" s="57" t="str">
        <f t="shared" si="12"/>
        <v>mx-ms-bc-pro-platform-operations</v>
      </c>
      <c r="N103" s="55" t="str">
        <f t="shared" si="5"/>
        <v>Valid</v>
      </c>
      <c r="O103" s="59">
        <f t="shared" si="6"/>
        <v>32</v>
      </c>
      <c r="P103" s="59"/>
      <c r="Q103" s="59"/>
      <c r="R103" s="60"/>
      <c r="S103" s="60"/>
      <c r="T103" s="60"/>
      <c r="U103" s="60"/>
      <c r="V103" s="60"/>
      <c r="W103" s="60"/>
      <c r="X103" s="60"/>
      <c r="Y103" s="60"/>
      <c r="Z103" s="60"/>
      <c r="AA103" s="60"/>
      <c r="AB103" s="60"/>
      <c r="AC103" s="60"/>
      <c r="AD103" s="60"/>
      <c r="AE103" s="60"/>
      <c r="AF103" s="60"/>
      <c r="AG103" s="60"/>
      <c r="AH103" s="60"/>
      <c r="AI103" s="60"/>
      <c r="AJ103" s="60"/>
    </row>
    <row r="104">
      <c r="A104" s="27" t="s">
        <v>44</v>
      </c>
      <c r="B104" s="28" t="s">
        <v>1290</v>
      </c>
      <c r="C104" s="33">
        <f>COUNTIF(develop!F104:F980,B104)</f>
        <v>3</v>
      </c>
      <c r="D104" s="34" t="s">
        <v>811</v>
      </c>
      <c r="E104" s="28" t="s">
        <v>1291</v>
      </c>
      <c r="F104" s="34" t="s">
        <v>1292</v>
      </c>
      <c r="G104" s="35" t="str">
        <f t="shared" si="1"/>
        <v>mx-api-bc-pro-position-keeping</v>
      </c>
      <c r="H104" s="37" t="str">
        <f t="shared" si="2"/>
        <v>https://anypoint.mulesoft.com/exchange/834f46f4-ef08-4c50-81ae-56f917b413cc/mx-api-bc-pro-position-keeping</v>
      </c>
      <c r="I104" s="42" t="s">
        <v>122</v>
      </c>
      <c r="J104" s="41" t="str">
        <f t="shared" si="11"/>
        <v>mx-ms-bc-pro-position-keeping</v>
      </c>
      <c r="K104" s="39" t="s">
        <v>816</v>
      </c>
      <c r="L104" s="41" t="str">
        <f>IFERROR(__xludf.DUMMYFUNCTION("REGEXREPLACE(REGEXREPLACE(REGEXREPLACE(J104, ""mx-ms-bc-"", """"), ""-mule"", ""-api-dev""), ""-apigee"", ""-api-dev"")"),"pro-position-keeping")</f>
        <v>pro-position-keeping</v>
      </c>
      <c r="M104" s="41" t="str">
        <f t="shared" si="12"/>
        <v>mx-ms-bc-pro-position-keeping</v>
      </c>
      <c r="N104" s="39" t="str">
        <f t="shared" si="5"/>
        <v>Valid</v>
      </c>
      <c r="O104" s="42">
        <f t="shared" si="6"/>
        <v>29</v>
      </c>
      <c r="P104" s="42"/>
      <c r="Q104" s="42"/>
      <c r="R104" s="43"/>
      <c r="S104" s="43"/>
      <c r="T104" s="43"/>
      <c r="U104" s="43"/>
      <c r="V104" s="43"/>
      <c r="W104" s="43"/>
      <c r="X104" s="43"/>
      <c r="Y104" s="43"/>
      <c r="Z104" s="43"/>
      <c r="AA104" s="43"/>
      <c r="AB104" s="43"/>
      <c r="AC104" s="43"/>
      <c r="AD104" s="43"/>
      <c r="AE104" s="43"/>
      <c r="AF104" s="43"/>
      <c r="AG104" s="43"/>
      <c r="AH104" s="43"/>
      <c r="AI104" s="43"/>
      <c r="AJ104" s="43"/>
    </row>
    <row r="105">
      <c r="A105" s="46" t="s">
        <v>44</v>
      </c>
      <c r="B105" s="47" t="s">
        <v>1299</v>
      </c>
      <c r="C105" s="50">
        <f>COUNTIF(develop!F105:F980,B105)</f>
        <v>4</v>
      </c>
      <c r="D105" s="51" t="s">
        <v>811</v>
      </c>
      <c r="E105" s="47" t="s">
        <v>1301</v>
      </c>
      <c r="F105" s="51" t="s">
        <v>1303</v>
      </c>
      <c r="G105" s="53" t="str">
        <f t="shared" si="1"/>
        <v>mx-api-bc-pro-product-directory</v>
      </c>
      <c r="H105" s="54" t="str">
        <f t="shared" si="2"/>
        <v>https://anypoint.mulesoft.com/exchange/834f46f4-ef08-4c50-81ae-56f917b413cc/mx-api-bc-pro-product-directory</v>
      </c>
      <c r="I105" s="59" t="s">
        <v>162</v>
      </c>
      <c r="J105" s="57" t="str">
        <f t="shared" si="11"/>
        <v>mx-ms-bc-pro-product-directory</v>
      </c>
      <c r="K105" s="55" t="s">
        <v>816</v>
      </c>
      <c r="L105" s="57" t="str">
        <f>IFERROR(__xludf.DUMMYFUNCTION("REGEXREPLACE(REGEXREPLACE(REGEXREPLACE(J105, ""mx-ms-bc-"", """"), ""-mule"", ""-api-dev""), ""-apigee"", ""-api-dev"")"),"pro-product-directory")</f>
        <v>pro-product-directory</v>
      </c>
      <c r="M105" s="57" t="str">
        <f t="shared" si="12"/>
        <v>mx-ms-bc-pro-product-directory</v>
      </c>
      <c r="N105" s="55" t="str">
        <f t="shared" si="5"/>
        <v>Valid</v>
      </c>
      <c r="O105" s="59">
        <f t="shared" si="6"/>
        <v>30</v>
      </c>
      <c r="P105" s="59"/>
      <c r="Q105" s="59"/>
      <c r="R105" s="60"/>
      <c r="S105" s="60"/>
      <c r="T105" s="60"/>
      <c r="U105" s="60"/>
      <c r="V105" s="60"/>
      <c r="W105" s="60"/>
      <c r="X105" s="60"/>
      <c r="Y105" s="60"/>
      <c r="Z105" s="60"/>
      <c r="AA105" s="60"/>
      <c r="AB105" s="60"/>
      <c r="AC105" s="60"/>
      <c r="AD105" s="60"/>
      <c r="AE105" s="60"/>
      <c r="AF105" s="60"/>
      <c r="AG105" s="60"/>
      <c r="AH105" s="60"/>
      <c r="AI105" s="60"/>
      <c r="AJ105" s="60"/>
    </row>
    <row r="106">
      <c r="A106" s="27" t="s">
        <v>44</v>
      </c>
      <c r="B106" s="28" t="s">
        <v>1310</v>
      </c>
      <c r="C106" s="33">
        <f>COUNTIF(develop!F106:F980,B106)</f>
        <v>11</v>
      </c>
      <c r="D106" s="34" t="s">
        <v>811</v>
      </c>
      <c r="E106" s="28" t="s">
        <v>1311</v>
      </c>
      <c r="F106" s="34" t="s">
        <v>1312</v>
      </c>
      <c r="G106" s="35" t="str">
        <f t="shared" si="1"/>
        <v>mx-api-bc-pro-product-matching</v>
      </c>
      <c r="H106" s="37" t="str">
        <f t="shared" si="2"/>
        <v>https://anypoint.mulesoft.com/exchange/834f46f4-ef08-4c50-81ae-56f917b413cc/mx-api-bc-pro-product-matching</v>
      </c>
      <c r="I106" s="42" t="s">
        <v>162</v>
      </c>
      <c r="J106" s="41" t="str">
        <f t="shared" si="11"/>
        <v>mx-ms-bc-pro-product-matching</v>
      </c>
      <c r="K106" s="39" t="s">
        <v>816</v>
      </c>
      <c r="L106" s="41" t="str">
        <f>IFERROR(__xludf.DUMMYFUNCTION("REGEXREPLACE(REGEXREPLACE(REGEXREPLACE(J106, ""mx-ms-bc-"", """"), ""-mule"", ""-api-dev""), ""-apigee"", ""-api-dev"")"),"pro-product-matching")</f>
        <v>pro-product-matching</v>
      </c>
      <c r="M106" s="41" t="str">
        <f t="shared" si="12"/>
        <v>mx-ms-bc-pro-product-matching</v>
      </c>
      <c r="N106" s="39" t="str">
        <f t="shared" si="5"/>
        <v>Valid</v>
      </c>
      <c r="O106" s="42">
        <f t="shared" si="6"/>
        <v>29</v>
      </c>
      <c r="P106" s="42"/>
      <c r="Q106" s="42"/>
      <c r="R106" s="43"/>
      <c r="S106" s="43"/>
      <c r="T106" s="43"/>
      <c r="U106" s="43"/>
      <c r="V106" s="43"/>
      <c r="W106" s="43"/>
      <c r="X106" s="43"/>
      <c r="Y106" s="43"/>
      <c r="Z106" s="43"/>
      <c r="AA106" s="43"/>
      <c r="AB106" s="43"/>
      <c r="AC106" s="43"/>
      <c r="AD106" s="43"/>
      <c r="AE106" s="43"/>
      <c r="AF106" s="43"/>
      <c r="AG106" s="43"/>
      <c r="AH106" s="43"/>
      <c r="AI106" s="43"/>
      <c r="AJ106" s="43"/>
    </row>
    <row r="107">
      <c r="A107" s="46" t="s">
        <v>44</v>
      </c>
      <c r="B107" s="47" t="s">
        <v>1321</v>
      </c>
      <c r="C107" s="50">
        <f>COUNTIF(develop!F107:F980,B107)</f>
        <v>1</v>
      </c>
      <c r="D107" s="51" t="s">
        <v>811</v>
      </c>
      <c r="E107" s="47" t="s">
        <v>1325</v>
      </c>
      <c r="F107" s="51" t="s">
        <v>1326</v>
      </c>
      <c r="G107" s="53" t="str">
        <f t="shared" si="1"/>
        <v>mx-api-bc-pro-regulatory-compliance</v>
      </c>
      <c r="H107" s="54" t="str">
        <f t="shared" si="2"/>
        <v>https://anypoint.mulesoft.com/exchange/834f46f4-ef08-4c50-81ae-56f917b413cc/mx-api-bc-pro-regulatory-compliance</v>
      </c>
      <c r="I107" s="59" t="s">
        <v>162</v>
      </c>
      <c r="J107" s="57" t="str">
        <f t="shared" si="11"/>
        <v>mx-ms-bc-pro-regulatory-compliance</v>
      </c>
      <c r="K107" s="55" t="s">
        <v>816</v>
      </c>
      <c r="L107" s="57" t="str">
        <f>IFERROR(__xludf.DUMMYFUNCTION("REGEXREPLACE(REGEXREPLACE(REGEXREPLACE(J107, ""mx-ms-bc-"", """"), ""-mule"", ""-api-dev""), ""-apigee"", ""-api-dev"")"),"pro-regulatory-compliance")</f>
        <v>pro-regulatory-compliance</v>
      </c>
      <c r="M107" s="57" t="str">
        <f t="shared" si="12"/>
        <v>mx-ms-bc-pro-regulatory-compliance</v>
      </c>
      <c r="N107" s="55" t="str">
        <f t="shared" si="5"/>
        <v>Valid</v>
      </c>
      <c r="O107" s="59">
        <f t="shared" si="6"/>
        <v>34</v>
      </c>
      <c r="P107" s="59"/>
      <c r="Q107" s="59"/>
      <c r="R107" s="60"/>
      <c r="S107" s="60"/>
      <c r="T107" s="60"/>
      <c r="U107" s="60"/>
      <c r="V107" s="60"/>
      <c r="W107" s="60"/>
      <c r="X107" s="60"/>
      <c r="Y107" s="60"/>
      <c r="Z107" s="60"/>
      <c r="AA107" s="60"/>
      <c r="AB107" s="60"/>
      <c r="AC107" s="60"/>
      <c r="AD107" s="60"/>
      <c r="AE107" s="60"/>
      <c r="AF107" s="60"/>
      <c r="AG107" s="60"/>
      <c r="AH107" s="60"/>
      <c r="AI107" s="60"/>
      <c r="AJ107" s="60"/>
    </row>
    <row r="108">
      <c r="A108" s="27" t="s">
        <v>44</v>
      </c>
      <c r="B108" s="28" t="s">
        <v>1332</v>
      </c>
      <c r="C108" s="33">
        <f>COUNTIF(develop!F108:F980,B108)</f>
        <v>1</v>
      </c>
      <c r="D108" s="34" t="s">
        <v>811</v>
      </c>
      <c r="E108" s="28" t="s">
        <v>1334</v>
      </c>
      <c r="F108" s="34" t="s">
        <v>1336</v>
      </c>
      <c r="G108" s="35" t="str">
        <f t="shared" si="1"/>
        <v>mx-api-bc-pro-remittances</v>
      </c>
      <c r="H108" s="37" t="str">
        <f t="shared" si="2"/>
        <v>https://anypoint.mulesoft.com/exchange/834f46f4-ef08-4c50-81ae-56f917b413cc/mx-api-bc-pro-remittances</v>
      </c>
      <c r="I108" s="42" t="s">
        <v>162</v>
      </c>
      <c r="J108" s="41" t="str">
        <f t="shared" si="11"/>
        <v>mx-ms-bc-pro-remittances</v>
      </c>
      <c r="K108" s="39" t="s">
        <v>816</v>
      </c>
      <c r="L108" s="41" t="str">
        <f>IFERROR(__xludf.DUMMYFUNCTION("REGEXREPLACE(REGEXREPLACE(REGEXREPLACE(J108, ""mx-ms-bc-"", """"), ""-mule"", ""-api-dev""), ""-apigee"", ""-api-dev"")"),"pro-remittances")</f>
        <v>pro-remittances</v>
      </c>
      <c r="M108" s="41" t="str">
        <f t="shared" si="12"/>
        <v>mx-ms-bc-pro-remittances</v>
      </c>
      <c r="N108" s="39" t="str">
        <f t="shared" si="5"/>
        <v>Valid</v>
      </c>
      <c r="O108" s="42">
        <f t="shared" si="6"/>
        <v>24</v>
      </c>
      <c r="P108" s="42"/>
      <c r="Q108" s="42"/>
      <c r="R108" s="43"/>
      <c r="S108" s="43"/>
      <c r="T108" s="43"/>
      <c r="U108" s="43"/>
      <c r="V108" s="43"/>
      <c r="W108" s="43"/>
      <c r="X108" s="43"/>
      <c r="Y108" s="43"/>
      <c r="Z108" s="43"/>
      <c r="AA108" s="43"/>
      <c r="AB108" s="43"/>
      <c r="AC108" s="43"/>
      <c r="AD108" s="43"/>
      <c r="AE108" s="43"/>
      <c r="AF108" s="43"/>
      <c r="AG108" s="43"/>
      <c r="AH108" s="43"/>
      <c r="AI108" s="43"/>
      <c r="AJ108" s="43"/>
    </row>
    <row r="109">
      <c r="A109" s="46" t="s">
        <v>44</v>
      </c>
      <c r="B109" s="47" t="s">
        <v>1345</v>
      </c>
      <c r="C109" s="50">
        <f>COUNTIF(develop!F109:F980,B109)</f>
        <v>3</v>
      </c>
      <c r="D109" s="51" t="s">
        <v>811</v>
      </c>
      <c r="E109" s="47" t="s">
        <v>1351</v>
      </c>
      <c r="F109" s="51" t="s">
        <v>1352</v>
      </c>
      <c r="G109" s="53" t="str">
        <f t="shared" si="1"/>
        <v>mx-api-bc-pro-sales-product-agreement</v>
      </c>
      <c r="H109" s="54" t="str">
        <f t="shared" si="2"/>
        <v>https://anypoint.mulesoft.com/exchange/834f46f4-ef08-4c50-81ae-56f917b413cc/mx-api-bc-pro-sales-product-agreement</v>
      </c>
      <c r="I109" s="59" t="s">
        <v>162</v>
      </c>
      <c r="J109" s="57" t="str">
        <f t="shared" si="11"/>
        <v>mx-ms-bc-pro-sales-product-agreement</v>
      </c>
      <c r="K109" s="55" t="s">
        <v>816</v>
      </c>
      <c r="L109" s="57" t="str">
        <f>IFERROR(__xludf.DUMMYFUNCTION("REGEXREPLACE(REGEXREPLACE(REGEXREPLACE(J109, ""mx-ms-bc-"", """"), ""-mule"", ""-api-dev""), ""-apigee"", ""-api-dev"")"),"pro-sales-product-agreement")</f>
        <v>pro-sales-product-agreement</v>
      </c>
      <c r="M109" s="57" t="str">
        <f t="shared" si="12"/>
        <v>mx-ms-bc-pro-sales-product-agreement</v>
      </c>
      <c r="N109" s="55" t="str">
        <f t="shared" si="5"/>
        <v>Valid</v>
      </c>
      <c r="O109" s="59">
        <f t="shared" si="6"/>
        <v>36</v>
      </c>
      <c r="P109" s="59"/>
      <c r="Q109" s="59"/>
      <c r="R109" s="60"/>
      <c r="S109" s="60"/>
      <c r="T109" s="60"/>
      <c r="U109" s="60"/>
      <c r="V109" s="60"/>
      <c r="W109" s="60"/>
      <c r="X109" s="60"/>
      <c r="Y109" s="60"/>
      <c r="Z109" s="60"/>
      <c r="AA109" s="60"/>
      <c r="AB109" s="60"/>
      <c r="AC109" s="60"/>
      <c r="AD109" s="60"/>
      <c r="AE109" s="60"/>
      <c r="AF109" s="60"/>
      <c r="AG109" s="60"/>
      <c r="AH109" s="60"/>
      <c r="AI109" s="60"/>
      <c r="AJ109" s="60"/>
    </row>
    <row r="110">
      <c r="A110" s="27" t="s">
        <v>44</v>
      </c>
      <c r="B110" s="28" t="s">
        <v>1358</v>
      </c>
      <c r="C110" s="33">
        <f>COUNTIF(develop!F110:F980,B110)</f>
        <v>3</v>
      </c>
      <c r="D110" s="34" t="s">
        <v>811</v>
      </c>
      <c r="E110" s="28" t="s">
        <v>1359</v>
      </c>
      <c r="F110" s="34" t="s">
        <v>1360</v>
      </c>
      <c r="G110" s="35" t="str">
        <f t="shared" si="1"/>
        <v>mx-api-bc-pro-savings-account</v>
      </c>
      <c r="H110" s="37" t="str">
        <f t="shared" si="2"/>
        <v>https://anypoint.mulesoft.com/exchange/834f46f4-ef08-4c50-81ae-56f917b413cc/mx-api-bc-pro-savings-account</v>
      </c>
      <c r="I110" s="42" t="s">
        <v>162</v>
      </c>
      <c r="J110" s="41" t="str">
        <f t="shared" si="11"/>
        <v>mx-ms-bc-pro-savings-account</v>
      </c>
      <c r="K110" s="39" t="s">
        <v>816</v>
      </c>
      <c r="L110" s="41" t="str">
        <f>IFERROR(__xludf.DUMMYFUNCTION("REGEXREPLACE(REGEXREPLACE(REGEXREPLACE(J110, ""mx-ms-bc-"", """"), ""-mule"", ""-api-dev""), ""-apigee"", ""-api-dev"")"),"pro-savings-account")</f>
        <v>pro-savings-account</v>
      </c>
      <c r="M110" s="41" t="str">
        <f t="shared" si="12"/>
        <v>mx-ms-bc-pro-savings-account</v>
      </c>
      <c r="N110" s="39" t="str">
        <f t="shared" si="5"/>
        <v>Valid</v>
      </c>
      <c r="O110" s="42">
        <f t="shared" si="6"/>
        <v>28</v>
      </c>
      <c r="P110" s="42"/>
      <c r="Q110" s="42"/>
      <c r="R110" s="43"/>
      <c r="S110" s="43"/>
      <c r="T110" s="43"/>
      <c r="U110" s="43"/>
      <c r="V110" s="43"/>
      <c r="W110" s="43"/>
      <c r="X110" s="43"/>
      <c r="Y110" s="43"/>
      <c r="Z110" s="43"/>
      <c r="AA110" s="43"/>
      <c r="AB110" s="43"/>
      <c r="AC110" s="43"/>
      <c r="AD110" s="43"/>
      <c r="AE110" s="43"/>
      <c r="AF110" s="43"/>
      <c r="AG110" s="43"/>
      <c r="AH110" s="43"/>
      <c r="AI110" s="43"/>
      <c r="AJ110" s="43"/>
    </row>
    <row r="111">
      <c r="A111" s="46" t="s">
        <v>44</v>
      </c>
      <c r="B111" s="47" t="s">
        <v>1366</v>
      </c>
      <c r="C111" s="50">
        <f>COUNTIF(develop!F111:F980,B111)</f>
        <v>1</v>
      </c>
      <c r="D111" s="51" t="s">
        <v>811</v>
      </c>
      <c r="E111" s="47" t="s">
        <v>1369</v>
      </c>
      <c r="F111" s="51" t="s">
        <v>1370</v>
      </c>
      <c r="G111" s="53" t="str">
        <f t="shared" si="1"/>
        <v>mx-api-bc-pro-servicing-order</v>
      </c>
      <c r="H111" s="54" t="str">
        <f t="shared" si="2"/>
        <v>https://anypoint.mulesoft.com/exchange/834f46f4-ef08-4c50-81ae-56f917b413cc/mx-api-bc-pro-servicing-order</v>
      </c>
      <c r="I111" s="93" t="s">
        <v>162</v>
      </c>
      <c r="J111" s="57" t="str">
        <f t="shared" si="11"/>
        <v>mx-ms-bc-pro-servicing-order</v>
      </c>
      <c r="K111" s="55" t="s">
        <v>816</v>
      </c>
      <c r="L111" s="57" t="str">
        <f>IFERROR(__xludf.DUMMYFUNCTION("REGEXREPLACE(REGEXREPLACE(REGEXREPLACE(J111, ""mx-ms-bc-"", """"), ""-mule"", ""-api-dev""), ""-apigee"", ""-api-dev"")"),"pro-servicing-order")</f>
        <v>pro-servicing-order</v>
      </c>
      <c r="M111" s="57" t="str">
        <f t="shared" si="12"/>
        <v>mx-ms-bc-pro-servicing-order</v>
      </c>
      <c r="N111" s="55" t="str">
        <f t="shared" si="5"/>
        <v>Valid</v>
      </c>
      <c r="O111" s="59">
        <f t="shared" si="6"/>
        <v>28</v>
      </c>
      <c r="P111" s="59"/>
      <c r="Q111" s="59"/>
      <c r="R111" s="60"/>
      <c r="S111" s="60"/>
      <c r="T111" s="60"/>
      <c r="U111" s="60"/>
      <c r="V111" s="60"/>
      <c r="W111" s="60"/>
      <c r="X111" s="60"/>
      <c r="Y111" s="60"/>
      <c r="Z111" s="60"/>
      <c r="AA111" s="60"/>
      <c r="AB111" s="60"/>
      <c r="AC111" s="60"/>
      <c r="AD111" s="60"/>
      <c r="AE111" s="60"/>
      <c r="AF111" s="60"/>
      <c r="AG111" s="60"/>
      <c r="AH111" s="60"/>
      <c r="AI111" s="60"/>
      <c r="AJ111" s="60"/>
    </row>
    <row r="112">
      <c r="A112" s="27" t="s">
        <v>44</v>
      </c>
      <c r="B112" s="28" t="s">
        <v>1374</v>
      </c>
      <c r="C112" s="33">
        <f>COUNTIF(develop!F112:F980,B112)</f>
        <v>9</v>
      </c>
      <c r="D112" s="34" t="s">
        <v>811</v>
      </c>
      <c r="E112" s="28" t="s">
        <v>1377</v>
      </c>
      <c r="F112" s="34" t="s">
        <v>1378</v>
      </c>
      <c r="G112" s="35" t="str">
        <f t="shared" si="1"/>
        <v>mx-api-bc-pro-session-dialogue</v>
      </c>
      <c r="H112" s="37" t="str">
        <f t="shared" si="2"/>
        <v>https://anypoint.mulesoft.com/exchange/834f46f4-ef08-4c50-81ae-56f917b413cc/mx-api-bc-pro-session-dialogue</v>
      </c>
      <c r="I112" s="42" t="s">
        <v>122</v>
      </c>
      <c r="J112" s="41" t="str">
        <f t="shared" si="11"/>
        <v>mx-ms-bc-pro-session-dialogue</v>
      </c>
      <c r="K112" s="39" t="s">
        <v>58</v>
      </c>
      <c r="L112" s="77" t="s">
        <v>1382</v>
      </c>
      <c r="M112" s="41" t="str">
        <f t="shared" si="12"/>
        <v>mx-ms-bc-pro-session-dialogue</v>
      </c>
      <c r="N112" s="39" t="str">
        <f t="shared" si="5"/>
        <v>Valid</v>
      </c>
      <c r="O112" s="42">
        <f t="shared" si="6"/>
        <v>29</v>
      </c>
      <c r="P112" s="42"/>
      <c r="Q112" s="42"/>
      <c r="R112" s="43"/>
      <c r="S112" s="43"/>
      <c r="T112" s="43"/>
      <c r="U112" s="43"/>
      <c r="V112" s="43"/>
      <c r="W112" s="43"/>
      <c r="X112" s="43"/>
      <c r="Y112" s="43"/>
      <c r="Z112" s="43"/>
      <c r="AA112" s="43"/>
      <c r="AB112" s="43"/>
      <c r="AC112" s="43"/>
      <c r="AD112" s="43"/>
      <c r="AE112" s="43"/>
      <c r="AF112" s="43"/>
      <c r="AG112" s="43"/>
      <c r="AH112" s="43"/>
      <c r="AI112" s="43"/>
      <c r="AJ112" s="43"/>
    </row>
    <row r="113">
      <c r="A113" s="46" t="s">
        <v>44</v>
      </c>
      <c r="B113" s="47" t="s">
        <v>1386</v>
      </c>
      <c r="C113" s="50">
        <f>COUNTIF(develop!F113:F980,B113)</f>
        <v>3</v>
      </c>
      <c r="D113" s="51" t="s">
        <v>811</v>
      </c>
      <c r="E113" s="47" t="s">
        <v>1389</v>
      </c>
      <c r="F113" s="51" t="s">
        <v>1390</v>
      </c>
      <c r="G113" s="53" t="str">
        <f t="shared" si="1"/>
        <v>mx-api-bc-pro-systems-operations</v>
      </c>
      <c r="H113" s="54" t="str">
        <f t="shared" si="2"/>
        <v>https://anypoint.mulesoft.com/exchange/834f46f4-ef08-4c50-81ae-56f917b413cc/mx-api-bc-pro-systems-operations</v>
      </c>
      <c r="I113" s="59" t="s">
        <v>162</v>
      </c>
      <c r="J113" s="57" t="str">
        <f t="shared" si="11"/>
        <v>mx-ms-bc-pro-systems-operations</v>
      </c>
      <c r="K113" s="55" t="s">
        <v>816</v>
      </c>
      <c r="L113" s="57" t="str">
        <f>IFERROR(__xludf.DUMMYFUNCTION("REGEXREPLACE(REGEXREPLACE(REGEXREPLACE(J113, ""mx-ms-bc-"", """"), ""-mule"", ""-api-dev""), ""-apigee"", ""-api-dev"")"),"pro-systems-operations")</f>
        <v>pro-systems-operations</v>
      </c>
      <c r="M113" s="57" t="str">
        <f t="shared" si="12"/>
        <v>mx-ms-bc-pro-systems-operations</v>
      </c>
      <c r="N113" s="55" t="str">
        <f t="shared" si="5"/>
        <v>Valid</v>
      </c>
      <c r="O113" s="59">
        <f t="shared" si="6"/>
        <v>31</v>
      </c>
      <c r="P113" s="59"/>
      <c r="Q113" s="59"/>
      <c r="R113" s="60"/>
      <c r="S113" s="60"/>
      <c r="T113" s="60"/>
      <c r="U113" s="60"/>
      <c r="V113" s="60"/>
      <c r="W113" s="60"/>
      <c r="X113" s="60"/>
      <c r="Y113" s="60"/>
      <c r="Z113" s="60"/>
      <c r="AA113" s="60"/>
      <c r="AB113" s="60"/>
      <c r="AC113" s="60"/>
      <c r="AD113" s="60"/>
      <c r="AE113" s="60"/>
      <c r="AF113" s="60"/>
      <c r="AG113" s="60"/>
      <c r="AH113" s="60"/>
      <c r="AI113" s="60"/>
      <c r="AJ113" s="60"/>
    </row>
    <row r="114">
      <c r="A114" s="27" t="s">
        <v>44</v>
      </c>
      <c r="B114" s="28" t="s">
        <v>1396</v>
      </c>
      <c r="C114" s="33">
        <f>COUNTIF(develop!F114:F980,B114)</f>
        <v>3</v>
      </c>
      <c r="D114" s="34" t="s">
        <v>811</v>
      </c>
      <c r="E114" s="28" t="s">
        <v>1397</v>
      </c>
      <c r="F114" s="34" t="s">
        <v>1398</v>
      </c>
      <c r="G114" s="35" t="str">
        <f t="shared" si="1"/>
        <v>mx-api-bc-pro-transaction-engine</v>
      </c>
      <c r="H114" s="37" t="str">
        <f t="shared" si="2"/>
        <v>https://anypoint.mulesoft.com/exchange/834f46f4-ef08-4c50-81ae-56f917b413cc/mx-api-bc-pro-transaction-engine</v>
      </c>
      <c r="I114" s="42" t="s">
        <v>162</v>
      </c>
      <c r="J114" s="41" t="str">
        <f t="shared" si="11"/>
        <v>mx-ms-bc-pro-transaction-engine</v>
      </c>
      <c r="K114" s="39" t="s">
        <v>816</v>
      </c>
      <c r="L114" s="41" t="str">
        <f>IFERROR(__xludf.DUMMYFUNCTION("REGEXREPLACE(REGEXREPLACE(REGEXREPLACE(J114, ""mx-ms-bc-"", """"), ""-mule"", ""-api-dev""), ""-apigee"", ""-api-dev"")"),"pro-transaction-engine")</f>
        <v>pro-transaction-engine</v>
      </c>
      <c r="M114" s="41" t="str">
        <f t="shared" si="12"/>
        <v>mx-ms-bc-pro-transaction-engine</v>
      </c>
      <c r="N114" s="39" t="str">
        <f t="shared" si="5"/>
        <v>Valid</v>
      </c>
      <c r="O114" s="42">
        <f t="shared" si="6"/>
        <v>31</v>
      </c>
      <c r="P114" s="42"/>
      <c r="Q114" s="42"/>
      <c r="R114" s="43"/>
      <c r="S114" s="43"/>
      <c r="T114" s="43"/>
      <c r="U114" s="43"/>
      <c r="V114" s="43"/>
      <c r="W114" s="43"/>
      <c r="X114" s="43"/>
      <c r="Y114" s="43"/>
      <c r="Z114" s="43"/>
      <c r="AA114" s="43"/>
      <c r="AB114" s="43"/>
      <c r="AC114" s="43"/>
      <c r="AD114" s="43"/>
      <c r="AE114" s="43"/>
      <c r="AF114" s="43"/>
      <c r="AG114" s="43"/>
      <c r="AH114" s="43"/>
      <c r="AI114" s="43"/>
      <c r="AJ114" s="43"/>
    </row>
    <row r="115">
      <c r="A115" s="46" t="s">
        <v>44</v>
      </c>
      <c r="B115" s="47" t="s">
        <v>1404</v>
      </c>
      <c r="C115" s="50">
        <f>COUNTIF(develop!F115:F980,B115)</f>
        <v>14</v>
      </c>
      <c r="D115" s="51" t="s">
        <v>811</v>
      </c>
      <c r="E115" s="47" t="s">
        <v>1407</v>
      </c>
      <c r="F115" s="51" t="s">
        <v>1409</v>
      </c>
      <c r="G115" s="53" t="str">
        <f t="shared" si="1"/>
        <v>mx-api-bc-pro-utility</v>
      </c>
      <c r="H115" s="54" t="str">
        <f t="shared" si="2"/>
        <v>https://anypoint.mulesoft.com/exchange/834f46f4-ef08-4c50-81ae-56f917b413cc/mx-api-bc-pro-utility</v>
      </c>
      <c r="I115" s="59" t="s">
        <v>134</v>
      </c>
      <c r="J115" s="57" t="str">
        <f t="shared" si="11"/>
        <v>mx-ms-bc-pro-utility</v>
      </c>
      <c r="K115" s="55" t="s">
        <v>816</v>
      </c>
      <c r="L115" s="57" t="str">
        <f>IFERROR(__xludf.DUMMYFUNCTION("REGEXREPLACE(REGEXREPLACE(REGEXREPLACE(J115, ""mx-ms-bc-"", """"), ""-mule"", ""-api-dev""), ""-apigee"", ""-api-dev"")"),"pro-utility")</f>
        <v>pro-utility</v>
      </c>
      <c r="M115" s="57" t="str">
        <f t="shared" si="12"/>
        <v>mx-ms-bc-pro-utility</v>
      </c>
      <c r="N115" s="55" t="str">
        <f t="shared" si="5"/>
        <v>Valid</v>
      </c>
      <c r="O115" s="59">
        <f t="shared" si="6"/>
        <v>20</v>
      </c>
      <c r="P115" s="59"/>
      <c r="Q115" s="59"/>
      <c r="R115" s="60"/>
      <c r="S115" s="60"/>
      <c r="T115" s="60"/>
      <c r="U115" s="60"/>
      <c r="V115" s="60"/>
      <c r="W115" s="60"/>
      <c r="X115" s="60"/>
      <c r="Y115" s="60"/>
      <c r="Z115" s="60"/>
      <c r="AA115" s="60"/>
      <c r="AB115" s="60"/>
      <c r="AC115" s="60"/>
      <c r="AD115" s="60"/>
      <c r="AE115" s="60"/>
      <c r="AF115" s="60"/>
      <c r="AG115" s="60"/>
      <c r="AH115" s="60"/>
      <c r="AI115" s="60"/>
      <c r="AJ115" s="60"/>
    </row>
    <row r="116">
      <c r="A116" s="27" t="s">
        <v>44</v>
      </c>
      <c r="B116" s="28" t="s">
        <v>1416</v>
      </c>
      <c r="C116" s="33">
        <f>COUNTIF(develop!F116:F980,B116)</f>
        <v>1</v>
      </c>
      <c r="D116" s="34" t="s">
        <v>1417</v>
      </c>
      <c r="E116" s="28" t="s">
        <v>1418</v>
      </c>
      <c r="F116" s="34" t="s">
        <v>1421</v>
      </c>
      <c r="G116" s="35" t="str">
        <f t="shared" si="1"/>
        <v>mx-api-bc-rec-branch-location-operations</v>
      </c>
      <c r="H116" s="37" t="str">
        <f t="shared" si="2"/>
        <v>https://anypoint.mulesoft.com/exchange/834f46f4-ef08-4c50-81ae-56f917b413cc/mx-api-bc-rec-branch-location-operations</v>
      </c>
      <c r="I116" s="42" t="s">
        <v>122</v>
      </c>
      <c r="J116" s="41" t="str">
        <f t="shared" si="11"/>
        <v>mx-ms-bc-rec-branch-location-operations-apigee</v>
      </c>
      <c r="K116" s="39" t="s">
        <v>1423</v>
      </c>
      <c r="L116" s="41" t="str">
        <f>IFERROR(__xludf.DUMMYFUNCTION("REGEXREPLACE(REGEXREPLACE(REGEXREPLACE(J116, ""mx-ms-bc-"", """"), ""-mule"", ""-api-dev""), ""-apigee"", ""-api-dev"")"),"rec-branch-location-operations-api-dev")</f>
        <v>rec-branch-location-operations-api-dev</v>
      </c>
      <c r="M116" s="41" t="str">
        <f t="shared" si="12"/>
        <v>mx-ms-bc-rec-branch-location-operations-apigee</v>
      </c>
      <c r="N116" s="39" t="str">
        <f t="shared" si="5"/>
        <v>Valid</v>
      </c>
      <c r="O116" s="42">
        <f t="shared" si="6"/>
        <v>46</v>
      </c>
      <c r="P116" s="42"/>
      <c r="Q116" s="42"/>
      <c r="R116" s="43"/>
      <c r="S116" s="43"/>
      <c r="T116" s="43"/>
      <c r="U116" s="43"/>
      <c r="V116" s="43"/>
      <c r="W116" s="43"/>
      <c r="X116" s="43"/>
      <c r="Y116" s="43"/>
      <c r="Z116" s="43"/>
      <c r="AA116" s="43"/>
      <c r="AB116" s="43"/>
      <c r="AC116" s="43"/>
      <c r="AD116" s="43"/>
      <c r="AE116" s="43"/>
      <c r="AF116" s="43"/>
      <c r="AG116" s="43"/>
      <c r="AH116" s="43"/>
      <c r="AI116" s="43"/>
      <c r="AJ116" s="43"/>
    </row>
    <row r="117">
      <c r="A117" s="46" t="s">
        <v>44</v>
      </c>
      <c r="B117" s="47" t="s">
        <v>1426</v>
      </c>
      <c r="C117" s="50">
        <f>COUNTIF(develop!F117:F980,B117)</f>
        <v>6</v>
      </c>
      <c r="D117" s="51" t="s">
        <v>1417</v>
      </c>
      <c r="E117" s="47" t="s">
        <v>1429</v>
      </c>
      <c r="F117" s="51" t="s">
        <v>1431</v>
      </c>
      <c r="G117" s="53" t="str">
        <f t="shared" si="1"/>
        <v>mx-api-bc-rec-business-support</v>
      </c>
      <c r="H117" s="54" t="str">
        <f t="shared" si="2"/>
        <v>https://anypoint.mulesoft.com/exchange/834f46f4-ef08-4c50-81ae-56f917b413cc/mx-api-bc-rec-business-support</v>
      </c>
      <c r="I117" s="59" t="s">
        <v>57</v>
      </c>
      <c r="J117" s="57" t="str">
        <f t="shared" si="11"/>
        <v>mx-ms-bc-rec-business-support-apigee</v>
      </c>
      <c r="K117" s="55" t="s">
        <v>1423</v>
      </c>
      <c r="L117" s="57" t="str">
        <f>IFERROR(__xludf.DUMMYFUNCTION("REGEXREPLACE(REGEXREPLACE(REGEXREPLACE(J117, ""mx-ms-bc-"", """"), ""-mule"", ""-api-dev""), ""-apigee"", ""-api-dev"")"),"rec-business-support-api-dev")</f>
        <v>rec-business-support-api-dev</v>
      </c>
      <c r="M117" s="57" t="str">
        <f t="shared" si="12"/>
        <v>mx-ms-bc-rec-business-support-apigee</v>
      </c>
      <c r="N117" s="55" t="str">
        <f t="shared" si="5"/>
        <v>Valid</v>
      </c>
      <c r="O117" s="59">
        <f t="shared" si="6"/>
        <v>36</v>
      </c>
      <c r="P117" s="59"/>
      <c r="Q117" s="59"/>
      <c r="R117" s="60"/>
      <c r="S117" s="60"/>
      <c r="T117" s="60"/>
      <c r="U117" s="60"/>
      <c r="V117" s="60"/>
      <c r="W117" s="60"/>
      <c r="X117" s="60"/>
      <c r="Y117" s="60"/>
      <c r="Z117" s="60"/>
      <c r="AA117" s="60"/>
      <c r="AB117" s="60"/>
      <c r="AC117" s="60"/>
      <c r="AD117" s="60"/>
      <c r="AE117" s="60"/>
      <c r="AF117" s="60"/>
      <c r="AG117" s="60"/>
      <c r="AH117" s="60"/>
      <c r="AI117" s="60"/>
      <c r="AJ117" s="60"/>
    </row>
    <row r="118">
      <c r="A118" s="27" t="s">
        <v>44</v>
      </c>
      <c r="B118" s="28" t="s">
        <v>1437</v>
      </c>
      <c r="C118" s="33">
        <f>COUNTIF(develop!F118:F980,B118)</f>
        <v>1</v>
      </c>
      <c r="D118" s="34" t="s">
        <v>1417</v>
      </c>
      <c r="E118" s="28" t="s">
        <v>1438</v>
      </c>
      <c r="F118" s="34" t="s">
        <v>1439</v>
      </c>
      <c r="G118" s="35" t="str">
        <f t="shared" si="1"/>
        <v>mx-api-bc-rec-card-ecommerce-gateway</v>
      </c>
      <c r="H118" s="37" t="str">
        <f t="shared" si="2"/>
        <v>https://anypoint.mulesoft.com/exchange/834f46f4-ef08-4c50-81ae-56f917b413cc/mx-api-bc-rec-card-ecommerce-gateway</v>
      </c>
      <c r="I118" s="42" t="s">
        <v>122</v>
      </c>
      <c r="J118" s="41" t="str">
        <f t="shared" si="11"/>
        <v>mx-ms-bc-rec-card-ecommerce-gateway-apigee</v>
      </c>
      <c r="K118" s="39" t="s">
        <v>1423</v>
      </c>
      <c r="L118" s="41" t="str">
        <f>IFERROR(__xludf.DUMMYFUNCTION("REGEXREPLACE(REGEXREPLACE(REGEXREPLACE(J118, ""mx-ms-bc-"", """"), ""-mule"", ""-api-dev""), ""-apigee"", ""-api-dev"")"),"rec-card-ecommerce-gateway-api-dev")</f>
        <v>rec-card-ecommerce-gateway-api-dev</v>
      </c>
      <c r="M118" s="41" t="str">
        <f t="shared" si="12"/>
        <v>mx-ms-bc-rec-card-ecommerce-gateway-apigee</v>
      </c>
      <c r="N118" s="39" t="str">
        <f t="shared" si="5"/>
        <v>Valid</v>
      </c>
      <c r="O118" s="42">
        <f t="shared" si="6"/>
        <v>42</v>
      </c>
      <c r="P118" s="42"/>
      <c r="Q118" s="42"/>
      <c r="R118" s="43"/>
      <c r="S118" s="43"/>
      <c r="T118" s="43"/>
      <c r="U118" s="43"/>
      <c r="V118" s="43"/>
      <c r="W118" s="43"/>
      <c r="X118" s="43"/>
      <c r="Y118" s="43"/>
      <c r="Z118" s="43"/>
      <c r="AA118" s="43"/>
      <c r="AB118" s="43"/>
      <c r="AC118" s="43"/>
      <c r="AD118" s="43"/>
      <c r="AE118" s="43"/>
      <c r="AF118" s="43"/>
      <c r="AG118" s="43"/>
      <c r="AH118" s="43"/>
      <c r="AI118" s="43"/>
      <c r="AJ118" s="43"/>
    </row>
    <row r="119">
      <c r="A119" s="46" t="s">
        <v>44</v>
      </c>
      <c r="B119" s="47" t="s">
        <v>1450</v>
      </c>
      <c r="C119" s="50">
        <f>COUNTIF(develop!F119:F980,B119)</f>
        <v>1</v>
      </c>
      <c r="D119" s="51" t="s">
        <v>1417</v>
      </c>
      <c r="E119" s="47" t="s">
        <v>1451</v>
      </c>
      <c r="F119" s="51" t="s">
        <v>1452</v>
      </c>
      <c r="G119" s="53" t="str">
        <f t="shared" si="1"/>
        <v>mx-api-bc-rec-corporate-current-account</v>
      </c>
      <c r="H119" s="54" t="str">
        <f t="shared" si="2"/>
        <v>https://anypoint.mulesoft.com/exchange/834f46f4-ef08-4c50-81ae-56f917b413cc/mx-api-bc-rec-corporate-current-account</v>
      </c>
      <c r="I119" s="59" t="s">
        <v>134</v>
      </c>
      <c r="J119" s="57" t="str">
        <f t="shared" si="11"/>
        <v>mx-ms-bc-rec-corporate-current-account-apigee</v>
      </c>
      <c r="K119" s="55" t="s">
        <v>1423</v>
      </c>
      <c r="L119" s="57" t="str">
        <f>IFERROR(__xludf.DUMMYFUNCTION("REGEXREPLACE(REGEXREPLACE(REGEXREPLACE(J119, ""mx-ms-bc-"", """"), ""-mule"", ""-api-dev""), ""-apigee"", ""-api-dev"")"),"rec-corporate-current-account-api-dev")</f>
        <v>rec-corporate-current-account-api-dev</v>
      </c>
      <c r="M119" s="57" t="str">
        <f t="shared" si="12"/>
        <v>mx-ms-bc-rec-corporate-current-account-apigee</v>
      </c>
      <c r="N119" s="55" t="str">
        <f t="shared" si="5"/>
        <v>Valid</v>
      </c>
      <c r="O119" s="59">
        <f t="shared" si="6"/>
        <v>45</v>
      </c>
      <c r="P119" s="59"/>
      <c r="Q119" s="59"/>
      <c r="R119" s="60"/>
      <c r="S119" s="60"/>
      <c r="T119" s="60"/>
      <c r="U119" s="60"/>
      <c r="V119" s="60"/>
      <c r="W119" s="60"/>
      <c r="X119" s="60"/>
      <c r="Y119" s="60"/>
      <c r="Z119" s="60"/>
      <c r="AA119" s="60"/>
      <c r="AB119" s="60"/>
      <c r="AC119" s="60"/>
      <c r="AD119" s="60"/>
      <c r="AE119" s="60"/>
      <c r="AF119" s="60"/>
      <c r="AG119" s="60"/>
      <c r="AH119" s="60"/>
      <c r="AI119" s="60"/>
      <c r="AJ119" s="60"/>
    </row>
    <row r="120">
      <c r="A120" s="27" t="s">
        <v>44</v>
      </c>
      <c r="B120" s="28" t="s">
        <v>1459</v>
      </c>
      <c r="C120" s="33">
        <f>COUNTIF(develop!F120:F980,B120)</f>
        <v>5</v>
      </c>
      <c r="D120" s="34" t="s">
        <v>1417</v>
      </c>
      <c r="E120" s="28" t="s">
        <v>1462</v>
      </c>
      <c r="F120" s="34" t="s">
        <v>1464</v>
      </c>
      <c r="G120" s="35" t="str">
        <f t="shared" si="1"/>
        <v>mx-api-bc-rec-counterparty-risk</v>
      </c>
      <c r="H120" s="37" t="str">
        <f t="shared" si="2"/>
        <v>https://anypoint.mulesoft.com/exchange/834f46f4-ef08-4c50-81ae-56f917b413cc/mx-api-bc-rec-counterparty-risk</v>
      </c>
      <c r="I120" s="42" t="s">
        <v>134</v>
      </c>
      <c r="J120" s="41" t="str">
        <f t="shared" si="11"/>
        <v>mx-ms-bc-rec-counterparty-risk-apigee</v>
      </c>
      <c r="K120" s="39" t="s">
        <v>1423</v>
      </c>
      <c r="L120" s="41" t="str">
        <f>IFERROR(__xludf.DUMMYFUNCTION("REGEXREPLACE(REGEXREPLACE(REGEXREPLACE(J120, ""mx-ms-bc-"", """"), ""-mule"", ""-api-dev""), ""-apigee"", ""-api-dev"")"),"rec-counterparty-risk-api-dev")</f>
        <v>rec-counterparty-risk-api-dev</v>
      </c>
      <c r="M120" s="41" t="str">
        <f t="shared" si="12"/>
        <v>mx-ms-bc-rec-counterparty-risk-apigee</v>
      </c>
      <c r="N120" s="39" t="str">
        <f t="shared" si="5"/>
        <v>Valid</v>
      </c>
      <c r="O120" s="42">
        <f t="shared" si="6"/>
        <v>37</v>
      </c>
      <c r="P120" s="42"/>
      <c r="Q120" s="42"/>
      <c r="R120" s="43"/>
      <c r="S120" s="43"/>
      <c r="T120" s="43"/>
      <c r="U120" s="43"/>
      <c r="V120" s="43"/>
      <c r="W120" s="43"/>
      <c r="X120" s="43"/>
      <c r="Y120" s="43"/>
      <c r="Z120" s="43"/>
      <c r="AA120" s="43"/>
      <c r="AB120" s="43"/>
      <c r="AC120" s="43"/>
      <c r="AD120" s="43"/>
      <c r="AE120" s="43"/>
      <c r="AF120" s="43"/>
      <c r="AG120" s="43"/>
      <c r="AH120" s="43"/>
      <c r="AI120" s="43"/>
      <c r="AJ120" s="43"/>
    </row>
    <row r="121">
      <c r="A121" s="46" t="s">
        <v>44</v>
      </c>
      <c r="B121" s="47" t="s">
        <v>1471</v>
      </c>
      <c r="C121" s="50">
        <f>COUNTIF(develop!F121:F980,B121)</f>
        <v>26</v>
      </c>
      <c r="D121" s="51" t="s">
        <v>1417</v>
      </c>
      <c r="E121" s="47" t="s">
        <v>1475</v>
      </c>
      <c r="F121" s="51" t="s">
        <v>1478</v>
      </c>
      <c r="G121" s="53" t="str">
        <f t="shared" si="1"/>
        <v>mx-api-bc-rec-credit-card</v>
      </c>
      <c r="H121" s="54" t="str">
        <f t="shared" si="2"/>
        <v>https://anypoint.mulesoft.com/exchange/834f46f4-ef08-4c50-81ae-56f917b413cc/mx-api-bc-rec-credit-card</v>
      </c>
      <c r="I121" s="59" t="s">
        <v>1479</v>
      </c>
      <c r="J121" s="57" t="str">
        <f t="shared" si="11"/>
        <v>mx-ms-bc-rec-credit-card-apigee</v>
      </c>
      <c r="K121" s="55" t="s">
        <v>1423</v>
      </c>
      <c r="L121" s="57" t="str">
        <f>IFERROR(__xludf.DUMMYFUNCTION("REGEXREPLACE(REGEXREPLACE(REGEXREPLACE(J121, ""mx-ms-bc-"", """"), ""-mule"", ""-api-dev""), ""-apigee"", ""-api-dev"")"),"rec-credit-card-api-dev")</f>
        <v>rec-credit-card-api-dev</v>
      </c>
      <c r="M121" s="57" t="str">
        <f t="shared" si="12"/>
        <v>mx-ms-bc-rec-credit-card-apigee</v>
      </c>
      <c r="N121" s="55" t="str">
        <f t="shared" si="5"/>
        <v>Valid</v>
      </c>
      <c r="O121" s="59">
        <f t="shared" si="6"/>
        <v>31</v>
      </c>
      <c r="P121" s="59"/>
      <c r="Q121" s="59"/>
      <c r="R121" s="60"/>
      <c r="S121" s="60"/>
      <c r="T121" s="60"/>
      <c r="U121" s="60"/>
      <c r="V121" s="60"/>
      <c r="W121" s="60"/>
      <c r="X121" s="60"/>
      <c r="Y121" s="60"/>
      <c r="Z121" s="60"/>
      <c r="AA121" s="60"/>
      <c r="AB121" s="60"/>
      <c r="AC121" s="60"/>
      <c r="AD121" s="60"/>
      <c r="AE121" s="60"/>
      <c r="AF121" s="60"/>
      <c r="AG121" s="60"/>
      <c r="AH121" s="60"/>
      <c r="AI121" s="60"/>
      <c r="AJ121" s="60"/>
    </row>
    <row r="122">
      <c r="A122" s="27" t="s">
        <v>44</v>
      </c>
      <c r="B122" s="28" t="s">
        <v>1483</v>
      </c>
      <c r="C122" s="33">
        <f>COUNTIF(develop!F122:F980,B122)</f>
        <v>5</v>
      </c>
      <c r="D122" s="34" t="s">
        <v>1417</v>
      </c>
      <c r="E122" s="28" t="s">
        <v>1486</v>
      </c>
      <c r="F122" s="34" t="s">
        <v>1487</v>
      </c>
      <c r="G122" s="35" t="str">
        <f t="shared" si="1"/>
        <v>mx-api-bc-rec-credit-card-position-keeping</v>
      </c>
      <c r="H122" s="37" t="str">
        <f t="shared" si="2"/>
        <v>https://anypoint.mulesoft.com/exchange/834f46f4-ef08-4c50-81ae-56f917b413cc/mx-api-bc-rec-credit-card-position-keeping</v>
      </c>
      <c r="I122" s="42" t="s">
        <v>299</v>
      </c>
      <c r="J122" s="41" t="str">
        <f t="shared" si="11"/>
        <v>mx-ms-bc-rec-credit-card-position-keeping-apigee</v>
      </c>
      <c r="K122" s="39" t="s">
        <v>1423</v>
      </c>
      <c r="L122" s="41" t="str">
        <f>IFERROR(__xludf.DUMMYFUNCTION("REGEXREPLACE(REGEXREPLACE(REGEXREPLACE(J122, ""mx-ms-bc-"", """"), ""-mule"", ""-api-dev""), ""-apigee"", ""-api-dev"")"),"rec-credit-card-position-keeping-api-dev")</f>
        <v>rec-credit-card-position-keeping-api-dev</v>
      </c>
      <c r="M122" s="41" t="str">
        <f t="shared" si="12"/>
        <v>mx-ms-bc-rec-credit-card-position-keeping-apigee</v>
      </c>
      <c r="N122" s="39" t="str">
        <f t="shared" si="5"/>
        <v>Valid</v>
      </c>
      <c r="O122" s="42">
        <f t="shared" si="6"/>
        <v>48</v>
      </c>
      <c r="P122" s="42"/>
      <c r="Q122" s="42"/>
      <c r="R122" s="43"/>
      <c r="S122" s="43"/>
      <c r="T122" s="43"/>
      <c r="U122" s="43"/>
      <c r="V122" s="43"/>
      <c r="W122" s="43"/>
      <c r="X122" s="43"/>
      <c r="Y122" s="43"/>
      <c r="Z122" s="43"/>
      <c r="AA122" s="43"/>
      <c r="AB122" s="43"/>
      <c r="AC122" s="43"/>
      <c r="AD122" s="43"/>
      <c r="AE122" s="43"/>
      <c r="AF122" s="43"/>
      <c r="AG122" s="43"/>
      <c r="AH122" s="43"/>
      <c r="AI122" s="43"/>
      <c r="AJ122" s="43"/>
    </row>
    <row r="123">
      <c r="A123" s="46" t="s">
        <v>44</v>
      </c>
      <c r="B123" s="47" t="s">
        <v>1495</v>
      </c>
      <c r="C123" s="50">
        <f>COUNTIF(develop!F123:F980,B123)</f>
        <v>1</v>
      </c>
      <c r="D123" s="51" t="s">
        <v>1417</v>
      </c>
      <c r="E123" s="47" t="s">
        <v>1498</v>
      </c>
      <c r="F123" s="51" t="s">
        <v>1499</v>
      </c>
      <c r="G123" s="53" t="str">
        <f t="shared" si="1"/>
        <v>mx-api-bc-rec-credit-facility</v>
      </c>
      <c r="H123" s="54" t="str">
        <f t="shared" si="2"/>
        <v>https://anypoint.mulesoft.com/exchange/834f46f4-ef08-4c50-81ae-56f917b413cc/mx-api-bc-rec-credit-facility</v>
      </c>
      <c r="I123" s="59" t="s">
        <v>255</v>
      </c>
      <c r="J123" s="57" t="str">
        <f t="shared" si="11"/>
        <v>mx-ms-bc-rec-credit-facility-apigee</v>
      </c>
      <c r="K123" s="55" t="s">
        <v>1423</v>
      </c>
      <c r="L123" s="57" t="str">
        <f>IFERROR(__xludf.DUMMYFUNCTION("REGEXREPLACE(REGEXREPLACE(REGEXREPLACE(J123, ""mx-ms-bc-"", """"), ""-mule"", ""-api-dev""), ""-apigee"", ""-api-dev"")"),"rec-credit-facility-api-dev")</f>
        <v>rec-credit-facility-api-dev</v>
      </c>
      <c r="M123" s="57" t="str">
        <f t="shared" si="12"/>
        <v>mx-ms-bc-rec-credit-facility-apigee</v>
      </c>
      <c r="N123" s="55" t="str">
        <f t="shared" si="5"/>
        <v>Valid</v>
      </c>
      <c r="O123" s="59">
        <f t="shared" si="6"/>
        <v>35</v>
      </c>
      <c r="P123" s="59"/>
      <c r="Q123" s="59"/>
      <c r="R123" s="60"/>
      <c r="S123" s="60"/>
      <c r="T123" s="60"/>
      <c r="U123" s="60"/>
      <c r="V123" s="60"/>
      <c r="W123" s="60"/>
      <c r="X123" s="60"/>
      <c r="Y123" s="60"/>
      <c r="Z123" s="60"/>
      <c r="AA123" s="60"/>
      <c r="AB123" s="60"/>
      <c r="AC123" s="60"/>
      <c r="AD123" s="60"/>
      <c r="AE123" s="60"/>
      <c r="AF123" s="60"/>
      <c r="AG123" s="60"/>
      <c r="AH123" s="60"/>
      <c r="AI123" s="60"/>
      <c r="AJ123" s="60"/>
    </row>
    <row r="124">
      <c r="A124" s="27" t="s">
        <v>44</v>
      </c>
      <c r="B124" s="28" t="s">
        <v>1508</v>
      </c>
      <c r="C124" s="33">
        <f>COUNTIF(develop!F124:F980,B124)</f>
        <v>1</v>
      </c>
      <c r="D124" s="34" t="s">
        <v>1417</v>
      </c>
      <c r="E124" s="28" t="s">
        <v>1510</v>
      </c>
      <c r="F124" s="34" t="s">
        <v>1512</v>
      </c>
      <c r="G124" s="35" t="str">
        <f t="shared" si="1"/>
        <v>mx-api-bc-rec-currency-exchange</v>
      </c>
      <c r="H124" s="37" t="str">
        <f t="shared" si="2"/>
        <v>https://anypoint.mulesoft.com/exchange/834f46f4-ef08-4c50-81ae-56f917b413cc/mx-api-bc-rec-currency-exchange</v>
      </c>
      <c r="I124" s="42" t="s">
        <v>162</v>
      </c>
      <c r="J124" s="41" t="str">
        <f t="shared" si="11"/>
        <v>mx-ms-bc-rec-currency-exchange-apigee</v>
      </c>
      <c r="K124" s="39" t="s">
        <v>1423</v>
      </c>
      <c r="L124" s="41" t="str">
        <f>IFERROR(__xludf.DUMMYFUNCTION("REGEXREPLACE(REGEXREPLACE(REGEXREPLACE(J124, ""mx-ms-bc-"", """"), ""-mule"", ""-api-dev""), ""-apigee"", ""-api-dev"")"),"rec-currency-exchange-api-dev")</f>
        <v>rec-currency-exchange-api-dev</v>
      </c>
      <c r="M124" s="41" t="str">
        <f t="shared" si="12"/>
        <v>mx-ms-bc-rec-currency-exchange-apigee</v>
      </c>
      <c r="N124" s="39" t="str">
        <f t="shared" si="5"/>
        <v>Valid</v>
      </c>
      <c r="O124" s="42">
        <f t="shared" si="6"/>
        <v>37</v>
      </c>
      <c r="P124" s="42"/>
      <c r="Q124" s="42"/>
      <c r="R124" s="43"/>
      <c r="S124" s="43"/>
      <c r="T124" s="43"/>
      <c r="U124" s="43"/>
      <c r="V124" s="43"/>
      <c r="W124" s="43"/>
      <c r="X124" s="43"/>
      <c r="Y124" s="43"/>
      <c r="Z124" s="43"/>
      <c r="AA124" s="43"/>
      <c r="AB124" s="43"/>
      <c r="AC124" s="43"/>
      <c r="AD124" s="43"/>
      <c r="AE124" s="43"/>
      <c r="AF124" s="43"/>
      <c r="AG124" s="43"/>
      <c r="AH124" s="43"/>
      <c r="AI124" s="43"/>
      <c r="AJ124" s="43"/>
    </row>
    <row r="125">
      <c r="A125" s="46" t="s">
        <v>44</v>
      </c>
      <c r="B125" s="47" t="s">
        <v>1520</v>
      </c>
      <c r="C125" s="50">
        <f>COUNTIF(develop!F125:F980,B125)</f>
        <v>1</v>
      </c>
      <c r="D125" s="51" t="s">
        <v>1417</v>
      </c>
      <c r="E125" s="47" t="s">
        <v>1521</v>
      </c>
      <c r="F125" s="51" t="s">
        <v>1522</v>
      </c>
      <c r="G125" s="53" t="str">
        <f t="shared" si="1"/>
        <v>mx-api-bc-rec-customer-access-entitlement</v>
      </c>
      <c r="H125" s="54" t="str">
        <f t="shared" si="2"/>
        <v>https://anypoint.mulesoft.com/exchange/834f46f4-ef08-4c50-81ae-56f917b413cc/mx-api-bc-rec-customer-access-entitlement</v>
      </c>
      <c r="I125" s="59" t="s">
        <v>299</v>
      </c>
      <c r="J125" s="57" t="str">
        <f t="shared" si="11"/>
        <v>mx-ms-bc-rec-customer-access-entitlement-apigee</v>
      </c>
      <c r="K125" s="55" t="s">
        <v>1423</v>
      </c>
      <c r="L125" s="57" t="str">
        <f>IFERROR(__xludf.DUMMYFUNCTION("REGEXREPLACE(REGEXREPLACE(REGEXREPLACE(J125, ""mx-ms-bc-"", """"), ""-mule"", ""-api-dev""), ""-apigee"", ""-api-dev"")"),"rec-customer-access-entitlement-api-dev")</f>
        <v>rec-customer-access-entitlement-api-dev</v>
      </c>
      <c r="M125" s="57" t="str">
        <f t="shared" si="12"/>
        <v>mx-ms-bc-rec-customer-access-entitlement-apigee</v>
      </c>
      <c r="N125" s="55" t="str">
        <f t="shared" si="5"/>
        <v>Valid</v>
      </c>
      <c r="O125" s="59">
        <f t="shared" si="6"/>
        <v>47</v>
      </c>
      <c r="P125" s="59"/>
      <c r="Q125" s="59"/>
      <c r="R125" s="60"/>
      <c r="S125" s="60"/>
      <c r="T125" s="60"/>
      <c r="U125" s="60"/>
      <c r="V125" s="60"/>
      <c r="W125" s="60"/>
      <c r="X125" s="60"/>
      <c r="Y125" s="60"/>
      <c r="Z125" s="60"/>
      <c r="AA125" s="60"/>
      <c r="AB125" s="60"/>
      <c r="AC125" s="60"/>
      <c r="AD125" s="60"/>
      <c r="AE125" s="60"/>
      <c r="AF125" s="60"/>
      <c r="AG125" s="60"/>
      <c r="AH125" s="60"/>
      <c r="AI125" s="60"/>
      <c r="AJ125" s="60"/>
    </row>
    <row r="126">
      <c r="A126" s="27" t="s">
        <v>44</v>
      </c>
      <c r="B126" s="28" t="s">
        <v>1531</v>
      </c>
      <c r="C126" s="33">
        <f>COUNTIF(develop!F126:F980,B126)</f>
        <v>2</v>
      </c>
      <c r="D126" s="34" t="s">
        <v>1417</v>
      </c>
      <c r="E126" s="28" t="s">
        <v>1532</v>
      </c>
      <c r="F126" s="34" t="s">
        <v>1533</v>
      </c>
      <c r="G126" s="35" t="str">
        <f t="shared" si="1"/>
        <v>mx-api-bc-rec-customer-agreement</v>
      </c>
      <c r="H126" s="37" t="str">
        <f t="shared" si="2"/>
        <v>https://anypoint.mulesoft.com/exchange/834f46f4-ef08-4c50-81ae-56f917b413cc/mx-api-bc-rec-customer-agreement</v>
      </c>
      <c r="I126" s="42" t="s">
        <v>122</v>
      </c>
      <c r="J126" s="41" t="str">
        <f t="shared" si="11"/>
        <v>mx-ms-bc-rec-customer-agreement-apigee</v>
      </c>
      <c r="K126" s="39" t="s">
        <v>1423</v>
      </c>
      <c r="L126" s="41" t="str">
        <f>IFERROR(__xludf.DUMMYFUNCTION("REGEXREPLACE(REGEXREPLACE(REGEXREPLACE(J126, ""mx-ms-bc-"", """"), ""-mule"", ""-api-dev""), ""-apigee"", ""-api-dev"")"),"rec-customer-agreement-api-dev")</f>
        <v>rec-customer-agreement-api-dev</v>
      </c>
      <c r="M126" s="41" t="str">
        <f t="shared" si="12"/>
        <v>mx-ms-bc-rec-customer-agreement-apigee</v>
      </c>
      <c r="N126" s="39" t="str">
        <f t="shared" si="5"/>
        <v>Valid</v>
      </c>
      <c r="O126" s="42">
        <f t="shared" si="6"/>
        <v>38</v>
      </c>
      <c r="P126" s="42"/>
      <c r="Q126" s="42"/>
      <c r="R126" s="43"/>
      <c r="S126" s="43"/>
      <c r="T126" s="43"/>
      <c r="U126" s="43"/>
      <c r="V126" s="43"/>
      <c r="W126" s="43"/>
      <c r="X126" s="43"/>
      <c r="Y126" s="43"/>
      <c r="Z126" s="43"/>
      <c r="AA126" s="43"/>
      <c r="AB126" s="43"/>
      <c r="AC126" s="43"/>
      <c r="AD126" s="43"/>
      <c r="AE126" s="43"/>
      <c r="AF126" s="43"/>
      <c r="AG126" s="43"/>
      <c r="AH126" s="43"/>
      <c r="AI126" s="43"/>
      <c r="AJ126" s="43"/>
    </row>
    <row r="127">
      <c r="A127" s="46" t="s">
        <v>44</v>
      </c>
      <c r="B127" s="47" t="s">
        <v>1537</v>
      </c>
      <c r="C127" s="50">
        <f>COUNTIF(develop!F127:F980,B127)</f>
        <v>5</v>
      </c>
      <c r="D127" s="51" t="s">
        <v>1417</v>
      </c>
      <c r="E127" s="47" t="s">
        <v>1539</v>
      </c>
      <c r="F127" s="51" t="s">
        <v>1540</v>
      </c>
      <c r="G127" s="53" t="str">
        <f t="shared" si="1"/>
        <v>mx-api-bc-rec-customer-credit-rating</v>
      </c>
      <c r="H127" s="54" t="str">
        <f t="shared" si="2"/>
        <v>https://anypoint.mulesoft.com/exchange/834f46f4-ef08-4c50-81ae-56f917b413cc/mx-api-bc-rec-customer-credit-rating</v>
      </c>
      <c r="I127" s="59" t="s">
        <v>1541</v>
      </c>
      <c r="J127" s="57" t="str">
        <f t="shared" si="11"/>
        <v>mx-ms-bc-rec-customer-credit-rating-apigee</v>
      </c>
      <c r="K127" s="55" t="s">
        <v>1423</v>
      </c>
      <c r="L127" s="57" t="str">
        <f>IFERROR(__xludf.DUMMYFUNCTION("REGEXREPLACE(REGEXREPLACE(REGEXREPLACE(J127, ""mx-ms-bc-"", """"), ""-mule"", ""-api-dev""), ""-apigee"", ""-api-dev"")"),"rec-customer-credit-rating-api-dev")</f>
        <v>rec-customer-credit-rating-api-dev</v>
      </c>
      <c r="M127" s="57" t="str">
        <f t="shared" si="12"/>
        <v>mx-ms-bc-rec-customer-credit-rating-apigee</v>
      </c>
      <c r="N127" s="55" t="str">
        <f t="shared" si="5"/>
        <v>Valid</v>
      </c>
      <c r="O127" s="59">
        <f t="shared" si="6"/>
        <v>42</v>
      </c>
      <c r="P127" s="59"/>
      <c r="Q127" s="59"/>
      <c r="R127" s="60"/>
      <c r="S127" s="60"/>
      <c r="T127" s="60"/>
      <c r="U127" s="60"/>
      <c r="V127" s="60"/>
      <c r="W127" s="60"/>
      <c r="X127" s="60"/>
      <c r="Y127" s="60"/>
      <c r="Z127" s="60"/>
      <c r="AA127" s="60"/>
      <c r="AB127" s="60"/>
      <c r="AC127" s="60"/>
      <c r="AD127" s="60"/>
      <c r="AE127" s="60"/>
      <c r="AF127" s="60"/>
      <c r="AG127" s="60"/>
      <c r="AH127" s="60"/>
      <c r="AI127" s="60"/>
      <c r="AJ127" s="60"/>
    </row>
    <row r="128">
      <c r="A128" s="27" t="s">
        <v>44</v>
      </c>
      <c r="B128" s="28" t="s">
        <v>1548</v>
      </c>
      <c r="C128" s="33">
        <f>COUNTIF(develop!F128:F980,B128)</f>
        <v>1</v>
      </c>
      <c r="D128" s="34" t="s">
        <v>1417</v>
      </c>
      <c r="E128" s="28" t="s">
        <v>1551</v>
      </c>
      <c r="F128" s="34" t="s">
        <v>1552</v>
      </c>
      <c r="G128" s="35" t="str">
        <f t="shared" si="1"/>
        <v>mx-api-bc-rec-customer-offer</v>
      </c>
      <c r="H128" s="37" t="str">
        <f t="shared" si="2"/>
        <v>https://anypoint.mulesoft.com/exchange/834f46f4-ef08-4c50-81ae-56f917b413cc/mx-api-bc-rec-customer-offer</v>
      </c>
      <c r="I128" s="42" t="s">
        <v>162</v>
      </c>
      <c r="J128" s="41" t="str">
        <f t="shared" si="11"/>
        <v>mx-ms-bc-rec-customer-offer-apigee</v>
      </c>
      <c r="K128" s="39" t="s">
        <v>1423</v>
      </c>
      <c r="L128" s="41" t="str">
        <f>IFERROR(__xludf.DUMMYFUNCTION("REGEXREPLACE(REGEXREPLACE(REGEXREPLACE(J128, ""mx-ms-bc-"", """"), ""-mule"", ""-api-dev""), ""-apigee"", ""-api-dev"")"),"rec-customer-offer-api-dev")</f>
        <v>rec-customer-offer-api-dev</v>
      </c>
      <c r="M128" s="41" t="str">
        <f t="shared" si="12"/>
        <v>mx-ms-bc-rec-customer-offer-apigee</v>
      </c>
      <c r="N128" s="39" t="str">
        <f t="shared" si="5"/>
        <v>Valid</v>
      </c>
      <c r="O128" s="42">
        <f t="shared" si="6"/>
        <v>34</v>
      </c>
      <c r="P128" s="42"/>
      <c r="Q128" s="42"/>
      <c r="R128" s="43"/>
      <c r="S128" s="43"/>
      <c r="T128" s="43"/>
      <c r="U128" s="43"/>
      <c r="V128" s="43"/>
      <c r="W128" s="43"/>
      <c r="X128" s="43"/>
      <c r="Y128" s="43"/>
      <c r="Z128" s="43"/>
      <c r="AA128" s="43"/>
      <c r="AB128" s="43"/>
      <c r="AC128" s="43"/>
      <c r="AD128" s="43"/>
      <c r="AE128" s="43"/>
      <c r="AF128" s="43"/>
      <c r="AG128" s="43"/>
      <c r="AH128" s="43"/>
      <c r="AI128" s="43"/>
      <c r="AJ128" s="43"/>
    </row>
    <row r="129">
      <c r="A129" s="46" t="s">
        <v>44</v>
      </c>
      <c r="B129" s="47" t="s">
        <v>1558</v>
      </c>
      <c r="C129" s="50">
        <f>COUNTIF(develop!F129:F980,B129)</f>
        <v>16</v>
      </c>
      <c r="D129" s="51" t="s">
        <v>1417</v>
      </c>
      <c r="E129" s="47" t="s">
        <v>1559</v>
      </c>
      <c r="F129" s="51" t="s">
        <v>1560</v>
      </c>
      <c r="G129" s="53" t="str">
        <f t="shared" si="1"/>
        <v>mx-api-bc-rec-customer-products-and-services</v>
      </c>
      <c r="H129" s="54" t="str">
        <f t="shared" si="2"/>
        <v>https://anypoint.mulesoft.com/exchange/834f46f4-ef08-4c50-81ae-56f917b413cc/mx-api-bc-rec-customer-products-and-services</v>
      </c>
      <c r="I129" s="59" t="s">
        <v>134</v>
      </c>
      <c r="J129" s="57" t="str">
        <f t="shared" si="11"/>
        <v>mx-ms-bc-rec-customer-products-and-services-apigee</v>
      </c>
      <c r="K129" s="55" t="s">
        <v>1423</v>
      </c>
      <c r="L129" s="57" t="str">
        <f>IFERROR(__xludf.DUMMYFUNCTION("REGEXREPLACE(REGEXREPLACE(REGEXREPLACE(J129, ""mx-ms-bc-"", """"), ""-mule"", ""-api-dev""), ""-apigee"", ""-api-dev"")"),"rec-customer-products-and-services-api-dev")</f>
        <v>rec-customer-products-and-services-api-dev</v>
      </c>
      <c r="M129" s="57" t="str">
        <f t="shared" si="12"/>
        <v>mx-ms-bc-rec-customer-products-and-services-apigee</v>
      </c>
      <c r="N129" s="55" t="str">
        <f t="shared" si="5"/>
        <v>Valid</v>
      </c>
      <c r="O129" s="59">
        <f t="shared" si="6"/>
        <v>50</v>
      </c>
      <c r="P129" s="59"/>
      <c r="Q129" s="59"/>
      <c r="R129" s="60"/>
      <c r="S129" s="60"/>
      <c r="T129" s="60"/>
      <c r="U129" s="60"/>
      <c r="V129" s="60"/>
      <c r="W129" s="60"/>
      <c r="X129" s="60"/>
      <c r="Y129" s="60"/>
      <c r="Z129" s="60"/>
      <c r="AA129" s="60"/>
      <c r="AB129" s="60"/>
      <c r="AC129" s="60"/>
      <c r="AD129" s="60"/>
      <c r="AE129" s="60"/>
      <c r="AF129" s="60"/>
      <c r="AG129" s="60"/>
      <c r="AH129" s="60"/>
      <c r="AI129" s="60"/>
      <c r="AJ129" s="60"/>
    </row>
    <row r="130">
      <c r="A130" s="27" t="s">
        <v>44</v>
      </c>
      <c r="B130" s="67" t="s">
        <v>1569</v>
      </c>
      <c r="C130" s="33">
        <f>COUNTIF(develop!F130:F980,B130)</f>
        <v>2</v>
      </c>
      <c r="D130" s="34" t="s">
        <v>1417</v>
      </c>
      <c r="E130" s="28" t="s">
        <v>1570</v>
      </c>
      <c r="F130" s="34" t="s">
        <v>1571</v>
      </c>
      <c r="G130" s="35" t="str">
        <f t="shared" si="1"/>
        <v>mx-api-bc-rec-customer-product-and-service-eligibility</v>
      </c>
      <c r="H130" s="37" t="str">
        <f t="shared" si="2"/>
        <v>https://anypoint.mulesoft.com/exchange/834f46f4-ef08-4c50-81ae-56f917b413cc/mx-api-bc-rec-customer-product-and-service-eligibility</v>
      </c>
      <c r="I130" s="42" t="s">
        <v>122</v>
      </c>
      <c r="J130" s="41" t="str">
        <f t="shared" si="11"/>
        <v>mx-ms-bc-rec-customer-product-and-service-eligibility-apigee</v>
      </c>
      <c r="K130" s="39" t="s">
        <v>1423</v>
      </c>
      <c r="L130" s="41" t="str">
        <f>IFERROR(__xludf.DUMMYFUNCTION("REGEXREPLACE(REGEXREPLACE(REGEXREPLACE(J130, ""mx-ms-bc-"", """"), ""-mule"", ""-api-dev""), ""-apigee"", ""-api-dev"")"),"rec-customer-product-and-service-eligibility-api-dev")</f>
        <v>rec-customer-product-and-service-eligibility-api-dev</v>
      </c>
      <c r="M130" s="41" t="str">
        <f t="shared" si="12"/>
        <v>mx-ms-bc-rec-customer-product-and-service-eligibility-apigee</v>
      </c>
      <c r="N130" s="39" t="str">
        <f t="shared" si="5"/>
        <v>Valid</v>
      </c>
      <c r="O130" s="42">
        <f t="shared" si="6"/>
        <v>60</v>
      </c>
      <c r="P130" s="42"/>
      <c r="Q130" s="42"/>
      <c r="R130" s="43"/>
      <c r="S130" s="43"/>
      <c r="T130" s="43"/>
      <c r="U130" s="43"/>
      <c r="V130" s="43"/>
      <c r="W130" s="43"/>
      <c r="X130" s="43"/>
      <c r="Y130" s="43"/>
      <c r="Z130" s="43"/>
      <c r="AA130" s="43"/>
      <c r="AB130" s="43"/>
      <c r="AC130" s="43"/>
      <c r="AD130" s="43"/>
      <c r="AE130" s="43"/>
      <c r="AF130" s="43"/>
      <c r="AG130" s="43"/>
      <c r="AH130" s="43"/>
      <c r="AI130" s="43"/>
      <c r="AJ130" s="43"/>
    </row>
    <row r="131">
      <c r="A131" s="46" t="s">
        <v>44</v>
      </c>
      <c r="B131" s="47" t="s">
        <v>1576</v>
      </c>
      <c r="C131" s="50">
        <f>COUNTIF(develop!F131:F980,B131)</f>
        <v>1</v>
      </c>
      <c r="D131" s="51" t="s">
        <v>1417</v>
      </c>
      <c r="E131" s="47" t="s">
        <v>1578</v>
      </c>
      <c r="F131" s="51" t="s">
        <v>1579</v>
      </c>
      <c r="G131" s="53" t="str">
        <f t="shared" si="1"/>
        <v>mx-api-bc-rec-customer-workbench</v>
      </c>
      <c r="H131" s="54" t="str">
        <f t="shared" si="2"/>
        <v>https://anypoint.mulesoft.com/exchange/834f46f4-ef08-4c50-81ae-56f917b413cc/mx-api-bc-rec-customer-workbench</v>
      </c>
      <c r="I131" s="59" t="s">
        <v>162</v>
      </c>
      <c r="J131" s="57" t="str">
        <f t="shared" si="11"/>
        <v>mx-ms-bc-rec-customer-workbench-apigee</v>
      </c>
      <c r="K131" s="55" t="s">
        <v>1423</v>
      </c>
      <c r="L131" s="57" t="str">
        <f>IFERROR(__xludf.DUMMYFUNCTION("REGEXREPLACE(REGEXREPLACE(REGEXREPLACE(J131, ""mx-ms-bc-"", """"), ""-mule"", ""-api-dev""), ""-apigee"", ""-api-dev"")"),"rec-customer-workbench-api-dev")</f>
        <v>rec-customer-workbench-api-dev</v>
      </c>
      <c r="M131" s="57" t="str">
        <f t="shared" si="12"/>
        <v>mx-ms-bc-rec-customer-workbench-apigee</v>
      </c>
      <c r="N131" s="55" t="str">
        <f t="shared" si="5"/>
        <v>Valid</v>
      </c>
      <c r="O131" s="59">
        <f t="shared" si="6"/>
        <v>38</v>
      </c>
      <c r="P131" s="59"/>
      <c r="Q131" s="59"/>
      <c r="R131" s="60"/>
      <c r="S131" s="60"/>
      <c r="T131" s="60"/>
      <c r="U131" s="60"/>
      <c r="V131" s="60"/>
      <c r="W131" s="60"/>
      <c r="X131" s="60"/>
      <c r="Y131" s="60"/>
      <c r="Z131" s="60"/>
      <c r="AA131" s="60"/>
      <c r="AB131" s="60"/>
      <c r="AC131" s="60"/>
      <c r="AD131" s="60"/>
      <c r="AE131" s="60"/>
      <c r="AF131" s="60"/>
      <c r="AG131" s="60"/>
      <c r="AH131" s="60"/>
      <c r="AI131" s="60"/>
      <c r="AJ131" s="60"/>
    </row>
    <row r="132">
      <c r="A132" s="27" t="s">
        <v>44</v>
      </c>
      <c r="B132" s="28" t="s">
        <v>1584</v>
      </c>
      <c r="C132" s="33">
        <f>COUNTIF(develop!F132:F980,B132)</f>
        <v>3</v>
      </c>
      <c r="D132" s="34" t="s">
        <v>1417</v>
      </c>
      <c r="E132" s="28" t="s">
        <v>1587</v>
      </c>
      <c r="F132" s="34" t="s">
        <v>1588</v>
      </c>
      <c r="G132" s="35" t="str">
        <f t="shared" si="1"/>
        <v>mx-api-bc-rec-document-directory</v>
      </c>
      <c r="H132" s="37" t="str">
        <f t="shared" si="2"/>
        <v>https://anypoint.mulesoft.com/exchange/834f46f4-ef08-4c50-81ae-56f917b413cc/mx-api-bc-rec-document-directory</v>
      </c>
      <c r="I132" s="42" t="s">
        <v>162</v>
      </c>
      <c r="J132" s="41" t="str">
        <f t="shared" si="11"/>
        <v>mx-ms-bc-rec-document-directory-apigee</v>
      </c>
      <c r="K132" s="39" t="s">
        <v>1423</v>
      </c>
      <c r="L132" s="41" t="str">
        <f>IFERROR(__xludf.DUMMYFUNCTION("REGEXREPLACE(REGEXREPLACE(REGEXREPLACE(J132, ""mx-ms-bc-"", """"), ""-mule"", ""-api-dev""), ""-apigee"", ""-api-dev"")"),"rec-document-directory-api-dev")</f>
        <v>rec-document-directory-api-dev</v>
      </c>
      <c r="M132" s="41" t="str">
        <f t="shared" si="12"/>
        <v>mx-ms-bc-rec-document-directory-apigee</v>
      </c>
      <c r="N132" s="39" t="str">
        <f t="shared" si="5"/>
        <v>Valid</v>
      </c>
      <c r="O132" s="42">
        <f t="shared" si="6"/>
        <v>38</v>
      </c>
      <c r="P132" s="42"/>
      <c r="Q132" s="42"/>
      <c r="R132" s="43"/>
      <c r="S132" s="43"/>
      <c r="T132" s="43"/>
      <c r="U132" s="43"/>
      <c r="V132" s="43"/>
      <c r="W132" s="43"/>
      <c r="X132" s="43"/>
      <c r="Y132" s="43"/>
      <c r="Z132" s="43"/>
      <c r="AA132" s="43"/>
      <c r="AB132" s="43"/>
      <c r="AC132" s="43"/>
      <c r="AD132" s="43"/>
      <c r="AE132" s="43"/>
      <c r="AF132" s="43"/>
      <c r="AG132" s="43"/>
      <c r="AH132" s="43"/>
      <c r="AI132" s="43"/>
      <c r="AJ132" s="43"/>
    </row>
    <row r="133">
      <c r="A133" s="46" t="s">
        <v>44</v>
      </c>
      <c r="B133" s="47" t="s">
        <v>1596</v>
      </c>
      <c r="C133" s="50">
        <f>COUNTIF(develop!F133:F980,B133)</f>
        <v>6</v>
      </c>
      <c r="D133" s="51" t="s">
        <v>1417</v>
      </c>
      <c r="E133" s="47" t="s">
        <v>1597</v>
      </c>
      <c r="F133" s="51" t="s">
        <v>1598</v>
      </c>
      <c r="G133" s="53" t="str">
        <f t="shared" si="1"/>
        <v>mx-api-bc-rec-document-services</v>
      </c>
      <c r="H133" s="54" t="str">
        <f t="shared" si="2"/>
        <v>https://anypoint.mulesoft.com/exchange/834f46f4-ef08-4c50-81ae-56f917b413cc/mx-api-bc-rec-document-services</v>
      </c>
      <c r="I133" s="59" t="s">
        <v>1599</v>
      </c>
      <c r="J133" s="57" t="str">
        <f t="shared" si="11"/>
        <v>mx-ms-bc-rec-document-services-apigee</v>
      </c>
      <c r="K133" s="55" t="s">
        <v>1423</v>
      </c>
      <c r="L133" s="57" t="str">
        <f>IFERROR(__xludf.DUMMYFUNCTION("REGEXREPLACE(REGEXREPLACE(REGEXREPLACE(J133, ""mx-ms-bc-"", """"), ""-mule"", ""-api-dev""), ""-apigee"", ""-api-dev"")"),"rec-document-services-api-dev")</f>
        <v>rec-document-services-api-dev</v>
      </c>
      <c r="M133" s="57" t="str">
        <f t="shared" si="12"/>
        <v>mx-ms-bc-rec-document-services-apigee</v>
      </c>
      <c r="N133" s="55" t="str">
        <f t="shared" si="5"/>
        <v>Valid</v>
      </c>
      <c r="O133" s="59">
        <f t="shared" si="6"/>
        <v>37</v>
      </c>
      <c r="P133" s="59"/>
      <c r="Q133" s="59"/>
      <c r="R133" s="60"/>
      <c r="S133" s="60"/>
      <c r="T133" s="60"/>
      <c r="U133" s="60"/>
      <c r="V133" s="60"/>
      <c r="W133" s="60"/>
      <c r="X133" s="60"/>
      <c r="Y133" s="60"/>
      <c r="Z133" s="60"/>
      <c r="AA133" s="60"/>
      <c r="AB133" s="60"/>
      <c r="AC133" s="60"/>
      <c r="AD133" s="60"/>
      <c r="AE133" s="60"/>
      <c r="AF133" s="60"/>
      <c r="AG133" s="60"/>
      <c r="AH133" s="60"/>
      <c r="AI133" s="60"/>
      <c r="AJ133" s="60"/>
    </row>
    <row r="134">
      <c r="A134" s="27" t="s">
        <v>44</v>
      </c>
      <c r="B134" s="28" t="s">
        <v>1604</v>
      </c>
      <c r="C134" s="33">
        <f>COUNTIF(develop!F134:F980,B134)</f>
        <v>14</v>
      </c>
      <c r="D134" s="34" t="s">
        <v>1417</v>
      </c>
      <c r="E134" s="28" t="s">
        <v>1606</v>
      </c>
      <c r="F134" s="34" t="s">
        <v>1608</v>
      </c>
      <c r="G134" s="35" t="str">
        <f t="shared" si="1"/>
        <v>mx-api-bc-rec-issued-device-administration</v>
      </c>
      <c r="H134" s="37" t="str">
        <f t="shared" si="2"/>
        <v>https://anypoint.mulesoft.com/exchange/834f46f4-ef08-4c50-81ae-56f917b413cc/mx-api-bc-rec-issued-device-administration</v>
      </c>
      <c r="I134" s="42" t="s">
        <v>255</v>
      </c>
      <c r="J134" s="41" t="str">
        <f t="shared" si="11"/>
        <v>mx-ms-bc-rec-issued-device-administration-apigee</v>
      </c>
      <c r="K134" s="39" t="s">
        <v>1423</v>
      </c>
      <c r="L134" s="41" t="str">
        <f>IFERROR(__xludf.DUMMYFUNCTION("REGEXREPLACE(REGEXREPLACE(REGEXREPLACE(J134, ""mx-ms-bc-"", """"), ""-mule"", ""-api-dev""), ""-apigee"", ""-api-dev"")"),"rec-issued-device-administration-api-dev")</f>
        <v>rec-issued-device-administration-api-dev</v>
      </c>
      <c r="M134" s="41" t="str">
        <f t="shared" si="12"/>
        <v>mx-ms-bc-rec-issued-device-administration-apigee</v>
      </c>
      <c r="N134" s="39" t="str">
        <f t="shared" si="5"/>
        <v>Valid</v>
      </c>
      <c r="O134" s="42">
        <f t="shared" si="6"/>
        <v>48</v>
      </c>
      <c r="P134" s="42"/>
      <c r="Q134" s="42"/>
      <c r="R134" s="43"/>
      <c r="S134" s="43"/>
      <c r="T134" s="43"/>
      <c r="U134" s="43"/>
      <c r="V134" s="43"/>
      <c r="W134" s="43"/>
      <c r="X134" s="43"/>
      <c r="Y134" s="43"/>
      <c r="Z134" s="43"/>
      <c r="AA134" s="43"/>
      <c r="AB134" s="43"/>
      <c r="AC134" s="43"/>
      <c r="AD134" s="43"/>
      <c r="AE134" s="43"/>
      <c r="AF134" s="43"/>
      <c r="AG134" s="43"/>
      <c r="AH134" s="43"/>
      <c r="AI134" s="43"/>
      <c r="AJ134" s="43"/>
    </row>
    <row r="135">
      <c r="A135" s="46" t="s">
        <v>44</v>
      </c>
      <c r="B135" s="47" t="s">
        <v>1617</v>
      </c>
      <c r="C135" s="50">
        <f>COUNTIF(develop!F135:F980,B135)</f>
        <v>2</v>
      </c>
      <c r="D135" s="51" t="s">
        <v>1417</v>
      </c>
      <c r="E135" s="47" t="s">
        <v>1618</v>
      </c>
      <c r="F135" s="51" t="s">
        <v>1619</v>
      </c>
      <c r="G135" s="53" t="str">
        <f t="shared" si="1"/>
        <v>mx-api-bc-rec-legal-entity-directory</v>
      </c>
      <c r="H135" s="54" t="str">
        <f t="shared" si="2"/>
        <v>https://anypoint.mulesoft.com/exchange/834f46f4-ef08-4c50-81ae-56f917b413cc/mx-api-bc-rec-legal-entity-directory</v>
      </c>
      <c r="I135" s="59" t="s">
        <v>122</v>
      </c>
      <c r="J135" s="57" t="str">
        <f t="shared" si="11"/>
        <v>mx-ms-bc-rec-legal-entity-directory-apigee</v>
      </c>
      <c r="K135" s="55" t="s">
        <v>1423</v>
      </c>
      <c r="L135" s="57" t="str">
        <f>IFERROR(__xludf.DUMMYFUNCTION("REGEXREPLACE(REGEXREPLACE(REGEXREPLACE(J135, ""mx-ms-bc-"", """"), ""-mule"", ""-api-dev""), ""-apigee"", ""-api-dev"")"),"rec-legal-entity-directory-api-dev")</f>
        <v>rec-legal-entity-directory-api-dev</v>
      </c>
      <c r="M135" s="57" t="str">
        <f t="shared" si="12"/>
        <v>mx-ms-bc-rec-legal-entity-directory-apigee</v>
      </c>
      <c r="N135" s="55" t="str">
        <f t="shared" si="5"/>
        <v>Valid</v>
      </c>
      <c r="O135" s="59">
        <f t="shared" si="6"/>
        <v>42</v>
      </c>
      <c r="P135" s="59"/>
      <c r="Q135" s="59"/>
      <c r="R135" s="60"/>
      <c r="S135" s="60"/>
      <c r="T135" s="60"/>
      <c r="U135" s="60"/>
      <c r="V135" s="60"/>
      <c r="W135" s="60"/>
      <c r="X135" s="60"/>
      <c r="Y135" s="60"/>
      <c r="Z135" s="60"/>
      <c r="AA135" s="60"/>
      <c r="AB135" s="60"/>
      <c r="AC135" s="60"/>
      <c r="AD135" s="60"/>
      <c r="AE135" s="60"/>
      <c r="AF135" s="60"/>
      <c r="AG135" s="60"/>
      <c r="AH135" s="60"/>
      <c r="AI135" s="60"/>
      <c r="AJ135" s="60"/>
    </row>
    <row r="136">
      <c r="A136" s="27" t="s">
        <v>44</v>
      </c>
      <c r="B136" s="28" t="s">
        <v>1626</v>
      </c>
      <c r="C136" s="33">
        <f>COUNTIF(develop!F136:F980,B136)</f>
        <v>3</v>
      </c>
      <c r="D136" s="34" t="s">
        <v>1417</v>
      </c>
      <c r="E136" s="28" t="s">
        <v>1629</v>
      </c>
      <c r="F136" s="34" t="s">
        <v>1630</v>
      </c>
      <c r="G136" s="35" t="str">
        <f t="shared" si="1"/>
        <v>mx-api-bc-rec-loan</v>
      </c>
      <c r="H136" s="37" t="str">
        <f t="shared" si="2"/>
        <v>https://anypoint.mulesoft.com/exchange/834f46f4-ef08-4c50-81ae-56f917b413cc/mx-api-bc-rec-loan</v>
      </c>
      <c r="I136" s="42" t="s">
        <v>134</v>
      </c>
      <c r="J136" s="41" t="str">
        <f t="shared" si="11"/>
        <v>mx-ms-bc-rec-loan-apigee</v>
      </c>
      <c r="K136" s="39" t="s">
        <v>1423</v>
      </c>
      <c r="L136" s="41" t="str">
        <f>IFERROR(__xludf.DUMMYFUNCTION("REGEXREPLACE(REGEXREPLACE(REGEXREPLACE(J136, ""mx-ms-bc-"", """"), ""-mule"", ""-api-dev""), ""-apigee"", ""-api-dev"")"),"rec-loan-api-dev")</f>
        <v>rec-loan-api-dev</v>
      </c>
      <c r="M136" s="41" t="str">
        <f t="shared" si="12"/>
        <v>mx-ms-bc-rec-loan-apigee</v>
      </c>
      <c r="N136" s="39" t="str">
        <f t="shared" si="5"/>
        <v>Valid</v>
      </c>
      <c r="O136" s="42">
        <f t="shared" si="6"/>
        <v>24</v>
      </c>
      <c r="P136" s="42"/>
      <c r="Q136" s="42"/>
      <c r="R136" s="43"/>
      <c r="S136" s="43"/>
      <c r="T136" s="43"/>
      <c r="U136" s="43"/>
      <c r="V136" s="43"/>
      <c r="W136" s="43"/>
      <c r="X136" s="43"/>
      <c r="Y136" s="43"/>
      <c r="Z136" s="43"/>
      <c r="AA136" s="43"/>
      <c r="AB136" s="43"/>
      <c r="AC136" s="43"/>
      <c r="AD136" s="43"/>
      <c r="AE136" s="43"/>
      <c r="AF136" s="43"/>
      <c r="AG136" s="43"/>
      <c r="AH136" s="43"/>
      <c r="AI136" s="43"/>
      <c r="AJ136" s="43"/>
    </row>
    <row r="137">
      <c r="A137" s="46" t="s">
        <v>44</v>
      </c>
      <c r="B137" s="47" t="s">
        <v>1638</v>
      </c>
      <c r="C137" s="50">
        <f>COUNTIF(develop!F137:F980,B137)</f>
        <v>5</v>
      </c>
      <c r="D137" s="51" t="s">
        <v>1417</v>
      </c>
      <c r="E137" s="47" t="s">
        <v>1641</v>
      </c>
      <c r="F137" s="51" t="s">
        <v>1643</v>
      </c>
      <c r="G137" s="53" t="str">
        <f t="shared" si="1"/>
        <v>mx-api-bc-rec-location-data-management</v>
      </c>
      <c r="H137" s="54" t="str">
        <f t="shared" si="2"/>
        <v>https://anypoint.mulesoft.com/exchange/834f46f4-ef08-4c50-81ae-56f917b413cc/mx-api-bc-rec-location-data-management</v>
      </c>
      <c r="I137" s="59" t="s">
        <v>255</v>
      </c>
      <c r="J137" s="57" t="str">
        <f t="shared" si="11"/>
        <v>mx-ms-bc-rec-location-data-management-apigee</v>
      </c>
      <c r="K137" s="55" t="s">
        <v>1423</v>
      </c>
      <c r="L137" s="57" t="str">
        <f>IFERROR(__xludf.DUMMYFUNCTION("REGEXREPLACE(REGEXREPLACE(REGEXREPLACE(J137, ""mx-ms-bc-"", """"), ""-mule"", ""-api-dev""), ""-apigee"", ""-api-dev"")"),"rec-location-data-management-api-dev")</f>
        <v>rec-location-data-management-api-dev</v>
      </c>
      <c r="M137" s="57" t="str">
        <f t="shared" si="12"/>
        <v>mx-ms-bc-rec-location-data-management-apigee</v>
      </c>
      <c r="N137" s="55" t="str">
        <f t="shared" si="5"/>
        <v>Valid</v>
      </c>
      <c r="O137" s="59">
        <f t="shared" si="6"/>
        <v>44</v>
      </c>
      <c r="P137" s="59"/>
      <c r="Q137" s="59"/>
      <c r="R137" s="60"/>
      <c r="S137" s="60"/>
      <c r="T137" s="60"/>
      <c r="U137" s="60"/>
      <c r="V137" s="60"/>
      <c r="W137" s="60"/>
      <c r="X137" s="60"/>
      <c r="Y137" s="60"/>
      <c r="Z137" s="60"/>
      <c r="AA137" s="60"/>
      <c r="AB137" s="60"/>
      <c r="AC137" s="60"/>
      <c r="AD137" s="60"/>
      <c r="AE137" s="60"/>
      <c r="AF137" s="60"/>
      <c r="AG137" s="60"/>
      <c r="AH137" s="60"/>
      <c r="AI137" s="60"/>
      <c r="AJ137" s="60"/>
    </row>
    <row r="138">
      <c r="A138" s="27" t="s">
        <v>44</v>
      </c>
      <c r="B138" s="28" t="s">
        <v>1649</v>
      </c>
      <c r="C138" s="33">
        <f>COUNTIF(develop!F138:F980,B138)</f>
        <v>27</v>
      </c>
      <c r="D138" s="34" t="s">
        <v>1417</v>
      </c>
      <c r="E138" s="28" t="s">
        <v>1650</v>
      </c>
      <c r="F138" s="34" t="s">
        <v>1651</v>
      </c>
      <c r="G138" s="35" t="str">
        <f t="shared" si="1"/>
        <v>mx-api-bc-rec-operations-and-execution</v>
      </c>
      <c r="H138" s="37" t="str">
        <f t="shared" si="2"/>
        <v>https://anypoint.mulesoft.com/exchange/834f46f4-ef08-4c50-81ae-56f917b413cc/mx-api-bc-rec-operations-and-execution</v>
      </c>
      <c r="I138" s="42" t="s">
        <v>994</v>
      </c>
      <c r="J138" s="41" t="str">
        <f t="shared" si="11"/>
        <v>mx-ms-bc-rec-operations-and-execution-apigee</v>
      </c>
      <c r="K138" s="39" t="s">
        <v>1423</v>
      </c>
      <c r="L138" s="41" t="str">
        <f>IFERROR(__xludf.DUMMYFUNCTION("REGEXREPLACE(REGEXREPLACE(REGEXREPLACE(J138, ""mx-ms-bc-"", """"), ""-mule"", ""-api-dev""), ""-apigee"", ""-api-dev"")"),"rec-operations-and-execution-api-dev")</f>
        <v>rec-operations-and-execution-api-dev</v>
      </c>
      <c r="M138" s="41" t="str">
        <f t="shared" si="12"/>
        <v>mx-ms-bc-rec-operations-and-execution-apigee</v>
      </c>
      <c r="N138" s="39" t="str">
        <f t="shared" si="5"/>
        <v>Valid</v>
      </c>
      <c r="O138" s="42">
        <f t="shared" si="6"/>
        <v>44</v>
      </c>
      <c r="P138" s="42"/>
      <c r="Q138" s="42"/>
      <c r="R138" s="43"/>
      <c r="S138" s="43"/>
      <c r="T138" s="43"/>
      <c r="U138" s="43"/>
      <c r="V138" s="43"/>
      <c r="W138" s="43"/>
      <c r="X138" s="43"/>
      <c r="Y138" s="43"/>
      <c r="Z138" s="43"/>
      <c r="AA138" s="43"/>
      <c r="AB138" s="43"/>
      <c r="AC138" s="43"/>
      <c r="AD138" s="43"/>
      <c r="AE138" s="43"/>
      <c r="AF138" s="43"/>
      <c r="AG138" s="43"/>
      <c r="AH138" s="43"/>
      <c r="AI138" s="43"/>
      <c r="AJ138" s="43"/>
    </row>
    <row r="139">
      <c r="A139" s="46" t="s">
        <v>44</v>
      </c>
      <c r="B139" s="47" t="s">
        <v>1658</v>
      </c>
      <c r="C139" s="50">
        <f>COUNTIF(develop!F139:F980,B139)</f>
        <v>4</v>
      </c>
      <c r="D139" s="51" t="s">
        <v>1417</v>
      </c>
      <c r="E139" s="47" t="s">
        <v>1661</v>
      </c>
      <c r="F139" s="51" t="s">
        <v>1662</v>
      </c>
      <c r="G139" s="53" t="str">
        <f t="shared" si="1"/>
        <v>mx-api-bc-rec-party-authentication</v>
      </c>
      <c r="H139" s="54" t="str">
        <f t="shared" si="2"/>
        <v>https://anypoint.mulesoft.com/exchange/834f46f4-ef08-4c50-81ae-56f917b413cc/mx-api-bc-rec-party-authentication</v>
      </c>
      <c r="I139" s="59" t="s">
        <v>122</v>
      </c>
      <c r="J139" s="57" t="str">
        <f t="shared" si="11"/>
        <v>mx-ms-bc-rec-party-authentication-apigee</v>
      </c>
      <c r="K139" s="55" t="s">
        <v>1423</v>
      </c>
      <c r="L139" s="57" t="str">
        <f>IFERROR(__xludf.DUMMYFUNCTION("REGEXREPLACE(REGEXREPLACE(REGEXREPLACE(J139, ""mx-ms-bc-"", """"), ""-mule"", ""-api-dev""), ""-apigee"", ""-api-dev"")"),"rec-party-authentication-api-dev")</f>
        <v>rec-party-authentication-api-dev</v>
      </c>
      <c r="M139" s="57" t="str">
        <f t="shared" si="12"/>
        <v>mx-ms-bc-rec-party-authentication-apigee</v>
      </c>
      <c r="N139" s="55" t="str">
        <f t="shared" si="5"/>
        <v>Valid</v>
      </c>
      <c r="O139" s="59">
        <f t="shared" si="6"/>
        <v>40</v>
      </c>
      <c r="P139" s="59"/>
      <c r="Q139" s="59"/>
      <c r="R139" s="60"/>
      <c r="S139" s="60"/>
      <c r="T139" s="60"/>
      <c r="U139" s="60"/>
      <c r="V139" s="60"/>
      <c r="W139" s="60"/>
      <c r="X139" s="60"/>
      <c r="Y139" s="60"/>
      <c r="Z139" s="60"/>
      <c r="AA139" s="60"/>
      <c r="AB139" s="60"/>
      <c r="AC139" s="60"/>
      <c r="AD139" s="60"/>
      <c r="AE139" s="60"/>
      <c r="AF139" s="60"/>
      <c r="AG139" s="60"/>
      <c r="AH139" s="60"/>
      <c r="AI139" s="60"/>
      <c r="AJ139" s="60"/>
    </row>
    <row r="140">
      <c r="A140" s="27" t="s">
        <v>44</v>
      </c>
      <c r="B140" s="28" t="s">
        <v>1667</v>
      </c>
      <c r="C140" s="33">
        <f>COUNTIF(develop!F140:F980,B140)</f>
        <v>35</v>
      </c>
      <c r="D140" s="34" t="s">
        <v>1417</v>
      </c>
      <c r="E140" s="28" t="s">
        <v>1670</v>
      </c>
      <c r="F140" s="34" t="s">
        <v>1671</v>
      </c>
      <c r="G140" s="35" t="str">
        <f t="shared" si="1"/>
        <v>mx-api-bc-rec-party-lifecycle-management</v>
      </c>
      <c r="H140" s="37" t="str">
        <f t="shared" si="2"/>
        <v>https://anypoint.mulesoft.com/exchange/834f46f4-ef08-4c50-81ae-56f917b413cc/mx-api-bc-rec-party-lifecycle-management</v>
      </c>
      <c r="I140" s="42" t="s">
        <v>1673</v>
      </c>
      <c r="J140" s="41" t="str">
        <f t="shared" si="11"/>
        <v>mx-ms-bc-rec-party-lifecycle-management-apigee</v>
      </c>
      <c r="K140" s="39" t="s">
        <v>1423</v>
      </c>
      <c r="L140" s="41" t="str">
        <f>IFERROR(__xludf.DUMMYFUNCTION("REGEXREPLACE(REGEXREPLACE(REGEXREPLACE(J140, ""mx-ms-bc-"", """"), ""-mule"", ""-api-dev""), ""-apigee"", ""-api-dev"")"),"rec-party-lifecycle-management-api-dev")</f>
        <v>rec-party-lifecycle-management-api-dev</v>
      </c>
      <c r="M140" s="41" t="str">
        <f t="shared" si="12"/>
        <v>mx-ms-bc-rec-party-lifecycle-management-apigee</v>
      </c>
      <c r="N140" s="39" t="str">
        <f t="shared" si="5"/>
        <v>Valid</v>
      </c>
      <c r="O140" s="42">
        <f t="shared" si="6"/>
        <v>46</v>
      </c>
      <c r="P140" s="42"/>
      <c r="Q140" s="42"/>
      <c r="R140" s="43"/>
      <c r="S140" s="43"/>
      <c r="T140" s="43"/>
      <c r="U140" s="43"/>
      <c r="V140" s="43"/>
      <c r="W140" s="43"/>
      <c r="X140" s="43"/>
      <c r="Y140" s="43"/>
      <c r="Z140" s="43"/>
      <c r="AA140" s="43"/>
      <c r="AB140" s="43"/>
      <c r="AC140" s="43"/>
      <c r="AD140" s="43"/>
      <c r="AE140" s="43"/>
      <c r="AF140" s="43"/>
      <c r="AG140" s="43"/>
      <c r="AH140" s="43"/>
      <c r="AI140" s="43"/>
      <c r="AJ140" s="43"/>
    </row>
    <row r="141">
      <c r="A141" s="46" t="s">
        <v>44</v>
      </c>
      <c r="B141" s="47" t="s">
        <v>1677</v>
      </c>
      <c r="C141" s="50">
        <f>COUNTIF(develop!F141:F980,B141)</f>
        <v>12</v>
      </c>
      <c r="D141" s="51" t="s">
        <v>1417</v>
      </c>
      <c r="E141" s="47" t="s">
        <v>1678</v>
      </c>
      <c r="F141" s="51" t="s">
        <v>1679</v>
      </c>
      <c r="G141" s="53" t="str">
        <f t="shared" si="1"/>
        <v>mx-api-bc-rec-party-reference-data-directory</v>
      </c>
      <c r="H141" s="54" t="str">
        <f t="shared" si="2"/>
        <v>https://anypoint.mulesoft.com/exchange/834f46f4-ef08-4c50-81ae-56f917b413cc/mx-api-bc-rec-party-reference-data-directory</v>
      </c>
      <c r="I141" s="59" t="s">
        <v>162</v>
      </c>
      <c r="J141" s="57" t="str">
        <f t="shared" si="11"/>
        <v>mx-ms-bc-rec-party-reference-data-directory-apigee</v>
      </c>
      <c r="K141" s="55" t="s">
        <v>1423</v>
      </c>
      <c r="L141" s="57" t="str">
        <f>IFERROR(__xludf.DUMMYFUNCTION("REGEXREPLACE(REGEXREPLACE(REGEXREPLACE(J141, ""mx-ms-bc-"", """"), ""-mule"", ""-api-dev""), ""-apigee"", ""-api-dev"")"),"rec-party-reference-data-directory-api-dev")</f>
        <v>rec-party-reference-data-directory-api-dev</v>
      </c>
      <c r="M141" s="57" t="str">
        <f t="shared" si="12"/>
        <v>mx-ms-bc-rec-party-reference-data-directory-apigee</v>
      </c>
      <c r="N141" s="55" t="str">
        <f t="shared" si="5"/>
        <v>Valid</v>
      </c>
      <c r="O141" s="59">
        <f t="shared" si="6"/>
        <v>50</v>
      </c>
      <c r="P141" s="59"/>
      <c r="Q141" s="59"/>
      <c r="R141" s="60"/>
      <c r="S141" s="60"/>
      <c r="T141" s="60"/>
      <c r="U141" s="60"/>
      <c r="V141" s="60"/>
      <c r="W141" s="60"/>
      <c r="X141" s="60"/>
      <c r="Y141" s="60"/>
      <c r="Z141" s="60"/>
      <c r="AA141" s="60"/>
      <c r="AB141" s="60"/>
      <c r="AC141" s="60"/>
      <c r="AD141" s="60"/>
      <c r="AE141" s="60"/>
      <c r="AF141" s="60"/>
      <c r="AG141" s="60"/>
      <c r="AH141" s="60"/>
      <c r="AI141" s="60"/>
      <c r="AJ141" s="60"/>
    </row>
    <row r="142">
      <c r="A142" s="27" t="s">
        <v>44</v>
      </c>
      <c r="B142" s="28" t="s">
        <v>1688</v>
      </c>
      <c r="C142" s="33">
        <f>COUNTIF(develop!F142:F980,B142)</f>
        <v>7</v>
      </c>
      <c r="D142" s="34" t="s">
        <v>1417</v>
      </c>
      <c r="E142" s="28" t="s">
        <v>1689</v>
      </c>
      <c r="F142" s="34" t="s">
        <v>1690</v>
      </c>
      <c r="G142" s="35" t="str">
        <f t="shared" si="1"/>
        <v>mx-api-bc-rec-payment-execution</v>
      </c>
      <c r="H142" s="37" t="str">
        <f t="shared" si="2"/>
        <v>https://anypoint.mulesoft.com/exchange/834f46f4-ef08-4c50-81ae-56f917b413cc/mx-api-bc-rec-payment-execution</v>
      </c>
      <c r="I142" s="42" t="s">
        <v>134</v>
      </c>
      <c r="J142" s="41" t="str">
        <f t="shared" si="11"/>
        <v>mx-ms-bc-rec-payment-execution-apigee</v>
      </c>
      <c r="K142" s="39" t="s">
        <v>1423</v>
      </c>
      <c r="L142" s="41" t="str">
        <f>IFERROR(__xludf.DUMMYFUNCTION("REGEXREPLACE(REGEXREPLACE(REGEXREPLACE(J142, ""mx-ms-bc-"", """"), ""-mule"", ""-api-dev""), ""-apigee"", ""-api-dev"")"),"rec-payment-execution-api-dev")</f>
        <v>rec-payment-execution-api-dev</v>
      </c>
      <c r="M142" s="41" t="str">
        <f t="shared" si="12"/>
        <v>mx-ms-bc-rec-payment-execution-apigee</v>
      </c>
      <c r="N142" s="39" t="str">
        <f t="shared" si="5"/>
        <v>Valid</v>
      </c>
      <c r="O142" s="42">
        <f t="shared" si="6"/>
        <v>37</v>
      </c>
      <c r="P142" s="42"/>
      <c r="Q142" s="42"/>
      <c r="R142" s="43"/>
      <c r="S142" s="43"/>
      <c r="T142" s="43"/>
      <c r="U142" s="43"/>
      <c r="V142" s="43"/>
      <c r="W142" s="43"/>
      <c r="X142" s="43"/>
      <c r="Y142" s="43"/>
      <c r="Z142" s="43"/>
      <c r="AA142" s="43"/>
      <c r="AB142" s="43"/>
      <c r="AC142" s="43"/>
      <c r="AD142" s="43"/>
      <c r="AE142" s="43"/>
      <c r="AF142" s="43"/>
      <c r="AG142" s="43"/>
      <c r="AH142" s="43"/>
      <c r="AI142" s="43"/>
      <c r="AJ142" s="43"/>
    </row>
    <row r="143">
      <c r="A143" s="46" t="s">
        <v>44</v>
      </c>
      <c r="B143" s="47" t="s">
        <v>1698</v>
      </c>
      <c r="C143" s="50">
        <f>COUNTIF(develop!F143:F980,B143)</f>
        <v>5</v>
      </c>
      <c r="D143" s="51" t="s">
        <v>1417</v>
      </c>
      <c r="E143" s="47" t="s">
        <v>1700</v>
      </c>
      <c r="F143" s="51" t="s">
        <v>1701</v>
      </c>
      <c r="G143" s="53" t="str">
        <f t="shared" si="1"/>
        <v>mx-api-bc-rec-payment-order</v>
      </c>
      <c r="H143" s="54" t="str">
        <f t="shared" si="2"/>
        <v>https://anypoint.mulesoft.com/exchange/834f46f4-ef08-4c50-81ae-56f917b413cc/mx-api-bc-rec-payment-order</v>
      </c>
      <c r="I143" s="59" t="s">
        <v>162</v>
      </c>
      <c r="J143" s="57" t="str">
        <f t="shared" si="11"/>
        <v>mx-ms-bc-rec-payment-order-apigee</v>
      </c>
      <c r="K143" s="55" t="s">
        <v>1423</v>
      </c>
      <c r="L143" s="57" t="str">
        <f>IFERROR(__xludf.DUMMYFUNCTION("REGEXREPLACE(REGEXREPLACE(REGEXREPLACE(J143, ""mx-ms-bc-"", """"), ""-mule"", ""-api-dev""), ""-apigee"", ""-api-dev"")"),"rec-payment-order-api-dev")</f>
        <v>rec-payment-order-api-dev</v>
      </c>
      <c r="M143" s="57" t="str">
        <f t="shared" si="12"/>
        <v>mx-ms-bc-rec-payment-order-apigee</v>
      </c>
      <c r="N143" s="55" t="str">
        <f t="shared" si="5"/>
        <v>Valid</v>
      </c>
      <c r="O143" s="59">
        <f t="shared" si="6"/>
        <v>33</v>
      </c>
      <c r="P143" s="59"/>
      <c r="Q143" s="59"/>
      <c r="R143" s="60"/>
      <c r="S143" s="60"/>
      <c r="T143" s="60"/>
      <c r="U143" s="60"/>
      <c r="V143" s="60"/>
      <c r="W143" s="60"/>
      <c r="X143" s="60"/>
      <c r="Y143" s="60"/>
      <c r="Z143" s="60"/>
      <c r="AA143" s="60"/>
      <c r="AB143" s="60"/>
      <c r="AC143" s="60"/>
      <c r="AD143" s="60"/>
      <c r="AE143" s="60"/>
      <c r="AF143" s="60"/>
      <c r="AG143" s="60"/>
      <c r="AH143" s="60"/>
      <c r="AI143" s="60"/>
      <c r="AJ143" s="60"/>
    </row>
    <row r="144">
      <c r="A144" s="27" t="s">
        <v>44</v>
      </c>
      <c r="B144" s="28" t="s">
        <v>1709</v>
      </c>
      <c r="C144" s="33">
        <f>COUNTIF(develop!F144:F980,B144)</f>
        <v>1</v>
      </c>
      <c r="D144" s="34" t="s">
        <v>1417</v>
      </c>
      <c r="E144" s="28" t="s">
        <v>1710</v>
      </c>
      <c r="F144" s="34" t="s">
        <v>1711</v>
      </c>
      <c r="G144" s="35" t="str">
        <f t="shared" si="1"/>
        <v>mx-api-bc-rec-payment-rail-operations</v>
      </c>
      <c r="H144" s="37" t="str">
        <f t="shared" si="2"/>
        <v>https://anypoint.mulesoft.com/exchange/834f46f4-ef08-4c50-81ae-56f917b413cc/mx-api-bc-rec-payment-rail-operations</v>
      </c>
      <c r="I144" s="42" t="s">
        <v>162</v>
      </c>
      <c r="J144" s="41" t="str">
        <f t="shared" si="11"/>
        <v>mx-ms-bc-rec-payment-rail-operations-apigee</v>
      </c>
      <c r="K144" s="39" t="s">
        <v>1423</v>
      </c>
      <c r="L144" s="41" t="str">
        <f>IFERROR(__xludf.DUMMYFUNCTION("REGEXREPLACE(REGEXREPLACE(REGEXREPLACE(J144, ""mx-ms-bc-"", """"), ""-mule"", ""-api-dev""), ""-apigee"", ""-api-dev"")"),"rec-payment-rail-operations-api-dev")</f>
        <v>rec-payment-rail-operations-api-dev</v>
      </c>
      <c r="M144" s="41" t="str">
        <f t="shared" si="12"/>
        <v>mx-ms-bc-rec-payment-rail-operations-apigee</v>
      </c>
      <c r="N144" s="39" t="str">
        <f t="shared" si="5"/>
        <v>Valid</v>
      </c>
      <c r="O144" s="42">
        <f t="shared" si="6"/>
        <v>43</v>
      </c>
      <c r="P144" s="42"/>
      <c r="Q144" s="42"/>
      <c r="R144" s="43"/>
      <c r="S144" s="43"/>
      <c r="T144" s="43"/>
      <c r="U144" s="43"/>
      <c r="V144" s="43"/>
      <c r="W144" s="43"/>
      <c r="X144" s="43"/>
      <c r="Y144" s="43"/>
      <c r="Z144" s="43"/>
      <c r="AA144" s="43"/>
      <c r="AB144" s="43"/>
      <c r="AC144" s="43"/>
      <c r="AD144" s="43"/>
      <c r="AE144" s="43"/>
      <c r="AF144" s="43"/>
      <c r="AG144" s="43"/>
      <c r="AH144" s="43"/>
      <c r="AI144" s="43"/>
      <c r="AJ144" s="43"/>
    </row>
    <row r="145">
      <c r="A145" s="46" t="s">
        <v>44</v>
      </c>
      <c r="B145" s="47" t="s">
        <v>1722</v>
      </c>
      <c r="C145" s="50">
        <f>COUNTIF(develop!F145:F980,B145)</f>
        <v>1</v>
      </c>
      <c r="D145" s="51" t="s">
        <v>1417</v>
      </c>
      <c r="E145" s="47" t="s">
        <v>1723</v>
      </c>
      <c r="F145" s="51" t="s">
        <v>1724</v>
      </c>
      <c r="G145" s="53" t="str">
        <f t="shared" si="1"/>
        <v>mx-api-bc-rec-position-keeping</v>
      </c>
      <c r="H145" s="54" t="str">
        <f t="shared" si="2"/>
        <v>https://anypoint.mulesoft.com/exchange/834f46f4-ef08-4c50-81ae-56f917b413cc/mx-api-bc-rec-position-keeping</v>
      </c>
      <c r="I145" s="59" t="s">
        <v>162</v>
      </c>
      <c r="J145" s="57" t="str">
        <f t="shared" si="11"/>
        <v>mx-ms-bc-rec-position-keeping-apigee</v>
      </c>
      <c r="K145" s="55" t="s">
        <v>1423</v>
      </c>
      <c r="L145" s="57" t="str">
        <f>IFERROR(__xludf.DUMMYFUNCTION("REGEXREPLACE(REGEXREPLACE(REGEXREPLACE(J145, ""mx-ms-bc-"", """"), ""-mule"", ""-api-dev""), ""-apigee"", ""-api-dev"")"),"rec-position-keeping-api-dev")</f>
        <v>rec-position-keeping-api-dev</v>
      </c>
      <c r="M145" s="57" t="str">
        <f t="shared" si="12"/>
        <v>mx-ms-bc-rec-position-keeping-apigee</v>
      </c>
      <c r="N145" s="55" t="str">
        <f t="shared" si="5"/>
        <v>Valid</v>
      </c>
      <c r="O145" s="59">
        <f t="shared" si="6"/>
        <v>36</v>
      </c>
      <c r="P145" s="59"/>
      <c r="Q145" s="59"/>
      <c r="R145" s="60"/>
      <c r="S145" s="60"/>
      <c r="T145" s="60"/>
      <c r="U145" s="60"/>
      <c r="V145" s="60"/>
      <c r="W145" s="60"/>
      <c r="X145" s="60"/>
      <c r="Y145" s="60"/>
      <c r="Z145" s="60"/>
      <c r="AA145" s="60"/>
      <c r="AB145" s="60"/>
      <c r="AC145" s="60"/>
      <c r="AD145" s="60"/>
      <c r="AE145" s="60"/>
      <c r="AF145" s="60"/>
      <c r="AG145" s="60"/>
      <c r="AH145" s="60"/>
      <c r="AI145" s="60"/>
      <c r="AJ145" s="60"/>
    </row>
    <row r="146">
      <c r="A146" s="27" t="s">
        <v>44</v>
      </c>
      <c r="B146" s="28" t="s">
        <v>1734</v>
      </c>
      <c r="C146" s="33">
        <f>COUNTIF(develop!F146:F980,B146)</f>
        <v>2</v>
      </c>
      <c r="D146" s="34" t="s">
        <v>1417</v>
      </c>
      <c r="E146" s="28" t="s">
        <v>1735</v>
      </c>
      <c r="F146" s="34" t="s">
        <v>1736</v>
      </c>
      <c r="G146" s="35" t="str">
        <f t="shared" si="1"/>
        <v>mx-api-bc-rec-product-directory</v>
      </c>
      <c r="H146" s="37" t="str">
        <f t="shared" si="2"/>
        <v>https://anypoint.mulesoft.com/exchange/834f46f4-ef08-4c50-81ae-56f917b413cc/mx-api-bc-rec-product-directory</v>
      </c>
      <c r="I146" s="42" t="s">
        <v>162</v>
      </c>
      <c r="J146" s="41" t="str">
        <f t="shared" si="11"/>
        <v>mx-ms-bc-rec-product-directory-apigee</v>
      </c>
      <c r="K146" s="39" t="s">
        <v>1423</v>
      </c>
      <c r="L146" s="77" t="str">
        <f>IFERROR(__xludf.DUMMYFUNCTION("REGEXREPLACE(REGEXREPLACE(REGEXREPLACE(J146, ""mx-ms-bc-"", """"), ""-mule"", ""-api-dev""), ""-apigee"", ""-api-dev"")"),"rec-product-directory-api-dev")</f>
        <v>rec-product-directory-api-dev</v>
      </c>
      <c r="M146" s="41" t="str">
        <f t="shared" si="12"/>
        <v>mx-ms-bc-rec-product-directory-apigee</v>
      </c>
      <c r="N146" s="39" t="str">
        <f t="shared" si="5"/>
        <v>Valid</v>
      </c>
      <c r="O146" s="42">
        <f t="shared" si="6"/>
        <v>37</v>
      </c>
      <c r="P146" s="42"/>
      <c r="Q146" s="42"/>
      <c r="R146" s="43"/>
      <c r="S146" s="43"/>
      <c r="T146" s="43"/>
      <c r="U146" s="43"/>
      <c r="V146" s="43"/>
      <c r="W146" s="43"/>
      <c r="X146" s="43"/>
      <c r="Y146" s="43"/>
      <c r="Z146" s="43"/>
      <c r="AA146" s="43"/>
      <c r="AB146" s="43"/>
      <c r="AC146" s="43"/>
      <c r="AD146" s="43"/>
      <c r="AE146" s="43"/>
      <c r="AF146" s="43"/>
      <c r="AG146" s="43"/>
      <c r="AH146" s="43"/>
      <c r="AI146" s="43"/>
      <c r="AJ146" s="43"/>
    </row>
    <row r="147">
      <c r="A147" s="46" t="s">
        <v>44</v>
      </c>
      <c r="B147" s="47" t="s">
        <v>1744</v>
      </c>
      <c r="C147" s="50">
        <f>COUNTIF(develop!F147:F980,B147)</f>
        <v>14</v>
      </c>
      <c r="D147" s="51" t="s">
        <v>1417</v>
      </c>
      <c r="E147" s="47" t="s">
        <v>1745</v>
      </c>
      <c r="F147" s="51" t="s">
        <v>1746</v>
      </c>
      <c r="G147" s="53" t="str">
        <f t="shared" si="1"/>
        <v>mx-api-bc-rec-reference-data</v>
      </c>
      <c r="H147" s="54" t="str">
        <f t="shared" si="2"/>
        <v>https://anypoint.mulesoft.com/exchange/834f46f4-ef08-4c50-81ae-56f917b413cc/mx-api-bc-rec-reference-data</v>
      </c>
      <c r="I147" s="59" t="s">
        <v>1747</v>
      </c>
      <c r="J147" s="57" t="str">
        <f t="shared" si="11"/>
        <v>mx-ms-bc-rec-reference-data-apigee</v>
      </c>
      <c r="K147" s="55" t="s">
        <v>1423</v>
      </c>
      <c r="L147" s="76" t="str">
        <f>IFERROR(__xludf.DUMMYFUNCTION("REGEXREPLACE(REGEXREPLACE(REGEXREPLACE(J147, ""mx-ms-bc-"", """"), ""-mule"", ""-api-dev""), ""-apigee"", ""-api-dev"")"),"rec-reference-data-api-dev")</f>
        <v>rec-reference-data-api-dev</v>
      </c>
      <c r="M147" s="57" t="str">
        <f t="shared" si="12"/>
        <v>mx-ms-bc-rec-reference-data-apigee</v>
      </c>
      <c r="N147" s="55" t="str">
        <f t="shared" si="5"/>
        <v>Valid</v>
      </c>
      <c r="O147" s="59">
        <f t="shared" si="6"/>
        <v>34</v>
      </c>
      <c r="P147" s="59"/>
      <c r="Q147" s="59"/>
      <c r="R147" s="60"/>
      <c r="S147" s="60"/>
      <c r="T147" s="60"/>
      <c r="U147" s="60"/>
      <c r="V147" s="60"/>
      <c r="W147" s="60"/>
      <c r="X147" s="60"/>
      <c r="Y147" s="60"/>
      <c r="Z147" s="60"/>
      <c r="AA147" s="60"/>
      <c r="AB147" s="60"/>
      <c r="AC147" s="60"/>
      <c r="AD147" s="60"/>
      <c r="AE147" s="60"/>
      <c r="AF147" s="60"/>
      <c r="AG147" s="60"/>
      <c r="AH147" s="60"/>
      <c r="AI147" s="60"/>
      <c r="AJ147" s="60"/>
    </row>
    <row r="148">
      <c r="A148" s="27" t="s">
        <v>44</v>
      </c>
      <c r="B148" s="28" t="s">
        <v>1755</v>
      </c>
      <c r="C148" s="33">
        <f>COUNTIF(develop!F148:F980,B148)</f>
        <v>1</v>
      </c>
      <c r="D148" s="34" t="s">
        <v>1417</v>
      </c>
      <c r="E148" s="28" t="s">
        <v>1758</v>
      </c>
      <c r="F148" s="34" t="s">
        <v>1759</v>
      </c>
      <c r="G148" s="35" t="str">
        <f t="shared" si="1"/>
        <v>mx-api-bc-rec-remittances</v>
      </c>
      <c r="H148" s="37" t="str">
        <f t="shared" si="2"/>
        <v>https://anypoint.mulesoft.com/exchange/834f46f4-ef08-4c50-81ae-56f917b413cc/mx-api-bc-rec-remittances</v>
      </c>
      <c r="I148" s="42" t="s">
        <v>162</v>
      </c>
      <c r="J148" s="41" t="str">
        <f t="shared" si="11"/>
        <v>mx-ms-bc-rec-remittances-apigee</v>
      </c>
      <c r="K148" s="39" t="s">
        <v>1423</v>
      </c>
      <c r="L148" s="77" t="str">
        <f>IFERROR(__xludf.DUMMYFUNCTION("REGEXREPLACE(REGEXREPLACE(REGEXREPLACE(J148, ""mx-ms-bc-"", """"), ""-mule"", ""-api-dev""), ""-apigee"", ""-api-dev"")"),"rec-remittances-api-dev")</f>
        <v>rec-remittances-api-dev</v>
      </c>
      <c r="M148" s="41" t="str">
        <f t="shared" si="12"/>
        <v>mx-ms-bc-rec-remittances-apigee</v>
      </c>
      <c r="N148" s="39" t="str">
        <f t="shared" si="5"/>
        <v>Valid</v>
      </c>
      <c r="O148" s="42">
        <f t="shared" si="6"/>
        <v>31</v>
      </c>
      <c r="P148" s="42"/>
      <c r="Q148" s="42"/>
      <c r="R148" s="43"/>
      <c r="S148" s="43"/>
      <c r="T148" s="43"/>
      <c r="U148" s="43"/>
      <c r="V148" s="43"/>
      <c r="W148" s="43"/>
      <c r="X148" s="43"/>
      <c r="Y148" s="43"/>
      <c r="Z148" s="43"/>
      <c r="AA148" s="43"/>
      <c r="AB148" s="43"/>
      <c r="AC148" s="43"/>
      <c r="AD148" s="43"/>
      <c r="AE148" s="43"/>
      <c r="AF148" s="43"/>
      <c r="AG148" s="43"/>
      <c r="AH148" s="43"/>
      <c r="AI148" s="43"/>
      <c r="AJ148" s="43"/>
    </row>
    <row r="149">
      <c r="A149" s="46" t="s">
        <v>44</v>
      </c>
      <c r="B149" s="47" t="s">
        <v>1764</v>
      </c>
      <c r="C149" s="50">
        <f>COUNTIF(develop!F149:F980,B149)</f>
        <v>24</v>
      </c>
      <c r="D149" s="51" t="s">
        <v>1417</v>
      </c>
      <c r="E149" s="47" t="s">
        <v>1765</v>
      </c>
      <c r="F149" s="51" t="s">
        <v>1766</v>
      </c>
      <c r="G149" s="53" t="str">
        <f t="shared" si="1"/>
        <v>mx-api-bc-rec-sales-and-service</v>
      </c>
      <c r="H149" s="54" t="str">
        <f t="shared" si="2"/>
        <v>https://anypoint.mulesoft.com/exchange/834f46f4-ef08-4c50-81ae-56f917b413cc/mx-api-bc-rec-sales-and-service</v>
      </c>
      <c r="I149" s="59" t="s">
        <v>1769</v>
      </c>
      <c r="J149" s="57" t="str">
        <f t="shared" si="11"/>
        <v>mx-ms-bc-rec-sales-and-service-apigee</v>
      </c>
      <c r="K149" s="55" t="s">
        <v>1423</v>
      </c>
      <c r="L149" s="76" t="str">
        <f>IFERROR(__xludf.DUMMYFUNCTION("REGEXREPLACE(REGEXREPLACE(REGEXREPLACE(J149, ""mx-ms-bc-"", """"), ""-mule"", ""-api-dev""), ""-apigee"", ""-api-dev"")"),"rec-sales-and-service-api-dev")</f>
        <v>rec-sales-and-service-api-dev</v>
      </c>
      <c r="M149" s="57" t="str">
        <f t="shared" si="12"/>
        <v>mx-ms-bc-rec-sales-and-service-apigee</v>
      </c>
      <c r="N149" s="55" t="str">
        <f t="shared" si="5"/>
        <v>Valid</v>
      </c>
      <c r="O149" s="59">
        <f t="shared" si="6"/>
        <v>37</v>
      </c>
      <c r="P149" s="59"/>
      <c r="Q149" s="59"/>
      <c r="R149" s="60"/>
      <c r="S149" s="60"/>
      <c r="T149" s="60"/>
      <c r="U149" s="60"/>
      <c r="V149" s="60"/>
      <c r="W149" s="60"/>
      <c r="X149" s="60"/>
      <c r="Y149" s="60"/>
      <c r="Z149" s="60"/>
      <c r="AA149" s="60"/>
      <c r="AB149" s="60"/>
      <c r="AC149" s="60"/>
      <c r="AD149" s="60"/>
      <c r="AE149" s="60"/>
      <c r="AF149" s="60"/>
      <c r="AG149" s="60"/>
      <c r="AH149" s="60"/>
      <c r="AI149" s="60"/>
      <c r="AJ149" s="60"/>
    </row>
    <row r="150">
      <c r="A150" s="27" t="s">
        <v>44</v>
      </c>
      <c r="B150" s="28" t="s">
        <v>1773</v>
      </c>
      <c r="C150" s="33">
        <f>COUNTIF(develop!F150:F980,B150)</f>
        <v>8</v>
      </c>
      <c r="D150" s="34" t="s">
        <v>1417</v>
      </c>
      <c r="E150" s="28" t="s">
        <v>1776</v>
      </c>
      <c r="F150" s="34" t="s">
        <v>1778</v>
      </c>
      <c r="G150" s="35" t="str">
        <f t="shared" si="1"/>
        <v>mx-api-bc-rec-session-dialogue</v>
      </c>
      <c r="H150" s="37" t="str">
        <f t="shared" si="2"/>
        <v>https://anypoint.mulesoft.com/exchange/834f46f4-ef08-4c50-81ae-56f917b413cc/mx-api-bc-rec-session-dialogue</v>
      </c>
      <c r="I150" s="42" t="s">
        <v>134</v>
      </c>
      <c r="J150" s="41" t="str">
        <f t="shared" si="11"/>
        <v>mx-ms-bc-rec-session-dialogue-apigee</v>
      </c>
      <c r="K150" s="39" t="s">
        <v>1423</v>
      </c>
      <c r="L150" s="41" t="str">
        <f>IFERROR(__xludf.DUMMYFUNCTION("REGEXREPLACE(REGEXREPLACE(REGEXREPLACE(J150, ""mx-ms-bc-"", """"), ""-mule"", ""-api-dev""), ""-apigee"", ""-api-dev"")"),"rec-session-dialogue-api-dev")</f>
        <v>rec-session-dialogue-api-dev</v>
      </c>
      <c r="M150" s="41" t="str">
        <f t="shared" si="12"/>
        <v>mx-ms-bc-rec-session-dialogue-apigee</v>
      </c>
      <c r="N150" s="39" t="str">
        <f t="shared" si="5"/>
        <v>Valid</v>
      </c>
      <c r="O150" s="42">
        <f t="shared" si="6"/>
        <v>36</v>
      </c>
      <c r="P150" s="42"/>
      <c r="Q150" s="42"/>
      <c r="R150" s="43"/>
      <c r="S150" s="43"/>
      <c r="T150" s="43"/>
      <c r="U150" s="43"/>
      <c r="V150" s="43"/>
      <c r="W150" s="43"/>
      <c r="X150" s="43"/>
      <c r="Y150" s="43"/>
      <c r="Z150" s="43"/>
      <c r="AA150" s="43"/>
      <c r="AB150" s="43"/>
      <c r="AC150" s="43"/>
      <c r="AD150" s="43"/>
      <c r="AE150" s="43"/>
      <c r="AF150" s="43"/>
      <c r="AG150" s="43"/>
      <c r="AH150" s="43"/>
      <c r="AI150" s="43"/>
      <c r="AJ150" s="43"/>
    </row>
    <row r="151">
      <c r="A151" s="46" t="s">
        <v>44</v>
      </c>
      <c r="B151" s="47" t="s">
        <v>1784</v>
      </c>
      <c r="C151" s="50">
        <f>COUNTIF(develop!F151:F980,B151)</f>
        <v>3</v>
      </c>
      <c r="D151" s="51" t="s">
        <v>1417</v>
      </c>
      <c r="E151" s="47" t="s">
        <v>1787</v>
      </c>
      <c r="F151" s="51" t="s">
        <v>1789</v>
      </c>
      <c r="G151" s="53" t="str">
        <f t="shared" si="1"/>
        <v>mx-api-bc-rec-systems-operations</v>
      </c>
      <c r="H151" s="54" t="str">
        <f t="shared" si="2"/>
        <v>https://anypoint.mulesoft.com/exchange/834f46f4-ef08-4c50-81ae-56f917b413cc/mx-api-bc-rec-systems-operations</v>
      </c>
      <c r="I151" s="59" t="s">
        <v>162</v>
      </c>
      <c r="J151" s="57" t="str">
        <f t="shared" si="11"/>
        <v>mx-ms-bc-rec-systems-operations-apigee</v>
      </c>
      <c r="K151" s="55" t="s">
        <v>1423</v>
      </c>
      <c r="L151" s="57" t="str">
        <f>IFERROR(__xludf.DUMMYFUNCTION("REGEXREPLACE(REGEXREPLACE(REGEXREPLACE(J151, ""mx-ms-bc-"", """"), ""-mule"", ""-api-dev""), ""-apigee"", ""-api-dev"")"),"rec-systems-operations-api-dev")</f>
        <v>rec-systems-operations-api-dev</v>
      </c>
      <c r="M151" s="57" t="str">
        <f t="shared" si="12"/>
        <v>mx-ms-bc-rec-systems-operations-apigee</v>
      </c>
      <c r="N151" s="55" t="str">
        <f t="shared" si="5"/>
        <v>Valid</v>
      </c>
      <c r="O151" s="59">
        <f t="shared" si="6"/>
        <v>38</v>
      </c>
      <c r="P151" s="59"/>
      <c r="Q151" s="59"/>
      <c r="R151" s="60"/>
      <c r="S151" s="60"/>
      <c r="T151" s="60"/>
      <c r="U151" s="60"/>
      <c r="V151" s="60"/>
      <c r="W151" s="60"/>
      <c r="X151" s="60"/>
      <c r="Y151" s="60"/>
      <c r="Z151" s="60"/>
      <c r="AA151" s="60"/>
      <c r="AB151" s="60"/>
      <c r="AC151" s="60"/>
      <c r="AD151" s="60"/>
      <c r="AE151" s="60"/>
      <c r="AF151" s="60"/>
      <c r="AG151" s="60"/>
      <c r="AH151" s="60"/>
      <c r="AI151" s="60"/>
      <c r="AJ151" s="60"/>
    </row>
    <row r="152">
      <c r="A152" s="27" t="s">
        <v>44</v>
      </c>
      <c r="B152" s="28" t="s">
        <v>1794</v>
      </c>
      <c r="C152" s="33">
        <f>COUNTIF(develop!F152:F980,B152)</f>
        <v>3</v>
      </c>
      <c r="D152" s="34" t="s">
        <v>1417</v>
      </c>
      <c r="E152" s="28" t="s">
        <v>1797</v>
      </c>
      <c r="F152" s="34" t="s">
        <v>1798</v>
      </c>
      <c r="G152" s="35" t="str">
        <f t="shared" si="1"/>
        <v>mx-api-bc-rec-transaction-engine</v>
      </c>
      <c r="H152" s="37" t="str">
        <f t="shared" si="2"/>
        <v>https://anypoint.mulesoft.com/exchange/834f46f4-ef08-4c50-81ae-56f917b413cc/mx-api-bc-rec-transaction-engine</v>
      </c>
      <c r="I152" s="42" t="s">
        <v>162</v>
      </c>
      <c r="J152" s="41" t="str">
        <f t="shared" si="11"/>
        <v>mx-ms-bc-rec-transaction-engine-apigee</v>
      </c>
      <c r="K152" s="39" t="s">
        <v>1423</v>
      </c>
      <c r="L152" s="41" t="str">
        <f>IFERROR(__xludf.DUMMYFUNCTION("REGEXREPLACE(REGEXREPLACE(REGEXREPLACE(J152, ""mx-ms-bc-"", """"), ""-mule"", ""-api-dev""), ""-apigee"", ""-api-dev"")"),"rec-transaction-engine-api-dev")</f>
        <v>rec-transaction-engine-api-dev</v>
      </c>
      <c r="M152" s="41" t="str">
        <f t="shared" si="12"/>
        <v>mx-ms-bc-rec-transaction-engine-apigee</v>
      </c>
      <c r="N152" s="39" t="str">
        <f t="shared" si="5"/>
        <v>Valid</v>
      </c>
      <c r="O152" s="42">
        <f t="shared" si="6"/>
        <v>38</v>
      </c>
      <c r="P152" s="42"/>
      <c r="Q152" s="42"/>
      <c r="R152" s="43"/>
      <c r="S152" s="43"/>
      <c r="T152" s="43"/>
      <c r="U152" s="43"/>
      <c r="V152" s="43"/>
      <c r="W152" s="43"/>
      <c r="X152" s="43"/>
      <c r="Y152" s="43"/>
      <c r="Z152" s="43"/>
      <c r="AA152" s="43"/>
      <c r="AB152" s="43"/>
      <c r="AC152" s="43"/>
      <c r="AD152" s="43"/>
      <c r="AE152" s="43"/>
      <c r="AF152" s="43"/>
      <c r="AG152" s="43"/>
      <c r="AH152" s="43"/>
      <c r="AI152" s="43"/>
      <c r="AJ152" s="43"/>
    </row>
    <row r="153">
      <c r="A153" s="46" t="s">
        <v>44</v>
      </c>
      <c r="B153" s="47" t="s">
        <v>1805</v>
      </c>
      <c r="C153" s="50">
        <f>COUNTIF(develop!F153:F980,B153)</f>
        <v>5</v>
      </c>
      <c r="D153" s="51" t="s">
        <v>1417</v>
      </c>
      <c r="E153" s="47" t="s">
        <v>1806</v>
      </c>
      <c r="F153" s="51" t="s">
        <v>1809</v>
      </c>
      <c r="G153" s="53" t="str">
        <f t="shared" si="1"/>
        <v>mx-api-bc-rec-utility</v>
      </c>
      <c r="H153" s="54" t="str">
        <f t="shared" si="2"/>
        <v>https://anypoint.mulesoft.com/exchange/834f46f4-ef08-4c50-81ae-56f917b413cc/mx-api-bc-rec-utility</v>
      </c>
      <c r="I153" s="59" t="s">
        <v>122</v>
      </c>
      <c r="J153" s="57" t="str">
        <f t="shared" si="11"/>
        <v>mx-ms-bc-rec-utility-apigee</v>
      </c>
      <c r="K153" s="55" t="s">
        <v>1423</v>
      </c>
      <c r="L153" s="57" t="str">
        <f>IFERROR(__xludf.DUMMYFUNCTION("REGEXREPLACE(REGEXREPLACE(REGEXREPLACE(J153, ""mx-ms-bc-"", """"), ""-mule"", ""-api-dev""), ""-apigee"", ""-api-dev"")"),"rec-utility-api-dev")</f>
        <v>rec-utility-api-dev</v>
      </c>
      <c r="M153" s="57" t="str">
        <f t="shared" si="12"/>
        <v>mx-ms-bc-rec-utility-apigee</v>
      </c>
      <c r="N153" s="55" t="str">
        <f t="shared" si="5"/>
        <v>Valid</v>
      </c>
      <c r="O153" s="59">
        <f t="shared" si="6"/>
        <v>27</v>
      </c>
      <c r="P153" s="59"/>
      <c r="Q153" s="59"/>
      <c r="R153" s="60"/>
      <c r="S153" s="60"/>
      <c r="T153" s="60"/>
      <c r="U153" s="60"/>
      <c r="V153" s="60"/>
      <c r="W153" s="60"/>
      <c r="X153" s="60"/>
      <c r="Y153" s="60"/>
      <c r="Z153" s="60"/>
      <c r="AA153" s="60"/>
      <c r="AB153" s="60"/>
      <c r="AC153" s="60"/>
      <c r="AD153" s="60"/>
      <c r="AE153" s="60"/>
      <c r="AF153" s="60"/>
      <c r="AG153" s="60"/>
      <c r="AH153" s="60"/>
      <c r="AI153" s="60"/>
      <c r="AJ153" s="60"/>
    </row>
    <row r="154">
      <c r="A154" s="27" t="s">
        <v>44</v>
      </c>
      <c r="B154" s="28" t="s">
        <v>1816</v>
      </c>
      <c r="C154" s="33">
        <f>COUNTIF(develop!F154:F980,B154)</f>
        <v>9</v>
      </c>
      <c r="D154" s="34" t="s">
        <v>1417</v>
      </c>
      <c r="E154" s="28" t="s">
        <v>1818</v>
      </c>
      <c r="F154" s="34" t="s">
        <v>1819</v>
      </c>
      <c r="G154" s="35" t="str">
        <f t="shared" si="1"/>
        <v>mx-api-bc-rec-cards</v>
      </c>
      <c r="H154" s="37" t="str">
        <f t="shared" si="2"/>
        <v>https://anypoint.mulesoft.com/exchange/834f46f4-ef08-4c50-81ae-56f917b413cc/mx-api-bc-rec-cards</v>
      </c>
      <c r="I154" s="42" t="s">
        <v>1820</v>
      </c>
      <c r="J154" s="41" t="str">
        <f t="shared" si="11"/>
        <v>mx-ms-bc-rec-cards-apigee</v>
      </c>
      <c r="K154" s="39" t="s">
        <v>1423</v>
      </c>
      <c r="L154" s="41" t="str">
        <f>IFERROR(__xludf.DUMMYFUNCTION("REGEXREPLACE(REGEXREPLACE(REGEXREPLACE(J154, ""mx-ms-bc-"", """"), ""-mule"", ""-api-dev""), ""-apigee"", ""-api-dev"")"),"rec-cards-api-dev")</f>
        <v>rec-cards-api-dev</v>
      </c>
      <c r="M154" s="41" t="str">
        <f t="shared" si="12"/>
        <v>mx-ms-bc-rec-cards-apigee</v>
      </c>
      <c r="N154" s="39" t="str">
        <f t="shared" si="5"/>
        <v>Valid</v>
      </c>
      <c r="O154" s="42">
        <f t="shared" si="6"/>
        <v>25</v>
      </c>
      <c r="P154" s="42"/>
      <c r="Q154" s="42"/>
      <c r="R154" s="43"/>
      <c r="S154" s="43"/>
      <c r="T154" s="43"/>
      <c r="U154" s="43"/>
      <c r="V154" s="43"/>
      <c r="W154" s="43"/>
      <c r="X154" s="43"/>
      <c r="Y154" s="43"/>
      <c r="Z154" s="43"/>
      <c r="AA154" s="43"/>
      <c r="AB154" s="43"/>
      <c r="AC154" s="43"/>
      <c r="AD154" s="43"/>
      <c r="AE154" s="43"/>
      <c r="AF154" s="43"/>
      <c r="AG154" s="43"/>
      <c r="AH154" s="43"/>
      <c r="AI154" s="43"/>
      <c r="AJ154" s="43"/>
    </row>
    <row r="155">
      <c r="A155" s="46" t="s">
        <v>1827</v>
      </c>
      <c r="B155" s="47" t="s">
        <v>1828</v>
      </c>
      <c r="C155" s="50">
        <f>COUNTIF(develop!F155:F980,B155)</f>
        <v>10</v>
      </c>
      <c r="D155" s="94" t="s">
        <v>1417</v>
      </c>
      <c r="E155" s="47" t="s">
        <v>1833</v>
      </c>
      <c r="F155" s="51" t="s">
        <v>1819</v>
      </c>
      <c r="G155" s="53" t="str">
        <f t="shared" si="1"/>
        <v>mx-api-bc-rec-payment-execution-corp</v>
      </c>
      <c r="H155" s="54" t="str">
        <f t="shared" si="2"/>
        <v>https://anypoint.mulesoft.com/exchange/834f46f4-ef08-4c50-81ae-56f917b413cc/mx-api-bc-rec-payment-execution-corp</v>
      </c>
      <c r="I155" s="95"/>
      <c r="J155" s="57" t="str">
        <f t="shared" si="11"/>
        <v>mx-ms-bc-rec-payment-execution-corp-apigee</v>
      </c>
      <c r="K155" s="55" t="s">
        <v>1423</v>
      </c>
      <c r="L155" s="96"/>
      <c r="M155" s="57" t="str">
        <f t="shared" si="12"/>
        <v>mx-ms-bc-rec-payment-execution-corp-apigee</v>
      </c>
      <c r="N155" s="55" t="str">
        <f t="shared" si="5"/>
        <v>Valid</v>
      </c>
      <c r="O155" s="59">
        <f t="shared" si="6"/>
        <v>42</v>
      </c>
      <c r="P155" s="95"/>
      <c r="Q155" s="95"/>
      <c r="R155" s="60"/>
      <c r="S155" s="60"/>
      <c r="T155" s="60"/>
      <c r="U155" s="60"/>
      <c r="V155" s="60"/>
      <c r="W155" s="60"/>
      <c r="X155" s="60"/>
      <c r="Y155" s="60"/>
      <c r="Z155" s="60"/>
      <c r="AA155" s="60"/>
      <c r="AB155" s="60"/>
      <c r="AC155" s="60"/>
      <c r="AD155" s="60"/>
      <c r="AE155" s="60"/>
      <c r="AF155" s="60"/>
      <c r="AG155" s="60"/>
      <c r="AH155" s="60"/>
      <c r="AI155" s="60"/>
      <c r="AJ155" s="60"/>
    </row>
    <row r="156">
      <c r="A156" s="27" t="s">
        <v>44</v>
      </c>
      <c r="B156" s="28" t="s">
        <v>1839</v>
      </c>
      <c r="C156" s="33">
        <f>COUNTIF(develop!F156:F980,B156)</f>
        <v>1</v>
      </c>
      <c r="D156" s="34" t="s">
        <v>1417</v>
      </c>
      <c r="E156" s="28" t="s">
        <v>1842</v>
      </c>
      <c r="F156" s="34" t="s">
        <v>1844</v>
      </c>
      <c r="G156" s="35" t="str">
        <f t="shared" si="1"/>
        <v>mx-api-bc-rec-channel-specific</v>
      </c>
      <c r="H156" s="37" t="str">
        <f t="shared" si="2"/>
        <v>https://anypoint.mulesoft.com/exchange/834f46f4-ef08-4c50-81ae-56f917b413cc/mx-api-bc-rec-channel-specific</v>
      </c>
      <c r="I156" s="92" t="s">
        <v>255</v>
      </c>
      <c r="J156" s="41" t="str">
        <f t="shared" si="11"/>
        <v>mx-ms-bc-rec-channel-specific-apigee</v>
      </c>
      <c r="K156" s="39" t="s">
        <v>1423</v>
      </c>
      <c r="L156" s="41" t="str">
        <f>IFERROR(__xludf.DUMMYFUNCTION("REGEXREPLACE(REGEXREPLACE(REGEXREPLACE(J156, ""mx-ms-bc-"", """"), ""-mule"", ""-api-dev""), ""-apigee"", ""-api-dev"")"),"rec-channel-specific-api-dev")</f>
        <v>rec-channel-specific-api-dev</v>
      </c>
      <c r="M156" s="41" t="str">
        <f t="shared" si="12"/>
        <v>mx-ms-bc-rec-channel-specific-apigee</v>
      </c>
      <c r="N156" s="39" t="str">
        <f t="shared" si="5"/>
        <v>Valid</v>
      </c>
      <c r="O156" s="42">
        <f t="shared" si="6"/>
        <v>36</v>
      </c>
      <c r="P156" s="42"/>
      <c r="Q156" s="92"/>
      <c r="R156" s="43"/>
      <c r="S156" s="43"/>
      <c r="T156" s="43"/>
      <c r="U156" s="43"/>
      <c r="V156" s="43"/>
      <c r="W156" s="43"/>
      <c r="X156" s="43"/>
      <c r="Y156" s="43"/>
      <c r="Z156" s="43"/>
      <c r="AA156" s="43"/>
      <c r="AB156" s="43"/>
      <c r="AC156" s="43"/>
      <c r="AD156" s="43"/>
      <c r="AE156" s="43"/>
      <c r="AF156" s="43"/>
      <c r="AG156" s="43"/>
      <c r="AH156" s="43"/>
      <c r="AI156" s="43"/>
      <c r="AJ156" s="43"/>
    </row>
    <row r="157">
      <c r="A157" s="46" t="s">
        <v>1827</v>
      </c>
      <c r="B157" s="47" t="s">
        <v>1851</v>
      </c>
      <c r="C157" s="50">
        <f>COUNTIF(develop!F157:F980,B157)</f>
        <v>16</v>
      </c>
      <c r="D157" s="94" t="s">
        <v>119</v>
      </c>
      <c r="E157" s="47" t="s">
        <v>1852</v>
      </c>
      <c r="F157" s="51" t="s">
        <v>1844</v>
      </c>
      <c r="G157" s="53" t="str">
        <f t="shared" si="1"/>
        <v>mx-api-bc-dom-payment-execution-corp</v>
      </c>
      <c r="H157" s="54" t="str">
        <f t="shared" si="2"/>
        <v>https://anypoint.mulesoft.com/exchange/834f46f4-ef08-4c50-81ae-56f917b413cc/mx-api-bc-dom-payment-execution-corp</v>
      </c>
      <c r="I157" s="59" t="s">
        <v>1855</v>
      </c>
      <c r="J157" s="57" t="str">
        <f t="shared" si="11"/>
        <v>mx-ms-bc-dom-payment-execution-corp-mule</v>
      </c>
      <c r="K157" s="55" t="s">
        <v>58</v>
      </c>
      <c r="L157" s="96"/>
      <c r="M157" s="57" t="str">
        <f t="shared" si="12"/>
        <v>dom-payment-execution-corp-api-dev</v>
      </c>
      <c r="N157" s="55" t="str">
        <f t="shared" si="5"/>
        <v>Valid</v>
      </c>
      <c r="O157" s="59">
        <f t="shared" si="6"/>
        <v>34</v>
      </c>
      <c r="P157" s="95"/>
      <c r="Q157" s="95"/>
      <c r="R157" s="60"/>
      <c r="S157" s="60"/>
      <c r="T157" s="60"/>
      <c r="U157" s="60"/>
      <c r="V157" s="60"/>
      <c r="W157" s="60"/>
      <c r="X157" s="60"/>
      <c r="Y157" s="60"/>
      <c r="Z157" s="60"/>
      <c r="AA157" s="60"/>
      <c r="AB157" s="60"/>
      <c r="AC157" s="60"/>
      <c r="AD157" s="60"/>
      <c r="AE157" s="60"/>
      <c r="AF157" s="60"/>
      <c r="AG157" s="60"/>
      <c r="AH157" s="60"/>
      <c r="AI157" s="60"/>
      <c r="AJ157" s="60"/>
    </row>
    <row r="158">
      <c r="A158" s="27" t="s">
        <v>44</v>
      </c>
      <c r="B158" s="28" t="s">
        <v>1865</v>
      </c>
      <c r="C158" s="33">
        <f>COUNTIF(develop!F158:F980,B158)</f>
        <v>1</v>
      </c>
      <c r="D158" s="34" t="s">
        <v>1417</v>
      </c>
      <c r="E158" s="28" t="s">
        <v>1867</v>
      </c>
      <c r="F158" s="34" t="s">
        <v>1868</v>
      </c>
      <c r="G158" s="35" t="str">
        <f t="shared" si="1"/>
        <v>mx-api-bc-rec-servicing</v>
      </c>
      <c r="H158" s="37" t="str">
        <f t="shared" si="2"/>
        <v>https://anypoint.mulesoft.com/exchange/834f46f4-ef08-4c50-81ae-56f917b413cc/mx-api-bc-rec-servicing</v>
      </c>
      <c r="I158" s="42" t="s">
        <v>122</v>
      </c>
      <c r="J158" s="41" t="str">
        <f t="shared" si="11"/>
        <v>mx-ms-bc-rec-servicing-apigee</v>
      </c>
      <c r="K158" s="39" t="s">
        <v>1423</v>
      </c>
      <c r="L158" s="41" t="str">
        <f>IFERROR(__xludf.DUMMYFUNCTION("REGEXREPLACE(REGEXREPLACE(REGEXREPLACE(J158, ""mx-ms-bc-"", """"), ""-mule"", ""-api-dev""), ""-apigee"", ""-api-dev"")"),"rec-servicing-api-dev")</f>
        <v>rec-servicing-api-dev</v>
      </c>
      <c r="M158" s="41" t="str">
        <f t="shared" si="12"/>
        <v>mx-ms-bc-rec-servicing-apigee</v>
      </c>
      <c r="N158" s="39" t="str">
        <f t="shared" si="5"/>
        <v>Valid</v>
      </c>
      <c r="O158" s="42">
        <f t="shared" si="6"/>
        <v>29</v>
      </c>
      <c r="P158" s="42"/>
      <c r="Q158" s="42"/>
      <c r="R158" s="43"/>
      <c r="S158" s="43"/>
      <c r="T158" s="43"/>
      <c r="U158" s="43"/>
      <c r="V158" s="43"/>
      <c r="W158" s="43"/>
      <c r="X158" s="43"/>
      <c r="Y158" s="43"/>
      <c r="Z158" s="43"/>
      <c r="AA158" s="43"/>
      <c r="AB158" s="43"/>
      <c r="AC158" s="43"/>
      <c r="AD158" s="43"/>
      <c r="AE158" s="43"/>
      <c r="AF158" s="43"/>
      <c r="AG158" s="43"/>
      <c r="AH158" s="43"/>
      <c r="AI158" s="43"/>
      <c r="AJ158" s="43"/>
    </row>
    <row r="159">
      <c r="A159" s="46" t="s">
        <v>1827</v>
      </c>
      <c r="B159" s="47" t="s">
        <v>1874</v>
      </c>
      <c r="C159" s="50">
        <f>COUNTIF(develop!F159:F980,B159)</f>
        <v>16</v>
      </c>
      <c r="D159" s="94" t="s">
        <v>811</v>
      </c>
      <c r="E159" s="47" t="s">
        <v>1876</v>
      </c>
      <c r="F159" s="51" t="s">
        <v>1868</v>
      </c>
      <c r="G159" s="53" t="str">
        <f t="shared" si="1"/>
        <v>mx-api-bc-pro-payment-execution-corp</v>
      </c>
      <c r="H159" s="54" t="str">
        <f t="shared" si="2"/>
        <v>https://anypoint.mulesoft.com/exchange/834f46f4-ef08-4c50-81ae-56f917b413cc/mx-api-bc-pro-payment-execution-corp</v>
      </c>
      <c r="I159" s="95"/>
      <c r="J159" s="57" t="str">
        <f t="shared" si="11"/>
        <v>mx-ms-bc-pro-payment-execution-corp</v>
      </c>
      <c r="K159" s="55" t="s">
        <v>816</v>
      </c>
      <c r="L159" s="96"/>
      <c r="M159" s="57" t="str">
        <f t="shared" si="12"/>
        <v>mx-ms-bc-pro-payment-execution-corp</v>
      </c>
      <c r="N159" s="55" t="str">
        <f t="shared" si="5"/>
        <v>Valid</v>
      </c>
      <c r="O159" s="59">
        <f t="shared" si="6"/>
        <v>35</v>
      </c>
      <c r="P159" s="95"/>
      <c r="Q159" s="95"/>
      <c r="R159" s="60"/>
      <c r="S159" s="60"/>
      <c r="T159" s="60"/>
      <c r="U159" s="60"/>
      <c r="V159" s="60"/>
      <c r="W159" s="60"/>
      <c r="X159" s="60"/>
      <c r="Y159" s="60"/>
      <c r="Z159" s="60"/>
      <c r="AA159" s="60"/>
      <c r="AB159" s="60"/>
      <c r="AC159" s="60"/>
      <c r="AD159" s="60"/>
      <c r="AE159" s="60"/>
      <c r="AF159" s="60"/>
      <c r="AG159" s="60"/>
      <c r="AH159" s="60"/>
      <c r="AI159" s="60"/>
      <c r="AJ159" s="60"/>
    </row>
    <row r="160">
      <c r="A160" s="27" t="s">
        <v>1827</v>
      </c>
      <c r="B160" s="28" t="s">
        <v>1885</v>
      </c>
      <c r="C160" s="33">
        <f>COUNTIF(develop!F160:F980,B160)</f>
        <v>1</v>
      </c>
      <c r="D160" s="97" t="s">
        <v>811</v>
      </c>
      <c r="E160" s="28" t="s">
        <v>1888</v>
      </c>
      <c r="F160" s="34" t="s">
        <v>1889</v>
      </c>
      <c r="G160" s="35" t="str">
        <f t="shared" si="1"/>
        <v>mx-api-bc-pro-security-advisory-corp</v>
      </c>
      <c r="H160" s="37" t="str">
        <f t="shared" si="2"/>
        <v>https://anypoint.mulesoft.com/exchange/834f46f4-ef08-4c50-81ae-56f917b413cc/mx-api-bc-pro-security-advisory-corp</v>
      </c>
      <c r="I160" s="98"/>
      <c r="J160" s="41" t="str">
        <f t="shared" si="11"/>
        <v>mx-ms-bc-pro-security-advisory-corp</v>
      </c>
      <c r="K160" s="39" t="s">
        <v>816</v>
      </c>
      <c r="L160" s="99"/>
      <c r="M160" s="41" t="str">
        <f t="shared" si="12"/>
        <v>mx-ms-bc-pro-security-advisory-corp</v>
      </c>
      <c r="N160" s="39" t="str">
        <f t="shared" si="5"/>
        <v>Valid</v>
      </c>
      <c r="O160" s="42">
        <f t="shared" si="6"/>
        <v>35</v>
      </c>
      <c r="P160" s="98"/>
      <c r="Q160" s="98"/>
      <c r="R160" s="43"/>
      <c r="S160" s="43"/>
      <c r="T160" s="43"/>
      <c r="U160" s="43"/>
      <c r="V160" s="43"/>
      <c r="W160" s="43"/>
      <c r="X160" s="43"/>
      <c r="Y160" s="43"/>
      <c r="Z160" s="43"/>
      <c r="AA160" s="43"/>
      <c r="AB160" s="43"/>
      <c r="AC160" s="43"/>
      <c r="AD160" s="43"/>
      <c r="AE160" s="43"/>
      <c r="AF160" s="43"/>
      <c r="AG160" s="43"/>
      <c r="AH160" s="43"/>
      <c r="AI160" s="43"/>
      <c r="AJ160" s="43"/>
    </row>
    <row r="161">
      <c r="A161" s="46" t="s">
        <v>44</v>
      </c>
      <c r="B161" s="47" t="s">
        <v>1895</v>
      </c>
      <c r="C161" s="50">
        <f>COUNTIF(develop!F161:F980,B161)</f>
        <v>9</v>
      </c>
      <c r="D161" s="51" t="s">
        <v>42</v>
      </c>
      <c r="E161" s="47" t="s">
        <v>1898</v>
      </c>
      <c r="F161" s="51" t="s">
        <v>1889</v>
      </c>
      <c r="G161" s="53" t="str">
        <f t="shared" si="1"/>
        <v>mx-api-bc-bus-cards</v>
      </c>
      <c r="H161" s="54" t="str">
        <f t="shared" si="2"/>
        <v>https://anypoint.mulesoft.com/exchange/834f46f4-ef08-4c50-81ae-56f917b413cc/mx-api-bc-bus-cards</v>
      </c>
      <c r="I161" s="59" t="s">
        <v>1820</v>
      </c>
      <c r="J161" s="57" t="str">
        <f t="shared" si="11"/>
        <v>mx-ms-bc-bus-cards-mule</v>
      </c>
      <c r="K161" s="55" t="s">
        <v>58</v>
      </c>
      <c r="L161" s="76" t="s">
        <v>1901</v>
      </c>
      <c r="M161" s="57" t="str">
        <f t="shared" si="12"/>
        <v>bus-cards-api-dev</v>
      </c>
      <c r="N161" s="55" t="str">
        <f t="shared" si="5"/>
        <v>Valid</v>
      </c>
      <c r="O161" s="59">
        <f t="shared" si="6"/>
        <v>17</v>
      </c>
      <c r="P161" s="59"/>
      <c r="Q161" s="59"/>
      <c r="R161" s="60"/>
      <c r="S161" s="60"/>
      <c r="T161" s="60"/>
      <c r="U161" s="60"/>
      <c r="V161" s="60"/>
      <c r="W161" s="60"/>
      <c r="X161" s="60"/>
      <c r="Y161" s="60"/>
      <c r="Z161" s="60"/>
      <c r="AA161" s="60"/>
      <c r="AB161" s="60"/>
      <c r="AC161" s="60"/>
      <c r="AD161" s="60"/>
      <c r="AE161" s="60"/>
      <c r="AF161" s="60"/>
      <c r="AG161" s="60"/>
      <c r="AH161" s="60"/>
      <c r="AI161" s="60"/>
      <c r="AJ161" s="60"/>
    </row>
    <row r="162">
      <c r="A162" s="27" t="s">
        <v>44</v>
      </c>
      <c r="B162" s="28" t="s">
        <v>1906</v>
      </c>
      <c r="C162" s="33">
        <f>COUNTIF(develop!F162:F980,B162)</f>
        <v>1</v>
      </c>
      <c r="D162" s="34" t="s">
        <v>42</v>
      </c>
      <c r="E162" s="28" t="s">
        <v>1910</v>
      </c>
      <c r="F162" s="34" t="s">
        <v>1912</v>
      </c>
      <c r="G162" s="35" t="str">
        <f t="shared" si="1"/>
        <v>mx-api-bc-bus-channel-specific</v>
      </c>
      <c r="H162" s="37" t="str">
        <f t="shared" si="2"/>
        <v>https://anypoint.mulesoft.com/exchange/834f46f4-ef08-4c50-81ae-56f917b413cc/mx-api-bc-bus-channel-specific</v>
      </c>
      <c r="I162" s="42" t="s">
        <v>255</v>
      </c>
      <c r="J162" s="41" t="str">
        <f t="shared" si="11"/>
        <v>mx-ms-bc-bus-channel-specific-mule</v>
      </c>
      <c r="K162" s="39" t="s">
        <v>58</v>
      </c>
      <c r="L162" s="41" t="str">
        <f>IFERROR(__xludf.DUMMYFUNCTION("REGEXREPLACE(REGEXREPLACE(REGEXREPLACE(J162, ""mx-ms-bc-"", """"), ""-mule"", ""-api-dev""), ""-apigee"", ""-api-dev"")"),"bus-channel-specific-api-dev")</f>
        <v>bus-channel-specific-api-dev</v>
      </c>
      <c r="M162" s="41" t="str">
        <f t="shared" si="12"/>
        <v>bus-channel-specific-api-dev</v>
      </c>
      <c r="N162" s="39" t="str">
        <f t="shared" si="5"/>
        <v>Valid</v>
      </c>
      <c r="O162" s="42">
        <f t="shared" si="6"/>
        <v>28</v>
      </c>
      <c r="P162" s="42"/>
      <c r="Q162" s="42"/>
      <c r="R162" s="43"/>
      <c r="S162" s="43"/>
      <c r="T162" s="43"/>
      <c r="U162" s="43"/>
      <c r="V162" s="43"/>
      <c r="W162" s="43"/>
      <c r="X162" s="43"/>
      <c r="Y162" s="43"/>
      <c r="Z162" s="43"/>
      <c r="AA162" s="43"/>
      <c r="AB162" s="43"/>
      <c r="AC162" s="43"/>
      <c r="AD162" s="43"/>
      <c r="AE162" s="43"/>
      <c r="AF162" s="43"/>
      <c r="AG162" s="43"/>
      <c r="AH162" s="43"/>
      <c r="AI162" s="43"/>
      <c r="AJ162" s="43"/>
    </row>
    <row r="163">
      <c r="A163" s="46" t="s">
        <v>1827</v>
      </c>
      <c r="B163" s="47" t="s">
        <v>1917</v>
      </c>
      <c r="C163" s="50">
        <f>COUNTIF(develop!F163:F980,B163)</f>
        <v>11</v>
      </c>
      <c r="D163" s="94" t="s">
        <v>811</v>
      </c>
      <c r="E163" s="47" t="s">
        <v>1921</v>
      </c>
      <c r="F163" s="51" t="s">
        <v>1912</v>
      </c>
      <c r="G163" s="53" t="str">
        <f t="shared" si="1"/>
        <v>mx-api-bc-pro-transaction-engine-corp</v>
      </c>
      <c r="H163" s="54" t="str">
        <f t="shared" si="2"/>
        <v>https://anypoint.mulesoft.com/exchange/834f46f4-ef08-4c50-81ae-56f917b413cc/mx-api-bc-pro-transaction-engine-corp</v>
      </c>
      <c r="I163" s="95"/>
      <c r="J163" s="57" t="str">
        <f t="shared" si="11"/>
        <v>mx-ms-bc-pro-transaction-engine-corp</v>
      </c>
      <c r="K163" s="55" t="s">
        <v>816</v>
      </c>
      <c r="L163" s="96"/>
      <c r="M163" s="57" t="str">
        <f t="shared" si="12"/>
        <v>mx-ms-bc-pro-transaction-engine-corp</v>
      </c>
      <c r="N163" s="55" t="str">
        <f t="shared" si="5"/>
        <v>Valid</v>
      </c>
      <c r="O163" s="59">
        <f t="shared" si="6"/>
        <v>36</v>
      </c>
      <c r="P163" s="95"/>
      <c r="Q163" s="95"/>
      <c r="R163" s="60"/>
      <c r="S163" s="60"/>
      <c r="T163" s="60"/>
      <c r="U163" s="60"/>
      <c r="V163" s="60"/>
      <c r="W163" s="60"/>
      <c r="X163" s="60"/>
      <c r="Y163" s="60"/>
      <c r="Z163" s="60"/>
      <c r="AA163" s="60"/>
      <c r="AB163" s="60"/>
      <c r="AC163" s="60"/>
      <c r="AD163" s="60"/>
      <c r="AE163" s="60"/>
      <c r="AF163" s="60"/>
      <c r="AG163" s="60"/>
      <c r="AH163" s="60"/>
      <c r="AI163" s="60"/>
      <c r="AJ163" s="60"/>
    </row>
    <row r="164">
      <c r="A164" s="27" t="s">
        <v>44</v>
      </c>
      <c r="B164" s="28" t="s">
        <v>1928</v>
      </c>
      <c r="C164" s="33">
        <f>COUNTIF(develop!F164:F980,B164)</f>
        <v>1</v>
      </c>
      <c r="D164" s="34" t="s">
        <v>42</v>
      </c>
      <c r="E164" s="28" t="s">
        <v>1929</v>
      </c>
      <c r="F164" s="34" t="s">
        <v>1930</v>
      </c>
      <c r="G164" s="35" t="str">
        <f t="shared" si="1"/>
        <v>mx-api-bc-bus-servicing</v>
      </c>
      <c r="H164" s="37" t="str">
        <f t="shared" si="2"/>
        <v>https://anypoint.mulesoft.com/exchange/834f46f4-ef08-4c50-81ae-56f917b413cc/mx-api-bc-bus-servicing</v>
      </c>
      <c r="I164" s="42" t="s">
        <v>299</v>
      </c>
      <c r="J164" s="41" t="str">
        <f t="shared" si="11"/>
        <v>mx-ms-bc-bus-servicing-mule</v>
      </c>
      <c r="K164" s="39" t="s">
        <v>58</v>
      </c>
      <c r="L164" s="77" t="s">
        <v>1935</v>
      </c>
      <c r="M164" s="41" t="str">
        <f t="shared" si="12"/>
        <v>bus-servicing-api-dev</v>
      </c>
      <c r="N164" s="39" t="str">
        <f t="shared" si="5"/>
        <v>Valid</v>
      </c>
      <c r="O164" s="42">
        <f t="shared" si="6"/>
        <v>21</v>
      </c>
      <c r="P164" s="42"/>
      <c r="Q164" s="42"/>
      <c r="R164" s="43"/>
      <c r="S164" s="43"/>
      <c r="T164" s="43"/>
      <c r="U164" s="43"/>
      <c r="V164" s="43"/>
      <c r="W164" s="43"/>
      <c r="X164" s="43"/>
      <c r="Y164" s="43"/>
      <c r="Z164" s="43"/>
      <c r="AA164" s="43"/>
      <c r="AB164" s="43"/>
      <c r="AC164" s="43"/>
      <c r="AD164" s="43"/>
      <c r="AE164" s="43"/>
      <c r="AF164" s="43"/>
      <c r="AG164" s="43"/>
      <c r="AH164" s="43"/>
      <c r="AI164" s="43"/>
      <c r="AJ164" s="43"/>
    </row>
    <row r="165">
      <c r="A165" s="46" t="s">
        <v>1827</v>
      </c>
      <c r="B165" s="47" t="s">
        <v>1941</v>
      </c>
      <c r="C165" s="50">
        <f>COUNTIF(develop!F165:F980,B165)</f>
        <v>1</v>
      </c>
      <c r="D165" s="94" t="s">
        <v>119</v>
      </c>
      <c r="E165" s="47" t="s">
        <v>1942</v>
      </c>
      <c r="F165" s="51" t="s">
        <v>1930</v>
      </c>
      <c r="G165" s="53" t="str">
        <f t="shared" si="1"/>
        <v>mx-api-bc-dom-security-advisory-corp</v>
      </c>
      <c r="H165" s="54" t="str">
        <f t="shared" si="2"/>
        <v>https://anypoint.mulesoft.com/exchange/834f46f4-ef08-4c50-81ae-56f917b413cc/mx-api-bc-dom-security-advisory-corp</v>
      </c>
      <c r="I165" s="95"/>
      <c r="J165" s="57" t="str">
        <f t="shared" si="11"/>
        <v>mx-ms-bc-dom-security-advisory-corp-mule</v>
      </c>
      <c r="K165" s="55" t="s">
        <v>58</v>
      </c>
      <c r="L165" s="96"/>
      <c r="M165" s="57" t="str">
        <f t="shared" si="12"/>
        <v>dom-security-advisory-corp-api-dev</v>
      </c>
      <c r="N165" s="55" t="str">
        <f t="shared" si="5"/>
        <v>Valid</v>
      </c>
      <c r="O165" s="59">
        <f t="shared" si="6"/>
        <v>34</v>
      </c>
      <c r="P165" s="95"/>
      <c r="Q165" s="95"/>
      <c r="R165" s="60"/>
      <c r="S165" s="60"/>
      <c r="T165" s="60"/>
      <c r="U165" s="60"/>
      <c r="V165" s="60"/>
      <c r="W165" s="60"/>
      <c r="X165" s="60"/>
      <c r="Y165" s="60"/>
      <c r="Z165" s="60"/>
      <c r="AA165" s="60"/>
      <c r="AB165" s="60"/>
      <c r="AC165" s="60"/>
      <c r="AD165" s="60"/>
      <c r="AE165" s="60"/>
      <c r="AF165" s="60"/>
      <c r="AG165" s="60"/>
      <c r="AH165" s="60"/>
      <c r="AI165" s="60"/>
      <c r="AJ165" s="60"/>
    </row>
    <row r="166">
      <c r="A166" s="27" t="s">
        <v>44</v>
      </c>
      <c r="B166" s="28" t="s">
        <v>1952</v>
      </c>
      <c r="C166" s="33">
        <f>COUNTIF(develop!F166:F980,B166)</f>
        <v>4</v>
      </c>
      <c r="D166" s="34" t="s">
        <v>42</v>
      </c>
      <c r="E166" s="28" t="s">
        <v>1953</v>
      </c>
      <c r="F166" s="34" t="s">
        <v>1954</v>
      </c>
      <c r="G166" s="35" t="str">
        <f t="shared" si="1"/>
        <v>mx-api-bc-bus-cross-product-operations</v>
      </c>
      <c r="H166" s="37" t="str">
        <f t="shared" si="2"/>
        <v>https://anypoint.mulesoft.com/exchange/834f46f4-ef08-4c50-81ae-56f917b413cc/mx-api-bc-bus-cross-product-operations</v>
      </c>
      <c r="I166" s="42" t="s">
        <v>57</v>
      </c>
      <c r="J166" s="41" t="str">
        <f t="shared" si="11"/>
        <v>mx-ms-bc-bus-cross-product-operations-mule</v>
      </c>
      <c r="K166" s="39" t="s">
        <v>58</v>
      </c>
      <c r="L166" s="41" t="str">
        <f>IFERROR(__xludf.DUMMYFUNCTION("REGEXREPLACE(REGEXREPLACE(REGEXREPLACE(J166, ""mx-ms-bc-"", """"), ""-mule"", ""-api-dev""), ""-apigee"", ""-api-dev"")"),"bus-cross-product-operations-api-dev")</f>
        <v>bus-cross-product-operations-api-dev</v>
      </c>
      <c r="M166" s="41" t="str">
        <f t="shared" si="12"/>
        <v>bus-cross-product-operations-api-dev</v>
      </c>
      <c r="N166" s="39" t="str">
        <f t="shared" si="5"/>
        <v>Valid</v>
      </c>
      <c r="O166" s="42">
        <f t="shared" si="6"/>
        <v>36</v>
      </c>
      <c r="P166" s="42"/>
      <c r="Q166" s="42"/>
      <c r="R166" s="43"/>
      <c r="S166" s="43"/>
      <c r="T166" s="43"/>
      <c r="U166" s="43"/>
      <c r="V166" s="43"/>
      <c r="W166" s="43"/>
      <c r="X166" s="43"/>
      <c r="Y166" s="43"/>
      <c r="Z166" s="43"/>
      <c r="AA166" s="43"/>
      <c r="AB166" s="43"/>
      <c r="AC166" s="43"/>
      <c r="AD166" s="43"/>
      <c r="AE166" s="43"/>
      <c r="AF166" s="43"/>
      <c r="AG166" s="43"/>
      <c r="AH166" s="43"/>
      <c r="AI166" s="43"/>
      <c r="AJ166" s="43"/>
    </row>
    <row r="167">
      <c r="A167" s="46" t="s">
        <v>1827</v>
      </c>
      <c r="B167" s="47" t="s">
        <v>1963</v>
      </c>
      <c r="C167" s="50">
        <f>COUNTIF(develop!F167:F980,B167)</f>
        <v>11</v>
      </c>
      <c r="D167" s="94" t="s">
        <v>119</v>
      </c>
      <c r="E167" s="47" t="s">
        <v>1964</v>
      </c>
      <c r="F167" s="51" t="s">
        <v>1954</v>
      </c>
      <c r="G167" s="53" t="str">
        <f t="shared" si="1"/>
        <v>mx-api-bc-dom-transaction-engine-corp</v>
      </c>
      <c r="H167" s="54" t="str">
        <f t="shared" si="2"/>
        <v>https://anypoint.mulesoft.com/exchange/834f46f4-ef08-4c50-81ae-56f917b413cc/mx-api-bc-dom-transaction-engine-corp</v>
      </c>
      <c r="I167" s="95"/>
      <c r="J167" s="57" t="str">
        <f t="shared" si="11"/>
        <v>mx-ms-bc-dom-transaction-engine-corp-mule</v>
      </c>
      <c r="K167" s="55" t="s">
        <v>58</v>
      </c>
      <c r="L167" s="96"/>
      <c r="M167" s="57" t="str">
        <f t="shared" si="12"/>
        <v>dom-transaction-engine-corp-api-dev</v>
      </c>
      <c r="N167" s="55" t="str">
        <f t="shared" si="5"/>
        <v>Valid</v>
      </c>
      <c r="O167" s="59">
        <f t="shared" si="6"/>
        <v>35</v>
      </c>
      <c r="P167" s="95"/>
      <c r="Q167" s="95"/>
      <c r="R167" s="60"/>
      <c r="S167" s="60"/>
      <c r="T167" s="60"/>
      <c r="U167" s="60"/>
      <c r="V167" s="60"/>
      <c r="W167" s="60"/>
      <c r="X167" s="60"/>
      <c r="Y167" s="60"/>
      <c r="Z167" s="60"/>
      <c r="AA167" s="60"/>
      <c r="AB167" s="60"/>
      <c r="AC167" s="60"/>
      <c r="AD167" s="60"/>
      <c r="AE167" s="60"/>
      <c r="AF167" s="60"/>
      <c r="AG167" s="60"/>
      <c r="AH167" s="60"/>
      <c r="AI167" s="60"/>
      <c r="AJ167" s="60"/>
    </row>
    <row r="168">
      <c r="A168" s="27" t="s">
        <v>1827</v>
      </c>
      <c r="B168" s="28" t="s">
        <v>1973</v>
      </c>
      <c r="C168" s="33">
        <f>COUNTIF(develop!F168:F980,B168)</f>
        <v>1</v>
      </c>
      <c r="D168" s="97" t="s">
        <v>1417</v>
      </c>
      <c r="E168" s="28" t="s">
        <v>1974</v>
      </c>
      <c r="F168" s="34" t="s">
        <v>1975</v>
      </c>
      <c r="G168" s="35" t="str">
        <f t="shared" si="1"/>
        <v>mx-api-bc-rec-security-advisory-corp</v>
      </c>
      <c r="H168" s="37" t="str">
        <f t="shared" si="2"/>
        <v>https://anypoint.mulesoft.com/exchange/834f46f4-ef08-4c50-81ae-56f917b413cc/mx-api-bc-rec-security-advisory-corp</v>
      </c>
      <c r="I168" s="98"/>
      <c r="J168" s="41" t="str">
        <f t="shared" si="11"/>
        <v>mx-ms-bc-rec-security-advisory-corp-apigee</v>
      </c>
      <c r="K168" s="39" t="s">
        <v>1423</v>
      </c>
      <c r="L168" s="99"/>
      <c r="M168" s="41" t="str">
        <f t="shared" si="12"/>
        <v>mx-ms-bc-rec-security-advisory-corp-apigee</v>
      </c>
      <c r="N168" s="39" t="str">
        <f t="shared" si="5"/>
        <v>Valid</v>
      </c>
      <c r="O168" s="42">
        <f t="shared" si="6"/>
        <v>42</v>
      </c>
      <c r="P168" s="98"/>
      <c r="Q168" s="98"/>
      <c r="R168" s="43"/>
      <c r="S168" s="43"/>
      <c r="T168" s="43"/>
      <c r="U168" s="43"/>
      <c r="V168" s="43"/>
      <c r="W168" s="43"/>
      <c r="X168" s="43"/>
      <c r="Y168" s="43"/>
      <c r="Z168" s="43"/>
      <c r="AA168" s="43"/>
      <c r="AB168" s="43"/>
      <c r="AC168" s="43"/>
      <c r="AD168" s="43"/>
      <c r="AE168" s="43"/>
      <c r="AF168" s="43"/>
      <c r="AG168" s="43"/>
      <c r="AH168" s="43"/>
      <c r="AI168" s="43"/>
      <c r="AJ168" s="43"/>
    </row>
    <row r="169">
      <c r="A169" s="46" t="s">
        <v>44</v>
      </c>
      <c r="B169" s="47" t="s">
        <v>1983</v>
      </c>
      <c r="C169" s="50">
        <f>COUNTIF(develop!F169:F980,B169)</f>
        <v>4</v>
      </c>
      <c r="D169" s="51" t="s">
        <v>1417</v>
      </c>
      <c r="E169" s="47" t="s">
        <v>1984</v>
      </c>
      <c r="F169" s="51" t="s">
        <v>1975</v>
      </c>
      <c r="G169" s="53" t="str">
        <f t="shared" si="1"/>
        <v>mx-api-bc-rec-cross-product-operations</v>
      </c>
      <c r="H169" s="54" t="str">
        <f t="shared" si="2"/>
        <v>https://anypoint.mulesoft.com/exchange/834f46f4-ef08-4c50-81ae-56f917b413cc/mx-api-bc-rec-cross-product-operations</v>
      </c>
      <c r="I169" s="59" t="s">
        <v>57</v>
      </c>
      <c r="J169" s="57" t="str">
        <f t="shared" si="11"/>
        <v>mx-ms-bc-rec-cross-product-operations-apigee</v>
      </c>
      <c r="K169" s="55" t="s">
        <v>1423</v>
      </c>
      <c r="L169" s="57" t="str">
        <f>IFERROR(__xludf.DUMMYFUNCTION("REGEXREPLACE(REGEXREPLACE(REGEXREPLACE(J169, ""mx-ms-bc-"", """"), ""-mule"", ""-api-dev""), ""-apigee"", ""-api-dev"")"),"rec-cross-product-operations-api-dev")</f>
        <v>rec-cross-product-operations-api-dev</v>
      </c>
      <c r="M169" s="57" t="str">
        <f t="shared" si="12"/>
        <v>mx-ms-bc-rec-cross-product-operations-apigee</v>
      </c>
      <c r="N169" s="55" t="str">
        <f t="shared" si="5"/>
        <v>Valid</v>
      </c>
      <c r="O169" s="59">
        <f t="shared" si="6"/>
        <v>44</v>
      </c>
      <c r="P169" s="59"/>
      <c r="Q169" s="59"/>
      <c r="R169" s="60"/>
      <c r="S169" s="60"/>
      <c r="T169" s="60"/>
      <c r="U169" s="60"/>
      <c r="V169" s="60"/>
      <c r="W169" s="60"/>
      <c r="X169" s="60"/>
      <c r="Y169" s="60"/>
      <c r="Z169" s="60"/>
      <c r="AA169" s="60"/>
      <c r="AB169" s="60"/>
      <c r="AC169" s="60"/>
      <c r="AD169" s="60"/>
      <c r="AE169" s="60"/>
      <c r="AF169" s="60"/>
      <c r="AG169" s="60"/>
      <c r="AH169" s="60"/>
      <c r="AI169" s="60"/>
      <c r="AJ169" s="60"/>
    </row>
    <row r="170">
      <c r="A170" s="27" t="s">
        <v>44</v>
      </c>
      <c r="B170" s="28" t="s">
        <v>1993</v>
      </c>
      <c r="C170" s="33">
        <f>COUNTIF(develop!F170:F980,B170)</f>
        <v>11</v>
      </c>
      <c r="D170" s="34" t="s">
        <v>42</v>
      </c>
      <c r="E170" s="28" t="s">
        <v>1994</v>
      </c>
      <c r="F170" s="34" t="s">
        <v>1995</v>
      </c>
      <c r="G170" s="35" t="str">
        <f t="shared" si="1"/>
        <v>mx-api-bc-bus-customer-management</v>
      </c>
      <c r="H170" s="37" t="str">
        <f t="shared" si="2"/>
        <v>https://anypoint.mulesoft.com/exchange/834f46f4-ef08-4c50-81ae-56f917b413cc/mx-api-bc-bus-customer-management</v>
      </c>
      <c r="I170" s="42" t="s">
        <v>1996</v>
      </c>
      <c r="J170" s="41" t="str">
        <f t="shared" si="11"/>
        <v>mx-ms-bc-bus-customer-management-mule</v>
      </c>
      <c r="K170" s="39" t="s">
        <v>58</v>
      </c>
      <c r="L170" s="77" t="s">
        <v>1997</v>
      </c>
      <c r="M170" s="41" t="str">
        <f t="shared" si="12"/>
        <v>bus-customer-management-api-dev</v>
      </c>
      <c r="N170" s="39" t="str">
        <f t="shared" si="5"/>
        <v>Valid</v>
      </c>
      <c r="O170" s="42">
        <f t="shared" si="6"/>
        <v>31</v>
      </c>
      <c r="P170" s="42"/>
      <c r="Q170" s="42"/>
      <c r="R170" s="43"/>
      <c r="S170" s="43"/>
      <c r="T170" s="43"/>
      <c r="U170" s="43"/>
      <c r="V170" s="43"/>
      <c r="W170" s="43"/>
      <c r="X170" s="43"/>
      <c r="Y170" s="43"/>
      <c r="Z170" s="43"/>
      <c r="AA170" s="43"/>
      <c r="AB170" s="43"/>
      <c r="AC170" s="43"/>
      <c r="AD170" s="43"/>
      <c r="AE170" s="43"/>
      <c r="AF170" s="43"/>
      <c r="AG170" s="43"/>
      <c r="AH170" s="43"/>
      <c r="AI170" s="43"/>
      <c r="AJ170" s="43"/>
    </row>
    <row r="171">
      <c r="A171" s="46" t="s">
        <v>1827</v>
      </c>
      <c r="B171" s="47" t="s">
        <v>2022</v>
      </c>
      <c r="C171" s="50">
        <f>COUNTIF(develop!F171:F980,B171)</f>
        <v>10</v>
      </c>
      <c r="D171" s="94" t="s">
        <v>1417</v>
      </c>
      <c r="E171" s="47" t="s">
        <v>2040</v>
      </c>
      <c r="F171" s="51" t="s">
        <v>1995</v>
      </c>
      <c r="G171" s="53" t="str">
        <f t="shared" si="1"/>
        <v>mx-api-bc-rec-transaction-engine-corp</v>
      </c>
      <c r="H171" s="54" t="str">
        <f t="shared" si="2"/>
        <v>https://anypoint.mulesoft.com/exchange/834f46f4-ef08-4c50-81ae-56f917b413cc/mx-api-bc-rec-transaction-engine-corp</v>
      </c>
      <c r="I171" s="95"/>
      <c r="J171" s="57" t="str">
        <f t="shared" si="11"/>
        <v>mx-ms-bc-rec-transaction-engine-corp-apigee</v>
      </c>
      <c r="K171" s="55" t="s">
        <v>1423</v>
      </c>
      <c r="L171" s="96"/>
      <c r="M171" s="57" t="str">
        <f t="shared" si="12"/>
        <v>mx-ms-bc-rec-transaction-engine-corp-apigee</v>
      </c>
      <c r="N171" s="55" t="str">
        <f t="shared" si="5"/>
        <v>Valid</v>
      </c>
      <c r="O171" s="59">
        <f t="shared" si="6"/>
        <v>43</v>
      </c>
      <c r="P171" s="95"/>
      <c r="Q171" s="95"/>
      <c r="R171" s="60"/>
      <c r="S171" s="60"/>
      <c r="T171" s="60"/>
      <c r="U171" s="60"/>
      <c r="V171" s="60"/>
      <c r="W171" s="60"/>
      <c r="X171" s="60"/>
      <c r="Y171" s="60"/>
      <c r="Z171" s="60"/>
      <c r="AA171" s="60"/>
      <c r="AB171" s="60"/>
      <c r="AC171" s="60"/>
      <c r="AD171" s="60"/>
      <c r="AE171" s="60"/>
      <c r="AF171" s="60"/>
      <c r="AG171" s="60"/>
      <c r="AH171" s="60"/>
      <c r="AI171" s="60"/>
      <c r="AJ171" s="60"/>
    </row>
    <row r="172">
      <c r="A172" s="27" t="s">
        <v>44</v>
      </c>
      <c r="B172" s="28" t="s">
        <v>2085</v>
      </c>
      <c r="C172" s="33">
        <f>COUNTIF(develop!F172:F980,B172)</f>
        <v>2</v>
      </c>
      <c r="D172" s="34" t="s">
        <v>42</v>
      </c>
      <c r="E172" s="28" t="s">
        <v>2089</v>
      </c>
      <c r="F172" s="34" t="s">
        <v>2092</v>
      </c>
      <c r="G172" s="35" t="str">
        <f t="shared" si="1"/>
        <v>mx-api-bc-bus-operational-services</v>
      </c>
      <c r="H172" s="37" t="str">
        <f t="shared" si="2"/>
        <v>https://anypoint.mulesoft.com/exchange/834f46f4-ef08-4c50-81ae-56f917b413cc/mx-api-bc-bus-operational-services</v>
      </c>
      <c r="I172" s="42" t="s">
        <v>122</v>
      </c>
      <c r="J172" s="41" t="str">
        <f t="shared" si="11"/>
        <v>mx-ms-bc-bus-operational-services-mule</v>
      </c>
      <c r="K172" s="39" t="s">
        <v>58</v>
      </c>
      <c r="L172" s="41" t="str">
        <f>IFERROR(__xludf.DUMMYFUNCTION("REGEXREPLACE(REGEXREPLACE(REGEXREPLACE(J172, ""mx-ms-bc-"", """"), ""-mule"", ""-api-dev""), ""-apigee"", ""-api-dev"")"),"bus-operational-services-api-dev")</f>
        <v>bus-operational-services-api-dev</v>
      </c>
      <c r="M172" s="41" t="str">
        <f t="shared" si="12"/>
        <v>bus-operational-services-api-dev</v>
      </c>
      <c r="N172" s="39" t="str">
        <f t="shared" si="5"/>
        <v>Valid</v>
      </c>
      <c r="O172" s="42">
        <f t="shared" si="6"/>
        <v>32</v>
      </c>
      <c r="P172" s="42"/>
      <c r="Q172" s="42"/>
      <c r="R172" s="43"/>
      <c r="S172" s="43"/>
      <c r="T172" s="43"/>
      <c r="U172" s="43"/>
      <c r="V172" s="43"/>
      <c r="W172" s="43"/>
      <c r="X172" s="43"/>
      <c r="Y172" s="43"/>
      <c r="Z172" s="43"/>
      <c r="AA172" s="43"/>
      <c r="AB172" s="43"/>
      <c r="AC172" s="43"/>
      <c r="AD172" s="43"/>
      <c r="AE172" s="43"/>
      <c r="AF172" s="43"/>
      <c r="AG172" s="43"/>
      <c r="AH172" s="43"/>
      <c r="AI172" s="43"/>
      <c r="AJ172" s="43"/>
    </row>
    <row r="173">
      <c r="A173" s="46" t="s">
        <v>44</v>
      </c>
      <c r="B173" s="47" t="s">
        <v>2133</v>
      </c>
      <c r="C173" s="50">
        <f>COUNTIF(develop!F173:F980,B173)</f>
        <v>11</v>
      </c>
      <c r="D173" s="51" t="s">
        <v>1417</v>
      </c>
      <c r="E173" s="47" t="s">
        <v>2143</v>
      </c>
      <c r="F173" s="51" t="s">
        <v>2144</v>
      </c>
      <c r="G173" s="53" t="str">
        <f t="shared" si="1"/>
        <v>mx-api-bc-rec-customer-management</v>
      </c>
      <c r="H173" s="54" t="str">
        <f t="shared" si="2"/>
        <v>https://anypoint.mulesoft.com/exchange/834f46f4-ef08-4c50-81ae-56f917b413cc/mx-api-bc-rec-customer-management</v>
      </c>
      <c r="I173" s="59" t="s">
        <v>1599</v>
      </c>
      <c r="J173" s="57" t="str">
        <f t="shared" si="11"/>
        <v>mx-ms-bc-rec-customer-management-apigee</v>
      </c>
      <c r="K173" s="55" t="s">
        <v>1423</v>
      </c>
      <c r="L173" s="57" t="str">
        <f>IFERROR(__xludf.DUMMYFUNCTION("REGEXREPLACE(REGEXREPLACE(REGEXREPLACE(J173, ""mx-ms-bc-"", """"), ""-mule"", ""-api-dev""), ""-apigee"", ""-api-dev"")"),"rec-customer-management-api-dev")</f>
        <v>rec-customer-management-api-dev</v>
      </c>
      <c r="M173" s="57" t="str">
        <f t="shared" si="12"/>
        <v>mx-ms-bc-rec-customer-management-apigee</v>
      </c>
      <c r="N173" s="55" t="str">
        <f t="shared" si="5"/>
        <v>Valid</v>
      </c>
      <c r="O173" s="59">
        <f t="shared" si="6"/>
        <v>39</v>
      </c>
      <c r="P173" s="59"/>
      <c r="Q173" s="59"/>
      <c r="R173" s="60"/>
      <c r="S173" s="60"/>
      <c r="T173" s="60"/>
      <c r="U173" s="60"/>
      <c r="V173" s="60"/>
      <c r="W173" s="60"/>
      <c r="X173" s="60"/>
      <c r="Y173" s="60"/>
      <c r="Z173" s="60"/>
      <c r="AA173" s="60"/>
      <c r="AB173" s="60"/>
      <c r="AC173" s="60"/>
      <c r="AD173" s="60"/>
      <c r="AE173" s="60"/>
      <c r="AF173" s="60"/>
      <c r="AG173" s="60"/>
      <c r="AH173" s="60"/>
      <c r="AI173" s="60"/>
      <c r="AJ173" s="60"/>
    </row>
    <row r="174">
      <c r="A174" s="27" t="s">
        <v>44</v>
      </c>
      <c r="B174" s="28" t="s">
        <v>2204</v>
      </c>
      <c r="C174" s="33">
        <f>COUNTIF(develop!F174:F980,B174)</f>
        <v>2</v>
      </c>
      <c r="D174" s="34" t="s">
        <v>1417</v>
      </c>
      <c r="E174" s="28" t="s">
        <v>2220</v>
      </c>
      <c r="F174" s="34" t="s">
        <v>2224</v>
      </c>
      <c r="G174" s="35" t="str">
        <f t="shared" si="1"/>
        <v>mx-api-bc-rec-operational-services</v>
      </c>
      <c r="H174" s="37" t="str">
        <f t="shared" si="2"/>
        <v>https://anypoint.mulesoft.com/exchange/834f46f4-ef08-4c50-81ae-56f917b413cc/mx-api-bc-rec-operational-services</v>
      </c>
      <c r="I174" s="42" t="s">
        <v>122</v>
      </c>
      <c r="J174" s="41" t="str">
        <f t="shared" si="11"/>
        <v>mx-ms-bc-rec-operational-services-apigee</v>
      </c>
      <c r="K174" s="39" t="s">
        <v>1423</v>
      </c>
      <c r="L174" s="41" t="str">
        <f>IFERROR(__xludf.DUMMYFUNCTION("REGEXREPLACE(REGEXREPLACE(REGEXREPLACE(J174, ""mx-ms-bc-"", """"), ""-mule"", ""-api-dev""), ""-apigee"", ""-api-dev"")"),"rec-operational-services-api-dev")</f>
        <v>rec-operational-services-api-dev</v>
      </c>
      <c r="M174" s="41" t="str">
        <f t="shared" si="12"/>
        <v>mx-ms-bc-rec-operational-services-apigee</v>
      </c>
      <c r="N174" s="39" t="str">
        <f t="shared" si="5"/>
        <v>Valid</v>
      </c>
      <c r="O174" s="42">
        <f t="shared" si="6"/>
        <v>40</v>
      </c>
      <c r="P174" s="42"/>
      <c r="Q174" s="42"/>
      <c r="R174" s="43"/>
      <c r="S174" s="43"/>
      <c r="T174" s="43"/>
      <c r="U174" s="43"/>
      <c r="V174" s="43"/>
      <c r="W174" s="43"/>
      <c r="X174" s="43"/>
      <c r="Y174" s="43"/>
      <c r="Z174" s="43"/>
      <c r="AA174" s="43"/>
      <c r="AB174" s="43"/>
      <c r="AC174" s="43"/>
      <c r="AD174" s="43"/>
      <c r="AE174" s="43"/>
      <c r="AF174" s="43"/>
      <c r="AG174" s="43"/>
      <c r="AH174" s="43"/>
      <c r="AI174" s="43"/>
      <c r="AJ174" s="43"/>
    </row>
    <row r="175">
      <c r="A175" s="46" t="s">
        <v>44</v>
      </c>
      <c r="B175" s="100" t="s">
        <v>2295</v>
      </c>
      <c r="C175" s="50">
        <f>COUNTIF(develop!F175:F980,B175)</f>
        <v>3</v>
      </c>
      <c r="D175" s="51" t="s">
        <v>42</v>
      </c>
      <c r="E175" s="47" t="s">
        <v>2312</v>
      </c>
      <c r="F175" s="51" t="s">
        <v>2314</v>
      </c>
      <c r="G175" s="53" t="str">
        <f t="shared" si="1"/>
        <v>mx-api-bc-bus-payments</v>
      </c>
      <c r="H175" s="54" t="str">
        <f t="shared" si="2"/>
        <v>https://anypoint.mulesoft.com/exchange/834f46f4-ef08-4c50-81ae-56f917b413cc/mx-api-bc-bus-payments</v>
      </c>
      <c r="I175" s="59" t="s">
        <v>1249</v>
      </c>
      <c r="J175" s="57" t="str">
        <f t="shared" si="11"/>
        <v>mx-ms-bc-bus-payments-mule</v>
      </c>
      <c r="K175" s="55" t="s">
        <v>58</v>
      </c>
      <c r="L175" s="57" t="str">
        <f>IFERROR(__xludf.DUMMYFUNCTION("REGEXREPLACE(REGEXREPLACE(REGEXREPLACE(J175, ""mx-ms-bc-"", """"), ""-mule"", ""-api-dev""), ""-apigee"", ""-api-dev"")"),"bus-payments-api-dev")</f>
        <v>bus-payments-api-dev</v>
      </c>
      <c r="M175" s="57" t="str">
        <f t="shared" si="12"/>
        <v>bus-payments-api-dev</v>
      </c>
      <c r="N175" s="55" t="str">
        <f t="shared" si="5"/>
        <v>Valid</v>
      </c>
      <c r="O175" s="59">
        <f t="shared" si="6"/>
        <v>20</v>
      </c>
      <c r="P175" s="59"/>
      <c r="Q175" s="59"/>
      <c r="R175" s="60"/>
      <c r="S175" s="60"/>
      <c r="T175" s="60"/>
      <c r="U175" s="60"/>
      <c r="V175" s="60"/>
      <c r="W175" s="60"/>
      <c r="X175" s="60"/>
      <c r="Y175" s="60"/>
      <c r="Z175" s="60"/>
      <c r="AA175" s="60"/>
      <c r="AB175" s="60"/>
      <c r="AC175" s="60"/>
      <c r="AD175" s="60"/>
      <c r="AE175" s="60"/>
      <c r="AF175" s="60"/>
      <c r="AG175" s="60"/>
      <c r="AH175" s="60"/>
      <c r="AI175" s="60"/>
      <c r="AJ175" s="60"/>
    </row>
    <row r="176">
      <c r="A176" s="27" t="s">
        <v>44</v>
      </c>
      <c r="B176" s="101" t="s">
        <v>2365</v>
      </c>
      <c r="C176" s="33">
        <f>COUNTIF(develop!F176:F980,B176)</f>
        <v>1</v>
      </c>
      <c r="D176" s="34" t="s">
        <v>42</v>
      </c>
      <c r="E176" s="28" t="s">
        <v>2384</v>
      </c>
      <c r="F176" s="34" t="s">
        <v>2388</v>
      </c>
      <c r="G176" s="35" t="str">
        <f t="shared" si="1"/>
        <v>mx-api-bc-bus-product-specific-fulfillment</v>
      </c>
      <c r="H176" s="37" t="str">
        <f t="shared" si="2"/>
        <v>https://anypoint.mulesoft.com/exchange/834f46f4-ef08-4c50-81ae-56f917b413cc/mx-api-bc-bus-product-specific-fulfillment</v>
      </c>
      <c r="I176" s="42" t="s">
        <v>122</v>
      </c>
      <c r="J176" s="41" t="str">
        <f t="shared" si="11"/>
        <v>mx-ms-bc-bus-product-specific-fulfillment-mule</v>
      </c>
      <c r="K176" s="39" t="s">
        <v>58</v>
      </c>
      <c r="L176" s="41" t="str">
        <f>IFERROR(__xludf.DUMMYFUNCTION("REGEXREPLACE(REGEXREPLACE(REGEXREPLACE(J176, ""mx-ms-bc-"", """"), ""-mule"", ""-api-dev""), ""-apigee"", ""-api-dev"")"),"bus-product-specific-fulfillment-api-dev")</f>
        <v>bus-product-specific-fulfillment-api-dev</v>
      </c>
      <c r="M176" s="41" t="str">
        <f t="shared" si="12"/>
        <v>bus-product-specific-fulfillment-api-dev</v>
      </c>
      <c r="N176" s="39" t="str">
        <f t="shared" si="5"/>
        <v>Valid</v>
      </c>
      <c r="O176" s="42">
        <f t="shared" si="6"/>
        <v>40</v>
      </c>
      <c r="P176" s="42"/>
      <c r="Q176" s="42"/>
      <c r="R176" s="43"/>
      <c r="S176" s="43"/>
      <c r="T176" s="43"/>
      <c r="U176" s="43"/>
      <c r="V176" s="43"/>
      <c r="W176" s="43"/>
      <c r="X176" s="43"/>
      <c r="Y176" s="43"/>
      <c r="Z176" s="43"/>
      <c r="AA176" s="43"/>
      <c r="AB176" s="43"/>
      <c r="AC176" s="43"/>
      <c r="AD176" s="43"/>
      <c r="AE176" s="43"/>
      <c r="AF176" s="43"/>
      <c r="AG176" s="43"/>
      <c r="AH176" s="43"/>
      <c r="AI176" s="43"/>
      <c r="AJ176" s="43"/>
    </row>
    <row r="177">
      <c r="A177" s="46" t="s">
        <v>44</v>
      </c>
      <c r="B177" s="100" t="s">
        <v>2449</v>
      </c>
      <c r="C177" s="50">
        <f>COUNTIF(develop!F177:F980,B177)</f>
        <v>1</v>
      </c>
      <c r="D177" s="51" t="s">
        <v>119</v>
      </c>
      <c r="E177" s="47" t="s">
        <v>2464</v>
      </c>
      <c r="F177" s="51" t="s">
        <v>2468</v>
      </c>
      <c r="G177" s="53" t="str">
        <f t="shared" si="1"/>
        <v>mx-api-bc-dom-card-transaction-switch</v>
      </c>
      <c r="H177" s="54" t="str">
        <f t="shared" si="2"/>
        <v>https://anypoint.mulesoft.com/exchange/834f46f4-ef08-4c50-81ae-56f917b413cc/mx-api-bc-dom-card-transaction-switch</v>
      </c>
      <c r="I177" s="59" t="s">
        <v>162</v>
      </c>
      <c r="J177" s="57" t="str">
        <f t="shared" si="11"/>
        <v>mx-ms-bc-dom-card-transaction-switch-mule</v>
      </c>
      <c r="K177" s="55" t="s">
        <v>58</v>
      </c>
      <c r="L177" s="57" t="str">
        <f>IFERROR(__xludf.DUMMYFUNCTION("REGEXREPLACE(REGEXREPLACE(REGEXREPLACE(J177, ""mx-ms-bc-"", """"), ""-mule"", ""-api-dev""), ""-apigee"", ""-api-dev"")"),"dom-card-transaction-switch-api-dev")</f>
        <v>dom-card-transaction-switch-api-dev</v>
      </c>
      <c r="M177" s="57" t="str">
        <f t="shared" si="12"/>
        <v>dom-card-transaction-switch-api-dev</v>
      </c>
      <c r="N177" s="55" t="str">
        <f t="shared" si="5"/>
        <v>Valid</v>
      </c>
      <c r="O177" s="59">
        <f t="shared" si="6"/>
        <v>35</v>
      </c>
      <c r="P177" s="59"/>
      <c r="Q177" s="59"/>
      <c r="R177" s="60"/>
      <c r="S177" s="60"/>
      <c r="T177" s="60"/>
      <c r="U177" s="60"/>
      <c r="V177" s="60"/>
      <c r="W177" s="60"/>
      <c r="X177" s="60"/>
      <c r="Y177" s="60"/>
      <c r="Z177" s="60"/>
      <c r="AA177" s="60"/>
      <c r="AB177" s="60"/>
      <c r="AC177" s="60"/>
      <c r="AD177" s="60"/>
      <c r="AE177" s="60"/>
      <c r="AF177" s="60"/>
      <c r="AG177" s="60"/>
      <c r="AH177" s="60"/>
      <c r="AI177" s="60"/>
      <c r="AJ177" s="60"/>
    </row>
    <row r="178">
      <c r="A178" s="27" t="s">
        <v>44</v>
      </c>
      <c r="B178" s="101" t="s">
        <v>2515</v>
      </c>
      <c r="C178" s="33">
        <f>COUNTIF(develop!F178:F980,B178)</f>
        <v>1</v>
      </c>
      <c r="D178" s="34" t="s">
        <v>811</v>
      </c>
      <c r="E178" s="28" t="s">
        <v>2523</v>
      </c>
      <c r="F178" s="34" t="s">
        <v>2525</v>
      </c>
      <c r="G178" s="35" t="str">
        <f t="shared" si="1"/>
        <v>mx-api-bc-pro-card-transaction-switch</v>
      </c>
      <c r="H178" s="37" t="str">
        <f t="shared" si="2"/>
        <v>https://anypoint.mulesoft.com/exchange/834f46f4-ef08-4c50-81ae-56f917b413cc/mx-api-bc-pro-card-transaction-switch</v>
      </c>
      <c r="I178" s="42" t="s">
        <v>162</v>
      </c>
      <c r="J178" s="41" t="str">
        <f t="shared" si="11"/>
        <v>mx-ms-bc-pro-card-transaction-switch</v>
      </c>
      <c r="K178" s="39" t="s">
        <v>816</v>
      </c>
      <c r="L178" s="41" t="str">
        <f>IFERROR(__xludf.DUMMYFUNCTION("REGEXREPLACE(REGEXREPLACE(REGEXREPLACE(J178, ""mx-ms-bc-"", """"), ""-mule"", ""-api-dev""), ""-apigee"", ""-api-dev"")"),"pro-card-transaction-switch")</f>
        <v>pro-card-transaction-switch</v>
      </c>
      <c r="M178" s="41" t="str">
        <f t="shared" si="12"/>
        <v>mx-ms-bc-pro-card-transaction-switch</v>
      </c>
      <c r="N178" s="39" t="str">
        <f t="shared" si="5"/>
        <v>Valid</v>
      </c>
      <c r="O178" s="42">
        <f t="shared" si="6"/>
        <v>36</v>
      </c>
      <c r="P178" s="42"/>
      <c r="Q178" s="42"/>
      <c r="R178" s="43"/>
      <c r="S178" s="43"/>
      <c r="T178" s="43"/>
      <c r="U178" s="43"/>
      <c r="V178" s="43"/>
      <c r="W178" s="43"/>
      <c r="X178" s="43"/>
      <c r="Y178" s="43"/>
      <c r="Z178" s="43"/>
      <c r="AA178" s="43"/>
      <c r="AB178" s="43"/>
      <c r="AC178" s="43"/>
      <c r="AD178" s="43"/>
      <c r="AE178" s="43"/>
      <c r="AF178" s="43"/>
      <c r="AG178" s="43"/>
      <c r="AH178" s="43"/>
      <c r="AI178" s="43"/>
      <c r="AJ178" s="43"/>
    </row>
    <row r="179">
      <c r="A179" s="46" t="s">
        <v>44</v>
      </c>
      <c r="B179" s="100" t="s">
        <v>2568</v>
      </c>
      <c r="C179" s="50">
        <f>COUNTIF(develop!F179:F980,B179)</f>
        <v>3</v>
      </c>
      <c r="D179" s="51" t="s">
        <v>1417</v>
      </c>
      <c r="E179" s="47" t="s">
        <v>2581</v>
      </c>
      <c r="F179" s="51" t="s">
        <v>2584</v>
      </c>
      <c r="G179" s="53" t="str">
        <f t="shared" si="1"/>
        <v>mx-api-bc-rec-payments</v>
      </c>
      <c r="H179" s="54" t="str">
        <f t="shared" si="2"/>
        <v>https://anypoint.mulesoft.com/exchange/834f46f4-ef08-4c50-81ae-56f917b413cc/mx-api-bc-rec-payments</v>
      </c>
      <c r="I179" s="59" t="s">
        <v>1249</v>
      </c>
      <c r="J179" s="57" t="str">
        <f t="shared" si="11"/>
        <v>mx-ms-bc-rec-payments-apigee</v>
      </c>
      <c r="K179" s="55" t="s">
        <v>1423</v>
      </c>
      <c r="L179" s="57" t="str">
        <f>IFERROR(__xludf.DUMMYFUNCTION("REGEXREPLACE(REGEXREPLACE(REGEXREPLACE(J179, ""mx-ms-bc-"", """"), ""-mule"", ""-api-dev""), ""-apigee"", ""-api-dev"")"),"rec-payments-api-dev")</f>
        <v>rec-payments-api-dev</v>
      </c>
      <c r="M179" s="57" t="str">
        <f t="shared" si="12"/>
        <v>mx-ms-bc-rec-payments-apigee</v>
      </c>
      <c r="N179" s="55" t="str">
        <f t="shared" si="5"/>
        <v>Valid</v>
      </c>
      <c r="O179" s="59">
        <f t="shared" si="6"/>
        <v>28</v>
      </c>
      <c r="P179" s="59"/>
      <c r="Q179" s="59"/>
      <c r="R179" s="60"/>
      <c r="S179" s="60"/>
      <c r="T179" s="60"/>
      <c r="U179" s="60"/>
      <c r="V179" s="60"/>
      <c r="W179" s="60"/>
      <c r="X179" s="60"/>
      <c r="Y179" s="60"/>
      <c r="Z179" s="60"/>
      <c r="AA179" s="60"/>
      <c r="AB179" s="60"/>
      <c r="AC179" s="60"/>
      <c r="AD179" s="60"/>
      <c r="AE179" s="60"/>
      <c r="AF179" s="60"/>
      <c r="AG179" s="60"/>
      <c r="AH179" s="60"/>
      <c r="AI179" s="60"/>
      <c r="AJ179" s="60"/>
    </row>
    <row r="180">
      <c r="A180" s="27" t="s">
        <v>44</v>
      </c>
      <c r="B180" s="101" t="s">
        <v>2607</v>
      </c>
      <c r="C180" s="33">
        <f>COUNTIF(develop!F180:F980,B180)</f>
        <v>1</v>
      </c>
      <c r="D180" s="34" t="s">
        <v>1417</v>
      </c>
      <c r="E180" s="28" t="s">
        <v>2610</v>
      </c>
      <c r="F180" s="34" t="s">
        <v>2611</v>
      </c>
      <c r="G180" s="35" t="str">
        <f t="shared" si="1"/>
        <v>mx-api-bc-rec-product-specific-fulfillment</v>
      </c>
      <c r="H180" s="37" t="str">
        <f t="shared" si="2"/>
        <v>https://anypoint.mulesoft.com/exchange/834f46f4-ef08-4c50-81ae-56f917b413cc/mx-api-bc-rec-product-specific-fulfillment</v>
      </c>
      <c r="I180" s="42" t="s">
        <v>122</v>
      </c>
      <c r="J180" s="41" t="str">
        <f t="shared" si="11"/>
        <v>mx-ms-bc-rec-product-specific-fulfillment-apigee</v>
      </c>
      <c r="K180" s="39" t="s">
        <v>1423</v>
      </c>
      <c r="L180" s="41" t="str">
        <f>IFERROR(__xludf.DUMMYFUNCTION("REGEXREPLACE(REGEXREPLACE(REGEXREPLACE(J180, ""mx-ms-bc-"", """"), ""-mule"", ""-api-dev""), ""-apigee"", ""-api-dev"")"),"rec-product-specific-fulfillment-api-dev")</f>
        <v>rec-product-specific-fulfillment-api-dev</v>
      </c>
      <c r="M180" s="41" t="str">
        <f t="shared" si="12"/>
        <v>mx-ms-bc-rec-product-specific-fulfillment-apigee</v>
      </c>
      <c r="N180" s="39" t="str">
        <f t="shared" si="5"/>
        <v>Valid</v>
      </c>
      <c r="O180" s="42">
        <f t="shared" si="6"/>
        <v>48</v>
      </c>
      <c r="P180" s="42"/>
      <c r="Q180" s="42"/>
      <c r="R180" s="43"/>
      <c r="S180" s="43"/>
      <c r="T180" s="43"/>
      <c r="U180" s="43"/>
      <c r="V180" s="43"/>
      <c r="W180" s="43"/>
      <c r="X180" s="43"/>
      <c r="Y180" s="43"/>
      <c r="Z180" s="43"/>
      <c r="AA180" s="43"/>
      <c r="AB180" s="43"/>
      <c r="AC180" s="43"/>
      <c r="AD180" s="43"/>
      <c r="AE180" s="43"/>
      <c r="AF180" s="43"/>
      <c r="AG180" s="43"/>
      <c r="AH180" s="43"/>
      <c r="AI180" s="43"/>
      <c r="AJ180" s="43"/>
    </row>
    <row r="181">
      <c r="A181" s="46" t="s">
        <v>44</v>
      </c>
      <c r="B181" s="100" t="s">
        <v>2616</v>
      </c>
      <c r="C181" s="50">
        <f>COUNTIF(develop!F181:F980,B181)</f>
        <v>4</v>
      </c>
      <c r="D181" s="51" t="s">
        <v>2617</v>
      </c>
      <c r="E181" s="47" t="s">
        <v>2618</v>
      </c>
      <c r="F181" s="51" t="s">
        <v>2619</v>
      </c>
      <c r="G181" s="53" t="str">
        <f t="shared" si="1"/>
        <v>mx-api-bc-br-customer-product-and-service-eligibility</v>
      </c>
      <c r="H181" s="54" t="str">
        <f t="shared" si="2"/>
        <v>https://anypoint.mulesoft.com/exchange/834f46f4-ef08-4c50-81ae-56f917b413cc/mx-api-bc-br-customer-product-and-service-eligibility</v>
      </c>
      <c r="I181" s="59" t="s">
        <v>162</v>
      </c>
      <c r="J181" s="57" t="str">
        <f t="shared" si="11"/>
        <v>mx-ms-bc-br-customer-product-and-service-eligibility-apigee</v>
      </c>
      <c r="K181" s="55" t="s">
        <v>2622</v>
      </c>
      <c r="L181" s="57" t="str">
        <f>IFERROR(__xludf.DUMMYFUNCTION("REGEXREPLACE(REGEXREPLACE(REGEXREPLACE(J181, ""mx-ms-bc-"", """"), ""-mule"", ""-api-dev""), ""-apigee"", ""-api-dev"")"),"br-customer-product-and-service-eligibility-api-dev")</f>
        <v>br-customer-product-and-service-eligibility-api-dev</v>
      </c>
      <c r="M181" s="57" t="str">
        <f t="shared" si="12"/>
        <v>mx-ms-bc-br-customer-product-and-service-eligibility-apigee</v>
      </c>
      <c r="N181" s="55" t="str">
        <f t="shared" si="5"/>
        <v>Valid</v>
      </c>
      <c r="O181" s="59">
        <f t="shared" si="6"/>
        <v>59</v>
      </c>
      <c r="P181" s="59"/>
      <c r="Q181" s="59"/>
      <c r="R181" s="60"/>
      <c r="S181" s="60"/>
      <c r="T181" s="60"/>
      <c r="U181" s="60"/>
      <c r="V181" s="60"/>
      <c r="W181" s="60"/>
      <c r="X181" s="60"/>
      <c r="Y181" s="60"/>
      <c r="Z181" s="60"/>
      <c r="AA181" s="60"/>
      <c r="AB181" s="60"/>
      <c r="AC181" s="60"/>
      <c r="AD181" s="60"/>
      <c r="AE181" s="60"/>
      <c r="AF181" s="60"/>
      <c r="AG181" s="60"/>
      <c r="AH181" s="60"/>
      <c r="AI181" s="60"/>
      <c r="AJ181" s="60"/>
    </row>
    <row r="182">
      <c r="A182" s="27" t="s">
        <v>44</v>
      </c>
      <c r="B182" s="101" t="s">
        <v>2623</v>
      </c>
      <c r="C182" s="33">
        <f>COUNTIF(develop!F182:F980,B182)</f>
        <v>3</v>
      </c>
      <c r="D182" s="34" t="s">
        <v>2617</v>
      </c>
      <c r="E182" s="28" t="s">
        <v>2626</v>
      </c>
      <c r="F182" s="34" t="s">
        <v>2627</v>
      </c>
      <c r="G182" s="35" t="str">
        <f t="shared" si="1"/>
        <v>mx-api-bc-br-location-data-management</v>
      </c>
      <c r="H182" s="37" t="str">
        <f t="shared" si="2"/>
        <v>https://anypoint.mulesoft.com/exchange/834f46f4-ef08-4c50-81ae-56f917b413cc/mx-api-bc-br-location-data-management</v>
      </c>
      <c r="I182" s="42" t="s">
        <v>162</v>
      </c>
      <c r="J182" s="41" t="str">
        <f t="shared" si="11"/>
        <v>mx-ms-bc-br-location-data-management-apigee</v>
      </c>
      <c r="K182" s="39" t="s">
        <v>2622</v>
      </c>
      <c r="L182" s="41" t="str">
        <f>IFERROR(__xludf.DUMMYFUNCTION("REGEXREPLACE(REGEXREPLACE(REGEXREPLACE(J182, ""mx-ms-bc-"", """"), ""-mule"", ""-api-dev""), ""-apigee"", ""-api-dev"")"),"br-location-data-management-api-dev")</f>
        <v>br-location-data-management-api-dev</v>
      </c>
      <c r="M182" s="41" t="str">
        <f t="shared" si="12"/>
        <v>mx-ms-bc-br-location-data-management-apigee</v>
      </c>
      <c r="N182" s="39" t="str">
        <f t="shared" si="5"/>
        <v>Valid</v>
      </c>
      <c r="O182" s="42">
        <f t="shared" si="6"/>
        <v>43</v>
      </c>
      <c r="P182" s="42"/>
      <c r="Q182" s="42"/>
      <c r="R182" s="43"/>
      <c r="S182" s="43"/>
      <c r="T182" s="43"/>
      <c r="U182" s="43"/>
      <c r="V182" s="43"/>
      <c r="W182" s="43"/>
      <c r="X182" s="43"/>
      <c r="Y182" s="43"/>
      <c r="Z182" s="43"/>
      <c r="AA182" s="43"/>
      <c r="AB182" s="43"/>
      <c r="AC182" s="43"/>
      <c r="AD182" s="43"/>
      <c r="AE182" s="43"/>
      <c r="AF182" s="43"/>
      <c r="AG182" s="43"/>
      <c r="AH182" s="43"/>
      <c r="AI182" s="43"/>
      <c r="AJ182" s="43"/>
    </row>
    <row r="183">
      <c r="A183" s="46" t="s">
        <v>44</v>
      </c>
      <c r="B183" s="100" t="s">
        <v>2630</v>
      </c>
      <c r="C183" s="50">
        <f>COUNTIF(develop!F183:F980,B183)</f>
        <v>3</v>
      </c>
      <c r="D183" s="51" t="s">
        <v>2617</v>
      </c>
      <c r="E183" s="47" t="s">
        <v>2632</v>
      </c>
      <c r="F183" s="51" t="s">
        <v>2633</v>
      </c>
      <c r="G183" s="53" t="str">
        <f t="shared" si="1"/>
        <v>mx-api-bc-br-party-reference-data-directory</v>
      </c>
      <c r="H183" s="54" t="str">
        <f t="shared" si="2"/>
        <v>https://anypoint.mulesoft.com/exchange/834f46f4-ef08-4c50-81ae-56f917b413cc/mx-api-bc-br-party-reference-data-directory</v>
      </c>
      <c r="I183" s="59" t="s">
        <v>122</v>
      </c>
      <c r="J183" s="57" t="str">
        <f t="shared" si="11"/>
        <v>mx-ms-bc-br-party-reference-data-directory-apigee</v>
      </c>
      <c r="K183" s="55" t="s">
        <v>2622</v>
      </c>
      <c r="L183" s="76" t="str">
        <f>IFERROR(__xludf.DUMMYFUNCTION("REGEXREPLACE(REGEXREPLACE(REGEXREPLACE(J183, ""mx-ms-bc-"", """"), ""-mule"", ""-api-dev""), ""-apigee"", ""-api-dev"")"),"br-party-reference-data-directory-api-dev")</f>
        <v>br-party-reference-data-directory-api-dev</v>
      </c>
      <c r="M183" s="57" t="str">
        <f t="shared" si="12"/>
        <v>mx-ms-bc-br-party-reference-data-directory-apigee</v>
      </c>
      <c r="N183" s="55" t="str">
        <f t="shared" si="5"/>
        <v>Valid</v>
      </c>
      <c r="O183" s="59">
        <f t="shared" si="6"/>
        <v>49</v>
      </c>
      <c r="P183" s="59"/>
      <c r="Q183" s="59"/>
      <c r="R183" s="60"/>
      <c r="S183" s="60"/>
      <c r="T183" s="60"/>
      <c r="U183" s="60"/>
      <c r="V183" s="60"/>
      <c r="W183" s="60"/>
      <c r="X183" s="60"/>
      <c r="Y183" s="60"/>
      <c r="Z183" s="60"/>
      <c r="AA183" s="60"/>
      <c r="AB183" s="60"/>
      <c r="AC183" s="60"/>
      <c r="AD183" s="60"/>
      <c r="AE183" s="60"/>
      <c r="AF183" s="60"/>
      <c r="AG183" s="60"/>
      <c r="AH183" s="60"/>
      <c r="AI183" s="60"/>
      <c r="AJ183" s="60"/>
    </row>
    <row r="184">
      <c r="A184" s="27" t="s">
        <v>1827</v>
      </c>
      <c r="B184" s="103" t="s">
        <v>2636</v>
      </c>
      <c r="C184" s="33">
        <f>COUNTIF(develop!F184:F980,B184)</f>
        <v>18</v>
      </c>
      <c r="D184" s="34" t="s">
        <v>119</v>
      </c>
      <c r="E184" s="104" t="s">
        <v>2638</v>
      </c>
      <c r="F184" s="34" t="s">
        <v>2639</v>
      </c>
      <c r="G184" s="35" t="str">
        <f t="shared" si="1"/>
        <v>mx-api-bc-dom-party-ref-dat-dir-corp</v>
      </c>
      <c r="H184" s="37" t="str">
        <f t="shared" si="2"/>
        <v>https://anypoint.mulesoft.com/exchange/834f46f4-ef08-4c50-81ae-56f917b413cc/mx-api-bc-dom-party-ref-dat-dir-corp</v>
      </c>
      <c r="I184" s="42" t="s">
        <v>2640</v>
      </c>
      <c r="J184" s="41" t="str">
        <f t="shared" si="11"/>
        <v>mx-ms-bc-dom-party-ref-dat-dir-corp-mule</v>
      </c>
      <c r="K184" s="39" t="s">
        <v>58</v>
      </c>
      <c r="L184" s="99"/>
      <c r="M184" s="41" t="str">
        <f t="shared" si="12"/>
        <v>dom-party-ref-dat-dir-corp-api-dev</v>
      </c>
      <c r="N184" s="39" t="str">
        <f t="shared" si="5"/>
        <v>Valid</v>
      </c>
      <c r="O184" s="42">
        <f t="shared" si="6"/>
        <v>34</v>
      </c>
      <c r="P184" s="98"/>
      <c r="Q184" s="98"/>
      <c r="R184" s="43"/>
      <c r="S184" s="43"/>
      <c r="T184" s="43"/>
      <c r="U184" s="43"/>
      <c r="V184" s="43"/>
      <c r="W184" s="43"/>
      <c r="X184" s="43"/>
      <c r="Y184" s="43"/>
      <c r="Z184" s="43"/>
      <c r="AA184" s="43"/>
      <c r="AB184" s="43"/>
      <c r="AC184" s="43"/>
      <c r="AD184" s="43"/>
      <c r="AE184" s="43"/>
      <c r="AF184" s="43"/>
      <c r="AG184" s="43"/>
      <c r="AH184" s="43"/>
      <c r="AI184" s="43"/>
      <c r="AJ184" s="43"/>
    </row>
    <row r="185">
      <c r="A185" s="46" t="s">
        <v>1827</v>
      </c>
      <c r="B185" s="105" t="s">
        <v>2644</v>
      </c>
      <c r="C185" s="50">
        <f>COUNTIF(develop!F185:F980,B185)</f>
        <v>25</v>
      </c>
      <c r="D185" s="51" t="s">
        <v>119</v>
      </c>
      <c r="E185" s="106" t="s">
        <v>2645</v>
      </c>
      <c r="F185" s="51" t="s">
        <v>2646</v>
      </c>
      <c r="G185" s="53" t="str">
        <f t="shared" si="1"/>
        <v>mx-api-bc-dom-iss-dev-admin-corp</v>
      </c>
      <c r="H185" s="54" t="str">
        <f t="shared" si="2"/>
        <v>https://anypoint.mulesoft.com/exchange/834f46f4-ef08-4c50-81ae-56f917b413cc/mx-api-bc-dom-iss-dev-admin-corp</v>
      </c>
      <c r="I185" s="59" t="s">
        <v>92</v>
      </c>
      <c r="J185" s="57" t="str">
        <f t="shared" si="11"/>
        <v>mx-ms-bc-dom-iss-dev-admin-corp-mule</v>
      </c>
      <c r="K185" s="55" t="s">
        <v>58</v>
      </c>
      <c r="L185" s="96"/>
      <c r="M185" s="57" t="str">
        <f t="shared" si="12"/>
        <v>dom-iss-dev-admin-corp-api-dev</v>
      </c>
      <c r="N185" s="55" t="str">
        <f t="shared" si="5"/>
        <v>Valid</v>
      </c>
      <c r="O185" s="59">
        <f t="shared" si="6"/>
        <v>30</v>
      </c>
      <c r="P185" s="95"/>
      <c r="Q185" s="95"/>
      <c r="R185" s="60"/>
      <c r="S185" s="60"/>
      <c r="T185" s="60"/>
      <c r="U185" s="60"/>
      <c r="V185" s="60"/>
      <c r="W185" s="60"/>
      <c r="X185" s="60"/>
      <c r="Y185" s="60"/>
      <c r="Z185" s="60"/>
      <c r="AA185" s="60"/>
      <c r="AB185" s="60"/>
      <c r="AC185" s="60"/>
      <c r="AD185" s="60"/>
      <c r="AE185" s="60"/>
      <c r="AF185" s="60"/>
      <c r="AG185" s="60"/>
      <c r="AH185" s="60"/>
      <c r="AI185" s="60"/>
      <c r="AJ185" s="60"/>
    </row>
    <row r="186">
      <c r="A186" s="27" t="s">
        <v>1827</v>
      </c>
      <c r="B186" s="103" t="s">
        <v>2649</v>
      </c>
      <c r="C186" s="33">
        <f>COUNTIF(develop!F186:F980,B186)</f>
        <v>20</v>
      </c>
      <c r="D186" s="34" t="s">
        <v>119</v>
      </c>
      <c r="E186" s="104" t="s">
        <v>2650</v>
      </c>
      <c r="F186" s="34" t="s">
        <v>2652</v>
      </c>
      <c r="G186" s="35" t="str">
        <f t="shared" si="1"/>
        <v>mx-api-bc-dom-pty-auth-corp</v>
      </c>
      <c r="H186" s="37" t="str">
        <f t="shared" si="2"/>
        <v>https://anypoint.mulesoft.com/exchange/834f46f4-ef08-4c50-81ae-56f917b413cc/mx-api-bc-dom-pty-auth-corp</v>
      </c>
      <c r="I186" s="42" t="s">
        <v>2654</v>
      </c>
      <c r="J186" s="41" t="str">
        <f t="shared" si="11"/>
        <v>mx-ms-bc-dom-pty-auth-corp-mule</v>
      </c>
      <c r="K186" s="39" t="s">
        <v>58</v>
      </c>
      <c r="L186" s="99"/>
      <c r="M186" s="41" t="str">
        <f t="shared" si="12"/>
        <v>dom-pty-auth-corp-api-dev</v>
      </c>
      <c r="N186" s="39" t="str">
        <f t="shared" si="5"/>
        <v>Valid</v>
      </c>
      <c r="O186" s="42">
        <f t="shared" si="6"/>
        <v>25</v>
      </c>
      <c r="P186" s="98"/>
      <c r="Q186" s="98"/>
      <c r="R186" s="43"/>
      <c r="S186" s="43"/>
      <c r="T186" s="43"/>
      <c r="U186" s="43"/>
      <c r="V186" s="43"/>
      <c r="W186" s="43"/>
      <c r="X186" s="43"/>
      <c r="Y186" s="43"/>
      <c r="Z186" s="43"/>
      <c r="AA186" s="43"/>
      <c r="AB186" s="43"/>
      <c r="AC186" s="43"/>
      <c r="AD186" s="43"/>
      <c r="AE186" s="43"/>
      <c r="AF186" s="43"/>
      <c r="AG186" s="43"/>
      <c r="AH186" s="43"/>
      <c r="AI186" s="43"/>
      <c r="AJ186" s="43"/>
    </row>
    <row r="187">
      <c r="A187" s="46" t="s">
        <v>1827</v>
      </c>
      <c r="B187" s="105" t="s">
        <v>2657</v>
      </c>
      <c r="C187" s="50">
        <f>COUNTIF(develop!F187:F980,B187)</f>
        <v>2</v>
      </c>
      <c r="D187" s="51" t="s">
        <v>119</v>
      </c>
      <c r="E187" s="106" t="s">
        <v>2658</v>
      </c>
      <c r="F187" s="51" t="s">
        <v>2659</v>
      </c>
      <c r="G187" s="53" t="str">
        <f t="shared" si="1"/>
        <v>mx-api-bc-dom-cust-prods-and-servs-corp</v>
      </c>
      <c r="H187" s="54" t="str">
        <f t="shared" si="2"/>
        <v>https://anypoint.mulesoft.com/exchange/834f46f4-ef08-4c50-81ae-56f917b413cc/mx-api-bc-dom-cust-prods-and-servs-corp</v>
      </c>
      <c r="I187" s="59" t="s">
        <v>2660</v>
      </c>
      <c r="J187" s="57" t="str">
        <f t="shared" si="11"/>
        <v>mx-ms-bc-dom-cust-prods-and-servs-corp-mule</v>
      </c>
      <c r="K187" s="55" t="s">
        <v>58</v>
      </c>
      <c r="L187" s="96"/>
      <c r="M187" s="57" t="str">
        <f t="shared" si="12"/>
        <v>dom-cust-prods-and-servs-corp-api-dev</v>
      </c>
      <c r="N187" s="55" t="str">
        <f t="shared" si="5"/>
        <v>Valid</v>
      </c>
      <c r="O187" s="59">
        <f t="shared" si="6"/>
        <v>37</v>
      </c>
      <c r="P187" s="95"/>
      <c r="Q187" s="95"/>
      <c r="R187" s="60"/>
      <c r="S187" s="60"/>
      <c r="T187" s="60"/>
      <c r="U187" s="60"/>
      <c r="V187" s="60"/>
      <c r="W187" s="60"/>
      <c r="X187" s="60"/>
      <c r="Y187" s="60"/>
      <c r="Z187" s="60"/>
      <c r="AA187" s="60"/>
      <c r="AB187" s="60"/>
      <c r="AC187" s="60"/>
      <c r="AD187" s="60"/>
      <c r="AE187" s="60"/>
      <c r="AF187" s="60"/>
      <c r="AG187" s="60"/>
      <c r="AH187" s="60"/>
      <c r="AI187" s="60"/>
      <c r="AJ187" s="60"/>
    </row>
    <row r="188">
      <c r="A188" s="27" t="s">
        <v>1827</v>
      </c>
      <c r="B188" s="103" t="s">
        <v>2664</v>
      </c>
      <c r="C188" s="33">
        <f>COUNTIF(develop!F188:F980,B188)</f>
        <v>17</v>
      </c>
      <c r="D188" s="34" t="s">
        <v>811</v>
      </c>
      <c r="E188" s="104" t="s">
        <v>2666</v>
      </c>
      <c r="F188" s="34" t="s">
        <v>2668</v>
      </c>
      <c r="G188" s="35" t="str">
        <f t="shared" si="1"/>
        <v>mx-api-bc-pro-party-ref-dat-dir-corp</v>
      </c>
      <c r="H188" s="37" t="str">
        <f t="shared" si="2"/>
        <v>https://anypoint.mulesoft.com/exchange/834f46f4-ef08-4c50-81ae-56f917b413cc/mx-api-bc-pro-party-ref-dat-dir-corp</v>
      </c>
      <c r="I188" s="98"/>
      <c r="J188" s="41" t="str">
        <f t="shared" si="11"/>
        <v>mx-ms-bc-pro-party-ref-dat-dir-corp</v>
      </c>
      <c r="K188" s="39" t="s">
        <v>816</v>
      </c>
      <c r="L188" s="99"/>
      <c r="M188" s="41" t="str">
        <f t="shared" si="12"/>
        <v>mx-ms-bc-pro-party-ref-dat-dir-corp</v>
      </c>
      <c r="N188" s="39" t="str">
        <f t="shared" si="5"/>
        <v>Valid</v>
      </c>
      <c r="O188" s="42">
        <f t="shared" si="6"/>
        <v>35</v>
      </c>
      <c r="P188" s="98"/>
      <c r="Q188" s="98"/>
      <c r="R188" s="43"/>
      <c r="S188" s="43"/>
      <c r="T188" s="43"/>
      <c r="U188" s="43"/>
      <c r="V188" s="43"/>
      <c r="W188" s="43"/>
      <c r="X188" s="43"/>
      <c r="Y188" s="43"/>
      <c r="Z188" s="43"/>
      <c r="AA188" s="43"/>
      <c r="AB188" s="43"/>
      <c r="AC188" s="43"/>
      <c r="AD188" s="43"/>
      <c r="AE188" s="43"/>
      <c r="AF188" s="43"/>
      <c r="AG188" s="43"/>
      <c r="AH188" s="43"/>
      <c r="AI188" s="43"/>
      <c r="AJ188" s="43"/>
    </row>
    <row r="189">
      <c r="A189" s="46" t="s">
        <v>1827</v>
      </c>
      <c r="B189" s="105" t="s">
        <v>2673</v>
      </c>
      <c r="C189" s="50">
        <f>COUNTIF(develop!F189:F980,B189)</f>
        <v>27</v>
      </c>
      <c r="D189" s="51" t="s">
        <v>811</v>
      </c>
      <c r="E189" s="106" t="s">
        <v>2674</v>
      </c>
      <c r="F189" s="51" t="s">
        <v>2675</v>
      </c>
      <c r="G189" s="53" t="str">
        <f t="shared" si="1"/>
        <v>mx-api-bc-pro-iss-dev-admin-corp</v>
      </c>
      <c r="H189" s="54" t="str">
        <f t="shared" si="2"/>
        <v>https://anypoint.mulesoft.com/exchange/834f46f4-ef08-4c50-81ae-56f917b413cc/mx-api-bc-pro-iss-dev-admin-corp</v>
      </c>
      <c r="I189" s="59" t="s">
        <v>92</v>
      </c>
      <c r="J189" s="57" t="str">
        <f t="shared" si="11"/>
        <v>mx-ms-bc-pro-iss-dev-admin-corp</v>
      </c>
      <c r="K189" s="55" t="s">
        <v>816</v>
      </c>
      <c r="L189" s="96"/>
      <c r="M189" s="57" t="str">
        <f t="shared" si="12"/>
        <v>mx-ms-bc-pro-iss-dev-admin-corp</v>
      </c>
      <c r="N189" s="55" t="str">
        <f t="shared" si="5"/>
        <v>Valid</v>
      </c>
      <c r="O189" s="59">
        <f t="shared" si="6"/>
        <v>31</v>
      </c>
      <c r="P189" s="95"/>
      <c r="Q189" s="95"/>
      <c r="R189" s="60"/>
      <c r="S189" s="60"/>
      <c r="T189" s="60"/>
      <c r="U189" s="60"/>
      <c r="V189" s="60"/>
      <c r="W189" s="60"/>
      <c r="X189" s="60"/>
      <c r="Y189" s="60"/>
      <c r="Z189" s="60"/>
      <c r="AA189" s="60"/>
      <c r="AB189" s="60"/>
      <c r="AC189" s="60"/>
      <c r="AD189" s="60"/>
      <c r="AE189" s="60"/>
      <c r="AF189" s="60"/>
      <c r="AG189" s="60"/>
      <c r="AH189" s="60"/>
      <c r="AI189" s="60"/>
      <c r="AJ189" s="60"/>
    </row>
    <row r="190">
      <c r="A190" s="27" t="s">
        <v>1827</v>
      </c>
      <c r="B190" s="103" t="s">
        <v>2678</v>
      </c>
      <c r="C190" s="33">
        <f>COUNTIF(develop!F190:F980,B190)</f>
        <v>19</v>
      </c>
      <c r="D190" s="34" t="s">
        <v>811</v>
      </c>
      <c r="E190" s="104" t="s">
        <v>2681</v>
      </c>
      <c r="F190" s="34" t="s">
        <v>2682</v>
      </c>
      <c r="G190" s="35" t="str">
        <f t="shared" si="1"/>
        <v>mx-api-bc-pro-pty-auth-corp</v>
      </c>
      <c r="H190" s="37" t="str">
        <f t="shared" si="2"/>
        <v>https://anypoint.mulesoft.com/exchange/834f46f4-ef08-4c50-81ae-56f917b413cc/mx-api-bc-pro-pty-auth-corp</v>
      </c>
      <c r="I190" s="98"/>
      <c r="J190" s="41" t="str">
        <f t="shared" si="11"/>
        <v>mx-ms-bc-pro-pty-auth-corp</v>
      </c>
      <c r="K190" s="39" t="s">
        <v>816</v>
      </c>
      <c r="L190" s="99"/>
      <c r="M190" s="41" t="str">
        <f t="shared" si="12"/>
        <v>mx-ms-bc-pro-pty-auth-corp</v>
      </c>
      <c r="N190" s="39" t="str">
        <f t="shared" si="5"/>
        <v>Valid</v>
      </c>
      <c r="O190" s="42">
        <f t="shared" si="6"/>
        <v>26</v>
      </c>
      <c r="P190" s="98"/>
      <c r="Q190" s="98"/>
      <c r="R190" s="43"/>
      <c r="S190" s="43"/>
      <c r="T190" s="43"/>
      <c r="U190" s="43"/>
      <c r="V190" s="43"/>
      <c r="W190" s="43"/>
      <c r="X190" s="43"/>
      <c r="Y190" s="43"/>
      <c r="Z190" s="43"/>
      <c r="AA190" s="43"/>
      <c r="AB190" s="43"/>
      <c r="AC190" s="43"/>
      <c r="AD190" s="43"/>
      <c r="AE190" s="43"/>
      <c r="AF190" s="43"/>
      <c r="AG190" s="43"/>
      <c r="AH190" s="43"/>
      <c r="AI190" s="43"/>
      <c r="AJ190" s="43"/>
    </row>
    <row r="191">
      <c r="A191" s="46" t="s">
        <v>1827</v>
      </c>
      <c r="B191" s="105" t="s">
        <v>2686</v>
      </c>
      <c r="C191" s="50">
        <f>COUNTIF(develop!F191:F980,B191)</f>
        <v>2</v>
      </c>
      <c r="D191" s="51" t="s">
        <v>811</v>
      </c>
      <c r="E191" s="106" t="s">
        <v>2687</v>
      </c>
      <c r="F191" s="51" t="s">
        <v>2688</v>
      </c>
      <c r="G191" s="53" t="str">
        <f t="shared" si="1"/>
        <v>mx-api-bc-pro-cust-prods-and-servs-corp</v>
      </c>
      <c r="H191" s="54" t="str">
        <f t="shared" si="2"/>
        <v>https://anypoint.mulesoft.com/exchange/834f46f4-ef08-4c50-81ae-56f917b413cc/mx-api-bc-pro-cust-prods-and-servs-corp</v>
      </c>
      <c r="I191" s="59" t="s">
        <v>2660</v>
      </c>
      <c r="J191" s="57" t="str">
        <f t="shared" si="11"/>
        <v>mx-ms-bc-pro-cust-prods-and-servs-corp</v>
      </c>
      <c r="K191" s="55" t="s">
        <v>816</v>
      </c>
      <c r="L191" s="96"/>
      <c r="M191" s="57" t="str">
        <f t="shared" si="12"/>
        <v>mx-ms-bc-pro-cust-prods-and-servs-corp</v>
      </c>
      <c r="N191" s="55" t="str">
        <f t="shared" si="5"/>
        <v>Valid</v>
      </c>
      <c r="O191" s="59">
        <f t="shared" si="6"/>
        <v>38</v>
      </c>
      <c r="P191" s="95"/>
      <c r="Q191" s="95"/>
      <c r="R191" s="60"/>
      <c r="S191" s="60"/>
      <c r="T191" s="60"/>
      <c r="U191" s="60"/>
      <c r="V191" s="60"/>
      <c r="W191" s="60"/>
      <c r="X191" s="60"/>
      <c r="Y191" s="60"/>
      <c r="Z191" s="60"/>
      <c r="AA191" s="60"/>
      <c r="AB191" s="60"/>
      <c r="AC191" s="60"/>
      <c r="AD191" s="60"/>
      <c r="AE191" s="60"/>
      <c r="AF191" s="60"/>
      <c r="AG191" s="60"/>
      <c r="AH191" s="60"/>
      <c r="AI191" s="60"/>
      <c r="AJ191" s="60"/>
    </row>
    <row r="192">
      <c r="A192" s="27" t="s">
        <v>1827</v>
      </c>
      <c r="B192" s="103" t="s">
        <v>2691</v>
      </c>
      <c r="C192" s="33">
        <f>COUNTIF(develop!F192:F980,B192)</f>
        <v>12</v>
      </c>
      <c r="D192" s="34" t="s">
        <v>1417</v>
      </c>
      <c r="E192" s="104" t="s">
        <v>2692</v>
      </c>
      <c r="F192" s="34" t="s">
        <v>2693</v>
      </c>
      <c r="G192" s="35" t="str">
        <f t="shared" si="1"/>
        <v>mx-api-bc-rec-party-ref-dat-dir-corp</v>
      </c>
      <c r="H192" s="37" t="str">
        <f t="shared" si="2"/>
        <v>https://anypoint.mulesoft.com/exchange/834f46f4-ef08-4c50-81ae-56f917b413cc/mx-api-bc-rec-party-ref-dat-dir-corp</v>
      </c>
      <c r="I192" s="98"/>
      <c r="J192" s="41" t="str">
        <f t="shared" si="11"/>
        <v>mx-ms-bc-rec-party-ref-dat-dir-corp-apigee</v>
      </c>
      <c r="K192" s="39" t="s">
        <v>1423</v>
      </c>
      <c r="L192" s="99"/>
      <c r="M192" s="41" t="str">
        <f t="shared" si="12"/>
        <v>mx-ms-bc-rec-party-ref-dat-dir-corp-apigee</v>
      </c>
      <c r="N192" s="39" t="str">
        <f t="shared" si="5"/>
        <v>Valid</v>
      </c>
      <c r="O192" s="42">
        <f t="shared" si="6"/>
        <v>42</v>
      </c>
      <c r="P192" s="98"/>
      <c r="Q192" s="98"/>
      <c r="R192" s="43"/>
      <c r="S192" s="43"/>
      <c r="T192" s="43"/>
      <c r="U192" s="43"/>
      <c r="V192" s="43"/>
      <c r="W192" s="43"/>
      <c r="X192" s="43"/>
      <c r="Y192" s="43"/>
      <c r="Z192" s="43"/>
      <c r="AA192" s="43"/>
      <c r="AB192" s="43"/>
      <c r="AC192" s="43"/>
      <c r="AD192" s="43"/>
      <c r="AE192" s="43"/>
      <c r="AF192" s="43"/>
      <c r="AG192" s="43"/>
      <c r="AH192" s="43"/>
      <c r="AI192" s="43"/>
      <c r="AJ192" s="43"/>
    </row>
    <row r="193">
      <c r="A193" s="46" t="s">
        <v>1827</v>
      </c>
      <c r="B193" s="107" t="s">
        <v>2698</v>
      </c>
      <c r="C193" s="50">
        <f>COUNTIF(develop!F193:F980,B193)</f>
        <v>16</v>
      </c>
      <c r="D193" s="51" t="s">
        <v>1417</v>
      </c>
      <c r="E193" s="106" t="s">
        <v>2700</v>
      </c>
      <c r="F193" s="51" t="s">
        <v>2701</v>
      </c>
      <c r="G193" s="53" t="str">
        <f t="shared" si="1"/>
        <v>mx-api-bc-rec-iss-dev-admin-corp</v>
      </c>
      <c r="H193" s="54" t="str">
        <f t="shared" si="2"/>
        <v>https://anypoint.mulesoft.com/exchange/834f46f4-ef08-4c50-81ae-56f917b413cc/mx-api-bc-rec-iss-dev-admin-corp</v>
      </c>
      <c r="I193" s="95"/>
      <c r="J193" s="57" t="str">
        <f t="shared" si="11"/>
        <v>mx-ms-bc-rec-iss-dev-admin-corp-apigee</v>
      </c>
      <c r="K193" s="55" t="s">
        <v>1423</v>
      </c>
      <c r="L193" s="96"/>
      <c r="M193" s="57" t="str">
        <f t="shared" si="12"/>
        <v>mx-ms-bc-rec-iss-dev-admin-corp-apigee</v>
      </c>
      <c r="N193" s="55" t="str">
        <f>O225 validateAPIName(M193;D193)</f>
        <v>#ERROR!</v>
      </c>
      <c r="O193" s="59">
        <f t="shared" si="6"/>
        <v>38</v>
      </c>
      <c r="P193" s="95"/>
      <c r="Q193" s="95"/>
      <c r="R193" s="60"/>
      <c r="S193" s="60"/>
      <c r="T193" s="60"/>
      <c r="U193" s="60"/>
      <c r="V193" s="60"/>
      <c r="W193" s="60"/>
      <c r="X193" s="60"/>
      <c r="Y193" s="60"/>
      <c r="Z193" s="60"/>
      <c r="AA193" s="60"/>
      <c r="AB193" s="60"/>
      <c r="AC193" s="60"/>
      <c r="AD193" s="60"/>
      <c r="AE193" s="60"/>
      <c r="AF193" s="60"/>
      <c r="AG193" s="60"/>
      <c r="AH193" s="60"/>
      <c r="AI193" s="60"/>
      <c r="AJ193" s="60"/>
    </row>
    <row r="194">
      <c r="A194" s="27" t="s">
        <v>1827</v>
      </c>
      <c r="B194" s="103" t="s">
        <v>2736</v>
      </c>
      <c r="C194" s="33">
        <f>COUNTIF(develop!F194:F980,B194)</f>
        <v>10</v>
      </c>
      <c r="D194" s="34" t="s">
        <v>1417</v>
      </c>
      <c r="E194" s="108" t="s">
        <v>2742</v>
      </c>
      <c r="F194" s="34" t="s">
        <v>2746</v>
      </c>
      <c r="G194" s="35" t="str">
        <f t="shared" si="1"/>
        <v>mx-api-bc-rec-pty-auth-corp</v>
      </c>
      <c r="H194" s="37" t="str">
        <f t="shared" si="2"/>
        <v>https://anypoint.mulesoft.com/exchange/834f46f4-ef08-4c50-81ae-56f917b413cc/mx-api-bc-rec-pty-auth-corp</v>
      </c>
      <c r="I194" s="42" t="s">
        <v>1599</v>
      </c>
      <c r="J194" s="41" t="str">
        <f t="shared" si="11"/>
        <v>mx-ms-bc-rec-pty-auth-corp-apigee</v>
      </c>
      <c r="K194" s="39" t="s">
        <v>1423</v>
      </c>
      <c r="L194" s="99"/>
      <c r="M194" s="41" t="str">
        <f t="shared" si="12"/>
        <v>mx-ms-bc-rec-pty-auth-corp-apigee</v>
      </c>
      <c r="N194" s="39" t="str">
        <f t="shared" ref="N194:N273" si="13">validateAPIName(M194,D194)</f>
        <v>Valid</v>
      </c>
      <c r="O194" s="42">
        <f t="shared" si="6"/>
        <v>33</v>
      </c>
      <c r="P194" s="98"/>
      <c r="Q194" s="98"/>
      <c r="R194" s="43"/>
      <c r="S194" s="43"/>
      <c r="T194" s="43"/>
      <c r="U194" s="43"/>
      <c r="V194" s="43"/>
      <c r="W194" s="43"/>
      <c r="X194" s="43"/>
      <c r="Y194" s="43"/>
      <c r="Z194" s="43"/>
      <c r="AA194" s="43"/>
      <c r="AB194" s="43"/>
      <c r="AC194" s="43"/>
      <c r="AD194" s="43"/>
      <c r="AE194" s="43"/>
      <c r="AF194" s="43"/>
      <c r="AG194" s="43"/>
      <c r="AH194" s="43"/>
      <c r="AI194" s="43"/>
      <c r="AJ194" s="43"/>
    </row>
    <row r="195">
      <c r="A195" s="46" t="s">
        <v>1827</v>
      </c>
      <c r="B195" s="105" t="s">
        <v>2779</v>
      </c>
      <c r="C195" s="50">
        <f>COUNTIF(develop!F195:F980,B195)</f>
        <v>2</v>
      </c>
      <c r="D195" s="51" t="s">
        <v>1417</v>
      </c>
      <c r="E195" s="106" t="s">
        <v>2784</v>
      </c>
      <c r="F195" s="51" t="s">
        <v>2785</v>
      </c>
      <c r="G195" s="53" t="str">
        <f t="shared" si="1"/>
        <v>mx-api-bc-rec-cust-prods-and-servs-corp</v>
      </c>
      <c r="H195" s="54" t="str">
        <f t="shared" si="2"/>
        <v>https://anypoint.mulesoft.com/exchange/834f46f4-ef08-4c50-81ae-56f917b413cc/mx-api-bc-rec-cust-prods-and-servs-corp</v>
      </c>
      <c r="I195" s="95"/>
      <c r="J195" s="57" t="str">
        <f t="shared" si="11"/>
        <v>mx-ms-bc-rec-cust-prods-and-servs-corp-apigee</v>
      </c>
      <c r="K195" s="55" t="s">
        <v>1423</v>
      </c>
      <c r="L195" s="96"/>
      <c r="M195" s="57" t="str">
        <f t="shared" si="12"/>
        <v>mx-ms-bc-rec-cust-prods-and-servs-corp-apigee</v>
      </c>
      <c r="N195" s="55" t="str">
        <f t="shared" si="13"/>
        <v>Valid</v>
      </c>
      <c r="O195" s="59">
        <f t="shared" si="6"/>
        <v>45</v>
      </c>
      <c r="P195" s="95"/>
      <c r="Q195" s="95"/>
      <c r="R195" s="60"/>
      <c r="S195" s="60"/>
      <c r="T195" s="60"/>
      <c r="U195" s="60"/>
      <c r="V195" s="60"/>
      <c r="W195" s="60"/>
      <c r="X195" s="60"/>
      <c r="Y195" s="60"/>
      <c r="Z195" s="60"/>
      <c r="AA195" s="60"/>
      <c r="AB195" s="60"/>
      <c r="AC195" s="60"/>
      <c r="AD195" s="60"/>
      <c r="AE195" s="60"/>
      <c r="AF195" s="60"/>
      <c r="AG195" s="60"/>
      <c r="AH195" s="60"/>
      <c r="AI195" s="60"/>
      <c r="AJ195" s="60"/>
    </row>
    <row r="196">
      <c r="A196" s="27" t="s">
        <v>1827</v>
      </c>
      <c r="B196" s="109" t="s">
        <v>2815</v>
      </c>
      <c r="C196" s="33">
        <f>COUNTIF(develop!F196:F980,B196)</f>
        <v>7</v>
      </c>
      <c r="D196" s="110" t="s">
        <v>119</v>
      </c>
      <c r="E196" s="104" t="s">
        <v>2823</v>
      </c>
      <c r="F196" s="34" t="s">
        <v>2825</v>
      </c>
      <c r="G196" s="35" t="str">
        <f t="shared" si="1"/>
        <v>mx-api-bc-dom-corp-cur-acnt-leg</v>
      </c>
      <c r="H196" s="37" t="str">
        <f t="shared" si="2"/>
        <v>https://anypoint.mulesoft.com/exchange/834f46f4-ef08-4c50-81ae-56f917b413cc/mx-api-bc-dom-corp-cur-acnt-leg</v>
      </c>
      <c r="I196" s="42" t="s">
        <v>162</v>
      </c>
      <c r="J196" s="41" t="str">
        <f t="shared" si="11"/>
        <v>mx-ms-bc-dom-corp-cur-acnt-leg-mule</v>
      </c>
      <c r="K196" s="111" t="s">
        <v>58</v>
      </c>
      <c r="L196" s="99"/>
      <c r="M196" s="41" t="str">
        <f t="shared" si="12"/>
        <v>dom-corp-cur-acnt-leg-api-dev</v>
      </c>
      <c r="N196" s="39" t="str">
        <f t="shared" si="13"/>
        <v>Valid</v>
      </c>
      <c r="O196" s="42">
        <f t="shared" si="6"/>
        <v>29</v>
      </c>
      <c r="P196" s="98"/>
      <c r="Q196" s="98"/>
      <c r="R196" s="43"/>
      <c r="S196" s="43"/>
      <c r="T196" s="43"/>
      <c r="U196" s="43"/>
      <c r="V196" s="43"/>
      <c r="W196" s="43"/>
      <c r="X196" s="43"/>
      <c r="Y196" s="43"/>
      <c r="Z196" s="43"/>
      <c r="AA196" s="43"/>
      <c r="AB196" s="43"/>
      <c r="AC196" s="43"/>
      <c r="AD196" s="43"/>
      <c r="AE196" s="43"/>
      <c r="AF196" s="43"/>
      <c r="AG196" s="43"/>
      <c r="AH196" s="43"/>
      <c r="AI196" s="43"/>
      <c r="AJ196" s="43"/>
    </row>
    <row r="197">
      <c r="A197" s="46" t="s">
        <v>1827</v>
      </c>
      <c r="B197" s="47" t="s">
        <v>2859</v>
      </c>
      <c r="C197" s="50">
        <f>COUNTIF(develop!F197:F980,B197)</f>
        <v>9</v>
      </c>
      <c r="D197" s="51" t="s">
        <v>1417</v>
      </c>
      <c r="E197" s="47" t="s">
        <v>2863</v>
      </c>
      <c r="F197" s="51" t="s">
        <v>2865</v>
      </c>
      <c r="G197" s="53" t="str">
        <f t="shared" si="1"/>
        <v>mx-api-bc-rec-corp-cur-acnt-leg</v>
      </c>
      <c r="H197" s="54" t="str">
        <f t="shared" si="2"/>
        <v>https://anypoint.mulesoft.com/exchange/834f46f4-ef08-4c50-81ae-56f917b413cc/mx-api-bc-rec-corp-cur-acnt-leg</v>
      </c>
      <c r="I197" s="95"/>
      <c r="J197" s="57" t="str">
        <f t="shared" si="11"/>
        <v>mx-ms-bc-rec-corp-cur-acnt-leg-apigee</v>
      </c>
      <c r="K197" s="112" t="s">
        <v>1423</v>
      </c>
      <c r="L197" s="96"/>
      <c r="M197" s="57" t="str">
        <f t="shared" si="12"/>
        <v>mx-ms-bc-rec-corp-cur-acnt-leg-apigee</v>
      </c>
      <c r="N197" s="55" t="str">
        <f t="shared" si="13"/>
        <v>Valid</v>
      </c>
      <c r="O197" s="59">
        <f t="shared" si="6"/>
        <v>37</v>
      </c>
      <c r="P197" s="95"/>
      <c r="Q197" s="95"/>
      <c r="R197" s="60"/>
      <c r="S197" s="60"/>
      <c r="T197" s="60"/>
      <c r="U197" s="60"/>
      <c r="V197" s="60"/>
      <c r="W197" s="60"/>
      <c r="X197" s="60"/>
      <c r="Y197" s="60"/>
      <c r="Z197" s="60"/>
      <c r="AA197" s="60"/>
      <c r="AB197" s="60"/>
      <c r="AC197" s="60"/>
      <c r="AD197" s="60"/>
      <c r="AE197" s="60"/>
      <c r="AF197" s="60"/>
      <c r="AG197" s="60"/>
      <c r="AH197" s="60"/>
      <c r="AI197" s="60"/>
      <c r="AJ197" s="60"/>
    </row>
    <row r="198">
      <c r="A198" s="27" t="s">
        <v>1827</v>
      </c>
      <c r="B198" s="28" t="s">
        <v>2890</v>
      </c>
      <c r="C198" s="33">
        <f>COUNTIF(develop!F198:F980,B198)</f>
        <v>9</v>
      </c>
      <c r="D198" s="110" t="s">
        <v>811</v>
      </c>
      <c r="E198" s="28" t="s">
        <v>2894</v>
      </c>
      <c r="F198" s="34" t="s">
        <v>2895</v>
      </c>
      <c r="G198" s="35" t="str">
        <f t="shared" si="1"/>
        <v>mx-api-bc-pro-corp-cur-acnt-leg</v>
      </c>
      <c r="H198" s="37" t="str">
        <f t="shared" si="2"/>
        <v>https://anypoint.mulesoft.com/exchange/834f46f4-ef08-4c50-81ae-56f917b413cc/mx-api-bc-pro-corp-cur-acnt-leg</v>
      </c>
      <c r="I198" s="98"/>
      <c r="J198" s="41" t="str">
        <f t="shared" si="11"/>
        <v>mx-ms-bc-pro-corp-cur-acnt-leg</v>
      </c>
      <c r="K198" s="111" t="s">
        <v>816</v>
      </c>
      <c r="L198" s="99"/>
      <c r="M198" s="41" t="str">
        <f t="shared" si="12"/>
        <v>mx-ms-bc-pro-corp-cur-acnt-leg</v>
      </c>
      <c r="N198" s="39" t="str">
        <f t="shared" si="13"/>
        <v>Valid</v>
      </c>
      <c r="O198" s="42">
        <f t="shared" si="6"/>
        <v>30</v>
      </c>
      <c r="P198" s="98"/>
      <c r="Q198" s="98"/>
      <c r="R198" s="43"/>
      <c r="S198" s="43"/>
      <c r="T198" s="43"/>
      <c r="U198" s="43"/>
      <c r="V198" s="43"/>
      <c r="W198" s="43"/>
      <c r="X198" s="43"/>
      <c r="Y198" s="43"/>
      <c r="Z198" s="43"/>
      <c r="AA198" s="43"/>
      <c r="AB198" s="43"/>
      <c r="AC198" s="43"/>
      <c r="AD198" s="43"/>
      <c r="AE198" s="43"/>
      <c r="AF198" s="43"/>
      <c r="AG198" s="43"/>
      <c r="AH198" s="43"/>
      <c r="AI198" s="43"/>
      <c r="AJ198" s="43"/>
    </row>
    <row r="199">
      <c r="A199" s="46" t="s">
        <v>1827</v>
      </c>
      <c r="B199" s="47" t="s">
        <v>2926</v>
      </c>
      <c r="C199" s="50">
        <f>COUNTIF(develop!F199:F980,B199)</f>
        <v>11</v>
      </c>
      <c r="D199" s="51" t="s">
        <v>119</v>
      </c>
      <c r="E199" s="60" t="s">
        <v>2933</v>
      </c>
      <c r="F199" s="51" t="s">
        <v>2936</v>
      </c>
      <c r="G199" s="53" t="str">
        <f t="shared" si="1"/>
        <v>mx-api-bc-dom-int-bnk-acnt-corp</v>
      </c>
      <c r="H199" s="54" t="str">
        <f t="shared" si="2"/>
        <v>https://anypoint.mulesoft.com/exchange/834f46f4-ef08-4c50-81ae-56f917b413cc/mx-api-bc-dom-int-bnk-acnt-corp</v>
      </c>
      <c r="I199" s="59" t="s">
        <v>162</v>
      </c>
      <c r="J199" s="57" t="str">
        <f t="shared" si="11"/>
        <v>mx-ms-bc-dom-int-bnk-acnt-corp-mule</v>
      </c>
      <c r="K199" s="112" t="s">
        <v>58</v>
      </c>
      <c r="L199" s="96"/>
      <c r="M199" s="57" t="str">
        <f t="shared" si="12"/>
        <v>dom-int-bnk-acnt-corp-api-dev</v>
      </c>
      <c r="N199" s="55" t="str">
        <f t="shared" si="13"/>
        <v>Valid</v>
      </c>
      <c r="O199" s="59">
        <f t="shared" si="6"/>
        <v>29</v>
      </c>
      <c r="P199" s="95"/>
      <c r="Q199" s="95"/>
      <c r="R199" s="60"/>
      <c r="S199" s="60"/>
      <c r="T199" s="60"/>
      <c r="U199" s="60"/>
      <c r="V199" s="60"/>
      <c r="W199" s="60"/>
      <c r="X199" s="60"/>
      <c r="Y199" s="60"/>
      <c r="Z199" s="60"/>
      <c r="AA199" s="60"/>
      <c r="AB199" s="60"/>
      <c r="AC199" s="60"/>
      <c r="AD199" s="60"/>
      <c r="AE199" s="60"/>
      <c r="AF199" s="60"/>
      <c r="AG199" s="60"/>
      <c r="AH199" s="60"/>
      <c r="AI199" s="60"/>
      <c r="AJ199" s="60"/>
    </row>
    <row r="200">
      <c r="A200" s="27" t="s">
        <v>1827</v>
      </c>
      <c r="B200" s="28" t="s">
        <v>2969</v>
      </c>
      <c r="C200" s="33">
        <f>COUNTIF(develop!F200:F980,B200)</f>
        <v>14</v>
      </c>
      <c r="D200" s="34" t="s">
        <v>1417</v>
      </c>
      <c r="E200" s="43" t="s">
        <v>2976</v>
      </c>
      <c r="F200" s="34" t="s">
        <v>2978</v>
      </c>
      <c r="G200" s="35" t="str">
        <f t="shared" si="1"/>
        <v>mx-api-bc-rec-int-bnk-acnt-corp</v>
      </c>
      <c r="H200" s="37" t="str">
        <f t="shared" si="2"/>
        <v>https://anypoint.mulesoft.com/exchange/834f46f4-ef08-4c50-81ae-56f917b413cc/mx-api-bc-rec-int-bnk-acnt-corp</v>
      </c>
      <c r="I200" s="98"/>
      <c r="J200" s="41" t="str">
        <f t="shared" si="11"/>
        <v>mx-ms-bc-rec-int-bnk-acnt-corp-apigee</v>
      </c>
      <c r="K200" s="111" t="s">
        <v>1423</v>
      </c>
      <c r="L200" s="99"/>
      <c r="M200" s="41" t="str">
        <f t="shared" si="12"/>
        <v>mx-ms-bc-rec-int-bnk-acnt-corp-apigee</v>
      </c>
      <c r="N200" s="39" t="str">
        <f t="shared" si="13"/>
        <v>Valid</v>
      </c>
      <c r="O200" s="42">
        <f t="shared" si="6"/>
        <v>37</v>
      </c>
      <c r="P200" s="98"/>
      <c r="Q200" s="98"/>
      <c r="R200" s="43"/>
      <c r="S200" s="43"/>
      <c r="T200" s="43"/>
      <c r="U200" s="43"/>
      <c r="V200" s="43"/>
      <c r="W200" s="43"/>
      <c r="X200" s="43"/>
      <c r="Y200" s="43"/>
      <c r="Z200" s="43"/>
      <c r="AA200" s="43"/>
      <c r="AB200" s="43"/>
      <c r="AC200" s="43"/>
      <c r="AD200" s="43"/>
      <c r="AE200" s="43"/>
      <c r="AF200" s="43"/>
      <c r="AG200" s="43"/>
      <c r="AH200" s="43"/>
      <c r="AI200" s="43"/>
      <c r="AJ200" s="43"/>
    </row>
    <row r="201">
      <c r="A201" s="46" t="s">
        <v>1827</v>
      </c>
      <c r="B201" s="47" t="s">
        <v>3016</v>
      </c>
      <c r="C201" s="50">
        <f>COUNTIF(develop!F201:F980,B201)</f>
        <v>14</v>
      </c>
      <c r="D201" s="51" t="s">
        <v>811</v>
      </c>
      <c r="E201" s="60" t="s">
        <v>3023</v>
      </c>
      <c r="F201" s="51" t="s">
        <v>3024</v>
      </c>
      <c r="G201" s="53" t="str">
        <f t="shared" si="1"/>
        <v>mx-api-bc-pro-int-bnk-acnt-corp</v>
      </c>
      <c r="H201" s="54" t="str">
        <f t="shared" si="2"/>
        <v>https://anypoint.mulesoft.com/exchange/834f46f4-ef08-4c50-81ae-56f917b413cc/mx-api-bc-pro-int-bnk-acnt-corp</v>
      </c>
      <c r="I201" s="95"/>
      <c r="J201" s="57" t="str">
        <f t="shared" si="11"/>
        <v>mx-ms-bc-pro-int-bnk-acnt-corp</v>
      </c>
      <c r="K201" s="112" t="s">
        <v>816</v>
      </c>
      <c r="L201" s="96"/>
      <c r="M201" s="57" t="str">
        <f t="shared" si="12"/>
        <v>mx-ms-bc-pro-int-bnk-acnt-corp</v>
      </c>
      <c r="N201" s="55" t="str">
        <f t="shared" si="13"/>
        <v>Valid</v>
      </c>
      <c r="O201" s="59">
        <f t="shared" si="6"/>
        <v>30</v>
      </c>
      <c r="P201" s="95"/>
      <c r="Q201" s="95"/>
      <c r="R201" s="60"/>
      <c r="S201" s="60"/>
      <c r="T201" s="60"/>
      <c r="U201" s="60"/>
      <c r="V201" s="60"/>
      <c r="W201" s="60"/>
      <c r="X201" s="60"/>
      <c r="Y201" s="60"/>
      <c r="Z201" s="60"/>
      <c r="AA201" s="60"/>
      <c r="AB201" s="60"/>
      <c r="AC201" s="60"/>
      <c r="AD201" s="60"/>
      <c r="AE201" s="60"/>
      <c r="AF201" s="60"/>
      <c r="AG201" s="60"/>
      <c r="AH201" s="60"/>
      <c r="AI201" s="60"/>
      <c r="AJ201" s="60"/>
    </row>
    <row r="202">
      <c r="A202" s="27" t="s">
        <v>1827</v>
      </c>
      <c r="B202" s="28" t="s">
        <v>3057</v>
      </c>
      <c r="C202" s="33">
        <f>COUNTIF(develop!F202:F980,B202)</f>
        <v>12</v>
      </c>
      <c r="D202" s="34" t="s">
        <v>119</v>
      </c>
      <c r="E202" s="28" t="s">
        <v>3063</v>
      </c>
      <c r="F202" s="34" t="s">
        <v>3065</v>
      </c>
      <c r="G202" s="35" t="str">
        <f t="shared" si="1"/>
        <v>mx-api-bc-dom-document-services-corp</v>
      </c>
      <c r="H202" s="37" t="str">
        <f t="shared" si="2"/>
        <v>https://anypoint.mulesoft.com/exchange/834f46f4-ef08-4c50-81ae-56f917b413cc/mx-api-bc-dom-document-services-corp</v>
      </c>
      <c r="I202" s="42" t="s">
        <v>162</v>
      </c>
      <c r="J202" s="41" t="str">
        <f t="shared" si="11"/>
        <v>mx-ms-bc-dom-document-services-corp-mule</v>
      </c>
      <c r="K202" s="39" t="s">
        <v>58</v>
      </c>
      <c r="L202" s="99"/>
      <c r="M202" s="41" t="str">
        <f t="shared" si="12"/>
        <v>dom-document-services-corp-api-dev</v>
      </c>
      <c r="N202" s="39" t="str">
        <f t="shared" si="13"/>
        <v>Valid</v>
      </c>
      <c r="O202" s="42">
        <f t="shared" si="6"/>
        <v>34</v>
      </c>
      <c r="P202" s="98"/>
      <c r="Q202" s="98"/>
      <c r="R202" s="43"/>
      <c r="S202" s="43"/>
      <c r="T202" s="43"/>
      <c r="U202" s="43"/>
      <c r="V202" s="43"/>
      <c r="W202" s="43"/>
      <c r="X202" s="43"/>
      <c r="Y202" s="43"/>
      <c r="Z202" s="43"/>
      <c r="AA202" s="43"/>
      <c r="AB202" s="43"/>
      <c r="AC202" s="43"/>
      <c r="AD202" s="43"/>
      <c r="AE202" s="43"/>
      <c r="AF202" s="43"/>
      <c r="AG202" s="43"/>
      <c r="AH202" s="43"/>
      <c r="AI202" s="43"/>
      <c r="AJ202" s="43"/>
    </row>
    <row r="203">
      <c r="A203" s="46" t="s">
        <v>1827</v>
      </c>
      <c r="B203" s="47" t="s">
        <v>3090</v>
      </c>
      <c r="C203" s="50">
        <f>COUNTIF(develop!F203:F980,B203)</f>
        <v>6</v>
      </c>
      <c r="D203" s="51" t="s">
        <v>1417</v>
      </c>
      <c r="E203" s="100" t="s">
        <v>3117</v>
      </c>
      <c r="F203" s="51" t="s">
        <v>3121</v>
      </c>
      <c r="G203" s="53" t="str">
        <f t="shared" si="1"/>
        <v>mx-api-bc-rec-document-services-corp</v>
      </c>
      <c r="H203" s="54" t="str">
        <f t="shared" si="2"/>
        <v>https://anypoint.mulesoft.com/exchange/834f46f4-ef08-4c50-81ae-56f917b413cc/mx-api-bc-rec-document-services-corp</v>
      </c>
      <c r="I203" s="95"/>
      <c r="J203" s="57" t="str">
        <f t="shared" si="11"/>
        <v>mx-ms-bc-rec-document-services-corp-apigee</v>
      </c>
      <c r="K203" s="55" t="s">
        <v>1423</v>
      </c>
      <c r="L203" s="96"/>
      <c r="M203" s="57" t="str">
        <f t="shared" si="12"/>
        <v>mx-ms-bc-rec-document-services-corp-apigee</v>
      </c>
      <c r="N203" s="55" t="str">
        <f t="shared" si="13"/>
        <v>Valid</v>
      </c>
      <c r="O203" s="59">
        <f t="shared" si="6"/>
        <v>42</v>
      </c>
      <c r="P203" s="95"/>
      <c r="Q203" s="95"/>
      <c r="R203" s="60"/>
      <c r="S203" s="60"/>
      <c r="T203" s="60"/>
      <c r="U203" s="60"/>
      <c r="V203" s="60"/>
      <c r="W203" s="60"/>
      <c r="X203" s="60"/>
      <c r="Y203" s="60"/>
      <c r="Z203" s="60"/>
      <c r="AA203" s="60"/>
      <c r="AB203" s="60"/>
      <c r="AC203" s="60"/>
      <c r="AD203" s="60"/>
      <c r="AE203" s="60"/>
      <c r="AF203" s="60"/>
      <c r="AG203" s="60"/>
      <c r="AH203" s="60"/>
      <c r="AI203" s="60"/>
      <c r="AJ203" s="60"/>
    </row>
    <row r="204">
      <c r="A204" s="27" t="s">
        <v>1827</v>
      </c>
      <c r="B204" s="28" t="s">
        <v>3187</v>
      </c>
      <c r="C204" s="33">
        <f>COUNTIF(develop!F204:F980,B204)</f>
        <v>12</v>
      </c>
      <c r="D204" s="34" t="s">
        <v>811</v>
      </c>
      <c r="E204" s="28" t="s">
        <v>3198</v>
      </c>
      <c r="F204" s="34" t="s">
        <v>3201</v>
      </c>
      <c r="G204" s="35" t="str">
        <f t="shared" si="1"/>
        <v>mx-api-bc-pro-document-services-corp</v>
      </c>
      <c r="H204" s="37" t="str">
        <f t="shared" si="2"/>
        <v>https://anypoint.mulesoft.com/exchange/834f46f4-ef08-4c50-81ae-56f917b413cc/mx-api-bc-pro-document-services-corp</v>
      </c>
      <c r="I204" s="98"/>
      <c r="J204" s="41" t="str">
        <f t="shared" si="11"/>
        <v>mx-ms-bc-pro-document-services-corp</v>
      </c>
      <c r="K204" s="111" t="s">
        <v>816</v>
      </c>
      <c r="L204" s="99"/>
      <c r="M204" s="41" t="str">
        <f t="shared" si="12"/>
        <v>mx-ms-bc-pro-document-services-corp</v>
      </c>
      <c r="N204" s="39" t="str">
        <f t="shared" si="13"/>
        <v>Valid</v>
      </c>
      <c r="O204" s="42">
        <f t="shared" si="6"/>
        <v>35</v>
      </c>
      <c r="P204" s="98"/>
      <c r="Q204" s="98"/>
      <c r="R204" s="43"/>
      <c r="S204" s="43"/>
      <c r="T204" s="43"/>
      <c r="U204" s="43"/>
      <c r="V204" s="43"/>
      <c r="W204" s="43"/>
      <c r="X204" s="43"/>
      <c r="Y204" s="43"/>
      <c r="Z204" s="43"/>
      <c r="AA204" s="43"/>
      <c r="AB204" s="43"/>
      <c r="AC204" s="43"/>
      <c r="AD204" s="43"/>
      <c r="AE204" s="43"/>
      <c r="AF204" s="43"/>
      <c r="AG204" s="43"/>
      <c r="AH204" s="43"/>
      <c r="AI204" s="43"/>
      <c r="AJ204" s="43"/>
    </row>
    <row r="205">
      <c r="A205" s="46" t="s">
        <v>44</v>
      </c>
      <c r="B205" s="90" t="s">
        <v>3246</v>
      </c>
      <c r="C205" s="50">
        <f>COUNTIF(develop!F205:F980,B205)</f>
        <v>1</v>
      </c>
      <c r="D205" s="113" t="s">
        <v>119</v>
      </c>
      <c r="E205" s="90" t="s">
        <v>3261</v>
      </c>
      <c r="F205" s="51" t="s">
        <v>3263</v>
      </c>
      <c r="G205" s="53" t="str">
        <f t="shared" si="1"/>
        <v>mx-api-bc-dom-employee-data-mgmt</v>
      </c>
      <c r="H205" s="54" t="str">
        <f t="shared" si="2"/>
        <v>https://anypoint.mulesoft.com/exchange/834f46f4-ef08-4c50-81ae-56f917b413cc/mx-api-bc-dom-employee-data-mgmt</v>
      </c>
      <c r="I205" s="59" t="s">
        <v>122</v>
      </c>
      <c r="J205" s="57" t="str">
        <f t="shared" si="11"/>
        <v>mx-ms-bc-dom-employee-data-mgmt-mule</v>
      </c>
      <c r="K205" s="55" t="s">
        <v>58</v>
      </c>
      <c r="L205" s="96"/>
      <c r="M205" s="57" t="str">
        <f t="shared" si="12"/>
        <v>dom-employee-data-mgmt-api-dev</v>
      </c>
      <c r="N205" s="55" t="str">
        <f t="shared" si="13"/>
        <v>Valid</v>
      </c>
      <c r="O205" s="59">
        <f t="shared" si="6"/>
        <v>30</v>
      </c>
      <c r="P205" s="95"/>
      <c r="Q205" s="95"/>
      <c r="R205" s="60"/>
      <c r="S205" s="60"/>
      <c r="T205" s="60"/>
      <c r="U205" s="60"/>
      <c r="V205" s="60"/>
      <c r="W205" s="60"/>
      <c r="X205" s="60"/>
      <c r="Y205" s="60"/>
      <c r="Z205" s="60"/>
      <c r="AA205" s="60"/>
      <c r="AB205" s="60"/>
      <c r="AC205" s="60"/>
      <c r="AD205" s="60"/>
      <c r="AE205" s="60"/>
      <c r="AF205" s="60"/>
      <c r="AG205" s="60"/>
      <c r="AH205" s="60"/>
      <c r="AI205" s="60"/>
      <c r="AJ205" s="60"/>
    </row>
    <row r="206">
      <c r="A206" s="27" t="s">
        <v>44</v>
      </c>
      <c r="B206" s="67" t="s">
        <v>3303</v>
      </c>
      <c r="C206" s="33">
        <f>COUNTIF(develop!F206:F980,B206)</f>
        <v>1</v>
      </c>
      <c r="D206" s="34" t="s">
        <v>811</v>
      </c>
      <c r="E206" s="67" t="s">
        <v>3314</v>
      </c>
      <c r="F206" s="34" t="s">
        <v>3317</v>
      </c>
      <c r="G206" s="35" t="str">
        <f t="shared" si="1"/>
        <v>mx-api-bc-pro-employee-data-mgmt</v>
      </c>
      <c r="H206" s="37" t="str">
        <f t="shared" si="2"/>
        <v>https://anypoint.mulesoft.com/exchange/834f46f4-ef08-4c50-81ae-56f917b413cc/mx-api-bc-pro-employee-data-mgmt</v>
      </c>
      <c r="I206" s="42" t="s">
        <v>122</v>
      </c>
      <c r="J206" s="41" t="str">
        <f t="shared" si="11"/>
        <v>mx-ms-bc-pro-employee-data-mgmt</v>
      </c>
      <c r="K206" s="111" t="s">
        <v>816</v>
      </c>
      <c r="L206" s="99"/>
      <c r="M206" s="41" t="str">
        <f t="shared" si="12"/>
        <v>mx-ms-bc-pro-employee-data-mgmt</v>
      </c>
      <c r="N206" s="39" t="str">
        <f t="shared" si="13"/>
        <v>Valid</v>
      </c>
      <c r="O206" s="42">
        <f t="shared" si="6"/>
        <v>31</v>
      </c>
      <c r="P206" s="98"/>
      <c r="Q206" s="98"/>
      <c r="R206" s="43"/>
      <c r="S206" s="43"/>
      <c r="T206" s="43"/>
      <c r="U206" s="43"/>
      <c r="V206" s="43"/>
      <c r="W206" s="43"/>
      <c r="X206" s="43"/>
      <c r="Y206" s="43"/>
      <c r="Z206" s="43"/>
      <c r="AA206" s="43"/>
      <c r="AB206" s="43"/>
      <c r="AC206" s="43"/>
      <c r="AD206" s="43"/>
      <c r="AE206" s="43"/>
      <c r="AF206" s="43"/>
      <c r="AG206" s="43"/>
      <c r="AH206" s="43"/>
      <c r="AI206" s="43"/>
      <c r="AJ206" s="43"/>
    </row>
    <row r="207">
      <c r="A207" s="46" t="s">
        <v>44</v>
      </c>
      <c r="B207" s="90" t="s">
        <v>3353</v>
      </c>
      <c r="C207" s="50">
        <f>COUNTIF(develop!F207:F980,B207)</f>
        <v>1</v>
      </c>
      <c r="D207" s="113" t="s">
        <v>1417</v>
      </c>
      <c r="E207" s="90" t="s">
        <v>3360</v>
      </c>
      <c r="F207" s="51" t="s">
        <v>3362</v>
      </c>
      <c r="G207" s="53" t="str">
        <f t="shared" si="1"/>
        <v>mx-api-bc-rec-employee-data-mgmt</v>
      </c>
      <c r="H207" s="54" t="str">
        <f t="shared" si="2"/>
        <v>https://anypoint.mulesoft.com/exchange/834f46f4-ef08-4c50-81ae-56f917b413cc/mx-api-bc-rec-employee-data-mgmt</v>
      </c>
      <c r="I207" s="59" t="s">
        <v>162</v>
      </c>
      <c r="J207" s="57" t="str">
        <f t="shared" si="11"/>
        <v>mx-ms-bc-rec-employee-data-mgmt-apigee</v>
      </c>
      <c r="K207" s="55" t="s">
        <v>1423</v>
      </c>
      <c r="L207" s="96"/>
      <c r="M207" s="57" t="str">
        <f t="shared" si="12"/>
        <v>mx-ms-bc-rec-employee-data-mgmt-apigee</v>
      </c>
      <c r="N207" s="55" t="str">
        <f t="shared" si="13"/>
        <v>Valid</v>
      </c>
      <c r="O207" s="59">
        <f t="shared" si="6"/>
        <v>38</v>
      </c>
      <c r="P207" s="95"/>
      <c r="Q207" s="95"/>
      <c r="R207" s="60"/>
      <c r="S207" s="60"/>
      <c r="T207" s="60"/>
      <c r="U207" s="60"/>
      <c r="V207" s="60"/>
      <c r="W207" s="60"/>
      <c r="X207" s="60"/>
      <c r="Y207" s="60"/>
      <c r="Z207" s="60"/>
      <c r="AA207" s="60"/>
      <c r="AB207" s="60"/>
      <c r="AC207" s="60"/>
      <c r="AD207" s="60"/>
      <c r="AE207" s="60"/>
      <c r="AF207" s="60"/>
      <c r="AG207" s="60"/>
      <c r="AH207" s="60"/>
      <c r="AI207" s="60"/>
      <c r="AJ207" s="60"/>
    </row>
    <row r="208">
      <c r="A208" s="27" t="s">
        <v>44</v>
      </c>
      <c r="B208" s="28" t="s">
        <v>3420</v>
      </c>
      <c r="C208" s="33">
        <f>COUNTIF(develop!F208:F980,B208)</f>
        <v>3</v>
      </c>
      <c r="D208" s="110" t="s">
        <v>119</v>
      </c>
      <c r="E208" s="67" t="s">
        <v>3261</v>
      </c>
      <c r="F208" s="34" t="s">
        <v>3430</v>
      </c>
      <c r="G208" s="35" t="str">
        <f t="shared" si="1"/>
        <v>mx-api-bc-dom-employee-data-mgmt</v>
      </c>
      <c r="H208" s="37" t="str">
        <f t="shared" si="2"/>
        <v>https://anypoint.mulesoft.com/exchange/834f46f4-ef08-4c50-81ae-56f917b413cc/mx-api-bc-dom-employee-data-mgmt</v>
      </c>
      <c r="I208" s="42"/>
      <c r="J208" s="41" t="str">
        <f t="shared" si="11"/>
        <v>mx-ms-bc-dom-employee-data-mgmt-mule</v>
      </c>
      <c r="K208" s="39" t="s">
        <v>58</v>
      </c>
      <c r="L208" s="99"/>
      <c r="M208" s="41" t="str">
        <f t="shared" si="12"/>
        <v>dom-employee-data-mgmt-api-dev</v>
      </c>
      <c r="N208" s="39" t="str">
        <f t="shared" si="13"/>
        <v>Valid</v>
      </c>
      <c r="O208" s="42">
        <f t="shared" si="6"/>
        <v>30</v>
      </c>
      <c r="P208" s="98"/>
      <c r="Q208" s="98"/>
      <c r="R208" s="43"/>
      <c r="S208" s="43"/>
      <c r="T208" s="43"/>
      <c r="U208" s="43"/>
      <c r="V208" s="43"/>
      <c r="W208" s="43"/>
      <c r="X208" s="43"/>
      <c r="Y208" s="43"/>
      <c r="Z208" s="43"/>
      <c r="AA208" s="43"/>
      <c r="AB208" s="43"/>
      <c r="AC208" s="43"/>
      <c r="AD208" s="43"/>
      <c r="AE208" s="43"/>
      <c r="AF208" s="43"/>
      <c r="AG208" s="43"/>
      <c r="AH208" s="43"/>
      <c r="AI208" s="43"/>
      <c r="AJ208" s="43"/>
    </row>
    <row r="209">
      <c r="A209" s="46" t="s">
        <v>44</v>
      </c>
      <c r="B209" s="47" t="s">
        <v>3459</v>
      </c>
      <c r="C209" s="50">
        <f>COUNTIF(develop!F209:F980,B209)</f>
        <v>3</v>
      </c>
      <c r="D209" s="113" t="s">
        <v>811</v>
      </c>
      <c r="E209" s="90" t="s">
        <v>3314</v>
      </c>
      <c r="F209" s="51" t="s">
        <v>3470</v>
      </c>
      <c r="G209" s="53" t="str">
        <f t="shared" si="1"/>
        <v>mx-api-bc-pro-employee-data-mgmt</v>
      </c>
      <c r="H209" s="54" t="str">
        <f t="shared" si="2"/>
        <v>https://anypoint.mulesoft.com/exchange/834f46f4-ef08-4c50-81ae-56f917b413cc/mx-api-bc-pro-employee-data-mgmt</v>
      </c>
      <c r="I209" s="59"/>
      <c r="J209" s="57" t="str">
        <f t="shared" si="11"/>
        <v>mx-ms-bc-pro-employee-data-mgmt</v>
      </c>
      <c r="K209" s="55" t="s">
        <v>816</v>
      </c>
      <c r="L209" s="96"/>
      <c r="M209" s="57" t="str">
        <f t="shared" si="12"/>
        <v>mx-ms-bc-pro-employee-data-mgmt</v>
      </c>
      <c r="N209" s="55" t="str">
        <f t="shared" si="13"/>
        <v>Valid</v>
      </c>
      <c r="O209" s="59">
        <f t="shared" si="6"/>
        <v>31</v>
      </c>
      <c r="P209" s="95"/>
      <c r="Q209" s="95"/>
      <c r="R209" s="60"/>
      <c r="S209" s="60"/>
      <c r="T209" s="60"/>
      <c r="U209" s="60"/>
      <c r="V209" s="60"/>
      <c r="W209" s="60"/>
      <c r="X209" s="60"/>
      <c r="Y209" s="60"/>
      <c r="Z209" s="60"/>
      <c r="AA209" s="60"/>
      <c r="AB209" s="60"/>
      <c r="AC209" s="60"/>
      <c r="AD209" s="60"/>
      <c r="AE209" s="60"/>
      <c r="AF209" s="60"/>
      <c r="AG209" s="60"/>
      <c r="AH209" s="60"/>
      <c r="AI209" s="60"/>
      <c r="AJ209" s="60"/>
    </row>
    <row r="210">
      <c r="A210" s="27" t="s">
        <v>44</v>
      </c>
      <c r="B210" s="28" t="s">
        <v>3503</v>
      </c>
      <c r="C210" s="33">
        <f>COUNTIF(develop!F210:F980,B210)</f>
        <v>3</v>
      </c>
      <c r="D210" s="110" t="s">
        <v>1417</v>
      </c>
      <c r="E210" s="67" t="s">
        <v>3360</v>
      </c>
      <c r="F210" s="34" t="s">
        <v>3513</v>
      </c>
      <c r="G210" s="35" t="str">
        <f t="shared" si="1"/>
        <v>mx-api-bc-rec-employee-data-mgmt</v>
      </c>
      <c r="H210" s="37" t="str">
        <f t="shared" si="2"/>
        <v>https://anypoint.mulesoft.com/exchange/834f46f4-ef08-4c50-81ae-56f917b413cc/mx-api-bc-rec-employee-data-mgmt</v>
      </c>
      <c r="I210" s="42"/>
      <c r="J210" s="41" t="str">
        <f t="shared" si="11"/>
        <v>mx-ms-bc-rec-employee-data-mgmt-apigee</v>
      </c>
      <c r="K210" s="39" t="s">
        <v>1423</v>
      </c>
      <c r="L210" s="99"/>
      <c r="M210" s="41" t="str">
        <f t="shared" si="12"/>
        <v>mx-ms-bc-rec-employee-data-mgmt-apigee</v>
      </c>
      <c r="N210" s="39" t="str">
        <f t="shared" si="13"/>
        <v>Valid</v>
      </c>
      <c r="O210" s="42">
        <f t="shared" si="6"/>
        <v>38</v>
      </c>
      <c r="P210" s="98"/>
      <c r="Q210" s="98"/>
      <c r="R210" s="43"/>
      <c r="S210" s="43"/>
      <c r="T210" s="43"/>
      <c r="U210" s="43"/>
      <c r="V210" s="43"/>
      <c r="W210" s="43"/>
      <c r="X210" s="43"/>
      <c r="Y210" s="43"/>
      <c r="Z210" s="43"/>
      <c r="AA210" s="43"/>
      <c r="AB210" s="43"/>
      <c r="AC210" s="43"/>
      <c r="AD210" s="43"/>
      <c r="AE210" s="43"/>
      <c r="AF210" s="43"/>
      <c r="AG210" s="43"/>
      <c r="AH210" s="43"/>
      <c r="AI210" s="43"/>
      <c r="AJ210" s="43"/>
    </row>
    <row r="211">
      <c r="A211" s="46" t="s">
        <v>1827</v>
      </c>
      <c r="B211" s="90" t="s">
        <v>3543</v>
      </c>
      <c r="C211" s="50">
        <f>COUNTIF(develop!F211:F980,B211)</f>
        <v>4</v>
      </c>
      <c r="D211" s="113" t="s">
        <v>1417</v>
      </c>
      <c r="E211" s="47" t="s">
        <v>3551</v>
      </c>
      <c r="F211" s="51" t="s">
        <v>3552</v>
      </c>
      <c r="G211" s="53" t="str">
        <f t="shared" si="1"/>
        <v>mx-api-bc-rec-doc-mgmt-arch-corp</v>
      </c>
      <c r="H211" s="54" t="str">
        <f t="shared" si="2"/>
        <v>https://anypoint.mulesoft.com/exchange/834f46f4-ef08-4c50-81ae-56f917b413cc/mx-api-bc-rec-doc-mgmt-arch-corp</v>
      </c>
      <c r="I211" s="59"/>
      <c r="J211" s="57" t="str">
        <f t="shared" si="11"/>
        <v>mx-ms-bc-rec-doc-mgmt-arch-corp-apigee</v>
      </c>
      <c r="K211" s="55" t="s">
        <v>1423</v>
      </c>
      <c r="L211" s="96"/>
      <c r="M211" s="57" t="str">
        <f t="shared" si="12"/>
        <v>mx-ms-bc-rec-doc-mgmt-arch-corp-apigee</v>
      </c>
      <c r="N211" s="55" t="str">
        <f t="shared" si="13"/>
        <v>Valid</v>
      </c>
      <c r="O211" s="59">
        <f t="shared" si="6"/>
        <v>38</v>
      </c>
      <c r="P211" s="95"/>
      <c r="Q211" s="95"/>
      <c r="R211" s="60"/>
      <c r="S211" s="60"/>
      <c r="T211" s="60"/>
      <c r="U211" s="60"/>
      <c r="V211" s="60"/>
      <c r="W211" s="60"/>
      <c r="X211" s="60"/>
      <c r="Y211" s="60"/>
      <c r="Z211" s="60"/>
      <c r="AA211" s="60"/>
      <c r="AB211" s="60"/>
      <c r="AC211" s="60"/>
      <c r="AD211" s="60"/>
      <c r="AE211" s="60"/>
      <c r="AF211" s="60"/>
      <c r="AG211" s="60"/>
      <c r="AH211" s="60"/>
      <c r="AI211" s="60"/>
      <c r="AJ211" s="60"/>
    </row>
    <row r="212">
      <c r="A212" s="27" t="s">
        <v>1827</v>
      </c>
      <c r="B212" s="67" t="s">
        <v>3570</v>
      </c>
      <c r="C212" s="33">
        <f>COUNTIF(develop!F212:F980,B212)</f>
        <v>4</v>
      </c>
      <c r="D212" s="110" t="s">
        <v>42</v>
      </c>
      <c r="E212" s="28" t="s">
        <v>3571</v>
      </c>
      <c r="F212" s="34" t="s">
        <v>3572</v>
      </c>
      <c r="G212" s="35" t="str">
        <f t="shared" si="1"/>
        <v>mx-api-bc-bus-doc-mgmt-arch-corp</v>
      </c>
      <c r="H212" s="37" t="str">
        <f t="shared" si="2"/>
        <v>https://anypoint.mulesoft.com/exchange/834f46f4-ef08-4c50-81ae-56f917b413cc/mx-api-bc-bus-doc-mgmt-arch-corp</v>
      </c>
      <c r="I212" s="42"/>
      <c r="J212" s="41" t="str">
        <f t="shared" si="11"/>
        <v>mx-ms-bc-bus-doc-mgmt-arch-corp-mule</v>
      </c>
      <c r="K212" s="39" t="s">
        <v>58</v>
      </c>
      <c r="L212" s="99"/>
      <c r="M212" s="41" t="str">
        <f t="shared" si="12"/>
        <v>bus-doc-mgmt-arch-corp-api-dev</v>
      </c>
      <c r="N212" s="39" t="str">
        <f t="shared" si="13"/>
        <v>Valid</v>
      </c>
      <c r="O212" s="42">
        <f t="shared" si="6"/>
        <v>30</v>
      </c>
      <c r="P212" s="98"/>
      <c r="Q212" s="98"/>
      <c r="R212" s="43"/>
      <c r="S212" s="43"/>
      <c r="T212" s="43"/>
      <c r="U212" s="43"/>
      <c r="V212" s="43"/>
      <c r="W212" s="43"/>
      <c r="X212" s="43"/>
      <c r="Y212" s="43"/>
      <c r="Z212" s="43"/>
      <c r="AA212" s="43"/>
      <c r="AB212" s="43"/>
      <c r="AC212" s="43"/>
      <c r="AD212" s="43"/>
      <c r="AE212" s="43"/>
      <c r="AF212" s="43"/>
      <c r="AG212" s="43"/>
      <c r="AH212" s="43"/>
      <c r="AI212" s="43"/>
      <c r="AJ212" s="43"/>
    </row>
    <row r="213">
      <c r="A213" s="46" t="s">
        <v>1827</v>
      </c>
      <c r="B213" s="90" t="s">
        <v>3576</v>
      </c>
      <c r="C213" s="50">
        <f>COUNTIF(develop!F213:F980,B213)</f>
        <v>1</v>
      </c>
      <c r="D213" s="113" t="s">
        <v>119</v>
      </c>
      <c r="E213" s="47" t="s">
        <v>3577</v>
      </c>
      <c r="F213" s="51" t="s">
        <v>3579</v>
      </c>
      <c r="G213" s="53" t="str">
        <f t="shared" si="1"/>
        <v>mx-api-bc-dom-correspondence-corp</v>
      </c>
      <c r="H213" s="54" t="str">
        <f t="shared" si="2"/>
        <v>https://anypoint.mulesoft.com/exchange/834f46f4-ef08-4c50-81ae-56f917b413cc/mx-api-bc-dom-correspondence-corp</v>
      </c>
      <c r="I213" s="59"/>
      <c r="J213" s="57" t="str">
        <f t="shared" si="11"/>
        <v>mx-ms-bc-dom-correspondence-corp-mule</v>
      </c>
      <c r="K213" s="55" t="s">
        <v>58</v>
      </c>
      <c r="L213" s="96"/>
      <c r="M213" s="57" t="str">
        <f t="shared" si="12"/>
        <v>dom-correspondence-corp-api-dev</v>
      </c>
      <c r="N213" s="55" t="str">
        <f t="shared" si="13"/>
        <v>Valid</v>
      </c>
      <c r="O213" s="59">
        <f t="shared" si="6"/>
        <v>31</v>
      </c>
      <c r="P213" s="95"/>
      <c r="Q213" s="95"/>
      <c r="R213" s="60"/>
      <c r="S213" s="60"/>
      <c r="T213" s="60"/>
      <c r="U213" s="60"/>
      <c r="V213" s="60"/>
      <c r="W213" s="60"/>
      <c r="X213" s="60"/>
      <c r="Y213" s="60"/>
      <c r="Z213" s="60"/>
      <c r="AA213" s="60"/>
      <c r="AB213" s="60"/>
      <c r="AC213" s="60"/>
      <c r="AD213" s="60"/>
      <c r="AE213" s="60"/>
      <c r="AF213" s="60"/>
      <c r="AG213" s="60"/>
      <c r="AH213" s="60"/>
      <c r="AI213" s="60"/>
      <c r="AJ213" s="60"/>
    </row>
    <row r="214">
      <c r="A214" s="27" t="s">
        <v>1827</v>
      </c>
      <c r="B214" s="67" t="s">
        <v>3581</v>
      </c>
      <c r="C214" s="33">
        <f>COUNTIF(develop!F214:F980,B214)</f>
        <v>1</v>
      </c>
      <c r="D214" s="110" t="s">
        <v>1417</v>
      </c>
      <c r="E214" s="28" t="s">
        <v>3583</v>
      </c>
      <c r="F214" s="34" t="s">
        <v>3584</v>
      </c>
      <c r="G214" s="35" t="str">
        <f t="shared" si="1"/>
        <v>mx-api-bc-pro-correspondence-corp</v>
      </c>
      <c r="H214" s="37" t="str">
        <f t="shared" si="2"/>
        <v>https://anypoint.mulesoft.com/exchange/834f46f4-ef08-4c50-81ae-56f917b413cc/mx-api-bc-pro-correspondence-corp</v>
      </c>
      <c r="I214" s="42"/>
      <c r="J214" s="41" t="str">
        <f t="shared" si="11"/>
        <v>mx-ms-bc-pro-correspondence-corp</v>
      </c>
      <c r="K214" s="39" t="s">
        <v>816</v>
      </c>
      <c r="L214" s="99"/>
      <c r="M214" s="41" t="str">
        <f t="shared" si="12"/>
        <v>mx-ms-bc-pro-correspondence-corp</v>
      </c>
      <c r="N214" s="39" t="str">
        <f t="shared" si="13"/>
        <v>Valid</v>
      </c>
      <c r="O214" s="42">
        <f t="shared" si="6"/>
        <v>32</v>
      </c>
      <c r="P214" s="98"/>
      <c r="Q214" s="98"/>
      <c r="R214" s="43"/>
      <c r="S214" s="43"/>
      <c r="T214" s="43"/>
      <c r="U214" s="43"/>
      <c r="V214" s="43"/>
      <c r="W214" s="43"/>
      <c r="X214" s="43"/>
      <c r="Y214" s="43"/>
      <c r="Z214" s="43"/>
      <c r="AA214" s="43"/>
      <c r="AB214" s="43"/>
      <c r="AC214" s="43"/>
      <c r="AD214" s="43"/>
      <c r="AE214" s="43"/>
      <c r="AF214" s="43"/>
      <c r="AG214" s="43"/>
      <c r="AH214" s="43"/>
      <c r="AI214" s="43"/>
      <c r="AJ214" s="43"/>
    </row>
    <row r="215">
      <c r="A215" s="46" t="s">
        <v>1827</v>
      </c>
      <c r="B215" s="120" t="s">
        <v>3591</v>
      </c>
      <c r="C215" s="50">
        <f>COUNTIF(develop!F215:F980,B215)</f>
        <v>5</v>
      </c>
      <c r="D215" s="113" t="s">
        <v>42</v>
      </c>
      <c r="E215" s="90" t="s">
        <v>3592</v>
      </c>
      <c r="F215" s="51" t="s">
        <v>3593</v>
      </c>
      <c r="G215" s="53" t="str">
        <f t="shared" si="1"/>
        <v>mx-api-bc-bus-pty-auth-corp</v>
      </c>
      <c r="H215" s="54" t="str">
        <f t="shared" si="2"/>
        <v>https://anypoint.mulesoft.com/exchange/834f46f4-ef08-4c50-81ae-56f917b413cc/mx-api-bc-bus-pty-auth-corp</v>
      </c>
      <c r="I215" s="59" t="s">
        <v>162</v>
      </c>
      <c r="J215" s="57" t="str">
        <f t="shared" si="11"/>
        <v>mx-ms-bc-bus-pty-auth-corp-mule</v>
      </c>
      <c r="K215" s="55" t="s">
        <v>58</v>
      </c>
      <c r="L215" s="96"/>
      <c r="M215" s="57" t="str">
        <f t="shared" si="12"/>
        <v>bus-pty-auth-corp-api-dev</v>
      </c>
      <c r="N215" s="55" t="str">
        <f t="shared" si="13"/>
        <v>Valid</v>
      </c>
      <c r="O215" s="59">
        <f t="shared" si="6"/>
        <v>25</v>
      </c>
      <c r="P215" s="95"/>
      <c r="Q215" s="95"/>
      <c r="R215" s="60"/>
      <c r="S215" s="60"/>
      <c r="T215" s="60"/>
      <c r="U215" s="60"/>
      <c r="V215" s="60"/>
      <c r="W215" s="60"/>
      <c r="X215" s="60"/>
      <c r="Y215" s="60"/>
      <c r="Z215" s="60"/>
      <c r="AA215" s="60"/>
      <c r="AB215" s="60"/>
      <c r="AC215" s="60"/>
      <c r="AD215" s="60"/>
      <c r="AE215" s="60"/>
      <c r="AF215" s="60"/>
      <c r="AG215" s="60"/>
      <c r="AH215" s="60"/>
      <c r="AI215" s="60"/>
      <c r="AJ215" s="60"/>
    </row>
    <row r="216">
      <c r="A216" s="27" t="s">
        <v>1827</v>
      </c>
      <c r="B216" s="67" t="s">
        <v>3597</v>
      </c>
      <c r="C216" s="33">
        <f>COUNTIF(develop!F216:F980,B216)</f>
        <v>1</v>
      </c>
      <c r="D216" s="110" t="s">
        <v>42</v>
      </c>
      <c r="E216" s="28" t="s">
        <v>3599</v>
      </c>
      <c r="F216" s="34" t="s">
        <v>3600</v>
      </c>
      <c r="G216" s="35" t="str">
        <f t="shared" si="1"/>
        <v>mx-api-bc-bus-iss-dev-admin-corp</v>
      </c>
      <c r="H216" s="37" t="str">
        <f t="shared" si="2"/>
        <v>https://anypoint.mulesoft.com/exchange/834f46f4-ef08-4c50-81ae-56f917b413cc/mx-api-bc-bus-iss-dev-admin-corp</v>
      </c>
      <c r="I216" s="42"/>
      <c r="J216" s="41" t="str">
        <f t="shared" si="11"/>
        <v>mx-ms-bc-bus-iss-dev-admin-corp-mule</v>
      </c>
      <c r="K216" s="111" t="s">
        <v>58</v>
      </c>
      <c r="L216" s="99"/>
      <c r="M216" s="41" t="str">
        <f t="shared" si="12"/>
        <v>bus-iss-dev-admin-corp-api-dev</v>
      </c>
      <c r="N216" s="39" t="str">
        <f t="shared" si="13"/>
        <v>Valid</v>
      </c>
      <c r="O216" s="42">
        <f t="shared" si="6"/>
        <v>30</v>
      </c>
      <c r="P216" s="98"/>
      <c r="Q216" s="98"/>
      <c r="R216" s="43"/>
      <c r="S216" s="43"/>
      <c r="T216" s="43"/>
      <c r="U216" s="43"/>
      <c r="V216" s="43"/>
      <c r="W216" s="43"/>
      <c r="X216" s="43"/>
      <c r="Y216" s="43"/>
      <c r="Z216" s="43"/>
      <c r="AA216" s="43"/>
      <c r="AB216" s="43"/>
      <c r="AC216" s="43"/>
      <c r="AD216" s="43"/>
      <c r="AE216" s="43"/>
      <c r="AF216" s="43"/>
      <c r="AG216" s="43"/>
      <c r="AH216" s="43"/>
      <c r="AI216" s="43"/>
      <c r="AJ216" s="43"/>
    </row>
    <row r="217">
      <c r="A217" s="46" t="s">
        <v>1827</v>
      </c>
      <c r="B217" s="90" t="s">
        <v>3607</v>
      </c>
      <c r="C217" s="50">
        <f>COUNTIF(develop!F217:F980,B217)</f>
        <v>1</v>
      </c>
      <c r="D217" s="113" t="s">
        <v>119</v>
      </c>
      <c r="E217" s="47" t="s">
        <v>3610</v>
      </c>
      <c r="F217" s="51" t="s">
        <v>3611</v>
      </c>
      <c r="G217" s="53" t="str">
        <f t="shared" si="1"/>
        <v>mx-api-bc-dom-cust-rel-mgmt-corp</v>
      </c>
      <c r="H217" s="54" t="str">
        <f t="shared" si="2"/>
        <v>https://anypoint.mulesoft.com/exchange/834f46f4-ef08-4c50-81ae-56f917b413cc/mx-api-bc-dom-cust-rel-mgmt-corp</v>
      </c>
      <c r="I217" s="59"/>
      <c r="J217" s="57" t="str">
        <f t="shared" si="11"/>
        <v>mx-ms-bc-dom-cust-rel-mgmt-corp-mule</v>
      </c>
      <c r="K217" s="112" t="s">
        <v>58</v>
      </c>
      <c r="L217" s="96"/>
      <c r="M217" s="57" t="str">
        <f t="shared" si="12"/>
        <v>dom-cust-rel-mgmt-corp-api-dev</v>
      </c>
      <c r="N217" s="55" t="str">
        <f t="shared" si="13"/>
        <v>Valid</v>
      </c>
      <c r="O217" s="59">
        <f t="shared" si="6"/>
        <v>30</v>
      </c>
      <c r="P217" s="95"/>
      <c r="Q217" s="95"/>
      <c r="R217" s="60"/>
      <c r="S217" s="60"/>
      <c r="T217" s="60"/>
      <c r="U217" s="60"/>
      <c r="V217" s="60"/>
      <c r="W217" s="60"/>
      <c r="X217" s="60"/>
      <c r="Y217" s="60"/>
      <c r="Z217" s="60"/>
      <c r="AA217" s="60"/>
      <c r="AB217" s="60"/>
      <c r="AC217" s="60"/>
      <c r="AD217" s="60"/>
      <c r="AE217" s="60"/>
      <c r="AF217" s="60"/>
      <c r="AG217" s="60"/>
      <c r="AH217" s="60"/>
      <c r="AI217" s="60"/>
      <c r="AJ217" s="60"/>
    </row>
    <row r="218">
      <c r="A218" s="27" t="s">
        <v>1827</v>
      </c>
      <c r="B218" s="67" t="s">
        <v>3618</v>
      </c>
      <c r="C218" s="33">
        <f>COUNTIF(develop!F218:F980,B218)</f>
        <v>1</v>
      </c>
      <c r="D218" s="110" t="s">
        <v>811</v>
      </c>
      <c r="E218" s="28" t="s">
        <v>3622</v>
      </c>
      <c r="F218" s="34" t="s">
        <v>3624</v>
      </c>
      <c r="G218" s="35" t="str">
        <f t="shared" si="1"/>
        <v>mx-api-bc-pro-cust-rel-mgmt-corp</v>
      </c>
      <c r="H218" s="37" t="str">
        <f t="shared" si="2"/>
        <v>https://anypoint.mulesoft.com/exchange/834f46f4-ef08-4c50-81ae-56f917b413cc/mx-api-bc-pro-cust-rel-mgmt-corp</v>
      </c>
      <c r="I218" s="42"/>
      <c r="J218" s="41" t="str">
        <f t="shared" si="11"/>
        <v>mx-ms-bc-pro-cust-rel-mgmt-corp</v>
      </c>
      <c r="K218" s="111" t="s">
        <v>816</v>
      </c>
      <c r="L218" s="99"/>
      <c r="M218" s="41" t="str">
        <f t="shared" si="12"/>
        <v>mx-ms-bc-pro-cust-rel-mgmt-corp</v>
      </c>
      <c r="N218" s="39" t="str">
        <f t="shared" si="13"/>
        <v>Valid</v>
      </c>
      <c r="O218" s="42">
        <f t="shared" si="6"/>
        <v>31</v>
      </c>
      <c r="P218" s="98"/>
      <c r="Q218" s="98"/>
      <c r="R218" s="43"/>
      <c r="S218" s="43"/>
      <c r="T218" s="43"/>
      <c r="U218" s="43"/>
      <c r="V218" s="43"/>
      <c r="W218" s="43"/>
      <c r="X218" s="43"/>
      <c r="Y218" s="43"/>
      <c r="Z218" s="43"/>
      <c r="AA218" s="43"/>
      <c r="AB218" s="43"/>
      <c r="AC218" s="43"/>
      <c r="AD218" s="43"/>
      <c r="AE218" s="43"/>
      <c r="AF218" s="43"/>
      <c r="AG218" s="43"/>
      <c r="AH218" s="43"/>
      <c r="AI218" s="43"/>
      <c r="AJ218" s="43"/>
    </row>
    <row r="219">
      <c r="A219" s="46" t="s">
        <v>1827</v>
      </c>
      <c r="B219" s="90" t="s">
        <v>3635</v>
      </c>
      <c r="C219" s="50">
        <f>COUNTIF(develop!F219:F980,B219)</f>
        <v>0</v>
      </c>
      <c r="D219" s="113" t="s">
        <v>811</v>
      </c>
      <c r="E219" s="47" t="s">
        <v>3637</v>
      </c>
      <c r="F219" s="51" t="s">
        <v>3638</v>
      </c>
      <c r="G219" s="53" t="str">
        <f t="shared" si="1"/>
        <v>mx-api-bc-pro-cust-acc-entl-corp</v>
      </c>
      <c r="H219" s="54" t="str">
        <f t="shared" si="2"/>
        <v>https://anypoint.mulesoft.com/exchange/834f46f4-ef08-4c50-81ae-56f917b413cc/mx-api-bc-pro-cust-acc-entl-corp</v>
      </c>
      <c r="I219" s="59"/>
      <c r="J219" s="57" t="str">
        <f t="shared" si="11"/>
        <v>mx-ms-bc-pro-cust-acc-entl-corp</v>
      </c>
      <c r="K219" s="112" t="s">
        <v>816</v>
      </c>
      <c r="L219" s="96"/>
      <c r="M219" s="57" t="str">
        <f t="shared" si="12"/>
        <v>mx-ms-bc-pro-cust-acc-entl-corp</v>
      </c>
      <c r="N219" s="55" t="str">
        <f t="shared" si="13"/>
        <v>Valid</v>
      </c>
      <c r="O219" s="59">
        <f t="shared" si="6"/>
        <v>31</v>
      </c>
      <c r="P219" s="95"/>
      <c r="Q219" s="95"/>
      <c r="R219" s="60"/>
      <c r="S219" s="60"/>
      <c r="T219" s="60"/>
      <c r="U219" s="60"/>
      <c r="V219" s="60"/>
      <c r="W219" s="60"/>
      <c r="X219" s="60"/>
      <c r="Y219" s="60"/>
      <c r="Z219" s="60"/>
      <c r="AA219" s="60"/>
      <c r="AB219" s="60"/>
      <c r="AC219" s="60"/>
      <c r="AD219" s="60"/>
      <c r="AE219" s="60"/>
      <c r="AF219" s="60"/>
      <c r="AG219" s="60"/>
      <c r="AH219" s="60"/>
      <c r="AI219" s="60"/>
      <c r="AJ219" s="60"/>
    </row>
    <row r="220">
      <c r="A220" s="27" t="s">
        <v>1827</v>
      </c>
      <c r="B220" s="67" t="s">
        <v>3652</v>
      </c>
      <c r="C220" s="33">
        <f>COUNTIF(develop!F220:F980,B220)</f>
        <v>0</v>
      </c>
      <c r="D220" s="110" t="s">
        <v>119</v>
      </c>
      <c r="E220" s="28" t="s">
        <v>3654</v>
      </c>
      <c r="F220" s="34" t="s">
        <v>3656</v>
      </c>
      <c r="G220" s="35" t="str">
        <f t="shared" si="1"/>
        <v>mx-api-bc-dom-cust-acc-entl-corp</v>
      </c>
      <c r="H220" s="37" t="str">
        <f t="shared" si="2"/>
        <v>https://anypoint.mulesoft.com/exchange/834f46f4-ef08-4c50-81ae-56f917b413cc/mx-api-bc-dom-cust-acc-entl-corp</v>
      </c>
      <c r="I220" s="42"/>
      <c r="J220" s="41" t="str">
        <f t="shared" si="11"/>
        <v>mx-ms-bc-dom-cust-acc-entl-corp-mule</v>
      </c>
      <c r="K220" s="111" t="s">
        <v>58</v>
      </c>
      <c r="L220" s="99"/>
      <c r="M220" s="41" t="str">
        <f t="shared" si="12"/>
        <v>dom-cust-acc-entl-corp-api-dev</v>
      </c>
      <c r="N220" s="39" t="str">
        <f t="shared" si="13"/>
        <v>Valid</v>
      </c>
      <c r="O220" s="42">
        <f t="shared" si="6"/>
        <v>30</v>
      </c>
      <c r="P220" s="98"/>
      <c r="Q220" s="98"/>
      <c r="R220" s="43"/>
      <c r="S220" s="43"/>
      <c r="T220" s="43"/>
      <c r="U220" s="43"/>
      <c r="V220" s="43"/>
      <c r="W220" s="43"/>
      <c r="X220" s="43"/>
      <c r="Y220" s="43"/>
      <c r="Z220" s="43"/>
      <c r="AA220" s="43"/>
      <c r="AB220" s="43"/>
      <c r="AC220" s="43"/>
      <c r="AD220" s="43"/>
      <c r="AE220" s="43"/>
      <c r="AF220" s="43"/>
      <c r="AG220" s="43"/>
      <c r="AH220" s="43"/>
      <c r="AI220" s="43"/>
      <c r="AJ220" s="43"/>
    </row>
    <row r="221">
      <c r="A221" s="46" t="s">
        <v>1827</v>
      </c>
      <c r="B221" s="90" t="s">
        <v>3666</v>
      </c>
      <c r="C221" s="50">
        <f>COUNTIF(develop!F221:F980,B221)</f>
        <v>1</v>
      </c>
      <c r="D221" s="113" t="s">
        <v>3669</v>
      </c>
      <c r="E221" s="47" t="s">
        <v>3670</v>
      </c>
      <c r="F221" s="113" t="s">
        <v>3671</v>
      </c>
      <c r="G221" s="53" t="str">
        <f t="shared" si="1"/>
        <v>mx-api-bc-wrk-payment-initiation-corp</v>
      </c>
      <c r="H221" s="54" t="str">
        <f t="shared" si="2"/>
        <v>https://anypoint.mulesoft.com/exchange/834f46f4-ef08-4c50-81ae-56f917b413cc/mx-api-bc-wrk-payment-initiation-corp</v>
      </c>
      <c r="I221" s="59"/>
      <c r="J221" s="57" t="str">
        <f t="shared" si="11"/>
        <v>Clasificación no encontrada</v>
      </c>
      <c r="K221" s="112" t="s">
        <v>816</v>
      </c>
      <c r="L221" s="96"/>
      <c r="M221" s="57" t="str">
        <f t="shared" si="12"/>
        <v>Formato inválido</v>
      </c>
      <c r="N221" s="55" t="str">
        <f t="shared" si="13"/>
        <v>Invalid</v>
      </c>
      <c r="O221" s="59">
        <f t="shared" si="6"/>
        <v>16</v>
      </c>
      <c r="P221" s="95"/>
      <c r="Q221" s="95"/>
      <c r="R221" s="60"/>
      <c r="S221" s="60"/>
      <c r="T221" s="60"/>
      <c r="U221" s="60"/>
      <c r="V221" s="60"/>
      <c r="W221" s="60"/>
      <c r="X221" s="60"/>
      <c r="Y221" s="60"/>
      <c r="Z221" s="60"/>
      <c r="AA221" s="60"/>
      <c r="AB221" s="60"/>
      <c r="AC221" s="60"/>
      <c r="AD221" s="60"/>
      <c r="AE221" s="60"/>
      <c r="AF221" s="60"/>
      <c r="AG221" s="60"/>
      <c r="AH221" s="60"/>
      <c r="AI221" s="60"/>
      <c r="AJ221" s="60"/>
    </row>
    <row r="222">
      <c r="A222" s="27" t="s">
        <v>1827</v>
      </c>
      <c r="B222" s="67" t="s">
        <v>3682</v>
      </c>
      <c r="C222" s="33">
        <f>COUNTIF(develop!F222:F980,B222)</f>
        <v>2</v>
      </c>
      <c r="D222" s="110" t="s">
        <v>42</v>
      </c>
      <c r="E222" s="28" t="s">
        <v>3685</v>
      </c>
      <c r="F222" s="110" t="s">
        <v>3686</v>
      </c>
      <c r="G222" s="35" t="str">
        <f t="shared" si="1"/>
        <v>mx-api-bc-bus-party-ref-dat-dir-corp</v>
      </c>
      <c r="H222" s="37" t="str">
        <f t="shared" si="2"/>
        <v>https://anypoint.mulesoft.com/exchange/834f46f4-ef08-4c50-81ae-56f917b413cc/mx-api-bc-bus-party-ref-dat-dir-corp</v>
      </c>
      <c r="I222" s="42"/>
      <c r="J222" s="41" t="str">
        <f t="shared" si="11"/>
        <v>mx-ms-bc-bus-party-ref-dat-dir-corp-mule</v>
      </c>
      <c r="K222" s="111" t="s">
        <v>58</v>
      </c>
      <c r="L222" s="99"/>
      <c r="M222" s="41" t="str">
        <f t="shared" si="12"/>
        <v>bus-party-ref-dat-dir-corp-api-dev</v>
      </c>
      <c r="N222" s="39" t="str">
        <f t="shared" si="13"/>
        <v>Valid</v>
      </c>
      <c r="O222" s="42">
        <f t="shared" si="6"/>
        <v>34</v>
      </c>
      <c r="P222" s="98"/>
      <c r="Q222" s="98"/>
      <c r="R222" s="43"/>
      <c r="S222" s="43"/>
      <c r="T222" s="43"/>
      <c r="U222" s="43"/>
      <c r="V222" s="43"/>
      <c r="W222" s="43"/>
      <c r="X222" s="43"/>
      <c r="Y222" s="43"/>
      <c r="Z222" s="43"/>
      <c r="AA222" s="43"/>
      <c r="AB222" s="43"/>
      <c r="AC222" s="43"/>
      <c r="AD222" s="43"/>
      <c r="AE222" s="43"/>
      <c r="AF222" s="43"/>
      <c r="AG222" s="43"/>
      <c r="AH222" s="43"/>
      <c r="AI222" s="43"/>
      <c r="AJ222" s="43"/>
    </row>
    <row r="223">
      <c r="A223" s="46" t="s">
        <v>1827</v>
      </c>
      <c r="B223" s="90" t="s">
        <v>3694</v>
      </c>
      <c r="C223" s="50">
        <f>COUNTIF(develop!F223:F980,B223)</f>
        <v>2</v>
      </c>
      <c r="D223" s="113" t="s">
        <v>1417</v>
      </c>
      <c r="E223" s="47" t="s">
        <v>3697</v>
      </c>
      <c r="F223" s="113" t="s">
        <v>3699</v>
      </c>
      <c r="G223" s="53" t="str">
        <f t="shared" si="1"/>
        <v>mx-api-bc-dom-doc-mgmt-arch-corp</v>
      </c>
      <c r="H223" s="54" t="str">
        <f t="shared" si="2"/>
        <v>https://anypoint.mulesoft.com/exchange/834f46f4-ef08-4c50-81ae-56f917b413cc/mx-api-bc-dom-doc-mgmt-arch-corp</v>
      </c>
      <c r="I223" s="59"/>
      <c r="J223" s="57" t="str">
        <f t="shared" si="11"/>
        <v>mx-ms-bc-dom-doc-mgmt-arch-corp-mule</v>
      </c>
      <c r="K223" s="112" t="s">
        <v>1423</v>
      </c>
      <c r="L223" s="96"/>
      <c r="M223" s="57" t="str">
        <f t="shared" si="12"/>
        <v>dom-doc-mgmt-arch-corp-api-dev</v>
      </c>
      <c r="N223" s="55" t="str">
        <f t="shared" si="13"/>
        <v>Valid</v>
      </c>
      <c r="O223" s="59">
        <f t="shared" si="6"/>
        <v>30</v>
      </c>
      <c r="P223" s="95"/>
      <c r="Q223" s="95"/>
      <c r="R223" s="60"/>
      <c r="S223" s="60"/>
      <c r="T223" s="60"/>
      <c r="U223" s="60"/>
      <c r="V223" s="60"/>
      <c r="W223" s="60"/>
      <c r="X223" s="60"/>
      <c r="Y223" s="60"/>
      <c r="Z223" s="60"/>
      <c r="AA223" s="60"/>
      <c r="AB223" s="60"/>
      <c r="AC223" s="60"/>
      <c r="AD223" s="60"/>
      <c r="AE223" s="60"/>
      <c r="AF223" s="60"/>
      <c r="AG223" s="60"/>
      <c r="AH223" s="60"/>
      <c r="AI223" s="60"/>
      <c r="AJ223" s="60"/>
    </row>
    <row r="224">
      <c r="A224" s="27" t="s">
        <v>1827</v>
      </c>
      <c r="B224" s="67" t="s">
        <v>3707</v>
      </c>
      <c r="C224" s="33">
        <f>COUNTIF(develop!F224:F980,B224)</f>
        <v>2</v>
      </c>
      <c r="D224" s="110" t="s">
        <v>42</v>
      </c>
      <c r="E224" s="28" t="s">
        <v>3709</v>
      </c>
      <c r="F224" s="110" t="s">
        <v>3710</v>
      </c>
      <c r="G224" s="35" t="str">
        <f t="shared" si="1"/>
        <v>mx-api-bc-pro-doc-mgmt-arch-corp</v>
      </c>
      <c r="H224" s="37" t="str">
        <f t="shared" si="2"/>
        <v>https://anypoint.mulesoft.com/exchange/834f46f4-ef08-4c50-81ae-56f917b413cc/mx-api-bc-pro-doc-mgmt-arch-corp</v>
      </c>
      <c r="I224" s="42"/>
      <c r="J224" s="41" t="str">
        <f t="shared" si="11"/>
        <v>mx-ms-bc-pro-doc-mgmt-arch-corp</v>
      </c>
      <c r="K224" s="111" t="s">
        <v>58</v>
      </c>
      <c r="L224" s="99"/>
      <c r="M224" s="41" t="str">
        <f t="shared" si="12"/>
        <v>mx-ms-bc-pro-doc-mgmt-arch-corp</v>
      </c>
      <c r="N224" s="39" t="str">
        <f t="shared" si="13"/>
        <v>Valid</v>
      </c>
      <c r="O224" s="42">
        <f t="shared" si="6"/>
        <v>31</v>
      </c>
      <c r="P224" s="98"/>
      <c r="Q224" s="98"/>
      <c r="R224" s="43"/>
      <c r="S224" s="43"/>
      <c r="T224" s="43"/>
      <c r="U224" s="43"/>
      <c r="V224" s="43"/>
      <c r="W224" s="43"/>
      <c r="X224" s="43"/>
      <c r="Y224" s="43"/>
      <c r="Z224" s="43"/>
      <c r="AA224" s="43"/>
      <c r="AB224" s="43"/>
      <c r="AC224" s="43"/>
      <c r="AD224" s="43"/>
      <c r="AE224" s="43"/>
      <c r="AF224" s="43"/>
      <c r="AG224" s="43"/>
      <c r="AH224" s="43"/>
      <c r="AI224" s="43"/>
      <c r="AJ224" s="43"/>
    </row>
    <row r="225">
      <c r="A225" s="46" t="s">
        <v>1827</v>
      </c>
      <c r="B225" s="90" t="s">
        <v>3719</v>
      </c>
      <c r="C225" s="50">
        <f>COUNTIF(develop!F225:F980,B225)</f>
        <v>1</v>
      </c>
      <c r="D225" s="113" t="s">
        <v>1417</v>
      </c>
      <c r="E225" s="47" t="s">
        <v>3722</v>
      </c>
      <c r="F225" s="113" t="s">
        <v>3723</v>
      </c>
      <c r="G225" s="53" t="str">
        <f t="shared" si="1"/>
        <v>mx-api-bc-rec-archive-svcs-corp</v>
      </c>
      <c r="H225" s="54" t="str">
        <f t="shared" si="2"/>
        <v>https://anypoint.mulesoft.com/exchange/834f46f4-ef08-4c50-81ae-56f917b413cc/mx-api-bc-rec-archive-svcs-corp</v>
      </c>
      <c r="I225" s="59"/>
      <c r="J225" s="57" t="str">
        <f t="shared" si="11"/>
        <v>mx-ms-bc-rec-archive-svcs-corp-apigee</v>
      </c>
      <c r="K225" s="112" t="s">
        <v>1423</v>
      </c>
      <c r="L225" s="96"/>
      <c r="M225" s="57" t="str">
        <f t="shared" si="12"/>
        <v>mx-ms-bc-rec-archive-svcs-corp-apigee</v>
      </c>
      <c r="N225" s="55" t="str">
        <f t="shared" si="13"/>
        <v>Valid</v>
      </c>
      <c r="O225" s="59">
        <f t="shared" si="6"/>
        <v>37</v>
      </c>
      <c r="P225" s="95"/>
      <c r="Q225" s="95"/>
      <c r="R225" s="60"/>
      <c r="S225" s="60"/>
      <c r="T225" s="60"/>
      <c r="U225" s="60"/>
      <c r="V225" s="60"/>
      <c r="W225" s="60"/>
      <c r="X225" s="60"/>
      <c r="Y225" s="60"/>
      <c r="Z225" s="60"/>
      <c r="AA225" s="60"/>
      <c r="AB225" s="60"/>
      <c r="AC225" s="60"/>
      <c r="AD225" s="60"/>
      <c r="AE225" s="60"/>
      <c r="AF225" s="60"/>
      <c r="AG225" s="60"/>
      <c r="AH225" s="60"/>
      <c r="AI225" s="60"/>
      <c r="AJ225" s="60"/>
    </row>
    <row r="226">
      <c r="A226" s="27" t="s">
        <v>1827</v>
      </c>
      <c r="B226" s="67" t="s">
        <v>3733</v>
      </c>
      <c r="C226" s="33">
        <f>COUNTIF(develop!F226:F980,B226)</f>
        <v>1</v>
      </c>
      <c r="D226" s="110" t="s">
        <v>42</v>
      </c>
      <c r="E226" s="28" t="s">
        <v>3736</v>
      </c>
      <c r="F226" s="110" t="s">
        <v>3737</v>
      </c>
      <c r="G226" s="35" t="str">
        <f t="shared" si="1"/>
        <v>mx-api-bc-bus-archive-svcs-corp</v>
      </c>
      <c r="H226" s="37" t="str">
        <f t="shared" si="2"/>
        <v>https://anypoint.mulesoft.com/exchange/834f46f4-ef08-4c50-81ae-56f917b413cc/mx-api-bc-bus-archive-svcs-corp</v>
      </c>
      <c r="I226" s="42"/>
      <c r="J226" s="41" t="str">
        <f t="shared" si="11"/>
        <v>mx-ms-bc-bus-archive-svcs-corp-mule</v>
      </c>
      <c r="K226" s="111" t="s">
        <v>58</v>
      </c>
      <c r="L226" s="99"/>
      <c r="M226" s="41" t="str">
        <f t="shared" si="12"/>
        <v>bus-archive-svcs-corp-api-dev</v>
      </c>
      <c r="N226" s="39" t="str">
        <f t="shared" si="13"/>
        <v>Valid</v>
      </c>
      <c r="O226" s="42">
        <f t="shared" si="6"/>
        <v>29</v>
      </c>
      <c r="P226" s="98"/>
      <c r="Q226" s="98"/>
      <c r="R226" s="43"/>
      <c r="S226" s="43"/>
      <c r="T226" s="43"/>
      <c r="U226" s="43"/>
      <c r="V226" s="43"/>
      <c r="W226" s="43"/>
      <c r="X226" s="43"/>
      <c r="Y226" s="43"/>
      <c r="Z226" s="43"/>
      <c r="AA226" s="43"/>
      <c r="AB226" s="43"/>
      <c r="AC226" s="43"/>
      <c r="AD226" s="43"/>
      <c r="AE226" s="43"/>
      <c r="AF226" s="43"/>
      <c r="AG226" s="43"/>
      <c r="AH226" s="43"/>
      <c r="AI226" s="43"/>
      <c r="AJ226" s="43"/>
    </row>
    <row r="227">
      <c r="A227" s="46" t="s">
        <v>1827</v>
      </c>
      <c r="B227" s="90" t="s">
        <v>3746</v>
      </c>
      <c r="C227" s="50">
        <f>COUNTIF(develop!F227:F980,B227)</f>
        <v>1</v>
      </c>
      <c r="D227" s="113" t="s">
        <v>1417</v>
      </c>
      <c r="E227" s="47" t="s">
        <v>3749</v>
      </c>
      <c r="F227" s="113" t="s">
        <v>3750</v>
      </c>
      <c r="G227" s="53" t="str">
        <f t="shared" si="1"/>
        <v>mx-api-bc-rec-trans-auth-corp</v>
      </c>
      <c r="H227" s="54" t="str">
        <f t="shared" si="2"/>
        <v>https://anypoint.mulesoft.com/exchange/834f46f4-ef08-4c50-81ae-56f917b413cc/mx-api-bc-rec-trans-auth-corp</v>
      </c>
      <c r="I227" s="59"/>
      <c r="J227" s="57" t="str">
        <f t="shared" si="11"/>
        <v>mx-ms-bc-rec-trans-auth-corp-apigee</v>
      </c>
      <c r="K227" s="112" t="s">
        <v>1423</v>
      </c>
      <c r="L227" s="96"/>
      <c r="M227" s="57" t="str">
        <f t="shared" si="12"/>
        <v>mx-ms-bc-rec-trans-auth-corp-apigee</v>
      </c>
      <c r="N227" s="55" t="str">
        <f t="shared" si="13"/>
        <v>Valid</v>
      </c>
      <c r="O227" s="59">
        <f t="shared" si="6"/>
        <v>35</v>
      </c>
      <c r="P227" s="95"/>
      <c r="Q227" s="95"/>
      <c r="R227" s="60"/>
      <c r="S227" s="60"/>
      <c r="T227" s="60"/>
      <c r="U227" s="60"/>
      <c r="V227" s="60"/>
      <c r="W227" s="60"/>
      <c r="X227" s="60"/>
      <c r="Y227" s="60"/>
      <c r="Z227" s="60"/>
      <c r="AA227" s="60"/>
      <c r="AB227" s="60"/>
      <c r="AC227" s="60"/>
      <c r="AD227" s="60"/>
      <c r="AE227" s="60"/>
      <c r="AF227" s="60"/>
      <c r="AG227" s="60"/>
      <c r="AH227" s="60"/>
      <c r="AI227" s="60"/>
      <c r="AJ227" s="60"/>
    </row>
    <row r="228">
      <c r="A228" s="27" t="s">
        <v>1827</v>
      </c>
      <c r="B228" s="67" t="s">
        <v>3759</v>
      </c>
      <c r="C228" s="33">
        <f>COUNTIF(develop!F228:F980,B228)</f>
        <v>1</v>
      </c>
      <c r="D228" s="110" t="s">
        <v>42</v>
      </c>
      <c r="E228" s="28" t="s">
        <v>3761</v>
      </c>
      <c r="F228" s="110" t="s">
        <v>3762</v>
      </c>
      <c r="G228" s="35" t="str">
        <f t="shared" si="1"/>
        <v>mx-api-bc-bus-trans-auth-corp</v>
      </c>
      <c r="H228" s="37" t="str">
        <f t="shared" si="2"/>
        <v>https://anypoint.mulesoft.com/exchange/834f46f4-ef08-4c50-81ae-56f917b413cc/mx-api-bc-bus-trans-auth-corp</v>
      </c>
      <c r="I228" s="42"/>
      <c r="J228" s="41" t="str">
        <f t="shared" si="11"/>
        <v>mx-ms-bc-bus-trans-auth-corp-mule</v>
      </c>
      <c r="K228" s="111" t="s">
        <v>58</v>
      </c>
      <c r="L228" s="99"/>
      <c r="M228" s="41" t="str">
        <f t="shared" si="12"/>
        <v>bus-trans-auth-corp-api-dev</v>
      </c>
      <c r="N228" s="39" t="str">
        <f t="shared" si="13"/>
        <v>Valid</v>
      </c>
      <c r="O228" s="42">
        <f t="shared" si="6"/>
        <v>27</v>
      </c>
      <c r="P228" s="98"/>
      <c r="Q228" s="98"/>
      <c r="R228" s="43"/>
      <c r="S228" s="43"/>
      <c r="T228" s="43"/>
      <c r="U228" s="43"/>
      <c r="V228" s="43"/>
      <c r="W228" s="43"/>
      <c r="X228" s="43"/>
      <c r="Y228" s="43"/>
      <c r="Z228" s="43"/>
      <c r="AA228" s="43"/>
      <c r="AB228" s="43"/>
      <c r="AC228" s="43"/>
      <c r="AD228" s="43"/>
      <c r="AE228" s="43"/>
      <c r="AF228" s="43"/>
      <c r="AG228" s="43"/>
      <c r="AH228" s="43"/>
      <c r="AI228" s="43"/>
      <c r="AJ228" s="43"/>
    </row>
    <row r="229">
      <c r="A229" s="46" t="s">
        <v>44</v>
      </c>
      <c r="B229" s="90" t="s">
        <v>3770</v>
      </c>
      <c r="C229" s="50">
        <f>COUNTIF(develop!F229:F980,B229)</f>
        <v>1</v>
      </c>
      <c r="D229" s="113" t="s">
        <v>2617</v>
      </c>
      <c r="E229" s="90" t="s">
        <v>3773</v>
      </c>
      <c r="F229" s="113" t="s">
        <v>3774</v>
      </c>
      <c r="G229" s="53" t="str">
        <f t="shared" si="1"/>
        <v>mx-api-bc-br-counterparty-risk</v>
      </c>
      <c r="H229" s="54" t="str">
        <f t="shared" si="2"/>
        <v>https://anypoint.mulesoft.com/exchange/834f46f4-ef08-4c50-81ae-56f917b413cc/mx-api-bc-br-counterparty-risk</v>
      </c>
      <c r="I229" s="59" t="s">
        <v>255</v>
      </c>
      <c r="J229" s="57" t="str">
        <f t="shared" si="11"/>
        <v>mx-ms-bc-br-counterparty-risk-apigee</v>
      </c>
      <c r="K229" s="112" t="s">
        <v>1423</v>
      </c>
      <c r="L229" s="96"/>
      <c r="M229" s="57" t="str">
        <f t="shared" si="12"/>
        <v>mx-ms-bc-br-counterparty-risk-apigee</v>
      </c>
      <c r="N229" s="55" t="str">
        <f t="shared" si="13"/>
        <v>Valid</v>
      </c>
      <c r="O229" s="59">
        <f t="shared" si="6"/>
        <v>36</v>
      </c>
      <c r="P229" s="95"/>
      <c r="Q229" s="95"/>
      <c r="R229" s="60"/>
      <c r="S229" s="60"/>
      <c r="T229" s="60"/>
      <c r="U229" s="60"/>
      <c r="V229" s="60"/>
      <c r="W229" s="60"/>
      <c r="X229" s="60"/>
      <c r="Y229" s="60"/>
      <c r="Z229" s="60"/>
      <c r="AA229" s="60"/>
      <c r="AB229" s="60"/>
      <c r="AC229" s="60"/>
      <c r="AD229" s="60"/>
      <c r="AE229" s="60"/>
      <c r="AF229" s="60"/>
      <c r="AG229" s="60"/>
      <c r="AH229" s="60"/>
      <c r="AI229" s="60"/>
      <c r="AJ229" s="60"/>
    </row>
    <row r="230">
      <c r="A230" s="27" t="s">
        <v>44</v>
      </c>
      <c r="B230" s="67" t="s">
        <v>3785</v>
      </c>
      <c r="C230" s="33">
        <f>COUNTIF(develop!F230:F980,B230)</f>
        <v>2</v>
      </c>
      <c r="D230" s="110" t="s">
        <v>42</v>
      </c>
      <c r="E230" s="67" t="s">
        <v>3788</v>
      </c>
      <c r="F230" s="110" t="s">
        <v>3789</v>
      </c>
      <c r="G230" s="35" t="str">
        <f t="shared" si="1"/>
        <v>mx-api-bc-bus-regulations-and-compliance</v>
      </c>
      <c r="H230" s="37" t="str">
        <f t="shared" si="2"/>
        <v>https://anypoint.mulesoft.com/exchange/834f46f4-ef08-4c50-81ae-56f917b413cc/mx-api-bc-bus-regulations-and-compliance</v>
      </c>
      <c r="I230" s="42" t="s">
        <v>162</v>
      </c>
      <c r="J230" s="41" t="str">
        <f t="shared" si="11"/>
        <v>mx-ms-bc-bus-regulations-and-compliance-mule</v>
      </c>
      <c r="K230" s="111" t="s">
        <v>58</v>
      </c>
      <c r="L230" s="99"/>
      <c r="M230" s="41" t="str">
        <f t="shared" si="12"/>
        <v>bus-regulations-and-compliance-api-dev</v>
      </c>
      <c r="N230" s="39" t="str">
        <f t="shared" si="13"/>
        <v>Valid</v>
      </c>
      <c r="O230" s="42">
        <f t="shared" si="6"/>
        <v>38</v>
      </c>
      <c r="P230" s="98"/>
      <c r="Q230" s="98"/>
      <c r="R230" s="43"/>
      <c r="S230" s="43"/>
      <c r="T230" s="43"/>
      <c r="U230" s="43"/>
      <c r="V230" s="43"/>
      <c r="W230" s="43"/>
      <c r="X230" s="43"/>
      <c r="Y230" s="43"/>
      <c r="Z230" s="43"/>
      <c r="AA230" s="43"/>
      <c r="AB230" s="43"/>
      <c r="AC230" s="43"/>
      <c r="AD230" s="43"/>
      <c r="AE230" s="43"/>
      <c r="AF230" s="43"/>
      <c r="AG230" s="43"/>
      <c r="AH230" s="43"/>
      <c r="AI230" s="43"/>
      <c r="AJ230" s="43"/>
    </row>
    <row r="231">
      <c r="A231" s="46" t="s">
        <v>44</v>
      </c>
      <c r="B231" s="90" t="s">
        <v>3800</v>
      </c>
      <c r="C231" s="50">
        <f>COUNTIF(develop!F231:F980,B231)</f>
        <v>2</v>
      </c>
      <c r="D231" s="113" t="s">
        <v>1417</v>
      </c>
      <c r="E231" s="90" t="s">
        <v>3802</v>
      </c>
      <c r="F231" s="113" t="s">
        <v>3804</v>
      </c>
      <c r="G231" s="53" t="str">
        <f t="shared" si="1"/>
        <v>mx-api-bc-rec-regulations-and-compliance</v>
      </c>
      <c r="H231" s="54" t="str">
        <f t="shared" si="2"/>
        <v>https://anypoint.mulesoft.com/exchange/834f46f4-ef08-4c50-81ae-56f917b413cc/mx-api-bc-rec-regulations-and-compliance</v>
      </c>
      <c r="I231" s="59" t="s">
        <v>162</v>
      </c>
      <c r="J231" s="57" t="str">
        <f t="shared" si="11"/>
        <v>mx-ms-bc-rec-regulations-and-compliance-apigee</v>
      </c>
      <c r="K231" s="112" t="s">
        <v>1423</v>
      </c>
      <c r="L231" s="96"/>
      <c r="M231" s="57" t="str">
        <f t="shared" si="12"/>
        <v>mx-ms-bc-rec-regulations-and-compliance-apigee</v>
      </c>
      <c r="N231" s="55" t="str">
        <f t="shared" si="13"/>
        <v>Valid</v>
      </c>
      <c r="O231" s="59">
        <f t="shared" si="6"/>
        <v>46</v>
      </c>
      <c r="P231" s="95"/>
      <c r="Q231" s="95"/>
      <c r="R231" s="60"/>
      <c r="S231" s="60"/>
      <c r="T231" s="60"/>
      <c r="U231" s="60"/>
      <c r="V231" s="60"/>
      <c r="W231" s="60"/>
      <c r="X231" s="60"/>
      <c r="Y231" s="60"/>
      <c r="Z231" s="60"/>
      <c r="AA231" s="60"/>
      <c r="AB231" s="60"/>
      <c r="AC231" s="60"/>
      <c r="AD231" s="60"/>
      <c r="AE231" s="60"/>
      <c r="AF231" s="60"/>
      <c r="AG231" s="60"/>
      <c r="AH231" s="60"/>
      <c r="AI231" s="60"/>
      <c r="AJ231" s="60"/>
    </row>
    <row r="232">
      <c r="A232" s="27" t="s">
        <v>44</v>
      </c>
      <c r="B232" s="67" t="s">
        <v>3813</v>
      </c>
      <c r="C232" s="33">
        <f>COUNTIF(develop!F232:F980,B232)</f>
        <v>1</v>
      </c>
      <c r="D232" s="110" t="s">
        <v>42</v>
      </c>
      <c r="E232" s="67" t="s">
        <v>3815</v>
      </c>
      <c r="F232" s="110" t="s">
        <v>3816</v>
      </c>
      <c r="G232" s="35" t="str">
        <f t="shared" si="1"/>
        <v>mx-api-bc-bus-market-data</v>
      </c>
      <c r="H232" s="37" t="str">
        <f t="shared" si="2"/>
        <v>https://anypoint.mulesoft.com/exchange/834f46f4-ef08-4c50-81ae-56f917b413cc/mx-api-bc-bus-market-data</v>
      </c>
      <c r="I232" s="42" t="s">
        <v>162</v>
      </c>
      <c r="J232" s="41" t="str">
        <f t="shared" si="11"/>
        <v>mx-ms-bc-bus-market-data-mule</v>
      </c>
      <c r="K232" s="111" t="s">
        <v>58</v>
      </c>
      <c r="L232" s="99"/>
      <c r="M232" s="41" t="str">
        <f t="shared" si="12"/>
        <v>bus-market-data-api-dev</v>
      </c>
      <c r="N232" s="39" t="str">
        <f t="shared" si="13"/>
        <v>Valid</v>
      </c>
      <c r="O232" s="42">
        <f t="shared" si="6"/>
        <v>23</v>
      </c>
      <c r="P232" s="98"/>
      <c r="Q232" s="98"/>
      <c r="R232" s="43"/>
      <c r="S232" s="43"/>
      <c r="T232" s="43"/>
      <c r="U232" s="43"/>
      <c r="V232" s="43"/>
      <c r="W232" s="43"/>
      <c r="X232" s="43"/>
      <c r="Y232" s="43"/>
      <c r="Z232" s="43"/>
      <c r="AA232" s="43"/>
      <c r="AB232" s="43"/>
      <c r="AC232" s="43"/>
      <c r="AD232" s="43"/>
      <c r="AE232" s="43"/>
      <c r="AF232" s="43"/>
      <c r="AG232" s="43"/>
      <c r="AH232" s="43"/>
      <c r="AI232" s="43"/>
      <c r="AJ232" s="43"/>
    </row>
    <row r="233">
      <c r="A233" s="46" t="s">
        <v>44</v>
      </c>
      <c r="B233" s="90" t="s">
        <v>3831</v>
      </c>
      <c r="C233" s="50">
        <f>COUNTIF(develop!F233:F980,B233)</f>
        <v>1</v>
      </c>
      <c r="D233" s="113" t="s">
        <v>1417</v>
      </c>
      <c r="E233" s="90" t="s">
        <v>3835</v>
      </c>
      <c r="F233" s="113" t="s">
        <v>3837</v>
      </c>
      <c r="G233" s="53" t="str">
        <f t="shared" si="1"/>
        <v>mx-api-bc-rec-market-data</v>
      </c>
      <c r="H233" s="54" t="str">
        <f t="shared" si="2"/>
        <v>https://anypoint.mulesoft.com/exchange/834f46f4-ef08-4c50-81ae-56f917b413cc/mx-api-bc-rec-market-data</v>
      </c>
      <c r="I233" s="59" t="s">
        <v>162</v>
      </c>
      <c r="J233" s="57" t="str">
        <f t="shared" si="11"/>
        <v>mx-ms-bc-rec-market-data-apigee</v>
      </c>
      <c r="K233" s="112" t="s">
        <v>1423</v>
      </c>
      <c r="L233" s="96"/>
      <c r="M233" s="57" t="str">
        <f t="shared" si="12"/>
        <v>mx-ms-bc-rec-market-data-apigee</v>
      </c>
      <c r="N233" s="55" t="str">
        <f t="shared" si="13"/>
        <v>Valid</v>
      </c>
      <c r="O233" s="59">
        <f t="shared" si="6"/>
        <v>31</v>
      </c>
      <c r="P233" s="95"/>
      <c r="Q233" s="95"/>
      <c r="R233" s="60"/>
      <c r="S233" s="60"/>
      <c r="T233" s="60"/>
      <c r="U233" s="60"/>
      <c r="V233" s="60"/>
      <c r="W233" s="60"/>
      <c r="X233" s="60"/>
      <c r="Y233" s="60"/>
      <c r="Z233" s="60"/>
      <c r="AA233" s="60"/>
      <c r="AB233" s="60"/>
      <c r="AC233" s="60"/>
      <c r="AD233" s="60"/>
      <c r="AE233" s="60"/>
      <c r="AF233" s="60"/>
      <c r="AG233" s="60"/>
      <c r="AH233" s="60"/>
      <c r="AI233" s="60"/>
      <c r="AJ233" s="60"/>
    </row>
    <row r="234">
      <c r="A234" s="27" t="s">
        <v>44</v>
      </c>
      <c r="B234" s="67" t="s">
        <v>3847</v>
      </c>
      <c r="C234" s="33">
        <f>COUNTIF(develop!F234:F980,B234)</f>
        <v>1</v>
      </c>
      <c r="D234" s="110" t="s">
        <v>1417</v>
      </c>
      <c r="E234" s="124" t="s">
        <v>3852</v>
      </c>
      <c r="F234" s="110" t="s">
        <v>3854</v>
      </c>
      <c r="G234" s="35" t="str">
        <f t="shared" si="1"/>
        <v>mx-api-cpp-rec-party-retail-reference-data-directory</v>
      </c>
      <c r="H234" s="37" t="str">
        <f t="shared" si="2"/>
        <v>https://anypoint.mulesoft.com/exchange/834f46f4-ef08-4c50-81ae-56f917b413cc/mx-api-cpp-rec-party-retail-reference-data-directory</v>
      </c>
      <c r="I234" s="42" t="s">
        <v>162</v>
      </c>
      <c r="J234" s="125" t="s">
        <v>3856</v>
      </c>
      <c r="K234" s="111" t="s">
        <v>1423</v>
      </c>
      <c r="L234" s="99"/>
      <c r="M234" s="125" t="s">
        <v>3856</v>
      </c>
      <c r="N234" s="39" t="str">
        <f t="shared" si="13"/>
        <v>Valid</v>
      </c>
      <c r="O234" s="42">
        <f t="shared" si="6"/>
        <v>58</v>
      </c>
      <c r="P234" s="98"/>
      <c r="Q234" s="98"/>
      <c r="R234" s="43"/>
      <c r="S234" s="43"/>
      <c r="T234" s="43"/>
      <c r="U234" s="43"/>
      <c r="V234" s="43"/>
      <c r="W234" s="43"/>
      <c r="X234" s="43"/>
      <c r="Y234" s="43"/>
      <c r="Z234" s="43"/>
      <c r="AA234" s="43"/>
      <c r="AB234" s="43"/>
      <c r="AC234" s="43"/>
      <c r="AD234" s="43"/>
      <c r="AE234" s="43"/>
      <c r="AF234" s="43"/>
      <c r="AG234" s="43"/>
      <c r="AH234" s="43"/>
      <c r="AI234" s="43"/>
      <c r="AJ234" s="43"/>
    </row>
    <row r="235">
      <c r="A235" s="46" t="s">
        <v>1827</v>
      </c>
      <c r="B235" s="90" t="s">
        <v>3863</v>
      </c>
      <c r="C235" s="50">
        <f>COUNTIF(develop!F235:F980,B235)</f>
        <v>1</v>
      </c>
      <c r="D235" s="113" t="s">
        <v>119</v>
      </c>
      <c r="E235" s="126" t="s">
        <v>3864</v>
      </c>
      <c r="F235" s="113" t="s">
        <v>3865</v>
      </c>
      <c r="G235" s="126" t="s">
        <v>3864</v>
      </c>
      <c r="H235" s="54" t="str">
        <f t="shared" si="2"/>
        <v>https://anypoint.mulesoft.com/exchange/834f46f4-ef08-4c50-81ae-56f917b413cc/mx-api-bc-dom-operational-gateway-corp</v>
      </c>
      <c r="I235" s="95"/>
      <c r="J235" s="126" t="s">
        <v>3866</v>
      </c>
      <c r="K235" s="112" t="s">
        <v>58</v>
      </c>
      <c r="L235" s="96"/>
      <c r="M235" s="126" t="s">
        <v>3866</v>
      </c>
      <c r="N235" s="55" t="str">
        <f t="shared" si="13"/>
        <v>Valid</v>
      </c>
      <c r="O235" s="59">
        <f t="shared" si="6"/>
        <v>42</v>
      </c>
      <c r="P235" s="59" t="s">
        <v>3868</v>
      </c>
      <c r="Q235" s="59"/>
      <c r="R235" s="60"/>
      <c r="S235" s="60"/>
      <c r="T235" s="60"/>
      <c r="U235" s="60"/>
      <c r="V235" s="60"/>
      <c r="W235" s="60"/>
      <c r="X235" s="60"/>
      <c r="Y235" s="60"/>
      <c r="Z235" s="60"/>
      <c r="AA235" s="60"/>
      <c r="AB235" s="60"/>
      <c r="AC235" s="60"/>
      <c r="AD235" s="60"/>
      <c r="AE235" s="60"/>
      <c r="AF235" s="60"/>
      <c r="AG235" s="60"/>
      <c r="AH235" s="60"/>
      <c r="AI235" s="60"/>
      <c r="AJ235" s="60"/>
    </row>
    <row r="236">
      <c r="A236" s="27" t="s">
        <v>1827</v>
      </c>
      <c r="B236" s="67" t="s">
        <v>3869</v>
      </c>
      <c r="C236" s="33">
        <f>COUNTIF(develop!F236:F980,B236)</f>
        <v>3</v>
      </c>
      <c r="D236" s="110" t="s">
        <v>119</v>
      </c>
      <c r="E236" s="127" t="s">
        <v>3871</v>
      </c>
      <c r="F236" s="110" t="s">
        <v>3872</v>
      </c>
      <c r="G236" s="127" t="s">
        <v>3871</v>
      </c>
      <c r="H236" s="37" t="str">
        <f t="shared" si="2"/>
        <v>https://anypoint.mulesoft.com/exchange/834f46f4-ef08-4c50-81ae-56f917b413cc/mx-api-bc-dom-trans-auth-corp</v>
      </c>
      <c r="I236" s="98"/>
      <c r="J236" s="127" t="s">
        <v>3873</v>
      </c>
      <c r="K236" s="111" t="s">
        <v>58</v>
      </c>
      <c r="L236" s="99"/>
      <c r="M236" s="127" t="s">
        <v>3873</v>
      </c>
      <c r="N236" s="39" t="str">
        <f t="shared" si="13"/>
        <v>Valid</v>
      </c>
      <c r="O236" s="42">
        <f t="shared" si="6"/>
        <v>33</v>
      </c>
      <c r="P236" s="42" t="s">
        <v>3868</v>
      </c>
      <c r="Q236" s="42"/>
      <c r="R236" s="43"/>
      <c r="S236" s="43"/>
      <c r="T236" s="43"/>
      <c r="U236" s="43"/>
      <c r="V236" s="43"/>
      <c r="W236" s="43"/>
      <c r="X236" s="43"/>
      <c r="Y236" s="43"/>
      <c r="Z236" s="43"/>
      <c r="AA236" s="43"/>
      <c r="AB236" s="43"/>
      <c r="AC236" s="43"/>
      <c r="AD236" s="43"/>
      <c r="AE236" s="43"/>
      <c r="AF236" s="43"/>
      <c r="AG236" s="43"/>
      <c r="AH236" s="43"/>
      <c r="AI236" s="43"/>
      <c r="AJ236" s="43"/>
    </row>
    <row r="237">
      <c r="A237" s="46" t="s">
        <v>1827</v>
      </c>
      <c r="B237" s="90" t="s">
        <v>3875</v>
      </c>
      <c r="C237" s="50">
        <f>COUNTIF(develop!F237:F980,B237)</f>
        <v>3</v>
      </c>
      <c r="D237" s="113" t="s">
        <v>811</v>
      </c>
      <c r="E237" s="126" t="s">
        <v>3876</v>
      </c>
      <c r="F237" s="113" t="s">
        <v>3877</v>
      </c>
      <c r="G237" s="126" t="s">
        <v>3876</v>
      </c>
      <c r="H237" s="54" t="str">
        <f t="shared" si="2"/>
        <v>https://anypoint.mulesoft.com/exchange/834f46f4-ef08-4c50-81ae-56f917b413cc/mx-api-bc-pro-trans-auth-corp</v>
      </c>
      <c r="I237" s="95"/>
      <c r="J237" s="126" t="s">
        <v>3878</v>
      </c>
      <c r="K237" s="55" t="s">
        <v>816</v>
      </c>
      <c r="L237" s="96"/>
      <c r="M237" s="126" t="s">
        <v>3878</v>
      </c>
      <c r="N237" s="55" t="str">
        <f t="shared" si="13"/>
        <v>Valid</v>
      </c>
      <c r="O237" s="59">
        <f t="shared" si="6"/>
        <v>28</v>
      </c>
      <c r="P237" s="59" t="s">
        <v>3868</v>
      </c>
      <c r="Q237" s="59"/>
      <c r="R237" s="60"/>
      <c r="S237" s="60"/>
      <c r="T237" s="60"/>
      <c r="U237" s="60"/>
      <c r="V237" s="60"/>
      <c r="W237" s="60"/>
      <c r="X237" s="60"/>
      <c r="Y237" s="60"/>
      <c r="Z237" s="60"/>
      <c r="AA237" s="60"/>
      <c r="AB237" s="60"/>
      <c r="AC237" s="60"/>
      <c r="AD237" s="60"/>
      <c r="AE237" s="60"/>
      <c r="AF237" s="60"/>
      <c r="AG237" s="60"/>
      <c r="AH237" s="60"/>
      <c r="AI237" s="60"/>
      <c r="AJ237" s="60"/>
    </row>
    <row r="238">
      <c r="A238" s="27" t="s">
        <v>1827</v>
      </c>
      <c r="B238" s="67" t="s">
        <v>3880</v>
      </c>
      <c r="C238" s="33">
        <f>COUNTIF(develop!F238:F980,B238)</f>
        <v>1</v>
      </c>
      <c r="D238" s="34" t="s">
        <v>42</v>
      </c>
      <c r="E238" s="128" t="s">
        <v>3882</v>
      </c>
      <c r="F238" s="110" t="s">
        <v>3883</v>
      </c>
      <c r="G238" s="35" t="str">
        <f t="shared" ref="G238:G248" si="14">E238</f>
        <v>mx-api-bc-bus-payment-execution-corp</v>
      </c>
      <c r="H238" s="37" t="str">
        <f t="shared" si="2"/>
        <v>https://anypoint.mulesoft.com/exchange/834f46f4-ef08-4c50-81ae-56f917b413cc/mx-api-bc-bus-payment-execution-corp</v>
      </c>
      <c r="I238" s="42" t="s">
        <v>57</v>
      </c>
      <c r="J238" s="41" t="str">
        <f t="shared" ref="J238:J248" si="15">obtenerRepoMS(E238)</f>
        <v>mx-ms-bc-bus-payment-execution-corp-mule</v>
      </c>
      <c r="K238" s="39" t="s">
        <v>58</v>
      </c>
      <c r="L238" s="41" t="str">
        <f>IFERROR(__xludf.DUMMYFUNCTION("REGEXREPLACE(REGEXREPLACE(REGEXREPLACE(J238, ""mx-ms-bc-"", """"), ""-mule"", ""-api-dev""), ""-apigee"", ""-api-dev"")"),"bus-payment-execution-corp-api-dev")</f>
        <v>bus-payment-execution-corp-api-dev</v>
      </c>
      <c r="M238" s="41" t="str">
        <f t="shared" ref="M238:M249" si="16">generarNombreDeploy(J238)</f>
        <v>bus-payment-execution-corp-api-dev</v>
      </c>
      <c r="N238" s="39" t="str">
        <f t="shared" si="13"/>
        <v>Valid</v>
      </c>
      <c r="O238" s="42">
        <f t="shared" si="6"/>
        <v>34</v>
      </c>
      <c r="P238" s="42" t="s">
        <v>3868</v>
      </c>
      <c r="Q238" s="42"/>
      <c r="R238" s="43"/>
      <c r="S238" s="43"/>
      <c r="T238" s="43"/>
      <c r="U238" s="43"/>
      <c r="V238" s="43"/>
      <c r="W238" s="43"/>
      <c r="X238" s="43"/>
      <c r="Y238" s="43"/>
      <c r="Z238" s="43"/>
      <c r="AA238" s="43"/>
      <c r="AB238" s="43"/>
      <c r="AC238" s="43"/>
      <c r="AD238" s="43"/>
      <c r="AE238" s="43"/>
      <c r="AF238" s="43"/>
      <c r="AG238" s="43"/>
      <c r="AH238" s="43"/>
      <c r="AI238" s="43"/>
      <c r="AJ238" s="43"/>
    </row>
    <row r="239">
      <c r="A239" s="46" t="s">
        <v>44</v>
      </c>
      <c r="B239" s="90" t="s">
        <v>3885</v>
      </c>
      <c r="C239" s="50">
        <f>COUNTIF(develop!F239:F980,B239)</f>
        <v>0</v>
      </c>
      <c r="D239" s="113" t="s">
        <v>42</v>
      </c>
      <c r="E239" s="126" t="s">
        <v>3889</v>
      </c>
      <c r="F239" s="113" t="s">
        <v>3890</v>
      </c>
      <c r="G239" s="53" t="str">
        <f t="shared" si="14"/>
        <v>mx-api-bc-bus-utility</v>
      </c>
      <c r="H239" s="54" t="str">
        <f t="shared" si="2"/>
        <v>https://anypoint.mulesoft.com/exchange/834f46f4-ef08-4c50-81ae-56f917b413cc/mx-api-bc-bus-utility</v>
      </c>
      <c r="I239" s="59" t="s">
        <v>162</v>
      </c>
      <c r="J239" s="57" t="str">
        <f t="shared" si="15"/>
        <v>mx-ms-bc-bus-utility-mule</v>
      </c>
      <c r="K239" s="55" t="s">
        <v>58</v>
      </c>
      <c r="L239" s="76"/>
      <c r="M239" s="57" t="str">
        <f t="shared" si="16"/>
        <v>bus-utility-api-dev</v>
      </c>
      <c r="N239" s="55" t="str">
        <f t="shared" si="13"/>
        <v>Valid</v>
      </c>
      <c r="O239" s="59">
        <f t="shared" si="6"/>
        <v>19</v>
      </c>
      <c r="P239" s="59" t="s">
        <v>3868</v>
      </c>
      <c r="Q239" s="59"/>
      <c r="R239" s="60"/>
      <c r="S239" s="60"/>
      <c r="T239" s="60"/>
      <c r="U239" s="60"/>
      <c r="V239" s="60"/>
      <c r="W239" s="60"/>
      <c r="X239" s="60"/>
      <c r="Y239" s="60"/>
      <c r="Z239" s="60"/>
      <c r="AA239" s="60"/>
      <c r="AB239" s="60"/>
      <c r="AC239" s="60"/>
      <c r="AD239" s="60"/>
      <c r="AE239" s="60"/>
      <c r="AF239" s="60"/>
      <c r="AG239" s="60"/>
      <c r="AH239" s="60"/>
      <c r="AI239" s="60"/>
      <c r="AJ239" s="60"/>
    </row>
    <row r="240">
      <c r="A240" s="27" t="s">
        <v>44</v>
      </c>
      <c r="B240" s="67" t="s">
        <v>3896</v>
      </c>
      <c r="C240" s="33">
        <f>COUNTIF(develop!F240:F980,B240)</f>
        <v>1</v>
      </c>
      <c r="D240" s="110" t="s">
        <v>1417</v>
      </c>
      <c r="E240" s="127" t="s">
        <v>3899</v>
      </c>
      <c r="F240" s="110" t="s">
        <v>3900</v>
      </c>
      <c r="G240" s="35" t="str">
        <f t="shared" si="14"/>
        <v>mx-api-bc-rec-operation-support</v>
      </c>
      <c r="H240" s="37" t="str">
        <f t="shared" si="2"/>
        <v>https://anypoint.mulesoft.com/exchange/834f46f4-ef08-4c50-81ae-56f917b413cc/mx-api-bc-rec-operation-support</v>
      </c>
      <c r="I240" s="42" t="s">
        <v>162</v>
      </c>
      <c r="J240" s="41" t="str">
        <f t="shared" si="15"/>
        <v>mx-ms-bc-rec-operation-support-apigee</v>
      </c>
      <c r="K240" s="111" t="s">
        <v>1423</v>
      </c>
      <c r="L240" s="99"/>
      <c r="M240" s="41" t="str">
        <f t="shared" si="16"/>
        <v>mx-ms-bc-rec-operation-support-apigee</v>
      </c>
      <c r="N240" s="39" t="str">
        <f t="shared" si="13"/>
        <v>Valid</v>
      </c>
      <c r="O240" s="42">
        <f t="shared" si="6"/>
        <v>37</v>
      </c>
      <c r="P240" s="42" t="s">
        <v>3868</v>
      </c>
      <c r="Q240" s="42"/>
      <c r="R240" s="43"/>
      <c r="S240" s="43"/>
      <c r="T240" s="43"/>
      <c r="U240" s="43"/>
      <c r="V240" s="43"/>
      <c r="W240" s="43"/>
      <c r="X240" s="43"/>
      <c r="Y240" s="43"/>
      <c r="Z240" s="43"/>
      <c r="AA240" s="43"/>
      <c r="AB240" s="43"/>
      <c r="AC240" s="43"/>
      <c r="AD240" s="43"/>
      <c r="AE240" s="43"/>
      <c r="AF240" s="43"/>
      <c r="AG240" s="43"/>
      <c r="AH240" s="43"/>
      <c r="AI240" s="43"/>
      <c r="AJ240" s="43"/>
    </row>
    <row r="241">
      <c r="A241" s="46" t="s">
        <v>44</v>
      </c>
      <c r="B241" s="90" t="s">
        <v>3915</v>
      </c>
      <c r="C241" s="50">
        <f>COUNTIF(develop!F241:F980,B241)</f>
        <v>1</v>
      </c>
      <c r="D241" s="113" t="s">
        <v>42</v>
      </c>
      <c r="E241" s="126" t="s">
        <v>3917</v>
      </c>
      <c r="F241" s="113" t="s">
        <v>3920</v>
      </c>
      <c r="G241" s="53" t="str">
        <f t="shared" si="14"/>
        <v>mx-api-bc-bus-operation-support</v>
      </c>
      <c r="H241" s="54" t="str">
        <f t="shared" si="2"/>
        <v>https://anypoint.mulesoft.com/exchange/834f46f4-ef08-4c50-81ae-56f917b413cc/mx-api-bc-bus-operation-support</v>
      </c>
      <c r="I241" s="59" t="s">
        <v>162</v>
      </c>
      <c r="J241" s="57" t="str">
        <f t="shared" si="15"/>
        <v>mx-ms-bc-bus-operation-support-mule</v>
      </c>
      <c r="K241" s="112" t="s">
        <v>58</v>
      </c>
      <c r="L241" s="96"/>
      <c r="M241" s="57" t="str">
        <f t="shared" si="16"/>
        <v>bus-operation-support-api-dev</v>
      </c>
      <c r="N241" s="55" t="str">
        <f t="shared" si="13"/>
        <v>Valid</v>
      </c>
      <c r="O241" s="59">
        <f t="shared" si="6"/>
        <v>29</v>
      </c>
      <c r="P241" s="59" t="s">
        <v>3868</v>
      </c>
      <c r="Q241" s="59"/>
      <c r="R241" s="60"/>
      <c r="S241" s="60"/>
      <c r="T241" s="60"/>
      <c r="U241" s="60"/>
      <c r="V241" s="60"/>
      <c r="W241" s="60"/>
      <c r="X241" s="60"/>
      <c r="Y241" s="60"/>
      <c r="Z241" s="60"/>
      <c r="AA241" s="60"/>
      <c r="AB241" s="60"/>
      <c r="AC241" s="60"/>
      <c r="AD241" s="60"/>
      <c r="AE241" s="60"/>
      <c r="AF241" s="60"/>
      <c r="AG241" s="60"/>
      <c r="AH241" s="60"/>
      <c r="AI241" s="60"/>
      <c r="AJ241" s="60"/>
    </row>
    <row r="242">
      <c r="A242" s="27" t="s">
        <v>44</v>
      </c>
      <c r="B242" s="67" t="s">
        <v>3934</v>
      </c>
      <c r="C242" s="33">
        <f>COUNTIF(develop!F242:F980,B242)</f>
        <v>0</v>
      </c>
      <c r="D242" s="110" t="s">
        <v>2617</v>
      </c>
      <c r="E242" s="127" t="s">
        <v>3939</v>
      </c>
      <c r="F242" s="110" t="s">
        <v>3941</v>
      </c>
      <c r="G242" s="35" t="str">
        <f t="shared" si="14"/>
        <v>mx-api-bc-br-utility</v>
      </c>
      <c r="H242" s="37" t="str">
        <f t="shared" si="2"/>
        <v>https://anypoint.mulesoft.com/exchange/834f46f4-ef08-4c50-81ae-56f917b413cc/mx-api-bc-br-utility</v>
      </c>
      <c r="I242" s="42" t="s">
        <v>162</v>
      </c>
      <c r="J242" s="41" t="str">
        <f t="shared" si="15"/>
        <v>mx-ms-bc-br-utility-apigee</v>
      </c>
      <c r="K242" s="111" t="s">
        <v>1423</v>
      </c>
      <c r="L242" s="99"/>
      <c r="M242" s="41" t="str">
        <f t="shared" si="16"/>
        <v>mx-ms-bc-br-utility-apigee</v>
      </c>
      <c r="N242" s="39" t="str">
        <f t="shared" si="13"/>
        <v>Valid</v>
      </c>
      <c r="O242" s="42">
        <f t="shared" si="6"/>
        <v>26</v>
      </c>
      <c r="P242" s="42" t="s">
        <v>3868</v>
      </c>
      <c r="Q242" s="42"/>
      <c r="R242" s="43"/>
      <c r="S242" s="43"/>
      <c r="T242" s="43"/>
      <c r="U242" s="43"/>
      <c r="V242" s="43"/>
      <c r="W242" s="43"/>
      <c r="X242" s="43"/>
      <c r="Y242" s="43"/>
      <c r="Z242" s="43"/>
      <c r="AA242" s="43"/>
      <c r="AB242" s="43"/>
      <c r="AC242" s="43"/>
      <c r="AD242" s="43"/>
      <c r="AE242" s="43"/>
      <c r="AF242" s="43"/>
      <c r="AG242" s="43"/>
      <c r="AH242" s="43"/>
      <c r="AI242" s="43"/>
      <c r="AJ242" s="43"/>
    </row>
    <row r="243">
      <c r="A243" s="46" t="s">
        <v>44</v>
      </c>
      <c r="B243" s="90" t="s">
        <v>3956</v>
      </c>
      <c r="C243" s="50">
        <f>COUNTIF(develop!F243:F980,B243)</f>
        <v>4</v>
      </c>
      <c r="D243" s="113" t="s">
        <v>1417</v>
      </c>
      <c r="E243" s="126" t="s">
        <v>3960</v>
      </c>
      <c r="F243" s="113" t="s">
        <v>3962</v>
      </c>
      <c r="G243" s="53" t="str">
        <f t="shared" si="14"/>
        <v>mx-api-bc-rec-process-instance-management</v>
      </c>
      <c r="H243" s="54" t="str">
        <f t="shared" si="2"/>
        <v>https://anypoint.mulesoft.com/exchange/834f46f4-ef08-4c50-81ae-56f917b413cc/mx-api-bc-rec-process-instance-management</v>
      </c>
      <c r="I243" s="59" t="s">
        <v>162</v>
      </c>
      <c r="J243" s="57" t="str">
        <f t="shared" si="15"/>
        <v>mx-ms-bc-rec-process-instance-management-apigee</v>
      </c>
      <c r="K243" s="112" t="s">
        <v>1423</v>
      </c>
      <c r="L243" s="96"/>
      <c r="M243" s="57" t="str">
        <f t="shared" si="16"/>
        <v>mx-ms-bc-rec-process-instance-management-apigee</v>
      </c>
      <c r="N243" s="55" t="str">
        <f t="shared" si="13"/>
        <v>Valid</v>
      </c>
      <c r="O243" s="59">
        <f t="shared" si="6"/>
        <v>47</v>
      </c>
      <c r="P243" s="59" t="s">
        <v>3868</v>
      </c>
      <c r="Q243" s="59"/>
      <c r="R243" s="60"/>
      <c r="S243" s="60"/>
      <c r="T243" s="60"/>
      <c r="U243" s="60"/>
      <c r="V243" s="60"/>
      <c r="W243" s="60"/>
      <c r="X243" s="60"/>
      <c r="Y243" s="60"/>
      <c r="Z243" s="60"/>
      <c r="AA243" s="60"/>
      <c r="AB243" s="60"/>
      <c r="AC243" s="60"/>
      <c r="AD243" s="60"/>
      <c r="AE243" s="60"/>
      <c r="AF243" s="60"/>
      <c r="AG243" s="60"/>
      <c r="AH243" s="60"/>
      <c r="AI243" s="60"/>
      <c r="AJ243" s="60"/>
    </row>
    <row r="244">
      <c r="A244" s="27" t="s">
        <v>44</v>
      </c>
      <c r="B244" s="67" t="s">
        <v>3980</v>
      </c>
      <c r="C244" s="33">
        <f>COUNTIF(develop!F244:F980,B244)</f>
        <v>1</v>
      </c>
      <c r="D244" s="110" t="s">
        <v>1417</v>
      </c>
      <c r="E244" s="127" t="s">
        <v>3984</v>
      </c>
      <c r="F244" s="110" t="s">
        <v>3985</v>
      </c>
      <c r="G244" s="35" t="str">
        <f t="shared" si="14"/>
        <v>mx-api-bc-rec-security-advisory</v>
      </c>
      <c r="H244" s="37" t="str">
        <f t="shared" si="2"/>
        <v>https://anypoint.mulesoft.com/exchange/834f46f4-ef08-4c50-81ae-56f917b413cc/mx-api-bc-rec-security-advisory</v>
      </c>
      <c r="I244" s="42" t="s">
        <v>162</v>
      </c>
      <c r="J244" s="41" t="str">
        <f t="shared" si="15"/>
        <v>mx-ms-bc-rec-security-advisory-apigee</v>
      </c>
      <c r="K244" s="111" t="s">
        <v>1423</v>
      </c>
      <c r="L244" s="99"/>
      <c r="M244" s="41" t="str">
        <f t="shared" si="16"/>
        <v>mx-ms-bc-rec-security-advisory-apigee</v>
      </c>
      <c r="N244" s="39" t="str">
        <f t="shared" si="13"/>
        <v>Valid</v>
      </c>
      <c r="O244" s="42">
        <f t="shared" si="6"/>
        <v>37</v>
      </c>
      <c r="P244" s="42" t="s">
        <v>3868</v>
      </c>
      <c r="Q244" s="42"/>
      <c r="R244" s="43"/>
      <c r="S244" s="43"/>
      <c r="T244" s="43"/>
      <c r="U244" s="43"/>
      <c r="V244" s="43"/>
      <c r="W244" s="43"/>
      <c r="X244" s="43"/>
      <c r="Y244" s="43"/>
      <c r="Z244" s="43"/>
      <c r="AA244" s="43"/>
      <c r="AB244" s="43"/>
      <c r="AC244" s="43"/>
      <c r="AD244" s="43"/>
      <c r="AE244" s="43"/>
      <c r="AF244" s="43"/>
      <c r="AG244" s="43"/>
      <c r="AH244" s="43"/>
      <c r="AI244" s="43"/>
      <c r="AJ244" s="43"/>
    </row>
    <row r="245">
      <c r="A245" s="46" t="s">
        <v>44</v>
      </c>
      <c r="B245" s="90" t="s">
        <v>4003</v>
      </c>
      <c r="C245" s="50">
        <f>COUNTIF(develop!F245:F980,B245)</f>
        <v>1</v>
      </c>
      <c r="D245" s="113" t="s">
        <v>119</v>
      </c>
      <c r="E245" s="126" t="s">
        <v>4007</v>
      </c>
      <c r="F245" s="113" t="s">
        <v>4009</v>
      </c>
      <c r="G245" s="53" t="str">
        <f t="shared" si="14"/>
        <v>mx-api-bc-dom-security-advisory</v>
      </c>
      <c r="H245" s="54" t="str">
        <f t="shared" si="2"/>
        <v>https://anypoint.mulesoft.com/exchange/834f46f4-ef08-4c50-81ae-56f917b413cc/mx-api-bc-dom-security-advisory</v>
      </c>
      <c r="I245" s="59" t="s">
        <v>162</v>
      </c>
      <c r="J245" s="57" t="str">
        <f t="shared" si="15"/>
        <v>mx-ms-bc-dom-security-advisory-mule</v>
      </c>
      <c r="K245" s="55" t="s">
        <v>58</v>
      </c>
      <c r="L245" s="96"/>
      <c r="M245" s="57" t="str">
        <f t="shared" si="16"/>
        <v>dom-security-advisory-api-dev</v>
      </c>
      <c r="N245" s="55" t="str">
        <f t="shared" si="13"/>
        <v>Valid</v>
      </c>
      <c r="O245" s="59">
        <f t="shared" si="6"/>
        <v>29</v>
      </c>
      <c r="P245" s="59" t="s">
        <v>3868</v>
      </c>
      <c r="Q245" s="59"/>
      <c r="R245" s="60"/>
      <c r="S245" s="60"/>
      <c r="T245" s="60"/>
      <c r="U245" s="60"/>
      <c r="V245" s="60"/>
      <c r="W245" s="60"/>
      <c r="X245" s="60"/>
      <c r="Y245" s="60"/>
      <c r="Z245" s="60"/>
      <c r="AA245" s="60"/>
      <c r="AB245" s="60"/>
      <c r="AC245" s="60"/>
      <c r="AD245" s="60"/>
      <c r="AE245" s="60"/>
      <c r="AF245" s="60"/>
      <c r="AG245" s="60"/>
      <c r="AH245" s="60"/>
      <c r="AI245" s="60"/>
      <c r="AJ245" s="60"/>
    </row>
    <row r="246">
      <c r="A246" s="27" t="s">
        <v>44</v>
      </c>
      <c r="B246" s="67" t="s">
        <v>4022</v>
      </c>
      <c r="C246" s="33">
        <f>COUNTIF(develop!F246:F980,B246)</f>
        <v>1</v>
      </c>
      <c r="D246" s="110" t="s">
        <v>811</v>
      </c>
      <c r="E246" s="127" t="s">
        <v>4025</v>
      </c>
      <c r="F246" s="110" t="s">
        <v>4026</v>
      </c>
      <c r="G246" s="35" t="str">
        <f t="shared" si="14"/>
        <v>mx-api-bc-pro-security-advisory</v>
      </c>
      <c r="H246" s="37" t="str">
        <f t="shared" si="2"/>
        <v>https://anypoint.mulesoft.com/exchange/834f46f4-ef08-4c50-81ae-56f917b413cc/mx-api-bc-pro-security-advisory</v>
      </c>
      <c r="I246" s="42" t="s">
        <v>162</v>
      </c>
      <c r="J246" s="41" t="str">
        <f t="shared" si="15"/>
        <v>mx-ms-bc-pro-security-advisory</v>
      </c>
      <c r="K246" s="39" t="s">
        <v>816</v>
      </c>
      <c r="L246" s="99"/>
      <c r="M246" s="41" t="str">
        <f t="shared" si="16"/>
        <v>mx-ms-bc-pro-security-advisory</v>
      </c>
      <c r="N246" s="39" t="str">
        <f t="shared" si="13"/>
        <v>Valid</v>
      </c>
      <c r="O246" s="42">
        <f t="shared" si="6"/>
        <v>30</v>
      </c>
      <c r="P246" s="42" t="s">
        <v>3868</v>
      </c>
      <c r="Q246" s="42"/>
      <c r="R246" s="43"/>
      <c r="S246" s="43"/>
      <c r="T246" s="43"/>
      <c r="U246" s="43"/>
      <c r="V246" s="43"/>
      <c r="W246" s="43"/>
      <c r="X246" s="43"/>
      <c r="Y246" s="43"/>
      <c r="Z246" s="43"/>
      <c r="AA246" s="43"/>
      <c r="AB246" s="43"/>
      <c r="AC246" s="43"/>
      <c r="AD246" s="43"/>
      <c r="AE246" s="43"/>
      <c r="AF246" s="43"/>
      <c r="AG246" s="43"/>
      <c r="AH246" s="43"/>
      <c r="AI246" s="43"/>
      <c r="AJ246" s="43"/>
    </row>
    <row r="247">
      <c r="A247" s="46" t="s">
        <v>1827</v>
      </c>
      <c r="B247" s="130" t="s">
        <v>4039</v>
      </c>
      <c r="C247" s="50">
        <f>COUNTIF(develop!F247:F980,B247)</f>
        <v>1</v>
      </c>
      <c r="D247" s="113" t="s">
        <v>811</v>
      </c>
      <c r="E247" s="126" t="s">
        <v>4043</v>
      </c>
      <c r="F247" s="113" t="s">
        <v>4044</v>
      </c>
      <c r="G247" s="53" t="str">
        <f t="shared" si="14"/>
        <v>mx-api-bc-pro-operational-gateway-corp</v>
      </c>
      <c r="H247" s="54" t="str">
        <f t="shared" si="2"/>
        <v>https://anypoint.mulesoft.com/exchange/834f46f4-ef08-4c50-81ae-56f917b413cc/mx-api-bc-pro-operational-gateway-corp</v>
      </c>
      <c r="I247" s="59" t="s">
        <v>162</v>
      </c>
      <c r="J247" s="57" t="str">
        <f t="shared" si="15"/>
        <v>mx-ms-bc-pro-operational-gateway-corp</v>
      </c>
      <c r="K247" s="55" t="s">
        <v>816</v>
      </c>
      <c r="L247" s="96"/>
      <c r="M247" s="57" t="str">
        <f t="shared" si="16"/>
        <v>mx-ms-bc-pro-operational-gateway-corp</v>
      </c>
      <c r="N247" s="55" t="str">
        <f t="shared" si="13"/>
        <v>Valid</v>
      </c>
      <c r="O247" s="59">
        <f t="shared" si="6"/>
        <v>37</v>
      </c>
      <c r="P247" s="59" t="s">
        <v>3868</v>
      </c>
      <c r="Q247" s="59"/>
      <c r="R247" s="60"/>
      <c r="S247" s="60"/>
      <c r="T247" s="60"/>
      <c r="U247" s="60"/>
      <c r="V247" s="60"/>
      <c r="W247" s="60"/>
      <c r="X247" s="60"/>
      <c r="Y247" s="60"/>
      <c r="Z247" s="60"/>
      <c r="AA247" s="60"/>
      <c r="AB247" s="60"/>
      <c r="AC247" s="60"/>
      <c r="AD247" s="60"/>
      <c r="AE247" s="60"/>
      <c r="AF247" s="60"/>
      <c r="AG247" s="60"/>
      <c r="AH247" s="60"/>
      <c r="AI247" s="60"/>
      <c r="AJ247" s="60"/>
    </row>
    <row r="248">
      <c r="A248" s="27" t="s">
        <v>1827</v>
      </c>
      <c r="B248" s="131" t="s">
        <v>4056</v>
      </c>
      <c r="C248" s="33">
        <f>COUNTIF(develop!F248:F980,B248)</f>
        <v>2</v>
      </c>
      <c r="D248" s="110" t="s">
        <v>42</v>
      </c>
      <c r="E248" s="127" t="s">
        <v>4059</v>
      </c>
      <c r="F248" s="110" t="s">
        <v>4061</v>
      </c>
      <c r="G248" s="35" t="str">
        <f t="shared" si="14"/>
        <v>mx-api-bc-bus-transaction-engine-corp</v>
      </c>
      <c r="H248" s="37" t="str">
        <f t="shared" si="2"/>
        <v>https://anypoint.mulesoft.com/exchange/834f46f4-ef08-4c50-81ae-56f917b413cc/mx-api-bc-bus-transaction-engine-corp</v>
      </c>
      <c r="I248" s="42" t="s">
        <v>162</v>
      </c>
      <c r="J248" s="41" t="str">
        <f t="shared" si="15"/>
        <v>mx-ms-bc-bus-transaction-engine-corp-mule</v>
      </c>
      <c r="K248" s="39" t="s">
        <v>58</v>
      </c>
      <c r="L248" s="77"/>
      <c r="M248" s="41" t="str">
        <f t="shared" si="16"/>
        <v>bus-transaction-engine-corp-api-dev</v>
      </c>
      <c r="N248" s="39" t="str">
        <f t="shared" si="13"/>
        <v>Valid</v>
      </c>
      <c r="O248" s="42">
        <f t="shared" si="6"/>
        <v>35</v>
      </c>
      <c r="P248" s="42" t="s">
        <v>3868</v>
      </c>
      <c r="Q248" s="42"/>
      <c r="R248" s="43"/>
      <c r="S248" s="43"/>
      <c r="T248" s="43"/>
      <c r="U248" s="43"/>
      <c r="V248" s="43"/>
      <c r="W248" s="43"/>
      <c r="X248" s="43"/>
      <c r="Y248" s="43"/>
      <c r="Z248" s="43"/>
      <c r="AA248" s="43"/>
      <c r="AB248" s="43"/>
      <c r="AC248" s="43"/>
      <c r="AD248" s="43"/>
      <c r="AE248" s="43"/>
      <c r="AF248" s="43"/>
      <c r="AG248" s="43"/>
      <c r="AH248" s="43"/>
      <c r="AI248" s="43"/>
      <c r="AJ248" s="43"/>
    </row>
    <row r="249">
      <c r="A249" s="132" t="s">
        <v>1827</v>
      </c>
      <c r="B249" s="133" t="s">
        <v>3666</v>
      </c>
      <c r="C249" s="50">
        <f>COUNTIF(develop!F249:F980,B249)</f>
        <v>1</v>
      </c>
      <c r="D249" s="134" t="s">
        <v>3669</v>
      </c>
      <c r="E249" s="133" t="s">
        <v>3670</v>
      </c>
      <c r="F249" s="97" t="s">
        <v>3671</v>
      </c>
      <c r="G249" s="135"/>
      <c r="H249" s="136" t="str">
        <f t="shared" si="2"/>
        <v>https://anypoint.mulesoft.com/exchange/834f46f4-ef08-4c50-81ae-56f917b413cc/</v>
      </c>
      <c r="I249" s="137"/>
      <c r="J249" s="138"/>
      <c r="K249" s="139" t="s">
        <v>816</v>
      </c>
      <c r="L249" s="137"/>
      <c r="M249" s="140" t="str">
        <f t="shared" si="16"/>
        <v/>
      </c>
      <c r="N249" s="141" t="str">
        <f t="shared" si="13"/>
        <v>Invalid</v>
      </c>
      <c r="O249" s="141">
        <f t="shared" si="6"/>
        <v>0</v>
      </c>
      <c r="P249" s="137"/>
      <c r="Q249" s="137"/>
      <c r="R249" s="142"/>
      <c r="S249" s="142"/>
      <c r="T249" s="142"/>
      <c r="U249" s="142"/>
      <c r="V249" s="142"/>
      <c r="W249" s="142"/>
      <c r="X249" s="142"/>
      <c r="Y249" s="142"/>
      <c r="Z249" s="142"/>
      <c r="AA249" s="142"/>
      <c r="AB249" s="142"/>
      <c r="AC249" s="142"/>
      <c r="AD249" s="142"/>
      <c r="AE249" s="142"/>
      <c r="AF249" s="142"/>
      <c r="AG249" s="142"/>
      <c r="AH249" s="142"/>
      <c r="AI249" s="142"/>
      <c r="AJ249" s="142"/>
    </row>
    <row r="250">
      <c r="A250" s="143" t="s">
        <v>1827</v>
      </c>
      <c r="B250" s="144" t="s">
        <v>4086</v>
      </c>
      <c r="C250" s="33">
        <f>COUNTIF(develop!F250:F980,B250)</f>
        <v>4</v>
      </c>
      <c r="D250" s="145" t="s">
        <v>3669</v>
      </c>
      <c r="E250" s="146" t="s">
        <v>4091</v>
      </c>
      <c r="F250" s="94" t="s">
        <v>4093</v>
      </c>
      <c r="G250" s="147" t="s">
        <v>4091</v>
      </c>
      <c r="H250" s="148" t="str">
        <f t="shared" si="2"/>
        <v>https://anypoint.mulesoft.com/exchange/834f46f4-ef08-4c50-81ae-56f917b413cc/mx-api-bc-wrk-payment-execution-corp</v>
      </c>
      <c r="I250" s="149"/>
      <c r="J250" s="138" t="s">
        <v>4096</v>
      </c>
      <c r="K250" s="150" t="s">
        <v>4097</v>
      </c>
      <c r="L250" s="149"/>
      <c r="M250" s="138" t="s">
        <v>4096</v>
      </c>
      <c r="N250" s="151" t="str">
        <f t="shared" si="13"/>
        <v>Invalid</v>
      </c>
      <c r="O250" s="151">
        <f t="shared" si="6"/>
        <v>35</v>
      </c>
      <c r="P250" s="149"/>
      <c r="Q250" s="149"/>
      <c r="R250" s="152"/>
      <c r="S250" s="152"/>
      <c r="T250" s="152"/>
      <c r="U250" s="152"/>
      <c r="V250" s="152"/>
      <c r="W250" s="152"/>
      <c r="X250" s="152"/>
      <c r="Y250" s="152"/>
      <c r="Z250" s="152"/>
      <c r="AA250" s="152"/>
      <c r="AB250" s="152"/>
      <c r="AC250" s="152"/>
      <c r="AD250" s="152"/>
      <c r="AE250" s="152"/>
      <c r="AF250" s="152"/>
      <c r="AG250" s="152"/>
      <c r="AH250" s="152"/>
      <c r="AI250" s="152"/>
      <c r="AJ250" s="152"/>
    </row>
    <row r="251">
      <c r="A251" s="132" t="s">
        <v>1827</v>
      </c>
      <c r="B251" s="144" t="s">
        <v>4107</v>
      </c>
      <c r="C251" s="50">
        <f>COUNTIF(develop!F251:F980,B251)</f>
        <v>1</v>
      </c>
      <c r="D251" s="134" t="s">
        <v>3669</v>
      </c>
      <c r="E251" s="153" t="s">
        <v>4109</v>
      </c>
      <c r="F251" s="97" t="s">
        <v>4111</v>
      </c>
      <c r="G251" s="154" t="s">
        <v>4109</v>
      </c>
      <c r="H251" s="148" t="str">
        <f t="shared" si="2"/>
        <v>https://anypoint.mulesoft.com/exchange/834f46f4-ef08-4c50-81ae-56f917b413cc/mx-api-bc-wrk-payment-instruction-corp</v>
      </c>
      <c r="I251" s="149"/>
      <c r="J251" s="155" t="s">
        <v>4112</v>
      </c>
      <c r="K251" s="139" t="s">
        <v>4097</v>
      </c>
      <c r="L251" s="149"/>
      <c r="M251" s="155" t="s">
        <v>4112</v>
      </c>
      <c r="N251" s="151" t="str">
        <f t="shared" si="13"/>
        <v>Invalid</v>
      </c>
      <c r="O251" s="151">
        <f t="shared" si="6"/>
        <v>37</v>
      </c>
      <c r="P251" s="149"/>
      <c r="Q251" s="149"/>
      <c r="R251" s="152"/>
      <c r="S251" s="152"/>
      <c r="T251" s="152"/>
      <c r="U251" s="152"/>
      <c r="V251" s="152"/>
      <c r="W251" s="152"/>
      <c r="X251" s="152"/>
      <c r="Y251" s="152"/>
      <c r="Z251" s="152"/>
      <c r="AA251" s="152"/>
      <c r="AB251" s="152"/>
      <c r="AC251" s="152"/>
      <c r="AD251" s="152"/>
      <c r="AE251" s="152"/>
      <c r="AF251" s="152"/>
      <c r="AG251" s="152"/>
      <c r="AH251" s="152"/>
      <c r="AI251" s="152"/>
      <c r="AJ251" s="152"/>
    </row>
    <row r="252">
      <c r="A252" s="156" t="s">
        <v>4122</v>
      </c>
      <c r="B252" s="157" t="s">
        <v>4124</v>
      </c>
      <c r="C252" s="33">
        <f>COUNTIF(develop!F252:F980,B252)</f>
        <v>6</v>
      </c>
      <c r="D252" s="158" t="s">
        <v>1417</v>
      </c>
      <c r="E252" s="67" t="s">
        <v>4128</v>
      </c>
      <c r="F252" s="110" t="s">
        <v>4129</v>
      </c>
      <c r="G252" s="35" t="str">
        <f t="shared" ref="G252:G273" si="17">E252</f>
        <v>mx-api-bc-rec-dir-deb-mand-hub</v>
      </c>
      <c r="H252" s="37" t="str">
        <f t="shared" si="2"/>
        <v>https://anypoint.mulesoft.com/exchange/834f46f4-ef08-4c50-81ae-56f917b413cc/mx-api-bc-rec-dir-deb-mand-hub</v>
      </c>
      <c r="I252" s="42" t="s">
        <v>162</v>
      </c>
      <c r="J252" s="41" t="str">
        <f t="shared" ref="J252:J273" si="18">obtenerRepoMS(E252)</f>
        <v>mx-ms-bc-rec-dir-deb-mand-hub-apigee</v>
      </c>
      <c r="K252" s="39" t="s">
        <v>1423</v>
      </c>
      <c r="L252" s="99"/>
      <c r="M252" s="41" t="str">
        <f t="shared" ref="M252:M273" si="19">generarNombreDeploy(J252)</f>
        <v>mx-ms-bc-rec-dir-deb-mand-hub-apigee</v>
      </c>
      <c r="N252" s="39" t="str">
        <f t="shared" si="13"/>
        <v>Valid</v>
      </c>
      <c r="O252" s="42">
        <f t="shared" si="6"/>
        <v>36</v>
      </c>
      <c r="P252" s="98"/>
      <c r="Q252" s="98"/>
      <c r="R252" s="43"/>
      <c r="S252" s="43"/>
      <c r="T252" s="43"/>
      <c r="U252" s="43"/>
      <c r="V252" s="43"/>
      <c r="W252" s="43"/>
      <c r="X252" s="43"/>
      <c r="Y252" s="43"/>
      <c r="Z252" s="43"/>
      <c r="AA252" s="43"/>
      <c r="AB252" s="43"/>
      <c r="AC252" s="43"/>
      <c r="AD252" s="43"/>
      <c r="AE252" s="43"/>
      <c r="AF252" s="43"/>
      <c r="AG252" s="43"/>
      <c r="AH252" s="43"/>
      <c r="AI252" s="43"/>
      <c r="AJ252" s="43"/>
    </row>
    <row r="253">
      <c r="A253" s="159" t="s">
        <v>4122</v>
      </c>
      <c r="B253" s="90" t="s">
        <v>4147</v>
      </c>
      <c r="C253" s="50">
        <f>COUNTIF(develop!F253:F980,B253)</f>
        <v>1</v>
      </c>
      <c r="D253" s="160" t="s">
        <v>1417</v>
      </c>
      <c r="E253" s="90" t="s">
        <v>4153</v>
      </c>
      <c r="F253" s="113" t="s">
        <v>4154</v>
      </c>
      <c r="G253" s="53" t="str">
        <f t="shared" si="17"/>
        <v>mx-api-bc-rec-cash-mgmt-acct-services-hub</v>
      </c>
      <c r="H253" s="54" t="str">
        <f t="shared" si="2"/>
        <v>https://anypoint.mulesoft.com/exchange/834f46f4-ef08-4c50-81ae-56f917b413cc/mx-api-bc-rec-cash-mgmt-acct-services-hub</v>
      </c>
      <c r="I253" s="59" t="s">
        <v>162</v>
      </c>
      <c r="J253" s="57" t="str">
        <f t="shared" si="18"/>
        <v>mx-ms-bc-rec-cash-mgmt-acct-services-hub-apigee</v>
      </c>
      <c r="K253" s="55" t="s">
        <v>1423</v>
      </c>
      <c r="L253" s="96"/>
      <c r="M253" s="57" t="str">
        <f t="shared" si="19"/>
        <v>mx-ms-bc-rec-cash-mgmt-acct-services-hub-apigee</v>
      </c>
      <c r="N253" s="55" t="str">
        <f t="shared" si="13"/>
        <v>Valid</v>
      </c>
      <c r="O253" s="59">
        <f t="shared" si="6"/>
        <v>47</v>
      </c>
      <c r="P253" s="95"/>
      <c r="Q253" s="95"/>
      <c r="R253" s="60"/>
      <c r="S253" s="60"/>
      <c r="T253" s="60"/>
      <c r="U253" s="60"/>
      <c r="V253" s="60"/>
      <c r="W253" s="60"/>
      <c r="X253" s="60"/>
      <c r="Y253" s="60"/>
      <c r="Z253" s="60"/>
      <c r="AA253" s="60"/>
      <c r="AB253" s="60"/>
      <c r="AC253" s="60"/>
      <c r="AD253" s="60"/>
      <c r="AE253" s="60"/>
      <c r="AF253" s="60"/>
      <c r="AG253" s="60"/>
      <c r="AH253" s="60"/>
      <c r="AI253" s="60"/>
      <c r="AJ253" s="60"/>
    </row>
    <row r="254">
      <c r="A254" s="156" t="s">
        <v>4122</v>
      </c>
      <c r="B254" s="67" t="s">
        <v>4168</v>
      </c>
      <c r="C254" s="33">
        <f>COUNTIF(develop!F254:F980,B254)</f>
        <v>11</v>
      </c>
      <c r="D254" s="158" t="s">
        <v>811</v>
      </c>
      <c r="E254" s="67" t="s">
        <v>4172</v>
      </c>
      <c r="F254" s="110" t="s">
        <v>4173</v>
      </c>
      <c r="G254" s="35" t="str">
        <f t="shared" si="17"/>
        <v>mx-api-bc-pro-dir-deb-mand-hub</v>
      </c>
      <c r="H254" s="37" t="str">
        <f t="shared" si="2"/>
        <v>https://anypoint.mulesoft.com/exchange/834f46f4-ef08-4c50-81ae-56f917b413cc/mx-api-bc-pro-dir-deb-mand-hub</v>
      </c>
      <c r="I254" s="42" t="s">
        <v>162</v>
      </c>
      <c r="J254" s="41" t="str">
        <f t="shared" si="18"/>
        <v>mx-ms-bc-pro-dir-deb-mand-hub</v>
      </c>
      <c r="K254" s="39" t="s">
        <v>816</v>
      </c>
      <c r="L254" s="99"/>
      <c r="M254" s="41" t="str">
        <f t="shared" si="19"/>
        <v>mx-ms-bc-pro-dir-deb-mand-hub</v>
      </c>
      <c r="N254" s="39" t="str">
        <f t="shared" si="13"/>
        <v>Valid</v>
      </c>
      <c r="O254" s="42">
        <f t="shared" si="6"/>
        <v>29</v>
      </c>
      <c r="P254" s="98"/>
      <c r="Q254" s="98"/>
      <c r="R254" s="43"/>
      <c r="S254" s="43"/>
      <c r="T254" s="43"/>
      <c r="U254" s="43"/>
      <c r="V254" s="43"/>
      <c r="W254" s="43"/>
      <c r="X254" s="43"/>
      <c r="Y254" s="43"/>
      <c r="Z254" s="43"/>
      <c r="AA254" s="43"/>
      <c r="AB254" s="43"/>
      <c r="AC254" s="43"/>
      <c r="AD254" s="43"/>
      <c r="AE254" s="43"/>
      <c r="AF254" s="43"/>
      <c r="AG254" s="43"/>
      <c r="AH254" s="43"/>
      <c r="AI254" s="43"/>
      <c r="AJ254" s="43"/>
    </row>
    <row r="255">
      <c r="A255" s="159" t="s">
        <v>4122</v>
      </c>
      <c r="B255" s="157" t="s">
        <v>4190</v>
      </c>
      <c r="C255" s="50">
        <f>COUNTIF(develop!F255:F980,B255)</f>
        <v>3</v>
      </c>
      <c r="D255" s="160" t="s">
        <v>811</v>
      </c>
      <c r="E255" s="161" t="s">
        <v>4193</v>
      </c>
      <c r="F255" s="113" t="s">
        <v>4194</v>
      </c>
      <c r="G255" s="53" t="str">
        <f t="shared" si="17"/>
        <v>mx-api-bc-pro-document-services-hub</v>
      </c>
      <c r="H255" s="54" t="str">
        <f t="shared" si="2"/>
        <v>https://anypoint.mulesoft.com/exchange/834f46f4-ef08-4c50-81ae-56f917b413cc/mx-api-bc-pro-document-services-hub</v>
      </c>
      <c r="I255" s="59" t="s">
        <v>162</v>
      </c>
      <c r="J255" s="57" t="str">
        <f t="shared" si="18"/>
        <v>mx-ms-bc-pro-document-services-hub</v>
      </c>
      <c r="K255" s="55" t="s">
        <v>816</v>
      </c>
      <c r="L255" s="149"/>
      <c r="M255" s="57" t="str">
        <f t="shared" si="19"/>
        <v>mx-ms-bc-pro-document-services-hub</v>
      </c>
      <c r="N255" s="55" t="str">
        <f t="shared" si="13"/>
        <v>Valid</v>
      </c>
      <c r="O255" s="59">
        <f t="shared" si="6"/>
        <v>34</v>
      </c>
      <c r="P255" s="149"/>
      <c r="Q255" s="149"/>
      <c r="R255" s="152"/>
      <c r="S255" s="152"/>
      <c r="T255" s="152"/>
      <c r="U255" s="152"/>
      <c r="V255" s="152"/>
      <c r="W255" s="152"/>
      <c r="X255" s="152"/>
      <c r="Y255" s="152"/>
      <c r="Z255" s="152"/>
      <c r="AA255" s="152"/>
      <c r="AB255" s="152"/>
      <c r="AC255" s="152"/>
      <c r="AD255" s="152"/>
      <c r="AE255" s="152"/>
      <c r="AF255" s="152"/>
      <c r="AG255" s="152"/>
      <c r="AH255" s="152"/>
      <c r="AI255" s="152"/>
      <c r="AJ255" s="152"/>
    </row>
    <row r="256">
      <c r="A256" s="156" t="s">
        <v>4122</v>
      </c>
      <c r="B256" s="157" t="s">
        <v>4214</v>
      </c>
      <c r="C256" s="33">
        <f>COUNTIF(develop!F256:F980,B256)</f>
        <v>4</v>
      </c>
      <c r="D256" s="158" t="s">
        <v>811</v>
      </c>
      <c r="E256" s="162" t="s">
        <v>4216</v>
      </c>
      <c r="F256" s="110" t="s">
        <v>4218</v>
      </c>
      <c r="G256" s="35" t="str">
        <f t="shared" si="17"/>
        <v>mx-api-bc-pro-payment-execution-hub</v>
      </c>
      <c r="H256" s="37" t="str">
        <f t="shared" si="2"/>
        <v>https://anypoint.mulesoft.com/exchange/834f46f4-ef08-4c50-81ae-56f917b413cc/mx-api-bc-pro-payment-execution-hub</v>
      </c>
      <c r="I256" s="42" t="s">
        <v>162</v>
      </c>
      <c r="J256" s="41" t="str">
        <f t="shared" si="18"/>
        <v>mx-ms-bc-pro-payment-execution-hub</v>
      </c>
      <c r="K256" s="39" t="s">
        <v>816</v>
      </c>
      <c r="L256" s="149"/>
      <c r="M256" s="41" t="str">
        <f t="shared" si="19"/>
        <v>mx-ms-bc-pro-payment-execution-hub</v>
      </c>
      <c r="N256" s="39" t="str">
        <f t="shared" si="13"/>
        <v>Valid</v>
      </c>
      <c r="O256" s="42">
        <f t="shared" si="6"/>
        <v>34</v>
      </c>
      <c r="P256" s="149"/>
      <c r="Q256" s="149"/>
      <c r="R256" s="152"/>
      <c r="S256" s="152"/>
      <c r="T256" s="152"/>
      <c r="U256" s="152"/>
      <c r="V256" s="152"/>
      <c r="W256" s="152"/>
      <c r="X256" s="152"/>
      <c r="Y256" s="152"/>
      <c r="Z256" s="152"/>
      <c r="AA256" s="152"/>
      <c r="AB256" s="152"/>
      <c r="AC256" s="152"/>
      <c r="AD256" s="152"/>
      <c r="AE256" s="152"/>
      <c r="AF256" s="152"/>
      <c r="AG256" s="152"/>
      <c r="AH256" s="152"/>
      <c r="AI256" s="152"/>
      <c r="AJ256" s="152"/>
    </row>
    <row r="257">
      <c r="A257" s="159" t="s">
        <v>4122</v>
      </c>
      <c r="B257" s="90" t="s">
        <v>4225</v>
      </c>
      <c r="C257" s="50">
        <f>COUNTIF(develop!F257:F980,B257)</f>
        <v>1</v>
      </c>
      <c r="D257" s="160" t="s">
        <v>811</v>
      </c>
      <c r="E257" s="90" t="s">
        <v>4226</v>
      </c>
      <c r="F257" s="113" t="s">
        <v>4227</v>
      </c>
      <c r="G257" s="53" t="str">
        <f t="shared" si="17"/>
        <v>mx-api-bc-pro-party-reference-data-directory-hub</v>
      </c>
      <c r="H257" s="54" t="str">
        <f t="shared" si="2"/>
        <v>https://anypoint.mulesoft.com/exchange/834f46f4-ef08-4c50-81ae-56f917b413cc/mx-api-bc-pro-party-reference-data-directory-hub</v>
      </c>
      <c r="I257" s="59" t="s">
        <v>162</v>
      </c>
      <c r="J257" s="57" t="str">
        <f t="shared" si="18"/>
        <v>mx-ms-bc-pro-party-reference-data-directory-hub</v>
      </c>
      <c r="K257" s="55" t="s">
        <v>816</v>
      </c>
      <c r="L257" s="96"/>
      <c r="M257" s="57" t="str">
        <f t="shared" si="19"/>
        <v>mx-ms-bc-pro-party-reference-data-directory-hub</v>
      </c>
      <c r="N257" s="55" t="str">
        <f t="shared" si="13"/>
        <v>Valid</v>
      </c>
      <c r="O257" s="59">
        <f t="shared" si="6"/>
        <v>47</v>
      </c>
      <c r="P257" s="95"/>
      <c r="Q257" s="95"/>
      <c r="R257" s="60"/>
      <c r="S257" s="60"/>
      <c r="T257" s="60"/>
      <c r="U257" s="60"/>
      <c r="V257" s="60"/>
      <c r="W257" s="60"/>
      <c r="X257" s="60"/>
      <c r="Y257" s="60"/>
      <c r="Z257" s="60"/>
      <c r="AA257" s="60"/>
      <c r="AB257" s="60"/>
      <c r="AC257" s="60"/>
      <c r="AD257" s="60"/>
      <c r="AE257" s="60"/>
      <c r="AF257" s="60"/>
      <c r="AG257" s="60"/>
      <c r="AH257" s="60"/>
      <c r="AI257" s="60"/>
      <c r="AJ257" s="60"/>
    </row>
    <row r="258">
      <c r="A258" s="156" t="s">
        <v>4122</v>
      </c>
      <c r="B258" s="67" t="s">
        <v>4231</v>
      </c>
      <c r="C258" s="33">
        <f>COUNTIF(develop!F258:F980,B258)</f>
        <v>1</v>
      </c>
      <c r="D258" s="158" t="s">
        <v>811</v>
      </c>
      <c r="E258" s="67" t="s">
        <v>4233</v>
      </c>
      <c r="F258" s="110" t="s">
        <v>4234</v>
      </c>
      <c r="G258" s="35" t="str">
        <f t="shared" si="17"/>
        <v>mx-api-bc-pro-operational-event-history-hub</v>
      </c>
      <c r="H258" s="37" t="str">
        <f t="shared" si="2"/>
        <v>https://anypoint.mulesoft.com/exchange/834f46f4-ef08-4c50-81ae-56f917b413cc/mx-api-bc-pro-operational-event-history-hub</v>
      </c>
      <c r="I258" s="42" t="s">
        <v>162</v>
      </c>
      <c r="J258" s="41" t="str">
        <f t="shared" si="18"/>
        <v>mx-ms-bc-pro-operational-event-history-hub</v>
      </c>
      <c r="K258" s="39" t="s">
        <v>816</v>
      </c>
      <c r="L258" s="99"/>
      <c r="M258" s="41" t="str">
        <f t="shared" si="19"/>
        <v>mx-ms-bc-pro-operational-event-history-hub</v>
      </c>
      <c r="N258" s="39" t="str">
        <f t="shared" si="13"/>
        <v>Valid</v>
      </c>
      <c r="O258" s="42">
        <f t="shared" si="6"/>
        <v>42</v>
      </c>
      <c r="P258" s="98"/>
      <c r="Q258" s="98"/>
      <c r="R258" s="43"/>
      <c r="S258" s="43"/>
      <c r="T258" s="43"/>
      <c r="U258" s="43"/>
      <c r="V258" s="43"/>
      <c r="W258" s="43"/>
      <c r="X258" s="43"/>
      <c r="Y258" s="43"/>
      <c r="Z258" s="43"/>
      <c r="AA258" s="43"/>
      <c r="AB258" s="43"/>
      <c r="AC258" s="43"/>
      <c r="AD258" s="43"/>
      <c r="AE258" s="43"/>
      <c r="AF258" s="43"/>
      <c r="AG258" s="43"/>
      <c r="AH258" s="43"/>
      <c r="AI258" s="43"/>
      <c r="AJ258" s="43"/>
    </row>
    <row r="259">
      <c r="A259" s="159" t="s">
        <v>4122</v>
      </c>
      <c r="B259" s="90" t="s">
        <v>4238</v>
      </c>
      <c r="C259" s="50">
        <f>COUNTIF(develop!F259:F980,B259)</f>
        <v>1</v>
      </c>
      <c r="D259" s="160" t="s">
        <v>811</v>
      </c>
      <c r="E259" s="90" t="s">
        <v>4239</v>
      </c>
      <c r="F259" s="113" t="s">
        <v>4240</v>
      </c>
      <c r="G259" s="53" t="str">
        <f t="shared" si="17"/>
        <v>mx-api-bc-pro-account-validation-hub</v>
      </c>
      <c r="H259" s="54" t="str">
        <f t="shared" si="2"/>
        <v>https://anypoint.mulesoft.com/exchange/834f46f4-ef08-4c50-81ae-56f917b413cc/mx-api-bc-pro-account-validation-hub</v>
      </c>
      <c r="I259" s="59" t="s">
        <v>162</v>
      </c>
      <c r="J259" s="57" t="str">
        <f t="shared" si="18"/>
        <v>mx-ms-bc-pro-account-validation-hub</v>
      </c>
      <c r="K259" s="55" t="s">
        <v>816</v>
      </c>
      <c r="L259" s="96"/>
      <c r="M259" s="57" t="str">
        <f t="shared" si="19"/>
        <v>mx-ms-bc-pro-account-validation-hub</v>
      </c>
      <c r="N259" s="55" t="str">
        <f t="shared" si="13"/>
        <v>Valid</v>
      </c>
      <c r="O259" s="59">
        <f t="shared" si="6"/>
        <v>35</v>
      </c>
      <c r="P259" s="95"/>
      <c r="Q259" s="95"/>
      <c r="R259" s="60"/>
      <c r="S259" s="60"/>
      <c r="T259" s="60"/>
      <c r="U259" s="60"/>
      <c r="V259" s="60"/>
      <c r="W259" s="60"/>
      <c r="X259" s="60"/>
      <c r="Y259" s="60"/>
      <c r="Z259" s="60"/>
      <c r="AA259" s="60"/>
      <c r="AB259" s="60"/>
      <c r="AC259" s="60"/>
      <c r="AD259" s="60"/>
      <c r="AE259" s="60"/>
      <c r="AF259" s="60"/>
      <c r="AG259" s="60"/>
      <c r="AH259" s="60"/>
      <c r="AI259" s="60"/>
      <c r="AJ259" s="60"/>
    </row>
    <row r="260">
      <c r="A260" s="156" t="s">
        <v>4122</v>
      </c>
      <c r="B260" s="67" t="s">
        <v>4244</v>
      </c>
      <c r="C260" s="33">
        <f>COUNTIF(develop!F260:F980,B260)</f>
        <v>1</v>
      </c>
      <c r="D260" s="158" t="s">
        <v>811</v>
      </c>
      <c r="E260" s="163" t="s">
        <v>4245</v>
      </c>
      <c r="F260" s="110" t="s">
        <v>4246</v>
      </c>
      <c r="G260" s="35" t="str">
        <f t="shared" si="17"/>
        <v>mx-api-bc-pro-utility-hub</v>
      </c>
      <c r="H260" s="37" t="str">
        <f t="shared" si="2"/>
        <v>https://anypoint.mulesoft.com/exchange/834f46f4-ef08-4c50-81ae-56f917b413cc/mx-api-bc-pro-utility-hub</v>
      </c>
      <c r="I260" s="42" t="s">
        <v>162</v>
      </c>
      <c r="J260" s="41" t="str">
        <f t="shared" si="18"/>
        <v>mx-ms-bc-pro-utility-hub</v>
      </c>
      <c r="K260" s="39" t="s">
        <v>816</v>
      </c>
      <c r="L260" s="99"/>
      <c r="M260" s="41" t="str">
        <f t="shared" si="19"/>
        <v>mx-ms-bc-pro-utility-hub</v>
      </c>
      <c r="N260" s="39" t="str">
        <f t="shared" si="13"/>
        <v>Valid</v>
      </c>
      <c r="O260" s="42">
        <f t="shared" si="6"/>
        <v>24</v>
      </c>
      <c r="P260" s="98"/>
      <c r="Q260" s="98"/>
      <c r="R260" s="43"/>
      <c r="S260" s="43"/>
      <c r="T260" s="43"/>
      <c r="U260" s="43"/>
      <c r="V260" s="43"/>
      <c r="W260" s="43"/>
      <c r="X260" s="43"/>
      <c r="Y260" s="43"/>
      <c r="Z260" s="43"/>
      <c r="AA260" s="43"/>
      <c r="AB260" s="43"/>
      <c r="AC260" s="43"/>
      <c r="AD260" s="43"/>
      <c r="AE260" s="43"/>
      <c r="AF260" s="43"/>
      <c r="AG260" s="43"/>
      <c r="AH260" s="43"/>
      <c r="AI260" s="43"/>
      <c r="AJ260" s="43"/>
    </row>
    <row r="261">
      <c r="A261" s="159" t="s">
        <v>4122</v>
      </c>
      <c r="B261" s="90" t="s">
        <v>4254</v>
      </c>
      <c r="C261" s="50">
        <f>COUNTIF(develop!F261:F980,B261)</f>
        <v>1</v>
      </c>
      <c r="D261" s="160" t="s">
        <v>811</v>
      </c>
      <c r="E261" s="168" t="s">
        <v>4256</v>
      </c>
      <c r="F261" s="113" t="s">
        <v>4258</v>
      </c>
      <c r="G261" s="53" t="str">
        <f t="shared" si="17"/>
        <v>mx-api-bc-pro-customer-agreement-hub</v>
      </c>
      <c r="H261" s="54" t="str">
        <f t="shared" si="2"/>
        <v>https://anypoint.mulesoft.com/exchange/834f46f4-ef08-4c50-81ae-56f917b413cc/mx-api-bc-pro-customer-agreement-hub</v>
      </c>
      <c r="I261" s="59" t="s">
        <v>162</v>
      </c>
      <c r="J261" s="57" t="str">
        <f t="shared" si="18"/>
        <v>mx-ms-bc-pro-customer-agreement-hub</v>
      </c>
      <c r="K261" s="55" t="s">
        <v>816</v>
      </c>
      <c r="L261" s="96"/>
      <c r="M261" s="57" t="str">
        <f t="shared" si="19"/>
        <v>mx-ms-bc-pro-customer-agreement-hub</v>
      </c>
      <c r="N261" s="55" t="str">
        <f t="shared" si="13"/>
        <v>Valid</v>
      </c>
      <c r="O261" s="59">
        <f t="shared" si="6"/>
        <v>35</v>
      </c>
      <c r="P261" s="95"/>
      <c r="Q261" s="95"/>
      <c r="R261" s="60"/>
      <c r="S261" s="60"/>
      <c r="T261" s="60"/>
      <c r="U261" s="60"/>
      <c r="V261" s="60"/>
      <c r="W261" s="60"/>
      <c r="X261" s="60"/>
      <c r="Y261" s="60"/>
      <c r="Z261" s="60"/>
      <c r="AA261" s="60"/>
      <c r="AB261" s="60"/>
      <c r="AC261" s="60"/>
      <c r="AD261" s="60"/>
      <c r="AE261" s="60"/>
      <c r="AF261" s="60"/>
      <c r="AG261" s="60"/>
      <c r="AH261" s="60"/>
      <c r="AI261" s="60"/>
      <c r="AJ261" s="60"/>
    </row>
    <row r="262">
      <c r="A262" s="156" t="s">
        <v>4122</v>
      </c>
      <c r="B262" s="67" t="s">
        <v>4267</v>
      </c>
      <c r="C262" s="33">
        <f>COUNTIF(develop!F262:F980,B262)</f>
        <v>1</v>
      </c>
      <c r="D262" s="158" t="s">
        <v>811</v>
      </c>
      <c r="E262" s="163" t="s">
        <v>4270</v>
      </c>
      <c r="F262" s="110" t="s">
        <v>4271</v>
      </c>
      <c r="G262" s="35" t="str">
        <f t="shared" si="17"/>
        <v>mx-api-bc-pro-cash-mgmt-acct-services-hub</v>
      </c>
      <c r="H262" s="37" t="str">
        <f t="shared" si="2"/>
        <v>https://anypoint.mulesoft.com/exchange/834f46f4-ef08-4c50-81ae-56f917b413cc/mx-api-bc-pro-cash-mgmt-acct-services-hub</v>
      </c>
      <c r="I262" s="42" t="s">
        <v>162</v>
      </c>
      <c r="J262" s="41" t="str">
        <f t="shared" si="18"/>
        <v>mx-ms-bc-pro-cash-mgmt-acct-services-hub</v>
      </c>
      <c r="K262" s="39" t="s">
        <v>816</v>
      </c>
      <c r="L262" s="99"/>
      <c r="M262" s="41" t="str">
        <f t="shared" si="19"/>
        <v>mx-ms-bc-pro-cash-mgmt-acct-services-hub</v>
      </c>
      <c r="N262" s="39" t="str">
        <f t="shared" si="13"/>
        <v>Valid</v>
      </c>
      <c r="O262" s="42">
        <f t="shared" si="6"/>
        <v>40</v>
      </c>
      <c r="P262" s="98"/>
      <c r="Q262" s="98"/>
      <c r="R262" s="43"/>
      <c r="S262" s="43"/>
      <c r="T262" s="43"/>
      <c r="U262" s="43"/>
      <c r="V262" s="43"/>
      <c r="W262" s="43"/>
      <c r="X262" s="43"/>
      <c r="Y262" s="43"/>
      <c r="Z262" s="43"/>
      <c r="AA262" s="43"/>
      <c r="AB262" s="43"/>
      <c r="AC262" s="43"/>
      <c r="AD262" s="43"/>
      <c r="AE262" s="43"/>
      <c r="AF262" s="43"/>
      <c r="AG262" s="43"/>
      <c r="AH262" s="43"/>
      <c r="AI262" s="43"/>
      <c r="AJ262" s="43"/>
    </row>
    <row r="263">
      <c r="A263" s="159" t="s">
        <v>4122</v>
      </c>
      <c r="B263" s="174" t="s">
        <v>4282</v>
      </c>
      <c r="C263" s="50">
        <f>COUNTIF(develop!F263:F980,B263)</f>
        <v>2</v>
      </c>
      <c r="D263" s="160" t="s">
        <v>42</v>
      </c>
      <c r="E263" s="90"/>
      <c r="F263" s="113" t="s">
        <v>4285</v>
      </c>
      <c r="G263" s="53" t="str">
        <f t="shared" si="17"/>
        <v/>
      </c>
      <c r="H263" s="60"/>
      <c r="I263" s="59" t="s">
        <v>162</v>
      </c>
      <c r="J263" s="57" t="str">
        <f t="shared" si="18"/>
        <v/>
      </c>
      <c r="K263" s="55" t="s">
        <v>816</v>
      </c>
      <c r="L263" s="96"/>
      <c r="M263" s="57" t="str">
        <f t="shared" si="19"/>
        <v/>
      </c>
      <c r="N263" s="55" t="str">
        <f t="shared" si="13"/>
        <v>Invalid</v>
      </c>
      <c r="O263" s="59">
        <f t="shared" si="6"/>
        <v>0</v>
      </c>
      <c r="P263" s="95"/>
      <c r="Q263" s="95"/>
      <c r="R263" s="60"/>
      <c r="S263" s="60"/>
      <c r="T263" s="60"/>
      <c r="U263" s="60"/>
      <c r="V263" s="60"/>
      <c r="W263" s="60"/>
      <c r="X263" s="60"/>
      <c r="Y263" s="60"/>
      <c r="Z263" s="60"/>
      <c r="AA263" s="60"/>
      <c r="AB263" s="60"/>
      <c r="AC263" s="60"/>
      <c r="AD263" s="60"/>
      <c r="AE263" s="60"/>
      <c r="AF263" s="60"/>
      <c r="AG263" s="60"/>
      <c r="AH263" s="60"/>
      <c r="AI263" s="60"/>
      <c r="AJ263" s="60"/>
    </row>
    <row r="264">
      <c r="A264" s="156" t="s">
        <v>4122</v>
      </c>
      <c r="B264" s="175" t="s">
        <v>4297</v>
      </c>
      <c r="C264" s="33">
        <f>COUNTIF(develop!F264:F980,B264)</f>
        <v>5</v>
      </c>
      <c r="D264" s="158" t="s">
        <v>42</v>
      </c>
      <c r="E264" s="163" t="s">
        <v>4303</v>
      </c>
      <c r="F264" s="110" t="s">
        <v>4304</v>
      </c>
      <c r="G264" s="35" t="str">
        <f t="shared" si="17"/>
        <v>mx-api-bc-bus-dir-deb-mand-hub</v>
      </c>
      <c r="H264" s="43"/>
      <c r="I264" s="42" t="s">
        <v>162</v>
      </c>
      <c r="J264" s="41" t="str">
        <f t="shared" si="18"/>
        <v>mx-ms-bc-bus-dir-deb-mand-hub-mule</v>
      </c>
      <c r="K264" s="39" t="s">
        <v>58</v>
      </c>
      <c r="L264" s="99"/>
      <c r="M264" s="41" t="str">
        <f t="shared" si="19"/>
        <v>bus-dir-deb-mand-hub-api-dev</v>
      </c>
      <c r="N264" s="39" t="str">
        <f t="shared" si="13"/>
        <v>Valid</v>
      </c>
      <c r="O264" s="42">
        <f t="shared" si="6"/>
        <v>28</v>
      </c>
      <c r="P264" s="98"/>
      <c r="Q264" s="98"/>
      <c r="R264" s="43"/>
      <c r="S264" s="43"/>
      <c r="T264" s="43"/>
      <c r="U264" s="43"/>
      <c r="V264" s="43"/>
      <c r="W264" s="43"/>
      <c r="X264" s="43"/>
      <c r="Y264" s="43"/>
      <c r="Z264" s="43"/>
      <c r="AA264" s="43"/>
      <c r="AB264" s="43"/>
      <c r="AC264" s="43"/>
      <c r="AD264" s="43"/>
      <c r="AE264" s="43"/>
      <c r="AF264" s="43"/>
      <c r="AG264" s="43"/>
      <c r="AH264" s="43"/>
      <c r="AI264" s="43"/>
      <c r="AJ264" s="43"/>
    </row>
    <row r="265">
      <c r="A265" s="159" t="s">
        <v>4122</v>
      </c>
      <c r="B265" s="177" t="s">
        <v>4316</v>
      </c>
      <c r="C265" s="50">
        <f>COUNTIF(develop!F265:F980,B265)</f>
        <v>1</v>
      </c>
      <c r="D265" s="160" t="s">
        <v>811</v>
      </c>
      <c r="E265" s="162" t="s">
        <v>4319</v>
      </c>
      <c r="F265" s="113" t="s">
        <v>4320</v>
      </c>
      <c r="G265" s="53" t="str">
        <f t="shared" si="17"/>
        <v>mx-api-bc-pro-acct-rcvb-hub</v>
      </c>
      <c r="H265" s="60"/>
      <c r="I265" s="59" t="s">
        <v>162</v>
      </c>
      <c r="J265" s="57" t="str">
        <f t="shared" si="18"/>
        <v>mx-ms-bc-pro-acct-rcvb-hub</v>
      </c>
      <c r="K265" s="55" t="s">
        <v>816</v>
      </c>
      <c r="L265" s="96"/>
      <c r="M265" s="57" t="str">
        <f t="shared" si="19"/>
        <v>mx-ms-bc-pro-acct-rcvb-hub</v>
      </c>
      <c r="N265" s="55" t="str">
        <f t="shared" si="13"/>
        <v>Valid</v>
      </c>
      <c r="O265" s="59">
        <f t="shared" si="6"/>
        <v>26</v>
      </c>
      <c r="P265" s="95"/>
      <c r="Q265" s="95"/>
      <c r="R265" s="60"/>
      <c r="S265" s="60"/>
      <c r="T265" s="60"/>
      <c r="U265" s="60"/>
      <c r="V265" s="60"/>
      <c r="W265" s="60"/>
      <c r="X265" s="60"/>
      <c r="Y265" s="60"/>
      <c r="Z265" s="60"/>
      <c r="AA265" s="60"/>
      <c r="AB265" s="60"/>
      <c r="AC265" s="60"/>
      <c r="AD265" s="60"/>
      <c r="AE265" s="60"/>
      <c r="AF265" s="60"/>
      <c r="AG265" s="60"/>
      <c r="AH265" s="60"/>
      <c r="AI265" s="60"/>
      <c r="AJ265" s="60"/>
    </row>
    <row r="266">
      <c r="A266" s="156" t="s">
        <v>4122</v>
      </c>
      <c r="B266" s="178" t="s">
        <v>4332</v>
      </c>
      <c r="C266" s="33">
        <f>COUNTIF(develop!F266:F980,B266)</f>
        <v>1</v>
      </c>
      <c r="D266" s="158" t="s">
        <v>811</v>
      </c>
      <c r="E266" s="67" t="s">
        <v>4338</v>
      </c>
      <c r="F266" s="110" t="s">
        <v>4339</v>
      </c>
      <c r="G266" s="35" t="str">
        <f t="shared" si="17"/>
        <v>mx-api-bc-pro-chan-mgmt-hub</v>
      </c>
      <c r="H266" s="43"/>
      <c r="I266" s="42" t="s">
        <v>162</v>
      </c>
      <c r="J266" s="41" t="str">
        <f t="shared" si="18"/>
        <v>mx-ms-bc-pro-chan-mgmt-hub</v>
      </c>
      <c r="K266" s="39" t="s">
        <v>816</v>
      </c>
      <c r="L266" s="99"/>
      <c r="M266" s="41" t="str">
        <f t="shared" si="19"/>
        <v>mx-ms-bc-pro-chan-mgmt-hub</v>
      </c>
      <c r="N266" s="39" t="str">
        <f t="shared" si="13"/>
        <v>Valid</v>
      </c>
      <c r="O266" s="42">
        <f t="shared" si="6"/>
        <v>26</v>
      </c>
      <c r="P266" s="98"/>
      <c r="Q266" s="98"/>
      <c r="R266" s="43"/>
      <c r="S266" s="43"/>
      <c r="T266" s="43"/>
      <c r="U266" s="43"/>
      <c r="V266" s="43"/>
      <c r="W266" s="43"/>
      <c r="X266" s="43"/>
      <c r="Y266" s="43"/>
      <c r="Z266" s="43"/>
      <c r="AA266" s="43"/>
      <c r="AB266" s="43"/>
      <c r="AC266" s="43"/>
      <c r="AD266" s="43"/>
      <c r="AE266" s="43"/>
      <c r="AF266" s="43"/>
      <c r="AG266" s="43"/>
      <c r="AH266" s="43"/>
      <c r="AI266" s="43"/>
      <c r="AJ266" s="43"/>
    </row>
    <row r="267">
      <c r="A267" s="159" t="s">
        <v>4122</v>
      </c>
      <c r="B267" s="90" t="s">
        <v>4350</v>
      </c>
      <c r="C267" s="50">
        <f>COUNTIF(develop!F267:F980,B267)</f>
        <v>3</v>
      </c>
      <c r="D267" s="160" t="s">
        <v>811</v>
      </c>
      <c r="E267" s="162" t="s">
        <v>4353</v>
      </c>
      <c r="F267" s="113" t="s">
        <v>4354</v>
      </c>
      <c r="G267" s="53" t="str">
        <f t="shared" si="17"/>
        <v>mx-api-bc-pro-dir-deb-hub</v>
      </c>
      <c r="H267" s="60"/>
      <c r="I267" s="59" t="s">
        <v>162</v>
      </c>
      <c r="J267" s="57" t="str">
        <f t="shared" si="18"/>
        <v>mx-ms-bc-pro-dir-deb-hub</v>
      </c>
      <c r="K267" s="55" t="s">
        <v>816</v>
      </c>
      <c r="L267" s="96"/>
      <c r="M267" s="57" t="str">
        <f t="shared" si="19"/>
        <v>mx-ms-bc-pro-dir-deb-hub</v>
      </c>
      <c r="N267" s="55" t="str">
        <f t="shared" si="13"/>
        <v>Valid</v>
      </c>
      <c r="O267" s="59">
        <f t="shared" si="6"/>
        <v>24</v>
      </c>
      <c r="P267" s="95"/>
      <c r="Q267" s="95"/>
      <c r="R267" s="60"/>
      <c r="S267" s="60"/>
      <c r="T267" s="60"/>
      <c r="U267" s="60"/>
      <c r="V267" s="60"/>
      <c r="W267" s="60"/>
      <c r="X267" s="60"/>
      <c r="Y267" s="60"/>
      <c r="Z267" s="60"/>
      <c r="AA267" s="60"/>
      <c r="AB267" s="60"/>
      <c r="AC267" s="60"/>
      <c r="AD267" s="60"/>
      <c r="AE267" s="60"/>
      <c r="AF267" s="60"/>
      <c r="AG267" s="60"/>
      <c r="AH267" s="60"/>
      <c r="AI267" s="60"/>
      <c r="AJ267" s="60"/>
    </row>
    <row r="268">
      <c r="A268" s="156" t="s">
        <v>4122</v>
      </c>
      <c r="B268" s="179" t="s">
        <v>4365</v>
      </c>
      <c r="C268" s="33">
        <f>COUNTIF(develop!F268:F980,B268)</f>
        <v>1</v>
      </c>
      <c r="D268" s="158" t="s">
        <v>811</v>
      </c>
      <c r="E268" s="67" t="s">
        <v>4368</v>
      </c>
      <c r="F268" s="110" t="s">
        <v>4369</v>
      </c>
      <c r="G268" s="35" t="str">
        <f t="shared" si="17"/>
        <v>mx-api-bc-pro-public-ref-dat-mgmt-hub</v>
      </c>
      <c r="H268" s="43"/>
      <c r="I268" s="42" t="s">
        <v>162</v>
      </c>
      <c r="J268" s="41" t="str">
        <f t="shared" si="18"/>
        <v>mx-ms-bc-pro-public-ref-dat-mgmt-hub</v>
      </c>
      <c r="K268" s="39" t="s">
        <v>816</v>
      </c>
      <c r="L268" s="99"/>
      <c r="M268" s="41" t="str">
        <f t="shared" si="19"/>
        <v>mx-ms-bc-pro-public-ref-dat-mgmt-hub</v>
      </c>
      <c r="N268" s="39" t="str">
        <f t="shared" si="13"/>
        <v>Valid</v>
      </c>
      <c r="O268" s="42">
        <f t="shared" si="6"/>
        <v>36</v>
      </c>
      <c r="P268" s="98"/>
      <c r="Q268" s="98"/>
      <c r="R268" s="43"/>
      <c r="S268" s="43"/>
      <c r="T268" s="43"/>
      <c r="U268" s="43"/>
      <c r="V268" s="43"/>
      <c r="W268" s="43"/>
      <c r="X268" s="43"/>
      <c r="Y268" s="43"/>
      <c r="Z268" s="43"/>
      <c r="AA268" s="43"/>
      <c r="AB268" s="43"/>
      <c r="AC268" s="43"/>
      <c r="AD268" s="43"/>
      <c r="AE268" s="43"/>
      <c r="AF268" s="43"/>
      <c r="AG268" s="43"/>
      <c r="AH268" s="43"/>
      <c r="AI268" s="43"/>
      <c r="AJ268" s="43"/>
    </row>
    <row r="269">
      <c r="A269" s="159" t="s">
        <v>4122</v>
      </c>
      <c r="B269" s="174" t="s">
        <v>4376</v>
      </c>
      <c r="C269" s="50">
        <f>COUNTIF(develop!F269:F980,B269)</f>
        <v>1</v>
      </c>
      <c r="D269" s="160" t="s">
        <v>811</v>
      </c>
      <c r="E269" s="162" t="s">
        <v>4377</v>
      </c>
      <c r="F269" s="113" t="s">
        <v>4379</v>
      </c>
      <c r="G269" s="53" t="str">
        <f t="shared" si="17"/>
        <v>mx-api-bc-pro-systems-operations-hub</v>
      </c>
      <c r="H269" s="60"/>
      <c r="I269" s="59" t="s">
        <v>162</v>
      </c>
      <c r="J269" s="57" t="str">
        <f t="shared" si="18"/>
        <v>mx-ms-bc-pro-systems-operations-hub</v>
      </c>
      <c r="K269" s="55" t="s">
        <v>816</v>
      </c>
      <c r="L269" s="96"/>
      <c r="M269" s="57" t="str">
        <f t="shared" si="19"/>
        <v>mx-ms-bc-pro-systems-operations-hub</v>
      </c>
      <c r="N269" s="55" t="str">
        <f t="shared" si="13"/>
        <v>Valid</v>
      </c>
      <c r="O269" s="59">
        <f t="shared" si="6"/>
        <v>35</v>
      </c>
      <c r="P269" s="95"/>
      <c r="Q269" s="95"/>
      <c r="R269" s="60"/>
      <c r="S269" s="60"/>
      <c r="T269" s="60"/>
      <c r="U269" s="60"/>
      <c r="V269" s="60"/>
      <c r="W269" s="60"/>
      <c r="X269" s="60"/>
      <c r="Y269" s="60"/>
      <c r="Z269" s="60"/>
      <c r="AA269" s="60"/>
      <c r="AB269" s="60"/>
      <c r="AC269" s="60"/>
      <c r="AD269" s="60"/>
      <c r="AE269" s="60"/>
      <c r="AF269" s="60"/>
      <c r="AG269" s="60"/>
      <c r="AH269" s="60"/>
      <c r="AI269" s="60"/>
      <c r="AJ269" s="60"/>
    </row>
    <row r="270">
      <c r="A270" s="156" t="s">
        <v>44</v>
      </c>
      <c r="B270" s="67" t="s">
        <v>4384</v>
      </c>
      <c r="C270" s="33">
        <f>COUNTIF(develop!F270:F980,B270)</f>
        <v>0</v>
      </c>
      <c r="D270" s="158" t="s">
        <v>119</v>
      </c>
      <c r="E270" s="67" t="s">
        <v>4386</v>
      </c>
      <c r="F270" s="110" t="s">
        <v>4387</v>
      </c>
      <c r="G270" s="35" t="str">
        <f t="shared" si="17"/>
        <v>mx-api-bc-dom-party-routing-profile</v>
      </c>
      <c r="H270" s="43"/>
      <c r="I270" s="42" t="s">
        <v>162</v>
      </c>
      <c r="J270" s="41" t="str">
        <f t="shared" si="18"/>
        <v>mx-ms-bc-dom-party-routing-profile-mule</v>
      </c>
      <c r="K270" s="39" t="s">
        <v>58</v>
      </c>
      <c r="L270" s="99"/>
      <c r="M270" s="41" t="str">
        <f t="shared" si="19"/>
        <v>dom-party-routing-profile-api-dev</v>
      </c>
      <c r="N270" s="39" t="str">
        <f t="shared" si="13"/>
        <v>Valid</v>
      </c>
      <c r="O270" s="42">
        <f t="shared" si="6"/>
        <v>33</v>
      </c>
      <c r="P270" s="98"/>
      <c r="Q270" s="98"/>
      <c r="R270" s="43"/>
      <c r="S270" s="43"/>
      <c r="T270" s="43"/>
      <c r="U270" s="43"/>
      <c r="V270" s="43"/>
      <c r="W270" s="43"/>
      <c r="X270" s="43"/>
      <c r="Y270" s="43"/>
      <c r="Z270" s="43"/>
      <c r="AA270" s="43"/>
      <c r="AB270" s="43"/>
      <c r="AC270" s="43"/>
      <c r="AD270" s="43"/>
      <c r="AE270" s="43"/>
      <c r="AF270" s="43"/>
      <c r="AG270" s="43"/>
      <c r="AH270" s="43"/>
      <c r="AI270" s="43"/>
      <c r="AJ270" s="43"/>
    </row>
    <row r="271">
      <c r="A271" s="159" t="s">
        <v>44</v>
      </c>
      <c r="B271" s="90" t="s">
        <v>4390</v>
      </c>
      <c r="C271" s="50">
        <f>COUNTIF(develop!F271:F980,B271)</f>
        <v>0</v>
      </c>
      <c r="D271" s="160" t="s">
        <v>811</v>
      </c>
      <c r="E271" s="90" t="s">
        <v>4392</v>
      </c>
      <c r="F271" s="113" t="s">
        <v>4393</v>
      </c>
      <c r="G271" s="53" t="str">
        <f t="shared" si="17"/>
        <v>mx-api-bc-pro-party-routing-profile</v>
      </c>
      <c r="H271" s="60"/>
      <c r="I271" s="59" t="s">
        <v>162</v>
      </c>
      <c r="J271" s="57" t="str">
        <f t="shared" si="18"/>
        <v>mx-ms-bc-pro-party-routing-profile</v>
      </c>
      <c r="K271" s="55" t="s">
        <v>816</v>
      </c>
      <c r="L271" s="96"/>
      <c r="M271" s="57" t="str">
        <f t="shared" si="19"/>
        <v>mx-ms-bc-pro-party-routing-profile</v>
      </c>
      <c r="N271" s="55" t="str">
        <f t="shared" si="13"/>
        <v>Valid</v>
      </c>
      <c r="O271" s="59">
        <f t="shared" si="6"/>
        <v>34</v>
      </c>
      <c r="P271" s="95"/>
      <c r="Q271" s="95"/>
      <c r="R271" s="60"/>
      <c r="S271" s="60"/>
      <c r="T271" s="60"/>
      <c r="U271" s="60"/>
      <c r="V271" s="60"/>
      <c r="W271" s="60"/>
      <c r="X271" s="60"/>
      <c r="Y271" s="60"/>
      <c r="Z271" s="60"/>
      <c r="AA271" s="60"/>
      <c r="AB271" s="60"/>
      <c r="AC271" s="60"/>
      <c r="AD271" s="60"/>
      <c r="AE271" s="60"/>
      <c r="AF271" s="60"/>
      <c r="AG271" s="60"/>
      <c r="AH271" s="60"/>
      <c r="AI271" s="60"/>
      <c r="AJ271" s="60"/>
    </row>
    <row r="272">
      <c r="A272" s="156" t="s">
        <v>44</v>
      </c>
      <c r="B272" s="67" t="s">
        <v>4396</v>
      </c>
      <c r="C272" s="33">
        <f>COUNTIF(develop!F272:F980,B272)</f>
        <v>0</v>
      </c>
      <c r="D272" s="158" t="s">
        <v>42</v>
      </c>
      <c r="E272" s="67" t="s">
        <v>4397</v>
      </c>
      <c r="F272" s="110" t="s">
        <v>4398</v>
      </c>
      <c r="G272" s="35" t="str">
        <f t="shared" si="17"/>
        <v>mx-api-bc-bus-sales</v>
      </c>
      <c r="H272" s="43"/>
      <c r="I272" s="42" t="s">
        <v>162</v>
      </c>
      <c r="J272" s="41" t="str">
        <f t="shared" si="18"/>
        <v>mx-ms-bc-bus-sales-mule</v>
      </c>
      <c r="K272" s="39" t="s">
        <v>58</v>
      </c>
      <c r="L272" s="99"/>
      <c r="M272" s="41" t="str">
        <f t="shared" si="19"/>
        <v>bus-sales-api-dev</v>
      </c>
      <c r="N272" s="39" t="str">
        <f t="shared" si="13"/>
        <v>Valid</v>
      </c>
      <c r="O272" s="42">
        <f t="shared" si="6"/>
        <v>17</v>
      </c>
      <c r="P272" s="98"/>
      <c r="Q272" s="98"/>
      <c r="R272" s="43"/>
      <c r="S272" s="43"/>
      <c r="T272" s="43"/>
      <c r="U272" s="43"/>
      <c r="V272" s="43"/>
      <c r="W272" s="43"/>
      <c r="X272" s="43"/>
      <c r="Y272" s="43"/>
      <c r="Z272" s="43"/>
      <c r="AA272" s="43"/>
      <c r="AB272" s="43"/>
      <c r="AC272" s="43"/>
      <c r="AD272" s="43"/>
      <c r="AE272" s="43"/>
      <c r="AF272" s="43"/>
      <c r="AG272" s="43"/>
      <c r="AH272" s="43"/>
      <c r="AI272" s="43"/>
      <c r="AJ272" s="43"/>
    </row>
    <row r="273">
      <c r="A273" s="159" t="s">
        <v>44</v>
      </c>
      <c r="B273" s="90" t="s">
        <v>4401</v>
      </c>
      <c r="C273" s="50">
        <f>COUNTIF(develop!F273:F980,B273)</f>
        <v>0</v>
      </c>
      <c r="D273" s="160" t="s">
        <v>1417</v>
      </c>
      <c r="E273" s="90" t="s">
        <v>4402</v>
      </c>
      <c r="F273" s="113" t="s">
        <v>4403</v>
      </c>
      <c r="G273" s="53" t="str">
        <f t="shared" si="17"/>
        <v>mx-api-bc-rec-sales</v>
      </c>
      <c r="H273" s="60"/>
      <c r="I273" s="59" t="s">
        <v>162</v>
      </c>
      <c r="J273" s="57" t="str">
        <f t="shared" si="18"/>
        <v>mx-ms-bc-rec-sales-apigee</v>
      </c>
      <c r="K273" s="55" t="s">
        <v>1423</v>
      </c>
      <c r="L273" s="96"/>
      <c r="M273" s="57" t="str">
        <f t="shared" si="19"/>
        <v>mx-ms-bc-rec-sales-apigee</v>
      </c>
      <c r="N273" s="55" t="str">
        <f t="shared" si="13"/>
        <v>Valid</v>
      </c>
      <c r="O273" s="59">
        <f t="shared" si="6"/>
        <v>25</v>
      </c>
      <c r="P273" s="95"/>
      <c r="Q273" s="95"/>
      <c r="R273" s="60"/>
      <c r="S273" s="60"/>
      <c r="T273" s="60"/>
      <c r="U273" s="60"/>
      <c r="V273" s="60"/>
      <c r="W273" s="60"/>
      <c r="X273" s="60"/>
      <c r="Y273" s="60"/>
      <c r="Z273" s="60"/>
      <c r="AA273" s="60"/>
      <c r="AB273" s="60"/>
      <c r="AC273" s="60"/>
      <c r="AD273" s="60"/>
      <c r="AE273" s="60"/>
      <c r="AF273" s="60"/>
      <c r="AG273" s="60"/>
      <c r="AH273" s="60"/>
      <c r="AI273" s="60"/>
      <c r="AJ273" s="60"/>
    </row>
    <row r="274">
      <c r="A274" s="185"/>
      <c r="B274" s="67"/>
      <c r="C274" s="186"/>
      <c r="D274" s="186"/>
      <c r="E274" s="67"/>
      <c r="F274" s="186"/>
      <c r="G274" s="187"/>
      <c r="H274" s="43"/>
      <c r="I274" s="98"/>
      <c r="J274" s="99"/>
      <c r="K274" s="98"/>
      <c r="L274" s="99"/>
      <c r="M274" s="99"/>
      <c r="N274" s="98"/>
      <c r="O274" s="98"/>
      <c r="P274" s="98"/>
      <c r="Q274" s="98"/>
      <c r="R274" s="43"/>
      <c r="S274" s="43"/>
      <c r="T274" s="43"/>
      <c r="U274" s="43"/>
      <c r="V274" s="43"/>
      <c r="W274" s="43"/>
      <c r="X274" s="43"/>
      <c r="Y274" s="43"/>
      <c r="Z274" s="43"/>
      <c r="AA274" s="43"/>
      <c r="AB274" s="43"/>
      <c r="AC274" s="43"/>
      <c r="AD274" s="43"/>
      <c r="AE274" s="43"/>
      <c r="AF274" s="43"/>
      <c r="AG274" s="43"/>
      <c r="AH274" s="43"/>
      <c r="AI274" s="43"/>
      <c r="AJ274" s="43"/>
    </row>
    <row r="275">
      <c r="A275" s="188"/>
      <c r="B275" s="90"/>
      <c r="C275" s="189"/>
      <c r="D275" s="189"/>
      <c r="E275" s="90"/>
      <c r="F275" s="189"/>
      <c r="G275" s="190"/>
      <c r="H275" s="60"/>
      <c r="I275" s="95"/>
      <c r="J275" s="96"/>
      <c r="K275" s="95"/>
      <c r="L275" s="96"/>
      <c r="M275" s="96"/>
      <c r="N275" s="95"/>
      <c r="O275" s="95"/>
      <c r="P275" s="95"/>
      <c r="Q275" s="95"/>
      <c r="R275" s="60"/>
      <c r="S275" s="60"/>
      <c r="T275" s="60"/>
      <c r="U275" s="60"/>
      <c r="V275" s="60"/>
      <c r="W275" s="60"/>
      <c r="X275" s="60"/>
      <c r="Y275" s="60"/>
      <c r="Z275" s="60"/>
      <c r="AA275" s="60"/>
      <c r="AB275" s="60"/>
      <c r="AC275" s="60"/>
      <c r="AD275" s="60"/>
      <c r="AE275" s="60"/>
      <c r="AF275" s="60"/>
      <c r="AG275" s="60"/>
      <c r="AH275" s="60"/>
      <c r="AI275" s="60"/>
      <c r="AJ275" s="60"/>
    </row>
    <row r="276">
      <c r="A276" s="185"/>
      <c r="B276" s="67"/>
      <c r="C276" s="186"/>
      <c r="D276" s="186"/>
      <c r="E276" s="67"/>
      <c r="F276" s="186"/>
      <c r="G276" s="187"/>
      <c r="H276" s="43"/>
      <c r="I276" s="98"/>
      <c r="J276" s="99"/>
      <c r="K276" s="98"/>
      <c r="L276" s="99"/>
      <c r="M276" s="99"/>
      <c r="N276" s="98"/>
      <c r="O276" s="98"/>
      <c r="P276" s="98"/>
      <c r="Q276" s="98"/>
      <c r="R276" s="43"/>
      <c r="S276" s="43"/>
      <c r="T276" s="43"/>
      <c r="U276" s="43"/>
      <c r="V276" s="43"/>
      <c r="W276" s="43"/>
      <c r="X276" s="43"/>
      <c r="Y276" s="43"/>
      <c r="Z276" s="43"/>
      <c r="AA276" s="43"/>
      <c r="AB276" s="43"/>
      <c r="AC276" s="43"/>
      <c r="AD276" s="43"/>
      <c r="AE276" s="43"/>
      <c r="AF276" s="43"/>
      <c r="AG276" s="43"/>
      <c r="AH276" s="43"/>
      <c r="AI276" s="43"/>
      <c r="AJ276" s="43"/>
    </row>
    <row r="277">
      <c r="A277" s="188"/>
      <c r="B277" s="90"/>
      <c r="C277" s="189"/>
      <c r="D277" s="189"/>
      <c r="E277" s="90"/>
      <c r="F277" s="189"/>
      <c r="G277" s="190"/>
      <c r="H277" s="60"/>
      <c r="I277" s="95"/>
      <c r="J277" s="96"/>
      <c r="K277" s="95"/>
      <c r="L277" s="96"/>
      <c r="M277" s="96"/>
      <c r="N277" s="95"/>
      <c r="O277" s="95"/>
      <c r="P277" s="95"/>
      <c r="Q277" s="95"/>
      <c r="R277" s="60"/>
      <c r="S277" s="60"/>
      <c r="T277" s="60"/>
      <c r="U277" s="60"/>
      <c r="V277" s="60"/>
      <c r="W277" s="60"/>
      <c r="X277" s="60"/>
      <c r="Y277" s="60"/>
      <c r="Z277" s="60"/>
      <c r="AA277" s="60"/>
      <c r="AB277" s="60"/>
      <c r="AC277" s="60"/>
      <c r="AD277" s="60"/>
      <c r="AE277" s="60"/>
      <c r="AF277" s="60"/>
      <c r="AG277" s="60"/>
      <c r="AH277" s="60"/>
      <c r="AI277" s="60"/>
      <c r="AJ277" s="60"/>
    </row>
    <row r="278">
      <c r="A278" s="185"/>
      <c r="B278" s="67"/>
      <c r="C278" s="186"/>
      <c r="D278" s="186"/>
      <c r="E278" s="67"/>
      <c r="F278" s="186"/>
      <c r="G278" s="187"/>
      <c r="H278" s="43"/>
      <c r="I278" s="98"/>
      <c r="J278" s="99"/>
      <c r="K278" s="98"/>
      <c r="L278" s="99"/>
      <c r="M278" s="99"/>
      <c r="N278" s="98"/>
      <c r="O278" s="98"/>
      <c r="P278" s="98"/>
      <c r="Q278" s="98"/>
      <c r="R278" s="43"/>
      <c r="S278" s="43"/>
      <c r="T278" s="43"/>
      <c r="U278" s="43"/>
      <c r="V278" s="43"/>
      <c r="W278" s="43"/>
      <c r="X278" s="43"/>
      <c r="Y278" s="43"/>
      <c r="Z278" s="43"/>
      <c r="AA278" s="43"/>
      <c r="AB278" s="43"/>
      <c r="AC278" s="43"/>
      <c r="AD278" s="43"/>
      <c r="AE278" s="43"/>
      <c r="AF278" s="43"/>
      <c r="AG278" s="43"/>
      <c r="AH278" s="43"/>
      <c r="AI278" s="43"/>
      <c r="AJ278" s="43"/>
    </row>
    <row r="279">
      <c r="A279" s="188"/>
      <c r="B279" s="90"/>
      <c r="C279" s="189"/>
      <c r="D279" s="189"/>
      <c r="E279" s="90"/>
      <c r="F279" s="189"/>
      <c r="G279" s="190"/>
      <c r="H279" s="60"/>
      <c r="I279" s="95"/>
      <c r="J279" s="96"/>
      <c r="K279" s="95"/>
      <c r="L279" s="96"/>
      <c r="M279" s="96"/>
      <c r="N279" s="95"/>
      <c r="O279" s="95"/>
      <c r="P279" s="95"/>
      <c r="Q279" s="95"/>
      <c r="R279" s="60"/>
      <c r="S279" s="60"/>
      <c r="T279" s="60"/>
      <c r="U279" s="60"/>
      <c r="V279" s="60"/>
      <c r="W279" s="60"/>
      <c r="X279" s="60"/>
      <c r="Y279" s="60"/>
      <c r="Z279" s="60"/>
      <c r="AA279" s="60"/>
      <c r="AB279" s="60"/>
      <c r="AC279" s="60"/>
      <c r="AD279" s="60"/>
      <c r="AE279" s="60"/>
      <c r="AF279" s="60"/>
      <c r="AG279" s="60"/>
      <c r="AH279" s="60"/>
      <c r="AI279" s="60"/>
      <c r="AJ279" s="60"/>
    </row>
    <row r="280">
      <c r="A280" s="185"/>
      <c r="B280" s="67"/>
      <c r="C280" s="186"/>
      <c r="D280" s="186"/>
      <c r="E280" s="67"/>
      <c r="F280" s="186"/>
      <c r="G280" s="187"/>
      <c r="H280" s="43"/>
      <c r="I280" s="98"/>
      <c r="J280" s="99"/>
      <c r="K280" s="98"/>
      <c r="L280" s="99"/>
      <c r="M280" s="99"/>
      <c r="N280" s="98"/>
      <c r="O280" s="98"/>
      <c r="P280" s="98"/>
      <c r="Q280" s="98"/>
      <c r="R280" s="43"/>
      <c r="S280" s="43"/>
      <c r="T280" s="43"/>
      <c r="U280" s="43"/>
      <c r="V280" s="43"/>
      <c r="W280" s="43"/>
      <c r="X280" s="43"/>
      <c r="Y280" s="43"/>
      <c r="Z280" s="43"/>
      <c r="AA280" s="43"/>
      <c r="AB280" s="43"/>
      <c r="AC280" s="43"/>
      <c r="AD280" s="43"/>
      <c r="AE280" s="43"/>
      <c r="AF280" s="43"/>
      <c r="AG280" s="43"/>
      <c r="AH280" s="43"/>
      <c r="AI280" s="43"/>
      <c r="AJ280" s="43"/>
    </row>
    <row r="281">
      <c r="A281" s="188"/>
      <c r="B281" s="90"/>
      <c r="C281" s="189"/>
      <c r="D281" s="189"/>
      <c r="E281" s="90"/>
      <c r="F281" s="189"/>
      <c r="G281" s="190"/>
      <c r="H281" s="60"/>
      <c r="I281" s="95"/>
      <c r="J281" s="96"/>
      <c r="K281" s="95"/>
      <c r="L281" s="96"/>
      <c r="M281" s="96"/>
      <c r="N281" s="95"/>
      <c r="O281" s="95"/>
      <c r="P281" s="95"/>
      <c r="Q281" s="95"/>
      <c r="R281" s="60"/>
      <c r="S281" s="60"/>
      <c r="T281" s="60"/>
      <c r="U281" s="60"/>
      <c r="V281" s="60"/>
      <c r="W281" s="60"/>
      <c r="X281" s="60"/>
      <c r="Y281" s="60"/>
      <c r="Z281" s="60"/>
      <c r="AA281" s="60"/>
      <c r="AB281" s="60"/>
      <c r="AC281" s="60"/>
      <c r="AD281" s="60"/>
      <c r="AE281" s="60"/>
      <c r="AF281" s="60"/>
      <c r="AG281" s="60"/>
      <c r="AH281" s="60"/>
      <c r="AI281" s="60"/>
      <c r="AJ281" s="60"/>
    </row>
    <row r="282">
      <c r="A282" s="185"/>
      <c r="B282" s="67"/>
      <c r="C282" s="186"/>
      <c r="D282" s="186"/>
      <c r="E282" s="67"/>
      <c r="F282" s="186"/>
      <c r="G282" s="187"/>
      <c r="H282" s="43"/>
      <c r="I282" s="98"/>
      <c r="J282" s="99"/>
      <c r="K282" s="98"/>
      <c r="L282" s="99"/>
      <c r="M282" s="99"/>
      <c r="N282" s="98"/>
      <c r="O282" s="98"/>
      <c r="P282" s="98"/>
      <c r="Q282" s="98"/>
      <c r="R282" s="43"/>
      <c r="S282" s="43"/>
      <c r="T282" s="43"/>
      <c r="U282" s="43"/>
      <c r="V282" s="43"/>
      <c r="W282" s="43"/>
      <c r="X282" s="43"/>
      <c r="Y282" s="43"/>
      <c r="Z282" s="43"/>
      <c r="AA282" s="43"/>
      <c r="AB282" s="43"/>
      <c r="AC282" s="43"/>
      <c r="AD282" s="43"/>
      <c r="AE282" s="43"/>
      <c r="AF282" s="43"/>
      <c r="AG282" s="43"/>
      <c r="AH282" s="43"/>
      <c r="AI282" s="43"/>
      <c r="AJ282" s="43"/>
    </row>
    <row r="283">
      <c r="A283" s="188"/>
      <c r="B283" s="90"/>
      <c r="C283" s="189"/>
      <c r="D283" s="189"/>
      <c r="E283" s="90"/>
      <c r="F283" s="189"/>
      <c r="G283" s="190"/>
      <c r="H283" s="60"/>
      <c r="I283" s="95"/>
      <c r="J283" s="96"/>
      <c r="K283" s="95"/>
      <c r="L283" s="96"/>
      <c r="M283" s="96"/>
      <c r="N283" s="95"/>
      <c r="O283" s="95"/>
      <c r="P283" s="95"/>
      <c r="Q283" s="95"/>
      <c r="R283" s="60"/>
      <c r="S283" s="60"/>
      <c r="T283" s="60"/>
      <c r="U283" s="60"/>
      <c r="V283" s="60"/>
      <c r="W283" s="60"/>
      <c r="X283" s="60"/>
      <c r="Y283" s="60"/>
      <c r="Z283" s="60"/>
      <c r="AA283" s="60"/>
      <c r="AB283" s="60"/>
      <c r="AC283" s="60"/>
      <c r="AD283" s="60"/>
      <c r="AE283" s="60"/>
      <c r="AF283" s="60"/>
      <c r="AG283" s="60"/>
      <c r="AH283" s="60"/>
      <c r="AI283" s="60"/>
      <c r="AJ283" s="60"/>
    </row>
    <row r="284">
      <c r="A284" s="185"/>
      <c r="B284" s="67"/>
      <c r="C284" s="186"/>
      <c r="D284" s="186"/>
      <c r="E284" s="67"/>
      <c r="F284" s="186"/>
      <c r="G284" s="187"/>
      <c r="H284" s="43"/>
      <c r="I284" s="98"/>
      <c r="J284" s="99"/>
      <c r="K284" s="98"/>
      <c r="L284" s="99"/>
      <c r="M284" s="99"/>
      <c r="N284" s="98"/>
      <c r="O284" s="98"/>
      <c r="P284" s="98"/>
      <c r="Q284" s="98"/>
      <c r="R284" s="43"/>
      <c r="S284" s="43"/>
      <c r="T284" s="43"/>
      <c r="U284" s="43"/>
      <c r="V284" s="43"/>
      <c r="W284" s="43"/>
      <c r="X284" s="43"/>
      <c r="Y284" s="43"/>
      <c r="Z284" s="43"/>
      <c r="AA284" s="43"/>
      <c r="AB284" s="43"/>
      <c r="AC284" s="43"/>
      <c r="AD284" s="43"/>
      <c r="AE284" s="43"/>
      <c r="AF284" s="43"/>
      <c r="AG284" s="43"/>
      <c r="AH284" s="43"/>
      <c r="AI284" s="43"/>
      <c r="AJ284" s="43"/>
    </row>
    <row r="285">
      <c r="A285" s="188"/>
      <c r="B285" s="90"/>
      <c r="C285" s="189"/>
      <c r="D285" s="189"/>
      <c r="E285" s="90"/>
      <c r="F285" s="189"/>
      <c r="G285" s="190"/>
      <c r="H285" s="60"/>
      <c r="I285" s="95"/>
      <c r="J285" s="96"/>
      <c r="K285" s="95"/>
      <c r="L285" s="96"/>
      <c r="M285" s="96"/>
      <c r="N285" s="95"/>
      <c r="O285" s="95"/>
      <c r="P285" s="95"/>
      <c r="Q285" s="95"/>
      <c r="R285" s="60"/>
      <c r="S285" s="60"/>
      <c r="T285" s="60"/>
      <c r="U285" s="60"/>
      <c r="V285" s="60"/>
      <c r="W285" s="60"/>
      <c r="X285" s="60"/>
      <c r="Y285" s="60"/>
      <c r="Z285" s="60"/>
      <c r="AA285" s="60"/>
      <c r="AB285" s="60"/>
      <c r="AC285" s="60"/>
      <c r="AD285" s="60"/>
      <c r="AE285" s="60"/>
      <c r="AF285" s="60"/>
      <c r="AG285" s="60"/>
      <c r="AH285" s="60"/>
      <c r="AI285" s="60"/>
      <c r="AJ285" s="60"/>
    </row>
    <row r="286">
      <c r="A286" s="185"/>
      <c r="B286" s="67"/>
      <c r="C286" s="186"/>
      <c r="D286" s="186"/>
      <c r="E286" s="67"/>
      <c r="F286" s="186"/>
      <c r="G286" s="187"/>
      <c r="H286" s="43"/>
      <c r="I286" s="98"/>
      <c r="J286" s="99"/>
      <c r="K286" s="98"/>
      <c r="L286" s="99"/>
      <c r="M286" s="99"/>
      <c r="N286" s="98"/>
      <c r="O286" s="98"/>
      <c r="P286" s="98"/>
      <c r="Q286" s="98"/>
      <c r="R286" s="43"/>
      <c r="S286" s="43"/>
      <c r="T286" s="43"/>
      <c r="U286" s="43"/>
      <c r="V286" s="43"/>
      <c r="W286" s="43"/>
      <c r="X286" s="43"/>
      <c r="Y286" s="43"/>
      <c r="Z286" s="43"/>
      <c r="AA286" s="43"/>
      <c r="AB286" s="43"/>
      <c r="AC286" s="43"/>
      <c r="AD286" s="43"/>
      <c r="AE286" s="43"/>
      <c r="AF286" s="43"/>
      <c r="AG286" s="43"/>
      <c r="AH286" s="43"/>
      <c r="AI286" s="43"/>
      <c r="AJ286" s="43"/>
    </row>
    <row r="287">
      <c r="A287" s="188"/>
      <c r="B287" s="90"/>
      <c r="C287" s="189"/>
      <c r="D287" s="189"/>
      <c r="E287" s="90"/>
      <c r="F287" s="189"/>
      <c r="G287" s="190"/>
      <c r="H287" s="60"/>
      <c r="I287" s="95"/>
      <c r="J287" s="96"/>
      <c r="K287" s="95"/>
      <c r="L287" s="96"/>
      <c r="M287" s="96"/>
      <c r="N287" s="95"/>
      <c r="O287" s="95"/>
      <c r="P287" s="95"/>
      <c r="Q287" s="95"/>
      <c r="R287" s="60"/>
      <c r="S287" s="60"/>
      <c r="T287" s="60"/>
      <c r="U287" s="60"/>
      <c r="V287" s="60"/>
      <c r="W287" s="60"/>
      <c r="X287" s="60"/>
      <c r="Y287" s="60"/>
      <c r="Z287" s="60"/>
      <c r="AA287" s="60"/>
      <c r="AB287" s="60"/>
      <c r="AC287" s="60"/>
      <c r="AD287" s="60"/>
      <c r="AE287" s="60"/>
      <c r="AF287" s="60"/>
      <c r="AG287" s="60"/>
      <c r="AH287" s="60"/>
      <c r="AI287" s="60"/>
      <c r="AJ287" s="60"/>
    </row>
    <row r="288">
      <c r="A288" s="185"/>
      <c r="B288" s="67"/>
      <c r="C288" s="186"/>
      <c r="D288" s="186"/>
      <c r="E288" s="67"/>
      <c r="F288" s="186"/>
      <c r="G288" s="187"/>
      <c r="H288" s="43"/>
      <c r="I288" s="98"/>
      <c r="J288" s="99"/>
      <c r="K288" s="98"/>
      <c r="L288" s="99"/>
      <c r="M288" s="99"/>
      <c r="N288" s="98"/>
      <c r="O288" s="98"/>
      <c r="P288" s="98"/>
      <c r="Q288" s="98"/>
      <c r="R288" s="43"/>
      <c r="S288" s="43"/>
      <c r="T288" s="43"/>
      <c r="U288" s="43"/>
      <c r="V288" s="43"/>
      <c r="W288" s="43"/>
      <c r="X288" s="43"/>
      <c r="Y288" s="43"/>
      <c r="Z288" s="43"/>
      <c r="AA288" s="43"/>
      <c r="AB288" s="43"/>
      <c r="AC288" s="43"/>
      <c r="AD288" s="43"/>
      <c r="AE288" s="43"/>
      <c r="AF288" s="43"/>
      <c r="AG288" s="43"/>
      <c r="AH288" s="43"/>
      <c r="AI288" s="43"/>
      <c r="AJ288" s="43"/>
    </row>
    <row r="289">
      <c r="A289" s="188"/>
      <c r="B289" s="90"/>
      <c r="C289" s="189"/>
      <c r="D289" s="189"/>
      <c r="E289" s="90"/>
      <c r="F289" s="189"/>
      <c r="G289" s="190"/>
      <c r="H289" s="60"/>
      <c r="I289" s="95"/>
      <c r="J289" s="96"/>
      <c r="K289" s="95"/>
      <c r="L289" s="96"/>
      <c r="M289" s="96"/>
      <c r="N289" s="95"/>
      <c r="O289" s="95"/>
      <c r="P289" s="95"/>
      <c r="Q289" s="95"/>
      <c r="R289" s="60"/>
      <c r="S289" s="60"/>
      <c r="T289" s="60"/>
      <c r="U289" s="60"/>
      <c r="V289" s="60"/>
      <c r="W289" s="60"/>
      <c r="X289" s="60"/>
      <c r="Y289" s="60"/>
      <c r="Z289" s="60"/>
      <c r="AA289" s="60"/>
      <c r="AB289" s="60"/>
      <c r="AC289" s="60"/>
      <c r="AD289" s="60"/>
      <c r="AE289" s="60"/>
      <c r="AF289" s="60"/>
      <c r="AG289" s="60"/>
      <c r="AH289" s="60"/>
      <c r="AI289" s="60"/>
      <c r="AJ289" s="60"/>
    </row>
    <row r="290">
      <c r="A290" s="185"/>
      <c r="B290" s="67"/>
      <c r="C290" s="186"/>
      <c r="D290" s="186"/>
      <c r="E290" s="67"/>
      <c r="F290" s="186"/>
      <c r="G290" s="187"/>
      <c r="H290" s="43"/>
      <c r="I290" s="98"/>
      <c r="J290" s="99"/>
      <c r="K290" s="98"/>
      <c r="L290" s="99"/>
      <c r="M290" s="99"/>
      <c r="N290" s="98"/>
      <c r="O290" s="98"/>
      <c r="P290" s="98"/>
      <c r="Q290" s="98"/>
      <c r="R290" s="43"/>
      <c r="S290" s="43"/>
      <c r="T290" s="43"/>
      <c r="U290" s="43"/>
      <c r="V290" s="43"/>
      <c r="W290" s="43"/>
      <c r="X290" s="43"/>
      <c r="Y290" s="43"/>
      <c r="Z290" s="43"/>
      <c r="AA290" s="43"/>
      <c r="AB290" s="43"/>
      <c r="AC290" s="43"/>
      <c r="AD290" s="43"/>
      <c r="AE290" s="43"/>
      <c r="AF290" s="43"/>
      <c r="AG290" s="43"/>
      <c r="AH290" s="43"/>
      <c r="AI290" s="43"/>
      <c r="AJ290" s="43"/>
    </row>
    <row r="291">
      <c r="A291" s="188"/>
      <c r="B291" s="90"/>
      <c r="C291" s="189"/>
      <c r="D291" s="189"/>
      <c r="E291" s="90"/>
      <c r="F291" s="189"/>
      <c r="G291" s="190"/>
      <c r="H291" s="60"/>
      <c r="I291" s="95"/>
      <c r="J291" s="96"/>
      <c r="K291" s="95"/>
      <c r="L291" s="96"/>
      <c r="M291" s="96"/>
      <c r="N291" s="95"/>
      <c r="O291" s="95"/>
      <c r="P291" s="95"/>
      <c r="Q291" s="95"/>
      <c r="R291" s="60"/>
      <c r="S291" s="60"/>
      <c r="T291" s="60"/>
      <c r="U291" s="60"/>
      <c r="V291" s="60"/>
      <c r="W291" s="60"/>
      <c r="X291" s="60"/>
      <c r="Y291" s="60"/>
      <c r="Z291" s="60"/>
      <c r="AA291" s="60"/>
      <c r="AB291" s="60"/>
      <c r="AC291" s="60"/>
      <c r="AD291" s="60"/>
      <c r="AE291" s="60"/>
      <c r="AF291" s="60"/>
      <c r="AG291" s="60"/>
      <c r="AH291" s="60"/>
      <c r="AI291" s="60"/>
      <c r="AJ291" s="60"/>
    </row>
    <row r="292">
      <c r="A292" s="185"/>
      <c r="B292" s="67"/>
      <c r="C292" s="186"/>
      <c r="D292" s="186"/>
      <c r="E292" s="67"/>
      <c r="F292" s="186"/>
      <c r="G292" s="187"/>
      <c r="H292" s="43"/>
      <c r="I292" s="98"/>
      <c r="J292" s="99"/>
      <c r="K292" s="98"/>
      <c r="L292" s="99"/>
      <c r="M292" s="99"/>
      <c r="N292" s="98"/>
      <c r="O292" s="98"/>
      <c r="P292" s="98"/>
      <c r="Q292" s="98"/>
      <c r="R292" s="43"/>
      <c r="S292" s="43"/>
      <c r="T292" s="43"/>
      <c r="U292" s="43"/>
      <c r="V292" s="43"/>
      <c r="W292" s="43"/>
      <c r="X292" s="43"/>
      <c r="Y292" s="43"/>
      <c r="Z292" s="43"/>
      <c r="AA292" s="43"/>
      <c r="AB292" s="43"/>
      <c r="AC292" s="43"/>
      <c r="AD292" s="43"/>
      <c r="AE292" s="43"/>
      <c r="AF292" s="43"/>
      <c r="AG292" s="43"/>
      <c r="AH292" s="43"/>
      <c r="AI292" s="43"/>
      <c r="AJ292" s="43"/>
    </row>
    <row r="293">
      <c r="A293" s="188"/>
      <c r="B293" s="90"/>
      <c r="C293" s="189"/>
      <c r="D293" s="189"/>
      <c r="E293" s="90"/>
      <c r="F293" s="189"/>
      <c r="G293" s="190"/>
      <c r="H293" s="60"/>
      <c r="I293" s="95"/>
      <c r="J293" s="96"/>
      <c r="K293" s="95"/>
      <c r="L293" s="96"/>
      <c r="M293" s="96"/>
      <c r="N293" s="95"/>
      <c r="O293" s="95"/>
      <c r="P293" s="95"/>
      <c r="Q293" s="95"/>
      <c r="R293" s="60"/>
      <c r="S293" s="60"/>
      <c r="T293" s="60"/>
      <c r="U293" s="60"/>
      <c r="V293" s="60"/>
      <c r="W293" s="60"/>
      <c r="X293" s="60"/>
      <c r="Y293" s="60"/>
      <c r="Z293" s="60"/>
      <c r="AA293" s="60"/>
      <c r="AB293" s="60"/>
      <c r="AC293" s="60"/>
      <c r="AD293" s="60"/>
      <c r="AE293" s="60"/>
      <c r="AF293" s="60"/>
      <c r="AG293" s="60"/>
      <c r="AH293" s="60"/>
      <c r="AI293" s="60"/>
      <c r="AJ293" s="60"/>
    </row>
    <row r="294">
      <c r="A294" s="185"/>
      <c r="B294" s="67"/>
      <c r="C294" s="186"/>
      <c r="D294" s="186"/>
      <c r="E294" s="67"/>
      <c r="F294" s="186"/>
      <c r="G294" s="187"/>
      <c r="H294" s="43"/>
      <c r="I294" s="98"/>
      <c r="J294" s="99"/>
      <c r="K294" s="98"/>
      <c r="L294" s="99"/>
      <c r="M294" s="99"/>
      <c r="N294" s="98"/>
      <c r="O294" s="98"/>
      <c r="P294" s="98"/>
      <c r="Q294" s="98"/>
      <c r="R294" s="43"/>
      <c r="S294" s="43"/>
      <c r="T294" s="43"/>
      <c r="U294" s="43"/>
      <c r="V294" s="43"/>
      <c r="W294" s="43"/>
      <c r="X294" s="43"/>
      <c r="Y294" s="43"/>
      <c r="Z294" s="43"/>
      <c r="AA294" s="43"/>
      <c r="AB294" s="43"/>
      <c r="AC294" s="43"/>
      <c r="AD294" s="43"/>
      <c r="AE294" s="43"/>
      <c r="AF294" s="43"/>
      <c r="AG294" s="43"/>
      <c r="AH294" s="43"/>
      <c r="AI294" s="43"/>
      <c r="AJ294" s="43"/>
    </row>
    <row r="295">
      <c r="A295" s="188"/>
      <c r="B295" s="90"/>
      <c r="C295" s="189"/>
      <c r="D295" s="189"/>
      <c r="E295" s="90"/>
      <c r="F295" s="189"/>
      <c r="G295" s="190"/>
      <c r="H295" s="60"/>
      <c r="I295" s="95"/>
      <c r="J295" s="96"/>
      <c r="K295" s="95"/>
      <c r="L295" s="96"/>
      <c r="M295" s="96"/>
      <c r="N295" s="95"/>
      <c r="O295" s="95"/>
      <c r="P295" s="95"/>
      <c r="Q295" s="95"/>
      <c r="R295" s="60"/>
      <c r="S295" s="60"/>
      <c r="T295" s="60"/>
      <c r="U295" s="60"/>
      <c r="V295" s="60"/>
      <c r="W295" s="60"/>
      <c r="X295" s="60"/>
      <c r="Y295" s="60"/>
      <c r="Z295" s="60"/>
      <c r="AA295" s="60"/>
      <c r="AB295" s="60"/>
      <c r="AC295" s="60"/>
      <c r="AD295" s="60"/>
      <c r="AE295" s="60"/>
      <c r="AF295" s="60"/>
      <c r="AG295" s="60"/>
      <c r="AH295" s="60"/>
      <c r="AI295" s="60"/>
      <c r="AJ295" s="60"/>
    </row>
    <row r="296">
      <c r="A296" s="185"/>
      <c r="B296" s="67"/>
      <c r="C296" s="186"/>
      <c r="D296" s="186"/>
      <c r="E296" s="67"/>
      <c r="F296" s="186"/>
      <c r="G296" s="187"/>
      <c r="H296" s="43"/>
      <c r="I296" s="98"/>
      <c r="J296" s="99"/>
      <c r="K296" s="98"/>
      <c r="L296" s="99"/>
      <c r="M296" s="99"/>
      <c r="N296" s="98"/>
      <c r="O296" s="98"/>
      <c r="P296" s="98"/>
      <c r="Q296" s="98"/>
      <c r="R296" s="43"/>
      <c r="S296" s="43"/>
      <c r="T296" s="43"/>
      <c r="U296" s="43"/>
      <c r="V296" s="43"/>
      <c r="W296" s="43"/>
      <c r="X296" s="43"/>
      <c r="Y296" s="43"/>
      <c r="Z296" s="43"/>
      <c r="AA296" s="43"/>
      <c r="AB296" s="43"/>
      <c r="AC296" s="43"/>
      <c r="AD296" s="43"/>
      <c r="AE296" s="43"/>
      <c r="AF296" s="43"/>
      <c r="AG296" s="43"/>
      <c r="AH296" s="43"/>
      <c r="AI296" s="43"/>
      <c r="AJ296" s="43"/>
    </row>
    <row r="297">
      <c r="A297" s="188"/>
      <c r="B297" s="90"/>
      <c r="C297" s="189"/>
      <c r="D297" s="189"/>
      <c r="E297" s="90"/>
      <c r="F297" s="189"/>
      <c r="G297" s="190"/>
      <c r="H297" s="60"/>
      <c r="I297" s="95"/>
      <c r="J297" s="96"/>
      <c r="K297" s="95"/>
      <c r="L297" s="96"/>
      <c r="M297" s="96"/>
      <c r="N297" s="95"/>
      <c r="O297" s="95"/>
      <c r="P297" s="95"/>
      <c r="Q297" s="95"/>
      <c r="R297" s="60"/>
      <c r="S297" s="60"/>
      <c r="T297" s="60"/>
      <c r="U297" s="60"/>
      <c r="V297" s="60"/>
      <c r="W297" s="60"/>
      <c r="X297" s="60"/>
      <c r="Y297" s="60"/>
      <c r="Z297" s="60"/>
      <c r="AA297" s="60"/>
      <c r="AB297" s="60"/>
      <c r="AC297" s="60"/>
      <c r="AD297" s="60"/>
      <c r="AE297" s="60"/>
      <c r="AF297" s="60"/>
      <c r="AG297" s="60"/>
      <c r="AH297" s="60"/>
      <c r="AI297" s="60"/>
      <c r="AJ297" s="60"/>
    </row>
    <row r="298">
      <c r="A298" s="185"/>
      <c r="B298" s="67"/>
      <c r="C298" s="186"/>
      <c r="D298" s="186"/>
      <c r="E298" s="67"/>
      <c r="F298" s="186"/>
      <c r="G298" s="187"/>
      <c r="H298" s="43"/>
      <c r="I298" s="98"/>
      <c r="J298" s="99"/>
      <c r="K298" s="98"/>
      <c r="L298" s="99"/>
      <c r="M298" s="99"/>
      <c r="N298" s="98"/>
      <c r="O298" s="98"/>
      <c r="P298" s="98"/>
      <c r="Q298" s="98"/>
      <c r="R298" s="43"/>
      <c r="S298" s="43"/>
      <c r="T298" s="43"/>
      <c r="U298" s="43"/>
      <c r="V298" s="43"/>
      <c r="W298" s="43"/>
      <c r="X298" s="43"/>
      <c r="Y298" s="43"/>
      <c r="Z298" s="43"/>
      <c r="AA298" s="43"/>
      <c r="AB298" s="43"/>
      <c r="AC298" s="43"/>
      <c r="AD298" s="43"/>
      <c r="AE298" s="43"/>
      <c r="AF298" s="43"/>
      <c r="AG298" s="43"/>
      <c r="AH298" s="43"/>
      <c r="AI298" s="43"/>
      <c r="AJ298" s="43"/>
    </row>
    <row r="299">
      <c r="A299" s="188"/>
      <c r="B299" s="90"/>
      <c r="C299" s="189"/>
      <c r="D299" s="189"/>
      <c r="E299" s="90"/>
      <c r="F299" s="189"/>
      <c r="G299" s="190"/>
      <c r="H299" s="60"/>
      <c r="I299" s="95"/>
      <c r="J299" s="96"/>
      <c r="K299" s="95"/>
      <c r="L299" s="96"/>
      <c r="M299" s="96"/>
      <c r="N299" s="95"/>
      <c r="O299" s="95"/>
      <c r="P299" s="95"/>
      <c r="Q299" s="95"/>
      <c r="R299" s="60"/>
      <c r="S299" s="60"/>
      <c r="T299" s="60"/>
      <c r="U299" s="60"/>
      <c r="V299" s="60"/>
      <c r="W299" s="60"/>
      <c r="X299" s="60"/>
      <c r="Y299" s="60"/>
      <c r="Z299" s="60"/>
      <c r="AA299" s="60"/>
      <c r="AB299" s="60"/>
      <c r="AC299" s="60"/>
      <c r="AD299" s="60"/>
      <c r="AE299" s="60"/>
      <c r="AF299" s="60"/>
      <c r="AG299" s="60"/>
      <c r="AH299" s="60"/>
      <c r="AI299" s="60"/>
      <c r="AJ299" s="60"/>
    </row>
    <row r="300">
      <c r="A300" s="185"/>
      <c r="B300" s="67"/>
      <c r="C300" s="186"/>
      <c r="D300" s="186"/>
      <c r="E300" s="67"/>
      <c r="F300" s="186"/>
      <c r="G300" s="187"/>
      <c r="H300" s="43"/>
      <c r="I300" s="98"/>
      <c r="J300" s="99"/>
      <c r="K300" s="98"/>
      <c r="L300" s="99"/>
      <c r="M300" s="99"/>
      <c r="N300" s="98"/>
      <c r="O300" s="98"/>
      <c r="P300" s="98"/>
      <c r="Q300" s="98"/>
      <c r="R300" s="43"/>
      <c r="S300" s="43"/>
      <c r="T300" s="43"/>
      <c r="U300" s="43"/>
      <c r="V300" s="43"/>
      <c r="W300" s="43"/>
      <c r="X300" s="43"/>
      <c r="Y300" s="43"/>
      <c r="Z300" s="43"/>
      <c r="AA300" s="43"/>
      <c r="AB300" s="43"/>
      <c r="AC300" s="43"/>
      <c r="AD300" s="43"/>
      <c r="AE300" s="43"/>
      <c r="AF300" s="43"/>
      <c r="AG300" s="43"/>
      <c r="AH300" s="43"/>
      <c r="AI300" s="43"/>
      <c r="AJ300" s="43"/>
    </row>
    <row r="301">
      <c r="A301" s="188"/>
      <c r="B301" s="90"/>
      <c r="C301" s="189"/>
      <c r="D301" s="189"/>
      <c r="E301" s="90"/>
      <c r="F301" s="189"/>
      <c r="G301" s="190"/>
      <c r="H301" s="60"/>
      <c r="I301" s="95"/>
      <c r="J301" s="96"/>
      <c r="K301" s="95"/>
      <c r="L301" s="96"/>
      <c r="M301" s="96"/>
      <c r="N301" s="95"/>
      <c r="O301" s="95"/>
      <c r="P301" s="95"/>
      <c r="Q301" s="95"/>
      <c r="R301" s="60"/>
      <c r="S301" s="60"/>
      <c r="T301" s="60"/>
      <c r="U301" s="60"/>
      <c r="V301" s="60"/>
      <c r="W301" s="60"/>
      <c r="X301" s="60"/>
      <c r="Y301" s="60"/>
      <c r="Z301" s="60"/>
      <c r="AA301" s="60"/>
      <c r="AB301" s="60"/>
      <c r="AC301" s="60"/>
      <c r="AD301" s="60"/>
      <c r="AE301" s="60"/>
      <c r="AF301" s="60"/>
      <c r="AG301" s="60"/>
      <c r="AH301" s="60"/>
      <c r="AI301" s="60"/>
      <c r="AJ301" s="60"/>
    </row>
    <row r="302">
      <c r="A302" s="185"/>
      <c r="B302" s="67"/>
      <c r="C302" s="186"/>
      <c r="D302" s="186"/>
      <c r="E302" s="67"/>
      <c r="F302" s="186"/>
      <c r="G302" s="187"/>
      <c r="H302" s="43"/>
      <c r="I302" s="98"/>
      <c r="J302" s="99"/>
      <c r="K302" s="98"/>
      <c r="L302" s="99"/>
      <c r="M302" s="99"/>
      <c r="N302" s="98"/>
      <c r="O302" s="98"/>
      <c r="P302" s="98"/>
      <c r="Q302" s="98"/>
      <c r="R302" s="43"/>
      <c r="S302" s="43"/>
      <c r="T302" s="43"/>
      <c r="U302" s="43"/>
      <c r="V302" s="43"/>
      <c r="W302" s="43"/>
      <c r="X302" s="43"/>
      <c r="Y302" s="43"/>
      <c r="Z302" s="43"/>
      <c r="AA302" s="43"/>
      <c r="AB302" s="43"/>
      <c r="AC302" s="43"/>
      <c r="AD302" s="43"/>
      <c r="AE302" s="43"/>
      <c r="AF302" s="43"/>
      <c r="AG302" s="43"/>
      <c r="AH302" s="43"/>
      <c r="AI302" s="43"/>
      <c r="AJ302" s="43"/>
    </row>
    <row r="303">
      <c r="A303" s="188"/>
      <c r="B303" s="90"/>
      <c r="C303" s="189"/>
      <c r="D303" s="189"/>
      <c r="E303" s="90"/>
      <c r="F303" s="189"/>
      <c r="G303" s="190"/>
      <c r="H303" s="60"/>
      <c r="I303" s="95"/>
      <c r="J303" s="96"/>
      <c r="K303" s="95"/>
      <c r="L303" s="96"/>
      <c r="M303" s="96"/>
      <c r="N303" s="95"/>
      <c r="O303" s="95"/>
      <c r="P303" s="95"/>
      <c r="Q303" s="95"/>
      <c r="R303" s="60"/>
      <c r="S303" s="60"/>
      <c r="T303" s="60"/>
      <c r="U303" s="60"/>
      <c r="V303" s="60"/>
      <c r="W303" s="60"/>
      <c r="X303" s="60"/>
      <c r="Y303" s="60"/>
      <c r="Z303" s="60"/>
      <c r="AA303" s="60"/>
      <c r="AB303" s="60"/>
      <c r="AC303" s="60"/>
      <c r="AD303" s="60"/>
      <c r="AE303" s="60"/>
      <c r="AF303" s="60"/>
      <c r="AG303" s="60"/>
      <c r="AH303" s="60"/>
      <c r="AI303" s="60"/>
      <c r="AJ303" s="60"/>
    </row>
    <row r="304">
      <c r="A304" s="185"/>
      <c r="B304" s="67"/>
      <c r="C304" s="186"/>
      <c r="D304" s="186"/>
      <c r="E304" s="67"/>
      <c r="F304" s="186"/>
      <c r="G304" s="187"/>
      <c r="H304" s="43"/>
      <c r="I304" s="98"/>
      <c r="J304" s="99"/>
      <c r="K304" s="98"/>
      <c r="L304" s="99"/>
      <c r="M304" s="99"/>
      <c r="N304" s="98"/>
      <c r="O304" s="98"/>
      <c r="P304" s="98"/>
      <c r="Q304" s="98"/>
      <c r="R304" s="43"/>
      <c r="S304" s="43"/>
      <c r="T304" s="43"/>
      <c r="U304" s="43"/>
      <c r="V304" s="43"/>
      <c r="W304" s="43"/>
      <c r="X304" s="43"/>
      <c r="Y304" s="43"/>
      <c r="Z304" s="43"/>
      <c r="AA304" s="43"/>
      <c r="AB304" s="43"/>
      <c r="AC304" s="43"/>
      <c r="AD304" s="43"/>
      <c r="AE304" s="43"/>
      <c r="AF304" s="43"/>
      <c r="AG304" s="43"/>
      <c r="AH304" s="43"/>
      <c r="AI304" s="43"/>
      <c r="AJ304" s="43"/>
    </row>
    <row r="305">
      <c r="A305" s="188"/>
      <c r="B305" s="90"/>
      <c r="C305" s="189"/>
      <c r="D305" s="189"/>
      <c r="E305" s="90"/>
      <c r="F305" s="189"/>
      <c r="G305" s="190"/>
      <c r="H305" s="60"/>
      <c r="I305" s="95"/>
      <c r="J305" s="96"/>
      <c r="K305" s="95"/>
      <c r="L305" s="96"/>
      <c r="M305" s="96"/>
      <c r="N305" s="95"/>
      <c r="O305" s="95"/>
      <c r="P305" s="95"/>
      <c r="Q305" s="95"/>
      <c r="R305" s="60"/>
      <c r="S305" s="60"/>
      <c r="T305" s="60"/>
      <c r="U305" s="60"/>
      <c r="V305" s="60"/>
      <c r="W305" s="60"/>
      <c r="X305" s="60"/>
      <c r="Y305" s="60"/>
      <c r="Z305" s="60"/>
      <c r="AA305" s="60"/>
      <c r="AB305" s="60"/>
      <c r="AC305" s="60"/>
      <c r="AD305" s="60"/>
      <c r="AE305" s="60"/>
      <c r="AF305" s="60"/>
      <c r="AG305" s="60"/>
      <c r="AH305" s="60"/>
      <c r="AI305" s="60"/>
      <c r="AJ305" s="60"/>
    </row>
    <row r="306">
      <c r="A306" s="185"/>
      <c r="B306" s="67"/>
      <c r="C306" s="186"/>
      <c r="D306" s="186"/>
      <c r="E306" s="67"/>
      <c r="F306" s="186"/>
      <c r="G306" s="187"/>
      <c r="H306" s="43"/>
      <c r="I306" s="98"/>
      <c r="J306" s="99"/>
      <c r="K306" s="98"/>
      <c r="L306" s="99"/>
      <c r="M306" s="99"/>
      <c r="N306" s="98"/>
      <c r="O306" s="98"/>
      <c r="P306" s="98"/>
      <c r="Q306" s="98"/>
      <c r="R306" s="43"/>
      <c r="S306" s="43"/>
      <c r="T306" s="43"/>
      <c r="U306" s="43"/>
      <c r="V306" s="43"/>
      <c r="W306" s="43"/>
      <c r="X306" s="43"/>
      <c r="Y306" s="43"/>
      <c r="Z306" s="43"/>
      <c r="AA306" s="43"/>
      <c r="AB306" s="43"/>
      <c r="AC306" s="43"/>
      <c r="AD306" s="43"/>
      <c r="AE306" s="43"/>
      <c r="AF306" s="43"/>
      <c r="AG306" s="43"/>
      <c r="AH306" s="43"/>
      <c r="AI306" s="43"/>
      <c r="AJ306" s="43"/>
    </row>
    <row r="307">
      <c r="A307" s="188"/>
      <c r="B307" s="90"/>
      <c r="C307" s="189"/>
      <c r="D307" s="189"/>
      <c r="E307" s="90"/>
      <c r="F307" s="189"/>
      <c r="G307" s="190"/>
      <c r="H307" s="60"/>
      <c r="I307" s="95"/>
      <c r="J307" s="96"/>
      <c r="K307" s="95"/>
      <c r="L307" s="96"/>
      <c r="M307" s="96"/>
      <c r="N307" s="95"/>
      <c r="O307" s="95"/>
      <c r="P307" s="95"/>
      <c r="Q307" s="95"/>
      <c r="R307" s="60"/>
      <c r="S307" s="60"/>
      <c r="T307" s="60"/>
      <c r="U307" s="60"/>
      <c r="V307" s="60"/>
      <c r="W307" s="60"/>
      <c r="X307" s="60"/>
      <c r="Y307" s="60"/>
      <c r="Z307" s="60"/>
      <c r="AA307" s="60"/>
      <c r="AB307" s="60"/>
      <c r="AC307" s="60"/>
      <c r="AD307" s="60"/>
      <c r="AE307" s="60"/>
      <c r="AF307" s="60"/>
      <c r="AG307" s="60"/>
      <c r="AH307" s="60"/>
      <c r="AI307" s="60"/>
      <c r="AJ307" s="60"/>
    </row>
    <row r="308">
      <c r="A308" s="185"/>
      <c r="B308" s="67"/>
      <c r="C308" s="186"/>
      <c r="D308" s="186"/>
      <c r="E308" s="67"/>
      <c r="F308" s="186"/>
      <c r="G308" s="187"/>
      <c r="H308" s="43"/>
      <c r="I308" s="98"/>
      <c r="J308" s="99"/>
      <c r="K308" s="98"/>
      <c r="L308" s="99"/>
      <c r="M308" s="99"/>
      <c r="N308" s="98"/>
      <c r="O308" s="98"/>
      <c r="P308" s="98"/>
      <c r="Q308" s="98"/>
      <c r="R308" s="43"/>
      <c r="S308" s="43"/>
      <c r="T308" s="43"/>
      <c r="U308" s="43"/>
      <c r="V308" s="43"/>
      <c r="W308" s="43"/>
      <c r="X308" s="43"/>
      <c r="Y308" s="43"/>
      <c r="Z308" s="43"/>
      <c r="AA308" s="43"/>
      <c r="AB308" s="43"/>
      <c r="AC308" s="43"/>
      <c r="AD308" s="43"/>
      <c r="AE308" s="43"/>
      <c r="AF308" s="43"/>
      <c r="AG308" s="43"/>
      <c r="AH308" s="43"/>
      <c r="AI308" s="43"/>
      <c r="AJ308" s="43"/>
    </row>
    <row r="309">
      <c r="A309" s="188"/>
      <c r="B309" s="90"/>
      <c r="C309" s="189"/>
      <c r="D309" s="189"/>
      <c r="E309" s="90"/>
      <c r="F309" s="189"/>
      <c r="G309" s="190"/>
      <c r="H309" s="60"/>
      <c r="I309" s="95"/>
      <c r="J309" s="96"/>
      <c r="K309" s="95"/>
      <c r="L309" s="96"/>
      <c r="M309" s="96"/>
      <c r="N309" s="95"/>
      <c r="O309" s="95"/>
      <c r="P309" s="95"/>
      <c r="Q309" s="95"/>
      <c r="R309" s="60"/>
      <c r="S309" s="60"/>
      <c r="T309" s="60"/>
      <c r="U309" s="60"/>
      <c r="V309" s="60"/>
      <c r="W309" s="60"/>
      <c r="X309" s="60"/>
      <c r="Y309" s="60"/>
      <c r="Z309" s="60"/>
      <c r="AA309" s="60"/>
      <c r="AB309" s="60"/>
      <c r="AC309" s="60"/>
      <c r="AD309" s="60"/>
      <c r="AE309" s="60"/>
      <c r="AF309" s="60"/>
      <c r="AG309" s="60"/>
      <c r="AH309" s="60"/>
      <c r="AI309" s="60"/>
      <c r="AJ309" s="60"/>
    </row>
    <row r="310">
      <c r="A310" s="185"/>
      <c r="B310" s="67"/>
      <c r="C310" s="186"/>
      <c r="D310" s="186"/>
      <c r="E310" s="67"/>
      <c r="F310" s="186"/>
      <c r="G310" s="187"/>
      <c r="H310" s="43"/>
      <c r="I310" s="98"/>
      <c r="J310" s="99"/>
      <c r="K310" s="98"/>
      <c r="L310" s="99"/>
      <c r="M310" s="99"/>
      <c r="N310" s="98"/>
      <c r="O310" s="98"/>
      <c r="P310" s="98"/>
      <c r="Q310" s="98"/>
      <c r="R310" s="43"/>
      <c r="S310" s="43"/>
      <c r="T310" s="43"/>
      <c r="U310" s="43"/>
      <c r="V310" s="43"/>
      <c r="W310" s="43"/>
      <c r="X310" s="43"/>
      <c r="Y310" s="43"/>
      <c r="Z310" s="43"/>
      <c r="AA310" s="43"/>
      <c r="AB310" s="43"/>
      <c r="AC310" s="43"/>
      <c r="AD310" s="43"/>
      <c r="AE310" s="43"/>
      <c r="AF310" s="43"/>
      <c r="AG310" s="43"/>
      <c r="AH310" s="43"/>
      <c r="AI310" s="43"/>
      <c r="AJ310" s="43"/>
    </row>
    <row r="311">
      <c r="A311" s="188"/>
      <c r="B311" s="90"/>
      <c r="C311" s="189"/>
      <c r="D311" s="189"/>
      <c r="E311" s="90"/>
      <c r="F311" s="189"/>
      <c r="G311" s="190"/>
      <c r="H311" s="60"/>
      <c r="I311" s="95"/>
      <c r="J311" s="96"/>
      <c r="K311" s="95"/>
      <c r="L311" s="96"/>
      <c r="M311" s="96"/>
      <c r="N311" s="95"/>
      <c r="O311" s="95"/>
      <c r="P311" s="95"/>
      <c r="Q311" s="95"/>
      <c r="R311" s="60"/>
      <c r="S311" s="60"/>
      <c r="T311" s="60"/>
      <c r="U311" s="60"/>
      <c r="V311" s="60"/>
      <c r="W311" s="60"/>
      <c r="X311" s="60"/>
      <c r="Y311" s="60"/>
      <c r="Z311" s="60"/>
      <c r="AA311" s="60"/>
      <c r="AB311" s="60"/>
      <c r="AC311" s="60"/>
      <c r="AD311" s="60"/>
      <c r="AE311" s="60"/>
      <c r="AF311" s="60"/>
      <c r="AG311" s="60"/>
      <c r="AH311" s="60"/>
      <c r="AI311" s="60"/>
      <c r="AJ311" s="60"/>
    </row>
    <row r="312">
      <c r="A312" s="185"/>
      <c r="B312" s="67"/>
      <c r="C312" s="186"/>
      <c r="D312" s="186"/>
      <c r="E312" s="67"/>
      <c r="F312" s="186"/>
      <c r="G312" s="187"/>
      <c r="H312" s="43"/>
      <c r="I312" s="98"/>
      <c r="J312" s="99"/>
      <c r="K312" s="98"/>
      <c r="L312" s="99"/>
      <c r="M312" s="99"/>
      <c r="N312" s="98"/>
      <c r="O312" s="98"/>
      <c r="P312" s="98"/>
      <c r="Q312" s="98"/>
      <c r="R312" s="43"/>
      <c r="S312" s="43"/>
      <c r="T312" s="43"/>
      <c r="U312" s="43"/>
      <c r="V312" s="43"/>
      <c r="W312" s="43"/>
      <c r="X312" s="43"/>
      <c r="Y312" s="43"/>
      <c r="Z312" s="43"/>
      <c r="AA312" s="43"/>
      <c r="AB312" s="43"/>
      <c r="AC312" s="43"/>
      <c r="AD312" s="43"/>
      <c r="AE312" s="43"/>
      <c r="AF312" s="43"/>
      <c r="AG312" s="43"/>
      <c r="AH312" s="43"/>
      <c r="AI312" s="43"/>
      <c r="AJ312" s="43"/>
    </row>
    <row r="313">
      <c r="A313" s="188"/>
      <c r="B313" s="90"/>
      <c r="C313" s="189"/>
      <c r="D313" s="189"/>
      <c r="E313" s="90"/>
      <c r="F313" s="189"/>
      <c r="G313" s="190"/>
      <c r="H313" s="60"/>
      <c r="I313" s="95"/>
      <c r="J313" s="96"/>
      <c r="K313" s="95"/>
      <c r="L313" s="96"/>
      <c r="M313" s="96"/>
      <c r="N313" s="95"/>
      <c r="O313" s="95"/>
      <c r="P313" s="95"/>
      <c r="Q313" s="95"/>
      <c r="R313" s="60"/>
      <c r="S313" s="60"/>
      <c r="T313" s="60"/>
      <c r="U313" s="60"/>
      <c r="V313" s="60"/>
      <c r="W313" s="60"/>
      <c r="X313" s="60"/>
      <c r="Y313" s="60"/>
      <c r="Z313" s="60"/>
      <c r="AA313" s="60"/>
      <c r="AB313" s="60"/>
      <c r="AC313" s="60"/>
      <c r="AD313" s="60"/>
      <c r="AE313" s="60"/>
      <c r="AF313" s="60"/>
      <c r="AG313" s="60"/>
      <c r="AH313" s="60"/>
      <c r="AI313" s="60"/>
      <c r="AJ313" s="60"/>
    </row>
    <row r="314">
      <c r="A314" s="185"/>
      <c r="B314" s="67"/>
      <c r="C314" s="186"/>
      <c r="D314" s="186"/>
      <c r="E314" s="67"/>
      <c r="F314" s="186"/>
      <c r="G314" s="187"/>
      <c r="H314" s="43"/>
      <c r="I314" s="98"/>
      <c r="J314" s="99"/>
      <c r="K314" s="98"/>
      <c r="L314" s="99"/>
      <c r="M314" s="99"/>
      <c r="N314" s="98"/>
      <c r="O314" s="98"/>
      <c r="P314" s="98"/>
      <c r="Q314" s="98"/>
      <c r="R314" s="43"/>
      <c r="S314" s="43"/>
      <c r="T314" s="43"/>
      <c r="U314" s="43"/>
      <c r="V314" s="43"/>
      <c r="W314" s="43"/>
      <c r="X314" s="43"/>
      <c r="Y314" s="43"/>
      <c r="Z314" s="43"/>
      <c r="AA314" s="43"/>
      <c r="AB314" s="43"/>
      <c r="AC314" s="43"/>
      <c r="AD314" s="43"/>
      <c r="AE314" s="43"/>
      <c r="AF314" s="43"/>
      <c r="AG314" s="43"/>
      <c r="AH314" s="43"/>
      <c r="AI314" s="43"/>
      <c r="AJ314" s="43"/>
    </row>
    <row r="315">
      <c r="A315" s="188"/>
      <c r="B315" s="90"/>
      <c r="C315" s="189"/>
      <c r="D315" s="189"/>
      <c r="E315" s="90"/>
      <c r="F315" s="189"/>
      <c r="G315" s="190"/>
      <c r="H315" s="60"/>
      <c r="I315" s="95"/>
      <c r="J315" s="96"/>
      <c r="K315" s="95"/>
      <c r="L315" s="96"/>
      <c r="M315" s="96"/>
      <c r="N315" s="95"/>
      <c r="O315" s="95"/>
      <c r="P315" s="95"/>
      <c r="Q315" s="95"/>
      <c r="R315" s="60"/>
      <c r="S315" s="60"/>
      <c r="T315" s="60"/>
      <c r="U315" s="60"/>
      <c r="V315" s="60"/>
      <c r="W315" s="60"/>
      <c r="X315" s="60"/>
      <c r="Y315" s="60"/>
      <c r="Z315" s="60"/>
      <c r="AA315" s="60"/>
      <c r="AB315" s="60"/>
      <c r="AC315" s="60"/>
      <c r="AD315" s="60"/>
      <c r="AE315" s="60"/>
      <c r="AF315" s="60"/>
      <c r="AG315" s="60"/>
      <c r="AH315" s="60"/>
      <c r="AI315" s="60"/>
      <c r="AJ315" s="60"/>
    </row>
    <row r="316">
      <c r="A316" s="185"/>
      <c r="B316" s="67"/>
      <c r="C316" s="186"/>
      <c r="D316" s="186"/>
      <c r="E316" s="67"/>
      <c r="F316" s="186"/>
      <c r="G316" s="187"/>
      <c r="H316" s="43"/>
      <c r="I316" s="98"/>
      <c r="J316" s="99"/>
      <c r="K316" s="98"/>
      <c r="L316" s="99"/>
      <c r="M316" s="99"/>
      <c r="N316" s="98"/>
      <c r="O316" s="98"/>
      <c r="P316" s="98"/>
      <c r="Q316" s="98"/>
      <c r="R316" s="43"/>
      <c r="S316" s="43"/>
      <c r="T316" s="43"/>
      <c r="U316" s="43"/>
      <c r="V316" s="43"/>
      <c r="W316" s="43"/>
      <c r="X316" s="43"/>
      <c r="Y316" s="43"/>
      <c r="Z316" s="43"/>
      <c r="AA316" s="43"/>
      <c r="AB316" s="43"/>
      <c r="AC316" s="43"/>
      <c r="AD316" s="43"/>
      <c r="AE316" s="43"/>
      <c r="AF316" s="43"/>
      <c r="AG316" s="43"/>
      <c r="AH316" s="43"/>
      <c r="AI316" s="43"/>
      <c r="AJ316" s="43"/>
    </row>
    <row r="317">
      <c r="A317" s="188"/>
      <c r="B317" s="90"/>
      <c r="C317" s="189"/>
      <c r="D317" s="189"/>
      <c r="E317" s="90"/>
      <c r="F317" s="189"/>
      <c r="G317" s="190"/>
      <c r="H317" s="60"/>
      <c r="I317" s="95"/>
      <c r="J317" s="96"/>
      <c r="K317" s="95"/>
      <c r="L317" s="96"/>
      <c r="M317" s="96"/>
      <c r="N317" s="95"/>
      <c r="O317" s="95"/>
      <c r="P317" s="95"/>
      <c r="Q317" s="95"/>
      <c r="R317" s="60"/>
      <c r="S317" s="60"/>
      <c r="T317" s="60"/>
      <c r="U317" s="60"/>
      <c r="V317" s="60"/>
      <c r="W317" s="60"/>
      <c r="X317" s="60"/>
      <c r="Y317" s="60"/>
      <c r="Z317" s="60"/>
      <c r="AA317" s="60"/>
      <c r="AB317" s="60"/>
      <c r="AC317" s="60"/>
      <c r="AD317" s="60"/>
      <c r="AE317" s="60"/>
      <c r="AF317" s="60"/>
      <c r="AG317" s="60"/>
      <c r="AH317" s="60"/>
      <c r="AI317" s="60"/>
      <c r="AJ317" s="60"/>
    </row>
    <row r="318">
      <c r="A318" s="185"/>
      <c r="B318" s="67"/>
      <c r="C318" s="186"/>
      <c r="D318" s="186"/>
      <c r="E318" s="67"/>
      <c r="F318" s="186"/>
      <c r="G318" s="187"/>
      <c r="H318" s="43"/>
      <c r="I318" s="98"/>
      <c r="J318" s="99"/>
      <c r="K318" s="98"/>
      <c r="L318" s="99"/>
      <c r="M318" s="99"/>
      <c r="N318" s="98"/>
      <c r="O318" s="98"/>
      <c r="P318" s="98"/>
      <c r="Q318" s="98"/>
      <c r="R318" s="43"/>
      <c r="S318" s="43"/>
      <c r="T318" s="43"/>
      <c r="U318" s="43"/>
      <c r="V318" s="43"/>
      <c r="W318" s="43"/>
      <c r="X318" s="43"/>
      <c r="Y318" s="43"/>
      <c r="Z318" s="43"/>
      <c r="AA318" s="43"/>
      <c r="AB318" s="43"/>
      <c r="AC318" s="43"/>
      <c r="AD318" s="43"/>
      <c r="AE318" s="43"/>
      <c r="AF318" s="43"/>
      <c r="AG318" s="43"/>
      <c r="AH318" s="43"/>
      <c r="AI318" s="43"/>
      <c r="AJ318" s="43"/>
    </row>
    <row r="319">
      <c r="A319" s="188"/>
      <c r="B319" s="90"/>
      <c r="C319" s="189"/>
      <c r="D319" s="189"/>
      <c r="E319" s="90"/>
      <c r="F319" s="189"/>
      <c r="G319" s="190"/>
      <c r="H319" s="60"/>
      <c r="I319" s="95"/>
      <c r="J319" s="96"/>
      <c r="K319" s="95"/>
      <c r="L319" s="96"/>
      <c r="M319" s="96"/>
      <c r="N319" s="95"/>
      <c r="O319" s="95"/>
      <c r="P319" s="95"/>
      <c r="Q319" s="95"/>
      <c r="R319" s="60"/>
      <c r="S319" s="60"/>
      <c r="T319" s="60"/>
      <c r="U319" s="60"/>
      <c r="V319" s="60"/>
      <c r="W319" s="60"/>
      <c r="X319" s="60"/>
      <c r="Y319" s="60"/>
      <c r="Z319" s="60"/>
      <c r="AA319" s="60"/>
      <c r="AB319" s="60"/>
      <c r="AC319" s="60"/>
      <c r="AD319" s="60"/>
      <c r="AE319" s="60"/>
      <c r="AF319" s="60"/>
      <c r="AG319" s="60"/>
      <c r="AH319" s="60"/>
      <c r="AI319" s="60"/>
      <c r="AJ319" s="60"/>
    </row>
    <row r="320">
      <c r="A320" s="185"/>
      <c r="B320" s="67"/>
      <c r="C320" s="186"/>
      <c r="D320" s="186"/>
      <c r="E320" s="67"/>
      <c r="F320" s="186"/>
      <c r="G320" s="187"/>
      <c r="H320" s="43"/>
      <c r="I320" s="98"/>
      <c r="J320" s="99"/>
      <c r="K320" s="98"/>
      <c r="L320" s="99"/>
      <c r="M320" s="99"/>
      <c r="N320" s="98"/>
      <c r="O320" s="98"/>
      <c r="P320" s="98"/>
      <c r="Q320" s="98"/>
      <c r="R320" s="43"/>
      <c r="S320" s="43"/>
      <c r="T320" s="43"/>
      <c r="U320" s="43"/>
      <c r="V320" s="43"/>
      <c r="W320" s="43"/>
      <c r="X320" s="43"/>
      <c r="Y320" s="43"/>
      <c r="Z320" s="43"/>
      <c r="AA320" s="43"/>
      <c r="AB320" s="43"/>
      <c r="AC320" s="43"/>
      <c r="AD320" s="43"/>
      <c r="AE320" s="43"/>
      <c r="AF320" s="43"/>
      <c r="AG320" s="43"/>
      <c r="AH320" s="43"/>
      <c r="AI320" s="43"/>
      <c r="AJ320" s="43"/>
    </row>
    <row r="321">
      <c r="A321" s="188"/>
      <c r="B321" s="90"/>
      <c r="C321" s="189"/>
      <c r="D321" s="189"/>
      <c r="E321" s="90"/>
      <c r="F321" s="189"/>
      <c r="G321" s="190"/>
      <c r="H321" s="60"/>
      <c r="I321" s="95"/>
      <c r="J321" s="96"/>
      <c r="K321" s="95"/>
      <c r="L321" s="96"/>
      <c r="M321" s="96"/>
      <c r="N321" s="95"/>
      <c r="O321" s="95"/>
      <c r="P321" s="95"/>
      <c r="Q321" s="95"/>
      <c r="R321" s="60"/>
      <c r="S321" s="60"/>
      <c r="T321" s="60"/>
      <c r="U321" s="60"/>
      <c r="V321" s="60"/>
      <c r="W321" s="60"/>
      <c r="X321" s="60"/>
      <c r="Y321" s="60"/>
      <c r="Z321" s="60"/>
      <c r="AA321" s="60"/>
      <c r="AB321" s="60"/>
      <c r="AC321" s="60"/>
      <c r="AD321" s="60"/>
      <c r="AE321" s="60"/>
      <c r="AF321" s="60"/>
      <c r="AG321" s="60"/>
      <c r="AH321" s="60"/>
      <c r="AI321" s="60"/>
      <c r="AJ321" s="60"/>
    </row>
    <row r="322">
      <c r="A322" s="185"/>
      <c r="B322" s="67"/>
      <c r="C322" s="186"/>
      <c r="D322" s="186"/>
      <c r="E322" s="67"/>
      <c r="F322" s="186"/>
      <c r="G322" s="187"/>
      <c r="H322" s="43"/>
      <c r="I322" s="98"/>
      <c r="J322" s="99"/>
      <c r="K322" s="98"/>
      <c r="L322" s="99"/>
      <c r="M322" s="99"/>
      <c r="N322" s="98"/>
      <c r="O322" s="98"/>
      <c r="P322" s="98"/>
      <c r="Q322" s="98"/>
      <c r="R322" s="43"/>
      <c r="S322" s="43"/>
      <c r="T322" s="43"/>
      <c r="U322" s="43"/>
      <c r="V322" s="43"/>
      <c r="W322" s="43"/>
      <c r="X322" s="43"/>
      <c r="Y322" s="43"/>
      <c r="Z322" s="43"/>
      <c r="AA322" s="43"/>
      <c r="AB322" s="43"/>
      <c r="AC322" s="43"/>
      <c r="AD322" s="43"/>
      <c r="AE322" s="43"/>
      <c r="AF322" s="43"/>
      <c r="AG322" s="43"/>
      <c r="AH322" s="43"/>
      <c r="AI322" s="43"/>
      <c r="AJ322" s="43"/>
    </row>
    <row r="323">
      <c r="A323" s="188"/>
      <c r="B323" s="90"/>
      <c r="C323" s="189"/>
      <c r="D323" s="189"/>
      <c r="E323" s="90"/>
      <c r="F323" s="189"/>
      <c r="G323" s="190"/>
      <c r="H323" s="60"/>
      <c r="I323" s="95"/>
      <c r="J323" s="96"/>
      <c r="K323" s="95"/>
      <c r="L323" s="96"/>
      <c r="M323" s="96"/>
      <c r="N323" s="95"/>
      <c r="O323" s="95"/>
      <c r="P323" s="95"/>
      <c r="Q323" s="95"/>
      <c r="R323" s="60"/>
      <c r="S323" s="60"/>
      <c r="T323" s="60"/>
      <c r="U323" s="60"/>
      <c r="V323" s="60"/>
      <c r="W323" s="60"/>
      <c r="X323" s="60"/>
      <c r="Y323" s="60"/>
      <c r="Z323" s="60"/>
      <c r="AA323" s="60"/>
      <c r="AB323" s="60"/>
      <c r="AC323" s="60"/>
      <c r="AD323" s="60"/>
      <c r="AE323" s="60"/>
      <c r="AF323" s="60"/>
      <c r="AG323" s="60"/>
      <c r="AH323" s="60"/>
      <c r="AI323" s="60"/>
      <c r="AJ323" s="60"/>
    </row>
    <row r="324">
      <c r="A324" s="185"/>
      <c r="B324" s="67"/>
      <c r="C324" s="186"/>
      <c r="D324" s="186"/>
      <c r="E324" s="67"/>
      <c r="F324" s="186"/>
      <c r="G324" s="187"/>
      <c r="H324" s="43"/>
      <c r="I324" s="98"/>
      <c r="J324" s="99"/>
      <c r="K324" s="98"/>
      <c r="L324" s="99"/>
      <c r="M324" s="99"/>
      <c r="N324" s="98"/>
      <c r="O324" s="98"/>
      <c r="P324" s="98"/>
      <c r="Q324" s="98"/>
      <c r="R324" s="43"/>
      <c r="S324" s="43"/>
      <c r="T324" s="43"/>
      <c r="U324" s="43"/>
      <c r="V324" s="43"/>
      <c r="W324" s="43"/>
      <c r="X324" s="43"/>
      <c r="Y324" s="43"/>
      <c r="Z324" s="43"/>
      <c r="AA324" s="43"/>
      <c r="AB324" s="43"/>
      <c r="AC324" s="43"/>
      <c r="AD324" s="43"/>
      <c r="AE324" s="43"/>
      <c r="AF324" s="43"/>
      <c r="AG324" s="43"/>
      <c r="AH324" s="43"/>
      <c r="AI324" s="43"/>
      <c r="AJ324" s="43"/>
    </row>
    <row r="325">
      <c r="A325" s="188"/>
      <c r="B325" s="90"/>
      <c r="C325" s="189"/>
      <c r="D325" s="189"/>
      <c r="E325" s="90"/>
      <c r="F325" s="189"/>
      <c r="G325" s="190"/>
      <c r="H325" s="60"/>
      <c r="I325" s="95"/>
      <c r="J325" s="96"/>
      <c r="K325" s="95"/>
      <c r="L325" s="96"/>
      <c r="M325" s="96"/>
      <c r="N325" s="95"/>
      <c r="O325" s="95"/>
      <c r="P325" s="95"/>
      <c r="Q325" s="95"/>
      <c r="R325" s="60"/>
      <c r="S325" s="60"/>
      <c r="T325" s="60"/>
      <c r="U325" s="60"/>
      <c r="V325" s="60"/>
      <c r="W325" s="60"/>
      <c r="X325" s="60"/>
      <c r="Y325" s="60"/>
      <c r="Z325" s="60"/>
      <c r="AA325" s="60"/>
      <c r="AB325" s="60"/>
      <c r="AC325" s="60"/>
      <c r="AD325" s="60"/>
      <c r="AE325" s="60"/>
      <c r="AF325" s="60"/>
      <c r="AG325" s="60"/>
      <c r="AH325" s="60"/>
      <c r="AI325" s="60"/>
      <c r="AJ325" s="60"/>
    </row>
    <row r="326">
      <c r="A326" s="185"/>
      <c r="B326" s="67"/>
      <c r="C326" s="186"/>
      <c r="D326" s="186"/>
      <c r="E326" s="67"/>
      <c r="F326" s="186"/>
      <c r="G326" s="187"/>
      <c r="H326" s="43"/>
      <c r="I326" s="98"/>
      <c r="J326" s="99"/>
      <c r="K326" s="98"/>
      <c r="L326" s="99"/>
      <c r="M326" s="99"/>
      <c r="N326" s="98"/>
      <c r="O326" s="98"/>
      <c r="P326" s="98"/>
      <c r="Q326" s="98"/>
      <c r="R326" s="43"/>
      <c r="S326" s="43"/>
      <c r="T326" s="43"/>
      <c r="U326" s="43"/>
      <c r="V326" s="43"/>
      <c r="W326" s="43"/>
      <c r="X326" s="43"/>
      <c r="Y326" s="43"/>
      <c r="Z326" s="43"/>
      <c r="AA326" s="43"/>
      <c r="AB326" s="43"/>
      <c r="AC326" s="43"/>
      <c r="AD326" s="43"/>
      <c r="AE326" s="43"/>
      <c r="AF326" s="43"/>
      <c r="AG326" s="43"/>
      <c r="AH326" s="43"/>
      <c r="AI326" s="43"/>
      <c r="AJ326" s="43"/>
    </row>
    <row r="327">
      <c r="A327" s="188"/>
      <c r="B327" s="90"/>
      <c r="C327" s="189"/>
      <c r="D327" s="189"/>
      <c r="E327" s="90"/>
      <c r="F327" s="189"/>
      <c r="G327" s="190"/>
      <c r="H327" s="60"/>
      <c r="I327" s="95"/>
      <c r="J327" s="96"/>
      <c r="K327" s="95"/>
      <c r="L327" s="96"/>
      <c r="M327" s="96"/>
      <c r="N327" s="95"/>
      <c r="O327" s="95"/>
      <c r="P327" s="95"/>
      <c r="Q327" s="95"/>
      <c r="R327" s="60"/>
      <c r="S327" s="60"/>
      <c r="T327" s="60"/>
      <c r="U327" s="60"/>
      <c r="V327" s="60"/>
      <c r="W327" s="60"/>
      <c r="X327" s="60"/>
      <c r="Y327" s="60"/>
      <c r="Z327" s="60"/>
      <c r="AA327" s="60"/>
      <c r="AB327" s="60"/>
      <c r="AC327" s="60"/>
      <c r="AD327" s="60"/>
      <c r="AE327" s="60"/>
      <c r="AF327" s="60"/>
      <c r="AG327" s="60"/>
      <c r="AH327" s="60"/>
      <c r="AI327" s="60"/>
      <c r="AJ327" s="60"/>
    </row>
    <row r="328">
      <c r="A328" s="185"/>
      <c r="B328" s="67"/>
      <c r="C328" s="186"/>
      <c r="D328" s="186"/>
      <c r="E328" s="67"/>
      <c r="F328" s="186"/>
      <c r="G328" s="187"/>
      <c r="H328" s="43"/>
      <c r="I328" s="98"/>
      <c r="J328" s="99"/>
      <c r="K328" s="98"/>
      <c r="L328" s="99"/>
      <c r="M328" s="99"/>
      <c r="N328" s="98"/>
      <c r="O328" s="98"/>
      <c r="P328" s="98"/>
      <c r="Q328" s="98"/>
      <c r="R328" s="43"/>
      <c r="S328" s="43"/>
      <c r="T328" s="43"/>
      <c r="U328" s="43"/>
      <c r="V328" s="43"/>
      <c r="W328" s="43"/>
      <c r="X328" s="43"/>
      <c r="Y328" s="43"/>
      <c r="Z328" s="43"/>
      <c r="AA328" s="43"/>
      <c r="AB328" s="43"/>
      <c r="AC328" s="43"/>
      <c r="AD328" s="43"/>
      <c r="AE328" s="43"/>
      <c r="AF328" s="43"/>
      <c r="AG328" s="43"/>
      <c r="AH328" s="43"/>
      <c r="AI328" s="43"/>
      <c r="AJ328" s="43"/>
    </row>
    <row r="329">
      <c r="A329" s="188"/>
      <c r="B329" s="90"/>
      <c r="C329" s="189"/>
      <c r="D329" s="189"/>
      <c r="E329" s="90"/>
      <c r="F329" s="189"/>
      <c r="G329" s="190"/>
      <c r="H329" s="60"/>
      <c r="I329" s="95"/>
      <c r="J329" s="96"/>
      <c r="K329" s="95"/>
      <c r="L329" s="96"/>
      <c r="M329" s="96"/>
      <c r="N329" s="95"/>
      <c r="O329" s="95"/>
      <c r="P329" s="95"/>
      <c r="Q329" s="95"/>
      <c r="R329" s="60"/>
      <c r="S329" s="60"/>
      <c r="T329" s="60"/>
      <c r="U329" s="60"/>
      <c r="V329" s="60"/>
      <c r="W329" s="60"/>
      <c r="X329" s="60"/>
      <c r="Y329" s="60"/>
      <c r="Z329" s="60"/>
      <c r="AA329" s="60"/>
      <c r="AB329" s="60"/>
      <c r="AC329" s="60"/>
      <c r="AD329" s="60"/>
      <c r="AE329" s="60"/>
      <c r="AF329" s="60"/>
      <c r="AG329" s="60"/>
      <c r="AH329" s="60"/>
      <c r="AI329" s="60"/>
      <c r="AJ329" s="60"/>
    </row>
    <row r="330">
      <c r="A330" s="185"/>
      <c r="B330" s="67"/>
      <c r="C330" s="186"/>
      <c r="D330" s="186"/>
      <c r="E330" s="67"/>
      <c r="F330" s="186"/>
      <c r="G330" s="187"/>
      <c r="H330" s="43"/>
      <c r="I330" s="98"/>
      <c r="J330" s="99"/>
      <c r="K330" s="98"/>
      <c r="L330" s="99"/>
      <c r="M330" s="99"/>
      <c r="N330" s="98"/>
      <c r="O330" s="98"/>
      <c r="P330" s="98"/>
      <c r="Q330" s="98"/>
      <c r="R330" s="43"/>
      <c r="S330" s="43"/>
      <c r="T330" s="43"/>
      <c r="U330" s="43"/>
      <c r="V330" s="43"/>
      <c r="W330" s="43"/>
      <c r="X330" s="43"/>
      <c r="Y330" s="43"/>
      <c r="Z330" s="43"/>
      <c r="AA330" s="43"/>
      <c r="AB330" s="43"/>
      <c r="AC330" s="43"/>
      <c r="AD330" s="43"/>
      <c r="AE330" s="43"/>
      <c r="AF330" s="43"/>
      <c r="AG330" s="43"/>
      <c r="AH330" s="43"/>
      <c r="AI330" s="43"/>
      <c r="AJ330" s="43"/>
    </row>
    <row r="331">
      <c r="A331" s="188"/>
      <c r="B331" s="90"/>
      <c r="C331" s="189"/>
      <c r="D331" s="189"/>
      <c r="E331" s="90"/>
      <c r="F331" s="189"/>
      <c r="G331" s="190"/>
      <c r="H331" s="60"/>
      <c r="I331" s="95"/>
      <c r="J331" s="96"/>
      <c r="K331" s="95"/>
      <c r="L331" s="96"/>
      <c r="M331" s="96"/>
      <c r="N331" s="95"/>
      <c r="O331" s="95"/>
      <c r="P331" s="95"/>
      <c r="Q331" s="95"/>
      <c r="R331" s="60"/>
      <c r="S331" s="60"/>
      <c r="T331" s="60"/>
      <c r="U331" s="60"/>
      <c r="V331" s="60"/>
      <c r="W331" s="60"/>
      <c r="X331" s="60"/>
      <c r="Y331" s="60"/>
      <c r="Z331" s="60"/>
      <c r="AA331" s="60"/>
      <c r="AB331" s="60"/>
      <c r="AC331" s="60"/>
      <c r="AD331" s="60"/>
      <c r="AE331" s="60"/>
      <c r="AF331" s="60"/>
      <c r="AG331" s="60"/>
      <c r="AH331" s="60"/>
      <c r="AI331" s="60"/>
      <c r="AJ331" s="60"/>
    </row>
    <row r="332">
      <c r="A332" s="185"/>
      <c r="B332" s="67"/>
      <c r="C332" s="186"/>
      <c r="D332" s="186"/>
      <c r="E332" s="67"/>
      <c r="F332" s="186"/>
      <c r="G332" s="187"/>
      <c r="H332" s="43"/>
      <c r="I332" s="98"/>
      <c r="J332" s="99"/>
      <c r="K332" s="98"/>
      <c r="L332" s="99"/>
      <c r="M332" s="99"/>
      <c r="N332" s="98"/>
      <c r="O332" s="98"/>
      <c r="P332" s="98"/>
      <c r="Q332" s="98"/>
      <c r="R332" s="43"/>
      <c r="S332" s="43"/>
      <c r="T332" s="43"/>
      <c r="U332" s="43"/>
      <c r="V332" s="43"/>
      <c r="W332" s="43"/>
      <c r="X332" s="43"/>
      <c r="Y332" s="43"/>
      <c r="Z332" s="43"/>
      <c r="AA332" s="43"/>
      <c r="AB332" s="43"/>
      <c r="AC332" s="43"/>
      <c r="AD332" s="43"/>
      <c r="AE332" s="43"/>
      <c r="AF332" s="43"/>
      <c r="AG332" s="43"/>
      <c r="AH332" s="43"/>
      <c r="AI332" s="43"/>
      <c r="AJ332" s="43"/>
    </row>
    <row r="333">
      <c r="A333" s="188"/>
      <c r="B333" s="90"/>
      <c r="C333" s="189"/>
      <c r="D333" s="189"/>
      <c r="E333" s="90"/>
      <c r="F333" s="189"/>
      <c r="G333" s="190"/>
      <c r="H333" s="60"/>
      <c r="I333" s="95"/>
      <c r="J333" s="96"/>
      <c r="K333" s="95"/>
      <c r="L333" s="96"/>
      <c r="M333" s="96"/>
      <c r="N333" s="95"/>
      <c r="O333" s="95"/>
      <c r="P333" s="95"/>
      <c r="Q333" s="95"/>
      <c r="R333" s="60"/>
      <c r="S333" s="60"/>
      <c r="T333" s="60"/>
      <c r="U333" s="60"/>
      <c r="V333" s="60"/>
      <c r="W333" s="60"/>
      <c r="X333" s="60"/>
      <c r="Y333" s="60"/>
      <c r="Z333" s="60"/>
      <c r="AA333" s="60"/>
      <c r="AB333" s="60"/>
      <c r="AC333" s="60"/>
      <c r="AD333" s="60"/>
      <c r="AE333" s="60"/>
      <c r="AF333" s="60"/>
      <c r="AG333" s="60"/>
      <c r="AH333" s="60"/>
      <c r="AI333" s="60"/>
      <c r="AJ333" s="60"/>
    </row>
    <row r="334">
      <c r="A334" s="185"/>
      <c r="B334" s="67"/>
      <c r="C334" s="186"/>
      <c r="D334" s="186"/>
      <c r="E334" s="67"/>
      <c r="F334" s="186"/>
      <c r="G334" s="187"/>
      <c r="H334" s="43"/>
      <c r="I334" s="98"/>
      <c r="J334" s="99"/>
      <c r="K334" s="98"/>
      <c r="L334" s="99"/>
      <c r="M334" s="99"/>
      <c r="N334" s="98"/>
      <c r="O334" s="98"/>
      <c r="P334" s="98"/>
      <c r="Q334" s="98"/>
      <c r="R334" s="43"/>
      <c r="S334" s="43"/>
      <c r="T334" s="43"/>
      <c r="U334" s="43"/>
      <c r="V334" s="43"/>
      <c r="W334" s="43"/>
      <c r="X334" s="43"/>
      <c r="Y334" s="43"/>
      <c r="Z334" s="43"/>
      <c r="AA334" s="43"/>
      <c r="AB334" s="43"/>
      <c r="AC334" s="43"/>
      <c r="AD334" s="43"/>
      <c r="AE334" s="43"/>
      <c r="AF334" s="43"/>
      <c r="AG334" s="43"/>
      <c r="AH334" s="43"/>
      <c r="AI334" s="43"/>
      <c r="AJ334" s="43"/>
    </row>
    <row r="335">
      <c r="A335" s="188"/>
      <c r="B335" s="90"/>
      <c r="C335" s="189"/>
      <c r="D335" s="189"/>
      <c r="E335" s="90"/>
      <c r="F335" s="189"/>
      <c r="G335" s="190"/>
      <c r="H335" s="60"/>
      <c r="I335" s="95"/>
      <c r="J335" s="96"/>
      <c r="K335" s="95"/>
      <c r="L335" s="96"/>
      <c r="M335" s="96"/>
      <c r="N335" s="95"/>
      <c r="O335" s="95"/>
      <c r="P335" s="95"/>
      <c r="Q335" s="95"/>
      <c r="R335" s="60"/>
      <c r="S335" s="60"/>
      <c r="T335" s="60"/>
      <c r="U335" s="60"/>
      <c r="V335" s="60"/>
      <c r="W335" s="60"/>
      <c r="X335" s="60"/>
      <c r="Y335" s="60"/>
      <c r="Z335" s="60"/>
      <c r="AA335" s="60"/>
      <c r="AB335" s="60"/>
      <c r="AC335" s="60"/>
      <c r="AD335" s="60"/>
      <c r="AE335" s="60"/>
      <c r="AF335" s="60"/>
      <c r="AG335" s="60"/>
      <c r="AH335" s="60"/>
      <c r="AI335" s="60"/>
      <c r="AJ335" s="60"/>
    </row>
    <row r="336">
      <c r="A336" s="185"/>
      <c r="B336" s="67"/>
      <c r="C336" s="186"/>
      <c r="D336" s="186"/>
      <c r="E336" s="67"/>
      <c r="F336" s="186"/>
      <c r="G336" s="187"/>
      <c r="H336" s="43"/>
      <c r="I336" s="98"/>
      <c r="J336" s="99"/>
      <c r="K336" s="98"/>
      <c r="L336" s="99"/>
      <c r="M336" s="99"/>
      <c r="N336" s="98"/>
      <c r="O336" s="98"/>
      <c r="P336" s="98"/>
      <c r="Q336" s="98"/>
      <c r="R336" s="43"/>
      <c r="S336" s="43"/>
      <c r="T336" s="43"/>
      <c r="U336" s="43"/>
      <c r="V336" s="43"/>
      <c r="W336" s="43"/>
      <c r="X336" s="43"/>
      <c r="Y336" s="43"/>
      <c r="Z336" s="43"/>
      <c r="AA336" s="43"/>
      <c r="AB336" s="43"/>
      <c r="AC336" s="43"/>
      <c r="AD336" s="43"/>
      <c r="AE336" s="43"/>
      <c r="AF336" s="43"/>
      <c r="AG336" s="43"/>
      <c r="AH336" s="43"/>
      <c r="AI336" s="43"/>
      <c r="AJ336" s="43"/>
    </row>
    <row r="337">
      <c r="A337" s="188"/>
      <c r="B337" s="90"/>
      <c r="C337" s="189"/>
      <c r="D337" s="189"/>
      <c r="E337" s="90"/>
      <c r="F337" s="189"/>
      <c r="G337" s="190"/>
      <c r="H337" s="60"/>
      <c r="I337" s="95"/>
      <c r="J337" s="96"/>
      <c r="K337" s="95"/>
      <c r="L337" s="96"/>
      <c r="M337" s="96"/>
      <c r="N337" s="95"/>
      <c r="O337" s="95"/>
      <c r="P337" s="95"/>
      <c r="Q337" s="95"/>
      <c r="R337" s="60"/>
      <c r="S337" s="60"/>
      <c r="T337" s="60"/>
      <c r="U337" s="60"/>
      <c r="V337" s="60"/>
      <c r="W337" s="60"/>
      <c r="X337" s="60"/>
      <c r="Y337" s="60"/>
      <c r="Z337" s="60"/>
      <c r="AA337" s="60"/>
      <c r="AB337" s="60"/>
      <c r="AC337" s="60"/>
      <c r="AD337" s="60"/>
      <c r="AE337" s="60"/>
      <c r="AF337" s="60"/>
      <c r="AG337" s="60"/>
      <c r="AH337" s="60"/>
      <c r="AI337" s="60"/>
      <c r="AJ337" s="60"/>
    </row>
    <row r="338">
      <c r="A338" s="185"/>
      <c r="B338" s="67"/>
      <c r="C338" s="186"/>
      <c r="D338" s="186"/>
      <c r="E338" s="67"/>
      <c r="F338" s="186"/>
      <c r="G338" s="187"/>
      <c r="H338" s="43"/>
      <c r="I338" s="98"/>
      <c r="J338" s="99"/>
      <c r="K338" s="98"/>
      <c r="L338" s="99"/>
      <c r="M338" s="99"/>
      <c r="N338" s="98"/>
      <c r="O338" s="98"/>
      <c r="P338" s="98"/>
      <c r="Q338" s="98"/>
      <c r="R338" s="43"/>
      <c r="S338" s="43"/>
      <c r="T338" s="43"/>
      <c r="U338" s="43"/>
      <c r="V338" s="43"/>
      <c r="W338" s="43"/>
      <c r="X338" s="43"/>
      <c r="Y338" s="43"/>
      <c r="Z338" s="43"/>
      <c r="AA338" s="43"/>
      <c r="AB338" s="43"/>
      <c r="AC338" s="43"/>
      <c r="AD338" s="43"/>
      <c r="AE338" s="43"/>
      <c r="AF338" s="43"/>
      <c r="AG338" s="43"/>
      <c r="AH338" s="43"/>
      <c r="AI338" s="43"/>
      <c r="AJ338" s="43"/>
    </row>
    <row r="339">
      <c r="A339" s="188"/>
      <c r="B339" s="90"/>
      <c r="C339" s="189"/>
      <c r="D339" s="189"/>
      <c r="E339" s="90"/>
      <c r="F339" s="189"/>
      <c r="G339" s="190"/>
      <c r="H339" s="60"/>
      <c r="I339" s="95"/>
      <c r="J339" s="96"/>
      <c r="K339" s="95"/>
      <c r="L339" s="96"/>
      <c r="M339" s="96"/>
      <c r="N339" s="95"/>
      <c r="O339" s="95"/>
      <c r="P339" s="95"/>
      <c r="Q339" s="95"/>
      <c r="R339" s="60"/>
      <c r="S339" s="60"/>
      <c r="T339" s="60"/>
      <c r="U339" s="60"/>
      <c r="V339" s="60"/>
      <c r="W339" s="60"/>
      <c r="X339" s="60"/>
      <c r="Y339" s="60"/>
      <c r="Z339" s="60"/>
      <c r="AA339" s="60"/>
      <c r="AB339" s="60"/>
      <c r="AC339" s="60"/>
      <c r="AD339" s="60"/>
      <c r="AE339" s="60"/>
      <c r="AF339" s="60"/>
      <c r="AG339" s="60"/>
      <c r="AH339" s="60"/>
      <c r="AI339" s="60"/>
      <c r="AJ339" s="60"/>
    </row>
    <row r="340">
      <c r="A340" s="185"/>
      <c r="B340" s="67"/>
      <c r="C340" s="186"/>
      <c r="D340" s="186"/>
      <c r="E340" s="67"/>
      <c r="F340" s="186"/>
      <c r="G340" s="187"/>
      <c r="H340" s="43"/>
      <c r="I340" s="98"/>
      <c r="J340" s="99"/>
      <c r="K340" s="98"/>
      <c r="L340" s="99"/>
      <c r="M340" s="99"/>
      <c r="N340" s="98"/>
      <c r="O340" s="98"/>
      <c r="P340" s="98"/>
      <c r="Q340" s="98"/>
      <c r="R340" s="43"/>
      <c r="S340" s="43"/>
      <c r="T340" s="43"/>
      <c r="U340" s="43"/>
      <c r="V340" s="43"/>
      <c r="W340" s="43"/>
      <c r="X340" s="43"/>
      <c r="Y340" s="43"/>
      <c r="Z340" s="43"/>
      <c r="AA340" s="43"/>
      <c r="AB340" s="43"/>
      <c r="AC340" s="43"/>
      <c r="AD340" s="43"/>
      <c r="AE340" s="43"/>
      <c r="AF340" s="43"/>
      <c r="AG340" s="43"/>
      <c r="AH340" s="43"/>
      <c r="AI340" s="43"/>
      <c r="AJ340" s="43"/>
    </row>
    <row r="341">
      <c r="A341" s="188"/>
      <c r="B341" s="90"/>
      <c r="C341" s="189"/>
      <c r="D341" s="189"/>
      <c r="E341" s="90"/>
      <c r="F341" s="189"/>
      <c r="G341" s="190"/>
      <c r="H341" s="60"/>
      <c r="I341" s="95"/>
      <c r="J341" s="96"/>
      <c r="K341" s="95"/>
      <c r="L341" s="96"/>
      <c r="M341" s="96"/>
      <c r="N341" s="95"/>
      <c r="O341" s="95"/>
      <c r="P341" s="95"/>
      <c r="Q341" s="95"/>
      <c r="R341" s="60"/>
      <c r="S341" s="60"/>
      <c r="T341" s="60"/>
      <c r="U341" s="60"/>
      <c r="V341" s="60"/>
      <c r="W341" s="60"/>
      <c r="X341" s="60"/>
      <c r="Y341" s="60"/>
      <c r="Z341" s="60"/>
      <c r="AA341" s="60"/>
      <c r="AB341" s="60"/>
      <c r="AC341" s="60"/>
      <c r="AD341" s="60"/>
      <c r="AE341" s="60"/>
      <c r="AF341" s="60"/>
      <c r="AG341" s="60"/>
      <c r="AH341" s="60"/>
      <c r="AI341" s="60"/>
      <c r="AJ341" s="60"/>
    </row>
    <row r="342">
      <c r="A342" s="185"/>
      <c r="B342" s="67"/>
      <c r="C342" s="186"/>
      <c r="D342" s="186"/>
      <c r="E342" s="67"/>
      <c r="F342" s="186"/>
      <c r="G342" s="187"/>
      <c r="H342" s="43"/>
      <c r="I342" s="98"/>
      <c r="J342" s="99"/>
      <c r="K342" s="98"/>
      <c r="L342" s="99"/>
      <c r="M342" s="99"/>
      <c r="N342" s="98"/>
      <c r="O342" s="98"/>
      <c r="P342" s="98"/>
      <c r="Q342" s="98"/>
      <c r="R342" s="43"/>
      <c r="S342" s="43"/>
      <c r="T342" s="43"/>
      <c r="U342" s="43"/>
      <c r="V342" s="43"/>
      <c r="W342" s="43"/>
      <c r="X342" s="43"/>
      <c r="Y342" s="43"/>
      <c r="Z342" s="43"/>
      <c r="AA342" s="43"/>
      <c r="AB342" s="43"/>
      <c r="AC342" s="43"/>
      <c r="AD342" s="43"/>
      <c r="AE342" s="43"/>
      <c r="AF342" s="43"/>
      <c r="AG342" s="43"/>
      <c r="AH342" s="43"/>
      <c r="AI342" s="43"/>
      <c r="AJ342" s="43"/>
    </row>
    <row r="343">
      <c r="A343" s="188"/>
      <c r="B343" s="90"/>
      <c r="C343" s="189"/>
      <c r="D343" s="189"/>
      <c r="E343" s="90"/>
      <c r="F343" s="189"/>
      <c r="G343" s="190"/>
      <c r="H343" s="60"/>
      <c r="I343" s="95"/>
      <c r="J343" s="96"/>
      <c r="K343" s="95"/>
      <c r="L343" s="96"/>
      <c r="M343" s="96"/>
      <c r="N343" s="95"/>
      <c r="O343" s="95"/>
      <c r="P343" s="95"/>
      <c r="Q343" s="95"/>
      <c r="R343" s="60"/>
      <c r="S343" s="60"/>
      <c r="T343" s="60"/>
      <c r="U343" s="60"/>
      <c r="V343" s="60"/>
      <c r="W343" s="60"/>
      <c r="X343" s="60"/>
      <c r="Y343" s="60"/>
      <c r="Z343" s="60"/>
      <c r="AA343" s="60"/>
      <c r="AB343" s="60"/>
      <c r="AC343" s="60"/>
      <c r="AD343" s="60"/>
      <c r="AE343" s="60"/>
      <c r="AF343" s="60"/>
      <c r="AG343" s="60"/>
      <c r="AH343" s="60"/>
      <c r="AI343" s="60"/>
      <c r="AJ343" s="60"/>
    </row>
    <row r="344">
      <c r="A344" s="185"/>
      <c r="B344" s="67"/>
      <c r="C344" s="186"/>
      <c r="D344" s="186"/>
      <c r="E344" s="67"/>
      <c r="F344" s="186"/>
      <c r="G344" s="187"/>
      <c r="H344" s="43"/>
      <c r="I344" s="98"/>
      <c r="J344" s="99"/>
      <c r="K344" s="98"/>
      <c r="L344" s="99"/>
      <c r="M344" s="99"/>
      <c r="N344" s="98"/>
      <c r="O344" s="98"/>
      <c r="P344" s="98"/>
      <c r="Q344" s="98"/>
      <c r="R344" s="43"/>
      <c r="S344" s="43"/>
      <c r="T344" s="43"/>
      <c r="U344" s="43"/>
      <c r="V344" s="43"/>
      <c r="W344" s="43"/>
      <c r="X344" s="43"/>
      <c r="Y344" s="43"/>
      <c r="Z344" s="43"/>
      <c r="AA344" s="43"/>
      <c r="AB344" s="43"/>
      <c r="AC344" s="43"/>
      <c r="AD344" s="43"/>
      <c r="AE344" s="43"/>
      <c r="AF344" s="43"/>
      <c r="AG344" s="43"/>
      <c r="AH344" s="43"/>
      <c r="AI344" s="43"/>
      <c r="AJ344" s="43"/>
    </row>
    <row r="345">
      <c r="A345" s="188"/>
      <c r="B345" s="90"/>
      <c r="C345" s="189"/>
      <c r="D345" s="189"/>
      <c r="E345" s="90"/>
      <c r="F345" s="189"/>
      <c r="G345" s="190"/>
      <c r="H345" s="60"/>
      <c r="I345" s="95"/>
      <c r="J345" s="96"/>
      <c r="K345" s="95"/>
      <c r="L345" s="96"/>
      <c r="M345" s="96"/>
      <c r="N345" s="95"/>
      <c r="O345" s="95"/>
      <c r="P345" s="95"/>
      <c r="Q345" s="95"/>
      <c r="R345" s="60"/>
      <c r="S345" s="60"/>
      <c r="T345" s="60"/>
      <c r="U345" s="60"/>
      <c r="V345" s="60"/>
      <c r="W345" s="60"/>
      <c r="X345" s="60"/>
      <c r="Y345" s="60"/>
      <c r="Z345" s="60"/>
      <c r="AA345" s="60"/>
      <c r="AB345" s="60"/>
      <c r="AC345" s="60"/>
      <c r="AD345" s="60"/>
      <c r="AE345" s="60"/>
      <c r="AF345" s="60"/>
      <c r="AG345" s="60"/>
      <c r="AH345" s="60"/>
      <c r="AI345" s="60"/>
      <c r="AJ345" s="60"/>
    </row>
    <row r="346">
      <c r="A346" s="185"/>
      <c r="B346" s="67"/>
      <c r="C346" s="186"/>
      <c r="D346" s="186"/>
      <c r="E346" s="67"/>
      <c r="F346" s="186"/>
      <c r="G346" s="187"/>
      <c r="H346" s="43"/>
      <c r="I346" s="98"/>
      <c r="J346" s="99"/>
      <c r="K346" s="98"/>
      <c r="L346" s="99"/>
      <c r="M346" s="99"/>
      <c r="N346" s="98"/>
      <c r="O346" s="98"/>
      <c r="P346" s="98"/>
      <c r="Q346" s="98"/>
      <c r="R346" s="43"/>
      <c r="S346" s="43"/>
      <c r="T346" s="43"/>
      <c r="U346" s="43"/>
      <c r="V346" s="43"/>
      <c r="W346" s="43"/>
      <c r="X346" s="43"/>
      <c r="Y346" s="43"/>
      <c r="Z346" s="43"/>
      <c r="AA346" s="43"/>
      <c r="AB346" s="43"/>
      <c r="AC346" s="43"/>
      <c r="AD346" s="43"/>
      <c r="AE346" s="43"/>
      <c r="AF346" s="43"/>
      <c r="AG346" s="43"/>
      <c r="AH346" s="43"/>
      <c r="AI346" s="43"/>
      <c r="AJ346" s="43"/>
    </row>
    <row r="347">
      <c r="A347" s="188"/>
      <c r="B347" s="90"/>
      <c r="C347" s="189"/>
      <c r="D347" s="189"/>
      <c r="E347" s="90"/>
      <c r="F347" s="189"/>
      <c r="G347" s="190"/>
      <c r="H347" s="60"/>
      <c r="I347" s="95"/>
      <c r="J347" s="96"/>
      <c r="K347" s="95"/>
      <c r="L347" s="96"/>
      <c r="M347" s="96"/>
      <c r="N347" s="95"/>
      <c r="O347" s="95"/>
      <c r="P347" s="95"/>
      <c r="Q347" s="95"/>
      <c r="R347" s="60"/>
      <c r="S347" s="60"/>
      <c r="T347" s="60"/>
      <c r="U347" s="60"/>
      <c r="V347" s="60"/>
      <c r="W347" s="60"/>
      <c r="X347" s="60"/>
      <c r="Y347" s="60"/>
      <c r="Z347" s="60"/>
      <c r="AA347" s="60"/>
      <c r="AB347" s="60"/>
      <c r="AC347" s="60"/>
      <c r="AD347" s="60"/>
      <c r="AE347" s="60"/>
      <c r="AF347" s="60"/>
      <c r="AG347" s="60"/>
      <c r="AH347" s="60"/>
      <c r="AI347" s="60"/>
      <c r="AJ347" s="60"/>
    </row>
    <row r="348">
      <c r="A348" s="185"/>
      <c r="B348" s="67"/>
      <c r="C348" s="186"/>
      <c r="D348" s="186"/>
      <c r="E348" s="67"/>
      <c r="F348" s="186"/>
      <c r="G348" s="187"/>
      <c r="H348" s="43"/>
      <c r="I348" s="98"/>
      <c r="J348" s="99"/>
      <c r="K348" s="98"/>
      <c r="L348" s="99"/>
      <c r="M348" s="99"/>
      <c r="N348" s="98"/>
      <c r="O348" s="98"/>
      <c r="P348" s="98"/>
      <c r="Q348" s="98"/>
      <c r="R348" s="43"/>
      <c r="S348" s="43"/>
      <c r="T348" s="43"/>
      <c r="U348" s="43"/>
      <c r="V348" s="43"/>
      <c r="W348" s="43"/>
      <c r="X348" s="43"/>
      <c r="Y348" s="43"/>
      <c r="Z348" s="43"/>
      <c r="AA348" s="43"/>
      <c r="AB348" s="43"/>
      <c r="AC348" s="43"/>
      <c r="AD348" s="43"/>
      <c r="AE348" s="43"/>
      <c r="AF348" s="43"/>
      <c r="AG348" s="43"/>
      <c r="AH348" s="43"/>
      <c r="AI348" s="43"/>
      <c r="AJ348" s="43"/>
    </row>
    <row r="349">
      <c r="A349" s="188"/>
      <c r="B349" s="90"/>
      <c r="C349" s="189"/>
      <c r="D349" s="189"/>
      <c r="E349" s="90"/>
      <c r="F349" s="189"/>
      <c r="G349" s="190"/>
      <c r="H349" s="60"/>
      <c r="I349" s="95"/>
      <c r="J349" s="96"/>
      <c r="K349" s="95"/>
      <c r="L349" s="96"/>
      <c r="M349" s="96"/>
      <c r="N349" s="95"/>
      <c r="O349" s="95"/>
      <c r="P349" s="95"/>
      <c r="Q349" s="95"/>
      <c r="R349" s="60"/>
      <c r="S349" s="60"/>
      <c r="T349" s="60"/>
      <c r="U349" s="60"/>
      <c r="V349" s="60"/>
      <c r="W349" s="60"/>
      <c r="X349" s="60"/>
      <c r="Y349" s="60"/>
      <c r="Z349" s="60"/>
      <c r="AA349" s="60"/>
      <c r="AB349" s="60"/>
      <c r="AC349" s="60"/>
      <c r="AD349" s="60"/>
      <c r="AE349" s="60"/>
      <c r="AF349" s="60"/>
      <c r="AG349" s="60"/>
      <c r="AH349" s="60"/>
      <c r="AI349" s="60"/>
      <c r="AJ349" s="60"/>
    </row>
    <row r="350">
      <c r="A350" s="185"/>
      <c r="B350" s="67"/>
      <c r="C350" s="186"/>
      <c r="D350" s="186"/>
      <c r="E350" s="67"/>
      <c r="F350" s="186"/>
      <c r="G350" s="187"/>
      <c r="H350" s="43"/>
      <c r="I350" s="98"/>
      <c r="J350" s="99"/>
      <c r="K350" s="98"/>
      <c r="L350" s="99"/>
      <c r="M350" s="99"/>
      <c r="N350" s="98"/>
      <c r="O350" s="98"/>
      <c r="P350" s="98"/>
      <c r="Q350" s="98"/>
      <c r="R350" s="43"/>
      <c r="S350" s="43"/>
      <c r="T350" s="43"/>
      <c r="U350" s="43"/>
      <c r="V350" s="43"/>
      <c r="W350" s="43"/>
      <c r="X350" s="43"/>
      <c r="Y350" s="43"/>
      <c r="Z350" s="43"/>
      <c r="AA350" s="43"/>
      <c r="AB350" s="43"/>
      <c r="AC350" s="43"/>
      <c r="AD350" s="43"/>
      <c r="AE350" s="43"/>
      <c r="AF350" s="43"/>
      <c r="AG350" s="43"/>
      <c r="AH350" s="43"/>
      <c r="AI350" s="43"/>
      <c r="AJ350" s="43"/>
    </row>
    <row r="351">
      <c r="A351" s="188"/>
      <c r="B351" s="90"/>
      <c r="C351" s="189"/>
      <c r="D351" s="189"/>
      <c r="E351" s="90"/>
      <c r="F351" s="189"/>
      <c r="G351" s="190"/>
      <c r="H351" s="60"/>
      <c r="I351" s="95"/>
      <c r="J351" s="96"/>
      <c r="K351" s="95"/>
      <c r="L351" s="96"/>
      <c r="M351" s="96"/>
      <c r="N351" s="95"/>
      <c r="O351" s="95"/>
      <c r="P351" s="95"/>
      <c r="Q351" s="95"/>
      <c r="R351" s="60"/>
      <c r="S351" s="60"/>
      <c r="T351" s="60"/>
      <c r="U351" s="60"/>
      <c r="V351" s="60"/>
      <c r="W351" s="60"/>
      <c r="X351" s="60"/>
      <c r="Y351" s="60"/>
      <c r="Z351" s="60"/>
      <c r="AA351" s="60"/>
      <c r="AB351" s="60"/>
      <c r="AC351" s="60"/>
      <c r="AD351" s="60"/>
      <c r="AE351" s="60"/>
      <c r="AF351" s="60"/>
      <c r="AG351" s="60"/>
      <c r="AH351" s="60"/>
      <c r="AI351" s="60"/>
      <c r="AJ351" s="60"/>
    </row>
    <row r="352">
      <c r="A352" s="185"/>
      <c r="B352" s="67"/>
      <c r="C352" s="186"/>
      <c r="D352" s="186"/>
      <c r="E352" s="67"/>
      <c r="F352" s="186"/>
      <c r="G352" s="187"/>
      <c r="H352" s="43"/>
      <c r="I352" s="98"/>
      <c r="J352" s="99"/>
      <c r="K352" s="98"/>
      <c r="L352" s="99"/>
      <c r="M352" s="99"/>
      <c r="N352" s="98"/>
      <c r="O352" s="98"/>
      <c r="P352" s="98"/>
      <c r="Q352" s="98"/>
      <c r="R352" s="43"/>
      <c r="S352" s="43"/>
      <c r="T352" s="43"/>
      <c r="U352" s="43"/>
      <c r="V352" s="43"/>
      <c r="W352" s="43"/>
      <c r="X352" s="43"/>
      <c r="Y352" s="43"/>
      <c r="Z352" s="43"/>
      <c r="AA352" s="43"/>
      <c r="AB352" s="43"/>
      <c r="AC352" s="43"/>
      <c r="AD352" s="43"/>
      <c r="AE352" s="43"/>
      <c r="AF352" s="43"/>
      <c r="AG352" s="43"/>
      <c r="AH352" s="43"/>
      <c r="AI352" s="43"/>
      <c r="AJ352" s="43"/>
    </row>
    <row r="353">
      <c r="A353" s="188"/>
      <c r="B353" s="90"/>
      <c r="C353" s="189"/>
      <c r="D353" s="189"/>
      <c r="E353" s="90"/>
      <c r="F353" s="189"/>
      <c r="G353" s="190"/>
      <c r="H353" s="60"/>
      <c r="I353" s="95"/>
      <c r="J353" s="96"/>
      <c r="K353" s="95"/>
      <c r="L353" s="96"/>
      <c r="M353" s="96"/>
      <c r="N353" s="95"/>
      <c r="O353" s="95"/>
      <c r="P353" s="95"/>
      <c r="Q353" s="95"/>
      <c r="R353" s="60"/>
      <c r="S353" s="60"/>
      <c r="T353" s="60"/>
      <c r="U353" s="60"/>
      <c r="V353" s="60"/>
      <c r="W353" s="60"/>
      <c r="X353" s="60"/>
      <c r="Y353" s="60"/>
      <c r="Z353" s="60"/>
      <c r="AA353" s="60"/>
      <c r="AB353" s="60"/>
      <c r="AC353" s="60"/>
      <c r="AD353" s="60"/>
      <c r="AE353" s="60"/>
      <c r="AF353" s="60"/>
      <c r="AG353" s="60"/>
      <c r="AH353" s="60"/>
      <c r="AI353" s="60"/>
      <c r="AJ353" s="60"/>
    </row>
    <row r="354">
      <c r="A354" s="185"/>
      <c r="B354" s="67"/>
      <c r="C354" s="186"/>
      <c r="D354" s="186"/>
      <c r="E354" s="67"/>
      <c r="F354" s="186"/>
      <c r="G354" s="187"/>
      <c r="H354" s="43"/>
      <c r="I354" s="98"/>
      <c r="J354" s="99"/>
      <c r="K354" s="98"/>
      <c r="L354" s="99"/>
      <c r="M354" s="99"/>
      <c r="N354" s="98"/>
      <c r="O354" s="98"/>
      <c r="P354" s="98"/>
      <c r="Q354" s="98"/>
      <c r="R354" s="43"/>
      <c r="S354" s="43"/>
      <c r="T354" s="43"/>
      <c r="U354" s="43"/>
      <c r="V354" s="43"/>
      <c r="W354" s="43"/>
      <c r="X354" s="43"/>
      <c r="Y354" s="43"/>
      <c r="Z354" s="43"/>
      <c r="AA354" s="43"/>
      <c r="AB354" s="43"/>
      <c r="AC354" s="43"/>
      <c r="AD354" s="43"/>
      <c r="AE354" s="43"/>
      <c r="AF354" s="43"/>
      <c r="AG354" s="43"/>
      <c r="AH354" s="43"/>
      <c r="AI354" s="43"/>
      <c r="AJ354" s="43"/>
    </row>
    <row r="355">
      <c r="A355" s="188"/>
      <c r="B355" s="90"/>
      <c r="C355" s="189"/>
      <c r="D355" s="189"/>
      <c r="E355" s="90"/>
      <c r="F355" s="189"/>
      <c r="G355" s="190"/>
      <c r="H355" s="60"/>
      <c r="I355" s="95"/>
      <c r="J355" s="96"/>
      <c r="K355" s="95"/>
      <c r="L355" s="96"/>
      <c r="M355" s="96"/>
      <c r="N355" s="95"/>
      <c r="O355" s="95"/>
      <c r="P355" s="95"/>
      <c r="Q355" s="95"/>
      <c r="R355" s="60"/>
      <c r="S355" s="60"/>
      <c r="T355" s="60"/>
      <c r="U355" s="60"/>
      <c r="V355" s="60"/>
      <c r="W355" s="60"/>
      <c r="X355" s="60"/>
      <c r="Y355" s="60"/>
      <c r="Z355" s="60"/>
      <c r="AA355" s="60"/>
      <c r="AB355" s="60"/>
      <c r="AC355" s="60"/>
      <c r="AD355" s="60"/>
      <c r="AE355" s="60"/>
      <c r="AF355" s="60"/>
      <c r="AG355" s="60"/>
      <c r="AH355" s="60"/>
      <c r="AI355" s="60"/>
      <c r="AJ355" s="60"/>
    </row>
    <row r="356">
      <c r="A356" s="185"/>
      <c r="B356" s="67"/>
      <c r="C356" s="186"/>
      <c r="D356" s="186"/>
      <c r="E356" s="67"/>
      <c r="F356" s="186"/>
      <c r="G356" s="187"/>
      <c r="H356" s="43"/>
      <c r="I356" s="98"/>
      <c r="J356" s="99"/>
      <c r="K356" s="98"/>
      <c r="L356" s="99"/>
      <c r="M356" s="99"/>
      <c r="N356" s="98"/>
      <c r="O356" s="98"/>
      <c r="P356" s="98"/>
      <c r="Q356" s="98"/>
      <c r="R356" s="43"/>
      <c r="S356" s="43"/>
      <c r="T356" s="43"/>
      <c r="U356" s="43"/>
      <c r="V356" s="43"/>
      <c r="W356" s="43"/>
      <c r="X356" s="43"/>
      <c r="Y356" s="43"/>
      <c r="Z356" s="43"/>
      <c r="AA356" s="43"/>
      <c r="AB356" s="43"/>
      <c r="AC356" s="43"/>
      <c r="AD356" s="43"/>
      <c r="AE356" s="43"/>
      <c r="AF356" s="43"/>
      <c r="AG356" s="43"/>
      <c r="AH356" s="43"/>
      <c r="AI356" s="43"/>
      <c r="AJ356" s="43"/>
    </row>
    <row r="357">
      <c r="A357" s="188"/>
      <c r="B357" s="90"/>
      <c r="C357" s="189"/>
      <c r="D357" s="189"/>
      <c r="E357" s="90"/>
      <c r="F357" s="189"/>
      <c r="G357" s="190"/>
      <c r="H357" s="60"/>
      <c r="I357" s="95"/>
      <c r="J357" s="96"/>
      <c r="K357" s="95"/>
      <c r="L357" s="96"/>
      <c r="M357" s="96"/>
      <c r="N357" s="95"/>
      <c r="O357" s="95"/>
      <c r="P357" s="95"/>
      <c r="Q357" s="95"/>
      <c r="R357" s="60"/>
      <c r="S357" s="60"/>
      <c r="T357" s="60"/>
      <c r="U357" s="60"/>
      <c r="V357" s="60"/>
      <c r="W357" s="60"/>
      <c r="X357" s="60"/>
      <c r="Y357" s="60"/>
      <c r="Z357" s="60"/>
      <c r="AA357" s="60"/>
      <c r="AB357" s="60"/>
      <c r="AC357" s="60"/>
      <c r="AD357" s="60"/>
      <c r="AE357" s="60"/>
      <c r="AF357" s="60"/>
      <c r="AG357" s="60"/>
      <c r="AH357" s="60"/>
      <c r="AI357" s="60"/>
      <c r="AJ357" s="60"/>
    </row>
    <row r="358">
      <c r="A358" s="185"/>
      <c r="B358" s="67"/>
      <c r="C358" s="186"/>
      <c r="D358" s="186"/>
      <c r="E358" s="67"/>
      <c r="F358" s="186"/>
      <c r="G358" s="187"/>
      <c r="H358" s="43"/>
      <c r="I358" s="98"/>
      <c r="J358" s="99"/>
      <c r="K358" s="98"/>
      <c r="L358" s="99"/>
      <c r="M358" s="99"/>
      <c r="N358" s="98"/>
      <c r="O358" s="98"/>
      <c r="P358" s="98"/>
      <c r="Q358" s="98"/>
      <c r="R358" s="43"/>
      <c r="S358" s="43"/>
      <c r="T358" s="43"/>
      <c r="U358" s="43"/>
      <c r="V358" s="43"/>
      <c r="W358" s="43"/>
      <c r="X358" s="43"/>
      <c r="Y358" s="43"/>
      <c r="Z358" s="43"/>
      <c r="AA358" s="43"/>
      <c r="AB358" s="43"/>
      <c r="AC358" s="43"/>
      <c r="AD358" s="43"/>
      <c r="AE358" s="43"/>
      <c r="AF358" s="43"/>
      <c r="AG358" s="43"/>
      <c r="AH358" s="43"/>
      <c r="AI358" s="43"/>
      <c r="AJ358" s="43"/>
    </row>
    <row r="359">
      <c r="A359" s="188"/>
      <c r="B359" s="90"/>
      <c r="C359" s="189"/>
      <c r="D359" s="189"/>
      <c r="E359" s="90"/>
      <c r="F359" s="189"/>
      <c r="G359" s="190"/>
      <c r="H359" s="60"/>
      <c r="I359" s="95"/>
      <c r="J359" s="96"/>
      <c r="K359" s="95"/>
      <c r="L359" s="96"/>
      <c r="M359" s="96"/>
      <c r="N359" s="95"/>
      <c r="O359" s="95"/>
      <c r="P359" s="95"/>
      <c r="Q359" s="95"/>
      <c r="R359" s="60"/>
      <c r="S359" s="60"/>
      <c r="T359" s="60"/>
      <c r="U359" s="60"/>
      <c r="V359" s="60"/>
      <c r="W359" s="60"/>
      <c r="X359" s="60"/>
      <c r="Y359" s="60"/>
      <c r="Z359" s="60"/>
      <c r="AA359" s="60"/>
      <c r="AB359" s="60"/>
      <c r="AC359" s="60"/>
      <c r="AD359" s="60"/>
      <c r="AE359" s="60"/>
      <c r="AF359" s="60"/>
      <c r="AG359" s="60"/>
      <c r="AH359" s="60"/>
      <c r="AI359" s="60"/>
      <c r="AJ359" s="60"/>
    </row>
    <row r="360">
      <c r="A360" s="185"/>
      <c r="B360" s="67"/>
      <c r="C360" s="186"/>
      <c r="D360" s="186"/>
      <c r="E360" s="67"/>
      <c r="F360" s="186"/>
      <c r="G360" s="187"/>
      <c r="H360" s="43"/>
      <c r="I360" s="98"/>
      <c r="J360" s="99"/>
      <c r="K360" s="98"/>
      <c r="L360" s="99"/>
      <c r="M360" s="99"/>
      <c r="N360" s="98"/>
      <c r="O360" s="98"/>
      <c r="P360" s="98"/>
      <c r="Q360" s="98"/>
      <c r="R360" s="43"/>
      <c r="S360" s="43"/>
      <c r="T360" s="43"/>
      <c r="U360" s="43"/>
      <c r="V360" s="43"/>
      <c r="W360" s="43"/>
      <c r="X360" s="43"/>
      <c r="Y360" s="43"/>
      <c r="Z360" s="43"/>
      <c r="AA360" s="43"/>
      <c r="AB360" s="43"/>
      <c r="AC360" s="43"/>
      <c r="AD360" s="43"/>
      <c r="AE360" s="43"/>
      <c r="AF360" s="43"/>
      <c r="AG360" s="43"/>
      <c r="AH360" s="43"/>
      <c r="AI360" s="43"/>
      <c r="AJ360" s="43"/>
    </row>
    <row r="361">
      <c r="A361" s="188"/>
      <c r="B361" s="90"/>
      <c r="C361" s="189"/>
      <c r="D361" s="189"/>
      <c r="E361" s="90"/>
      <c r="F361" s="189"/>
      <c r="G361" s="190"/>
      <c r="H361" s="60"/>
      <c r="I361" s="95"/>
      <c r="J361" s="96"/>
      <c r="K361" s="95"/>
      <c r="L361" s="96"/>
      <c r="M361" s="96"/>
      <c r="N361" s="95"/>
      <c r="O361" s="95"/>
      <c r="P361" s="95"/>
      <c r="Q361" s="95"/>
      <c r="R361" s="60"/>
      <c r="S361" s="60"/>
      <c r="T361" s="60"/>
      <c r="U361" s="60"/>
      <c r="V361" s="60"/>
      <c r="W361" s="60"/>
      <c r="X361" s="60"/>
      <c r="Y361" s="60"/>
      <c r="Z361" s="60"/>
      <c r="AA361" s="60"/>
      <c r="AB361" s="60"/>
      <c r="AC361" s="60"/>
      <c r="AD361" s="60"/>
      <c r="AE361" s="60"/>
      <c r="AF361" s="60"/>
      <c r="AG361" s="60"/>
      <c r="AH361" s="60"/>
      <c r="AI361" s="60"/>
      <c r="AJ361" s="60"/>
    </row>
    <row r="362">
      <c r="A362" s="185"/>
      <c r="B362" s="67"/>
      <c r="C362" s="186"/>
      <c r="D362" s="186"/>
      <c r="E362" s="67"/>
      <c r="F362" s="186"/>
      <c r="G362" s="187"/>
      <c r="H362" s="43"/>
      <c r="I362" s="98"/>
      <c r="J362" s="99"/>
      <c r="K362" s="98"/>
      <c r="L362" s="99"/>
      <c r="M362" s="99"/>
      <c r="N362" s="98"/>
      <c r="O362" s="98"/>
      <c r="P362" s="98"/>
      <c r="Q362" s="98"/>
      <c r="R362" s="43"/>
      <c r="S362" s="43"/>
      <c r="T362" s="43"/>
      <c r="U362" s="43"/>
      <c r="V362" s="43"/>
      <c r="W362" s="43"/>
      <c r="X362" s="43"/>
      <c r="Y362" s="43"/>
      <c r="Z362" s="43"/>
      <c r="AA362" s="43"/>
      <c r="AB362" s="43"/>
      <c r="AC362" s="43"/>
      <c r="AD362" s="43"/>
      <c r="AE362" s="43"/>
      <c r="AF362" s="43"/>
      <c r="AG362" s="43"/>
      <c r="AH362" s="43"/>
      <c r="AI362" s="43"/>
      <c r="AJ362" s="43"/>
    </row>
    <row r="363">
      <c r="A363" s="188"/>
      <c r="B363" s="90"/>
      <c r="C363" s="189"/>
      <c r="D363" s="189"/>
      <c r="E363" s="90"/>
      <c r="F363" s="189"/>
      <c r="G363" s="190"/>
      <c r="H363" s="60"/>
      <c r="I363" s="95"/>
      <c r="J363" s="96"/>
      <c r="K363" s="95"/>
      <c r="L363" s="96"/>
      <c r="M363" s="96"/>
      <c r="N363" s="95"/>
      <c r="O363" s="95"/>
      <c r="P363" s="95"/>
      <c r="Q363" s="95"/>
      <c r="R363" s="60"/>
      <c r="S363" s="60"/>
      <c r="T363" s="60"/>
      <c r="U363" s="60"/>
      <c r="V363" s="60"/>
      <c r="W363" s="60"/>
      <c r="X363" s="60"/>
      <c r="Y363" s="60"/>
      <c r="Z363" s="60"/>
      <c r="AA363" s="60"/>
      <c r="AB363" s="60"/>
      <c r="AC363" s="60"/>
      <c r="AD363" s="60"/>
      <c r="AE363" s="60"/>
      <c r="AF363" s="60"/>
      <c r="AG363" s="60"/>
      <c r="AH363" s="60"/>
      <c r="AI363" s="60"/>
      <c r="AJ363" s="60"/>
    </row>
    <row r="364">
      <c r="A364" s="185"/>
      <c r="B364" s="67"/>
      <c r="C364" s="186"/>
      <c r="D364" s="186"/>
      <c r="E364" s="67"/>
      <c r="F364" s="186"/>
      <c r="G364" s="187"/>
      <c r="H364" s="43"/>
      <c r="I364" s="98"/>
      <c r="J364" s="99"/>
      <c r="K364" s="98"/>
      <c r="L364" s="99"/>
      <c r="M364" s="99"/>
      <c r="N364" s="98"/>
      <c r="O364" s="98"/>
      <c r="P364" s="98"/>
      <c r="Q364" s="98"/>
      <c r="R364" s="43"/>
      <c r="S364" s="43"/>
      <c r="T364" s="43"/>
      <c r="U364" s="43"/>
      <c r="V364" s="43"/>
      <c r="W364" s="43"/>
      <c r="X364" s="43"/>
      <c r="Y364" s="43"/>
      <c r="Z364" s="43"/>
      <c r="AA364" s="43"/>
      <c r="AB364" s="43"/>
      <c r="AC364" s="43"/>
      <c r="AD364" s="43"/>
      <c r="AE364" s="43"/>
      <c r="AF364" s="43"/>
      <c r="AG364" s="43"/>
      <c r="AH364" s="43"/>
      <c r="AI364" s="43"/>
      <c r="AJ364" s="43"/>
    </row>
    <row r="365">
      <c r="A365" s="188"/>
      <c r="B365" s="90"/>
      <c r="C365" s="189"/>
      <c r="D365" s="189"/>
      <c r="E365" s="90"/>
      <c r="F365" s="189"/>
      <c r="G365" s="190"/>
      <c r="H365" s="60"/>
      <c r="I365" s="95"/>
      <c r="J365" s="96"/>
      <c r="K365" s="95"/>
      <c r="L365" s="96"/>
      <c r="M365" s="96"/>
      <c r="N365" s="95"/>
      <c r="O365" s="95"/>
      <c r="P365" s="95"/>
      <c r="Q365" s="95"/>
      <c r="R365" s="60"/>
      <c r="S365" s="60"/>
      <c r="T365" s="60"/>
      <c r="U365" s="60"/>
      <c r="V365" s="60"/>
      <c r="W365" s="60"/>
      <c r="X365" s="60"/>
      <c r="Y365" s="60"/>
      <c r="Z365" s="60"/>
      <c r="AA365" s="60"/>
      <c r="AB365" s="60"/>
      <c r="AC365" s="60"/>
      <c r="AD365" s="60"/>
      <c r="AE365" s="60"/>
      <c r="AF365" s="60"/>
      <c r="AG365" s="60"/>
      <c r="AH365" s="60"/>
      <c r="AI365" s="60"/>
      <c r="AJ365" s="60"/>
    </row>
    <row r="366">
      <c r="A366" s="185"/>
      <c r="B366" s="67"/>
      <c r="C366" s="186"/>
      <c r="D366" s="186"/>
      <c r="E366" s="67"/>
      <c r="F366" s="186"/>
      <c r="G366" s="187"/>
      <c r="H366" s="43"/>
      <c r="I366" s="98"/>
      <c r="J366" s="99"/>
      <c r="K366" s="98"/>
      <c r="L366" s="99"/>
      <c r="M366" s="99"/>
      <c r="N366" s="98"/>
      <c r="O366" s="98"/>
      <c r="P366" s="98"/>
      <c r="Q366" s="98"/>
      <c r="R366" s="43"/>
      <c r="S366" s="43"/>
      <c r="T366" s="43"/>
      <c r="U366" s="43"/>
      <c r="V366" s="43"/>
      <c r="W366" s="43"/>
      <c r="X366" s="43"/>
      <c r="Y366" s="43"/>
      <c r="Z366" s="43"/>
      <c r="AA366" s="43"/>
      <c r="AB366" s="43"/>
      <c r="AC366" s="43"/>
      <c r="AD366" s="43"/>
      <c r="AE366" s="43"/>
      <c r="AF366" s="43"/>
      <c r="AG366" s="43"/>
      <c r="AH366" s="43"/>
      <c r="AI366" s="43"/>
      <c r="AJ366" s="43"/>
    </row>
    <row r="367">
      <c r="A367" s="188"/>
      <c r="B367" s="90"/>
      <c r="C367" s="189"/>
      <c r="D367" s="189"/>
      <c r="E367" s="90"/>
      <c r="F367" s="189"/>
      <c r="G367" s="190"/>
      <c r="H367" s="60"/>
      <c r="I367" s="95"/>
      <c r="J367" s="96"/>
      <c r="K367" s="95"/>
      <c r="L367" s="96"/>
      <c r="M367" s="96"/>
      <c r="N367" s="95"/>
      <c r="O367" s="95"/>
      <c r="P367" s="95"/>
      <c r="Q367" s="95"/>
      <c r="R367" s="60"/>
      <c r="S367" s="60"/>
      <c r="T367" s="60"/>
      <c r="U367" s="60"/>
      <c r="V367" s="60"/>
      <c r="W367" s="60"/>
      <c r="X367" s="60"/>
      <c r="Y367" s="60"/>
      <c r="Z367" s="60"/>
      <c r="AA367" s="60"/>
      <c r="AB367" s="60"/>
      <c r="AC367" s="60"/>
      <c r="AD367" s="60"/>
      <c r="AE367" s="60"/>
      <c r="AF367" s="60"/>
      <c r="AG367" s="60"/>
      <c r="AH367" s="60"/>
      <c r="AI367" s="60"/>
      <c r="AJ367" s="60"/>
    </row>
    <row r="368">
      <c r="A368" s="185"/>
      <c r="B368" s="67"/>
      <c r="C368" s="186"/>
      <c r="D368" s="186"/>
      <c r="E368" s="67"/>
      <c r="F368" s="186"/>
      <c r="G368" s="187"/>
      <c r="H368" s="43"/>
      <c r="I368" s="98"/>
      <c r="J368" s="99"/>
      <c r="K368" s="98"/>
      <c r="L368" s="99"/>
      <c r="M368" s="99"/>
      <c r="N368" s="98"/>
      <c r="O368" s="98"/>
      <c r="P368" s="98"/>
      <c r="Q368" s="98"/>
      <c r="R368" s="43"/>
      <c r="S368" s="43"/>
      <c r="T368" s="43"/>
      <c r="U368" s="43"/>
      <c r="V368" s="43"/>
      <c r="W368" s="43"/>
      <c r="X368" s="43"/>
      <c r="Y368" s="43"/>
      <c r="Z368" s="43"/>
      <c r="AA368" s="43"/>
      <c r="AB368" s="43"/>
      <c r="AC368" s="43"/>
      <c r="AD368" s="43"/>
      <c r="AE368" s="43"/>
      <c r="AF368" s="43"/>
      <c r="AG368" s="43"/>
      <c r="AH368" s="43"/>
      <c r="AI368" s="43"/>
      <c r="AJ368" s="43"/>
    </row>
    <row r="369">
      <c r="A369" s="188"/>
      <c r="B369" s="90"/>
      <c r="C369" s="189"/>
      <c r="D369" s="189"/>
      <c r="E369" s="90"/>
      <c r="F369" s="189"/>
      <c r="G369" s="190"/>
      <c r="H369" s="60"/>
      <c r="I369" s="95"/>
      <c r="J369" s="96"/>
      <c r="K369" s="95"/>
      <c r="L369" s="96"/>
      <c r="M369" s="96"/>
      <c r="N369" s="95"/>
      <c r="O369" s="95"/>
      <c r="P369" s="95"/>
      <c r="Q369" s="95"/>
      <c r="R369" s="60"/>
      <c r="S369" s="60"/>
      <c r="T369" s="60"/>
      <c r="U369" s="60"/>
      <c r="V369" s="60"/>
      <c r="W369" s="60"/>
      <c r="X369" s="60"/>
      <c r="Y369" s="60"/>
      <c r="Z369" s="60"/>
      <c r="AA369" s="60"/>
      <c r="AB369" s="60"/>
      <c r="AC369" s="60"/>
      <c r="AD369" s="60"/>
      <c r="AE369" s="60"/>
      <c r="AF369" s="60"/>
      <c r="AG369" s="60"/>
      <c r="AH369" s="60"/>
      <c r="AI369" s="60"/>
      <c r="AJ369" s="60"/>
    </row>
    <row r="370">
      <c r="A370" s="185"/>
      <c r="B370" s="67"/>
      <c r="C370" s="186"/>
      <c r="D370" s="186"/>
      <c r="E370" s="67"/>
      <c r="F370" s="186"/>
      <c r="G370" s="187"/>
      <c r="H370" s="43"/>
      <c r="I370" s="98"/>
      <c r="J370" s="99"/>
      <c r="K370" s="98"/>
      <c r="L370" s="99"/>
      <c r="M370" s="99"/>
      <c r="N370" s="98"/>
      <c r="O370" s="98"/>
      <c r="P370" s="98"/>
      <c r="Q370" s="98"/>
      <c r="R370" s="43"/>
      <c r="S370" s="43"/>
      <c r="T370" s="43"/>
      <c r="U370" s="43"/>
      <c r="V370" s="43"/>
      <c r="W370" s="43"/>
      <c r="X370" s="43"/>
      <c r="Y370" s="43"/>
      <c r="Z370" s="43"/>
      <c r="AA370" s="43"/>
      <c r="AB370" s="43"/>
      <c r="AC370" s="43"/>
      <c r="AD370" s="43"/>
      <c r="AE370" s="43"/>
      <c r="AF370" s="43"/>
      <c r="AG370" s="43"/>
      <c r="AH370" s="43"/>
      <c r="AI370" s="43"/>
      <c r="AJ370" s="43"/>
    </row>
    <row r="371">
      <c r="A371" s="188"/>
      <c r="B371" s="90"/>
      <c r="C371" s="189"/>
      <c r="D371" s="189"/>
      <c r="E371" s="90"/>
      <c r="F371" s="189"/>
      <c r="G371" s="190"/>
      <c r="H371" s="60"/>
      <c r="I371" s="95"/>
      <c r="J371" s="96"/>
      <c r="K371" s="95"/>
      <c r="L371" s="96"/>
      <c r="M371" s="96"/>
      <c r="N371" s="95"/>
      <c r="O371" s="95"/>
      <c r="P371" s="95"/>
      <c r="Q371" s="95"/>
      <c r="R371" s="60"/>
      <c r="S371" s="60"/>
      <c r="T371" s="60"/>
      <c r="U371" s="60"/>
      <c r="V371" s="60"/>
      <c r="W371" s="60"/>
      <c r="X371" s="60"/>
      <c r="Y371" s="60"/>
      <c r="Z371" s="60"/>
      <c r="AA371" s="60"/>
      <c r="AB371" s="60"/>
      <c r="AC371" s="60"/>
      <c r="AD371" s="60"/>
      <c r="AE371" s="60"/>
      <c r="AF371" s="60"/>
      <c r="AG371" s="60"/>
      <c r="AH371" s="60"/>
      <c r="AI371" s="60"/>
      <c r="AJ371" s="60"/>
    </row>
    <row r="372">
      <c r="A372" s="185"/>
      <c r="B372" s="67"/>
      <c r="C372" s="186"/>
      <c r="D372" s="186"/>
      <c r="E372" s="67"/>
      <c r="F372" s="186"/>
      <c r="G372" s="187"/>
      <c r="H372" s="43"/>
      <c r="I372" s="98"/>
      <c r="J372" s="99"/>
      <c r="K372" s="98"/>
      <c r="L372" s="99"/>
      <c r="M372" s="99"/>
      <c r="N372" s="98"/>
      <c r="O372" s="98"/>
      <c r="P372" s="98"/>
      <c r="Q372" s="98"/>
      <c r="R372" s="43"/>
      <c r="S372" s="43"/>
      <c r="T372" s="43"/>
      <c r="U372" s="43"/>
      <c r="V372" s="43"/>
      <c r="W372" s="43"/>
      <c r="X372" s="43"/>
      <c r="Y372" s="43"/>
      <c r="Z372" s="43"/>
      <c r="AA372" s="43"/>
      <c r="AB372" s="43"/>
      <c r="AC372" s="43"/>
      <c r="AD372" s="43"/>
      <c r="AE372" s="43"/>
      <c r="AF372" s="43"/>
      <c r="AG372" s="43"/>
      <c r="AH372" s="43"/>
      <c r="AI372" s="43"/>
      <c r="AJ372" s="43"/>
    </row>
    <row r="373">
      <c r="A373" s="188"/>
      <c r="B373" s="90"/>
      <c r="C373" s="189"/>
      <c r="D373" s="189"/>
      <c r="E373" s="90"/>
      <c r="F373" s="189"/>
      <c r="G373" s="190"/>
      <c r="H373" s="60"/>
      <c r="I373" s="95"/>
      <c r="J373" s="96"/>
      <c r="K373" s="95"/>
      <c r="L373" s="96"/>
      <c r="M373" s="96"/>
      <c r="N373" s="95"/>
      <c r="O373" s="95"/>
      <c r="P373" s="95"/>
      <c r="Q373" s="95"/>
      <c r="R373" s="60"/>
      <c r="S373" s="60"/>
      <c r="T373" s="60"/>
      <c r="U373" s="60"/>
      <c r="V373" s="60"/>
      <c r="W373" s="60"/>
      <c r="X373" s="60"/>
      <c r="Y373" s="60"/>
      <c r="Z373" s="60"/>
      <c r="AA373" s="60"/>
      <c r="AB373" s="60"/>
      <c r="AC373" s="60"/>
      <c r="AD373" s="60"/>
      <c r="AE373" s="60"/>
      <c r="AF373" s="60"/>
      <c r="AG373" s="60"/>
      <c r="AH373" s="60"/>
      <c r="AI373" s="60"/>
      <c r="AJ373" s="60"/>
    </row>
    <row r="374">
      <c r="A374" s="185"/>
      <c r="B374" s="67"/>
      <c r="C374" s="186"/>
      <c r="D374" s="186"/>
      <c r="E374" s="67"/>
      <c r="F374" s="186"/>
      <c r="G374" s="187"/>
      <c r="H374" s="43"/>
      <c r="I374" s="98"/>
      <c r="J374" s="99"/>
      <c r="K374" s="98"/>
      <c r="L374" s="99"/>
      <c r="M374" s="99"/>
      <c r="N374" s="98"/>
      <c r="O374" s="98"/>
      <c r="P374" s="98"/>
      <c r="Q374" s="98"/>
      <c r="R374" s="43"/>
      <c r="S374" s="43"/>
      <c r="T374" s="43"/>
      <c r="U374" s="43"/>
      <c r="V374" s="43"/>
      <c r="W374" s="43"/>
      <c r="X374" s="43"/>
      <c r="Y374" s="43"/>
      <c r="Z374" s="43"/>
      <c r="AA374" s="43"/>
      <c r="AB374" s="43"/>
      <c r="AC374" s="43"/>
      <c r="AD374" s="43"/>
      <c r="AE374" s="43"/>
      <c r="AF374" s="43"/>
      <c r="AG374" s="43"/>
      <c r="AH374" s="43"/>
      <c r="AI374" s="43"/>
      <c r="AJ374" s="43"/>
    </row>
    <row r="375">
      <c r="A375" s="188"/>
      <c r="B375" s="90"/>
      <c r="C375" s="189"/>
      <c r="D375" s="189"/>
      <c r="E375" s="90"/>
      <c r="F375" s="189"/>
      <c r="G375" s="190"/>
      <c r="H375" s="60"/>
      <c r="I375" s="95"/>
      <c r="J375" s="96"/>
      <c r="K375" s="95"/>
      <c r="L375" s="96"/>
      <c r="M375" s="96"/>
      <c r="N375" s="95"/>
      <c r="O375" s="95"/>
      <c r="P375" s="95"/>
      <c r="Q375" s="95"/>
      <c r="R375" s="60"/>
      <c r="S375" s="60"/>
      <c r="T375" s="60"/>
      <c r="U375" s="60"/>
      <c r="V375" s="60"/>
      <c r="W375" s="60"/>
      <c r="X375" s="60"/>
      <c r="Y375" s="60"/>
      <c r="Z375" s="60"/>
      <c r="AA375" s="60"/>
      <c r="AB375" s="60"/>
      <c r="AC375" s="60"/>
      <c r="AD375" s="60"/>
      <c r="AE375" s="60"/>
      <c r="AF375" s="60"/>
      <c r="AG375" s="60"/>
      <c r="AH375" s="60"/>
      <c r="AI375" s="60"/>
      <c r="AJ375" s="60"/>
    </row>
    <row r="376">
      <c r="A376" s="185"/>
      <c r="B376" s="67"/>
      <c r="C376" s="186"/>
      <c r="D376" s="186"/>
      <c r="E376" s="67"/>
      <c r="F376" s="186"/>
      <c r="G376" s="187"/>
      <c r="H376" s="43"/>
      <c r="I376" s="98"/>
      <c r="J376" s="99"/>
      <c r="K376" s="98"/>
      <c r="L376" s="99"/>
      <c r="M376" s="99"/>
      <c r="N376" s="98"/>
      <c r="O376" s="98"/>
      <c r="P376" s="98"/>
      <c r="Q376" s="98"/>
      <c r="R376" s="43"/>
      <c r="S376" s="43"/>
      <c r="T376" s="43"/>
      <c r="U376" s="43"/>
      <c r="V376" s="43"/>
      <c r="W376" s="43"/>
      <c r="X376" s="43"/>
      <c r="Y376" s="43"/>
      <c r="Z376" s="43"/>
      <c r="AA376" s="43"/>
      <c r="AB376" s="43"/>
      <c r="AC376" s="43"/>
      <c r="AD376" s="43"/>
      <c r="AE376" s="43"/>
      <c r="AF376" s="43"/>
      <c r="AG376" s="43"/>
      <c r="AH376" s="43"/>
      <c r="AI376" s="43"/>
      <c r="AJ376" s="43"/>
    </row>
    <row r="377">
      <c r="A377" s="188"/>
      <c r="B377" s="90"/>
      <c r="C377" s="189"/>
      <c r="D377" s="189"/>
      <c r="E377" s="90"/>
      <c r="F377" s="189"/>
      <c r="G377" s="190"/>
      <c r="H377" s="60"/>
      <c r="I377" s="95"/>
      <c r="J377" s="96"/>
      <c r="K377" s="95"/>
      <c r="L377" s="96"/>
      <c r="M377" s="96"/>
      <c r="N377" s="95"/>
      <c r="O377" s="95"/>
      <c r="P377" s="95"/>
      <c r="Q377" s="95"/>
      <c r="R377" s="60"/>
      <c r="S377" s="60"/>
      <c r="T377" s="60"/>
      <c r="U377" s="60"/>
      <c r="V377" s="60"/>
      <c r="W377" s="60"/>
      <c r="X377" s="60"/>
      <c r="Y377" s="60"/>
      <c r="Z377" s="60"/>
      <c r="AA377" s="60"/>
      <c r="AB377" s="60"/>
      <c r="AC377" s="60"/>
      <c r="AD377" s="60"/>
      <c r="AE377" s="60"/>
      <c r="AF377" s="60"/>
      <c r="AG377" s="60"/>
      <c r="AH377" s="60"/>
      <c r="AI377" s="60"/>
      <c r="AJ377" s="60"/>
    </row>
    <row r="378">
      <c r="A378" s="185"/>
      <c r="B378" s="67"/>
      <c r="C378" s="186"/>
      <c r="D378" s="186"/>
      <c r="E378" s="67"/>
      <c r="F378" s="186"/>
      <c r="G378" s="187"/>
      <c r="H378" s="43"/>
      <c r="I378" s="98"/>
      <c r="J378" s="99"/>
      <c r="K378" s="98"/>
      <c r="L378" s="99"/>
      <c r="M378" s="99"/>
      <c r="N378" s="98"/>
      <c r="O378" s="98"/>
      <c r="P378" s="98"/>
      <c r="Q378" s="98"/>
      <c r="R378" s="43"/>
      <c r="S378" s="43"/>
      <c r="T378" s="43"/>
      <c r="U378" s="43"/>
      <c r="V378" s="43"/>
      <c r="W378" s="43"/>
      <c r="X378" s="43"/>
      <c r="Y378" s="43"/>
      <c r="Z378" s="43"/>
      <c r="AA378" s="43"/>
      <c r="AB378" s="43"/>
      <c r="AC378" s="43"/>
      <c r="AD378" s="43"/>
      <c r="AE378" s="43"/>
      <c r="AF378" s="43"/>
      <c r="AG378" s="43"/>
      <c r="AH378" s="43"/>
      <c r="AI378" s="43"/>
      <c r="AJ378" s="43"/>
    </row>
    <row r="379">
      <c r="A379" s="188"/>
      <c r="B379" s="90"/>
      <c r="C379" s="189"/>
      <c r="D379" s="189"/>
      <c r="E379" s="90"/>
      <c r="F379" s="189"/>
      <c r="G379" s="190"/>
      <c r="H379" s="60"/>
      <c r="I379" s="95"/>
      <c r="J379" s="96"/>
      <c r="K379" s="95"/>
      <c r="L379" s="96"/>
      <c r="M379" s="96"/>
      <c r="N379" s="95"/>
      <c r="O379" s="95"/>
      <c r="P379" s="95"/>
      <c r="Q379" s="95"/>
      <c r="R379" s="60"/>
      <c r="S379" s="60"/>
      <c r="T379" s="60"/>
      <c r="U379" s="60"/>
      <c r="V379" s="60"/>
      <c r="W379" s="60"/>
      <c r="X379" s="60"/>
      <c r="Y379" s="60"/>
      <c r="Z379" s="60"/>
      <c r="AA379" s="60"/>
      <c r="AB379" s="60"/>
      <c r="AC379" s="60"/>
      <c r="AD379" s="60"/>
      <c r="AE379" s="60"/>
      <c r="AF379" s="60"/>
      <c r="AG379" s="60"/>
      <c r="AH379" s="60"/>
      <c r="AI379" s="60"/>
      <c r="AJ379" s="60"/>
    </row>
    <row r="380">
      <c r="A380" s="185"/>
      <c r="B380" s="67"/>
      <c r="C380" s="186"/>
      <c r="D380" s="186"/>
      <c r="E380" s="67"/>
      <c r="F380" s="186"/>
      <c r="G380" s="187"/>
      <c r="H380" s="43"/>
      <c r="I380" s="98"/>
      <c r="J380" s="99"/>
      <c r="K380" s="98"/>
      <c r="L380" s="99"/>
      <c r="M380" s="99"/>
      <c r="N380" s="98"/>
      <c r="O380" s="98"/>
      <c r="P380" s="98"/>
      <c r="Q380" s="98"/>
      <c r="R380" s="43"/>
      <c r="S380" s="43"/>
      <c r="T380" s="43"/>
      <c r="U380" s="43"/>
      <c r="V380" s="43"/>
      <c r="W380" s="43"/>
      <c r="X380" s="43"/>
      <c r="Y380" s="43"/>
      <c r="Z380" s="43"/>
      <c r="AA380" s="43"/>
      <c r="AB380" s="43"/>
      <c r="AC380" s="43"/>
      <c r="AD380" s="43"/>
      <c r="AE380" s="43"/>
      <c r="AF380" s="43"/>
      <c r="AG380" s="43"/>
      <c r="AH380" s="43"/>
      <c r="AI380" s="43"/>
      <c r="AJ380" s="43"/>
    </row>
    <row r="381">
      <c r="A381" s="188"/>
      <c r="B381" s="90"/>
      <c r="C381" s="189"/>
      <c r="D381" s="189"/>
      <c r="E381" s="90"/>
      <c r="F381" s="189"/>
      <c r="G381" s="190"/>
      <c r="H381" s="60"/>
      <c r="I381" s="95"/>
      <c r="J381" s="96"/>
      <c r="K381" s="95"/>
      <c r="L381" s="96"/>
      <c r="M381" s="96"/>
      <c r="N381" s="95"/>
      <c r="O381" s="95"/>
      <c r="P381" s="95"/>
      <c r="Q381" s="95"/>
      <c r="R381" s="60"/>
      <c r="S381" s="60"/>
      <c r="T381" s="60"/>
      <c r="U381" s="60"/>
      <c r="V381" s="60"/>
      <c r="W381" s="60"/>
      <c r="X381" s="60"/>
      <c r="Y381" s="60"/>
      <c r="Z381" s="60"/>
      <c r="AA381" s="60"/>
      <c r="AB381" s="60"/>
      <c r="AC381" s="60"/>
      <c r="AD381" s="60"/>
      <c r="AE381" s="60"/>
      <c r="AF381" s="60"/>
      <c r="AG381" s="60"/>
      <c r="AH381" s="60"/>
      <c r="AI381" s="60"/>
      <c r="AJ381" s="60"/>
    </row>
    <row r="382">
      <c r="A382" s="185"/>
      <c r="B382" s="67"/>
      <c r="C382" s="186"/>
      <c r="D382" s="186"/>
      <c r="E382" s="67"/>
      <c r="F382" s="186"/>
      <c r="G382" s="187"/>
      <c r="H382" s="43"/>
      <c r="I382" s="98"/>
      <c r="J382" s="99"/>
      <c r="K382" s="98"/>
      <c r="L382" s="99"/>
      <c r="M382" s="99"/>
      <c r="N382" s="98"/>
      <c r="O382" s="98"/>
      <c r="P382" s="98"/>
      <c r="Q382" s="98"/>
      <c r="R382" s="43"/>
      <c r="S382" s="43"/>
      <c r="T382" s="43"/>
      <c r="U382" s="43"/>
      <c r="V382" s="43"/>
      <c r="W382" s="43"/>
      <c r="X382" s="43"/>
      <c r="Y382" s="43"/>
      <c r="Z382" s="43"/>
      <c r="AA382" s="43"/>
      <c r="AB382" s="43"/>
      <c r="AC382" s="43"/>
      <c r="AD382" s="43"/>
      <c r="AE382" s="43"/>
      <c r="AF382" s="43"/>
      <c r="AG382" s="43"/>
      <c r="AH382" s="43"/>
      <c r="AI382" s="43"/>
      <c r="AJ382" s="43"/>
    </row>
    <row r="383">
      <c r="A383" s="188"/>
      <c r="B383" s="90"/>
      <c r="C383" s="189"/>
      <c r="D383" s="189"/>
      <c r="E383" s="90"/>
      <c r="F383" s="189"/>
      <c r="G383" s="190"/>
      <c r="H383" s="60"/>
      <c r="I383" s="95"/>
      <c r="J383" s="96"/>
      <c r="K383" s="95"/>
      <c r="L383" s="96"/>
      <c r="M383" s="96"/>
      <c r="N383" s="95"/>
      <c r="O383" s="95"/>
      <c r="P383" s="95"/>
      <c r="Q383" s="95"/>
      <c r="R383" s="60"/>
      <c r="S383" s="60"/>
      <c r="T383" s="60"/>
      <c r="U383" s="60"/>
      <c r="V383" s="60"/>
      <c r="W383" s="60"/>
      <c r="X383" s="60"/>
      <c r="Y383" s="60"/>
      <c r="Z383" s="60"/>
      <c r="AA383" s="60"/>
      <c r="AB383" s="60"/>
      <c r="AC383" s="60"/>
      <c r="AD383" s="60"/>
      <c r="AE383" s="60"/>
      <c r="AF383" s="60"/>
      <c r="AG383" s="60"/>
      <c r="AH383" s="60"/>
      <c r="AI383" s="60"/>
      <c r="AJ383" s="60"/>
    </row>
    <row r="384">
      <c r="A384" s="185"/>
      <c r="B384" s="67"/>
      <c r="C384" s="186"/>
      <c r="D384" s="186"/>
      <c r="E384" s="67"/>
      <c r="F384" s="186"/>
      <c r="G384" s="187"/>
      <c r="H384" s="43"/>
      <c r="I384" s="98"/>
      <c r="J384" s="99"/>
      <c r="K384" s="98"/>
      <c r="L384" s="99"/>
      <c r="M384" s="99"/>
      <c r="N384" s="98"/>
      <c r="O384" s="98"/>
      <c r="P384" s="98"/>
      <c r="Q384" s="98"/>
      <c r="R384" s="43"/>
      <c r="S384" s="43"/>
      <c r="T384" s="43"/>
      <c r="U384" s="43"/>
      <c r="V384" s="43"/>
      <c r="W384" s="43"/>
      <c r="X384" s="43"/>
      <c r="Y384" s="43"/>
      <c r="Z384" s="43"/>
      <c r="AA384" s="43"/>
      <c r="AB384" s="43"/>
      <c r="AC384" s="43"/>
      <c r="AD384" s="43"/>
      <c r="AE384" s="43"/>
      <c r="AF384" s="43"/>
      <c r="AG384" s="43"/>
      <c r="AH384" s="43"/>
      <c r="AI384" s="43"/>
      <c r="AJ384" s="43"/>
    </row>
    <row r="385">
      <c r="A385" s="188"/>
      <c r="B385" s="90"/>
      <c r="C385" s="189"/>
      <c r="D385" s="189"/>
      <c r="E385" s="90"/>
      <c r="F385" s="189"/>
      <c r="G385" s="190"/>
      <c r="H385" s="60"/>
      <c r="I385" s="95"/>
      <c r="J385" s="96"/>
      <c r="K385" s="95"/>
      <c r="L385" s="96"/>
      <c r="M385" s="96"/>
      <c r="N385" s="95"/>
      <c r="O385" s="95"/>
      <c r="P385" s="95"/>
      <c r="Q385" s="95"/>
      <c r="R385" s="60"/>
      <c r="S385" s="60"/>
      <c r="T385" s="60"/>
      <c r="U385" s="60"/>
      <c r="V385" s="60"/>
      <c r="W385" s="60"/>
      <c r="X385" s="60"/>
      <c r="Y385" s="60"/>
      <c r="Z385" s="60"/>
      <c r="AA385" s="60"/>
      <c r="AB385" s="60"/>
      <c r="AC385" s="60"/>
      <c r="AD385" s="60"/>
      <c r="AE385" s="60"/>
      <c r="AF385" s="60"/>
      <c r="AG385" s="60"/>
      <c r="AH385" s="60"/>
      <c r="AI385" s="60"/>
      <c r="AJ385" s="60"/>
    </row>
    <row r="386">
      <c r="A386" s="185"/>
      <c r="B386" s="67"/>
      <c r="C386" s="186"/>
      <c r="D386" s="186"/>
      <c r="E386" s="67"/>
      <c r="F386" s="186"/>
      <c r="G386" s="187"/>
      <c r="H386" s="43"/>
      <c r="I386" s="98"/>
      <c r="J386" s="99"/>
      <c r="K386" s="98"/>
      <c r="L386" s="99"/>
      <c r="M386" s="99"/>
      <c r="N386" s="98"/>
      <c r="O386" s="98"/>
      <c r="P386" s="98"/>
      <c r="Q386" s="98"/>
      <c r="R386" s="43"/>
      <c r="S386" s="43"/>
      <c r="T386" s="43"/>
      <c r="U386" s="43"/>
      <c r="V386" s="43"/>
      <c r="W386" s="43"/>
      <c r="X386" s="43"/>
      <c r="Y386" s="43"/>
      <c r="Z386" s="43"/>
      <c r="AA386" s="43"/>
      <c r="AB386" s="43"/>
      <c r="AC386" s="43"/>
      <c r="AD386" s="43"/>
      <c r="AE386" s="43"/>
      <c r="AF386" s="43"/>
      <c r="AG386" s="43"/>
      <c r="AH386" s="43"/>
      <c r="AI386" s="43"/>
      <c r="AJ386" s="43"/>
    </row>
    <row r="387">
      <c r="A387" s="188"/>
      <c r="B387" s="90"/>
      <c r="C387" s="189"/>
      <c r="D387" s="189"/>
      <c r="E387" s="90"/>
      <c r="F387" s="189"/>
      <c r="G387" s="190"/>
      <c r="H387" s="60"/>
      <c r="I387" s="95"/>
      <c r="J387" s="96"/>
      <c r="K387" s="95"/>
      <c r="L387" s="96"/>
      <c r="M387" s="96"/>
      <c r="N387" s="95"/>
      <c r="O387" s="95"/>
      <c r="P387" s="95"/>
      <c r="Q387" s="95"/>
      <c r="R387" s="60"/>
      <c r="S387" s="60"/>
      <c r="T387" s="60"/>
      <c r="U387" s="60"/>
      <c r="V387" s="60"/>
      <c r="W387" s="60"/>
      <c r="X387" s="60"/>
      <c r="Y387" s="60"/>
      <c r="Z387" s="60"/>
      <c r="AA387" s="60"/>
      <c r="AB387" s="60"/>
      <c r="AC387" s="60"/>
      <c r="AD387" s="60"/>
      <c r="AE387" s="60"/>
      <c r="AF387" s="60"/>
      <c r="AG387" s="60"/>
      <c r="AH387" s="60"/>
      <c r="AI387" s="60"/>
      <c r="AJ387" s="60"/>
    </row>
    <row r="388">
      <c r="A388" s="185"/>
      <c r="B388" s="67"/>
      <c r="C388" s="186"/>
      <c r="D388" s="186"/>
      <c r="E388" s="67"/>
      <c r="F388" s="186"/>
      <c r="G388" s="187"/>
      <c r="H388" s="43"/>
      <c r="I388" s="98"/>
      <c r="J388" s="99"/>
      <c r="K388" s="98"/>
      <c r="L388" s="99"/>
      <c r="M388" s="99"/>
      <c r="N388" s="98"/>
      <c r="O388" s="98"/>
      <c r="P388" s="98"/>
      <c r="Q388" s="98"/>
      <c r="R388" s="43"/>
      <c r="S388" s="43"/>
      <c r="T388" s="43"/>
      <c r="U388" s="43"/>
      <c r="V388" s="43"/>
      <c r="W388" s="43"/>
      <c r="X388" s="43"/>
      <c r="Y388" s="43"/>
      <c r="Z388" s="43"/>
      <c r="AA388" s="43"/>
      <c r="AB388" s="43"/>
      <c r="AC388" s="43"/>
      <c r="AD388" s="43"/>
      <c r="AE388" s="43"/>
      <c r="AF388" s="43"/>
      <c r="AG388" s="43"/>
      <c r="AH388" s="43"/>
      <c r="AI388" s="43"/>
      <c r="AJ388" s="43"/>
    </row>
    <row r="389">
      <c r="A389" s="188"/>
      <c r="B389" s="90"/>
      <c r="C389" s="189"/>
      <c r="D389" s="189"/>
      <c r="E389" s="90"/>
      <c r="F389" s="189"/>
      <c r="G389" s="190"/>
      <c r="H389" s="60"/>
      <c r="I389" s="95"/>
      <c r="J389" s="96"/>
      <c r="K389" s="95"/>
      <c r="L389" s="96"/>
      <c r="M389" s="96"/>
      <c r="N389" s="95"/>
      <c r="O389" s="95"/>
      <c r="P389" s="95"/>
      <c r="Q389" s="95"/>
      <c r="R389" s="60"/>
      <c r="S389" s="60"/>
      <c r="T389" s="60"/>
      <c r="U389" s="60"/>
      <c r="V389" s="60"/>
      <c r="W389" s="60"/>
      <c r="X389" s="60"/>
      <c r="Y389" s="60"/>
      <c r="Z389" s="60"/>
      <c r="AA389" s="60"/>
      <c r="AB389" s="60"/>
      <c r="AC389" s="60"/>
      <c r="AD389" s="60"/>
      <c r="AE389" s="60"/>
      <c r="AF389" s="60"/>
      <c r="AG389" s="60"/>
      <c r="AH389" s="60"/>
      <c r="AI389" s="60"/>
      <c r="AJ389" s="60"/>
    </row>
    <row r="390">
      <c r="A390" s="185"/>
      <c r="B390" s="67"/>
      <c r="C390" s="186"/>
      <c r="D390" s="186"/>
      <c r="E390" s="67"/>
      <c r="F390" s="186"/>
      <c r="G390" s="187"/>
      <c r="H390" s="43"/>
      <c r="I390" s="98"/>
      <c r="J390" s="99"/>
      <c r="K390" s="98"/>
      <c r="L390" s="99"/>
      <c r="M390" s="99"/>
      <c r="N390" s="98"/>
      <c r="O390" s="98"/>
      <c r="P390" s="98"/>
      <c r="Q390" s="98"/>
      <c r="R390" s="43"/>
      <c r="S390" s="43"/>
      <c r="T390" s="43"/>
      <c r="U390" s="43"/>
      <c r="V390" s="43"/>
      <c r="W390" s="43"/>
      <c r="X390" s="43"/>
      <c r="Y390" s="43"/>
      <c r="Z390" s="43"/>
      <c r="AA390" s="43"/>
      <c r="AB390" s="43"/>
      <c r="AC390" s="43"/>
      <c r="AD390" s="43"/>
      <c r="AE390" s="43"/>
      <c r="AF390" s="43"/>
      <c r="AG390" s="43"/>
      <c r="AH390" s="43"/>
      <c r="AI390" s="43"/>
      <c r="AJ390" s="43"/>
    </row>
    <row r="391">
      <c r="A391" s="188"/>
      <c r="B391" s="90"/>
      <c r="C391" s="189"/>
      <c r="D391" s="189"/>
      <c r="E391" s="90"/>
      <c r="F391" s="189"/>
      <c r="G391" s="190"/>
      <c r="H391" s="60"/>
      <c r="I391" s="95"/>
      <c r="J391" s="96"/>
      <c r="K391" s="95"/>
      <c r="L391" s="96"/>
      <c r="M391" s="96"/>
      <c r="N391" s="95"/>
      <c r="O391" s="95"/>
      <c r="P391" s="95"/>
      <c r="Q391" s="95"/>
      <c r="R391" s="60"/>
      <c r="S391" s="60"/>
      <c r="T391" s="60"/>
      <c r="U391" s="60"/>
      <c r="V391" s="60"/>
      <c r="W391" s="60"/>
      <c r="X391" s="60"/>
      <c r="Y391" s="60"/>
      <c r="Z391" s="60"/>
      <c r="AA391" s="60"/>
      <c r="AB391" s="60"/>
      <c r="AC391" s="60"/>
      <c r="AD391" s="60"/>
      <c r="AE391" s="60"/>
      <c r="AF391" s="60"/>
      <c r="AG391" s="60"/>
      <c r="AH391" s="60"/>
      <c r="AI391" s="60"/>
      <c r="AJ391" s="60"/>
    </row>
    <row r="392">
      <c r="A392" s="185"/>
      <c r="B392" s="67"/>
      <c r="C392" s="186"/>
      <c r="D392" s="186"/>
      <c r="E392" s="67"/>
      <c r="F392" s="186"/>
      <c r="G392" s="187"/>
      <c r="H392" s="43"/>
      <c r="I392" s="98"/>
      <c r="J392" s="99"/>
      <c r="K392" s="98"/>
      <c r="L392" s="99"/>
      <c r="M392" s="99"/>
      <c r="N392" s="98"/>
      <c r="O392" s="98"/>
      <c r="P392" s="98"/>
      <c r="Q392" s="98"/>
      <c r="R392" s="43"/>
      <c r="S392" s="43"/>
      <c r="T392" s="43"/>
      <c r="U392" s="43"/>
      <c r="V392" s="43"/>
      <c r="W392" s="43"/>
      <c r="X392" s="43"/>
      <c r="Y392" s="43"/>
      <c r="Z392" s="43"/>
      <c r="AA392" s="43"/>
      <c r="AB392" s="43"/>
      <c r="AC392" s="43"/>
      <c r="AD392" s="43"/>
      <c r="AE392" s="43"/>
      <c r="AF392" s="43"/>
      <c r="AG392" s="43"/>
      <c r="AH392" s="43"/>
      <c r="AI392" s="43"/>
      <c r="AJ392" s="43"/>
    </row>
    <row r="393">
      <c r="A393" s="188"/>
      <c r="B393" s="90"/>
      <c r="C393" s="189"/>
      <c r="D393" s="189"/>
      <c r="E393" s="90"/>
      <c r="F393" s="189"/>
      <c r="G393" s="190"/>
      <c r="H393" s="60"/>
      <c r="I393" s="95"/>
      <c r="J393" s="96"/>
      <c r="K393" s="95"/>
      <c r="L393" s="96"/>
      <c r="M393" s="96"/>
      <c r="N393" s="95"/>
      <c r="O393" s="95"/>
      <c r="P393" s="95"/>
      <c r="Q393" s="95"/>
      <c r="R393" s="60"/>
      <c r="S393" s="60"/>
      <c r="T393" s="60"/>
      <c r="U393" s="60"/>
      <c r="V393" s="60"/>
      <c r="W393" s="60"/>
      <c r="X393" s="60"/>
      <c r="Y393" s="60"/>
      <c r="Z393" s="60"/>
      <c r="AA393" s="60"/>
      <c r="AB393" s="60"/>
      <c r="AC393" s="60"/>
      <c r="AD393" s="60"/>
      <c r="AE393" s="60"/>
      <c r="AF393" s="60"/>
      <c r="AG393" s="60"/>
      <c r="AH393" s="60"/>
      <c r="AI393" s="60"/>
      <c r="AJ393" s="60"/>
    </row>
    <row r="394">
      <c r="A394" s="185"/>
      <c r="B394" s="67"/>
      <c r="C394" s="186"/>
      <c r="D394" s="186"/>
      <c r="E394" s="67"/>
      <c r="F394" s="186"/>
      <c r="G394" s="187"/>
      <c r="H394" s="43"/>
      <c r="I394" s="98"/>
      <c r="J394" s="99"/>
      <c r="K394" s="98"/>
      <c r="L394" s="99"/>
      <c r="M394" s="99"/>
      <c r="N394" s="98"/>
      <c r="O394" s="98"/>
      <c r="P394" s="98"/>
      <c r="Q394" s="98"/>
      <c r="R394" s="43"/>
      <c r="S394" s="43"/>
      <c r="T394" s="43"/>
      <c r="U394" s="43"/>
      <c r="V394" s="43"/>
      <c r="W394" s="43"/>
      <c r="X394" s="43"/>
      <c r="Y394" s="43"/>
      <c r="Z394" s="43"/>
      <c r="AA394" s="43"/>
      <c r="AB394" s="43"/>
      <c r="AC394" s="43"/>
      <c r="AD394" s="43"/>
      <c r="AE394" s="43"/>
      <c r="AF394" s="43"/>
      <c r="AG394" s="43"/>
      <c r="AH394" s="43"/>
      <c r="AI394" s="43"/>
      <c r="AJ394" s="43"/>
    </row>
    <row r="395">
      <c r="A395" s="188"/>
      <c r="B395" s="90"/>
      <c r="C395" s="189"/>
      <c r="D395" s="189"/>
      <c r="E395" s="90"/>
      <c r="F395" s="189"/>
      <c r="G395" s="190"/>
      <c r="H395" s="60"/>
      <c r="I395" s="95"/>
      <c r="J395" s="96"/>
      <c r="K395" s="95"/>
      <c r="L395" s="96"/>
      <c r="M395" s="96"/>
      <c r="N395" s="95"/>
      <c r="O395" s="95"/>
      <c r="P395" s="95"/>
      <c r="Q395" s="95"/>
      <c r="R395" s="60"/>
      <c r="S395" s="60"/>
      <c r="T395" s="60"/>
      <c r="U395" s="60"/>
      <c r="V395" s="60"/>
      <c r="W395" s="60"/>
      <c r="X395" s="60"/>
      <c r="Y395" s="60"/>
      <c r="Z395" s="60"/>
      <c r="AA395" s="60"/>
      <c r="AB395" s="60"/>
      <c r="AC395" s="60"/>
      <c r="AD395" s="60"/>
      <c r="AE395" s="60"/>
      <c r="AF395" s="60"/>
      <c r="AG395" s="60"/>
      <c r="AH395" s="60"/>
      <c r="AI395" s="60"/>
      <c r="AJ395" s="60"/>
    </row>
    <row r="396">
      <c r="A396" s="185"/>
      <c r="B396" s="67"/>
      <c r="C396" s="186"/>
      <c r="D396" s="186"/>
      <c r="E396" s="67"/>
      <c r="F396" s="186"/>
      <c r="G396" s="187"/>
      <c r="H396" s="43"/>
      <c r="I396" s="98"/>
      <c r="J396" s="99"/>
      <c r="K396" s="98"/>
      <c r="L396" s="99"/>
      <c r="M396" s="99"/>
      <c r="N396" s="98"/>
      <c r="O396" s="98"/>
      <c r="P396" s="98"/>
      <c r="Q396" s="98"/>
      <c r="R396" s="43"/>
      <c r="S396" s="43"/>
      <c r="T396" s="43"/>
      <c r="U396" s="43"/>
      <c r="V396" s="43"/>
      <c r="W396" s="43"/>
      <c r="X396" s="43"/>
      <c r="Y396" s="43"/>
      <c r="Z396" s="43"/>
      <c r="AA396" s="43"/>
      <c r="AB396" s="43"/>
      <c r="AC396" s="43"/>
      <c r="AD396" s="43"/>
      <c r="AE396" s="43"/>
      <c r="AF396" s="43"/>
      <c r="AG396" s="43"/>
      <c r="AH396" s="43"/>
      <c r="AI396" s="43"/>
      <c r="AJ396" s="43"/>
    </row>
    <row r="397">
      <c r="A397" s="188"/>
      <c r="B397" s="90"/>
      <c r="C397" s="189"/>
      <c r="D397" s="189"/>
      <c r="E397" s="90"/>
      <c r="F397" s="189"/>
      <c r="G397" s="190"/>
      <c r="H397" s="60"/>
      <c r="I397" s="95"/>
      <c r="J397" s="96"/>
      <c r="K397" s="95"/>
      <c r="L397" s="96"/>
      <c r="M397" s="96"/>
      <c r="N397" s="95"/>
      <c r="O397" s="95"/>
      <c r="P397" s="95"/>
      <c r="Q397" s="95"/>
      <c r="R397" s="60"/>
      <c r="S397" s="60"/>
      <c r="T397" s="60"/>
      <c r="U397" s="60"/>
      <c r="V397" s="60"/>
      <c r="W397" s="60"/>
      <c r="X397" s="60"/>
      <c r="Y397" s="60"/>
      <c r="Z397" s="60"/>
      <c r="AA397" s="60"/>
      <c r="AB397" s="60"/>
      <c r="AC397" s="60"/>
      <c r="AD397" s="60"/>
      <c r="AE397" s="60"/>
      <c r="AF397" s="60"/>
      <c r="AG397" s="60"/>
      <c r="AH397" s="60"/>
      <c r="AI397" s="60"/>
      <c r="AJ397" s="60"/>
    </row>
    <row r="398">
      <c r="A398" s="185"/>
      <c r="B398" s="67"/>
      <c r="C398" s="186"/>
      <c r="D398" s="186"/>
      <c r="E398" s="67"/>
      <c r="F398" s="186"/>
      <c r="G398" s="187"/>
      <c r="H398" s="43"/>
      <c r="I398" s="98"/>
      <c r="J398" s="99"/>
      <c r="K398" s="98"/>
      <c r="L398" s="99"/>
      <c r="M398" s="99"/>
      <c r="N398" s="98"/>
      <c r="O398" s="98"/>
      <c r="P398" s="98"/>
      <c r="Q398" s="98"/>
      <c r="R398" s="43"/>
      <c r="S398" s="43"/>
      <c r="T398" s="43"/>
      <c r="U398" s="43"/>
      <c r="V398" s="43"/>
      <c r="W398" s="43"/>
      <c r="X398" s="43"/>
      <c r="Y398" s="43"/>
      <c r="Z398" s="43"/>
      <c r="AA398" s="43"/>
      <c r="AB398" s="43"/>
      <c r="AC398" s="43"/>
      <c r="AD398" s="43"/>
      <c r="AE398" s="43"/>
      <c r="AF398" s="43"/>
      <c r="AG398" s="43"/>
      <c r="AH398" s="43"/>
      <c r="AI398" s="43"/>
      <c r="AJ398" s="43"/>
    </row>
    <row r="399">
      <c r="A399" s="188"/>
      <c r="B399" s="90"/>
      <c r="C399" s="189"/>
      <c r="D399" s="189"/>
      <c r="E399" s="90"/>
      <c r="F399" s="189"/>
      <c r="G399" s="190"/>
      <c r="H399" s="60"/>
      <c r="I399" s="95"/>
      <c r="J399" s="96"/>
      <c r="K399" s="95"/>
      <c r="L399" s="96"/>
      <c r="M399" s="96"/>
      <c r="N399" s="95"/>
      <c r="O399" s="95"/>
      <c r="P399" s="95"/>
      <c r="Q399" s="95"/>
      <c r="R399" s="60"/>
      <c r="S399" s="60"/>
      <c r="T399" s="60"/>
      <c r="U399" s="60"/>
      <c r="V399" s="60"/>
      <c r="W399" s="60"/>
      <c r="X399" s="60"/>
      <c r="Y399" s="60"/>
      <c r="Z399" s="60"/>
      <c r="AA399" s="60"/>
      <c r="AB399" s="60"/>
      <c r="AC399" s="60"/>
      <c r="AD399" s="60"/>
      <c r="AE399" s="60"/>
      <c r="AF399" s="60"/>
      <c r="AG399" s="60"/>
      <c r="AH399" s="60"/>
      <c r="AI399" s="60"/>
      <c r="AJ399" s="60"/>
    </row>
    <row r="400">
      <c r="A400" s="185"/>
      <c r="B400" s="67"/>
      <c r="C400" s="186"/>
      <c r="D400" s="186"/>
      <c r="E400" s="67"/>
      <c r="F400" s="186"/>
      <c r="G400" s="187"/>
      <c r="H400" s="43"/>
      <c r="I400" s="98"/>
      <c r="J400" s="99"/>
      <c r="K400" s="98"/>
      <c r="L400" s="99"/>
      <c r="M400" s="99"/>
      <c r="N400" s="98"/>
      <c r="O400" s="98"/>
      <c r="P400" s="98"/>
      <c r="Q400" s="98"/>
      <c r="R400" s="43"/>
      <c r="S400" s="43"/>
      <c r="T400" s="43"/>
      <c r="U400" s="43"/>
      <c r="V400" s="43"/>
      <c r="W400" s="43"/>
      <c r="X400" s="43"/>
      <c r="Y400" s="43"/>
      <c r="Z400" s="43"/>
      <c r="AA400" s="43"/>
      <c r="AB400" s="43"/>
      <c r="AC400" s="43"/>
      <c r="AD400" s="43"/>
      <c r="AE400" s="43"/>
      <c r="AF400" s="43"/>
      <c r="AG400" s="43"/>
      <c r="AH400" s="43"/>
      <c r="AI400" s="43"/>
      <c r="AJ400" s="43"/>
    </row>
    <row r="401">
      <c r="A401" s="188"/>
      <c r="B401" s="90"/>
      <c r="C401" s="189"/>
      <c r="D401" s="189"/>
      <c r="E401" s="90"/>
      <c r="F401" s="189"/>
      <c r="G401" s="190"/>
      <c r="H401" s="60"/>
      <c r="I401" s="95"/>
      <c r="J401" s="96"/>
      <c r="K401" s="95"/>
      <c r="L401" s="96"/>
      <c r="M401" s="96"/>
      <c r="N401" s="95"/>
      <c r="O401" s="95"/>
      <c r="P401" s="95"/>
      <c r="Q401" s="95"/>
      <c r="R401" s="60"/>
      <c r="S401" s="60"/>
      <c r="T401" s="60"/>
      <c r="U401" s="60"/>
      <c r="V401" s="60"/>
      <c r="W401" s="60"/>
      <c r="X401" s="60"/>
      <c r="Y401" s="60"/>
      <c r="Z401" s="60"/>
      <c r="AA401" s="60"/>
      <c r="AB401" s="60"/>
      <c r="AC401" s="60"/>
      <c r="AD401" s="60"/>
      <c r="AE401" s="60"/>
      <c r="AF401" s="60"/>
      <c r="AG401" s="60"/>
      <c r="AH401" s="60"/>
      <c r="AI401" s="60"/>
      <c r="AJ401" s="60"/>
    </row>
    <row r="402">
      <c r="A402" s="185"/>
      <c r="B402" s="67"/>
      <c r="C402" s="186"/>
      <c r="D402" s="186"/>
      <c r="E402" s="67"/>
      <c r="F402" s="186"/>
      <c r="G402" s="187"/>
      <c r="H402" s="43"/>
      <c r="I402" s="98"/>
      <c r="J402" s="99"/>
      <c r="K402" s="98"/>
      <c r="L402" s="99"/>
      <c r="M402" s="99"/>
      <c r="N402" s="98"/>
      <c r="O402" s="98"/>
      <c r="P402" s="98"/>
      <c r="Q402" s="98"/>
      <c r="R402" s="43"/>
      <c r="S402" s="43"/>
      <c r="T402" s="43"/>
      <c r="U402" s="43"/>
      <c r="V402" s="43"/>
      <c r="W402" s="43"/>
      <c r="X402" s="43"/>
      <c r="Y402" s="43"/>
      <c r="Z402" s="43"/>
      <c r="AA402" s="43"/>
      <c r="AB402" s="43"/>
      <c r="AC402" s="43"/>
      <c r="AD402" s="43"/>
      <c r="AE402" s="43"/>
      <c r="AF402" s="43"/>
      <c r="AG402" s="43"/>
      <c r="AH402" s="43"/>
      <c r="AI402" s="43"/>
      <c r="AJ402" s="43"/>
    </row>
    <row r="403">
      <c r="A403" s="188"/>
      <c r="B403" s="90"/>
      <c r="C403" s="189"/>
      <c r="D403" s="189"/>
      <c r="E403" s="90"/>
      <c r="F403" s="189"/>
      <c r="G403" s="190"/>
      <c r="H403" s="60"/>
      <c r="I403" s="95"/>
      <c r="J403" s="96"/>
      <c r="K403" s="95"/>
      <c r="L403" s="96"/>
      <c r="M403" s="96"/>
      <c r="N403" s="95"/>
      <c r="O403" s="95"/>
      <c r="P403" s="95"/>
      <c r="Q403" s="95"/>
      <c r="R403" s="60"/>
      <c r="S403" s="60"/>
      <c r="T403" s="60"/>
      <c r="U403" s="60"/>
      <c r="V403" s="60"/>
      <c r="W403" s="60"/>
      <c r="X403" s="60"/>
      <c r="Y403" s="60"/>
      <c r="Z403" s="60"/>
      <c r="AA403" s="60"/>
      <c r="AB403" s="60"/>
      <c r="AC403" s="60"/>
      <c r="AD403" s="60"/>
      <c r="AE403" s="60"/>
      <c r="AF403" s="60"/>
      <c r="AG403" s="60"/>
      <c r="AH403" s="60"/>
      <c r="AI403" s="60"/>
      <c r="AJ403" s="60"/>
    </row>
    <row r="404">
      <c r="A404" s="185"/>
      <c r="B404" s="67"/>
      <c r="C404" s="186"/>
      <c r="D404" s="186"/>
      <c r="E404" s="67"/>
      <c r="F404" s="186"/>
      <c r="G404" s="187"/>
      <c r="H404" s="43"/>
      <c r="I404" s="98"/>
      <c r="J404" s="99"/>
      <c r="K404" s="98"/>
      <c r="L404" s="99"/>
      <c r="M404" s="99"/>
      <c r="N404" s="98"/>
      <c r="O404" s="98"/>
      <c r="P404" s="98"/>
      <c r="Q404" s="98"/>
      <c r="R404" s="43"/>
      <c r="S404" s="43"/>
      <c r="T404" s="43"/>
      <c r="U404" s="43"/>
      <c r="V404" s="43"/>
      <c r="W404" s="43"/>
      <c r="X404" s="43"/>
      <c r="Y404" s="43"/>
      <c r="Z404" s="43"/>
      <c r="AA404" s="43"/>
      <c r="AB404" s="43"/>
      <c r="AC404" s="43"/>
      <c r="AD404" s="43"/>
      <c r="AE404" s="43"/>
      <c r="AF404" s="43"/>
      <c r="AG404" s="43"/>
      <c r="AH404" s="43"/>
      <c r="AI404" s="43"/>
      <c r="AJ404" s="43"/>
    </row>
    <row r="405">
      <c r="A405" s="188"/>
      <c r="B405" s="90"/>
      <c r="C405" s="189"/>
      <c r="D405" s="189"/>
      <c r="E405" s="90"/>
      <c r="F405" s="189"/>
      <c r="G405" s="190"/>
      <c r="H405" s="60"/>
      <c r="I405" s="95"/>
      <c r="J405" s="96"/>
      <c r="K405" s="95"/>
      <c r="L405" s="96"/>
      <c r="M405" s="96"/>
      <c r="N405" s="95"/>
      <c r="O405" s="95"/>
      <c r="P405" s="95"/>
      <c r="Q405" s="95"/>
      <c r="R405" s="60"/>
      <c r="S405" s="60"/>
      <c r="T405" s="60"/>
      <c r="U405" s="60"/>
      <c r="V405" s="60"/>
      <c r="W405" s="60"/>
      <c r="X405" s="60"/>
      <c r="Y405" s="60"/>
      <c r="Z405" s="60"/>
      <c r="AA405" s="60"/>
      <c r="AB405" s="60"/>
      <c r="AC405" s="60"/>
      <c r="AD405" s="60"/>
      <c r="AE405" s="60"/>
      <c r="AF405" s="60"/>
      <c r="AG405" s="60"/>
      <c r="AH405" s="60"/>
      <c r="AI405" s="60"/>
      <c r="AJ405" s="60"/>
    </row>
    <row r="406">
      <c r="A406" s="185"/>
      <c r="B406" s="67"/>
      <c r="C406" s="186"/>
      <c r="D406" s="186"/>
      <c r="E406" s="67"/>
      <c r="F406" s="186"/>
      <c r="G406" s="187"/>
      <c r="H406" s="43"/>
      <c r="I406" s="98"/>
      <c r="J406" s="99"/>
      <c r="K406" s="98"/>
      <c r="L406" s="99"/>
      <c r="M406" s="99"/>
      <c r="N406" s="98"/>
      <c r="O406" s="98"/>
      <c r="P406" s="98"/>
      <c r="Q406" s="98"/>
      <c r="R406" s="43"/>
      <c r="S406" s="43"/>
      <c r="T406" s="43"/>
      <c r="U406" s="43"/>
      <c r="V406" s="43"/>
      <c r="W406" s="43"/>
      <c r="X406" s="43"/>
      <c r="Y406" s="43"/>
      <c r="Z406" s="43"/>
      <c r="AA406" s="43"/>
      <c r="AB406" s="43"/>
      <c r="AC406" s="43"/>
      <c r="AD406" s="43"/>
      <c r="AE406" s="43"/>
      <c r="AF406" s="43"/>
      <c r="AG406" s="43"/>
      <c r="AH406" s="43"/>
      <c r="AI406" s="43"/>
      <c r="AJ406" s="43"/>
    </row>
    <row r="407">
      <c r="A407" s="188"/>
      <c r="B407" s="90"/>
      <c r="C407" s="189"/>
      <c r="D407" s="189"/>
      <c r="E407" s="90"/>
      <c r="F407" s="189"/>
      <c r="G407" s="190"/>
      <c r="H407" s="60"/>
      <c r="I407" s="95"/>
      <c r="J407" s="96"/>
      <c r="K407" s="95"/>
      <c r="L407" s="96"/>
      <c r="M407" s="96"/>
      <c r="N407" s="95"/>
      <c r="O407" s="95"/>
      <c r="P407" s="95"/>
      <c r="Q407" s="95"/>
      <c r="R407" s="60"/>
      <c r="S407" s="60"/>
      <c r="T407" s="60"/>
      <c r="U407" s="60"/>
      <c r="V407" s="60"/>
      <c r="W407" s="60"/>
      <c r="X407" s="60"/>
      <c r="Y407" s="60"/>
      <c r="Z407" s="60"/>
      <c r="AA407" s="60"/>
      <c r="AB407" s="60"/>
      <c r="AC407" s="60"/>
      <c r="AD407" s="60"/>
      <c r="AE407" s="60"/>
      <c r="AF407" s="60"/>
      <c r="AG407" s="60"/>
      <c r="AH407" s="60"/>
      <c r="AI407" s="60"/>
      <c r="AJ407" s="60"/>
    </row>
    <row r="408">
      <c r="A408" s="185"/>
      <c r="B408" s="67"/>
      <c r="C408" s="186"/>
      <c r="D408" s="186"/>
      <c r="E408" s="67"/>
      <c r="F408" s="186"/>
      <c r="G408" s="187"/>
      <c r="H408" s="43"/>
      <c r="I408" s="98"/>
      <c r="J408" s="99"/>
      <c r="K408" s="98"/>
      <c r="L408" s="99"/>
      <c r="M408" s="99"/>
      <c r="N408" s="98"/>
      <c r="O408" s="98"/>
      <c r="P408" s="98"/>
      <c r="Q408" s="98"/>
      <c r="R408" s="43"/>
      <c r="S408" s="43"/>
      <c r="T408" s="43"/>
      <c r="U408" s="43"/>
      <c r="V408" s="43"/>
      <c r="W408" s="43"/>
      <c r="X408" s="43"/>
      <c r="Y408" s="43"/>
      <c r="Z408" s="43"/>
      <c r="AA408" s="43"/>
      <c r="AB408" s="43"/>
      <c r="AC408" s="43"/>
      <c r="AD408" s="43"/>
      <c r="AE408" s="43"/>
      <c r="AF408" s="43"/>
      <c r="AG408" s="43"/>
      <c r="AH408" s="43"/>
      <c r="AI408" s="43"/>
      <c r="AJ408" s="43"/>
    </row>
    <row r="409">
      <c r="A409" s="188"/>
      <c r="B409" s="90"/>
      <c r="C409" s="189"/>
      <c r="D409" s="189"/>
      <c r="E409" s="90"/>
      <c r="F409" s="189"/>
      <c r="G409" s="190"/>
      <c r="H409" s="60"/>
      <c r="I409" s="95"/>
      <c r="J409" s="96"/>
      <c r="K409" s="95"/>
      <c r="L409" s="96"/>
      <c r="M409" s="96"/>
      <c r="N409" s="95"/>
      <c r="O409" s="95"/>
      <c r="P409" s="95"/>
      <c r="Q409" s="95"/>
      <c r="R409" s="60"/>
      <c r="S409" s="60"/>
      <c r="T409" s="60"/>
      <c r="U409" s="60"/>
      <c r="V409" s="60"/>
      <c r="W409" s="60"/>
      <c r="X409" s="60"/>
      <c r="Y409" s="60"/>
      <c r="Z409" s="60"/>
      <c r="AA409" s="60"/>
      <c r="AB409" s="60"/>
      <c r="AC409" s="60"/>
      <c r="AD409" s="60"/>
      <c r="AE409" s="60"/>
      <c r="AF409" s="60"/>
      <c r="AG409" s="60"/>
      <c r="AH409" s="60"/>
      <c r="AI409" s="60"/>
      <c r="AJ409" s="60"/>
    </row>
    <row r="410">
      <c r="A410" s="185"/>
      <c r="B410" s="67"/>
      <c r="C410" s="186"/>
      <c r="D410" s="186"/>
      <c r="E410" s="67"/>
      <c r="F410" s="186"/>
      <c r="G410" s="187"/>
      <c r="H410" s="43"/>
      <c r="I410" s="98"/>
      <c r="J410" s="99"/>
      <c r="K410" s="98"/>
      <c r="L410" s="99"/>
      <c r="M410" s="99"/>
      <c r="N410" s="98"/>
      <c r="O410" s="98"/>
      <c r="P410" s="98"/>
      <c r="Q410" s="98"/>
      <c r="R410" s="43"/>
      <c r="S410" s="43"/>
      <c r="T410" s="43"/>
      <c r="U410" s="43"/>
      <c r="V410" s="43"/>
      <c r="W410" s="43"/>
      <c r="X410" s="43"/>
      <c r="Y410" s="43"/>
      <c r="Z410" s="43"/>
      <c r="AA410" s="43"/>
      <c r="AB410" s="43"/>
      <c r="AC410" s="43"/>
      <c r="AD410" s="43"/>
      <c r="AE410" s="43"/>
      <c r="AF410" s="43"/>
      <c r="AG410" s="43"/>
      <c r="AH410" s="43"/>
      <c r="AI410" s="43"/>
      <c r="AJ410" s="43"/>
    </row>
    <row r="411">
      <c r="A411" s="188"/>
      <c r="B411" s="90"/>
      <c r="C411" s="189"/>
      <c r="D411" s="189"/>
      <c r="E411" s="90"/>
      <c r="F411" s="189"/>
      <c r="G411" s="190"/>
      <c r="H411" s="60"/>
      <c r="I411" s="95"/>
      <c r="J411" s="96"/>
      <c r="K411" s="95"/>
      <c r="L411" s="96"/>
      <c r="M411" s="96"/>
      <c r="N411" s="95"/>
      <c r="O411" s="95"/>
      <c r="P411" s="95"/>
      <c r="Q411" s="95"/>
      <c r="R411" s="60"/>
      <c r="S411" s="60"/>
      <c r="T411" s="60"/>
      <c r="U411" s="60"/>
      <c r="V411" s="60"/>
      <c r="W411" s="60"/>
      <c r="X411" s="60"/>
      <c r="Y411" s="60"/>
      <c r="Z411" s="60"/>
      <c r="AA411" s="60"/>
      <c r="AB411" s="60"/>
      <c r="AC411" s="60"/>
      <c r="AD411" s="60"/>
      <c r="AE411" s="60"/>
      <c r="AF411" s="60"/>
      <c r="AG411" s="60"/>
      <c r="AH411" s="60"/>
      <c r="AI411" s="60"/>
      <c r="AJ411" s="60"/>
    </row>
    <row r="412">
      <c r="A412" s="185"/>
      <c r="B412" s="67"/>
      <c r="C412" s="186"/>
      <c r="D412" s="186"/>
      <c r="E412" s="67"/>
      <c r="F412" s="186"/>
      <c r="G412" s="187"/>
      <c r="H412" s="43"/>
      <c r="I412" s="98"/>
      <c r="J412" s="99"/>
      <c r="K412" s="98"/>
      <c r="L412" s="99"/>
      <c r="M412" s="99"/>
      <c r="N412" s="98"/>
      <c r="O412" s="98"/>
      <c r="P412" s="98"/>
      <c r="Q412" s="98"/>
      <c r="R412" s="43"/>
      <c r="S412" s="43"/>
      <c r="T412" s="43"/>
      <c r="U412" s="43"/>
      <c r="V412" s="43"/>
      <c r="W412" s="43"/>
      <c r="X412" s="43"/>
      <c r="Y412" s="43"/>
      <c r="Z412" s="43"/>
      <c r="AA412" s="43"/>
      <c r="AB412" s="43"/>
      <c r="AC412" s="43"/>
      <c r="AD412" s="43"/>
      <c r="AE412" s="43"/>
      <c r="AF412" s="43"/>
      <c r="AG412" s="43"/>
      <c r="AH412" s="43"/>
      <c r="AI412" s="43"/>
      <c r="AJ412" s="43"/>
    </row>
    <row r="413">
      <c r="A413" s="188"/>
      <c r="B413" s="90"/>
      <c r="C413" s="189"/>
      <c r="D413" s="189"/>
      <c r="E413" s="90"/>
      <c r="F413" s="189"/>
      <c r="G413" s="190"/>
      <c r="H413" s="60"/>
      <c r="I413" s="95"/>
      <c r="J413" s="96"/>
      <c r="K413" s="95"/>
      <c r="L413" s="96"/>
      <c r="M413" s="96"/>
      <c r="N413" s="95"/>
      <c r="O413" s="95"/>
      <c r="P413" s="95"/>
      <c r="Q413" s="95"/>
      <c r="R413" s="60"/>
      <c r="S413" s="60"/>
      <c r="T413" s="60"/>
      <c r="U413" s="60"/>
      <c r="V413" s="60"/>
      <c r="W413" s="60"/>
      <c r="X413" s="60"/>
      <c r="Y413" s="60"/>
      <c r="Z413" s="60"/>
      <c r="AA413" s="60"/>
      <c r="AB413" s="60"/>
      <c r="AC413" s="60"/>
      <c r="AD413" s="60"/>
      <c r="AE413" s="60"/>
      <c r="AF413" s="60"/>
      <c r="AG413" s="60"/>
      <c r="AH413" s="60"/>
      <c r="AI413" s="60"/>
      <c r="AJ413" s="60"/>
    </row>
    <row r="414">
      <c r="A414" s="185"/>
      <c r="B414" s="67"/>
      <c r="C414" s="186"/>
      <c r="D414" s="186"/>
      <c r="E414" s="67"/>
      <c r="F414" s="186"/>
      <c r="G414" s="187"/>
      <c r="H414" s="43"/>
      <c r="I414" s="98"/>
      <c r="J414" s="99"/>
      <c r="K414" s="98"/>
      <c r="L414" s="99"/>
      <c r="M414" s="99"/>
      <c r="N414" s="98"/>
      <c r="O414" s="98"/>
      <c r="P414" s="98"/>
      <c r="Q414" s="98"/>
      <c r="R414" s="43"/>
      <c r="S414" s="43"/>
      <c r="T414" s="43"/>
      <c r="U414" s="43"/>
      <c r="V414" s="43"/>
      <c r="W414" s="43"/>
      <c r="X414" s="43"/>
      <c r="Y414" s="43"/>
      <c r="Z414" s="43"/>
      <c r="AA414" s="43"/>
      <c r="AB414" s="43"/>
      <c r="AC414" s="43"/>
      <c r="AD414" s="43"/>
      <c r="AE414" s="43"/>
      <c r="AF414" s="43"/>
      <c r="AG414" s="43"/>
      <c r="AH414" s="43"/>
      <c r="AI414" s="43"/>
      <c r="AJ414" s="43"/>
    </row>
    <row r="415">
      <c r="A415" s="188"/>
      <c r="B415" s="90"/>
      <c r="C415" s="189"/>
      <c r="D415" s="189"/>
      <c r="E415" s="90"/>
      <c r="F415" s="189"/>
      <c r="G415" s="190"/>
      <c r="H415" s="60"/>
      <c r="I415" s="95"/>
      <c r="J415" s="96"/>
      <c r="K415" s="95"/>
      <c r="L415" s="96"/>
      <c r="M415" s="96"/>
      <c r="N415" s="95"/>
      <c r="O415" s="95"/>
      <c r="P415" s="95"/>
      <c r="Q415" s="95"/>
      <c r="R415" s="60"/>
      <c r="S415" s="60"/>
      <c r="T415" s="60"/>
      <c r="U415" s="60"/>
      <c r="V415" s="60"/>
      <c r="W415" s="60"/>
      <c r="X415" s="60"/>
      <c r="Y415" s="60"/>
      <c r="Z415" s="60"/>
      <c r="AA415" s="60"/>
      <c r="AB415" s="60"/>
      <c r="AC415" s="60"/>
      <c r="AD415" s="60"/>
      <c r="AE415" s="60"/>
      <c r="AF415" s="60"/>
      <c r="AG415" s="60"/>
      <c r="AH415" s="60"/>
      <c r="AI415" s="60"/>
      <c r="AJ415" s="60"/>
    </row>
    <row r="416">
      <c r="A416" s="185"/>
      <c r="B416" s="67"/>
      <c r="C416" s="186"/>
      <c r="D416" s="186"/>
      <c r="E416" s="67"/>
      <c r="F416" s="186"/>
      <c r="G416" s="187"/>
      <c r="H416" s="43"/>
      <c r="I416" s="98"/>
      <c r="J416" s="99"/>
      <c r="K416" s="98"/>
      <c r="L416" s="99"/>
      <c r="M416" s="99"/>
      <c r="N416" s="98"/>
      <c r="O416" s="98"/>
      <c r="P416" s="98"/>
      <c r="Q416" s="98"/>
      <c r="R416" s="43"/>
      <c r="S416" s="43"/>
      <c r="T416" s="43"/>
      <c r="U416" s="43"/>
      <c r="V416" s="43"/>
      <c r="W416" s="43"/>
      <c r="X416" s="43"/>
      <c r="Y416" s="43"/>
      <c r="Z416" s="43"/>
      <c r="AA416" s="43"/>
      <c r="AB416" s="43"/>
      <c r="AC416" s="43"/>
      <c r="AD416" s="43"/>
      <c r="AE416" s="43"/>
      <c r="AF416" s="43"/>
      <c r="AG416" s="43"/>
      <c r="AH416" s="43"/>
      <c r="AI416" s="43"/>
      <c r="AJ416" s="43"/>
    </row>
    <row r="417">
      <c r="A417" s="188"/>
      <c r="B417" s="90"/>
      <c r="C417" s="189"/>
      <c r="D417" s="189"/>
      <c r="E417" s="90"/>
      <c r="F417" s="189"/>
      <c r="G417" s="190"/>
      <c r="H417" s="60"/>
      <c r="I417" s="95"/>
      <c r="J417" s="96"/>
      <c r="K417" s="95"/>
      <c r="L417" s="96"/>
      <c r="M417" s="96"/>
      <c r="N417" s="95"/>
      <c r="O417" s="95"/>
      <c r="P417" s="95"/>
      <c r="Q417" s="95"/>
      <c r="R417" s="60"/>
      <c r="S417" s="60"/>
      <c r="T417" s="60"/>
      <c r="U417" s="60"/>
      <c r="V417" s="60"/>
      <c r="W417" s="60"/>
      <c r="X417" s="60"/>
      <c r="Y417" s="60"/>
      <c r="Z417" s="60"/>
      <c r="AA417" s="60"/>
      <c r="AB417" s="60"/>
      <c r="AC417" s="60"/>
      <c r="AD417" s="60"/>
      <c r="AE417" s="60"/>
      <c r="AF417" s="60"/>
      <c r="AG417" s="60"/>
      <c r="AH417" s="60"/>
      <c r="AI417" s="60"/>
      <c r="AJ417" s="60"/>
    </row>
    <row r="418">
      <c r="A418" s="185"/>
      <c r="B418" s="67"/>
      <c r="C418" s="186"/>
      <c r="D418" s="186"/>
      <c r="E418" s="67"/>
      <c r="F418" s="186"/>
      <c r="G418" s="187"/>
      <c r="H418" s="43"/>
      <c r="I418" s="98"/>
      <c r="J418" s="99"/>
      <c r="K418" s="98"/>
      <c r="L418" s="99"/>
      <c r="M418" s="99"/>
      <c r="N418" s="98"/>
      <c r="O418" s="98"/>
      <c r="P418" s="98"/>
      <c r="Q418" s="98"/>
      <c r="R418" s="43"/>
      <c r="S418" s="43"/>
      <c r="T418" s="43"/>
      <c r="U418" s="43"/>
      <c r="V418" s="43"/>
      <c r="W418" s="43"/>
      <c r="X418" s="43"/>
      <c r="Y418" s="43"/>
      <c r="Z418" s="43"/>
      <c r="AA418" s="43"/>
      <c r="AB418" s="43"/>
      <c r="AC418" s="43"/>
      <c r="AD418" s="43"/>
      <c r="AE418" s="43"/>
      <c r="AF418" s="43"/>
      <c r="AG418" s="43"/>
      <c r="AH418" s="43"/>
      <c r="AI418" s="43"/>
      <c r="AJ418" s="43"/>
    </row>
    <row r="419">
      <c r="A419" s="188"/>
      <c r="B419" s="90"/>
      <c r="C419" s="189"/>
      <c r="D419" s="189"/>
      <c r="E419" s="90"/>
      <c r="F419" s="189"/>
      <c r="G419" s="190"/>
      <c r="H419" s="60"/>
      <c r="I419" s="95"/>
      <c r="J419" s="96"/>
      <c r="K419" s="95"/>
      <c r="L419" s="96"/>
      <c r="M419" s="96"/>
      <c r="N419" s="95"/>
      <c r="O419" s="95"/>
      <c r="P419" s="95"/>
      <c r="Q419" s="95"/>
      <c r="R419" s="60"/>
      <c r="S419" s="60"/>
      <c r="T419" s="60"/>
      <c r="U419" s="60"/>
      <c r="V419" s="60"/>
      <c r="W419" s="60"/>
      <c r="X419" s="60"/>
      <c r="Y419" s="60"/>
      <c r="Z419" s="60"/>
      <c r="AA419" s="60"/>
      <c r="AB419" s="60"/>
      <c r="AC419" s="60"/>
      <c r="AD419" s="60"/>
      <c r="AE419" s="60"/>
      <c r="AF419" s="60"/>
      <c r="AG419" s="60"/>
      <c r="AH419" s="60"/>
      <c r="AI419" s="60"/>
      <c r="AJ419" s="60"/>
    </row>
    <row r="420">
      <c r="A420" s="185"/>
      <c r="B420" s="67"/>
      <c r="C420" s="186"/>
      <c r="D420" s="186"/>
      <c r="E420" s="67"/>
      <c r="F420" s="186"/>
      <c r="G420" s="187"/>
      <c r="H420" s="43"/>
      <c r="I420" s="98"/>
      <c r="J420" s="99"/>
      <c r="K420" s="98"/>
      <c r="L420" s="99"/>
      <c r="M420" s="99"/>
      <c r="N420" s="98"/>
      <c r="O420" s="98"/>
      <c r="P420" s="98"/>
      <c r="Q420" s="98"/>
      <c r="R420" s="43"/>
      <c r="S420" s="43"/>
      <c r="T420" s="43"/>
      <c r="U420" s="43"/>
      <c r="V420" s="43"/>
      <c r="W420" s="43"/>
      <c r="X420" s="43"/>
      <c r="Y420" s="43"/>
      <c r="Z420" s="43"/>
      <c r="AA420" s="43"/>
      <c r="AB420" s="43"/>
      <c r="AC420" s="43"/>
      <c r="AD420" s="43"/>
      <c r="AE420" s="43"/>
      <c r="AF420" s="43"/>
      <c r="AG420" s="43"/>
      <c r="AH420" s="43"/>
      <c r="AI420" s="43"/>
      <c r="AJ420" s="43"/>
    </row>
    <row r="421">
      <c r="A421" s="188"/>
      <c r="B421" s="90"/>
      <c r="C421" s="189"/>
      <c r="D421" s="189"/>
      <c r="E421" s="90"/>
      <c r="F421" s="189"/>
      <c r="G421" s="190"/>
      <c r="H421" s="60"/>
      <c r="I421" s="95"/>
      <c r="J421" s="96"/>
      <c r="K421" s="95"/>
      <c r="L421" s="96"/>
      <c r="M421" s="96"/>
      <c r="N421" s="95"/>
      <c r="O421" s="95"/>
      <c r="P421" s="95"/>
      <c r="Q421" s="95"/>
      <c r="R421" s="60"/>
      <c r="S421" s="60"/>
      <c r="T421" s="60"/>
      <c r="U421" s="60"/>
      <c r="V421" s="60"/>
      <c r="W421" s="60"/>
      <c r="X421" s="60"/>
      <c r="Y421" s="60"/>
      <c r="Z421" s="60"/>
      <c r="AA421" s="60"/>
      <c r="AB421" s="60"/>
      <c r="AC421" s="60"/>
      <c r="AD421" s="60"/>
      <c r="AE421" s="60"/>
      <c r="AF421" s="60"/>
      <c r="AG421" s="60"/>
      <c r="AH421" s="60"/>
      <c r="AI421" s="60"/>
      <c r="AJ421" s="60"/>
    </row>
    <row r="422">
      <c r="A422" s="185"/>
      <c r="B422" s="67"/>
      <c r="C422" s="186"/>
      <c r="D422" s="186"/>
      <c r="E422" s="67"/>
      <c r="F422" s="186"/>
      <c r="G422" s="187"/>
      <c r="H422" s="43"/>
      <c r="I422" s="98"/>
      <c r="J422" s="99"/>
      <c r="K422" s="98"/>
      <c r="L422" s="99"/>
      <c r="M422" s="99"/>
      <c r="N422" s="98"/>
      <c r="O422" s="98"/>
      <c r="P422" s="98"/>
      <c r="Q422" s="98"/>
      <c r="R422" s="43"/>
      <c r="S422" s="43"/>
      <c r="T422" s="43"/>
      <c r="U422" s="43"/>
      <c r="V422" s="43"/>
      <c r="W422" s="43"/>
      <c r="X422" s="43"/>
      <c r="Y422" s="43"/>
      <c r="Z422" s="43"/>
      <c r="AA422" s="43"/>
      <c r="AB422" s="43"/>
      <c r="AC422" s="43"/>
      <c r="AD422" s="43"/>
      <c r="AE422" s="43"/>
      <c r="AF422" s="43"/>
      <c r="AG422" s="43"/>
      <c r="AH422" s="43"/>
      <c r="AI422" s="43"/>
      <c r="AJ422" s="43"/>
    </row>
    <row r="423">
      <c r="A423" s="188"/>
      <c r="B423" s="90"/>
      <c r="C423" s="189"/>
      <c r="D423" s="189"/>
      <c r="E423" s="90"/>
      <c r="F423" s="189"/>
      <c r="G423" s="190"/>
      <c r="H423" s="60"/>
      <c r="I423" s="95"/>
      <c r="J423" s="96"/>
      <c r="K423" s="95"/>
      <c r="L423" s="96"/>
      <c r="M423" s="96"/>
      <c r="N423" s="95"/>
      <c r="O423" s="95"/>
      <c r="P423" s="95"/>
      <c r="Q423" s="95"/>
      <c r="R423" s="60"/>
      <c r="S423" s="60"/>
      <c r="T423" s="60"/>
      <c r="U423" s="60"/>
      <c r="V423" s="60"/>
      <c r="W423" s="60"/>
      <c r="X423" s="60"/>
      <c r="Y423" s="60"/>
      <c r="Z423" s="60"/>
      <c r="AA423" s="60"/>
      <c r="AB423" s="60"/>
      <c r="AC423" s="60"/>
      <c r="AD423" s="60"/>
      <c r="AE423" s="60"/>
      <c r="AF423" s="60"/>
      <c r="AG423" s="60"/>
      <c r="AH423" s="60"/>
      <c r="AI423" s="60"/>
      <c r="AJ423" s="60"/>
    </row>
    <row r="424">
      <c r="A424" s="185"/>
      <c r="B424" s="67"/>
      <c r="C424" s="186"/>
      <c r="D424" s="186"/>
      <c r="E424" s="67"/>
      <c r="F424" s="186"/>
      <c r="G424" s="187"/>
      <c r="H424" s="43"/>
      <c r="I424" s="98"/>
      <c r="J424" s="99"/>
      <c r="K424" s="98"/>
      <c r="L424" s="99"/>
      <c r="M424" s="99"/>
      <c r="N424" s="98"/>
      <c r="O424" s="98"/>
      <c r="P424" s="98"/>
      <c r="Q424" s="98"/>
      <c r="R424" s="43"/>
      <c r="S424" s="43"/>
      <c r="T424" s="43"/>
      <c r="U424" s="43"/>
      <c r="V424" s="43"/>
      <c r="W424" s="43"/>
      <c r="X424" s="43"/>
      <c r="Y424" s="43"/>
      <c r="Z424" s="43"/>
      <c r="AA424" s="43"/>
      <c r="AB424" s="43"/>
      <c r="AC424" s="43"/>
      <c r="AD424" s="43"/>
      <c r="AE424" s="43"/>
      <c r="AF424" s="43"/>
      <c r="AG424" s="43"/>
      <c r="AH424" s="43"/>
      <c r="AI424" s="43"/>
      <c r="AJ424" s="43"/>
    </row>
    <row r="425">
      <c r="A425" s="188"/>
      <c r="B425" s="90"/>
      <c r="C425" s="189"/>
      <c r="D425" s="189"/>
      <c r="E425" s="90"/>
      <c r="F425" s="189"/>
      <c r="G425" s="190"/>
      <c r="H425" s="60"/>
      <c r="I425" s="95"/>
      <c r="J425" s="96"/>
      <c r="K425" s="95"/>
      <c r="L425" s="96"/>
      <c r="M425" s="96"/>
      <c r="N425" s="95"/>
      <c r="O425" s="95"/>
      <c r="P425" s="95"/>
      <c r="Q425" s="95"/>
      <c r="R425" s="60"/>
      <c r="S425" s="60"/>
      <c r="T425" s="60"/>
      <c r="U425" s="60"/>
      <c r="V425" s="60"/>
      <c r="W425" s="60"/>
      <c r="X425" s="60"/>
      <c r="Y425" s="60"/>
      <c r="Z425" s="60"/>
      <c r="AA425" s="60"/>
      <c r="AB425" s="60"/>
      <c r="AC425" s="60"/>
      <c r="AD425" s="60"/>
      <c r="AE425" s="60"/>
      <c r="AF425" s="60"/>
      <c r="AG425" s="60"/>
      <c r="AH425" s="60"/>
      <c r="AI425" s="60"/>
      <c r="AJ425" s="60"/>
    </row>
    <row r="426">
      <c r="A426" s="185"/>
      <c r="B426" s="67"/>
      <c r="C426" s="186"/>
      <c r="D426" s="186"/>
      <c r="E426" s="67"/>
      <c r="F426" s="186"/>
      <c r="G426" s="187"/>
      <c r="H426" s="43"/>
      <c r="I426" s="98"/>
      <c r="J426" s="99"/>
      <c r="K426" s="98"/>
      <c r="L426" s="99"/>
      <c r="M426" s="99"/>
      <c r="N426" s="98"/>
      <c r="O426" s="98"/>
      <c r="P426" s="98"/>
      <c r="Q426" s="98"/>
      <c r="R426" s="43"/>
      <c r="S426" s="43"/>
      <c r="T426" s="43"/>
      <c r="U426" s="43"/>
      <c r="V426" s="43"/>
      <c r="W426" s="43"/>
      <c r="X426" s="43"/>
      <c r="Y426" s="43"/>
      <c r="Z426" s="43"/>
      <c r="AA426" s="43"/>
      <c r="AB426" s="43"/>
      <c r="AC426" s="43"/>
      <c r="AD426" s="43"/>
      <c r="AE426" s="43"/>
      <c r="AF426" s="43"/>
      <c r="AG426" s="43"/>
      <c r="AH426" s="43"/>
      <c r="AI426" s="43"/>
      <c r="AJ426" s="43"/>
    </row>
    <row r="427">
      <c r="A427" s="188"/>
      <c r="B427" s="90"/>
      <c r="C427" s="189"/>
      <c r="D427" s="189"/>
      <c r="E427" s="90"/>
      <c r="F427" s="189"/>
      <c r="G427" s="190"/>
      <c r="H427" s="60"/>
      <c r="I427" s="95"/>
      <c r="J427" s="96"/>
      <c r="K427" s="95"/>
      <c r="L427" s="96"/>
      <c r="M427" s="96"/>
      <c r="N427" s="95"/>
      <c r="O427" s="95"/>
      <c r="P427" s="95"/>
      <c r="Q427" s="95"/>
      <c r="R427" s="60"/>
      <c r="S427" s="60"/>
      <c r="T427" s="60"/>
      <c r="U427" s="60"/>
      <c r="V427" s="60"/>
      <c r="W427" s="60"/>
      <c r="X427" s="60"/>
      <c r="Y427" s="60"/>
      <c r="Z427" s="60"/>
      <c r="AA427" s="60"/>
      <c r="AB427" s="60"/>
      <c r="AC427" s="60"/>
      <c r="AD427" s="60"/>
      <c r="AE427" s="60"/>
      <c r="AF427" s="60"/>
      <c r="AG427" s="60"/>
      <c r="AH427" s="60"/>
      <c r="AI427" s="60"/>
      <c r="AJ427" s="60"/>
    </row>
    <row r="428">
      <c r="A428" s="185"/>
      <c r="B428" s="67"/>
      <c r="C428" s="186"/>
      <c r="D428" s="186"/>
      <c r="E428" s="67"/>
      <c r="F428" s="186"/>
      <c r="G428" s="187"/>
      <c r="H428" s="43"/>
      <c r="I428" s="98"/>
      <c r="J428" s="99"/>
      <c r="K428" s="98"/>
      <c r="L428" s="99"/>
      <c r="M428" s="99"/>
      <c r="N428" s="98"/>
      <c r="O428" s="98"/>
      <c r="P428" s="98"/>
      <c r="Q428" s="98"/>
      <c r="R428" s="43"/>
      <c r="S428" s="43"/>
      <c r="T428" s="43"/>
      <c r="U428" s="43"/>
      <c r="V428" s="43"/>
      <c r="W428" s="43"/>
      <c r="X428" s="43"/>
      <c r="Y428" s="43"/>
      <c r="Z428" s="43"/>
      <c r="AA428" s="43"/>
      <c r="AB428" s="43"/>
      <c r="AC428" s="43"/>
      <c r="AD428" s="43"/>
      <c r="AE428" s="43"/>
      <c r="AF428" s="43"/>
      <c r="AG428" s="43"/>
      <c r="AH428" s="43"/>
      <c r="AI428" s="43"/>
      <c r="AJ428" s="43"/>
    </row>
    <row r="429">
      <c r="A429" s="188"/>
      <c r="B429" s="90"/>
      <c r="C429" s="189"/>
      <c r="D429" s="189"/>
      <c r="E429" s="90"/>
      <c r="F429" s="189"/>
      <c r="G429" s="190"/>
      <c r="H429" s="60"/>
      <c r="I429" s="95"/>
      <c r="J429" s="96"/>
      <c r="K429" s="95"/>
      <c r="L429" s="96"/>
      <c r="M429" s="96"/>
      <c r="N429" s="95"/>
      <c r="O429" s="95"/>
      <c r="P429" s="95"/>
      <c r="Q429" s="95"/>
      <c r="R429" s="60"/>
      <c r="S429" s="60"/>
      <c r="T429" s="60"/>
      <c r="U429" s="60"/>
      <c r="V429" s="60"/>
      <c r="W429" s="60"/>
      <c r="X429" s="60"/>
      <c r="Y429" s="60"/>
      <c r="Z429" s="60"/>
      <c r="AA429" s="60"/>
      <c r="AB429" s="60"/>
      <c r="AC429" s="60"/>
      <c r="AD429" s="60"/>
      <c r="AE429" s="60"/>
      <c r="AF429" s="60"/>
      <c r="AG429" s="60"/>
      <c r="AH429" s="60"/>
      <c r="AI429" s="60"/>
      <c r="AJ429" s="60"/>
    </row>
    <row r="430">
      <c r="A430" s="185"/>
      <c r="B430" s="67"/>
      <c r="C430" s="186"/>
      <c r="D430" s="186"/>
      <c r="E430" s="67"/>
      <c r="F430" s="186"/>
      <c r="G430" s="187"/>
      <c r="H430" s="43"/>
      <c r="I430" s="98"/>
      <c r="J430" s="99"/>
      <c r="K430" s="98"/>
      <c r="L430" s="99"/>
      <c r="M430" s="99"/>
      <c r="N430" s="98"/>
      <c r="O430" s="98"/>
      <c r="P430" s="98"/>
      <c r="Q430" s="98"/>
      <c r="R430" s="43"/>
      <c r="S430" s="43"/>
      <c r="T430" s="43"/>
      <c r="U430" s="43"/>
      <c r="V430" s="43"/>
      <c r="W430" s="43"/>
      <c r="X430" s="43"/>
      <c r="Y430" s="43"/>
      <c r="Z430" s="43"/>
      <c r="AA430" s="43"/>
      <c r="AB430" s="43"/>
      <c r="AC430" s="43"/>
      <c r="AD430" s="43"/>
      <c r="AE430" s="43"/>
      <c r="AF430" s="43"/>
      <c r="AG430" s="43"/>
      <c r="AH430" s="43"/>
      <c r="AI430" s="43"/>
      <c r="AJ430" s="43"/>
    </row>
    <row r="431">
      <c r="A431" s="188"/>
      <c r="B431" s="90"/>
      <c r="C431" s="189"/>
      <c r="D431" s="189"/>
      <c r="E431" s="90"/>
      <c r="F431" s="189"/>
      <c r="G431" s="190"/>
      <c r="H431" s="60"/>
      <c r="I431" s="95"/>
      <c r="J431" s="96"/>
      <c r="K431" s="95"/>
      <c r="L431" s="96"/>
      <c r="M431" s="96"/>
      <c r="N431" s="95"/>
      <c r="O431" s="95"/>
      <c r="P431" s="95"/>
      <c r="Q431" s="95"/>
      <c r="R431" s="60"/>
      <c r="S431" s="60"/>
      <c r="T431" s="60"/>
      <c r="U431" s="60"/>
      <c r="V431" s="60"/>
      <c r="W431" s="60"/>
      <c r="X431" s="60"/>
      <c r="Y431" s="60"/>
      <c r="Z431" s="60"/>
      <c r="AA431" s="60"/>
      <c r="AB431" s="60"/>
      <c r="AC431" s="60"/>
      <c r="AD431" s="60"/>
      <c r="AE431" s="60"/>
      <c r="AF431" s="60"/>
      <c r="AG431" s="60"/>
      <c r="AH431" s="60"/>
      <c r="AI431" s="60"/>
      <c r="AJ431" s="60"/>
    </row>
    <row r="432">
      <c r="A432" s="185"/>
      <c r="B432" s="67"/>
      <c r="C432" s="186"/>
      <c r="D432" s="186"/>
      <c r="E432" s="67"/>
      <c r="F432" s="186"/>
      <c r="G432" s="187"/>
      <c r="H432" s="43"/>
      <c r="I432" s="98"/>
      <c r="J432" s="99"/>
      <c r="K432" s="98"/>
      <c r="L432" s="99"/>
      <c r="M432" s="99"/>
      <c r="N432" s="98"/>
      <c r="O432" s="98"/>
      <c r="P432" s="98"/>
      <c r="Q432" s="98"/>
      <c r="R432" s="43"/>
      <c r="S432" s="43"/>
      <c r="T432" s="43"/>
      <c r="U432" s="43"/>
      <c r="V432" s="43"/>
      <c r="W432" s="43"/>
      <c r="X432" s="43"/>
      <c r="Y432" s="43"/>
      <c r="Z432" s="43"/>
      <c r="AA432" s="43"/>
      <c r="AB432" s="43"/>
      <c r="AC432" s="43"/>
      <c r="AD432" s="43"/>
      <c r="AE432" s="43"/>
      <c r="AF432" s="43"/>
      <c r="AG432" s="43"/>
      <c r="AH432" s="43"/>
      <c r="AI432" s="43"/>
      <c r="AJ432" s="43"/>
    </row>
    <row r="433">
      <c r="A433" s="188"/>
      <c r="B433" s="90"/>
      <c r="C433" s="189"/>
      <c r="D433" s="189"/>
      <c r="E433" s="90"/>
      <c r="F433" s="189"/>
      <c r="G433" s="190"/>
      <c r="H433" s="60"/>
      <c r="I433" s="95"/>
      <c r="J433" s="96"/>
      <c r="K433" s="95"/>
      <c r="L433" s="96"/>
      <c r="M433" s="96"/>
      <c r="N433" s="95"/>
      <c r="O433" s="95"/>
      <c r="P433" s="95"/>
      <c r="Q433" s="95"/>
      <c r="R433" s="60"/>
      <c r="S433" s="60"/>
      <c r="T433" s="60"/>
      <c r="U433" s="60"/>
      <c r="V433" s="60"/>
      <c r="W433" s="60"/>
      <c r="X433" s="60"/>
      <c r="Y433" s="60"/>
      <c r="Z433" s="60"/>
      <c r="AA433" s="60"/>
      <c r="AB433" s="60"/>
      <c r="AC433" s="60"/>
      <c r="AD433" s="60"/>
      <c r="AE433" s="60"/>
      <c r="AF433" s="60"/>
      <c r="AG433" s="60"/>
      <c r="AH433" s="60"/>
      <c r="AI433" s="60"/>
      <c r="AJ433" s="60"/>
    </row>
    <row r="434">
      <c r="A434" s="185"/>
      <c r="B434" s="67"/>
      <c r="C434" s="186"/>
      <c r="D434" s="186"/>
      <c r="E434" s="67"/>
      <c r="F434" s="186"/>
      <c r="G434" s="187"/>
      <c r="H434" s="43"/>
      <c r="I434" s="98"/>
      <c r="J434" s="99"/>
      <c r="K434" s="98"/>
      <c r="L434" s="99"/>
      <c r="M434" s="99"/>
      <c r="N434" s="98"/>
      <c r="O434" s="98"/>
      <c r="P434" s="98"/>
      <c r="Q434" s="98"/>
      <c r="R434" s="43"/>
      <c r="S434" s="43"/>
      <c r="T434" s="43"/>
      <c r="U434" s="43"/>
      <c r="V434" s="43"/>
      <c r="W434" s="43"/>
      <c r="X434" s="43"/>
      <c r="Y434" s="43"/>
      <c r="Z434" s="43"/>
      <c r="AA434" s="43"/>
      <c r="AB434" s="43"/>
      <c r="AC434" s="43"/>
      <c r="AD434" s="43"/>
      <c r="AE434" s="43"/>
      <c r="AF434" s="43"/>
      <c r="AG434" s="43"/>
      <c r="AH434" s="43"/>
      <c r="AI434" s="43"/>
      <c r="AJ434" s="43"/>
    </row>
    <row r="435">
      <c r="A435" s="188"/>
      <c r="B435" s="90"/>
      <c r="C435" s="189"/>
      <c r="D435" s="189"/>
      <c r="E435" s="90"/>
      <c r="F435" s="189"/>
      <c r="G435" s="190"/>
      <c r="H435" s="60"/>
      <c r="I435" s="95"/>
      <c r="J435" s="96"/>
      <c r="K435" s="95"/>
      <c r="L435" s="96"/>
      <c r="M435" s="96"/>
      <c r="N435" s="95"/>
      <c r="O435" s="95"/>
      <c r="P435" s="95"/>
      <c r="Q435" s="95"/>
      <c r="R435" s="60"/>
      <c r="S435" s="60"/>
      <c r="T435" s="60"/>
      <c r="U435" s="60"/>
      <c r="V435" s="60"/>
      <c r="W435" s="60"/>
      <c r="X435" s="60"/>
      <c r="Y435" s="60"/>
      <c r="Z435" s="60"/>
      <c r="AA435" s="60"/>
      <c r="AB435" s="60"/>
      <c r="AC435" s="60"/>
      <c r="AD435" s="60"/>
      <c r="AE435" s="60"/>
      <c r="AF435" s="60"/>
      <c r="AG435" s="60"/>
      <c r="AH435" s="60"/>
      <c r="AI435" s="60"/>
      <c r="AJ435" s="60"/>
    </row>
    <row r="436">
      <c r="A436" s="185"/>
      <c r="B436" s="67"/>
      <c r="C436" s="186"/>
      <c r="D436" s="186"/>
      <c r="E436" s="67"/>
      <c r="F436" s="186"/>
      <c r="G436" s="187"/>
      <c r="H436" s="43"/>
      <c r="I436" s="98"/>
      <c r="J436" s="99"/>
      <c r="K436" s="98"/>
      <c r="L436" s="99"/>
      <c r="M436" s="99"/>
      <c r="N436" s="98"/>
      <c r="O436" s="98"/>
      <c r="P436" s="98"/>
      <c r="Q436" s="98"/>
      <c r="R436" s="43"/>
      <c r="S436" s="43"/>
      <c r="T436" s="43"/>
      <c r="U436" s="43"/>
      <c r="V436" s="43"/>
      <c r="W436" s="43"/>
      <c r="X436" s="43"/>
      <c r="Y436" s="43"/>
      <c r="Z436" s="43"/>
      <c r="AA436" s="43"/>
      <c r="AB436" s="43"/>
      <c r="AC436" s="43"/>
      <c r="AD436" s="43"/>
      <c r="AE436" s="43"/>
      <c r="AF436" s="43"/>
      <c r="AG436" s="43"/>
      <c r="AH436" s="43"/>
      <c r="AI436" s="43"/>
      <c r="AJ436" s="43"/>
    </row>
    <row r="437">
      <c r="A437" s="188"/>
      <c r="B437" s="90"/>
      <c r="C437" s="189"/>
      <c r="D437" s="189"/>
      <c r="E437" s="90"/>
      <c r="F437" s="189"/>
      <c r="G437" s="190"/>
      <c r="H437" s="60"/>
      <c r="I437" s="95"/>
      <c r="J437" s="96"/>
      <c r="K437" s="95"/>
      <c r="L437" s="96"/>
      <c r="M437" s="96"/>
      <c r="N437" s="95"/>
      <c r="O437" s="95"/>
      <c r="P437" s="95"/>
      <c r="Q437" s="95"/>
      <c r="R437" s="60"/>
      <c r="S437" s="60"/>
      <c r="T437" s="60"/>
      <c r="U437" s="60"/>
      <c r="V437" s="60"/>
      <c r="W437" s="60"/>
      <c r="X437" s="60"/>
      <c r="Y437" s="60"/>
      <c r="Z437" s="60"/>
      <c r="AA437" s="60"/>
      <c r="AB437" s="60"/>
      <c r="AC437" s="60"/>
      <c r="AD437" s="60"/>
      <c r="AE437" s="60"/>
      <c r="AF437" s="60"/>
      <c r="AG437" s="60"/>
      <c r="AH437" s="60"/>
      <c r="AI437" s="60"/>
      <c r="AJ437" s="60"/>
    </row>
    <row r="438">
      <c r="A438" s="185"/>
      <c r="B438" s="67"/>
      <c r="C438" s="186"/>
      <c r="D438" s="186"/>
      <c r="E438" s="67"/>
      <c r="F438" s="186"/>
      <c r="G438" s="187"/>
      <c r="H438" s="43"/>
      <c r="I438" s="98"/>
      <c r="J438" s="99"/>
      <c r="K438" s="98"/>
      <c r="L438" s="99"/>
      <c r="M438" s="99"/>
      <c r="N438" s="98"/>
      <c r="O438" s="98"/>
      <c r="P438" s="98"/>
      <c r="Q438" s="98"/>
      <c r="R438" s="43"/>
      <c r="S438" s="43"/>
      <c r="T438" s="43"/>
      <c r="U438" s="43"/>
      <c r="V438" s="43"/>
      <c r="W438" s="43"/>
      <c r="X438" s="43"/>
      <c r="Y438" s="43"/>
      <c r="Z438" s="43"/>
      <c r="AA438" s="43"/>
      <c r="AB438" s="43"/>
      <c r="AC438" s="43"/>
      <c r="AD438" s="43"/>
      <c r="AE438" s="43"/>
      <c r="AF438" s="43"/>
      <c r="AG438" s="43"/>
      <c r="AH438" s="43"/>
      <c r="AI438" s="43"/>
      <c r="AJ438" s="43"/>
    </row>
    <row r="439">
      <c r="A439" s="188"/>
      <c r="B439" s="90"/>
      <c r="C439" s="189"/>
      <c r="D439" s="189"/>
      <c r="E439" s="90"/>
      <c r="F439" s="189"/>
      <c r="G439" s="190"/>
      <c r="H439" s="60"/>
      <c r="I439" s="95"/>
      <c r="J439" s="96"/>
      <c r="K439" s="95"/>
      <c r="L439" s="96"/>
      <c r="M439" s="96"/>
      <c r="N439" s="95"/>
      <c r="O439" s="95"/>
      <c r="P439" s="95"/>
      <c r="Q439" s="95"/>
      <c r="R439" s="60"/>
      <c r="S439" s="60"/>
      <c r="T439" s="60"/>
      <c r="U439" s="60"/>
      <c r="V439" s="60"/>
      <c r="W439" s="60"/>
      <c r="X439" s="60"/>
      <c r="Y439" s="60"/>
      <c r="Z439" s="60"/>
      <c r="AA439" s="60"/>
      <c r="AB439" s="60"/>
      <c r="AC439" s="60"/>
      <c r="AD439" s="60"/>
      <c r="AE439" s="60"/>
      <c r="AF439" s="60"/>
      <c r="AG439" s="60"/>
      <c r="AH439" s="60"/>
      <c r="AI439" s="60"/>
      <c r="AJ439" s="60"/>
    </row>
    <row r="440">
      <c r="A440" s="185"/>
      <c r="B440" s="67"/>
      <c r="C440" s="186"/>
      <c r="D440" s="186"/>
      <c r="E440" s="67"/>
      <c r="F440" s="186"/>
      <c r="G440" s="187"/>
      <c r="H440" s="43"/>
      <c r="I440" s="98"/>
      <c r="J440" s="99"/>
      <c r="K440" s="98"/>
      <c r="L440" s="99"/>
      <c r="M440" s="99"/>
      <c r="N440" s="98"/>
      <c r="O440" s="98"/>
      <c r="P440" s="98"/>
      <c r="Q440" s="98"/>
      <c r="R440" s="43"/>
      <c r="S440" s="43"/>
      <c r="T440" s="43"/>
      <c r="U440" s="43"/>
      <c r="V440" s="43"/>
      <c r="W440" s="43"/>
      <c r="X440" s="43"/>
      <c r="Y440" s="43"/>
      <c r="Z440" s="43"/>
      <c r="AA440" s="43"/>
      <c r="AB440" s="43"/>
      <c r="AC440" s="43"/>
      <c r="AD440" s="43"/>
      <c r="AE440" s="43"/>
      <c r="AF440" s="43"/>
      <c r="AG440" s="43"/>
      <c r="AH440" s="43"/>
      <c r="AI440" s="43"/>
      <c r="AJ440" s="43"/>
    </row>
    <row r="441">
      <c r="A441" s="188"/>
      <c r="B441" s="90"/>
      <c r="C441" s="189"/>
      <c r="D441" s="189"/>
      <c r="E441" s="90"/>
      <c r="F441" s="189"/>
      <c r="G441" s="190"/>
      <c r="H441" s="60"/>
      <c r="I441" s="95"/>
      <c r="J441" s="96"/>
      <c r="K441" s="95"/>
      <c r="L441" s="96"/>
      <c r="M441" s="96"/>
      <c r="N441" s="95"/>
      <c r="O441" s="95"/>
      <c r="P441" s="95"/>
      <c r="Q441" s="95"/>
      <c r="R441" s="60"/>
      <c r="S441" s="60"/>
      <c r="T441" s="60"/>
      <c r="U441" s="60"/>
      <c r="V441" s="60"/>
      <c r="W441" s="60"/>
      <c r="X441" s="60"/>
      <c r="Y441" s="60"/>
      <c r="Z441" s="60"/>
      <c r="AA441" s="60"/>
      <c r="AB441" s="60"/>
      <c r="AC441" s="60"/>
      <c r="AD441" s="60"/>
      <c r="AE441" s="60"/>
      <c r="AF441" s="60"/>
      <c r="AG441" s="60"/>
      <c r="AH441" s="60"/>
      <c r="AI441" s="60"/>
      <c r="AJ441" s="60"/>
    </row>
    <row r="442">
      <c r="A442" s="185"/>
      <c r="B442" s="67"/>
      <c r="C442" s="186"/>
      <c r="D442" s="186"/>
      <c r="E442" s="67"/>
      <c r="F442" s="186"/>
      <c r="G442" s="187"/>
      <c r="H442" s="43"/>
      <c r="I442" s="98"/>
      <c r="J442" s="99"/>
      <c r="K442" s="98"/>
      <c r="L442" s="99"/>
      <c r="M442" s="99"/>
      <c r="N442" s="98"/>
      <c r="O442" s="98"/>
      <c r="P442" s="98"/>
      <c r="Q442" s="98"/>
      <c r="R442" s="43"/>
      <c r="S442" s="43"/>
      <c r="T442" s="43"/>
      <c r="U442" s="43"/>
      <c r="V442" s="43"/>
      <c r="W442" s="43"/>
      <c r="X442" s="43"/>
      <c r="Y442" s="43"/>
      <c r="Z442" s="43"/>
      <c r="AA442" s="43"/>
      <c r="AB442" s="43"/>
      <c r="AC442" s="43"/>
      <c r="AD442" s="43"/>
      <c r="AE442" s="43"/>
      <c r="AF442" s="43"/>
      <c r="AG442" s="43"/>
      <c r="AH442" s="43"/>
      <c r="AI442" s="43"/>
      <c r="AJ442" s="43"/>
    </row>
    <row r="443">
      <c r="A443" s="188"/>
      <c r="B443" s="90"/>
      <c r="C443" s="189"/>
      <c r="D443" s="189"/>
      <c r="E443" s="90"/>
      <c r="F443" s="189"/>
      <c r="G443" s="190"/>
      <c r="H443" s="60"/>
      <c r="I443" s="95"/>
      <c r="J443" s="96"/>
      <c r="K443" s="95"/>
      <c r="L443" s="96"/>
      <c r="M443" s="96"/>
      <c r="N443" s="95"/>
      <c r="O443" s="95"/>
      <c r="P443" s="95"/>
      <c r="Q443" s="95"/>
      <c r="R443" s="60"/>
      <c r="S443" s="60"/>
      <c r="T443" s="60"/>
      <c r="U443" s="60"/>
      <c r="V443" s="60"/>
      <c r="W443" s="60"/>
      <c r="X443" s="60"/>
      <c r="Y443" s="60"/>
      <c r="Z443" s="60"/>
      <c r="AA443" s="60"/>
      <c r="AB443" s="60"/>
      <c r="AC443" s="60"/>
      <c r="AD443" s="60"/>
      <c r="AE443" s="60"/>
      <c r="AF443" s="60"/>
      <c r="AG443" s="60"/>
      <c r="AH443" s="60"/>
      <c r="AI443" s="60"/>
      <c r="AJ443" s="60"/>
    </row>
    <row r="444">
      <c r="A444" s="185"/>
      <c r="B444" s="67"/>
      <c r="C444" s="186"/>
      <c r="D444" s="186"/>
      <c r="E444" s="67"/>
      <c r="F444" s="186"/>
      <c r="G444" s="187"/>
      <c r="H444" s="43"/>
      <c r="I444" s="98"/>
      <c r="J444" s="99"/>
      <c r="K444" s="98"/>
      <c r="L444" s="99"/>
      <c r="M444" s="99"/>
      <c r="N444" s="98"/>
      <c r="O444" s="98"/>
      <c r="P444" s="98"/>
      <c r="Q444" s="98"/>
      <c r="R444" s="43"/>
      <c r="S444" s="43"/>
      <c r="T444" s="43"/>
      <c r="U444" s="43"/>
      <c r="V444" s="43"/>
      <c r="W444" s="43"/>
      <c r="X444" s="43"/>
      <c r="Y444" s="43"/>
      <c r="Z444" s="43"/>
      <c r="AA444" s="43"/>
      <c r="AB444" s="43"/>
      <c r="AC444" s="43"/>
      <c r="AD444" s="43"/>
      <c r="AE444" s="43"/>
      <c r="AF444" s="43"/>
      <c r="AG444" s="43"/>
      <c r="AH444" s="43"/>
      <c r="AI444" s="43"/>
      <c r="AJ444" s="43"/>
    </row>
    <row r="445">
      <c r="A445" s="188"/>
      <c r="B445" s="90"/>
      <c r="C445" s="189"/>
      <c r="D445" s="189"/>
      <c r="E445" s="90"/>
      <c r="F445" s="189"/>
      <c r="G445" s="190"/>
      <c r="H445" s="60"/>
      <c r="I445" s="95"/>
      <c r="J445" s="96"/>
      <c r="K445" s="95"/>
      <c r="L445" s="96"/>
      <c r="M445" s="96"/>
      <c r="N445" s="95"/>
      <c r="O445" s="95"/>
      <c r="P445" s="95"/>
      <c r="Q445" s="95"/>
      <c r="R445" s="60"/>
      <c r="S445" s="60"/>
      <c r="T445" s="60"/>
      <c r="U445" s="60"/>
      <c r="V445" s="60"/>
      <c r="W445" s="60"/>
      <c r="X445" s="60"/>
      <c r="Y445" s="60"/>
      <c r="Z445" s="60"/>
      <c r="AA445" s="60"/>
      <c r="AB445" s="60"/>
      <c r="AC445" s="60"/>
      <c r="AD445" s="60"/>
      <c r="AE445" s="60"/>
      <c r="AF445" s="60"/>
      <c r="AG445" s="60"/>
      <c r="AH445" s="60"/>
      <c r="AI445" s="60"/>
      <c r="AJ445" s="60"/>
    </row>
    <row r="446">
      <c r="A446" s="185"/>
      <c r="B446" s="67"/>
      <c r="C446" s="186"/>
      <c r="D446" s="186"/>
      <c r="E446" s="67"/>
      <c r="F446" s="186"/>
      <c r="G446" s="187"/>
      <c r="H446" s="43"/>
      <c r="I446" s="98"/>
      <c r="J446" s="99"/>
      <c r="K446" s="98"/>
      <c r="L446" s="99"/>
      <c r="M446" s="99"/>
      <c r="N446" s="98"/>
      <c r="O446" s="98"/>
      <c r="P446" s="98"/>
      <c r="Q446" s="98"/>
      <c r="R446" s="43"/>
      <c r="S446" s="43"/>
      <c r="T446" s="43"/>
      <c r="U446" s="43"/>
      <c r="V446" s="43"/>
      <c r="W446" s="43"/>
      <c r="X446" s="43"/>
      <c r="Y446" s="43"/>
      <c r="Z446" s="43"/>
      <c r="AA446" s="43"/>
      <c r="AB446" s="43"/>
      <c r="AC446" s="43"/>
      <c r="AD446" s="43"/>
      <c r="AE446" s="43"/>
      <c r="AF446" s="43"/>
      <c r="AG446" s="43"/>
      <c r="AH446" s="43"/>
      <c r="AI446" s="43"/>
      <c r="AJ446" s="43"/>
    </row>
    <row r="447">
      <c r="A447" s="188"/>
      <c r="B447" s="90"/>
      <c r="C447" s="189"/>
      <c r="D447" s="189"/>
      <c r="E447" s="90"/>
      <c r="F447" s="189"/>
      <c r="G447" s="190"/>
      <c r="H447" s="60"/>
      <c r="I447" s="95"/>
      <c r="J447" s="96"/>
      <c r="K447" s="95"/>
      <c r="L447" s="96"/>
      <c r="M447" s="96"/>
      <c r="N447" s="95"/>
      <c r="O447" s="95"/>
      <c r="P447" s="95"/>
      <c r="Q447" s="95"/>
      <c r="R447" s="60"/>
      <c r="S447" s="60"/>
      <c r="T447" s="60"/>
      <c r="U447" s="60"/>
      <c r="V447" s="60"/>
      <c r="W447" s="60"/>
      <c r="X447" s="60"/>
      <c r="Y447" s="60"/>
      <c r="Z447" s="60"/>
      <c r="AA447" s="60"/>
      <c r="AB447" s="60"/>
      <c r="AC447" s="60"/>
      <c r="AD447" s="60"/>
      <c r="AE447" s="60"/>
      <c r="AF447" s="60"/>
      <c r="AG447" s="60"/>
      <c r="AH447" s="60"/>
      <c r="AI447" s="60"/>
      <c r="AJ447" s="60"/>
    </row>
    <row r="448">
      <c r="A448" s="185"/>
      <c r="B448" s="67"/>
      <c r="C448" s="186"/>
      <c r="D448" s="186"/>
      <c r="E448" s="67"/>
      <c r="F448" s="186"/>
      <c r="G448" s="187"/>
      <c r="H448" s="43"/>
      <c r="I448" s="98"/>
      <c r="J448" s="99"/>
      <c r="K448" s="98"/>
      <c r="L448" s="99"/>
      <c r="M448" s="99"/>
      <c r="N448" s="98"/>
      <c r="O448" s="98"/>
      <c r="P448" s="98"/>
      <c r="Q448" s="98"/>
      <c r="R448" s="43"/>
      <c r="S448" s="43"/>
      <c r="T448" s="43"/>
      <c r="U448" s="43"/>
      <c r="V448" s="43"/>
      <c r="W448" s="43"/>
      <c r="X448" s="43"/>
      <c r="Y448" s="43"/>
      <c r="Z448" s="43"/>
      <c r="AA448" s="43"/>
      <c r="AB448" s="43"/>
      <c r="AC448" s="43"/>
      <c r="AD448" s="43"/>
      <c r="AE448" s="43"/>
      <c r="AF448" s="43"/>
      <c r="AG448" s="43"/>
      <c r="AH448" s="43"/>
      <c r="AI448" s="43"/>
      <c r="AJ448" s="43"/>
    </row>
    <row r="449">
      <c r="A449" s="188"/>
      <c r="B449" s="90"/>
      <c r="C449" s="189"/>
      <c r="D449" s="189"/>
      <c r="E449" s="90"/>
      <c r="F449" s="189"/>
      <c r="G449" s="190"/>
      <c r="H449" s="60"/>
      <c r="I449" s="95"/>
      <c r="J449" s="96"/>
      <c r="K449" s="95"/>
      <c r="L449" s="96"/>
      <c r="M449" s="96"/>
      <c r="N449" s="95"/>
      <c r="O449" s="95"/>
      <c r="P449" s="95"/>
      <c r="Q449" s="95"/>
      <c r="R449" s="60"/>
      <c r="S449" s="60"/>
      <c r="T449" s="60"/>
      <c r="U449" s="60"/>
      <c r="V449" s="60"/>
      <c r="W449" s="60"/>
      <c r="X449" s="60"/>
      <c r="Y449" s="60"/>
      <c r="Z449" s="60"/>
      <c r="AA449" s="60"/>
      <c r="AB449" s="60"/>
      <c r="AC449" s="60"/>
      <c r="AD449" s="60"/>
      <c r="AE449" s="60"/>
      <c r="AF449" s="60"/>
      <c r="AG449" s="60"/>
      <c r="AH449" s="60"/>
      <c r="AI449" s="60"/>
      <c r="AJ449" s="60"/>
    </row>
    <row r="450">
      <c r="A450" s="185"/>
      <c r="B450" s="67"/>
      <c r="C450" s="186"/>
      <c r="D450" s="186"/>
      <c r="E450" s="67"/>
      <c r="F450" s="186"/>
      <c r="G450" s="187"/>
      <c r="H450" s="43"/>
      <c r="I450" s="98"/>
      <c r="J450" s="99"/>
      <c r="K450" s="98"/>
      <c r="L450" s="99"/>
      <c r="M450" s="99"/>
      <c r="N450" s="98"/>
      <c r="O450" s="98"/>
      <c r="P450" s="98"/>
      <c r="Q450" s="98"/>
      <c r="R450" s="43"/>
      <c r="S450" s="43"/>
      <c r="T450" s="43"/>
      <c r="U450" s="43"/>
      <c r="V450" s="43"/>
      <c r="W450" s="43"/>
      <c r="X450" s="43"/>
      <c r="Y450" s="43"/>
      <c r="Z450" s="43"/>
      <c r="AA450" s="43"/>
      <c r="AB450" s="43"/>
      <c r="AC450" s="43"/>
      <c r="AD450" s="43"/>
      <c r="AE450" s="43"/>
      <c r="AF450" s="43"/>
      <c r="AG450" s="43"/>
      <c r="AH450" s="43"/>
      <c r="AI450" s="43"/>
      <c r="AJ450" s="43"/>
    </row>
    <row r="451">
      <c r="A451" s="188"/>
      <c r="B451" s="90"/>
      <c r="C451" s="189"/>
      <c r="D451" s="189"/>
      <c r="E451" s="90"/>
      <c r="F451" s="189"/>
      <c r="G451" s="190"/>
      <c r="H451" s="60"/>
      <c r="I451" s="95"/>
      <c r="J451" s="96"/>
      <c r="K451" s="95"/>
      <c r="L451" s="96"/>
      <c r="M451" s="96"/>
      <c r="N451" s="95"/>
      <c r="O451" s="95"/>
      <c r="P451" s="95"/>
      <c r="Q451" s="95"/>
      <c r="R451" s="60"/>
      <c r="S451" s="60"/>
      <c r="T451" s="60"/>
      <c r="U451" s="60"/>
      <c r="V451" s="60"/>
      <c r="W451" s="60"/>
      <c r="X451" s="60"/>
      <c r="Y451" s="60"/>
      <c r="Z451" s="60"/>
      <c r="AA451" s="60"/>
      <c r="AB451" s="60"/>
      <c r="AC451" s="60"/>
      <c r="AD451" s="60"/>
      <c r="AE451" s="60"/>
      <c r="AF451" s="60"/>
      <c r="AG451" s="60"/>
      <c r="AH451" s="60"/>
      <c r="AI451" s="60"/>
      <c r="AJ451" s="60"/>
    </row>
    <row r="452">
      <c r="A452" s="185"/>
      <c r="B452" s="67"/>
      <c r="C452" s="186"/>
      <c r="D452" s="186"/>
      <c r="E452" s="67"/>
      <c r="F452" s="186"/>
      <c r="G452" s="187"/>
      <c r="H452" s="43"/>
      <c r="I452" s="98"/>
      <c r="J452" s="99"/>
      <c r="K452" s="98"/>
      <c r="L452" s="99"/>
      <c r="M452" s="99"/>
      <c r="N452" s="98"/>
      <c r="O452" s="98"/>
      <c r="P452" s="98"/>
      <c r="Q452" s="98"/>
      <c r="R452" s="43"/>
      <c r="S452" s="43"/>
      <c r="T452" s="43"/>
      <c r="U452" s="43"/>
      <c r="V452" s="43"/>
      <c r="W452" s="43"/>
      <c r="X452" s="43"/>
      <c r="Y452" s="43"/>
      <c r="Z452" s="43"/>
      <c r="AA452" s="43"/>
      <c r="AB452" s="43"/>
      <c r="AC452" s="43"/>
      <c r="AD452" s="43"/>
      <c r="AE452" s="43"/>
      <c r="AF452" s="43"/>
      <c r="AG452" s="43"/>
      <c r="AH452" s="43"/>
      <c r="AI452" s="43"/>
      <c r="AJ452" s="43"/>
    </row>
    <row r="453">
      <c r="A453" s="188"/>
      <c r="B453" s="90"/>
      <c r="C453" s="189"/>
      <c r="D453" s="189"/>
      <c r="E453" s="90"/>
      <c r="F453" s="189"/>
      <c r="G453" s="190"/>
      <c r="H453" s="60"/>
      <c r="I453" s="95"/>
      <c r="J453" s="96"/>
      <c r="K453" s="95"/>
      <c r="L453" s="96"/>
      <c r="M453" s="96"/>
      <c r="N453" s="95"/>
      <c r="O453" s="95"/>
      <c r="P453" s="95"/>
      <c r="Q453" s="95"/>
      <c r="R453" s="60"/>
      <c r="S453" s="60"/>
      <c r="T453" s="60"/>
      <c r="U453" s="60"/>
      <c r="V453" s="60"/>
      <c r="W453" s="60"/>
      <c r="X453" s="60"/>
      <c r="Y453" s="60"/>
      <c r="Z453" s="60"/>
      <c r="AA453" s="60"/>
      <c r="AB453" s="60"/>
      <c r="AC453" s="60"/>
      <c r="AD453" s="60"/>
      <c r="AE453" s="60"/>
      <c r="AF453" s="60"/>
      <c r="AG453" s="60"/>
      <c r="AH453" s="60"/>
      <c r="AI453" s="60"/>
      <c r="AJ453" s="60"/>
    </row>
    <row r="454">
      <c r="A454" s="185"/>
      <c r="B454" s="67"/>
      <c r="C454" s="186"/>
      <c r="D454" s="186"/>
      <c r="E454" s="67"/>
      <c r="F454" s="186"/>
      <c r="G454" s="187"/>
      <c r="H454" s="43"/>
      <c r="I454" s="98"/>
      <c r="J454" s="99"/>
      <c r="K454" s="98"/>
      <c r="L454" s="99"/>
      <c r="M454" s="99"/>
      <c r="N454" s="98"/>
      <c r="O454" s="98"/>
      <c r="P454" s="98"/>
      <c r="Q454" s="98"/>
      <c r="R454" s="43"/>
      <c r="S454" s="43"/>
      <c r="T454" s="43"/>
      <c r="U454" s="43"/>
      <c r="V454" s="43"/>
      <c r="W454" s="43"/>
      <c r="X454" s="43"/>
      <c r="Y454" s="43"/>
      <c r="Z454" s="43"/>
      <c r="AA454" s="43"/>
      <c r="AB454" s="43"/>
      <c r="AC454" s="43"/>
      <c r="AD454" s="43"/>
      <c r="AE454" s="43"/>
      <c r="AF454" s="43"/>
      <c r="AG454" s="43"/>
      <c r="AH454" s="43"/>
      <c r="AI454" s="43"/>
      <c r="AJ454" s="43"/>
    </row>
    <row r="455">
      <c r="A455" s="188"/>
      <c r="B455" s="90"/>
      <c r="C455" s="189"/>
      <c r="D455" s="189"/>
      <c r="E455" s="90"/>
      <c r="F455" s="189"/>
      <c r="G455" s="190"/>
      <c r="H455" s="60"/>
      <c r="I455" s="95"/>
      <c r="J455" s="96"/>
      <c r="K455" s="95"/>
      <c r="L455" s="96"/>
      <c r="M455" s="96"/>
      <c r="N455" s="95"/>
      <c r="O455" s="95"/>
      <c r="P455" s="95"/>
      <c r="Q455" s="95"/>
      <c r="R455" s="60"/>
      <c r="S455" s="60"/>
      <c r="T455" s="60"/>
      <c r="U455" s="60"/>
      <c r="V455" s="60"/>
      <c r="W455" s="60"/>
      <c r="X455" s="60"/>
      <c r="Y455" s="60"/>
      <c r="Z455" s="60"/>
      <c r="AA455" s="60"/>
      <c r="AB455" s="60"/>
      <c r="AC455" s="60"/>
      <c r="AD455" s="60"/>
      <c r="AE455" s="60"/>
      <c r="AF455" s="60"/>
      <c r="AG455" s="60"/>
      <c r="AH455" s="60"/>
      <c r="AI455" s="60"/>
      <c r="AJ455" s="60"/>
    </row>
    <row r="456">
      <c r="A456" s="185"/>
      <c r="B456" s="67"/>
      <c r="C456" s="186"/>
      <c r="D456" s="186"/>
      <c r="E456" s="67"/>
      <c r="F456" s="186"/>
      <c r="G456" s="187"/>
      <c r="H456" s="43"/>
      <c r="I456" s="98"/>
      <c r="J456" s="99"/>
      <c r="K456" s="98"/>
      <c r="L456" s="99"/>
      <c r="M456" s="99"/>
      <c r="N456" s="98"/>
      <c r="O456" s="98"/>
      <c r="P456" s="98"/>
      <c r="Q456" s="98"/>
      <c r="R456" s="43"/>
      <c r="S456" s="43"/>
      <c r="T456" s="43"/>
      <c r="U456" s="43"/>
      <c r="V456" s="43"/>
      <c r="W456" s="43"/>
      <c r="X456" s="43"/>
      <c r="Y456" s="43"/>
      <c r="Z456" s="43"/>
      <c r="AA456" s="43"/>
      <c r="AB456" s="43"/>
      <c r="AC456" s="43"/>
      <c r="AD456" s="43"/>
      <c r="AE456" s="43"/>
      <c r="AF456" s="43"/>
      <c r="AG456" s="43"/>
      <c r="AH456" s="43"/>
      <c r="AI456" s="43"/>
      <c r="AJ456" s="43"/>
    </row>
    <row r="457">
      <c r="A457" s="188"/>
      <c r="B457" s="90"/>
      <c r="C457" s="189"/>
      <c r="D457" s="189"/>
      <c r="E457" s="90"/>
      <c r="F457" s="189"/>
      <c r="G457" s="190"/>
      <c r="H457" s="60"/>
      <c r="I457" s="95"/>
      <c r="J457" s="96"/>
      <c r="K457" s="95"/>
      <c r="L457" s="96"/>
      <c r="M457" s="96"/>
      <c r="N457" s="95"/>
      <c r="O457" s="95"/>
      <c r="P457" s="95"/>
      <c r="Q457" s="95"/>
      <c r="R457" s="60"/>
      <c r="S457" s="60"/>
      <c r="T457" s="60"/>
      <c r="U457" s="60"/>
      <c r="V457" s="60"/>
      <c r="W457" s="60"/>
      <c r="X457" s="60"/>
      <c r="Y457" s="60"/>
      <c r="Z457" s="60"/>
      <c r="AA457" s="60"/>
      <c r="AB457" s="60"/>
      <c r="AC457" s="60"/>
      <c r="AD457" s="60"/>
      <c r="AE457" s="60"/>
      <c r="AF457" s="60"/>
      <c r="AG457" s="60"/>
      <c r="AH457" s="60"/>
      <c r="AI457" s="60"/>
      <c r="AJ457" s="60"/>
    </row>
    <row r="458">
      <c r="A458" s="185"/>
      <c r="B458" s="67"/>
      <c r="C458" s="186"/>
      <c r="D458" s="186"/>
      <c r="E458" s="67"/>
      <c r="F458" s="186"/>
      <c r="G458" s="187"/>
      <c r="H458" s="43"/>
      <c r="I458" s="98"/>
      <c r="J458" s="99"/>
      <c r="K458" s="98"/>
      <c r="L458" s="99"/>
      <c r="M458" s="99"/>
      <c r="N458" s="98"/>
      <c r="O458" s="98"/>
      <c r="P458" s="98"/>
      <c r="Q458" s="98"/>
      <c r="R458" s="43"/>
      <c r="S458" s="43"/>
      <c r="T458" s="43"/>
      <c r="U458" s="43"/>
      <c r="V458" s="43"/>
      <c r="W458" s="43"/>
      <c r="X458" s="43"/>
      <c r="Y458" s="43"/>
      <c r="Z458" s="43"/>
      <c r="AA458" s="43"/>
      <c r="AB458" s="43"/>
      <c r="AC458" s="43"/>
      <c r="AD458" s="43"/>
      <c r="AE458" s="43"/>
      <c r="AF458" s="43"/>
      <c r="AG458" s="43"/>
      <c r="AH458" s="43"/>
      <c r="AI458" s="43"/>
      <c r="AJ458" s="43"/>
    </row>
    <row r="459">
      <c r="A459" s="188"/>
      <c r="B459" s="90"/>
      <c r="C459" s="189"/>
      <c r="D459" s="189"/>
      <c r="E459" s="90"/>
      <c r="F459" s="189"/>
      <c r="G459" s="190"/>
      <c r="H459" s="60"/>
      <c r="I459" s="95"/>
      <c r="J459" s="96"/>
      <c r="K459" s="95"/>
      <c r="L459" s="96"/>
      <c r="M459" s="96"/>
      <c r="N459" s="95"/>
      <c r="O459" s="95"/>
      <c r="P459" s="95"/>
      <c r="Q459" s="95"/>
      <c r="R459" s="60"/>
      <c r="S459" s="60"/>
      <c r="T459" s="60"/>
      <c r="U459" s="60"/>
      <c r="V459" s="60"/>
      <c r="W459" s="60"/>
      <c r="X459" s="60"/>
      <c r="Y459" s="60"/>
      <c r="Z459" s="60"/>
      <c r="AA459" s="60"/>
      <c r="AB459" s="60"/>
      <c r="AC459" s="60"/>
      <c r="AD459" s="60"/>
      <c r="AE459" s="60"/>
      <c r="AF459" s="60"/>
      <c r="AG459" s="60"/>
      <c r="AH459" s="60"/>
      <c r="AI459" s="60"/>
      <c r="AJ459" s="60"/>
    </row>
    <row r="460">
      <c r="A460" s="185"/>
      <c r="B460" s="67"/>
      <c r="C460" s="186"/>
      <c r="D460" s="186"/>
      <c r="E460" s="67"/>
      <c r="F460" s="186"/>
      <c r="G460" s="187"/>
      <c r="H460" s="43"/>
      <c r="I460" s="98"/>
      <c r="J460" s="99"/>
      <c r="K460" s="98"/>
      <c r="L460" s="99"/>
      <c r="M460" s="99"/>
      <c r="N460" s="98"/>
      <c r="O460" s="98"/>
      <c r="P460" s="98"/>
      <c r="Q460" s="98"/>
      <c r="R460" s="43"/>
      <c r="S460" s="43"/>
      <c r="T460" s="43"/>
      <c r="U460" s="43"/>
      <c r="V460" s="43"/>
      <c r="W460" s="43"/>
      <c r="X460" s="43"/>
      <c r="Y460" s="43"/>
      <c r="Z460" s="43"/>
      <c r="AA460" s="43"/>
      <c r="AB460" s="43"/>
      <c r="AC460" s="43"/>
      <c r="AD460" s="43"/>
      <c r="AE460" s="43"/>
      <c r="AF460" s="43"/>
      <c r="AG460" s="43"/>
      <c r="AH460" s="43"/>
      <c r="AI460" s="43"/>
      <c r="AJ460" s="43"/>
    </row>
    <row r="461">
      <c r="A461" s="188"/>
      <c r="B461" s="90"/>
      <c r="C461" s="189"/>
      <c r="D461" s="189"/>
      <c r="E461" s="90"/>
      <c r="F461" s="189"/>
      <c r="G461" s="190"/>
      <c r="H461" s="60"/>
      <c r="I461" s="95"/>
      <c r="J461" s="96"/>
      <c r="K461" s="95"/>
      <c r="L461" s="96"/>
      <c r="M461" s="96"/>
      <c r="N461" s="95"/>
      <c r="O461" s="95"/>
      <c r="P461" s="95"/>
      <c r="Q461" s="95"/>
      <c r="R461" s="60"/>
      <c r="S461" s="60"/>
      <c r="T461" s="60"/>
      <c r="U461" s="60"/>
      <c r="V461" s="60"/>
      <c r="W461" s="60"/>
      <c r="X461" s="60"/>
      <c r="Y461" s="60"/>
      <c r="Z461" s="60"/>
      <c r="AA461" s="60"/>
      <c r="AB461" s="60"/>
      <c r="AC461" s="60"/>
      <c r="AD461" s="60"/>
      <c r="AE461" s="60"/>
      <c r="AF461" s="60"/>
      <c r="AG461" s="60"/>
      <c r="AH461" s="60"/>
      <c r="AI461" s="60"/>
      <c r="AJ461" s="60"/>
    </row>
    <row r="462">
      <c r="A462" s="185"/>
      <c r="B462" s="67"/>
      <c r="C462" s="186"/>
      <c r="D462" s="186"/>
      <c r="E462" s="67"/>
      <c r="F462" s="186"/>
      <c r="G462" s="187"/>
      <c r="H462" s="43"/>
      <c r="I462" s="98"/>
      <c r="J462" s="99"/>
      <c r="K462" s="98"/>
      <c r="L462" s="99"/>
      <c r="M462" s="99"/>
      <c r="N462" s="98"/>
      <c r="O462" s="98"/>
      <c r="P462" s="98"/>
      <c r="Q462" s="98"/>
      <c r="R462" s="43"/>
      <c r="S462" s="43"/>
      <c r="T462" s="43"/>
      <c r="U462" s="43"/>
      <c r="V462" s="43"/>
      <c r="W462" s="43"/>
      <c r="X462" s="43"/>
      <c r="Y462" s="43"/>
      <c r="Z462" s="43"/>
      <c r="AA462" s="43"/>
      <c r="AB462" s="43"/>
      <c r="AC462" s="43"/>
      <c r="AD462" s="43"/>
      <c r="AE462" s="43"/>
      <c r="AF462" s="43"/>
      <c r="AG462" s="43"/>
      <c r="AH462" s="43"/>
      <c r="AI462" s="43"/>
      <c r="AJ462" s="43"/>
    </row>
    <row r="463">
      <c r="A463" s="188"/>
      <c r="B463" s="90"/>
      <c r="C463" s="189"/>
      <c r="D463" s="189"/>
      <c r="E463" s="90"/>
      <c r="F463" s="189"/>
      <c r="G463" s="190"/>
      <c r="H463" s="60"/>
      <c r="I463" s="95"/>
      <c r="J463" s="96"/>
      <c r="K463" s="95"/>
      <c r="L463" s="96"/>
      <c r="M463" s="96"/>
      <c r="N463" s="95"/>
      <c r="O463" s="95"/>
      <c r="P463" s="95"/>
      <c r="Q463" s="95"/>
      <c r="R463" s="60"/>
      <c r="S463" s="60"/>
      <c r="T463" s="60"/>
      <c r="U463" s="60"/>
      <c r="V463" s="60"/>
      <c r="W463" s="60"/>
      <c r="X463" s="60"/>
      <c r="Y463" s="60"/>
      <c r="Z463" s="60"/>
      <c r="AA463" s="60"/>
      <c r="AB463" s="60"/>
      <c r="AC463" s="60"/>
      <c r="AD463" s="60"/>
      <c r="AE463" s="60"/>
      <c r="AF463" s="60"/>
      <c r="AG463" s="60"/>
      <c r="AH463" s="60"/>
      <c r="AI463" s="60"/>
      <c r="AJ463" s="60"/>
    </row>
    <row r="464">
      <c r="A464" s="185"/>
      <c r="B464" s="67"/>
      <c r="C464" s="186"/>
      <c r="D464" s="186"/>
      <c r="E464" s="67"/>
      <c r="F464" s="186"/>
      <c r="G464" s="187"/>
      <c r="H464" s="43"/>
      <c r="I464" s="98"/>
      <c r="J464" s="99"/>
      <c r="K464" s="98"/>
      <c r="L464" s="99"/>
      <c r="M464" s="99"/>
      <c r="N464" s="98"/>
      <c r="O464" s="98"/>
      <c r="P464" s="98"/>
      <c r="Q464" s="98"/>
      <c r="R464" s="43"/>
      <c r="S464" s="43"/>
      <c r="T464" s="43"/>
      <c r="U464" s="43"/>
      <c r="V464" s="43"/>
      <c r="W464" s="43"/>
      <c r="X464" s="43"/>
      <c r="Y464" s="43"/>
      <c r="Z464" s="43"/>
      <c r="AA464" s="43"/>
      <c r="AB464" s="43"/>
      <c r="AC464" s="43"/>
      <c r="AD464" s="43"/>
      <c r="AE464" s="43"/>
      <c r="AF464" s="43"/>
      <c r="AG464" s="43"/>
      <c r="AH464" s="43"/>
      <c r="AI464" s="43"/>
      <c r="AJ464" s="43"/>
    </row>
    <row r="465">
      <c r="A465" s="188"/>
      <c r="B465" s="90"/>
      <c r="C465" s="189"/>
      <c r="D465" s="189"/>
      <c r="E465" s="90"/>
      <c r="F465" s="189"/>
      <c r="G465" s="190"/>
      <c r="H465" s="60"/>
      <c r="I465" s="95"/>
      <c r="J465" s="96"/>
      <c r="K465" s="95"/>
      <c r="L465" s="96"/>
      <c r="M465" s="96"/>
      <c r="N465" s="95"/>
      <c r="O465" s="95"/>
      <c r="P465" s="95"/>
      <c r="Q465" s="95"/>
      <c r="R465" s="60"/>
      <c r="S465" s="60"/>
      <c r="T465" s="60"/>
      <c r="U465" s="60"/>
      <c r="V465" s="60"/>
      <c r="W465" s="60"/>
      <c r="X465" s="60"/>
      <c r="Y465" s="60"/>
      <c r="Z465" s="60"/>
      <c r="AA465" s="60"/>
      <c r="AB465" s="60"/>
      <c r="AC465" s="60"/>
      <c r="AD465" s="60"/>
      <c r="AE465" s="60"/>
      <c r="AF465" s="60"/>
      <c r="AG465" s="60"/>
      <c r="AH465" s="60"/>
      <c r="AI465" s="60"/>
      <c r="AJ465" s="60"/>
    </row>
    <row r="466">
      <c r="A466" s="185"/>
      <c r="B466" s="67"/>
      <c r="C466" s="186"/>
      <c r="D466" s="186"/>
      <c r="E466" s="67"/>
      <c r="F466" s="186"/>
      <c r="G466" s="187"/>
      <c r="H466" s="43"/>
      <c r="I466" s="98"/>
      <c r="J466" s="99"/>
      <c r="K466" s="98"/>
      <c r="L466" s="99"/>
      <c r="M466" s="99"/>
      <c r="N466" s="98"/>
      <c r="O466" s="98"/>
      <c r="P466" s="98"/>
      <c r="Q466" s="98"/>
      <c r="R466" s="43"/>
      <c r="S466" s="43"/>
      <c r="T466" s="43"/>
      <c r="U466" s="43"/>
      <c r="V466" s="43"/>
      <c r="W466" s="43"/>
      <c r="X466" s="43"/>
      <c r="Y466" s="43"/>
      <c r="Z466" s="43"/>
      <c r="AA466" s="43"/>
      <c r="AB466" s="43"/>
      <c r="AC466" s="43"/>
      <c r="AD466" s="43"/>
      <c r="AE466" s="43"/>
      <c r="AF466" s="43"/>
      <c r="AG466" s="43"/>
      <c r="AH466" s="43"/>
      <c r="AI466" s="43"/>
      <c r="AJ466" s="43"/>
    </row>
    <row r="467">
      <c r="A467" s="188"/>
      <c r="B467" s="90"/>
      <c r="C467" s="189"/>
      <c r="D467" s="189"/>
      <c r="E467" s="90"/>
      <c r="F467" s="189"/>
      <c r="G467" s="190"/>
      <c r="H467" s="60"/>
      <c r="I467" s="95"/>
      <c r="J467" s="96"/>
      <c r="K467" s="95"/>
      <c r="L467" s="96"/>
      <c r="M467" s="96"/>
      <c r="N467" s="95"/>
      <c r="O467" s="95"/>
      <c r="P467" s="95"/>
      <c r="Q467" s="95"/>
      <c r="R467" s="60"/>
      <c r="S467" s="60"/>
      <c r="T467" s="60"/>
      <c r="U467" s="60"/>
      <c r="V467" s="60"/>
      <c r="W467" s="60"/>
      <c r="X467" s="60"/>
      <c r="Y467" s="60"/>
      <c r="Z467" s="60"/>
      <c r="AA467" s="60"/>
      <c r="AB467" s="60"/>
      <c r="AC467" s="60"/>
      <c r="AD467" s="60"/>
      <c r="AE467" s="60"/>
      <c r="AF467" s="60"/>
      <c r="AG467" s="60"/>
      <c r="AH467" s="60"/>
      <c r="AI467" s="60"/>
      <c r="AJ467" s="60"/>
    </row>
    <row r="468">
      <c r="A468" s="185"/>
      <c r="B468" s="67"/>
      <c r="C468" s="186"/>
      <c r="D468" s="186"/>
      <c r="E468" s="67"/>
      <c r="F468" s="186"/>
      <c r="G468" s="187"/>
      <c r="H468" s="43"/>
      <c r="I468" s="98"/>
      <c r="J468" s="99"/>
      <c r="K468" s="98"/>
      <c r="L468" s="99"/>
      <c r="M468" s="99"/>
      <c r="N468" s="98"/>
      <c r="O468" s="98"/>
      <c r="P468" s="98"/>
      <c r="Q468" s="98"/>
      <c r="R468" s="43"/>
      <c r="S468" s="43"/>
      <c r="T468" s="43"/>
      <c r="U468" s="43"/>
      <c r="V468" s="43"/>
      <c r="W468" s="43"/>
      <c r="X468" s="43"/>
      <c r="Y468" s="43"/>
      <c r="Z468" s="43"/>
      <c r="AA468" s="43"/>
      <c r="AB468" s="43"/>
      <c r="AC468" s="43"/>
      <c r="AD468" s="43"/>
      <c r="AE468" s="43"/>
      <c r="AF468" s="43"/>
      <c r="AG468" s="43"/>
      <c r="AH468" s="43"/>
      <c r="AI468" s="43"/>
      <c r="AJ468" s="43"/>
    </row>
    <row r="469">
      <c r="A469" s="188"/>
      <c r="B469" s="90"/>
      <c r="C469" s="189"/>
      <c r="D469" s="189"/>
      <c r="E469" s="90"/>
      <c r="F469" s="189"/>
      <c r="G469" s="190"/>
      <c r="H469" s="60"/>
      <c r="I469" s="95"/>
      <c r="J469" s="96"/>
      <c r="K469" s="95"/>
      <c r="L469" s="96"/>
      <c r="M469" s="96"/>
      <c r="N469" s="95"/>
      <c r="O469" s="95"/>
      <c r="P469" s="95"/>
      <c r="Q469" s="95"/>
      <c r="R469" s="60"/>
      <c r="S469" s="60"/>
      <c r="T469" s="60"/>
      <c r="U469" s="60"/>
      <c r="V469" s="60"/>
      <c r="W469" s="60"/>
      <c r="X469" s="60"/>
      <c r="Y469" s="60"/>
      <c r="Z469" s="60"/>
      <c r="AA469" s="60"/>
      <c r="AB469" s="60"/>
      <c r="AC469" s="60"/>
      <c r="AD469" s="60"/>
      <c r="AE469" s="60"/>
      <c r="AF469" s="60"/>
      <c r="AG469" s="60"/>
      <c r="AH469" s="60"/>
      <c r="AI469" s="60"/>
      <c r="AJ469" s="60"/>
    </row>
    <row r="470">
      <c r="A470" s="185"/>
      <c r="B470" s="67"/>
      <c r="C470" s="186"/>
      <c r="D470" s="186"/>
      <c r="E470" s="67"/>
      <c r="F470" s="186"/>
      <c r="G470" s="187"/>
      <c r="H470" s="43"/>
      <c r="I470" s="98"/>
      <c r="J470" s="99"/>
      <c r="K470" s="98"/>
      <c r="L470" s="99"/>
      <c r="M470" s="99"/>
      <c r="N470" s="98"/>
      <c r="O470" s="98"/>
      <c r="P470" s="98"/>
      <c r="Q470" s="98"/>
      <c r="R470" s="43"/>
      <c r="S470" s="43"/>
      <c r="T470" s="43"/>
      <c r="U470" s="43"/>
      <c r="V470" s="43"/>
      <c r="W470" s="43"/>
      <c r="X470" s="43"/>
      <c r="Y470" s="43"/>
      <c r="Z470" s="43"/>
      <c r="AA470" s="43"/>
      <c r="AB470" s="43"/>
      <c r="AC470" s="43"/>
      <c r="AD470" s="43"/>
      <c r="AE470" s="43"/>
      <c r="AF470" s="43"/>
      <c r="AG470" s="43"/>
      <c r="AH470" s="43"/>
      <c r="AI470" s="43"/>
      <c r="AJ470" s="43"/>
    </row>
    <row r="471">
      <c r="A471" s="188"/>
      <c r="B471" s="90"/>
      <c r="C471" s="189"/>
      <c r="D471" s="189"/>
      <c r="E471" s="90"/>
      <c r="F471" s="189"/>
      <c r="G471" s="190"/>
      <c r="H471" s="60"/>
      <c r="I471" s="95"/>
      <c r="J471" s="96"/>
      <c r="K471" s="95"/>
      <c r="L471" s="96"/>
      <c r="M471" s="96"/>
      <c r="N471" s="95"/>
      <c r="O471" s="95"/>
      <c r="P471" s="95"/>
      <c r="Q471" s="95"/>
      <c r="R471" s="60"/>
      <c r="S471" s="60"/>
      <c r="T471" s="60"/>
      <c r="U471" s="60"/>
      <c r="V471" s="60"/>
      <c r="W471" s="60"/>
      <c r="X471" s="60"/>
      <c r="Y471" s="60"/>
      <c r="Z471" s="60"/>
      <c r="AA471" s="60"/>
      <c r="AB471" s="60"/>
      <c r="AC471" s="60"/>
      <c r="AD471" s="60"/>
      <c r="AE471" s="60"/>
      <c r="AF471" s="60"/>
      <c r="AG471" s="60"/>
      <c r="AH471" s="60"/>
      <c r="AI471" s="60"/>
      <c r="AJ471" s="60"/>
    </row>
    <row r="472">
      <c r="A472" s="185"/>
      <c r="B472" s="67"/>
      <c r="C472" s="186"/>
      <c r="D472" s="186"/>
      <c r="E472" s="67"/>
      <c r="F472" s="186"/>
      <c r="G472" s="187"/>
      <c r="H472" s="43"/>
      <c r="I472" s="98"/>
      <c r="J472" s="99"/>
      <c r="K472" s="98"/>
      <c r="L472" s="99"/>
      <c r="M472" s="99"/>
      <c r="N472" s="98"/>
      <c r="O472" s="98"/>
      <c r="P472" s="98"/>
      <c r="Q472" s="98"/>
      <c r="R472" s="43"/>
      <c r="S472" s="43"/>
      <c r="T472" s="43"/>
      <c r="U472" s="43"/>
      <c r="V472" s="43"/>
      <c r="W472" s="43"/>
      <c r="X472" s="43"/>
      <c r="Y472" s="43"/>
      <c r="Z472" s="43"/>
      <c r="AA472" s="43"/>
      <c r="AB472" s="43"/>
      <c r="AC472" s="43"/>
      <c r="AD472" s="43"/>
      <c r="AE472" s="43"/>
      <c r="AF472" s="43"/>
      <c r="AG472" s="43"/>
      <c r="AH472" s="43"/>
      <c r="AI472" s="43"/>
      <c r="AJ472" s="43"/>
    </row>
    <row r="473">
      <c r="A473" s="188"/>
      <c r="B473" s="90"/>
      <c r="C473" s="189"/>
      <c r="D473" s="189"/>
      <c r="E473" s="90"/>
      <c r="F473" s="189"/>
      <c r="G473" s="190"/>
      <c r="H473" s="60"/>
      <c r="I473" s="95"/>
      <c r="J473" s="96"/>
      <c r="K473" s="95"/>
      <c r="L473" s="96"/>
      <c r="M473" s="96"/>
      <c r="N473" s="95"/>
      <c r="O473" s="95"/>
      <c r="P473" s="95"/>
      <c r="Q473" s="95"/>
      <c r="R473" s="60"/>
      <c r="S473" s="60"/>
      <c r="T473" s="60"/>
      <c r="U473" s="60"/>
      <c r="V473" s="60"/>
      <c r="W473" s="60"/>
      <c r="X473" s="60"/>
      <c r="Y473" s="60"/>
      <c r="Z473" s="60"/>
      <c r="AA473" s="60"/>
      <c r="AB473" s="60"/>
      <c r="AC473" s="60"/>
      <c r="AD473" s="60"/>
      <c r="AE473" s="60"/>
      <c r="AF473" s="60"/>
      <c r="AG473" s="60"/>
      <c r="AH473" s="60"/>
      <c r="AI473" s="60"/>
      <c r="AJ473" s="60"/>
    </row>
    <row r="474">
      <c r="A474" s="185"/>
      <c r="B474" s="67"/>
      <c r="C474" s="186"/>
      <c r="D474" s="186"/>
      <c r="E474" s="67"/>
      <c r="F474" s="186"/>
      <c r="G474" s="187"/>
      <c r="H474" s="43"/>
      <c r="I474" s="98"/>
      <c r="J474" s="99"/>
      <c r="K474" s="98"/>
      <c r="L474" s="99"/>
      <c r="M474" s="99"/>
      <c r="N474" s="98"/>
      <c r="O474" s="98"/>
      <c r="P474" s="98"/>
      <c r="Q474" s="98"/>
      <c r="R474" s="43"/>
      <c r="S474" s="43"/>
      <c r="T474" s="43"/>
      <c r="U474" s="43"/>
      <c r="V474" s="43"/>
      <c r="W474" s="43"/>
      <c r="X474" s="43"/>
      <c r="Y474" s="43"/>
      <c r="Z474" s="43"/>
      <c r="AA474" s="43"/>
      <c r="AB474" s="43"/>
      <c r="AC474" s="43"/>
      <c r="AD474" s="43"/>
      <c r="AE474" s="43"/>
      <c r="AF474" s="43"/>
      <c r="AG474" s="43"/>
      <c r="AH474" s="43"/>
      <c r="AI474" s="43"/>
      <c r="AJ474" s="43"/>
    </row>
    <row r="475">
      <c r="A475" s="188"/>
      <c r="B475" s="90"/>
      <c r="C475" s="189"/>
      <c r="D475" s="189"/>
      <c r="E475" s="90"/>
      <c r="F475" s="189"/>
      <c r="G475" s="190"/>
      <c r="H475" s="60"/>
      <c r="I475" s="95"/>
      <c r="J475" s="96"/>
      <c r="K475" s="95"/>
      <c r="L475" s="96"/>
      <c r="M475" s="96"/>
      <c r="N475" s="95"/>
      <c r="O475" s="95"/>
      <c r="P475" s="95"/>
      <c r="Q475" s="95"/>
      <c r="R475" s="60"/>
      <c r="S475" s="60"/>
      <c r="T475" s="60"/>
      <c r="U475" s="60"/>
      <c r="V475" s="60"/>
      <c r="W475" s="60"/>
      <c r="X475" s="60"/>
      <c r="Y475" s="60"/>
      <c r="Z475" s="60"/>
      <c r="AA475" s="60"/>
      <c r="AB475" s="60"/>
      <c r="AC475" s="60"/>
      <c r="AD475" s="60"/>
      <c r="AE475" s="60"/>
      <c r="AF475" s="60"/>
      <c r="AG475" s="60"/>
      <c r="AH475" s="60"/>
      <c r="AI475" s="60"/>
      <c r="AJ475" s="60"/>
    </row>
    <row r="476">
      <c r="A476" s="185"/>
      <c r="B476" s="67"/>
      <c r="C476" s="186"/>
      <c r="D476" s="186"/>
      <c r="E476" s="67"/>
      <c r="F476" s="186"/>
      <c r="G476" s="187"/>
      <c r="H476" s="43"/>
      <c r="I476" s="98"/>
      <c r="J476" s="99"/>
      <c r="K476" s="98"/>
      <c r="L476" s="99"/>
      <c r="M476" s="99"/>
      <c r="N476" s="98"/>
      <c r="O476" s="98"/>
      <c r="P476" s="98"/>
      <c r="Q476" s="98"/>
      <c r="R476" s="43"/>
      <c r="S476" s="43"/>
      <c r="T476" s="43"/>
      <c r="U476" s="43"/>
      <c r="V476" s="43"/>
      <c r="W476" s="43"/>
      <c r="X476" s="43"/>
      <c r="Y476" s="43"/>
      <c r="Z476" s="43"/>
      <c r="AA476" s="43"/>
      <c r="AB476" s="43"/>
      <c r="AC476" s="43"/>
      <c r="AD476" s="43"/>
      <c r="AE476" s="43"/>
      <c r="AF476" s="43"/>
      <c r="AG476" s="43"/>
      <c r="AH476" s="43"/>
      <c r="AI476" s="43"/>
      <c r="AJ476" s="43"/>
    </row>
    <row r="477">
      <c r="A477" s="188"/>
      <c r="B477" s="90"/>
      <c r="C477" s="189"/>
      <c r="D477" s="189"/>
      <c r="E477" s="90"/>
      <c r="F477" s="189"/>
      <c r="G477" s="190"/>
      <c r="H477" s="60"/>
      <c r="I477" s="95"/>
      <c r="J477" s="96"/>
      <c r="K477" s="95"/>
      <c r="L477" s="96"/>
      <c r="M477" s="96"/>
      <c r="N477" s="95"/>
      <c r="O477" s="95"/>
      <c r="P477" s="95"/>
      <c r="Q477" s="95"/>
      <c r="R477" s="60"/>
      <c r="S477" s="60"/>
      <c r="T477" s="60"/>
      <c r="U477" s="60"/>
      <c r="V477" s="60"/>
      <c r="W477" s="60"/>
      <c r="X477" s="60"/>
      <c r="Y477" s="60"/>
      <c r="Z477" s="60"/>
      <c r="AA477" s="60"/>
      <c r="AB477" s="60"/>
      <c r="AC477" s="60"/>
      <c r="AD477" s="60"/>
      <c r="AE477" s="60"/>
      <c r="AF477" s="60"/>
      <c r="AG477" s="60"/>
      <c r="AH477" s="60"/>
      <c r="AI477" s="60"/>
      <c r="AJ477" s="60"/>
    </row>
    <row r="478">
      <c r="A478" s="185"/>
      <c r="B478" s="67"/>
      <c r="C478" s="186"/>
      <c r="D478" s="186"/>
      <c r="E478" s="67"/>
      <c r="F478" s="186"/>
      <c r="G478" s="187"/>
      <c r="H478" s="43"/>
      <c r="I478" s="98"/>
      <c r="J478" s="99"/>
      <c r="K478" s="98"/>
      <c r="L478" s="99"/>
      <c r="M478" s="99"/>
      <c r="N478" s="98"/>
      <c r="O478" s="98"/>
      <c r="P478" s="98"/>
      <c r="Q478" s="98"/>
      <c r="R478" s="43"/>
      <c r="S478" s="43"/>
      <c r="T478" s="43"/>
      <c r="U478" s="43"/>
      <c r="V478" s="43"/>
      <c r="W478" s="43"/>
      <c r="X478" s="43"/>
      <c r="Y478" s="43"/>
      <c r="Z478" s="43"/>
      <c r="AA478" s="43"/>
      <c r="AB478" s="43"/>
      <c r="AC478" s="43"/>
      <c r="AD478" s="43"/>
      <c r="AE478" s="43"/>
      <c r="AF478" s="43"/>
      <c r="AG478" s="43"/>
      <c r="AH478" s="43"/>
      <c r="AI478" s="43"/>
      <c r="AJ478" s="43"/>
    </row>
    <row r="479">
      <c r="A479" s="188"/>
      <c r="B479" s="90"/>
      <c r="C479" s="189"/>
      <c r="D479" s="189"/>
      <c r="E479" s="90"/>
      <c r="F479" s="189"/>
      <c r="G479" s="190"/>
      <c r="H479" s="60"/>
      <c r="I479" s="95"/>
      <c r="J479" s="96"/>
      <c r="K479" s="95"/>
      <c r="L479" s="96"/>
      <c r="M479" s="96"/>
      <c r="N479" s="95"/>
      <c r="O479" s="95"/>
      <c r="P479" s="95"/>
      <c r="Q479" s="95"/>
      <c r="R479" s="60"/>
      <c r="S479" s="60"/>
      <c r="T479" s="60"/>
      <c r="U479" s="60"/>
      <c r="V479" s="60"/>
      <c r="W479" s="60"/>
      <c r="X479" s="60"/>
      <c r="Y479" s="60"/>
      <c r="Z479" s="60"/>
      <c r="AA479" s="60"/>
      <c r="AB479" s="60"/>
      <c r="AC479" s="60"/>
      <c r="AD479" s="60"/>
      <c r="AE479" s="60"/>
      <c r="AF479" s="60"/>
      <c r="AG479" s="60"/>
      <c r="AH479" s="60"/>
      <c r="AI479" s="60"/>
      <c r="AJ479" s="60"/>
    </row>
    <row r="480">
      <c r="A480" s="185"/>
      <c r="B480" s="67"/>
      <c r="C480" s="186"/>
      <c r="D480" s="186"/>
      <c r="E480" s="67"/>
      <c r="F480" s="186"/>
      <c r="G480" s="187"/>
      <c r="H480" s="43"/>
      <c r="I480" s="98"/>
      <c r="J480" s="99"/>
      <c r="K480" s="98"/>
      <c r="L480" s="99"/>
      <c r="M480" s="99"/>
      <c r="N480" s="98"/>
      <c r="O480" s="98"/>
      <c r="P480" s="98"/>
      <c r="Q480" s="98"/>
      <c r="R480" s="43"/>
      <c r="S480" s="43"/>
      <c r="T480" s="43"/>
      <c r="U480" s="43"/>
      <c r="V480" s="43"/>
      <c r="W480" s="43"/>
      <c r="X480" s="43"/>
      <c r="Y480" s="43"/>
      <c r="Z480" s="43"/>
      <c r="AA480" s="43"/>
      <c r="AB480" s="43"/>
      <c r="AC480" s="43"/>
      <c r="AD480" s="43"/>
      <c r="AE480" s="43"/>
      <c r="AF480" s="43"/>
      <c r="AG480" s="43"/>
      <c r="AH480" s="43"/>
      <c r="AI480" s="43"/>
      <c r="AJ480" s="43"/>
    </row>
    <row r="481">
      <c r="A481" s="188"/>
      <c r="B481" s="90"/>
      <c r="C481" s="189"/>
      <c r="D481" s="189"/>
      <c r="E481" s="90"/>
      <c r="F481" s="189"/>
      <c r="G481" s="190"/>
      <c r="H481" s="60"/>
      <c r="I481" s="95"/>
      <c r="J481" s="96"/>
      <c r="K481" s="95"/>
      <c r="L481" s="96"/>
      <c r="M481" s="96"/>
      <c r="N481" s="95"/>
      <c r="O481" s="95"/>
      <c r="P481" s="95"/>
      <c r="Q481" s="95"/>
      <c r="R481" s="60"/>
      <c r="S481" s="60"/>
      <c r="T481" s="60"/>
      <c r="U481" s="60"/>
      <c r="V481" s="60"/>
      <c r="W481" s="60"/>
      <c r="X481" s="60"/>
      <c r="Y481" s="60"/>
      <c r="Z481" s="60"/>
      <c r="AA481" s="60"/>
      <c r="AB481" s="60"/>
      <c r="AC481" s="60"/>
      <c r="AD481" s="60"/>
      <c r="AE481" s="60"/>
      <c r="AF481" s="60"/>
      <c r="AG481" s="60"/>
      <c r="AH481" s="60"/>
      <c r="AI481" s="60"/>
      <c r="AJ481" s="60"/>
    </row>
    <row r="482">
      <c r="A482" s="185"/>
      <c r="B482" s="67"/>
      <c r="C482" s="186"/>
      <c r="D482" s="186"/>
      <c r="E482" s="67"/>
      <c r="F482" s="186"/>
      <c r="G482" s="187"/>
      <c r="H482" s="43"/>
      <c r="I482" s="98"/>
      <c r="J482" s="99"/>
      <c r="K482" s="98"/>
      <c r="L482" s="99"/>
      <c r="M482" s="99"/>
      <c r="N482" s="98"/>
      <c r="O482" s="98"/>
      <c r="P482" s="98"/>
      <c r="Q482" s="98"/>
      <c r="R482" s="43"/>
      <c r="S482" s="43"/>
      <c r="T482" s="43"/>
      <c r="U482" s="43"/>
      <c r="V482" s="43"/>
      <c r="W482" s="43"/>
      <c r="X482" s="43"/>
      <c r="Y482" s="43"/>
      <c r="Z482" s="43"/>
      <c r="AA482" s="43"/>
      <c r="AB482" s="43"/>
      <c r="AC482" s="43"/>
      <c r="AD482" s="43"/>
      <c r="AE482" s="43"/>
      <c r="AF482" s="43"/>
      <c r="AG482" s="43"/>
      <c r="AH482" s="43"/>
      <c r="AI482" s="43"/>
      <c r="AJ482" s="43"/>
    </row>
    <row r="483">
      <c r="A483" s="188"/>
      <c r="B483" s="90"/>
      <c r="C483" s="189"/>
      <c r="D483" s="189"/>
      <c r="E483" s="90"/>
      <c r="F483" s="189"/>
      <c r="G483" s="190"/>
      <c r="H483" s="60"/>
      <c r="I483" s="95"/>
      <c r="J483" s="96"/>
      <c r="K483" s="95"/>
      <c r="L483" s="96"/>
      <c r="M483" s="96"/>
      <c r="N483" s="95"/>
      <c r="O483" s="95"/>
      <c r="P483" s="95"/>
      <c r="Q483" s="95"/>
      <c r="R483" s="60"/>
      <c r="S483" s="60"/>
      <c r="T483" s="60"/>
      <c r="U483" s="60"/>
      <c r="V483" s="60"/>
      <c r="W483" s="60"/>
      <c r="X483" s="60"/>
      <c r="Y483" s="60"/>
      <c r="Z483" s="60"/>
      <c r="AA483" s="60"/>
      <c r="AB483" s="60"/>
      <c r="AC483" s="60"/>
      <c r="AD483" s="60"/>
      <c r="AE483" s="60"/>
      <c r="AF483" s="60"/>
      <c r="AG483" s="60"/>
      <c r="AH483" s="60"/>
      <c r="AI483" s="60"/>
      <c r="AJ483" s="60"/>
    </row>
    <row r="484">
      <c r="A484" s="185"/>
      <c r="B484" s="67"/>
      <c r="C484" s="186"/>
      <c r="D484" s="186"/>
      <c r="E484" s="67"/>
      <c r="F484" s="186"/>
      <c r="G484" s="187"/>
      <c r="H484" s="43"/>
      <c r="I484" s="98"/>
      <c r="J484" s="99"/>
      <c r="K484" s="98"/>
      <c r="L484" s="99"/>
      <c r="M484" s="99"/>
      <c r="N484" s="98"/>
      <c r="O484" s="98"/>
      <c r="P484" s="98"/>
      <c r="Q484" s="98"/>
      <c r="R484" s="43"/>
      <c r="S484" s="43"/>
      <c r="T484" s="43"/>
      <c r="U484" s="43"/>
      <c r="V484" s="43"/>
      <c r="W484" s="43"/>
      <c r="X484" s="43"/>
      <c r="Y484" s="43"/>
      <c r="Z484" s="43"/>
      <c r="AA484" s="43"/>
      <c r="AB484" s="43"/>
      <c r="AC484" s="43"/>
      <c r="AD484" s="43"/>
      <c r="AE484" s="43"/>
      <c r="AF484" s="43"/>
      <c r="AG484" s="43"/>
      <c r="AH484" s="43"/>
      <c r="AI484" s="43"/>
      <c r="AJ484" s="43"/>
    </row>
    <row r="485">
      <c r="A485" s="188"/>
      <c r="B485" s="90"/>
      <c r="C485" s="189"/>
      <c r="D485" s="189"/>
      <c r="E485" s="90"/>
      <c r="F485" s="189"/>
      <c r="G485" s="190"/>
      <c r="H485" s="60"/>
      <c r="I485" s="95"/>
      <c r="J485" s="96"/>
      <c r="K485" s="95"/>
      <c r="L485" s="96"/>
      <c r="M485" s="96"/>
      <c r="N485" s="95"/>
      <c r="O485" s="95"/>
      <c r="P485" s="95"/>
      <c r="Q485" s="95"/>
      <c r="R485" s="60"/>
      <c r="S485" s="60"/>
      <c r="T485" s="60"/>
      <c r="U485" s="60"/>
      <c r="V485" s="60"/>
      <c r="W485" s="60"/>
      <c r="X485" s="60"/>
      <c r="Y485" s="60"/>
      <c r="Z485" s="60"/>
      <c r="AA485" s="60"/>
      <c r="AB485" s="60"/>
      <c r="AC485" s="60"/>
      <c r="AD485" s="60"/>
      <c r="AE485" s="60"/>
      <c r="AF485" s="60"/>
      <c r="AG485" s="60"/>
      <c r="AH485" s="60"/>
      <c r="AI485" s="60"/>
      <c r="AJ485" s="60"/>
    </row>
    <row r="486">
      <c r="A486" s="185"/>
      <c r="B486" s="67"/>
      <c r="C486" s="186"/>
      <c r="D486" s="186"/>
      <c r="E486" s="67"/>
      <c r="F486" s="186"/>
      <c r="G486" s="187"/>
      <c r="H486" s="43"/>
      <c r="I486" s="98"/>
      <c r="J486" s="99"/>
      <c r="K486" s="98"/>
      <c r="L486" s="99"/>
      <c r="M486" s="99"/>
      <c r="N486" s="98"/>
      <c r="O486" s="98"/>
      <c r="P486" s="98"/>
      <c r="Q486" s="98"/>
      <c r="R486" s="43"/>
      <c r="S486" s="43"/>
      <c r="T486" s="43"/>
      <c r="U486" s="43"/>
      <c r="V486" s="43"/>
      <c r="W486" s="43"/>
      <c r="X486" s="43"/>
      <c r="Y486" s="43"/>
      <c r="Z486" s="43"/>
      <c r="AA486" s="43"/>
      <c r="AB486" s="43"/>
      <c r="AC486" s="43"/>
      <c r="AD486" s="43"/>
      <c r="AE486" s="43"/>
      <c r="AF486" s="43"/>
      <c r="AG486" s="43"/>
      <c r="AH486" s="43"/>
      <c r="AI486" s="43"/>
      <c r="AJ486" s="43"/>
    </row>
    <row r="487">
      <c r="A487" s="188"/>
      <c r="B487" s="90"/>
      <c r="C487" s="189"/>
      <c r="D487" s="189"/>
      <c r="E487" s="90"/>
      <c r="F487" s="189"/>
      <c r="G487" s="190"/>
      <c r="H487" s="60"/>
      <c r="I487" s="95"/>
      <c r="J487" s="96"/>
      <c r="K487" s="95"/>
      <c r="L487" s="96"/>
      <c r="M487" s="96"/>
      <c r="N487" s="95"/>
      <c r="O487" s="95"/>
      <c r="P487" s="95"/>
      <c r="Q487" s="95"/>
      <c r="R487" s="60"/>
      <c r="S487" s="60"/>
      <c r="T487" s="60"/>
      <c r="U487" s="60"/>
      <c r="V487" s="60"/>
      <c r="W487" s="60"/>
      <c r="X487" s="60"/>
      <c r="Y487" s="60"/>
      <c r="Z487" s="60"/>
      <c r="AA487" s="60"/>
      <c r="AB487" s="60"/>
      <c r="AC487" s="60"/>
      <c r="AD487" s="60"/>
      <c r="AE487" s="60"/>
      <c r="AF487" s="60"/>
      <c r="AG487" s="60"/>
      <c r="AH487" s="60"/>
      <c r="AI487" s="60"/>
      <c r="AJ487" s="60"/>
    </row>
    <row r="488">
      <c r="A488" s="185"/>
      <c r="B488" s="67"/>
      <c r="C488" s="186"/>
      <c r="D488" s="186"/>
      <c r="E488" s="67"/>
      <c r="F488" s="186"/>
      <c r="G488" s="187"/>
      <c r="H488" s="43"/>
      <c r="I488" s="98"/>
      <c r="J488" s="99"/>
      <c r="K488" s="98"/>
      <c r="L488" s="99"/>
      <c r="M488" s="99"/>
      <c r="N488" s="98"/>
      <c r="O488" s="98"/>
      <c r="P488" s="98"/>
      <c r="Q488" s="98"/>
      <c r="R488" s="43"/>
      <c r="S488" s="43"/>
      <c r="T488" s="43"/>
      <c r="U488" s="43"/>
      <c r="V488" s="43"/>
      <c r="W488" s="43"/>
      <c r="X488" s="43"/>
      <c r="Y488" s="43"/>
      <c r="Z488" s="43"/>
      <c r="AA488" s="43"/>
      <c r="AB488" s="43"/>
      <c r="AC488" s="43"/>
      <c r="AD488" s="43"/>
      <c r="AE488" s="43"/>
      <c r="AF488" s="43"/>
      <c r="AG488" s="43"/>
      <c r="AH488" s="43"/>
      <c r="AI488" s="43"/>
      <c r="AJ488" s="43"/>
    </row>
    <row r="489">
      <c r="A489" s="188"/>
      <c r="B489" s="90"/>
      <c r="C489" s="189"/>
      <c r="D489" s="189"/>
      <c r="E489" s="90"/>
      <c r="F489" s="189"/>
      <c r="G489" s="190"/>
      <c r="H489" s="60"/>
      <c r="I489" s="95"/>
      <c r="J489" s="96"/>
      <c r="K489" s="95"/>
      <c r="L489" s="96"/>
      <c r="M489" s="96"/>
      <c r="N489" s="95"/>
      <c r="O489" s="95"/>
      <c r="P489" s="95"/>
      <c r="Q489" s="95"/>
      <c r="R489" s="60"/>
      <c r="S489" s="60"/>
      <c r="T489" s="60"/>
      <c r="U489" s="60"/>
      <c r="V489" s="60"/>
      <c r="W489" s="60"/>
      <c r="X489" s="60"/>
      <c r="Y489" s="60"/>
      <c r="Z489" s="60"/>
      <c r="AA489" s="60"/>
      <c r="AB489" s="60"/>
      <c r="AC489" s="60"/>
      <c r="AD489" s="60"/>
      <c r="AE489" s="60"/>
      <c r="AF489" s="60"/>
      <c r="AG489" s="60"/>
      <c r="AH489" s="60"/>
      <c r="AI489" s="60"/>
      <c r="AJ489" s="60"/>
    </row>
    <row r="490">
      <c r="A490" s="185"/>
      <c r="B490" s="67"/>
      <c r="C490" s="186"/>
      <c r="D490" s="186"/>
      <c r="E490" s="67"/>
      <c r="F490" s="186"/>
      <c r="G490" s="187"/>
      <c r="H490" s="43"/>
      <c r="I490" s="98"/>
      <c r="J490" s="99"/>
      <c r="K490" s="98"/>
      <c r="L490" s="99"/>
      <c r="M490" s="99"/>
      <c r="N490" s="98"/>
      <c r="O490" s="98"/>
      <c r="P490" s="98"/>
      <c r="Q490" s="98"/>
      <c r="R490" s="43"/>
      <c r="S490" s="43"/>
      <c r="T490" s="43"/>
      <c r="U490" s="43"/>
      <c r="V490" s="43"/>
      <c r="W490" s="43"/>
      <c r="X490" s="43"/>
      <c r="Y490" s="43"/>
      <c r="Z490" s="43"/>
      <c r="AA490" s="43"/>
      <c r="AB490" s="43"/>
      <c r="AC490" s="43"/>
      <c r="AD490" s="43"/>
      <c r="AE490" s="43"/>
      <c r="AF490" s="43"/>
      <c r="AG490" s="43"/>
      <c r="AH490" s="43"/>
      <c r="AI490" s="43"/>
      <c r="AJ490" s="43"/>
    </row>
    <row r="491">
      <c r="A491" s="188"/>
      <c r="B491" s="90"/>
      <c r="C491" s="189"/>
      <c r="D491" s="189"/>
      <c r="E491" s="90"/>
      <c r="F491" s="189"/>
      <c r="G491" s="190"/>
      <c r="H491" s="60"/>
      <c r="I491" s="95"/>
      <c r="J491" s="96"/>
      <c r="K491" s="95"/>
      <c r="L491" s="96"/>
      <c r="M491" s="96"/>
      <c r="N491" s="95"/>
      <c r="O491" s="95"/>
      <c r="P491" s="95"/>
      <c r="Q491" s="95"/>
      <c r="R491" s="60"/>
      <c r="S491" s="60"/>
      <c r="T491" s="60"/>
      <c r="U491" s="60"/>
      <c r="V491" s="60"/>
      <c r="W491" s="60"/>
      <c r="X491" s="60"/>
      <c r="Y491" s="60"/>
      <c r="Z491" s="60"/>
      <c r="AA491" s="60"/>
      <c r="AB491" s="60"/>
      <c r="AC491" s="60"/>
      <c r="AD491" s="60"/>
      <c r="AE491" s="60"/>
      <c r="AF491" s="60"/>
      <c r="AG491" s="60"/>
      <c r="AH491" s="60"/>
      <c r="AI491" s="60"/>
      <c r="AJ491" s="60"/>
    </row>
    <row r="492">
      <c r="A492" s="185"/>
      <c r="B492" s="67"/>
      <c r="C492" s="186"/>
      <c r="D492" s="186"/>
      <c r="E492" s="67"/>
      <c r="F492" s="186"/>
      <c r="G492" s="187"/>
      <c r="H492" s="43"/>
      <c r="I492" s="98"/>
      <c r="J492" s="99"/>
      <c r="K492" s="98"/>
      <c r="L492" s="99"/>
      <c r="M492" s="99"/>
      <c r="N492" s="98"/>
      <c r="O492" s="98"/>
      <c r="P492" s="98"/>
      <c r="Q492" s="98"/>
      <c r="R492" s="43"/>
      <c r="S492" s="43"/>
      <c r="T492" s="43"/>
      <c r="U492" s="43"/>
      <c r="V492" s="43"/>
      <c r="W492" s="43"/>
      <c r="X492" s="43"/>
      <c r="Y492" s="43"/>
      <c r="Z492" s="43"/>
      <c r="AA492" s="43"/>
      <c r="AB492" s="43"/>
      <c r="AC492" s="43"/>
      <c r="AD492" s="43"/>
      <c r="AE492" s="43"/>
      <c r="AF492" s="43"/>
      <c r="AG492" s="43"/>
      <c r="AH492" s="43"/>
      <c r="AI492" s="43"/>
      <c r="AJ492" s="43"/>
    </row>
    <row r="493">
      <c r="A493" s="188"/>
      <c r="B493" s="90"/>
      <c r="C493" s="189"/>
      <c r="D493" s="189"/>
      <c r="E493" s="90"/>
      <c r="F493" s="189"/>
      <c r="G493" s="190"/>
      <c r="H493" s="60"/>
      <c r="I493" s="95"/>
      <c r="J493" s="96"/>
      <c r="K493" s="95"/>
      <c r="L493" s="96"/>
      <c r="M493" s="96"/>
      <c r="N493" s="95"/>
      <c r="O493" s="95"/>
      <c r="P493" s="95"/>
      <c r="Q493" s="95"/>
      <c r="R493" s="60"/>
      <c r="S493" s="60"/>
      <c r="T493" s="60"/>
      <c r="U493" s="60"/>
      <c r="V493" s="60"/>
      <c r="W493" s="60"/>
      <c r="X493" s="60"/>
      <c r="Y493" s="60"/>
      <c r="Z493" s="60"/>
      <c r="AA493" s="60"/>
      <c r="AB493" s="60"/>
      <c r="AC493" s="60"/>
      <c r="AD493" s="60"/>
      <c r="AE493" s="60"/>
      <c r="AF493" s="60"/>
      <c r="AG493" s="60"/>
      <c r="AH493" s="60"/>
      <c r="AI493" s="60"/>
      <c r="AJ493" s="60"/>
    </row>
    <row r="494">
      <c r="A494" s="185"/>
      <c r="B494" s="67"/>
      <c r="C494" s="186"/>
      <c r="D494" s="186"/>
      <c r="E494" s="67"/>
      <c r="F494" s="186"/>
      <c r="G494" s="187"/>
      <c r="H494" s="43"/>
      <c r="I494" s="98"/>
      <c r="J494" s="99"/>
      <c r="K494" s="98"/>
      <c r="L494" s="99"/>
      <c r="M494" s="99"/>
      <c r="N494" s="98"/>
      <c r="O494" s="98"/>
      <c r="P494" s="98"/>
      <c r="Q494" s="98"/>
      <c r="R494" s="43"/>
      <c r="S494" s="43"/>
      <c r="T494" s="43"/>
      <c r="U494" s="43"/>
      <c r="V494" s="43"/>
      <c r="W494" s="43"/>
      <c r="X494" s="43"/>
      <c r="Y494" s="43"/>
      <c r="Z494" s="43"/>
      <c r="AA494" s="43"/>
      <c r="AB494" s="43"/>
      <c r="AC494" s="43"/>
      <c r="AD494" s="43"/>
      <c r="AE494" s="43"/>
      <c r="AF494" s="43"/>
      <c r="AG494" s="43"/>
      <c r="AH494" s="43"/>
      <c r="AI494" s="43"/>
      <c r="AJ494" s="43"/>
    </row>
    <row r="495">
      <c r="A495" s="188"/>
      <c r="B495" s="90"/>
      <c r="C495" s="189"/>
      <c r="D495" s="189"/>
      <c r="E495" s="90"/>
      <c r="F495" s="189"/>
      <c r="G495" s="190"/>
      <c r="H495" s="60"/>
      <c r="I495" s="95"/>
      <c r="J495" s="96"/>
      <c r="K495" s="95"/>
      <c r="L495" s="96"/>
      <c r="M495" s="96"/>
      <c r="N495" s="95"/>
      <c r="O495" s="95"/>
      <c r="P495" s="95"/>
      <c r="Q495" s="95"/>
      <c r="R495" s="60"/>
      <c r="S495" s="60"/>
      <c r="T495" s="60"/>
      <c r="U495" s="60"/>
      <c r="V495" s="60"/>
      <c r="W495" s="60"/>
      <c r="X495" s="60"/>
      <c r="Y495" s="60"/>
      <c r="Z495" s="60"/>
      <c r="AA495" s="60"/>
      <c r="AB495" s="60"/>
      <c r="AC495" s="60"/>
      <c r="AD495" s="60"/>
      <c r="AE495" s="60"/>
      <c r="AF495" s="60"/>
      <c r="AG495" s="60"/>
      <c r="AH495" s="60"/>
      <c r="AI495" s="60"/>
      <c r="AJ495" s="60"/>
    </row>
    <row r="496">
      <c r="A496" s="185"/>
      <c r="B496" s="67"/>
      <c r="C496" s="186"/>
      <c r="D496" s="186"/>
      <c r="E496" s="67"/>
      <c r="F496" s="186"/>
      <c r="G496" s="187"/>
      <c r="H496" s="43"/>
      <c r="I496" s="98"/>
      <c r="J496" s="99"/>
      <c r="K496" s="98"/>
      <c r="L496" s="99"/>
      <c r="M496" s="99"/>
      <c r="N496" s="98"/>
      <c r="O496" s="98"/>
      <c r="P496" s="98"/>
      <c r="Q496" s="98"/>
      <c r="R496" s="43"/>
      <c r="S496" s="43"/>
      <c r="T496" s="43"/>
      <c r="U496" s="43"/>
      <c r="V496" s="43"/>
      <c r="W496" s="43"/>
      <c r="X496" s="43"/>
      <c r="Y496" s="43"/>
      <c r="Z496" s="43"/>
      <c r="AA496" s="43"/>
      <c r="AB496" s="43"/>
      <c r="AC496" s="43"/>
      <c r="AD496" s="43"/>
      <c r="AE496" s="43"/>
      <c r="AF496" s="43"/>
      <c r="AG496" s="43"/>
      <c r="AH496" s="43"/>
      <c r="AI496" s="43"/>
      <c r="AJ496" s="43"/>
    </row>
    <row r="497">
      <c r="A497" s="188"/>
      <c r="B497" s="90"/>
      <c r="C497" s="189"/>
      <c r="D497" s="189"/>
      <c r="E497" s="90"/>
      <c r="F497" s="189"/>
      <c r="G497" s="190"/>
      <c r="H497" s="60"/>
      <c r="I497" s="95"/>
      <c r="J497" s="96"/>
      <c r="K497" s="95"/>
      <c r="L497" s="96"/>
      <c r="M497" s="96"/>
      <c r="N497" s="95"/>
      <c r="O497" s="95"/>
      <c r="P497" s="95"/>
      <c r="Q497" s="95"/>
      <c r="R497" s="60"/>
      <c r="S497" s="60"/>
      <c r="T497" s="60"/>
      <c r="U497" s="60"/>
      <c r="V497" s="60"/>
      <c r="W497" s="60"/>
      <c r="X497" s="60"/>
      <c r="Y497" s="60"/>
      <c r="Z497" s="60"/>
      <c r="AA497" s="60"/>
      <c r="AB497" s="60"/>
      <c r="AC497" s="60"/>
      <c r="AD497" s="60"/>
      <c r="AE497" s="60"/>
      <c r="AF497" s="60"/>
      <c r="AG497" s="60"/>
      <c r="AH497" s="60"/>
      <c r="AI497" s="60"/>
      <c r="AJ497" s="60"/>
    </row>
    <row r="498">
      <c r="A498" s="185"/>
      <c r="B498" s="67"/>
      <c r="C498" s="186"/>
      <c r="D498" s="186"/>
      <c r="E498" s="67"/>
      <c r="F498" s="186"/>
      <c r="G498" s="187"/>
      <c r="H498" s="43"/>
      <c r="I498" s="98"/>
      <c r="J498" s="99"/>
      <c r="K498" s="98"/>
      <c r="L498" s="99"/>
      <c r="M498" s="99"/>
      <c r="N498" s="98"/>
      <c r="O498" s="98"/>
      <c r="P498" s="98"/>
      <c r="Q498" s="98"/>
      <c r="R498" s="43"/>
      <c r="S498" s="43"/>
      <c r="T498" s="43"/>
      <c r="U498" s="43"/>
      <c r="V498" s="43"/>
      <c r="W498" s="43"/>
      <c r="X498" s="43"/>
      <c r="Y498" s="43"/>
      <c r="Z498" s="43"/>
      <c r="AA498" s="43"/>
      <c r="AB498" s="43"/>
      <c r="AC498" s="43"/>
      <c r="AD498" s="43"/>
      <c r="AE498" s="43"/>
      <c r="AF498" s="43"/>
      <c r="AG498" s="43"/>
      <c r="AH498" s="43"/>
      <c r="AI498" s="43"/>
      <c r="AJ498" s="43"/>
    </row>
    <row r="499">
      <c r="A499" s="188"/>
      <c r="B499" s="90"/>
      <c r="C499" s="189"/>
      <c r="D499" s="189"/>
      <c r="E499" s="90"/>
      <c r="F499" s="189"/>
      <c r="G499" s="190"/>
      <c r="H499" s="60"/>
      <c r="I499" s="95"/>
      <c r="J499" s="96"/>
      <c r="K499" s="95"/>
      <c r="L499" s="96"/>
      <c r="M499" s="96"/>
      <c r="N499" s="95"/>
      <c r="O499" s="95"/>
      <c r="P499" s="95"/>
      <c r="Q499" s="95"/>
      <c r="R499" s="60"/>
      <c r="S499" s="60"/>
      <c r="T499" s="60"/>
      <c r="U499" s="60"/>
      <c r="V499" s="60"/>
      <c r="W499" s="60"/>
      <c r="X499" s="60"/>
      <c r="Y499" s="60"/>
      <c r="Z499" s="60"/>
      <c r="AA499" s="60"/>
      <c r="AB499" s="60"/>
      <c r="AC499" s="60"/>
      <c r="AD499" s="60"/>
      <c r="AE499" s="60"/>
      <c r="AF499" s="60"/>
      <c r="AG499" s="60"/>
      <c r="AH499" s="60"/>
      <c r="AI499" s="60"/>
      <c r="AJ499" s="60"/>
    </row>
    <row r="500">
      <c r="A500" s="185"/>
      <c r="B500" s="67"/>
      <c r="C500" s="186"/>
      <c r="D500" s="186"/>
      <c r="E500" s="67"/>
      <c r="F500" s="186"/>
      <c r="G500" s="187"/>
      <c r="H500" s="43"/>
      <c r="I500" s="98"/>
      <c r="J500" s="99"/>
      <c r="K500" s="98"/>
      <c r="L500" s="99"/>
      <c r="M500" s="99"/>
      <c r="N500" s="98"/>
      <c r="O500" s="98"/>
      <c r="P500" s="98"/>
      <c r="Q500" s="98"/>
      <c r="R500" s="43"/>
      <c r="S500" s="43"/>
      <c r="T500" s="43"/>
      <c r="U500" s="43"/>
      <c r="V500" s="43"/>
      <c r="W500" s="43"/>
      <c r="X500" s="43"/>
      <c r="Y500" s="43"/>
      <c r="Z500" s="43"/>
      <c r="AA500" s="43"/>
      <c r="AB500" s="43"/>
      <c r="AC500" s="43"/>
      <c r="AD500" s="43"/>
      <c r="AE500" s="43"/>
      <c r="AF500" s="43"/>
      <c r="AG500" s="43"/>
      <c r="AH500" s="43"/>
      <c r="AI500" s="43"/>
      <c r="AJ500" s="43"/>
    </row>
    <row r="501">
      <c r="A501" s="188"/>
      <c r="B501" s="90"/>
      <c r="C501" s="189"/>
      <c r="D501" s="189"/>
      <c r="E501" s="90"/>
      <c r="F501" s="189"/>
      <c r="G501" s="190"/>
      <c r="H501" s="60"/>
      <c r="I501" s="95"/>
      <c r="J501" s="96"/>
      <c r="K501" s="95"/>
      <c r="L501" s="96"/>
      <c r="M501" s="96"/>
      <c r="N501" s="95"/>
      <c r="O501" s="95"/>
      <c r="P501" s="95"/>
      <c r="Q501" s="95"/>
      <c r="R501" s="60"/>
      <c r="S501" s="60"/>
      <c r="T501" s="60"/>
      <c r="U501" s="60"/>
      <c r="V501" s="60"/>
      <c r="W501" s="60"/>
      <c r="X501" s="60"/>
      <c r="Y501" s="60"/>
      <c r="Z501" s="60"/>
      <c r="AA501" s="60"/>
      <c r="AB501" s="60"/>
      <c r="AC501" s="60"/>
      <c r="AD501" s="60"/>
      <c r="AE501" s="60"/>
      <c r="AF501" s="60"/>
      <c r="AG501" s="60"/>
      <c r="AH501" s="60"/>
      <c r="AI501" s="60"/>
      <c r="AJ501" s="60"/>
    </row>
    <row r="502">
      <c r="A502" s="185"/>
      <c r="B502" s="67"/>
      <c r="C502" s="186"/>
      <c r="D502" s="186"/>
      <c r="E502" s="67"/>
      <c r="F502" s="186"/>
      <c r="G502" s="187"/>
      <c r="H502" s="43"/>
      <c r="I502" s="98"/>
      <c r="J502" s="99"/>
      <c r="K502" s="98"/>
      <c r="L502" s="99"/>
      <c r="M502" s="99"/>
      <c r="N502" s="98"/>
      <c r="O502" s="98"/>
      <c r="P502" s="98"/>
      <c r="Q502" s="98"/>
      <c r="R502" s="43"/>
      <c r="S502" s="43"/>
      <c r="T502" s="43"/>
      <c r="U502" s="43"/>
      <c r="V502" s="43"/>
      <c r="W502" s="43"/>
      <c r="X502" s="43"/>
      <c r="Y502" s="43"/>
      <c r="Z502" s="43"/>
      <c r="AA502" s="43"/>
      <c r="AB502" s="43"/>
      <c r="AC502" s="43"/>
      <c r="AD502" s="43"/>
      <c r="AE502" s="43"/>
      <c r="AF502" s="43"/>
      <c r="AG502" s="43"/>
      <c r="AH502" s="43"/>
      <c r="AI502" s="43"/>
      <c r="AJ502" s="43"/>
    </row>
    <row r="503">
      <c r="A503" s="188"/>
      <c r="B503" s="90"/>
      <c r="C503" s="189"/>
      <c r="D503" s="189"/>
      <c r="E503" s="90"/>
      <c r="F503" s="189"/>
      <c r="G503" s="190"/>
      <c r="H503" s="60"/>
      <c r="I503" s="95"/>
      <c r="J503" s="96"/>
      <c r="K503" s="95"/>
      <c r="L503" s="96"/>
      <c r="M503" s="96"/>
      <c r="N503" s="95"/>
      <c r="O503" s="95"/>
      <c r="P503" s="95"/>
      <c r="Q503" s="95"/>
      <c r="R503" s="60"/>
      <c r="S503" s="60"/>
      <c r="T503" s="60"/>
      <c r="U503" s="60"/>
      <c r="V503" s="60"/>
      <c r="W503" s="60"/>
      <c r="X503" s="60"/>
      <c r="Y503" s="60"/>
      <c r="Z503" s="60"/>
      <c r="AA503" s="60"/>
      <c r="AB503" s="60"/>
      <c r="AC503" s="60"/>
      <c r="AD503" s="60"/>
      <c r="AE503" s="60"/>
      <c r="AF503" s="60"/>
      <c r="AG503" s="60"/>
      <c r="AH503" s="60"/>
      <c r="AI503" s="60"/>
      <c r="AJ503" s="60"/>
    </row>
    <row r="504">
      <c r="A504" s="185"/>
      <c r="B504" s="67"/>
      <c r="C504" s="186"/>
      <c r="D504" s="186"/>
      <c r="E504" s="67"/>
      <c r="F504" s="186"/>
      <c r="G504" s="187"/>
      <c r="H504" s="43"/>
      <c r="I504" s="98"/>
      <c r="J504" s="99"/>
      <c r="K504" s="98"/>
      <c r="L504" s="99"/>
      <c r="M504" s="99"/>
      <c r="N504" s="98"/>
      <c r="O504" s="98"/>
      <c r="P504" s="98"/>
      <c r="Q504" s="98"/>
      <c r="R504" s="43"/>
      <c r="S504" s="43"/>
      <c r="T504" s="43"/>
      <c r="U504" s="43"/>
      <c r="V504" s="43"/>
      <c r="W504" s="43"/>
      <c r="X504" s="43"/>
      <c r="Y504" s="43"/>
      <c r="Z504" s="43"/>
      <c r="AA504" s="43"/>
      <c r="AB504" s="43"/>
      <c r="AC504" s="43"/>
      <c r="AD504" s="43"/>
      <c r="AE504" s="43"/>
      <c r="AF504" s="43"/>
      <c r="AG504" s="43"/>
      <c r="AH504" s="43"/>
      <c r="AI504" s="43"/>
      <c r="AJ504" s="43"/>
    </row>
    <row r="505">
      <c r="A505" s="188"/>
      <c r="B505" s="90"/>
      <c r="C505" s="189"/>
      <c r="D505" s="189"/>
      <c r="E505" s="90"/>
      <c r="F505" s="189"/>
      <c r="G505" s="190"/>
      <c r="H505" s="60"/>
      <c r="I505" s="95"/>
      <c r="J505" s="96"/>
      <c r="K505" s="95"/>
      <c r="L505" s="96"/>
      <c r="M505" s="96"/>
      <c r="N505" s="95"/>
      <c r="O505" s="95"/>
      <c r="P505" s="95"/>
      <c r="Q505" s="95"/>
      <c r="R505" s="60"/>
      <c r="S505" s="60"/>
      <c r="T505" s="60"/>
      <c r="U505" s="60"/>
      <c r="V505" s="60"/>
      <c r="W505" s="60"/>
      <c r="X505" s="60"/>
      <c r="Y505" s="60"/>
      <c r="Z505" s="60"/>
      <c r="AA505" s="60"/>
      <c r="AB505" s="60"/>
      <c r="AC505" s="60"/>
      <c r="AD505" s="60"/>
      <c r="AE505" s="60"/>
      <c r="AF505" s="60"/>
      <c r="AG505" s="60"/>
      <c r="AH505" s="60"/>
      <c r="AI505" s="60"/>
      <c r="AJ505" s="60"/>
    </row>
    <row r="506">
      <c r="A506" s="185"/>
      <c r="B506" s="67"/>
      <c r="C506" s="186"/>
      <c r="D506" s="186"/>
      <c r="E506" s="67"/>
      <c r="F506" s="186"/>
      <c r="G506" s="187"/>
      <c r="H506" s="43"/>
      <c r="I506" s="98"/>
      <c r="J506" s="99"/>
      <c r="K506" s="98"/>
      <c r="L506" s="99"/>
      <c r="M506" s="99"/>
      <c r="N506" s="98"/>
      <c r="O506" s="98"/>
      <c r="P506" s="98"/>
      <c r="Q506" s="98"/>
      <c r="R506" s="43"/>
      <c r="S506" s="43"/>
      <c r="T506" s="43"/>
      <c r="U506" s="43"/>
      <c r="V506" s="43"/>
      <c r="W506" s="43"/>
      <c r="X506" s="43"/>
      <c r="Y506" s="43"/>
      <c r="Z506" s="43"/>
      <c r="AA506" s="43"/>
      <c r="AB506" s="43"/>
      <c r="AC506" s="43"/>
      <c r="AD506" s="43"/>
      <c r="AE506" s="43"/>
      <c r="AF506" s="43"/>
      <c r="AG506" s="43"/>
      <c r="AH506" s="43"/>
      <c r="AI506" s="43"/>
      <c r="AJ506" s="43"/>
    </row>
    <row r="507">
      <c r="A507" s="188"/>
      <c r="B507" s="90"/>
      <c r="C507" s="189"/>
      <c r="D507" s="189"/>
      <c r="E507" s="90"/>
      <c r="F507" s="189"/>
      <c r="G507" s="190"/>
      <c r="H507" s="60"/>
      <c r="I507" s="95"/>
      <c r="J507" s="96"/>
      <c r="K507" s="95"/>
      <c r="L507" s="96"/>
      <c r="M507" s="96"/>
      <c r="N507" s="95"/>
      <c r="O507" s="95"/>
      <c r="P507" s="95"/>
      <c r="Q507" s="95"/>
      <c r="R507" s="60"/>
      <c r="S507" s="60"/>
      <c r="T507" s="60"/>
      <c r="U507" s="60"/>
      <c r="V507" s="60"/>
      <c r="W507" s="60"/>
      <c r="X507" s="60"/>
      <c r="Y507" s="60"/>
      <c r="Z507" s="60"/>
      <c r="AA507" s="60"/>
      <c r="AB507" s="60"/>
      <c r="AC507" s="60"/>
      <c r="AD507" s="60"/>
      <c r="AE507" s="60"/>
      <c r="AF507" s="60"/>
      <c r="AG507" s="60"/>
      <c r="AH507" s="60"/>
      <c r="AI507" s="60"/>
      <c r="AJ507" s="60"/>
    </row>
    <row r="508">
      <c r="A508" s="185"/>
      <c r="B508" s="67"/>
      <c r="C508" s="186"/>
      <c r="D508" s="186"/>
      <c r="E508" s="67"/>
      <c r="F508" s="186"/>
      <c r="G508" s="187"/>
      <c r="H508" s="43"/>
      <c r="I508" s="98"/>
      <c r="J508" s="99"/>
      <c r="K508" s="98"/>
      <c r="L508" s="99"/>
      <c r="M508" s="99"/>
      <c r="N508" s="98"/>
      <c r="O508" s="98"/>
      <c r="P508" s="98"/>
      <c r="Q508" s="98"/>
      <c r="R508" s="43"/>
      <c r="S508" s="43"/>
      <c r="T508" s="43"/>
      <c r="U508" s="43"/>
      <c r="V508" s="43"/>
      <c r="W508" s="43"/>
      <c r="X508" s="43"/>
      <c r="Y508" s="43"/>
      <c r="Z508" s="43"/>
      <c r="AA508" s="43"/>
      <c r="AB508" s="43"/>
      <c r="AC508" s="43"/>
      <c r="AD508" s="43"/>
      <c r="AE508" s="43"/>
      <c r="AF508" s="43"/>
      <c r="AG508" s="43"/>
      <c r="AH508" s="43"/>
      <c r="AI508" s="43"/>
      <c r="AJ508" s="43"/>
    </row>
    <row r="509">
      <c r="A509" s="188"/>
      <c r="B509" s="90"/>
      <c r="C509" s="189"/>
      <c r="D509" s="189"/>
      <c r="E509" s="90"/>
      <c r="F509" s="189"/>
      <c r="G509" s="190"/>
      <c r="H509" s="60"/>
      <c r="I509" s="95"/>
      <c r="J509" s="96"/>
      <c r="K509" s="95"/>
      <c r="L509" s="96"/>
      <c r="M509" s="96"/>
      <c r="N509" s="95"/>
      <c r="O509" s="95"/>
      <c r="P509" s="95"/>
      <c r="Q509" s="95"/>
      <c r="R509" s="60"/>
      <c r="S509" s="60"/>
      <c r="T509" s="60"/>
      <c r="U509" s="60"/>
      <c r="V509" s="60"/>
      <c r="W509" s="60"/>
      <c r="X509" s="60"/>
      <c r="Y509" s="60"/>
      <c r="Z509" s="60"/>
      <c r="AA509" s="60"/>
      <c r="AB509" s="60"/>
      <c r="AC509" s="60"/>
      <c r="AD509" s="60"/>
      <c r="AE509" s="60"/>
      <c r="AF509" s="60"/>
      <c r="AG509" s="60"/>
      <c r="AH509" s="60"/>
      <c r="AI509" s="60"/>
      <c r="AJ509" s="60"/>
    </row>
    <row r="510">
      <c r="A510" s="185"/>
      <c r="B510" s="67"/>
      <c r="C510" s="186"/>
      <c r="D510" s="186"/>
      <c r="E510" s="67"/>
      <c r="F510" s="186"/>
      <c r="G510" s="187"/>
      <c r="H510" s="43"/>
      <c r="I510" s="98"/>
      <c r="J510" s="99"/>
      <c r="K510" s="98"/>
      <c r="L510" s="99"/>
      <c r="M510" s="99"/>
      <c r="N510" s="98"/>
      <c r="O510" s="98"/>
      <c r="P510" s="98"/>
      <c r="Q510" s="98"/>
      <c r="R510" s="43"/>
      <c r="S510" s="43"/>
      <c r="T510" s="43"/>
      <c r="U510" s="43"/>
      <c r="V510" s="43"/>
      <c r="W510" s="43"/>
      <c r="X510" s="43"/>
      <c r="Y510" s="43"/>
      <c r="Z510" s="43"/>
      <c r="AA510" s="43"/>
      <c r="AB510" s="43"/>
      <c r="AC510" s="43"/>
      <c r="AD510" s="43"/>
      <c r="AE510" s="43"/>
      <c r="AF510" s="43"/>
      <c r="AG510" s="43"/>
      <c r="AH510" s="43"/>
      <c r="AI510" s="43"/>
      <c r="AJ510" s="43"/>
    </row>
    <row r="511">
      <c r="A511" s="188"/>
      <c r="B511" s="90"/>
      <c r="C511" s="189"/>
      <c r="D511" s="189"/>
      <c r="E511" s="90"/>
      <c r="F511" s="189"/>
      <c r="G511" s="190"/>
      <c r="H511" s="60"/>
      <c r="I511" s="95"/>
      <c r="J511" s="96"/>
      <c r="K511" s="95"/>
      <c r="L511" s="96"/>
      <c r="M511" s="96"/>
      <c r="N511" s="95"/>
      <c r="O511" s="95"/>
      <c r="P511" s="95"/>
      <c r="Q511" s="95"/>
      <c r="R511" s="60"/>
      <c r="S511" s="60"/>
      <c r="T511" s="60"/>
      <c r="U511" s="60"/>
      <c r="V511" s="60"/>
      <c r="W511" s="60"/>
      <c r="X511" s="60"/>
      <c r="Y511" s="60"/>
      <c r="Z511" s="60"/>
      <c r="AA511" s="60"/>
      <c r="AB511" s="60"/>
      <c r="AC511" s="60"/>
      <c r="AD511" s="60"/>
      <c r="AE511" s="60"/>
      <c r="AF511" s="60"/>
      <c r="AG511" s="60"/>
      <c r="AH511" s="60"/>
      <c r="AI511" s="60"/>
      <c r="AJ511" s="60"/>
    </row>
    <row r="512">
      <c r="A512" s="185"/>
      <c r="B512" s="67"/>
      <c r="C512" s="186"/>
      <c r="D512" s="186"/>
      <c r="E512" s="67"/>
      <c r="F512" s="186"/>
      <c r="G512" s="187"/>
      <c r="H512" s="43"/>
      <c r="I512" s="98"/>
      <c r="J512" s="99"/>
      <c r="K512" s="98"/>
      <c r="L512" s="99"/>
      <c r="M512" s="99"/>
      <c r="N512" s="98"/>
      <c r="O512" s="98"/>
      <c r="P512" s="98"/>
      <c r="Q512" s="98"/>
      <c r="R512" s="43"/>
      <c r="S512" s="43"/>
      <c r="T512" s="43"/>
      <c r="U512" s="43"/>
      <c r="V512" s="43"/>
      <c r="W512" s="43"/>
      <c r="X512" s="43"/>
      <c r="Y512" s="43"/>
      <c r="Z512" s="43"/>
      <c r="AA512" s="43"/>
      <c r="AB512" s="43"/>
      <c r="AC512" s="43"/>
      <c r="AD512" s="43"/>
      <c r="AE512" s="43"/>
      <c r="AF512" s="43"/>
      <c r="AG512" s="43"/>
      <c r="AH512" s="43"/>
      <c r="AI512" s="43"/>
      <c r="AJ512" s="43"/>
    </row>
    <row r="513">
      <c r="A513" s="188"/>
      <c r="B513" s="90"/>
      <c r="C513" s="189"/>
      <c r="D513" s="189"/>
      <c r="E513" s="90"/>
      <c r="F513" s="189"/>
      <c r="G513" s="190"/>
      <c r="H513" s="60"/>
      <c r="I513" s="95"/>
      <c r="J513" s="96"/>
      <c r="K513" s="95"/>
      <c r="L513" s="96"/>
      <c r="M513" s="96"/>
      <c r="N513" s="95"/>
      <c r="O513" s="95"/>
      <c r="P513" s="95"/>
      <c r="Q513" s="95"/>
      <c r="R513" s="60"/>
      <c r="S513" s="60"/>
      <c r="T513" s="60"/>
      <c r="U513" s="60"/>
      <c r="V513" s="60"/>
      <c r="W513" s="60"/>
      <c r="X513" s="60"/>
      <c r="Y513" s="60"/>
      <c r="Z513" s="60"/>
      <c r="AA513" s="60"/>
      <c r="AB513" s="60"/>
      <c r="AC513" s="60"/>
      <c r="AD513" s="60"/>
      <c r="AE513" s="60"/>
      <c r="AF513" s="60"/>
      <c r="AG513" s="60"/>
      <c r="AH513" s="60"/>
      <c r="AI513" s="60"/>
      <c r="AJ513" s="60"/>
    </row>
    <row r="514">
      <c r="A514" s="185"/>
      <c r="B514" s="67"/>
      <c r="C514" s="186"/>
      <c r="D514" s="186"/>
      <c r="E514" s="67"/>
      <c r="F514" s="186"/>
      <c r="G514" s="187"/>
      <c r="H514" s="43"/>
      <c r="I514" s="98"/>
      <c r="J514" s="99"/>
      <c r="K514" s="98"/>
      <c r="L514" s="99"/>
      <c r="M514" s="99"/>
      <c r="N514" s="98"/>
      <c r="O514" s="98"/>
      <c r="P514" s="98"/>
      <c r="Q514" s="98"/>
      <c r="R514" s="43"/>
      <c r="S514" s="43"/>
      <c r="T514" s="43"/>
      <c r="U514" s="43"/>
      <c r="V514" s="43"/>
      <c r="W514" s="43"/>
      <c r="X514" s="43"/>
      <c r="Y514" s="43"/>
      <c r="Z514" s="43"/>
      <c r="AA514" s="43"/>
      <c r="AB514" s="43"/>
      <c r="AC514" s="43"/>
      <c r="AD514" s="43"/>
      <c r="AE514" s="43"/>
      <c r="AF514" s="43"/>
      <c r="AG514" s="43"/>
      <c r="AH514" s="43"/>
      <c r="AI514" s="43"/>
      <c r="AJ514" s="43"/>
    </row>
    <row r="515">
      <c r="A515" s="188"/>
      <c r="B515" s="90"/>
      <c r="C515" s="189"/>
      <c r="D515" s="189"/>
      <c r="E515" s="90"/>
      <c r="F515" s="189"/>
      <c r="G515" s="190"/>
      <c r="H515" s="60"/>
      <c r="I515" s="95"/>
      <c r="J515" s="96"/>
      <c r="K515" s="95"/>
      <c r="L515" s="96"/>
      <c r="M515" s="96"/>
      <c r="N515" s="95"/>
      <c r="O515" s="95"/>
      <c r="P515" s="95"/>
      <c r="Q515" s="95"/>
      <c r="R515" s="60"/>
      <c r="S515" s="60"/>
      <c r="T515" s="60"/>
      <c r="U515" s="60"/>
      <c r="V515" s="60"/>
      <c r="W515" s="60"/>
      <c r="X515" s="60"/>
      <c r="Y515" s="60"/>
      <c r="Z515" s="60"/>
      <c r="AA515" s="60"/>
      <c r="AB515" s="60"/>
      <c r="AC515" s="60"/>
      <c r="AD515" s="60"/>
      <c r="AE515" s="60"/>
      <c r="AF515" s="60"/>
      <c r="AG515" s="60"/>
      <c r="AH515" s="60"/>
      <c r="AI515" s="60"/>
      <c r="AJ515" s="60"/>
    </row>
    <row r="516">
      <c r="A516" s="185"/>
      <c r="B516" s="67"/>
      <c r="C516" s="186"/>
      <c r="D516" s="186"/>
      <c r="E516" s="67"/>
      <c r="F516" s="186"/>
      <c r="G516" s="187"/>
      <c r="H516" s="43"/>
      <c r="I516" s="98"/>
      <c r="J516" s="99"/>
      <c r="K516" s="98"/>
      <c r="L516" s="99"/>
      <c r="M516" s="99"/>
      <c r="N516" s="98"/>
      <c r="O516" s="98"/>
      <c r="P516" s="98"/>
      <c r="Q516" s="98"/>
      <c r="R516" s="43"/>
      <c r="S516" s="43"/>
      <c r="T516" s="43"/>
      <c r="U516" s="43"/>
      <c r="V516" s="43"/>
      <c r="W516" s="43"/>
      <c r="X516" s="43"/>
      <c r="Y516" s="43"/>
      <c r="Z516" s="43"/>
      <c r="AA516" s="43"/>
      <c r="AB516" s="43"/>
      <c r="AC516" s="43"/>
      <c r="AD516" s="43"/>
      <c r="AE516" s="43"/>
      <c r="AF516" s="43"/>
      <c r="AG516" s="43"/>
      <c r="AH516" s="43"/>
      <c r="AI516" s="43"/>
      <c r="AJ516" s="43"/>
    </row>
    <row r="517">
      <c r="A517" s="188"/>
      <c r="B517" s="90"/>
      <c r="C517" s="189"/>
      <c r="D517" s="189"/>
      <c r="E517" s="90"/>
      <c r="F517" s="189"/>
      <c r="G517" s="190"/>
      <c r="H517" s="60"/>
      <c r="I517" s="95"/>
      <c r="J517" s="96"/>
      <c r="K517" s="95"/>
      <c r="L517" s="96"/>
      <c r="M517" s="96"/>
      <c r="N517" s="95"/>
      <c r="O517" s="95"/>
      <c r="P517" s="95"/>
      <c r="Q517" s="95"/>
      <c r="R517" s="60"/>
      <c r="S517" s="60"/>
      <c r="T517" s="60"/>
      <c r="U517" s="60"/>
      <c r="V517" s="60"/>
      <c r="W517" s="60"/>
      <c r="X517" s="60"/>
      <c r="Y517" s="60"/>
      <c r="Z517" s="60"/>
      <c r="AA517" s="60"/>
      <c r="AB517" s="60"/>
      <c r="AC517" s="60"/>
      <c r="AD517" s="60"/>
      <c r="AE517" s="60"/>
      <c r="AF517" s="60"/>
      <c r="AG517" s="60"/>
      <c r="AH517" s="60"/>
      <c r="AI517" s="60"/>
      <c r="AJ517" s="60"/>
    </row>
    <row r="518">
      <c r="A518" s="185"/>
      <c r="B518" s="67"/>
      <c r="C518" s="186"/>
      <c r="D518" s="186"/>
      <c r="E518" s="67"/>
      <c r="F518" s="186"/>
      <c r="G518" s="187"/>
      <c r="H518" s="43"/>
      <c r="I518" s="98"/>
      <c r="J518" s="99"/>
      <c r="K518" s="98"/>
      <c r="L518" s="99"/>
      <c r="M518" s="99"/>
      <c r="N518" s="98"/>
      <c r="O518" s="98"/>
      <c r="P518" s="98"/>
      <c r="Q518" s="98"/>
      <c r="R518" s="43"/>
      <c r="S518" s="43"/>
      <c r="T518" s="43"/>
      <c r="U518" s="43"/>
      <c r="V518" s="43"/>
      <c r="W518" s="43"/>
      <c r="X518" s="43"/>
      <c r="Y518" s="43"/>
      <c r="Z518" s="43"/>
      <c r="AA518" s="43"/>
      <c r="AB518" s="43"/>
      <c r="AC518" s="43"/>
      <c r="AD518" s="43"/>
      <c r="AE518" s="43"/>
      <c r="AF518" s="43"/>
      <c r="AG518" s="43"/>
      <c r="AH518" s="43"/>
      <c r="AI518" s="43"/>
      <c r="AJ518" s="43"/>
    </row>
    <row r="519">
      <c r="A519" s="188"/>
      <c r="B519" s="90"/>
      <c r="C519" s="189"/>
      <c r="D519" s="189"/>
      <c r="E519" s="90"/>
      <c r="F519" s="189"/>
      <c r="G519" s="190"/>
      <c r="H519" s="60"/>
      <c r="I519" s="95"/>
      <c r="J519" s="96"/>
      <c r="K519" s="95"/>
      <c r="L519" s="96"/>
      <c r="M519" s="96"/>
      <c r="N519" s="95"/>
      <c r="O519" s="95"/>
      <c r="P519" s="95"/>
      <c r="Q519" s="95"/>
      <c r="R519" s="60"/>
      <c r="S519" s="60"/>
      <c r="T519" s="60"/>
      <c r="U519" s="60"/>
      <c r="V519" s="60"/>
      <c r="W519" s="60"/>
      <c r="X519" s="60"/>
      <c r="Y519" s="60"/>
      <c r="Z519" s="60"/>
      <c r="AA519" s="60"/>
      <c r="AB519" s="60"/>
      <c r="AC519" s="60"/>
      <c r="AD519" s="60"/>
      <c r="AE519" s="60"/>
      <c r="AF519" s="60"/>
      <c r="AG519" s="60"/>
      <c r="AH519" s="60"/>
      <c r="AI519" s="60"/>
      <c r="AJ519" s="60"/>
    </row>
    <row r="520">
      <c r="A520" s="185"/>
      <c r="B520" s="67"/>
      <c r="C520" s="186"/>
      <c r="D520" s="186"/>
      <c r="E520" s="67"/>
      <c r="F520" s="186"/>
      <c r="G520" s="187"/>
      <c r="H520" s="43"/>
      <c r="I520" s="98"/>
      <c r="J520" s="99"/>
      <c r="K520" s="98"/>
      <c r="L520" s="99"/>
      <c r="M520" s="99"/>
      <c r="N520" s="98"/>
      <c r="O520" s="98"/>
      <c r="P520" s="98"/>
      <c r="Q520" s="98"/>
      <c r="R520" s="43"/>
      <c r="S520" s="43"/>
      <c r="T520" s="43"/>
      <c r="U520" s="43"/>
      <c r="V520" s="43"/>
      <c r="W520" s="43"/>
      <c r="X520" s="43"/>
      <c r="Y520" s="43"/>
      <c r="Z520" s="43"/>
      <c r="AA520" s="43"/>
      <c r="AB520" s="43"/>
      <c r="AC520" s="43"/>
      <c r="AD520" s="43"/>
      <c r="AE520" s="43"/>
      <c r="AF520" s="43"/>
      <c r="AG520" s="43"/>
      <c r="AH520" s="43"/>
      <c r="AI520" s="43"/>
      <c r="AJ520" s="43"/>
    </row>
    <row r="521">
      <c r="A521" s="188"/>
      <c r="B521" s="90"/>
      <c r="C521" s="189"/>
      <c r="D521" s="189"/>
      <c r="E521" s="90"/>
      <c r="F521" s="189"/>
      <c r="G521" s="190"/>
      <c r="H521" s="60"/>
      <c r="I521" s="95"/>
      <c r="J521" s="96"/>
      <c r="K521" s="95"/>
      <c r="L521" s="96"/>
      <c r="M521" s="96"/>
      <c r="N521" s="95"/>
      <c r="O521" s="95"/>
      <c r="P521" s="95"/>
      <c r="Q521" s="95"/>
      <c r="R521" s="60"/>
      <c r="S521" s="60"/>
      <c r="T521" s="60"/>
      <c r="U521" s="60"/>
      <c r="V521" s="60"/>
      <c r="W521" s="60"/>
      <c r="X521" s="60"/>
      <c r="Y521" s="60"/>
      <c r="Z521" s="60"/>
      <c r="AA521" s="60"/>
      <c r="AB521" s="60"/>
      <c r="AC521" s="60"/>
      <c r="AD521" s="60"/>
      <c r="AE521" s="60"/>
      <c r="AF521" s="60"/>
      <c r="AG521" s="60"/>
      <c r="AH521" s="60"/>
      <c r="AI521" s="60"/>
      <c r="AJ521" s="60"/>
    </row>
    <row r="522">
      <c r="A522" s="185"/>
      <c r="B522" s="67"/>
      <c r="C522" s="186"/>
      <c r="D522" s="186"/>
      <c r="E522" s="67"/>
      <c r="F522" s="186"/>
      <c r="G522" s="187"/>
      <c r="H522" s="43"/>
      <c r="I522" s="98"/>
      <c r="J522" s="99"/>
      <c r="K522" s="98"/>
      <c r="L522" s="99"/>
      <c r="M522" s="99"/>
      <c r="N522" s="98"/>
      <c r="O522" s="98"/>
      <c r="P522" s="98"/>
      <c r="Q522" s="98"/>
      <c r="R522" s="43"/>
      <c r="S522" s="43"/>
      <c r="T522" s="43"/>
      <c r="U522" s="43"/>
      <c r="V522" s="43"/>
      <c r="W522" s="43"/>
      <c r="X522" s="43"/>
      <c r="Y522" s="43"/>
      <c r="Z522" s="43"/>
      <c r="AA522" s="43"/>
      <c r="AB522" s="43"/>
      <c r="AC522" s="43"/>
      <c r="AD522" s="43"/>
      <c r="AE522" s="43"/>
      <c r="AF522" s="43"/>
      <c r="AG522" s="43"/>
      <c r="AH522" s="43"/>
      <c r="AI522" s="43"/>
      <c r="AJ522" s="43"/>
    </row>
    <row r="523">
      <c r="A523" s="188"/>
      <c r="B523" s="90"/>
      <c r="C523" s="189"/>
      <c r="D523" s="189"/>
      <c r="E523" s="90"/>
      <c r="F523" s="189"/>
      <c r="G523" s="190"/>
      <c r="H523" s="60"/>
      <c r="I523" s="95"/>
      <c r="J523" s="96"/>
      <c r="K523" s="95"/>
      <c r="L523" s="96"/>
      <c r="M523" s="96"/>
      <c r="N523" s="95"/>
      <c r="O523" s="95"/>
      <c r="P523" s="95"/>
      <c r="Q523" s="95"/>
      <c r="R523" s="60"/>
      <c r="S523" s="60"/>
      <c r="T523" s="60"/>
      <c r="U523" s="60"/>
      <c r="V523" s="60"/>
      <c r="W523" s="60"/>
      <c r="X523" s="60"/>
      <c r="Y523" s="60"/>
      <c r="Z523" s="60"/>
      <c r="AA523" s="60"/>
      <c r="AB523" s="60"/>
      <c r="AC523" s="60"/>
      <c r="AD523" s="60"/>
      <c r="AE523" s="60"/>
      <c r="AF523" s="60"/>
      <c r="AG523" s="60"/>
      <c r="AH523" s="60"/>
      <c r="AI523" s="60"/>
      <c r="AJ523" s="60"/>
    </row>
    <row r="524">
      <c r="A524" s="185"/>
      <c r="B524" s="67"/>
      <c r="C524" s="186"/>
      <c r="D524" s="186"/>
      <c r="E524" s="67"/>
      <c r="F524" s="186"/>
      <c r="G524" s="187"/>
      <c r="H524" s="43"/>
      <c r="I524" s="98"/>
      <c r="J524" s="99"/>
      <c r="K524" s="98"/>
      <c r="L524" s="99"/>
      <c r="M524" s="99"/>
      <c r="N524" s="98"/>
      <c r="O524" s="98"/>
      <c r="P524" s="98"/>
      <c r="Q524" s="98"/>
      <c r="R524" s="43"/>
      <c r="S524" s="43"/>
      <c r="T524" s="43"/>
      <c r="U524" s="43"/>
      <c r="V524" s="43"/>
      <c r="W524" s="43"/>
      <c r="X524" s="43"/>
      <c r="Y524" s="43"/>
      <c r="Z524" s="43"/>
      <c r="AA524" s="43"/>
      <c r="AB524" s="43"/>
      <c r="AC524" s="43"/>
      <c r="AD524" s="43"/>
      <c r="AE524" s="43"/>
      <c r="AF524" s="43"/>
      <c r="AG524" s="43"/>
      <c r="AH524" s="43"/>
      <c r="AI524" s="43"/>
      <c r="AJ524" s="43"/>
    </row>
    <row r="525">
      <c r="A525" s="188"/>
      <c r="B525" s="90"/>
      <c r="C525" s="189"/>
      <c r="D525" s="189"/>
      <c r="E525" s="90"/>
      <c r="F525" s="189"/>
      <c r="G525" s="190"/>
      <c r="H525" s="60"/>
      <c r="I525" s="95"/>
      <c r="J525" s="96"/>
      <c r="K525" s="95"/>
      <c r="L525" s="96"/>
      <c r="M525" s="96"/>
      <c r="N525" s="95"/>
      <c r="O525" s="95"/>
      <c r="P525" s="95"/>
      <c r="Q525" s="95"/>
      <c r="R525" s="60"/>
      <c r="S525" s="60"/>
      <c r="T525" s="60"/>
      <c r="U525" s="60"/>
      <c r="V525" s="60"/>
      <c r="W525" s="60"/>
      <c r="X525" s="60"/>
      <c r="Y525" s="60"/>
      <c r="Z525" s="60"/>
      <c r="AA525" s="60"/>
      <c r="AB525" s="60"/>
      <c r="AC525" s="60"/>
      <c r="AD525" s="60"/>
      <c r="AE525" s="60"/>
      <c r="AF525" s="60"/>
      <c r="AG525" s="60"/>
      <c r="AH525" s="60"/>
      <c r="AI525" s="60"/>
      <c r="AJ525" s="60"/>
    </row>
    <row r="526">
      <c r="A526" s="185"/>
      <c r="B526" s="67"/>
      <c r="C526" s="186"/>
      <c r="D526" s="186"/>
      <c r="E526" s="67"/>
      <c r="F526" s="186"/>
      <c r="G526" s="187"/>
      <c r="H526" s="43"/>
      <c r="I526" s="98"/>
      <c r="J526" s="99"/>
      <c r="K526" s="98"/>
      <c r="L526" s="99"/>
      <c r="M526" s="99"/>
      <c r="N526" s="98"/>
      <c r="O526" s="98"/>
      <c r="P526" s="98"/>
      <c r="Q526" s="98"/>
      <c r="R526" s="43"/>
      <c r="S526" s="43"/>
      <c r="T526" s="43"/>
      <c r="U526" s="43"/>
      <c r="V526" s="43"/>
      <c r="W526" s="43"/>
      <c r="X526" s="43"/>
      <c r="Y526" s="43"/>
      <c r="Z526" s="43"/>
      <c r="AA526" s="43"/>
      <c r="AB526" s="43"/>
      <c r="AC526" s="43"/>
      <c r="AD526" s="43"/>
      <c r="AE526" s="43"/>
      <c r="AF526" s="43"/>
      <c r="AG526" s="43"/>
      <c r="AH526" s="43"/>
      <c r="AI526" s="43"/>
      <c r="AJ526" s="43"/>
    </row>
    <row r="527">
      <c r="A527" s="188"/>
      <c r="B527" s="90"/>
      <c r="C527" s="189"/>
      <c r="D527" s="189"/>
      <c r="E527" s="90"/>
      <c r="F527" s="189"/>
      <c r="G527" s="190"/>
      <c r="H527" s="60"/>
      <c r="I527" s="95"/>
      <c r="J527" s="96"/>
      <c r="K527" s="95"/>
      <c r="L527" s="96"/>
      <c r="M527" s="96"/>
      <c r="N527" s="95"/>
      <c r="O527" s="95"/>
      <c r="P527" s="95"/>
      <c r="Q527" s="95"/>
      <c r="R527" s="60"/>
      <c r="S527" s="60"/>
      <c r="T527" s="60"/>
      <c r="U527" s="60"/>
      <c r="V527" s="60"/>
      <c r="W527" s="60"/>
      <c r="X527" s="60"/>
      <c r="Y527" s="60"/>
      <c r="Z527" s="60"/>
      <c r="AA527" s="60"/>
      <c r="AB527" s="60"/>
      <c r="AC527" s="60"/>
      <c r="AD527" s="60"/>
      <c r="AE527" s="60"/>
      <c r="AF527" s="60"/>
      <c r="AG527" s="60"/>
      <c r="AH527" s="60"/>
      <c r="AI527" s="60"/>
      <c r="AJ527" s="60"/>
    </row>
    <row r="528">
      <c r="A528" s="185"/>
      <c r="B528" s="67"/>
      <c r="C528" s="186"/>
      <c r="D528" s="186"/>
      <c r="E528" s="67"/>
      <c r="F528" s="186"/>
      <c r="G528" s="187"/>
      <c r="H528" s="43"/>
      <c r="I528" s="98"/>
      <c r="J528" s="99"/>
      <c r="K528" s="98"/>
      <c r="L528" s="99"/>
      <c r="M528" s="99"/>
      <c r="N528" s="98"/>
      <c r="O528" s="98"/>
      <c r="P528" s="98"/>
      <c r="Q528" s="98"/>
      <c r="R528" s="43"/>
      <c r="S528" s="43"/>
      <c r="T528" s="43"/>
      <c r="U528" s="43"/>
      <c r="V528" s="43"/>
      <c r="W528" s="43"/>
      <c r="X528" s="43"/>
      <c r="Y528" s="43"/>
      <c r="Z528" s="43"/>
      <c r="AA528" s="43"/>
      <c r="AB528" s="43"/>
      <c r="AC528" s="43"/>
      <c r="AD528" s="43"/>
      <c r="AE528" s="43"/>
      <c r="AF528" s="43"/>
      <c r="AG528" s="43"/>
      <c r="AH528" s="43"/>
      <c r="AI528" s="43"/>
      <c r="AJ528" s="43"/>
    </row>
    <row r="529">
      <c r="A529" s="188"/>
      <c r="B529" s="90"/>
      <c r="C529" s="189"/>
      <c r="D529" s="189"/>
      <c r="E529" s="90"/>
      <c r="F529" s="189"/>
      <c r="G529" s="190"/>
      <c r="H529" s="60"/>
      <c r="I529" s="95"/>
      <c r="J529" s="96"/>
      <c r="K529" s="95"/>
      <c r="L529" s="96"/>
      <c r="M529" s="96"/>
      <c r="N529" s="95"/>
      <c r="O529" s="95"/>
      <c r="P529" s="95"/>
      <c r="Q529" s="95"/>
      <c r="R529" s="60"/>
      <c r="S529" s="60"/>
      <c r="T529" s="60"/>
      <c r="U529" s="60"/>
      <c r="V529" s="60"/>
      <c r="W529" s="60"/>
      <c r="X529" s="60"/>
      <c r="Y529" s="60"/>
      <c r="Z529" s="60"/>
      <c r="AA529" s="60"/>
      <c r="AB529" s="60"/>
      <c r="AC529" s="60"/>
      <c r="AD529" s="60"/>
      <c r="AE529" s="60"/>
      <c r="AF529" s="60"/>
      <c r="AG529" s="60"/>
      <c r="AH529" s="60"/>
      <c r="AI529" s="60"/>
      <c r="AJ529" s="60"/>
    </row>
    <row r="530">
      <c r="A530" s="185"/>
      <c r="B530" s="67"/>
      <c r="C530" s="186"/>
      <c r="D530" s="186"/>
      <c r="E530" s="67"/>
      <c r="F530" s="186"/>
      <c r="G530" s="187"/>
      <c r="H530" s="43"/>
      <c r="I530" s="98"/>
      <c r="J530" s="99"/>
      <c r="K530" s="98"/>
      <c r="L530" s="99"/>
      <c r="M530" s="99"/>
      <c r="N530" s="98"/>
      <c r="O530" s="98"/>
      <c r="P530" s="98"/>
      <c r="Q530" s="98"/>
      <c r="R530" s="43"/>
      <c r="S530" s="43"/>
      <c r="T530" s="43"/>
      <c r="U530" s="43"/>
      <c r="V530" s="43"/>
      <c r="W530" s="43"/>
      <c r="X530" s="43"/>
      <c r="Y530" s="43"/>
      <c r="Z530" s="43"/>
      <c r="AA530" s="43"/>
      <c r="AB530" s="43"/>
      <c r="AC530" s="43"/>
      <c r="AD530" s="43"/>
      <c r="AE530" s="43"/>
      <c r="AF530" s="43"/>
      <c r="AG530" s="43"/>
      <c r="AH530" s="43"/>
      <c r="AI530" s="43"/>
      <c r="AJ530" s="43"/>
    </row>
    <row r="531">
      <c r="A531" s="188"/>
      <c r="B531" s="90"/>
      <c r="C531" s="189"/>
      <c r="D531" s="189"/>
      <c r="E531" s="90"/>
      <c r="F531" s="189"/>
      <c r="G531" s="190"/>
      <c r="H531" s="60"/>
      <c r="I531" s="95"/>
      <c r="J531" s="96"/>
      <c r="K531" s="95"/>
      <c r="L531" s="96"/>
      <c r="M531" s="96"/>
      <c r="N531" s="95"/>
      <c r="O531" s="95"/>
      <c r="P531" s="95"/>
      <c r="Q531" s="95"/>
      <c r="R531" s="60"/>
      <c r="S531" s="60"/>
      <c r="T531" s="60"/>
      <c r="U531" s="60"/>
      <c r="V531" s="60"/>
      <c r="W531" s="60"/>
      <c r="X531" s="60"/>
      <c r="Y531" s="60"/>
      <c r="Z531" s="60"/>
      <c r="AA531" s="60"/>
      <c r="AB531" s="60"/>
      <c r="AC531" s="60"/>
      <c r="AD531" s="60"/>
      <c r="AE531" s="60"/>
      <c r="AF531" s="60"/>
      <c r="AG531" s="60"/>
      <c r="AH531" s="60"/>
      <c r="AI531" s="60"/>
      <c r="AJ531" s="60"/>
    </row>
    <row r="532">
      <c r="A532" s="185"/>
      <c r="B532" s="67"/>
      <c r="C532" s="186"/>
      <c r="D532" s="186"/>
      <c r="E532" s="67"/>
      <c r="F532" s="186"/>
      <c r="G532" s="187"/>
      <c r="H532" s="43"/>
      <c r="I532" s="98"/>
      <c r="J532" s="99"/>
      <c r="K532" s="98"/>
      <c r="L532" s="99"/>
      <c r="M532" s="99"/>
      <c r="N532" s="98"/>
      <c r="O532" s="98"/>
      <c r="P532" s="98"/>
      <c r="Q532" s="98"/>
      <c r="R532" s="43"/>
      <c r="S532" s="43"/>
      <c r="T532" s="43"/>
      <c r="U532" s="43"/>
      <c r="V532" s="43"/>
      <c r="W532" s="43"/>
      <c r="X532" s="43"/>
      <c r="Y532" s="43"/>
      <c r="Z532" s="43"/>
      <c r="AA532" s="43"/>
      <c r="AB532" s="43"/>
      <c r="AC532" s="43"/>
      <c r="AD532" s="43"/>
      <c r="AE532" s="43"/>
      <c r="AF532" s="43"/>
      <c r="AG532" s="43"/>
      <c r="AH532" s="43"/>
      <c r="AI532" s="43"/>
      <c r="AJ532" s="43"/>
    </row>
    <row r="533">
      <c r="A533" s="188"/>
      <c r="B533" s="90"/>
      <c r="C533" s="189"/>
      <c r="D533" s="189"/>
      <c r="E533" s="90"/>
      <c r="F533" s="189"/>
      <c r="G533" s="190"/>
      <c r="H533" s="60"/>
      <c r="I533" s="95"/>
      <c r="J533" s="96"/>
      <c r="K533" s="95"/>
      <c r="L533" s="96"/>
      <c r="M533" s="96"/>
      <c r="N533" s="95"/>
      <c r="O533" s="95"/>
      <c r="P533" s="95"/>
      <c r="Q533" s="95"/>
      <c r="R533" s="60"/>
      <c r="S533" s="60"/>
      <c r="T533" s="60"/>
      <c r="U533" s="60"/>
      <c r="V533" s="60"/>
      <c r="W533" s="60"/>
      <c r="X533" s="60"/>
      <c r="Y533" s="60"/>
      <c r="Z533" s="60"/>
      <c r="AA533" s="60"/>
      <c r="AB533" s="60"/>
      <c r="AC533" s="60"/>
      <c r="AD533" s="60"/>
      <c r="AE533" s="60"/>
      <c r="AF533" s="60"/>
      <c r="AG533" s="60"/>
      <c r="AH533" s="60"/>
      <c r="AI533" s="60"/>
      <c r="AJ533" s="60"/>
    </row>
    <row r="534">
      <c r="A534" s="185"/>
      <c r="B534" s="67"/>
      <c r="C534" s="186"/>
      <c r="D534" s="186"/>
      <c r="E534" s="67"/>
      <c r="F534" s="186"/>
      <c r="G534" s="187"/>
      <c r="H534" s="43"/>
      <c r="I534" s="98"/>
      <c r="J534" s="99"/>
      <c r="K534" s="98"/>
      <c r="L534" s="99"/>
      <c r="M534" s="99"/>
      <c r="N534" s="98"/>
      <c r="O534" s="98"/>
      <c r="P534" s="98"/>
      <c r="Q534" s="98"/>
      <c r="R534" s="43"/>
      <c r="S534" s="43"/>
      <c r="T534" s="43"/>
      <c r="U534" s="43"/>
      <c r="V534" s="43"/>
      <c r="W534" s="43"/>
      <c r="X534" s="43"/>
      <c r="Y534" s="43"/>
      <c r="Z534" s="43"/>
      <c r="AA534" s="43"/>
      <c r="AB534" s="43"/>
      <c r="AC534" s="43"/>
      <c r="AD534" s="43"/>
      <c r="AE534" s="43"/>
      <c r="AF534" s="43"/>
      <c r="AG534" s="43"/>
      <c r="AH534" s="43"/>
      <c r="AI534" s="43"/>
      <c r="AJ534" s="43"/>
    </row>
    <row r="535">
      <c r="A535" s="188"/>
      <c r="B535" s="90"/>
      <c r="C535" s="189"/>
      <c r="D535" s="189"/>
      <c r="E535" s="90"/>
      <c r="F535" s="189"/>
      <c r="G535" s="190"/>
      <c r="H535" s="60"/>
      <c r="I535" s="95"/>
      <c r="J535" s="96"/>
      <c r="K535" s="95"/>
      <c r="L535" s="96"/>
      <c r="M535" s="96"/>
      <c r="N535" s="95"/>
      <c r="O535" s="95"/>
      <c r="P535" s="95"/>
      <c r="Q535" s="95"/>
      <c r="R535" s="60"/>
      <c r="S535" s="60"/>
      <c r="T535" s="60"/>
      <c r="U535" s="60"/>
      <c r="V535" s="60"/>
      <c r="W535" s="60"/>
      <c r="X535" s="60"/>
      <c r="Y535" s="60"/>
      <c r="Z535" s="60"/>
      <c r="AA535" s="60"/>
      <c r="AB535" s="60"/>
      <c r="AC535" s="60"/>
      <c r="AD535" s="60"/>
      <c r="AE535" s="60"/>
      <c r="AF535" s="60"/>
      <c r="AG535" s="60"/>
      <c r="AH535" s="60"/>
      <c r="AI535" s="60"/>
      <c r="AJ535" s="60"/>
    </row>
    <row r="536">
      <c r="A536" s="185"/>
      <c r="B536" s="67"/>
      <c r="C536" s="186"/>
      <c r="D536" s="186"/>
      <c r="E536" s="67"/>
      <c r="F536" s="186"/>
      <c r="G536" s="187"/>
      <c r="H536" s="43"/>
      <c r="I536" s="98"/>
      <c r="J536" s="99"/>
      <c r="K536" s="98"/>
      <c r="L536" s="99"/>
      <c r="M536" s="99"/>
      <c r="N536" s="98"/>
      <c r="O536" s="98"/>
      <c r="P536" s="98"/>
      <c r="Q536" s="98"/>
      <c r="R536" s="43"/>
      <c r="S536" s="43"/>
      <c r="T536" s="43"/>
      <c r="U536" s="43"/>
      <c r="V536" s="43"/>
      <c r="W536" s="43"/>
      <c r="X536" s="43"/>
      <c r="Y536" s="43"/>
      <c r="Z536" s="43"/>
      <c r="AA536" s="43"/>
      <c r="AB536" s="43"/>
      <c r="AC536" s="43"/>
      <c r="AD536" s="43"/>
      <c r="AE536" s="43"/>
      <c r="AF536" s="43"/>
      <c r="AG536" s="43"/>
      <c r="AH536" s="43"/>
      <c r="AI536" s="43"/>
      <c r="AJ536" s="43"/>
    </row>
    <row r="537">
      <c r="A537" s="188"/>
      <c r="B537" s="90"/>
      <c r="C537" s="189"/>
      <c r="D537" s="189"/>
      <c r="E537" s="90"/>
      <c r="F537" s="189"/>
      <c r="G537" s="190"/>
      <c r="H537" s="60"/>
      <c r="I537" s="95"/>
      <c r="J537" s="96"/>
      <c r="K537" s="95"/>
      <c r="L537" s="96"/>
      <c r="M537" s="96"/>
      <c r="N537" s="95"/>
      <c r="O537" s="95"/>
      <c r="P537" s="95"/>
      <c r="Q537" s="95"/>
      <c r="R537" s="60"/>
      <c r="S537" s="60"/>
      <c r="T537" s="60"/>
      <c r="U537" s="60"/>
      <c r="V537" s="60"/>
      <c r="W537" s="60"/>
      <c r="X537" s="60"/>
      <c r="Y537" s="60"/>
      <c r="Z537" s="60"/>
      <c r="AA537" s="60"/>
      <c r="AB537" s="60"/>
      <c r="AC537" s="60"/>
      <c r="AD537" s="60"/>
      <c r="AE537" s="60"/>
      <c r="AF537" s="60"/>
      <c r="AG537" s="60"/>
      <c r="AH537" s="60"/>
      <c r="AI537" s="60"/>
      <c r="AJ537" s="60"/>
    </row>
    <row r="538">
      <c r="A538" s="185"/>
      <c r="B538" s="67"/>
      <c r="C538" s="186"/>
      <c r="D538" s="186"/>
      <c r="E538" s="67"/>
      <c r="F538" s="186"/>
      <c r="G538" s="187"/>
      <c r="H538" s="43"/>
      <c r="I538" s="98"/>
      <c r="J538" s="99"/>
      <c r="K538" s="98"/>
      <c r="L538" s="99"/>
      <c r="M538" s="99"/>
      <c r="N538" s="98"/>
      <c r="O538" s="98"/>
      <c r="P538" s="98"/>
      <c r="Q538" s="98"/>
      <c r="R538" s="43"/>
      <c r="S538" s="43"/>
      <c r="T538" s="43"/>
      <c r="U538" s="43"/>
      <c r="V538" s="43"/>
      <c r="W538" s="43"/>
      <c r="X538" s="43"/>
      <c r="Y538" s="43"/>
      <c r="Z538" s="43"/>
      <c r="AA538" s="43"/>
      <c r="AB538" s="43"/>
      <c r="AC538" s="43"/>
      <c r="AD538" s="43"/>
      <c r="AE538" s="43"/>
      <c r="AF538" s="43"/>
      <c r="AG538" s="43"/>
      <c r="AH538" s="43"/>
      <c r="AI538" s="43"/>
      <c r="AJ538" s="43"/>
    </row>
    <row r="539">
      <c r="A539" s="188"/>
      <c r="B539" s="90"/>
      <c r="C539" s="189"/>
      <c r="D539" s="189"/>
      <c r="E539" s="90"/>
      <c r="F539" s="189"/>
      <c r="G539" s="190"/>
      <c r="H539" s="60"/>
      <c r="I539" s="95"/>
      <c r="J539" s="96"/>
      <c r="K539" s="95"/>
      <c r="L539" s="96"/>
      <c r="M539" s="96"/>
      <c r="N539" s="95"/>
      <c r="O539" s="95"/>
      <c r="P539" s="95"/>
      <c r="Q539" s="95"/>
      <c r="R539" s="60"/>
      <c r="S539" s="60"/>
      <c r="T539" s="60"/>
      <c r="U539" s="60"/>
      <c r="V539" s="60"/>
      <c r="W539" s="60"/>
      <c r="X539" s="60"/>
      <c r="Y539" s="60"/>
      <c r="Z539" s="60"/>
      <c r="AA539" s="60"/>
      <c r="AB539" s="60"/>
      <c r="AC539" s="60"/>
      <c r="AD539" s="60"/>
      <c r="AE539" s="60"/>
      <c r="AF539" s="60"/>
      <c r="AG539" s="60"/>
      <c r="AH539" s="60"/>
      <c r="AI539" s="60"/>
      <c r="AJ539" s="60"/>
    </row>
    <row r="540">
      <c r="A540" s="185"/>
      <c r="B540" s="67"/>
      <c r="C540" s="186"/>
      <c r="D540" s="186"/>
      <c r="E540" s="67"/>
      <c r="F540" s="186"/>
      <c r="G540" s="187"/>
      <c r="H540" s="43"/>
      <c r="I540" s="98"/>
      <c r="J540" s="99"/>
      <c r="K540" s="98"/>
      <c r="L540" s="99"/>
      <c r="M540" s="99"/>
      <c r="N540" s="98"/>
      <c r="O540" s="98"/>
      <c r="P540" s="98"/>
      <c r="Q540" s="98"/>
      <c r="R540" s="43"/>
      <c r="S540" s="43"/>
      <c r="T540" s="43"/>
      <c r="U540" s="43"/>
      <c r="V540" s="43"/>
      <c r="W540" s="43"/>
      <c r="X540" s="43"/>
      <c r="Y540" s="43"/>
      <c r="Z540" s="43"/>
      <c r="AA540" s="43"/>
      <c r="AB540" s="43"/>
      <c r="AC540" s="43"/>
      <c r="AD540" s="43"/>
      <c r="AE540" s="43"/>
      <c r="AF540" s="43"/>
      <c r="AG540" s="43"/>
      <c r="AH540" s="43"/>
      <c r="AI540" s="43"/>
      <c r="AJ540" s="43"/>
    </row>
    <row r="541">
      <c r="A541" s="188"/>
      <c r="B541" s="90"/>
      <c r="C541" s="189"/>
      <c r="D541" s="189"/>
      <c r="E541" s="90"/>
      <c r="F541" s="189"/>
      <c r="G541" s="190"/>
      <c r="H541" s="60"/>
      <c r="I541" s="95"/>
      <c r="J541" s="96"/>
      <c r="K541" s="95"/>
      <c r="L541" s="96"/>
      <c r="M541" s="96"/>
      <c r="N541" s="95"/>
      <c r="O541" s="95"/>
      <c r="P541" s="95"/>
      <c r="Q541" s="95"/>
      <c r="R541" s="60"/>
      <c r="S541" s="60"/>
      <c r="T541" s="60"/>
      <c r="U541" s="60"/>
      <c r="V541" s="60"/>
      <c r="W541" s="60"/>
      <c r="X541" s="60"/>
      <c r="Y541" s="60"/>
      <c r="Z541" s="60"/>
      <c r="AA541" s="60"/>
      <c r="AB541" s="60"/>
      <c r="AC541" s="60"/>
      <c r="AD541" s="60"/>
      <c r="AE541" s="60"/>
      <c r="AF541" s="60"/>
      <c r="AG541" s="60"/>
      <c r="AH541" s="60"/>
      <c r="AI541" s="60"/>
      <c r="AJ541" s="60"/>
    </row>
    <row r="542">
      <c r="A542" s="185"/>
      <c r="B542" s="67"/>
      <c r="C542" s="186"/>
      <c r="D542" s="186"/>
      <c r="E542" s="67"/>
      <c r="F542" s="186"/>
      <c r="G542" s="187"/>
      <c r="H542" s="43"/>
      <c r="I542" s="98"/>
      <c r="J542" s="99"/>
      <c r="K542" s="98"/>
      <c r="L542" s="99"/>
      <c r="M542" s="99"/>
      <c r="N542" s="98"/>
      <c r="O542" s="98"/>
      <c r="P542" s="98"/>
      <c r="Q542" s="98"/>
      <c r="R542" s="43"/>
      <c r="S542" s="43"/>
      <c r="T542" s="43"/>
      <c r="U542" s="43"/>
      <c r="V542" s="43"/>
      <c r="W542" s="43"/>
      <c r="X542" s="43"/>
      <c r="Y542" s="43"/>
      <c r="Z542" s="43"/>
      <c r="AA542" s="43"/>
      <c r="AB542" s="43"/>
      <c r="AC542" s="43"/>
      <c r="AD542" s="43"/>
      <c r="AE542" s="43"/>
      <c r="AF542" s="43"/>
      <c r="AG542" s="43"/>
      <c r="AH542" s="43"/>
      <c r="AI542" s="43"/>
      <c r="AJ542" s="43"/>
    </row>
    <row r="543">
      <c r="A543" s="188"/>
      <c r="B543" s="90"/>
      <c r="C543" s="189"/>
      <c r="D543" s="189"/>
      <c r="E543" s="90"/>
      <c r="F543" s="189"/>
      <c r="G543" s="190"/>
      <c r="H543" s="60"/>
      <c r="I543" s="95"/>
      <c r="J543" s="96"/>
      <c r="K543" s="95"/>
      <c r="L543" s="96"/>
      <c r="M543" s="96"/>
      <c r="N543" s="95"/>
      <c r="O543" s="95"/>
      <c r="P543" s="95"/>
      <c r="Q543" s="95"/>
      <c r="R543" s="60"/>
      <c r="S543" s="60"/>
      <c r="T543" s="60"/>
      <c r="U543" s="60"/>
      <c r="V543" s="60"/>
      <c r="W543" s="60"/>
      <c r="X543" s="60"/>
      <c r="Y543" s="60"/>
      <c r="Z543" s="60"/>
      <c r="AA543" s="60"/>
      <c r="AB543" s="60"/>
      <c r="AC543" s="60"/>
      <c r="AD543" s="60"/>
      <c r="AE543" s="60"/>
      <c r="AF543" s="60"/>
      <c r="AG543" s="60"/>
      <c r="AH543" s="60"/>
      <c r="AI543" s="60"/>
      <c r="AJ543" s="60"/>
    </row>
    <row r="544">
      <c r="A544" s="185"/>
      <c r="B544" s="67"/>
      <c r="C544" s="186"/>
      <c r="D544" s="186"/>
      <c r="E544" s="67"/>
      <c r="F544" s="186"/>
      <c r="G544" s="187"/>
      <c r="H544" s="43"/>
      <c r="I544" s="98"/>
      <c r="J544" s="99"/>
      <c r="K544" s="98"/>
      <c r="L544" s="99"/>
      <c r="M544" s="99"/>
      <c r="N544" s="98"/>
      <c r="O544" s="98"/>
      <c r="P544" s="98"/>
      <c r="Q544" s="98"/>
      <c r="R544" s="43"/>
      <c r="S544" s="43"/>
      <c r="T544" s="43"/>
      <c r="U544" s="43"/>
      <c r="V544" s="43"/>
      <c r="W544" s="43"/>
      <c r="X544" s="43"/>
      <c r="Y544" s="43"/>
      <c r="Z544" s="43"/>
      <c r="AA544" s="43"/>
      <c r="AB544" s="43"/>
      <c r="AC544" s="43"/>
      <c r="AD544" s="43"/>
      <c r="AE544" s="43"/>
      <c r="AF544" s="43"/>
      <c r="AG544" s="43"/>
      <c r="AH544" s="43"/>
      <c r="AI544" s="43"/>
      <c r="AJ544" s="43"/>
    </row>
    <row r="545">
      <c r="A545" s="188"/>
      <c r="B545" s="90"/>
      <c r="C545" s="189"/>
      <c r="D545" s="189"/>
      <c r="E545" s="90"/>
      <c r="F545" s="189"/>
      <c r="G545" s="190"/>
      <c r="H545" s="60"/>
      <c r="I545" s="95"/>
      <c r="J545" s="96"/>
      <c r="K545" s="95"/>
      <c r="L545" s="96"/>
      <c r="M545" s="96"/>
      <c r="N545" s="95"/>
      <c r="O545" s="95"/>
      <c r="P545" s="95"/>
      <c r="Q545" s="95"/>
      <c r="R545" s="60"/>
      <c r="S545" s="60"/>
      <c r="T545" s="60"/>
      <c r="U545" s="60"/>
      <c r="V545" s="60"/>
      <c r="W545" s="60"/>
      <c r="X545" s="60"/>
      <c r="Y545" s="60"/>
      <c r="Z545" s="60"/>
      <c r="AA545" s="60"/>
      <c r="AB545" s="60"/>
      <c r="AC545" s="60"/>
      <c r="AD545" s="60"/>
      <c r="AE545" s="60"/>
      <c r="AF545" s="60"/>
      <c r="AG545" s="60"/>
      <c r="AH545" s="60"/>
      <c r="AI545" s="60"/>
      <c r="AJ545" s="60"/>
    </row>
    <row r="546">
      <c r="A546" s="185"/>
      <c r="B546" s="67"/>
      <c r="C546" s="186"/>
      <c r="D546" s="186"/>
      <c r="E546" s="67"/>
      <c r="F546" s="186"/>
      <c r="G546" s="187"/>
      <c r="H546" s="43"/>
      <c r="I546" s="98"/>
      <c r="J546" s="99"/>
      <c r="K546" s="98"/>
      <c r="L546" s="99"/>
      <c r="M546" s="99"/>
      <c r="N546" s="98"/>
      <c r="O546" s="98"/>
      <c r="P546" s="98"/>
      <c r="Q546" s="98"/>
      <c r="R546" s="43"/>
      <c r="S546" s="43"/>
      <c r="T546" s="43"/>
      <c r="U546" s="43"/>
      <c r="V546" s="43"/>
      <c r="W546" s="43"/>
      <c r="X546" s="43"/>
      <c r="Y546" s="43"/>
      <c r="Z546" s="43"/>
      <c r="AA546" s="43"/>
      <c r="AB546" s="43"/>
      <c r="AC546" s="43"/>
      <c r="AD546" s="43"/>
      <c r="AE546" s="43"/>
      <c r="AF546" s="43"/>
      <c r="AG546" s="43"/>
      <c r="AH546" s="43"/>
      <c r="AI546" s="43"/>
      <c r="AJ546" s="43"/>
    </row>
    <row r="547">
      <c r="A547" s="188"/>
      <c r="B547" s="90"/>
      <c r="C547" s="189"/>
      <c r="D547" s="189"/>
      <c r="E547" s="90"/>
      <c r="F547" s="189"/>
      <c r="G547" s="190"/>
      <c r="H547" s="60"/>
      <c r="I547" s="95"/>
      <c r="J547" s="96"/>
      <c r="K547" s="95"/>
      <c r="L547" s="96"/>
      <c r="M547" s="96"/>
      <c r="N547" s="95"/>
      <c r="O547" s="95"/>
      <c r="P547" s="95"/>
      <c r="Q547" s="95"/>
      <c r="R547" s="60"/>
      <c r="S547" s="60"/>
      <c r="T547" s="60"/>
      <c r="U547" s="60"/>
      <c r="V547" s="60"/>
      <c r="W547" s="60"/>
      <c r="X547" s="60"/>
      <c r="Y547" s="60"/>
      <c r="Z547" s="60"/>
      <c r="AA547" s="60"/>
      <c r="AB547" s="60"/>
      <c r="AC547" s="60"/>
      <c r="AD547" s="60"/>
      <c r="AE547" s="60"/>
      <c r="AF547" s="60"/>
      <c r="AG547" s="60"/>
      <c r="AH547" s="60"/>
      <c r="AI547" s="60"/>
      <c r="AJ547" s="60"/>
    </row>
    <row r="548">
      <c r="A548" s="185"/>
      <c r="B548" s="67"/>
      <c r="C548" s="186"/>
      <c r="D548" s="186"/>
      <c r="E548" s="67"/>
      <c r="F548" s="186"/>
      <c r="G548" s="187"/>
      <c r="H548" s="43"/>
      <c r="I548" s="98"/>
      <c r="J548" s="99"/>
      <c r="K548" s="98"/>
      <c r="L548" s="99"/>
      <c r="M548" s="99"/>
      <c r="N548" s="98"/>
      <c r="O548" s="98"/>
      <c r="P548" s="98"/>
      <c r="Q548" s="98"/>
      <c r="R548" s="43"/>
      <c r="S548" s="43"/>
      <c r="T548" s="43"/>
      <c r="U548" s="43"/>
      <c r="V548" s="43"/>
      <c r="W548" s="43"/>
      <c r="X548" s="43"/>
      <c r="Y548" s="43"/>
      <c r="Z548" s="43"/>
      <c r="AA548" s="43"/>
      <c r="AB548" s="43"/>
      <c r="AC548" s="43"/>
      <c r="AD548" s="43"/>
      <c r="AE548" s="43"/>
      <c r="AF548" s="43"/>
      <c r="AG548" s="43"/>
      <c r="AH548" s="43"/>
      <c r="AI548" s="43"/>
      <c r="AJ548" s="43"/>
    </row>
    <row r="549">
      <c r="A549" s="188"/>
      <c r="B549" s="90"/>
      <c r="C549" s="189"/>
      <c r="D549" s="189"/>
      <c r="E549" s="90"/>
      <c r="F549" s="189"/>
      <c r="G549" s="190"/>
      <c r="H549" s="60"/>
      <c r="I549" s="95"/>
      <c r="J549" s="96"/>
      <c r="K549" s="95"/>
      <c r="L549" s="96"/>
      <c r="M549" s="96"/>
      <c r="N549" s="95"/>
      <c r="O549" s="95"/>
      <c r="P549" s="95"/>
      <c r="Q549" s="95"/>
      <c r="R549" s="60"/>
      <c r="S549" s="60"/>
      <c r="T549" s="60"/>
      <c r="U549" s="60"/>
      <c r="V549" s="60"/>
      <c r="W549" s="60"/>
      <c r="X549" s="60"/>
      <c r="Y549" s="60"/>
      <c r="Z549" s="60"/>
      <c r="AA549" s="60"/>
      <c r="AB549" s="60"/>
      <c r="AC549" s="60"/>
      <c r="AD549" s="60"/>
      <c r="AE549" s="60"/>
      <c r="AF549" s="60"/>
      <c r="AG549" s="60"/>
      <c r="AH549" s="60"/>
      <c r="AI549" s="60"/>
      <c r="AJ549" s="60"/>
    </row>
    <row r="550">
      <c r="A550" s="185"/>
      <c r="B550" s="67"/>
      <c r="C550" s="186"/>
      <c r="D550" s="186"/>
      <c r="E550" s="67"/>
      <c r="F550" s="186"/>
      <c r="G550" s="187"/>
      <c r="H550" s="43"/>
      <c r="I550" s="98"/>
      <c r="J550" s="99"/>
      <c r="K550" s="98"/>
      <c r="L550" s="99"/>
      <c r="M550" s="99"/>
      <c r="N550" s="98"/>
      <c r="O550" s="98"/>
      <c r="P550" s="98"/>
      <c r="Q550" s="98"/>
      <c r="R550" s="43"/>
      <c r="S550" s="43"/>
      <c r="T550" s="43"/>
      <c r="U550" s="43"/>
      <c r="V550" s="43"/>
      <c r="W550" s="43"/>
      <c r="X550" s="43"/>
      <c r="Y550" s="43"/>
      <c r="Z550" s="43"/>
      <c r="AA550" s="43"/>
      <c r="AB550" s="43"/>
      <c r="AC550" s="43"/>
      <c r="AD550" s="43"/>
      <c r="AE550" s="43"/>
      <c r="AF550" s="43"/>
      <c r="AG550" s="43"/>
      <c r="AH550" s="43"/>
      <c r="AI550" s="43"/>
      <c r="AJ550" s="43"/>
    </row>
    <row r="551">
      <c r="A551" s="188"/>
      <c r="B551" s="90"/>
      <c r="C551" s="189"/>
      <c r="D551" s="189"/>
      <c r="E551" s="90"/>
      <c r="F551" s="189"/>
      <c r="G551" s="190"/>
      <c r="H551" s="60"/>
      <c r="I551" s="95"/>
      <c r="J551" s="96"/>
      <c r="K551" s="95"/>
      <c r="L551" s="96"/>
      <c r="M551" s="96"/>
      <c r="N551" s="95"/>
      <c r="O551" s="95"/>
      <c r="P551" s="95"/>
      <c r="Q551" s="95"/>
      <c r="R551" s="60"/>
      <c r="S551" s="60"/>
      <c r="T551" s="60"/>
      <c r="U551" s="60"/>
      <c r="V551" s="60"/>
      <c r="W551" s="60"/>
      <c r="X551" s="60"/>
      <c r="Y551" s="60"/>
      <c r="Z551" s="60"/>
      <c r="AA551" s="60"/>
      <c r="AB551" s="60"/>
      <c r="AC551" s="60"/>
      <c r="AD551" s="60"/>
      <c r="AE551" s="60"/>
      <c r="AF551" s="60"/>
      <c r="AG551" s="60"/>
      <c r="AH551" s="60"/>
      <c r="AI551" s="60"/>
      <c r="AJ551" s="60"/>
    </row>
    <row r="552">
      <c r="A552" s="185"/>
      <c r="B552" s="67"/>
      <c r="C552" s="186"/>
      <c r="D552" s="186"/>
      <c r="E552" s="67"/>
      <c r="F552" s="186"/>
      <c r="G552" s="187"/>
      <c r="H552" s="43"/>
      <c r="I552" s="98"/>
      <c r="J552" s="99"/>
      <c r="K552" s="98"/>
      <c r="L552" s="99"/>
      <c r="M552" s="99"/>
      <c r="N552" s="98"/>
      <c r="O552" s="98"/>
      <c r="P552" s="98"/>
      <c r="Q552" s="98"/>
      <c r="R552" s="43"/>
      <c r="S552" s="43"/>
      <c r="T552" s="43"/>
      <c r="U552" s="43"/>
      <c r="V552" s="43"/>
      <c r="W552" s="43"/>
      <c r="X552" s="43"/>
      <c r="Y552" s="43"/>
      <c r="Z552" s="43"/>
      <c r="AA552" s="43"/>
      <c r="AB552" s="43"/>
      <c r="AC552" s="43"/>
      <c r="AD552" s="43"/>
      <c r="AE552" s="43"/>
      <c r="AF552" s="43"/>
      <c r="AG552" s="43"/>
      <c r="AH552" s="43"/>
      <c r="AI552" s="43"/>
      <c r="AJ552" s="43"/>
    </row>
    <row r="553">
      <c r="A553" s="188"/>
      <c r="B553" s="90"/>
      <c r="C553" s="189"/>
      <c r="D553" s="189"/>
      <c r="E553" s="90"/>
      <c r="F553" s="189"/>
      <c r="G553" s="190"/>
      <c r="H553" s="60"/>
      <c r="I553" s="95"/>
      <c r="J553" s="96"/>
      <c r="K553" s="95"/>
      <c r="L553" s="96"/>
      <c r="M553" s="96"/>
      <c r="N553" s="95"/>
      <c r="O553" s="95"/>
      <c r="P553" s="95"/>
      <c r="Q553" s="95"/>
      <c r="R553" s="60"/>
      <c r="S553" s="60"/>
      <c r="T553" s="60"/>
      <c r="U553" s="60"/>
      <c r="V553" s="60"/>
      <c r="W553" s="60"/>
      <c r="X553" s="60"/>
      <c r="Y553" s="60"/>
      <c r="Z553" s="60"/>
      <c r="AA553" s="60"/>
      <c r="AB553" s="60"/>
      <c r="AC553" s="60"/>
      <c r="AD553" s="60"/>
      <c r="AE553" s="60"/>
      <c r="AF553" s="60"/>
      <c r="AG553" s="60"/>
      <c r="AH553" s="60"/>
      <c r="AI553" s="60"/>
      <c r="AJ553" s="60"/>
    </row>
    <row r="554">
      <c r="A554" s="185"/>
      <c r="B554" s="67"/>
      <c r="C554" s="186"/>
      <c r="D554" s="186"/>
      <c r="E554" s="67"/>
      <c r="F554" s="186"/>
      <c r="G554" s="187"/>
      <c r="H554" s="43"/>
      <c r="I554" s="98"/>
      <c r="J554" s="99"/>
      <c r="K554" s="98"/>
      <c r="L554" s="99"/>
      <c r="M554" s="99"/>
      <c r="N554" s="98"/>
      <c r="O554" s="98"/>
      <c r="P554" s="98"/>
      <c r="Q554" s="98"/>
      <c r="R554" s="43"/>
      <c r="S554" s="43"/>
      <c r="T554" s="43"/>
      <c r="U554" s="43"/>
      <c r="V554" s="43"/>
      <c r="W554" s="43"/>
      <c r="X554" s="43"/>
      <c r="Y554" s="43"/>
      <c r="Z554" s="43"/>
      <c r="AA554" s="43"/>
      <c r="AB554" s="43"/>
      <c r="AC554" s="43"/>
      <c r="AD554" s="43"/>
      <c r="AE554" s="43"/>
      <c r="AF554" s="43"/>
      <c r="AG554" s="43"/>
      <c r="AH554" s="43"/>
      <c r="AI554" s="43"/>
      <c r="AJ554" s="43"/>
    </row>
    <row r="555">
      <c r="A555" s="188"/>
      <c r="B555" s="90"/>
      <c r="C555" s="189"/>
      <c r="D555" s="189"/>
      <c r="E555" s="90"/>
      <c r="F555" s="189"/>
      <c r="G555" s="190"/>
      <c r="H555" s="60"/>
      <c r="I555" s="95"/>
      <c r="J555" s="96"/>
      <c r="K555" s="95"/>
      <c r="L555" s="96"/>
      <c r="M555" s="96"/>
      <c r="N555" s="95"/>
      <c r="O555" s="95"/>
      <c r="P555" s="95"/>
      <c r="Q555" s="95"/>
      <c r="R555" s="60"/>
      <c r="S555" s="60"/>
      <c r="T555" s="60"/>
      <c r="U555" s="60"/>
      <c r="V555" s="60"/>
      <c r="W555" s="60"/>
      <c r="X555" s="60"/>
      <c r="Y555" s="60"/>
      <c r="Z555" s="60"/>
      <c r="AA555" s="60"/>
      <c r="AB555" s="60"/>
      <c r="AC555" s="60"/>
      <c r="AD555" s="60"/>
      <c r="AE555" s="60"/>
      <c r="AF555" s="60"/>
      <c r="AG555" s="60"/>
      <c r="AH555" s="60"/>
      <c r="AI555" s="60"/>
      <c r="AJ555" s="60"/>
    </row>
    <row r="556">
      <c r="A556" s="185"/>
      <c r="B556" s="67"/>
      <c r="C556" s="186"/>
      <c r="D556" s="186"/>
      <c r="E556" s="67"/>
      <c r="F556" s="186"/>
      <c r="G556" s="187"/>
      <c r="H556" s="43"/>
      <c r="I556" s="98"/>
      <c r="J556" s="99"/>
      <c r="K556" s="98"/>
      <c r="L556" s="99"/>
      <c r="M556" s="99"/>
      <c r="N556" s="98"/>
      <c r="O556" s="98"/>
      <c r="P556" s="98"/>
      <c r="Q556" s="98"/>
      <c r="R556" s="43"/>
      <c r="S556" s="43"/>
      <c r="T556" s="43"/>
      <c r="U556" s="43"/>
      <c r="V556" s="43"/>
      <c r="W556" s="43"/>
      <c r="X556" s="43"/>
      <c r="Y556" s="43"/>
      <c r="Z556" s="43"/>
      <c r="AA556" s="43"/>
      <c r="AB556" s="43"/>
      <c r="AC556" s="43"/>
      <c r="AD556" s="43"/>
      <c r="AE556" s="43"/>
      <c r="AF556" s="43"/>
      <c r="AG556" s="43"/>
      <c r="AH556" s="43"/>
      <c r="AI556" s="43"/>
      <c r="AJ556" s="43"/>
    </row>
    <row r="557">
      <c r="A557" s="188"/>
      <c r="B557" s="90"/>
      <c r="C557" s="189"/>
      <c r="D557" s="189"/>
      <c r="E557" s="90"/>
      <c r="F557" s="189"/>
      <c r="G557" s="190"/>
      <c r="H557" s="60"/>
      <c r="I557" s="95"/>
      <c r="J557" s="96"/>
      <c r="K557" s="95"/>
      <c r="L557" s="96"/>
      <c r="M557" s="96"/>
      <c r="N557" s="95"/>
      <c r="O557" s="95"/>
      <c r="P557" s="95"/>
      <c r="Q557" s="95"/>
      <c r="R557" s="60"/>
      <c r="S557" s="60"/>
      <c r="T557" s="60"/>
      <c r="U557" s="60"/>
      <c r="V557" s="60"/>
      <c r="W557" s="60"/>
      <c r="X557" s="60"/>
      <c r="Y557" s="60"/>
      <c r="Z557" s="60"/>
      <c r="AA557" s="60"/>
      <c r="AB557" s="60"/>
      <c r="AC557" s="60"/>
      <c r="AD557" s="60"/>
      <c r="AE557" s="60"/>
      <c r="AF557" s="60"/>
      <c r="AG557" s="60"/>
      <c r="AH557" s="60"/>
      <c r="AI557" s="60"/>
      <c r="AJ557" s="60"/>
    </row>
    <row r="558">
      <c r="A558" s="185"/>
      <c r="B558" s="67"/>
      <c r="C558" s="186"/>
      <c r="D558" s="186"/>
      <c r="E558" s="67"/>
      <c r="F558" s="186"/>
      <c r="G558" s="187"/>
      <c r="H558" s="43"/>
      <c r="I558" s="98"/>
      <c r="J558" s="99"/>
      <c r="K558" s="98"/>
      <c r="L558" s="99"/>
      <c r="M558" s="99"/>
      <c r="N558" s="98"/>
      <c r="O558" s="98"/>
      <c r="P558" s="98"/>
      <c r="Q558" s="98"/>
      <c r="R558" s="43"/>
      <c r="S558" s="43"/>
      <c r="T558" s="43"/>
      <c r="U558" s="43"/>
      <c r="V558" s="43"/>
      <c r="W558" s="43"/>
      <c r="X558" s="43"/>
      <c r="Y558" s="43"/>
      <c r="Z558" s="43"/>
      <c r="AA558" s="43"/>
      <c r="AB558" s="43"/>
      <c r="AC558" s="43"/>
      <c r="AD558" s="43"/>
      <c r="AE558" s="43"/>
      <c r="AF558" s="43"/>
      <c r="AG558" s="43"/>
      <c r="AH558" s="43"/>
      <c r="AI558" s="43"/>
      <c r="AJ558" s="43"/>
    </row>
    <row r="559">
      <c r="A559" s="188"/>
      <c r="B559" s="90"/>
      <c r="C559" s="189"/>
      <c r="D559" s="189"/>
      <c r="E559" s="90"/>
      <c r="F559" s="189"/>
      <c r="G559" s="190"/>
      <c r="H559" s="60"/>
      <c r="I559" s="95"/>
      <c r="J559" s="96"/>
      <c r="K559" s="95"/>
      <c r="L559" s="96"/>
      <c r="M559" s="96"/>
      <c r="N559" s="95"/>
      <c r="O559" s="95"/>
      <c r="P559" s="95"/>
      <c r="Q559" s="95"/>
      <c r="R559" s="60"/>
      <c r="S559" s="60"/>
      <c r="T559" s="60"/>
      <c r="U559" s="60"/>
      <c r="V559" s="60"/>
      <c r="W559" s="60"/>
      <c r="X559" s="60"/>
      <c r="Y559" s="60"/>
      <c r="Z559" s="60"/>
      <c r="AA559" s="60"/>
      <c r="AB559" s="60"/>
      <c r="AC559" s="60"/>
      <c r="AD559" s="60"/>
      <c r="AE559" s="60"/>
      <c r="AF559" s="60"/>
      <c r="AG559" s="60"/>
      <c r="AH559" s="60"/>
      <c r="AI559" s="60"/>
      <c r="AJ559" s="60"/>
    </row>
    <row r="560">
      <c r="A560" s="185"/>
      <c r="B560" s="67"/>
      <c r="C560" s="186"/>
      <c r="D560" s="186"/>
      <c r="E560" s="67"/>
      <c r="F560" s="186"/>
      <c r="G560" s="187"/>
      <c r="H560" s="43"/>
      <c r="I560" s="98"/>
      <c r="J560" s="99"/>
      <c r="K560" s="98"/>
      <c r="L560" s="99"/>
      <c r="M560" s="99"/>
      <c r="N560" s="98"/>
      <c r="O560" s="98"/>
      <c r="P560" s="98"/>
      <c r="Q560" s="98"/>
      <c r="R560" s="43"/>
      <c r="S560" s="43"/>
      <c r="T560" s="43"/>
      <c r="U560" s="43"/>
      <c r="V560" s="43"/>
      <c r="W560" s="43"/>
      <c r="X560" s="43"/>
      <c r="Y560" s="43"/>
      <c r="Z560" s="43"/>
      <c r="AA560" s="43"/>
      <c r="AB560" s="43"/>
      <c r="AC560" s="43"/>
      <c r="AD560" s="43"/>
      <c r="AE560" s="43"/>
      <c r="AF560" s="43"/>
      <c r="AG560" s="43"/>
      <c r="AH560" s="43"/>
      <c r="AI560" s="43"/>
      <c r="AJ560" s="43"/>
    </row>
    <row r="561">
      <c r="A561" s="188"/>
      <c r="B561" s="90"/>
      <c r="C561" s="189"/>
      <c r="D561" s="189"/>
      <c r="E561" s="90"/>
      <c r="F561" s="189"/>
      <c r="G561" s="190"/>
      <c r="H561" s="60"/>
      <c r="I561" s="95"/>
      <c r="J561" s="96"/>
      <c r="K561" s="95"/>
      <c r="L561" s="96"/>
      <c r="M561" s="96"/>
      <c r="N561" s="95"/>
      <c r="O561" s="95"/>
      <c r="P561" s="95"/>
      <c r="Q561" s="95"/>
      <c r="R561" s="60"/>
      <c r="S561" s="60"/>
      <c r="T561" s="60"/>
      <c r="U561" s="60"/>
      <c r="V561" s="60"/>
      <c r="W561" s="60"/>
      <c r="X561" s="60"/>
      <c r="Y561" s="60"/>
      <c r="Z561" s="60"/>
      <c r="AA561" s="60"/>
      <c r="AB561" s="60"/>
      <c r="AC561" s="60"/>
      <c r="AD561" s="60"/>
      <c r="AE561" s="60"/>
      <c r="AF561" s="60"/>
      <c r="AG561" s="60"/>
      <c r="AH561" s="60"/>
      <c r="AI561" s="60"/>
      <c r="AJ561" s="60"/>
    </row>
    <row r="562">
      <c r="A562" s="185"/>
      <c r="B562" s="67"/>
      <c r="C562" s="186"/>
      <c r="D562" s="186"/>
      <c r="E562" s="67"/>
      <c r="F562" s="186"/>
      <c r="G562" s="187"/>
      <c r="H562" s="43"/>
      <c r="I562" s="98"/>
      <c r="J562" s="99"/>
      <c r="K562" s="98"/>
      <c r="L562" s="99"/>
      <c r="M562" s="99"/>
      <c r="N562" s="98"/>
      <c r="O562" s="98"/>
      <c r="P562" s="98"/>
      <c r="Q562" s="98"/>
      <c r="R562" s="43"/>
      <c r="S562" s="43"/>
      <c r="T562" s="43"/>
      <c r="U562" s="43"/>
      <c r="V562" s="43"/>
      <c r="W562" s="43"/>
      <c r="X562" s="43"/>
      <c r="Y562" s="43"/>
      <c r="Z562" s="43"/>
      <c r="AA562" s="43"/>
      <c r="AB562" s="43"/>
      <c r="AC562" s="43"/>
      <c r="AD562" s="43"/>
      <c r="AE562" s="43"/>
      <c r="AF562" s="43"/>
      <c r="AG562" s="43"/>
      <c r="AH562" s="43"/>
      <c r="AI562" s="43"/>
      <c r="AJ562" s="43"/>
    </row>
    <row r="563">
      <c r="A563" s="188"/>
      <c r="B563" s="90"/>
      <c r="C563" s="189"/>
      <c r="D563" s="189"/>
      <c r="E563" s="90"/>
      <c r="F563" s="189"/>
      <c r="G563" s="190"/>
      <c r="H563" s="60"/>
      <c r="I563" s="95"/>
      <c r="J563" s="96"/>
      <c r="K563" s="95"/>
      <c r="L563" s="96"/>
      <c r="M563" s="96"/>
      <c r="N563" s="95"/>
      <c r="O563" s="95"/>
      <c r="P563" s="95"/>
      <c r="Q563" s="95"/>
      <c r="R563" s="60"/>
      <c r="S563" s="60"/>
      <c r="T563" s="60"/>
      <c r="U563" s="60"/>
      <c r="V563" s="60"/>
      <c r="W563" s="60"/>
      <c r="X563" s="60"/>
      <c r="Y563" s="60"/>
      <c r="Z563" s="60"/>
      <c r="AA563" s="60"/>
      <c r="AB563" s="60"/>
      <c r="AC563" s="60"/>
      <c r="AD563" s="60"/>
      <c r="AE563" s="60"/>
      <c r="AF563" s="60"/>
      <c r="AG563" s="60"/>
      <c r="AH563" s="60"/>
      <c r="AI563" s="60"/>
      <c r="AJ563" s="60"/>
    </row>
    <row r="564">
      <c r="A564" s="185"/>
      <c r="B564" s="67"/>
      <c r="C564" s="186"/>
      <c r="D564" s="186"/>
      <c r="E564" s="67"/>
      <c r="F564" s="186"/>
      <c r="G564" s="187"/>
      <c r="H564" s="43"/>
      <c r="I564" s="98"/>
      <c r="J564" s="99"/>
      <c r="K564" s="98"/>
      <c r="L564" s="99"/>
      <c r="M564" s="99"/>
      <c r="N564" s="98"/>
      <c r="O564" s="98"/>
      <c r="P564" s="98"/>
      <c r="Q564" s="98"/>
      <c r="R564" s="43"/>
      <c r="S564" s="43"/>
      <c r="T564" s="43"/>
      <c r="U564" s="43"/>
      <c r="V564" s="43"/>
      <c r="W564" s="43"/>
      <c r="X564" s="43"/>
      <c r="Y564" s="43"/>
      <c r="Z564" s="43"/>
      <c r="AA564" s="43"/>
      <c r="AB564" s="43"/>
      <c r="AC564" s="43"/>
      <c r="AD564" s="43"/>
      <c r="AE564" s="43"/>
      <c r="AF564" s="43"/>
      <c r="AG564" s="43"/>
      <c r="AH564" s="43"/>
      <c r="AI564" s="43"/>
      <c r="AJ564" s="43"/>
    </row>
    <row r="565">
      <c r="A565" s="188"/>
      <c r="B565" s="90"/>
      <c r="C565" s="189"/>
      <c r="D565" s="189"/>
      <c r="E565" s="90"/>
      <c r="F565" s="189"/>
      <c r="G565" s="190"/>
      <c r="H565" s="60"/>
      <c r="I565" s="95"/>
      <c r="J565" s="96"/>
      <c r="K565" s="95"/>
      <c r="L565" s="96"/>
      <c r="M565" s="96"/>
      <c r="N565" s="95"/>
      <c r="O565" s="95"/>
      <c r="P565" s="95"/>
      <c r="Q565" s="95"/>
      <c r="R565" s="60"/>
      <c r="S565" s="60"/>
      <c r="T565" s="60"/>
      <c r="U565" s="60"/>
      <c r="V565" s="60"/>
      <c r="W565" s="60"/>
      <c r="X565" s="60"/>
      <c r="Y565" s="60"/>
      <c r="Z565" s="60"/>
      <c r="AA565" s="60"/>
      <c r="AB565" s="60"/>
      <c r="AC565" s="60"/>
      <c r="AD565" s="60"/>
      <c r="AE565" s="60"/>
      <c r="AF565" s="60"/>
      <c r="AG565" s="60"/>
      <c r="AH565" s="60"/>
      <c r="AI565" s="60"/>
      <c r="AJ565" s="60"/>
    </row>
    <row r="566">
      <c r="A566" s="185"/>
      <c r="B566" s="67"/>
      <c r="C566" s="186"/>
      <c r="D566" s="186"/>
      <c r="E566" s="67"/>
      <c r="F566" s="186"/>
      <c r="G566" s="187"/>
      <c r="H566" s="43"/>
      <c r="I566" s="98"/>
      <c r="J566" s="99"/>
      <c r="K566" s="98"/>
      <c r="L566" s="99"/>
      <c r="M566" s="99"/>
      <c r="N566" s="98"/>
      <c r="O566" s="98"/>
      <c r="P566" s="98"/>
      <c r="Q566" s="98"/>
      <c r="R566" s="43"/>
      <c r="S566" s="43"/>
      <c r="T566" s="43"/>
      <c r="U566" s="43"/>
      <c r="V566" s="43"/>
      <c r="W566" s="43"/>
      <c r="X566" s="43"/>
      <c r="Y566" s="43"/>
      <c r="Z566" s="43"/>
      <c r="AA566" s="43"/>
      <c r="AB566" s="43"/>
      <c r="AC566" s="43"/>
      <c r="AD566" s="43"/>
      <c r="AE566" s="43"/>
      <c r="AF566" s="43"/>
      <c r="AG566" s="43"/>
      <c r="AH566" s="43"/>
      <c r="AI566" s="43"/>
      <c r="AJ566" s="43"/>
    </row>
    <row r="567">
      <c r="A567" s="188"/>
      <c r="B567" s="90"/>
      <c r="C567" s="189"/>
      <c r="D567" s="189"/>
      <c r="E567" s="90"/>
      <c r="F567" s="189"/>
      <c r="G567" s="190"/>
      <c r="H567" s="60"/>
      <c r="I567" s="95"/>
      <c r="J567" s="96"/>
      <c r="K567" s="95"/>
      <c r="L567" s="96"/>
      <c r="M567" s="96"/>
      <c r="N567" s="95"/>
      <c r="O567" s="95"/>
      <c r="P567" s="95"/>
      <c r="Q567" s="95"/>
      <c r="R567" s="60"/>
      <c r="S567" s="60"/>
      <c r="T567" s="60"/>
      <c r="U567" s="60"/>
      <c r="V567" s="60"/>
      <c r="W567" s="60"/>
      <c r="X567" s="60"/>
      <c r="Y567" s="60"/>
      <c r="Z567" s="60"/>
      <c r="AA567" s="60"/>
      <c r="AB567" s="60"/>
      <c r="AC567" s="60"/>
      <c r="AD567" s="60"/>
      <c r="AE567" s="60"/>
      <c r="AF567" s="60"/>
      <c r="AG567" s="60"/>
      <c r="AH567" s="60"/>
      <c r="AI567" s="60"/>
      <c r="AJ567" s="60"/>
    </row>
    <row r="568">
      <c r="A568" s="185"/>
      <c r="B568" s="67"/>
      <c r="C568" s="186"/>
      <c r="D568" s="186"/>
      <c r="E568" s="67"/>
      <c r="F568" s="186"/>
      <c r="G568" s="187"/>
      <c r="H568" s="43"/>
      <c r="I568" s="98"/>
      <c r="J568" s="99"/>
      <c r="K568" s="98"/>
      <c r="L568" s="99"/>
      <c r="M568" s="99"/>
      <c r="N568" s="98"/>
      <c r="O568" s="98"/>
      <c r="P568" s="98"/>
      <c r="Q568" s="98"/>
      <c r="R568" s="43"/>
      <c r="S568" s="43"/>
      <c r="T568" s="43"/>
      <c r="U568" s="43"/>
      <c r="V568" s="43"/>
      <c r="W568" s="43"/>
      <c r="X568" s="43"/>
      <c r="Y568" s="43"/>
      <c r="Z568" s="43"/>
      <c r="AA568" s="43"/>
      <c r="AB568" s="43"/>
      <c r="AC568" s="43"/>
      <c r="AD568" s="43"/>
      <c r="AE568" s="43"/>
      <c r="AF568" s="43"/>
      <c r="AG568" s="43"/>
      <c r="AH568" s="43"/>
      <c r="AI568" s="43"/>
      <c r="AJ568" s="43"/>
    </row>
    <row r="569">
      <c r="A569" s="188"/>
      <c r="B569" s="90"/>
      <c r="C569" s="189"/>
      <c r="D569" s="189"/>
      <c r="E569" s="90"/>
      <c r="F569" s="189"/>
      <c r="G569" s="190"/>
      <c r="H569" s="60"/>
      <c r="I569" s="95"/>
      <c r="J569" s="96"/>
      <c r="K569" s="95"/>
      <c r="L569" s="96"/>
      <c r="M569" s="96"/>
      <c r="N569" s="95"/>
      <c r="O569" s="95"/>
      <c r="P569" s="95"/>
      <c r="Q569" s="95"/>
      <c r="R569" s="60"/>
      <c r="S569" s="60"/>
      <c r="T569" s="60"/>
      <c r="U569" s="60"/>
      <c r="V569" s="60"/>
      <c r="W569" s="60"/>
      <c r="X569" s="60"/>
      <c r="Y569" s="60"/>
      <c r="Z569" s="60"/>
      <c r="AA569" s="60"/>
      <c r="AB569" s="60"/>
      <c r="AC569" s="60"/>
      <c r="AD569" s="60"/>
      <c r="AE569" s="60"/>
      <c r="AF569" s="60"/>
      <c r="AG569" s="60"/>
      <c r="AH569" s="60"/>
      <c r="AI569" s="60"/>
      <c r="AJ569" s="60"/>
    </row>
    <row r="570">
      <c r="A570" s="185"/>
      <c r="B570" s="67"/>
      <c r="C570" s="186"/>
      <c r="D570" s="186"/>
      <c r="E570" s="67"/>
      <c r="F570" s="186"/>
      <c r="G570" s="187"/>
      <c r="H570" s="43"/>
      <c r="I570" s="98"/>
      <c r="J570" s="99"/>
      <c r="K570" s="98"/>
      <c r="L570" s="99"/>
      <c r="M570" s="99"/>
      <c r="N570" s="98"/>
      <c r="O570" s="98"/>
      <c r="P570" s="98"/>
      <c r="Q570" s="98"/>
      <c r="R570" s="43"/>
      <c r="S570" s="43"/>
      <c r="T570" s="43"/>
      <c r="U570" s="43"/>
      <c r="V570" s="43"/>
      <c r="W570" s="43"/>
      <c r="X570" s="43"/>
      <c r="Y570" s="43"/>
      <c r="Z570" s="43"/>
      <c r="AA570" s="43"/>
      <c r="AB570" s="43"/>
      <c r="AC570" s="43"/>
      <c r="AD570" s="43"/>
      <c r="AE570" s="43"/>
      <c r="AF570" s="43"/>
      <c r="AG570" s="43"/>
      <c r="AH570" s="43"/>
      <c r="AI570" s="43"/>
      <c r="AJ570" s="43"/>
    </row>
    <row r="571">
      <c r="A571" s="188"/>
      <c r="B571" s="90"/>
      <c r="C571" s="189"/>
      <c r="D571" s="189"/>
      <c r="E571" s="90"/>
      <c r="F571" s="189"/>
      <c r="G571" s="190"/>
      <c r="H571" s="60"/>
      <c r="I571" s="95"/>
      <c r="J571" s="96"/>
      <c r="K571" s="95"/>
      <c r="L571" s="96"/>
      <c r="M571" s="96"/>
      <c r="N571" s="95"/>
      <c r="O571" s="95"/>
      <c r="P571" s="95"/>
      <c r="Q571" s="95"/>
      <c r="R571" s="60"/>
      <c r="S571" s="60"/>
      <c r="T571" s="60"/>
      <c r="U571" s="60"/>
      <c r="V571" s="60"/>
      <c r="W571" s="60"/>
      <c r="X571" s="60"/>
      <c r="Y571" s="60"/>
      <c r="Z571" s="60"/>
      <c r="AA571" s="60"/>
      <c r="AB571" s="60"/>
      <c r="AC571" s="60"/>
      <c r="AD571" s="60"/>
      <c r="AE571" s="60"/>
      <c r="AF571" s="60"/>
      <c r="AG571" s="60"/>
      <c r="AH571" s="60"/>
      <c r="AI571" s="60"/>
      <c r="AJ571" s="60"/>
    </row>
    <row r="572">
      <c r="A572" s="185"/>
      <c r="B572" s="67"/>
      <c r="C572" s="186"/>
      <c r="D572" s="186"/>
      <c r="E572" s="67"/>
      <c r="F572" s="186"/>
      <c r="G572" s="187"/>
      <c r="H572" s="43"/>
      <c r="I572" s="98"/>
      <c r="J572" s="99"/>
      <c r="K572" s="98"/>
      <c r="L572" s="99"/>
      <c r="M572" s="99"/>
      <c r="N572" s="98"/>
      <c r="O572" s="98"/>
      <c r="P572" s="98"/>
      <c r="Q572" s="98"/>
      <c r="R572" s="43"/>
      <c r="S572" s="43"/>
      <c r="T572" s="43"/>
      <c r="U572" s="43"/>
      <c r="V572" s="43"/>
      <c r="W572" s="43"/>
      <c r="X572" s="43"/>
      <c r="Y572" s="43"/>
      <c r="Z572" s="43"/>
      <c r="AA572" s="43"/>
      <c r="AB572" s="43"/>
      <c r="AC572" s="43"/>
      <c r="AD572" s="43"/>
      <c r="AE572" s="43"/>
      <c r="AF572" s="43"/>
      <c r="AG572" s="43"/>
      <c r="AH572" s="43"/>
      <c r="AI572" s="43"/>
      <c r="AJ572" s="43"/>
    </row>
    <row r="573">
      <c r="A573" s="188"/>
      <c r="B573" s="90"/>
      <c r="C573" s="189"/>
      <c r="D573" s="189"/>
      <c r="E573" s="90"/>
      <c r="F573" s="189"/>
      <c r="G573" s="190"/>
      <c r="H573" s="60"/>
      <c r="I573" s="95"/>
      <c r="J573" s="96"/>
      <c r="K573" s="95"/>
      <c r="L573" s="96"/>
      <c r="M573" s="96"/>
      <c r="N573" s="95"/>
      <c r="O573" s="95"/>
      <c r="P573" s="95"/>
      <c r="Q573" s="95"/>
      <c r="R573" s="60"/>
      <c r="S573" s="60"/>
      <c r="T573" s="60"/>
      <c r="U573" s="60"/>
      <c r="V573" s="60"/>
      <c r="W573" s="60"/>
      <c r="X573" s="60"/>
      <c r="Y573" s="60"/>
      <c r="Z573" s="60"/>
      <c r="AA573" s="60"/>
      <c r="AB573" s="60"/>
      <c r="AC573" s="60"/>
      <c r="AD573" s="60"/>
      <c r="AE573" s="60"/>
      <c r="AF573" s="60"/>
      <c r="AG573" s="60"/>
      <c r="AH573" s="60"/>
      <c r="AI573" s="60"/>
      <c r="AJ573" s="60"/>
    </row>
    <row r="574">
      <c r="A574" s="185"/>
      <c r="B574" s="67"/>
      <c r="C574" s="186"/>
      <c r="D574" s="186"/>
      <c r="E574" s="67"/>
      <c r="F574" s="186"/>
      <c r="G574" s="187"/>
      <c r="H574" s="43"/>
      <c r="I574" s="98"/>
      <c r="J574" s="99"/>
      <c r="K574" s="98"/>
      <c r="L574" s="99"/>
      <c r="M574" s="99"/>
      <c r="N574" s="98"/>
      <c r="O574" s="98"/>
      <c r="P574" s="98"/>
      <c r="Q574" s="98"/>
      <c r="R574" s="43"/>
      <c r="S574" s="43"/>
      <c r="T574" s="43"/>
      <c r="U574" s="43"/>
      <c r="V574" s="43"/>
      <c r="W574" s="43"/>
      <c r="X574" s="43"/>
      <c r="Y574" s="43"/>
      <c r="Z574" s="43"/>
      <c r="AA574" s="43"/>
      <c r="AB574" s="43"/>
      <c r="AC574" s="43"/>
      <c r="AD574" s="43"/>
      <c r="AE574" s="43"/>
      <c r="AF574" s="43"/>
      <c r="AG574" s="43"/>
      <c r="AH574" s="43"/>
      <c r="AI574" s="43"/>
      <c r="AJ574" s="43"/>
    </row>
    <row r="575">
      <c r="A575" s="188"/>
      <c r="B575" s="90"/>
      <c r="C575" s="189"/>
      <c r="D575" s="189"/>
      <c r="E575" s="90"/>
      <c r="F575" s="189"/>
      <c r="G575" s="190"/>
      <c r="H575" s="60"/>
      <c r="I575" s="95"/>
      <c r="J575" s="96"/>
      <c r="K575" s="95"/>
      <c r="L575" s="96"/>
      <c r="M575" s="96"/>
      <c r="N575" s="95"/>
      <c r="O575" s="95"/>
      <c r="P575" s="95"/>
      <c r="Q575" s="95"/>
      <c r="R575" s="60"/>
      <c r="S575" s="60"/>
      <c r="T575" s="60"/>
      <c r="U575" s="60"/>
      <c r="V575" s="60"/>
      <c r="W575" s="60"/>
      <c r="X575" s="60"/>
      <c r="Y575" s="60"/>
      <c r="Z575" s="60"/>
      <c r="AA575" s="60"/>
      <c r="AB575" s="60"/>
      <c r="AC575" s="60"/>
      <c r="AD575" s="60"/>
      <c r="AE575" s="60"/>
      <c r="AF575" s="60"/>
      <c r="AG575" s="60"/>
      <c r="AH575" s="60"/>
      <c r="AI575" s="60"/>
      <c r="AJ575" s="60"/>
    </row>
    <row r="576">
      <c r="A576" s="185"/>
      <c r="B576" s="67"/>
      <c r="C576" s="186"/>
      <c r="D576" s="186"/>
      <c r="E576" s="67"/>
      <c r="F576" s="186"/>
      <c r="G576" s="187"/>
      <c r="H576" s="43"/>
      <c r="I576" s="98"/>
      <c r="J576" s="99"/>
      <c r="K576" s="98"/>
      <c r="L576" s="99"/>
      <c r="M576" s="99"/>
      <c r="N576" s="98"/>
      <c r="O576" s="98"/>
      <c r="P576" s="98"/>
      <c r="Q576" s="98"/>
      <c r="R576" s="43"/>
      <c r="S576" s="43"/>
      <c r="T576" s="43"/>
      <c r="U576" s="43"/>
      <c r="V576" s="43"/>
      <c r="W576" s="43"/>
      <c r="X576" s="43"/>
      <c r="Y576" s="43"/>
      <c r="Z576" s="43"/>
      <c r="AA576" s="43"/>
      <c r="AB576" s="43"/>
      <c r="AC576" s="43"/>
      <c r="AD576" s="43"/>
      <c r="AE576" s="43"/>
      <c r="AF576" s="43"/>
      <c r="AG576" s="43"/>
      <c r="AH576" s="43"/>
      <c r="AI576" s="43"/>
      <c r="AJ576" s="43"/>
    </row>
    <row r="577">
      <c r="A577" s="188"/>
      <c r="B577" s="90"/>
      <c r="C577" s="189"/>
      <c r="D577" s="189"/>
      <c r="E577" s="90"/>
      <c r="F577" s="189"/>
      <c r="G577" s="190"/>
      <c r="H577" s="60"/>
      <c r="I577" s="95"/>
      <c r="J577" s="96"/>
      <c r="K577" s="95"/>
      <c r="L577" s="96"/>
      <c r="M577" s="96"/>
      <c r="N577" s="95"/>
      <c r="O577" s="95"/>
      <c r="P577" s="95"/>
      <c r="Q577" s="95"/>
      <c r="R577" s="60"/>
      <c r="S577" s="60"/>
      <c r="T577" s="60"/>
      <c r="U577" s="60"/>
      <c r="V577" s="60"/>
      <c r="W577" s="60"/>
      <c r="X577" s="60"/>
      <c r="Y577" s="60"/>
      <c r="Z577" s="60"/>
      <c r="AA577" s="60"/>
      <c r="AB577" s="60"/>
      <c r="AC577" s="60"/>
      <c r="AD577" s="60"/>
      <c r="AE577" s="60"/>
      <c r="AF577" s="60"/>
      <c r="AG577" s="60"/>
      <c r="AH577" s="60"/>
      <c r="AI577" s="60"/>
      <c r="AJ577" s="60"/>
    </row>
    <row r="578">
      <c r="A578" s="185"/>
      <c r="B578" s="67"/>
      <c r="C578" s="186"/>
      <c r="D578" s="186"/>
      <c r="E578" s="67"/>
      <c r="F578" s="186"/>
      <c r="G578" s="187"/>
      <c r="H578" s="43"/>
      <c r="I578" s="98"/>
      <c r="J578" s="99"/>
      <c r="K578" s="98"/>
      <c r="L578" s="99"/>
      <c r="M578" s="99"/>
      <c r="N578" s="98"/>
      <c r="O578" s="98"/>
      <c r="P578" s="98"/>
      <c r="Q578" s="98"/>
      <c r="R578" s="43"/>
      <c r="S578" s="43"/>
      <c r="T578" s="43"/>
      <c r="U578" s="43"/>
      <c r="V578" s="43"/>
      <c r="W578" s="43"/>
      <c r="X578" s="43"/>
      <c r="Y578" s="43"/>
      <c r="Z578" s="43"/>
      <c r="AA578" s="43"/>
      <c r="AB578" s="43"/>
      <c r="AC578" s="43"/>
      <c r="AD578" s="43"/>
      <c r="AE578" s="43"/>
      <c r="AF578" s="43"/>
      <c r="AG578" s="43"/>
      <c r="AH578" s="43"/>
      <c r="AI578" s="43"/>
      <c r="AJ578" s="43"/>
    </row>
    <row r="579">
      <c r="A579" s="188"/>
      <c r="B579" s="90"/>
      <c r="C579" s="189"/>
      <c r="D579" s="189"/>
      <c r="E579" s="90"/>
      <c r="F579" s="189"/>
      <c r="G579" s="190"/>
      <c r="H579" s="60"/>
      <c r="I579" s="95"/>
      <c r="J579" s="96"/>
      <c r="K579" s="95"/>
      <c r="L579" s="96"/>
      <c r="M579" s="96"/>
      <c r="N579" s="95"/>
      <c r="O579" s="95"/>
      <c r="P579" s="95"/>
      <c r="Q579" s="95"/>
      <c r="R579" s="60"/>
      <c r="S579" s="60"/>
      <c r="T579" s="60"/>
      <c r="U579" s="60"/>
      <c r="V579" s="60"/>
      <c r="W579" s="60"/>
      <c r="X579" s="60"/>
      <c r="Y579" s="60"/>
      <c r="Z579" s="60"/>
      <c r="AA579" s="60"/>
      <c r="AB579" s="60"/>
      <c r="AC579" s="60"/>
      <c r="AD579" s="60"/>
      <c r="AE579" s="60"/>
      <c r="AF579" s="60"/>
      <c r="AG579" s="60"/>
      <c r="AH579" s="60"/>
      <c r="AI579" s="60"/>
      <c r="AJ579" s="60"/>
    </row>
    <row r="580">
      <c r="A580" s="185"/>
      <c r="B580" s="67"/>
      <c r="C580" s="186"/>
      <c r="D580" s="186"/>
      <c r="E580" s="67"/>
      <c r="F580" s="186"/>
      <c r="G580" s="187"/>
      <c r="H580" s="43"/>
      <c r="I580" s="98"/>
      <c r="J580" s="99"/>
      <c r="K580" s="98"/>
      <c r="L580" s="99"/>
      <c r="M580" s="99"/>
      <c r="N580" s="98"/>
      <c r="O580" s="98"/>
      <c r="P580" s="98"/>
      <c r="Q580" s="98"/>
      <c r="R580" s="43"/>
      <c r="S580" s="43"/>
      <c r="T580" s="43"/>
      <c r="U580" s="43"/>
      <c r="V580" s="43"/>
      <c r="W580" s="43"/>
      <c r="X580" s="43"/>
      <c r="Y580" s="43"/>
      <c r="Z580" s="43"/>
      <c r="AA580" s="43"/>
      <c r="AB580" s="43"/>
      <c r="AC580" s="43"/>
      <c r="AD580" s="43"/>
      <c r="AE580" s="43"/>
      <c r="AF580" s="43"/>
      <c r="AG580" s="43"/>
      <c r="AH580" s="43"/>
      <c r="AI580" s="43"/>
      <c r="AJ580" s="43"/>
    </row>
    <row r="581">
      <c r="A581" s="188"/>
      <c r="B581" s="90"/>
      <c r="C581" s="189"/>
      <c r="D581" s="189"/>
      <c r="E581" s="90"/>
      <c r="F581" s="189"/>
      <c r="G581" s="190"/>
      <c r="H581" s="60"/>
      <c r="I581" s="95"/>
      <c r="J581" s="96"/>
      <c r="K581" s="95"/>
      <c r="L581" s="96"/>
      <c r="M581" s="96"/>
      <c r="N581" s="95"/>
      <c r="O581" s="95"/>
      <c r="P581" s="95"/>
      <c r="Q581" s="95"/>
      <c r="R581" s="60"/>
      <c r="S581" s="60"/>
      <c r="T581" s="60"/>
      <c r="U581" s="60"/>
      <c r="V581" s="60"/>
      <c r="W581" s="60"/>
      <c r="X581" s="60"/>
      <c r="Y581" s="60"/>
      <c r="Z581" s="60"/>
      <c r="AA581" s="60"/>
      <c r="AB581" s="60"/>
      <c r="AC581" s="60"/>
      <c r="AD581" s="60"/>
      <c r="AE581" s="60"/>
      <c r="AF581" s="60"/>
      <c r="AG581" s="60"/>
      <c r="AH581" s="60"/>
      <c r="AI581" s="60"/>
      <c r="AJ581" s="60"/>
    </row>
    <row r="582">
      <c r="A582" s="185"/>
      <c r="B582" s="67"/>
      <c r="C582" s="186"/>
      <c r="D582" s="186"/>
      <c r="E582" s="67"/>
      <c r="F582" s="186"/>
      <c r="G582" s="187"/>
      <c r="H582" s="43"/>
      <c r="I582" s="98"/>
      <c r="J582" s="99"/>
      <c r="K582" s="98"/>
      <c r="L582" s="99"/>
      <c r="M582" s="99"/>
      <c r="N582" s="98"/>
      <c r="O582" s="98"/>
      <c r="P582" s="98"/>
      <c r="Q582" s="98"/>
      <c r="R582" s="43"/>
      <c r="S582" s="43"/>
      <c r="T582" s="43"/>
      <c r="U582" s="43"/>
      <c r="V582" s="43"/>
      <c r="W582" s="43"/>
      <c r="X582" s="43"/>
      <c r="Y582" s="43"/>
      <c r="Z582" s="43"/>
      <c r="AA582" s="43"/>
      <c r="AB582" s="43"/>
      <c r="AC582" s="43"/>
      <c r="AD582" s="43"/>
      <c r="AE582" s="43"/>
      <c r="AF582" s="43"/>
      <c r="AG582" s="43"/>
      <c r="AH582" s="43"/>
      <c r="AI582" s="43"/>
      <c r="AJ582" s="43"/>
    </row>
    <row r="583">
      <c r="A583" s="188"/>
      <c r="B583" s="90"/>
      <c r="C583" s="189"/>
      <c r="D583" s="189"/>
      <c r="E583" s="90"/>
      <c r="F583" s="189"/>
      <c r="G583" s="190"/>
      <c r="H583" s="60"/>
      <c r="I583" s="95"/>
      <c r="J583" s="96"/>
      <c r="K583" s="95"/>
      <c r="L583" s="96"/>
      <c r="M583" s="96"/>
      <c r="N583" s="95"/>
      <c r="O583" s="95"/>
      <c r="P583" s="95"/>
      <c r="Q583" s="95"/>
      <c r="R583" s="60"/>
      <c r="S583" s="60"/>
      <c r="T583" s="60"/>
      <c r="U583" s="60"/>
      <c r="V583" s="60"/>
      <c r="W583" s="60"/>
      <c r="X583" s="60"/>
      <c r="Y583" s="60"/>
      <c r="Z583" s="60"/>
      <c r="AA583" s="60"/>
      <c r="AB583" s="60"/>
      <c r="AC583" s="60"/>
      <c r="AD583" s="60"/>
      <c r="AE583" s="60"/>
      <c r="AF583" s="60"/>
      <c r="AG583" s="60"/>
      <c r="AH583" s="60"/>
      <c r="AI583" s="60"/>
      <c r="AJ583" s="60"/>
    </row>
    <row r="584">
      <c r="A584" s="185"/>
      <c r="B584" s="67"/>
      <c r="C584" s="186"/>
      <c r="D584" s="186"/>
      <c r="E584" s="67"/>
      <c r="F584" s="186"/>
      <c r="G584" s="187"/>
      <c r="H584" s="43"/>
      <c r="I584" s="98"/>
      <c r="J584" s="99"/>
      <c r="K584" s="98"/>
      <c r="L584" s="99"/>
      <c r="M584" s="99"/>
      <c r="N584" s="98"/>
      <c r="O584" s="98"/>
      <c r="P584" s="98"/>
      <c r="Q584" s="98"/>
      <c r="R584" s="43"/>
      <c r="S584" s="43"/>
      <c r="T584" s="43"/>
      <c r="U584" s="43"/>
      <c r="V584" s="43"/>
      <c r="W584" s="43"/>
      <c r="X584" s="43"/>
      <c r="Y584" s="43"/>
      <c r="Z584" s="43"/>
      <c r="AA584" s="43"/>
      <c r="AB584" s="43"/>
      <c r="AC584" s="43"/>
      <c r="AD584" s="43"/>
      <c r="AE584" s="43"/>
      <c r="AF584" s="43"/>
      <c r="AG584" s="43"/>
      <c r="AH584" s="43"/>
      <c r="AI584" s="43"/>
      <c r="AJ584" s="43"/>
    </row>
    <row r="585">
      <c r="A585" s="188"/>
      <c r="B585" s="90"/>
      <c r="C585" s="189"/>
      <c r="D585" s="189"/>
      <c r="E585" s="90"/>
      <c r="F585" s="189"/>
      <c r="G585" s="190"/>
      <c r="H585" s="60"/>
      <c r="I585" s="95"/>
      <c r="J585" s="96"/>
      <c r="K585" s="95"/>
      <c r="L585" s="96"/>
      <c r="M585" s="96"/>
      <c r="N585" s="95"/>
      <c r="O585" s="95"/>
      <c r="P585" s="95"/>
      <c r="Q585" s="95"/>
      <c r="R585" s="60"/>
      <c r="S585" s="60"/>
      <c r="T585" s="60"/>
      <c r="U585" s="60"/>
      <c r="V585" s="60"/>
      <c r="W585" s="60"/>
      <c r="X585" s="60"/>
      <c r="Y585" s="60"/>
      <c r="Z585" s="60"/>
      <c r="AA585" s="60"/>
      <c r="AB585" s="60"/>
      <c r="AC585" s="60"/>
      <c r="AD585" s="60"/>
      <c r="AE585" s="60"/>
      <c r="AF585" s="60"/>
      <c r="AG585" s="60"/>
      <c r="AH585" s="60"/>
      <c r="AI585" s="60"/>
      <c r="AJ585" s="60"/>
    </row>
    <row r="586">
      <c r="A586" s="185"/>
      <c r="B586" s="67"/>
      <c r="C586" s="186"/>
      <c r="D586" s="186"/>
      <c r="E586" s="67"/>
      <c r="F586" s="186"/>
      <c r="G586" s="187"/>
      <c r="H586" s="43"/>
      <c r="I586" s="98"/>
      <c r="J586" s="99"/>
      <c r="K586" s="98"/>
      <c r="L586" s="99"/>
      <c r="M586" s="99"/>
      <c r="N586" s="98"/>
      <c r="O586" s="98"/>
      <c r="P586" s="98"/>
      <c r="Q586" s="98"/>
      <c r="R586" s="43"/>
      <c r="S586" s="43"/>
      <c r="T586" s="43"/>
      <c r="U586" s="43"/>
      <c r="V586" s="43"/>
      <c r="W586" s="43"/>
      <c r="X586" s="43"/>
      <c r="Y586" s="43"/>
      <c r="Z586" s="43"/>
      <c r="AA586" s="43"/>
      <c r="AB586" s="43"/>
      <c r="AC586" s="43"/>
      <c r="AD586" s="43"/>
      <c r="AE586" s="43"/>
      <c r="AF586" s="43"/>
      <c r="AG586" s="43"/>
      <c r="AH586" s="43"/>
      <c r="AI586" s="43"/>
      <c r="AJ586" s="43"/>
    </row>
    <row r="587">
      <c r="A587" s="188"/>
      <c r="B587" s="90"/>
      <c r="C587" s="189"/>
      <c r="D587" s="189"/>
      <c r="E587" s="90"/>
      <c r="F587" s="189"/>
      <c r="G587" s="190"/>
      <c r="H587" s="60"/>
      <c r="I587" s="95"/>
      <c r="J587" s="96"/>
      <c r="K587" s="95"/>
      <c r="L587" s="96"/>
      <c r="M587" s="96"/>
      <c r="N587" s="95"/>
      <c r="O587" s="95"/>
      <c r="P587" s="95"/>
      <c r="Q587" s="95"/>
      <c r="R587" s="60"/>
      <c r="S587" s="60"/>
      <c r="T587" s="60"/>
      <c r="U587" s="60"/>
      <c r="V587" s="60"/>
      <c r="W587" s="60"/>
      <c r="X587" s="60"/>
      <c r="Y587" s="60"/>
      <c r="Z587" s="60"/>
      <c r="AA587" s="60"/>
      <c r="AB587" s="60"/>
      <c r="AC587" s="60"/>
      <c r="AD587" s="60"/>
      <c r="AE587" s="60"/>
      <c r="AF587" s="60"/>
      <c r="AG587" s="60"/>
      <c r="AH587" s="60"/>
      <c r="AI587" s="60"/>
      <c r="AJ587" s="60"/>
    </row>
    <row r="588">
      <c r="A588" s="185"/>
      <c r="B588" s="67"/>
      <c r="C588" s="186"/>
      <c r="D588" s="186"/>
      <c r="E588" s="67"/>
      <c r="F588" s="186"/>
      <c r="G588" s="187"/>
      <c r="H588" s="43"/>
      <c r="I588" s="98"/>
      <c r="J588" s="99"/>
      <c r="K588" s="98"/>
      <c r="L588" s="99"/>
      <c r="M588" s="99"/>
      <c r="N588" s="98"/>
      <c r="O588" s="98"/>
      <c r="P588" s="98"/>
      <c r="Q588" s="98"/>
      <c r="R588" s="43"/>
      <c r="S588" s="43"/>
      <c r="T588" s="43"/>
      <c r="U588" s="43"/>
      <c r="V588" s="43"/>
      <c r="W588" s="43"/>
      <c r="X588" s="43"/>
      <c r="Y588" s="43"/>
      <c r="Z588" s="43"/>
      <c r="AA588" s="43"/>
      <c r="AB588" s="43"/>
      <c r="AC588" s="43"/>
      <c r="AD588" s="43"/>
      <c r="AE588" s="43"/>
      <c r="AF588" s="43"/>
      <c r="AG588" s="43"/>
      <c r="AH588" s="43"/>
      <c r="AI588" s="43"/>
      <c r="AJ588" s="43"/>
    </row>
    <row r="589">
      <c r="A589" s="188"/>
      <c r="B589" s="90"/>
      <c r="C589" s="189"/>
      <c r="D589" s="189"/>
      <c r="E589" s="90"/>
      <c r="F589" s="189"/>
      <c r="G589" s="190"/>
      <c r="H589" s="60"/>
      <c r="I589" s="95"/>
      <c r="J589" s="96"/>
      <c r="K589" s="95"/>
      <c r="L589" s="96"/>
      <c r="M589" s="96"/>
      <c r="N589" s="95"/>
      <c r="O589" s="95"/>
      <c r="P589" s="95"/>
      <c r="Q589" s="95"/>
      <c r="R589" s="60"/>
      <c r="S589" s="60"/>
      <c r="T589" s="60"/>
      <c r="U589" s="60"/>
      <c r="V589" s="60"/>
      <c r="W589" s="60"/>
      <c r="X589" s="60"/>
      <c r="Y589" s="60"/>
      <c r="Z589" s="60"/>
      <c r="AA589" s="60"/>
      <c r="AB589" s="60"/>
      <c r="AC589" s="60"/>
      <c r="AD589" s="60"/>
      <c r="AE589" s="60"/>
      <c r="AF589" s="60"/>
      <c r="AG589" s="60"/>
      <c r="AH589" s="60"/>
      <c r="AI589" s="60"/>
      <c r="AJ589" s="60"/>
    </row>
    <row r="590">
      <c r="A590" s="185"/>
      <c r="B590" s="67"/>
      <c r="C590" s="186"/>
      <c r="D590" s="186"/>
      <c r="E590" s="67"/>
      <c r="F590" s="186"/>
      <c r="G590" s="187"/>
      <c r="H590" s="43"/>
      <c r="I590" s="98"/>
      <c r="J590" s="99"/>
      <c r="K590" s="98"/>
      <c r="L590" s="99"/>
      <c r="M590" s="99"/>
      <c r="N590" s="98"/>
      <c r="O590" s="98"/>
      <c r="P590" s="98"/>
      <c r="Q590" s="98"/>
      <c r="R590" s="43"/>
      <c r="S590" s="43"/>
      <c r="T590" s="43"/>
      <c r="U590" s="43"/>
      <c r="V590" s="43"/>
      <c r="W590" s="43"/>
      <c r="X590" s="43"/>
      <c r="Y590" s="43"/>
      <c r="Z590" s="43"/>
      <c r="AA590" s="43"/>
      <c r="AB590" s="43"/>
      <c r="AC590" s="43"/>
      <c r="AD590" s="43"/>
      <c r="AE590" s="43"/>
      <c r="AF590" s="43"/>
      <c r="AG590" s="43"/>
      <c r="AH590" s="43"/>
      <c r="AI590" s="43"/>
      <c r="AJ590" s="43"/>
    </row>
    <row r="591">
      <c r="A591" s="188"/>
      <c r="B591" s="90"/>
      <c r="C591" s="189"/>
      <c r="D591" s="189"/>
      <c r="E591" s="90"/>
      <c r="F591" s="189"/>
      <c r="G591" s="190"/>
      <c r="H591" s="60"/>
      <c r="I591" s="95"/>
      <c r="J591" s="96"/>
      <c r="K591" s="95"/>
      <c r="L591" s="96"/>
      <c r="M591" s="96"/>
      <c r="N591" s="95"/>
      <c r="O591" s="95"/>
      <c r="P591" s="95"/>
      <c r="Q591" s="95"/>
      <c r="R591" s="60"/>
      <c r="S591" s="60"/>
      <c r="T591" s="60"/>
      <c r="U591" s="60"/>
      <c r="V591" s="60"/>
      <c r="W591" s="60"/>
      <c r="X591" s="60"/>
      <c r="Y591" s="60"/>
      <c r="Z591" s="60"/>
      <c r="AA591" s="60"/>
      <c r="AB591" s="60"/>
      <c r="AC591" s="60"/>
      <c r="AD591" s="60"/>
      <c r="AE591" s="60"/>
      <c r="AF591" s="60"/>
      <c r="AG591" s="60"/>
      <c r="AH591" s="60"/>
      <c r="AI591" s="60"/>
      <c r="AJ591" s="60"/>
    </row>
    <row r="592">
      <c r="A592" s="185"/>
      <c r="B592" s="67"/>
      <c r="C592" s="186"/>
      <c r="D592" s="186"/>
      <c r="E592" s="67"/>
      <c r="F592" s="186"/>
      <c r="G592" s="187"/>
      <c r="H592" s="43"/>
      <c r="I592" s="98"/>
      <c r="J592" s="99"/>
      <c r="K592" s="98"/>
      <c r="L592" s="99"/>
      <c r="M592" s="99"/>
      <c r="N592" s="98"/>
      <c r="O592" s="98"/>
      <c r="P592" s="98"/>
      <c r="Q592" s="98"/>
      <c r="R592" s="43"/>
      <c r="S592" s="43"/>
      <c r="T592" s="43"/>
      <c r="U592" s="43"/>
      <c r="V592" s="43"/>
      <c r="W592" s="43"/>
      <c r="X592" s="43"/>
      <c r="Y592" s="43"/>
      <c r="Z592" s="43"/>
      <c r="AA592" s="43"/>
      <c r="AB592" s="43"/>
      <c r="AC592" s="43"/>
      <c r="AD592" s="43"/>
      <c r="AE592" s="43"/>
      <c r="AF592" s="43"/>
      <c r="AG592" s="43"/>
      <c r="AH592" s="43"/>
      <c r="AI592" s="43"/>
      <c r="AJ592" s="43"/>
    </row>
    <row r="593">
      <c r="A593" s="188"/>
      <c r="B593" s="90"/>
      <c r="C593" s="189"/>
      <c r="D593" s="189"/>
      <c r="E593" s="90"/>
      <c r="F593" s="189"/>
      <c r="G593" s="190"/>
      <c r="H593" s="60"/>
      <c r="I593" s="95"/>
      <c r="J593" s="96"/>
      <c r="K593" s="95"/>
      <c r="L593" s="96"/>
      <c r="M593" s="96"/>
      <c r="N593" s="95"/>
      <c r="O593" s="95"/>
      <c r="P593" s="95"/>
      <c r="Q593" s="95"/>
      <c r="R593" s="60"/>
      <c r="S593" s="60"/>
      <c r="T593" s="60"/>
      <c r="U593" s="60"/>
      <c r="V593" s="60"/>
      <c r="W593" s="60"/>
      <c r="X593" s="60"/>
      <c r="Y593" s="60"/>
      <c r="Z593" s="60"/>
      <c r="AA593" s="60"/>
      <c r="AB593" s="60"/>
      <c r="AC593" s="60"/>
      <c r="AD593" s="60"/>
      <c r="AE593" s="60"/>
      <c r="AF593" s="60"/>
      <c r="AG593" s="60"/>
      <c r="AH593" s="60"/>
      <c r="AI593" s="60"/>
      <c r="AJ593" s="60"/>
    </row>
    <row r="594">
      <c r="A594" s="185"/>
      <c r="B594" s="67"/>
      <c r="C594" s="186"/>
      <c r="D594" s="186"/>
      <c r="E594" s="67"/>
      <c r="F594" s="186"/>
      <c r="G594" s="187"/>
      <c r="H594" s="43"/>
      <c r="I594" s="98"/>
      <c r="J594" s="99"/>
      <c r="K594" s="98"/>
      <c r="L594" s="99"/>
      <c r="M594" s="99"/>
      <c r="N594" s="98"/>
      <c r="O594" s="98"/>
      <c r="P594" s="98"/>
      <c r="Q594" s="98"/>
      <c r="R594" s="43"/>
      <c r="S594" s="43"/>
      <c r="T594" s="43"/>
      <c r="U594" s="43"/>
      <c r="V594" s="43"/>
      <c r="W594" s="43"/>
      <c r="X594" s="43"/>
      <c r="Y594" s="43"/>
      <c r="Z594" s="43"/>
      <c r="AA594" s="43"/>
      <c r="AB594" s="43"/>
      <c r="AC594" s="43"/>
      <c r="AD594" s="43"/>
      <c r="AE594" s="43"/>
      <c r="AF594" s="43"/>
      <c r="AG594" s="43"/>
      <c r="AH594" s="43"/>
      <c r="AI594" s="43"/>
      <c r="AJ594" s="43"/>
    </row>
    <row r="595">
      <c r="A595" s="188"/>
      <c r="B595" s="90"/>
      <c r="C595" s="189"/>
      <c r="D595" s="189"/>
      <c r="E595" s="90"/>
      <c r="F595" s="189"/>
      <c r="G595" s="190"/>
      <c r="H595" s="60"/>
      <c r="I595" s="95"/>
      <c r="J595" s="96"/>
      <c r="K595" s="95"/>
      <c r="L595" s="96"/>
      <c r="M595" s="96"/>
      <c r="N595" s="95"/>
      <c r="O595" s="95"/>
      <c r="P595" s="95"/>
      <c r="Q595" s="95"/>
      <c r="R595" s="60"/>
      <c r="S595" s="60"/>
      <c r="T595" s="60"/>
      <c r="U595" s="60"/>
      <c r="V595" s="60"/>
      <c r="W595" s="60"/>
      <c r="X595" s="60"/>
      <c r="Y595" s="60"/>
      <c r="Z595" s="60"/>
      <c r="AA595" s="60"/>
      <c r="AB595" s="60"/>
      <c r="AC595" s="60"/>
      <c r="AD595" s="60"/>
      <c r="AE595" s="60"/>
      <c r="AF595" s="60"/>
      <c r="AG595" s="60"/>
      <c r="AH595" s="60"/>
      <c r="AI595" s="60"/>
      <c r="AJ595" s="60"/>
    </row>
    <row r="596">
      <c r="A596" s="185"/>
      <c r="B596" s="67"/>
      <c r="C596" s="186"/>
      <c r="D596" s="186"/>
      <c r="E596" s="67"/>
      <c r="F596" s="186"/>
      <c r="G596" s="187"/>
      <c r="H596" s="43"/>
      <c r="I596" s="98"/>
      <c r="J596" s="99"/>
      <c r="K596" s="98"/>
      <c r="L596" s="99"/>
      <c r="M596" s="99"/>
      <c r="N596" s="98"/>
      <c r="O596" s="98"/>
      <c r="P596" s="98"/>
      <c r="Q596" s="98"/>
      <c r="R596" s="43"/>
      <c r="S596" s="43"/>
      <c r="T596" s="43"/>
      <c r="U596" s="43"/>
      <c r="V596" s="43"/>
      <c r="W596" s="43"/>
      <c r="X596" s="43"/>
      <c r="Y596" s="43"/>
      <c r="Z596" s="43"/>
      <c r="AA596" s="43"/>
      <c r="AB596" s="43"/>
      <c r="AC596" s="43"/>
      <c r="AD596" s="43"/>
      <c r="AE596" s="43"/>
      <c r="AF596" s="43"/>
      <c r="AG596" s="43"/>
      <c r="AH596" s="43"/>
      <c r="AI596" s="43"/>
      <c r="AJ596" s="43"/>
    </row>
    <row r="597">
      <c r="A597" s="188"/>
      <c r="B597" s="90"/>
      <c r="C597" s="189"/>
      <c r="D597" s="189"/>
      <c r="E597" s="90"/>
      <c r="F597" s="189"/>
      <c r="G597" s="190"/>
      <c r="H597" s="60"/>
      <c r="I597" s="95"/>
      <c r="J597" s="96"/>
      <c r="K597" s="95"/>
      <c r="L597" s="96"/>
      <c r="M597" s="96"/>
      <c r="N597" s="95"/>
      <c r="O597" s="95"/>
      <c r="P597" s="95"/>
      <c r="Q597" s="95"/>
      <c r="R597" s="60"/>
      <c r="S597" s="60"/>
      <c r="T597" s="60"/>
      <c r="U597" s="60"/>
      <c r="V597" s="60"/>
      <c r="W597" s="60"/>
      <c r="X597" s="60"/>
      <c r="Y597" s="60"/>
      <c r="Z597" s="60"/>
      <c r="AA597" s="60"/>
      <c r="AB597" s="60"/>
      <c r="AC597" s="60"/>
      <c r="AD597" s="60"/>
      <c r="AE597" s="60"/>
      <c r="AF597" s="60"/>
      <c r="AG597" s="60"/>
      <c r="AH597" s="60"/>
      <c r="AI597" s="60"/>
      <c r="AJ597" s="60"/>
    </row>
    <row r="598">
      <c r="A598" s="185"/>
      <c r="B598" s="67"/>
      <c r="C598" s="186"/>
      <c r="D598" s="186"/>
      <c r="E598" s="67"/>
      <c r="F598" s="186"/>
      <c r="G598" s="187"/>
      <c r="H598" s="43"/>
      <c r="I598" s="98"/>
      <c r="J598" s="99"/>
      <c r="K598" s="98"/>
      <c r="L598" s="99"/>
      <c r="M598" s="99"/>
      <c r="N598" s="98"/>
      <c r="O598" s="98"/>
      <c r="P598" s="98"/>
      <c r="Q598" s="98"/>
      <c r="R598" s="43"/>
      <c r="S598" s="43"/>
      <c r="T598" s="43"/>
      <c r="U598" s="43"/>
      <c r="V598" s="43"/>
      <c r="W598" s="43"/>
      <c r="X598" s="43"/>
      <c r="Y598" s="43"/>
      <c r="Z598" s="43"/>
      <c r="AA598" s="43"/>
      <c r="AB598" s="43"/>
      <c r="AC598" s="43"/>
      <c r="AD598" s="43"/>
      <c r="AE598" s="43"/>
      <c r="AF598" s="43"/>
      <c r="AG598" s="43"/>
      <c r="AH598" s="43"/>
      <c r="AI598" s="43"/>
      <c r="AJ598" s="43"/>
    </row>
    <row r="599">
      <c r="A599" s="188"/>
      <c r="B599" s="90"/>
      <c r="C599" s="189"/>
      <c r="D599" s="189"/>
      <c r="E599" s="90"/>
      <c r="F599" s="189"/>
      <c r="G599" s="190"/>
      <c r="H599" s="60"/>
      <c r="I599" s="95"/>
      <c r="J599" s="96"/>
      <c r="K599" s="95"/>
      <c r="L599" s="96"/>
      <c r="M599" s="96"/>
      <c r="N599" s="95"/>
      <c r="O599" s="95"/>
      <c r="P599" s="95"/>
      <c r="Q599" s="95"/>
      <c r="R599" s="60"/>
      <c r="S599" s="60"/>
      <c r="T599" s="60"/>
      <c r="U599" s="60"/>
      <c r="V599" s="60"/>
      <c r="W599" s="60"/>
      <c r="X599" s="60"/>
      <c r="Y599" s="60"/>
      <c r="Z599" s="60"/>
      <c r="AA599" s="60"/>
      <c r="AB599" s="60"/>
      <c r="AC599" s="60"/>
      <c r="AD599" s="60"/>
      <c r="AE599" s="60"/>
      <c r="AF599" s="60"/>
      <c r="AG599" s="60"/>
      <c r="AH599" s="60"/>
      <c r="AI599" s="60"/>
      <c r="AJ599" s="60"/>
    </row>
    <row r="600">
      <c r="A600" s="185"/>
      <c r="B600" s="67"/>
      <c r="C600" s="186"/>
      <c r="D600" s="186"/>
      <c r="E600" s="67"/>
      <c r="F600" s="186"/>
      <c r="G600" s="187"/>
      <c r="H600" s="43"/>
      <c r="I600" s="98"/>
      <c r="J600" s="99"/>
      <c r="K600" s="98"/>
      <c r="L600" s="99"/>
      <c r="M600" s="99"/>
      <c r="N600" s="98"/>
      <c r="O600" s="98"/>
      <c r="P600" s="98"/>
      <c r="Q600" s="98"/>
      <c r="R600" s="43"/>
      <c r="S600" s="43"/>
      <c r="T600" s="43"/>
      <c r="U600" s="43"/>
      <c r="V600" s="43"/>
      <c r="W600" s="43"/>
      <c r="X600" s="43"/>
      <c r="Y600" s="43"/>
      <c r="Z600" s="43"/>
      <c r="AA600" s="43"/>
      <c r="AB600" s="43"/>
      <c r="AC600" s="43"/>
      <c r="AD600" s="43"/>
      <c r="AE600" s="43"/>
      <c r="AF600" s="43"/>
      <c r="AG600" s="43"/>
      <c r="AH600" s="43"/>
      <c r="AI600" s="43"/>
      <c r="AJ600" s="43"/>
    </row>
    <row r="601">
      <c r="A601" s="188"/>
      <c r="B601" s="90"/>
      <c r="C601" s="189"/>
      <c r="D601" s="189"/>
      <c r="E601" s="90"/>
      <c r="F601" s="189"/>
      <c r="G601" s="190"/>
      <c r="H601" s="60"/>
      <c r="I601" s="95"/>
      <c r="J601" s="96"/>
      <c r="K601" s="95"/>
      <c r="L601" s="96"/>
      <c r="M601" s="96"/>
      <c r="N601" s="95"/>
      <c r="O601" s="95"/>
      <c r="P601" s="95"/>
      <c r="Q601" s="95"/>
      <c r="R601" s="60"/>
      <c r="S601" s="60"/>
      <c r="T601" s="60"/>
      <c r="U601" s="60"/>
      <c r="V601" s="60"/>
      <c r="W601" s="60"/>
      <c r="X601" s="60"/>
      <c r="Y601" s="60"/>
      <c r="Z601" s="60"/>
      <c r="AA601" s="60"/>
      <c r="AB601" s="60"/>
      <c r="AC601" s="60"/>
      <c r="AD601" s="60"/>
      <c r="AE601" s="60"/>
      <c r="AF601" s="60"/>
      <c r="AG601" s="60"/>
      <c r="AH601" s="60"/>
      <c r="AI601" s="60"/>
      <c r="AJ601" s="60"/>
    </row>
    <row r="602">
      <c r="A602" s="185"/>
      <c r="B602" s="67"/>
      <c r="C602" s="186"/>
      <c r="D602" s="186"/>
      <c r="E602" s="67"/>
      <c r="F602" s="186"/>
      <c r="G602" s="187"/>
      <c r="H602" s="43"/>
      <c r="I602" s="98"/>
      <c r="J602" s="99"/>
      <c r="K602" s="98"/>
      <c r="L602" s="99"/>
      <c r="M602" s="99"/>
      <c r="N602" s="98"/>
      <c r="O602" s="98"/>
      <c r="P602" s="98"/>
      <c r="Q602" s="98"/>
      <c r="R602" s="43"/>
      <c r="S602" s="43"/>
      <c r="T602" s="43"/>
      <c r="U602" s="43"/>
      <c r="V602" s="43"/>
      <c r="W602" s="43"/>
      <c r="X602" s="43"/>
      <c r="Y602" s="43"/>
      <c r="Z602" s="43"/>
      <c r="AA602" s="43"/>
      <c r="AB602" s="43"/>
      <c r="AC602" s="43"/>
      <c r="AD602" s="43"/>
      <c r="AE602" s="43"/>
      <c r="AF602" s="43"/>
      <c r="AG602" s="43"/>
      <c r="AH602" s="43"/>
      <c r="AI602" s="43"/>
      <c r="AJ602" s="43"/>
    </row>
    <row r="603">
      <c r="A603" s="188"/>
      <c r="B603" s="90"/>
      <c r="C603" s="189"/>
      <c r="D603" s="189"/>
      <c r="E603" s="90"/>
      <c r="F603" s="189"/>
      <c r="G603" s="190"/>
      <c r="H603" s="60"/>
      <c r="I603" s="95"/>
      <c r="J603" s="96"/>
      <c r="K603" s="95"/>
      <c r="L603" s="96"/>
      <c r="M603" s="96"/>
      <c r="N603" s="95"/>
      <c r="O603" s="95"/>
      <c r="P603" s="95"/>
      <c r="Q603" s="95"/>
      <c r="R603" s="60"/>
      <c r="S603" s="60"/>
      <c r="T603" s="60"/>
      <c r="U603" s="60"/>
      <c r="V603" s="60"/>
      <c r="W603" s="60"/>
      <c r="X603" s="60"/>
      <c r="Y603" s="60"/>
      <c r="Z603" s="60"/>
      <c r="AA603" s="60"/>
      <c r="AB603" s="60"/>
      <c r="AC603" s="60"/>
      <c r="AD603" s="60"/>
      <c r="AE603" s="60"/>
      <c r="AF603" s="60"/>
      <c r="AG603" s="60"/>
      <c r="AH603" s="60"/>
      <c r="AI603" s="60"/>
      <c r="AJ603" s="60"/>
    </row>
    <row r="604">
      <c r="A604" s="185"/>
      <c r="B604" s="67"/>
      <c r="C604" s="186"/>
      <c r="D604" s="186"/>
      <c r="E604" s="67"/>
      <c r="F604" s="186"/>
      <c r="G604" s="187"/>
      <c r="H604" s="43"/>
      <c r="I604" s="98"/>
      <c r="J604" s="99"/>
      <c r="K604" s="98"/>
      <c r="L604" s="99"/>
      <c r="M604" s="99"/>
      <c r="N604" s="98"/>
      <c r="O604" s="98"/>
      <c r="P604" s="98"/>
      <c r="Q604" s="98"/>
      <c r="R604" s="43"/>
      <c r="S604" s="43"/>
      <c r="T604" s="43"/>
      <c r="U604" s="43"/>
      <c r="V604" s="43"/>
      <c r="W604" s="43"/>
      <c r="X604" s="43"/>
      <c r="Y604" s="43"/>
      <c r="Z604" s="43"/>
      <c r="AA604" s="43"/>
      <c r="AB604" s="43"/>
      <c r="AC604" s="43"/>
      <c r="AD604" s="43"/>
      <c r="AE604" s="43"/>
      <c r="AF604" s="43"/>
      <c r="AG604" s="43"/>
      <c r="AH604" s="43"/>
      <c r="AI604" s="43"/>
      <c r="AJ604" s="43"/>
    </row>
    <row r="605">
      <c r="A605" s="188"/>
      <c r="B605" s="90"/>
      <c r="C605" s="189"/>
      <c r="D605" s="189"/>
      <c r="E605" s="90"/>
      <c r="F605" s="189"/>
      <c r="G605" s="190"/>
      <c r="H605" s="60"/>
      <c r="I605" s="95"/>
      <c r="J605" s="96"/>
      <c r="K605" s="95"/>
      <c r="L605" s="96"/>
      <c r="M605" s="96"/>
      <c r="N605" s="95"/>
      <c r="O605" s="95"/>
      <c r="P605" s="95"/>
      <c r="Q605" s="95"/>
      <c r="R605" s="60"/>
      <c r="S605" s="60"/>
      <c r="T605" s="60"/>
      <c r="U605" s="60"/>
      <c r="V605" s="60"/>
      <c r="W605" s="60"/>
      <c r="X605" s="60"/>
      <c r="Y605" s="60"/>
      <c r="Z605" s="60"/>
      <c r="AA605" s="60"/>
      <c r="AB605" s="60"/>
      <c r="AC605" s="60"/>
      <c r="AD605" s="60"/>
      <c r="AE605" s="60"/>
      <c r="AF605" s="60"/>
      <c r="AG605" s="60"/>
      <c r="AH605" s="60"/>
      <c r="AI605" s="60"/>
      <c r="AJ605" s="60"/>
    </row>
    <row r="606">
      <c r="A606" s="185"/>
      <c r="B606" s="67"/>
      <c r="C606" s="186"/>
      <c r="D606" s="186"/>
      <c r="E606" s="67"/>
      <c r="F606" s="186"/>
      <c r="G606" s="187"/>
      <c r="H606" s="43"/>
      <c r="I606" s="98"/>
      <c r="J606" s="99"/>
      <c r="K606" s="98"/>
      <c r="L606" s="99"/>
      <c r="M606" s="99"/>
      <c r="N606" s="98"/>
      <c r="O606" s="98"/>
      <c r="P606" s="98"/>
      <c r="Q606" s="98"/>
      <c r="R606" s="43"/>
      <c r="S606" s="43"/>
      <c r="T606" s="43"/>
      <c r="U606" s="43"/>
      <c r="V606" s="43"/>
      <c r="W606" s="43"/>
      <c r="X606" s="43"/>
      <c r="Y606" s="43"/>
      <c r="Z606" s="43"/>
      <c r="AA606" s="43"/>
      <c r="AB606" s="43"/>
      <c r="AC606" s="43"/>
      <c r="AD606" s="43"/>
      <c r="AE606" s="43"/>
      <c r="AF606" s="43"/>
      <c r="AG606" s="43"/>
      <c r="AH606" s="43"/>
      <c r="AI606" s="43"/>
      <c r="AJ606" s="43"/>
    </row>
    <row r="607">
      <c r="A607" s="188"/>
      <c r="B607" s="90"/>
      <c r="C607" s="189"/>
      <c r="D607" s="189"/>
      <c r="E607" s="90"/>
      <c r="F607" s="189"/>
      <c r="G607" s="190"/>
      <c r="H607" s="60"/>
      <c r="I607" s="95"/>
      <c r="J607" s="96"/>
      <c r="K607" s="95"/>
      <c r="L607" s="96"/>
      <c r="M607" s="96"/>
      <c r="N607" s="95"/>
      <c r="O607" s="95"/>
      <c r="P607" s="95"/>
      <c r="Q607" s="95"/>
      <c r="R607" s="60"/>
      <c r="S607" s="60"/>
      <c r="T607" s="60"/>
      <c r="U607" s="60"/>
      <c r="V607" s="60"/>
      <c r="W607" s="60"/>
      <c r="X607" s="60"/>
      <c r="Y607" s="60"/>
      <c r="Z607" s="60"/>
      <c r="AA607" s="60"/>
      <c r="AB607" s="60"/>
      <c r="AC607" s="60"/>
      <c r="AD607" s="60"/>
      <c r="AE607" s="60"/>
      <c r="AF607" s="60"/>
      <c r="AG607" s="60"/>
      <c r="AH607" s="60"/>
      <c r="AI607" s="60"/>
      <c r="AJ607" s="60"/>
    </row>
    <row r="608">
      <c r="A608" s="185"/>
      <c r="B608" s="67"/>
      <c r="C608" s="186"/>
      <c r="D608" s="186"/>
      <c r="E608" s="67"/>
      <c r="F608" s="186"/>
      <c r="G608" s="187"/>
      <c r="H608" s="43"/>
      <c r="I608" s="98"/>
      <c r="J608" s="99"/>
      <c r="K608" s="98"/>
      <c r="L608" s="99"/>
      <c r="M608" s="99"/>
      <c r="N608" s="98"/>
      <c r="O608" s="98"/>
      <c r="P608" s="98"/>
      <c r="Q608" s="98"/>
      <c r="R608" s="43"/>
      <c r="S608" s="43"/>
      <c r="T608" s="43"/>
      <c r="U608" s="43"/>
      <c r="V608" s="43"/>
      <c r="W608" s="43"/>
      <c r="X608" s="43"/>
      <c r="Y608" s="43"/>
      <c r="Z608" s="43"/>
      <c r="AA608" s="43"/>
      <c r="AB608" s="43"/>
      <c r="AC608" s="43"/>
      <c r="AD608" s="43"/>
      <c r="AE608" s="43"/>
      <c r="AF608" s="43"/>
      <c r="AG608" s="43"/>
      <c r="AH608" s="43"/>
      <c r="AI608" s="43"/>
      <c r="AJ608" s="43"/>
    </row>
    <row r="609">
      <c r="A609" s="188"/>
      <c r="B609" s="90"/>
      <c r="C609" s="189"/>
      <c r="D609" s="189"/>
      <c r="E609" s="90"/>
      <c r="F609" s="189"/>
      <c r="G609" s="190"/>
      <c r="H609" s="60"/>
      <c r="I609" s="95"/>
      <c r="J609" s="96"/>
      <c r="K609" s="95"/>
      <c r="L609" s="96"/>
      <c r="M609" s="96"/>
      <c r="N609" s="95"/>
      <c r="O609" s="95"/>
      <c r="P609" s="95"/>
      <c r="Q609" s="95"/>
      <c r="R609" s="60"/>
      <c r="S609" s="60"/>
      <c r="T609" s="60"/>
      <c r="U609" s="60"/>
      <c r="V609" s="60"/>
      <c r="W609" s="60"/>
      <c r="X609" s="60"/>
      <c r="Y609" s="60"/>
      <c r="Z609" s="60"/>
      <c r="AA609" s="60"/>
      <c r="AB609" s="60"/>
      <c r="AC609" s="60"/>
      <c r="AD609" s="60"/>
      <c r="AE609" s="60"/>
      <c r="AF609" s="60"/>
      <c r="AG609" s="60"/>
      <c r="AH609" s="60"/>
      <c r="AI609" s="60"/>
      <c r="AJ609" s="60"/>
    </row>
    <row r="610">
      <c r="A610" s="185"/>
      <c r="B610" s="67"/>
      <c r="C610" s="186"/>
      <c r="D610" s="186"/>
      <c r="E610" s="67"/>
      <c r="F610" s="186"/>
      <c r="G610" s="187"/>
      <c r="H610" s="43"/>
      <c r="I610" s="98"/>
      <c r="J610" s="99"/>
      <c r="K610" s="98"/>
      <c r="L610" s="99"/>
      <c r="M610" s="99"/>
      <c r="N610" s="98"/>
      <c r="O610" s="98"/>
      <c r="P610" s="98"/>
      <c r="Q610" s="98"/>
      <c r="R610" s="43"/>
      <c r="S610" s="43"/>
      <c r="T610" s="43"/>
      <c r="U610" s="43"/>
      <c r="V610" s="43"/>
      <c r="W610" s="43"/>
      <c r="X610" s="43"/>
      <c r="Y610" s="43"/>
      <c r="Z610" s="43"/>
      <c r="AA610" s="43"/>
      <c r="AB610" s="43"/>
      <c r="AC610" s="43"/>
      <c r="AD610" s="43"/>
      <c r="AE610" s="43"/>
      <c r="AF610" s="43"/>
      <c r="AG610" s="43"/>
      <c r="AH610" s="43"/>
      <c r="AI610" s="43"/>
      <c r="AJ610" s="43"/>
    </row>
    <row r="611">
      <c r="A611" s="188"/>
      <c r="B611" s="90"/>
      <c r="C611" s="189"/>
      <c r="D611" s="189"/>
      <c r="E611" s="90"/>
      <c r="F611" s="189"/>
      <c r="G611" s="190"/>
      <c r="H611" s="60"/>
      <c r="I611" s="95"/>
      <c r="J611" s="96"/>
      <c r="K611" s="95"/>
      <c r="L611" s="96"/>
      <c r="M611" s="96"/>
      <c r="N611" s="95"/>
      <c r="O611" s="95"/>
      <c r="P611" s="95"/>
      <c r="Q611" s="95"/>
      <c r="R611" s="60"/>
      <c r="S611" s="60"/>
      <c r="T611" s="60"/>
      <c r="U611" s="60"/>
      <c r="V611" s="60"/>
      <c r="W611" s="60"/>
      <c r="X611" s="60"/>
      <c r="Y611" s="60"/>
      <c r="Z611" s="60"/>
      <c r="AA611" s="60"/>
      <c r="AB611" s="60"/>
      <c r="AC611" s="60"/>
      <c r="AD611" s="60"/>
      <c r="AE611" s="60"/>
      <c r="AF611" s="60"/>
      <c r="AG611" s="60"/>
      <c r="AH611" s="60"/>
      <c r="AI611" s="60"/>
      <c r="AJ611" s="60"/>
    </row>
    <row r="612">
      <c r="A612" s="185"/>
      <c r="B612" s="67"/>
      <c r="C612" s="186"/>
      <c r="D612" s="186"/>
      <c r="E612" s="67"/>
      <c r="F612" s="186"/>
      <c r="G612" s="187"/>
      <c r="H612" s="43"/>
      <c r="I612" s="98"/>
      <c r="J612" s="99"/>
      <c r="K612" s="98"/>
      <c r="L612" s="99"/>
      <c r="M612" s="99"/>
      <c r="N612" s="98"/>
      <c r="O612" s="98"/>
      <c r="P612" s="98"/>
      <c r="Q612" s="98"/>
      <c r="R612" s="43"/>
      <c r="S612" s="43"/>
      <c r="T612" s="43"/>
      <c r="U612" s="43"/>
      <c r="V612" s="43"/>
      <c r="W612" s="43"/>
      <c r="X612" s="43"/>
      <c r="Y612" s="43"/>
      <c r="Z612" s="43"/>
      <c r="AA612" s="43"/>
      <c r="AB612" s="43"/>
      <c r="AC612" s="43"/>
      <c r="AD612" s="43"/>
      <c r="AE612" s="43"/>
      <c r="AF612" s="43"/>
      <c r="AG612" s="43"/>
      <c r="AH612" s="43"/>
      <c r="AI612" s="43"/>
      <c r="AJ612" s="43"/>
    </row>
    <row r="613">
      <c r="A613" s="188"/>
      <c r="B613" s="90"/>
      <c r="C613" s="189"/>
      <c r="D613" s="189"/>
      <c r="E613" s="90"/>
      <c r="F613" s="189"/>
      <c r="G613" s="190"/>
      <c r="H613" s="60"/>
      <c r="I613" s="95"/>
      <c r="J613" s="96"/>
      <c r="K613" s="95"/>
      <c r="L613" s="96"/>
      <c r="M613" s="96"/>
      <c r="N613" s="95"/>
      <c r="O613" s="95"/>
      <c r="P613" s="95"/>
      <c r="Q613" s="95"/>
      <c r="R613" s="60"/>
      <c r="S613" s="60"/>
      <c r="T613" s="60"/>
      <c r="U613" s="60"/>
      <c r="V613" s="60"/>
      <c r="W613" s="60"/>
      <c r="X613" s="60"/>
      <c r="Y613" s="60"/>
      <c r="Z613" s="60"/>
      <c r="AA613" s="60"/>
      <c r="AB613" s="60"/>
      <c r="AC613" s="60"/>
      <c r="AD613" s="60"/>
      <c r="AE613" s="60"/>
      <c r="AF613" s="60"/>
      <c r="AG613" s="60"/>
      <c r="AH613" s="60"/>
      <c r="AI613" s="60"/>
      <c r="AJ613" s="60"/>
    </row>
    <row r="614">
      <c r="A614" s="185"/>
      <c r="B614" s="67"/>
      <c r="C614" s="186"/>
      <c r="D614" s="186"/>
      <c r="E614" s="67"/>
      <c r="F614" s="186"/>
      <c r="G614" s="187"/>
      <c r="H614" s="43"/>
      <c r="I614" s="98"/>
      <c r="J614" s="99"/>
      <c r="K614" s="98"/>
      <c r="L614" s="99"/>
      <c r="M614" s="99"/>
      <c r="N614" s="98"/>
      <c r="O614" s="98"/>
      <c r="P614" s="98"/>
      <c r="Q614" s="98"/>
      <c r="R614" s="43"/>
      <c r="S614" s="43"/>
      <c r="T614" s="43"/>
      <c r="U614" s="43"/>
      <c r="V614" s="43"/>
      <c r="W614" s="43"/>
      <c r="X614" s="43"/>
      <c r="Y614" s="43"/>
      <c r="Z614" s="43"/>
      <c r="AA614" s="43"/>
      <c r="AB614" s="43"/>
      <c r="AC614" s="43"/>
      <c r="AD614" s="43"/>
      <c r="AE614" s="43"/>
      <c r="AF614" s="43"/>
      <c r="AG614" s="43"/>
      <c r="AH614" s="43"/>
      <c r="AI614" s="43"/>
      <c r="AJ614" s="43"/>
    </row>
    <row r="615">
      <c r="A615" s="188"/>
      <c r="B615" s="90"/>
      <c r="C615" s="189"/>
      <c r="D615" s="189"/>
      <c r="E615" s="90"/>
      <c r="F615" s="189"/>
      <c r="G615" s="190"/>
      <c r="H615" s="60"/>
      <c r="I615" s="95"/>
      <c r="J615" s="96"/>
      <c r="K615" s="95"/>
      <c r="L615" s="96"/>
      <c r="M615" s="96"/>
      <c r="N615" s="95"/>
      <c r="O615" s="95"/>
      <c r="P615" s="95"/>
      <c r="Q615" s="95"/>
      <c r="R615" s="60"/>
      <c r="S615" s="60"/>
      <c r="T615" s="60"/>
      <c r="U615" s="60"/>
      <c r="V615" s="60"/>
      <c r="W615" s="60"/>
      <c r="X615" s="60"/>
      <c r="Y615" s="60"/>
      <c r="Z615" s="60"/>
      <c r="AA615" s="60"/>
      <c r="AB615" s="60"/>
      <c r="AC615" s="60"/>
      <c r="AD615" s="60"/>
      <c r="AE615" s="60"/>
      <c r="AF615" s="60"/>
      <c r="AG615" s="60"/>
      <c r="AH615" s="60"/>
      <c r="AI615" s="60"/>
      <c r="AJ615" s="60"/>
    </row>
    <row r="616">
      <c r="A616" s="185"/>
      <c r="B616" s="67"/>
      <c r="C616" s="186"/>
      <c r="D616" s="186"/>
      <c r="E616" s="67"/>
      <c r="F616" s="186"/>
      <c r="G616" s="187"/>
      <c r="H616" s="43"/>
      <c r="I616" s="98"/>
      <c r="J616" s="99"/>
      <c r="K616" s="98"/>
      <c r="L616" s="99"/>
      <c r="M616" s="99"/>
      <c r="N616" s="98"/>
      <c r="O616" s="98"/>
      <c r="P616" s="98"/>
      <c r="Q616" s="98"/>
      <c r="R616" s="43"/>
      <c r="S616" s="43"/>
      <c r="T616" s="43"/>
      <c r="U616" s="43"/>
      <c r="V616" s="43"/>
      <c r="W616" s="43"/>
      <c r="X616" s="43"/>
      <c r="Y616" s="43"/>
      <c r="Z616" s="43"/>
      <c r="AA616" s="43"/>
      <c r="AB616" s="43"/>
      <c r="AC616" s="43"/>
      <c r="AD616" s="43"/>
      <c r="AE616" s="43"/>
      <c r="AF616" s="43"/>
      <c r="AG616" s="43"/>
      <c r="AH616" s="43"/>
      <c r="AI616" s="43"/>
      <c r="AJ616" s="43"/>
    </row>
    <row r="617">
      <c r="A617" s="188"/>
      <c r="B617" s="90"/>
      <c r="C617" s="189"/>
      <c r="D617" s="189"/>
      <c r="E617" s="90"/>
      <c r="F617" s="189"/>
      <c r="G617" s="190"/>
      <c r="H617" s="60"/>
      <c r="I617" s="95"/>
      <c r="J617" s="96"/>
      <c r="K617" s="95"/>
      <c r="L617" s="96"/>
      <c r="M617" s="96"/>
      <c r="N617" s="95"/>
      <c r="O617" s="95"/>
      <c r="P617" s="95"/>
      <c r="Q617" s="95"/>
      <c r="R617" s="60"/>
      <c r="S617" s="60"/>
      <c r="T617" s="60"/>
      <c r="U617" s="60"/>
      <c r="V617" s="60"/>
      <c r="W617" s="60"/>
      <c r="X617" s="60"/>
      <c r="Y617" s="60"/>
      <c r="Z617" s="60"/>
      <c r="AA617" s="60"/>
      <c r="AB617" s="60"/>
      <c r="AC617" s="60"/>
      <c r="AD617" s="60"/>
      <c r="AE617" s="60"/>
      <c r="AF617" s="60"/>
      <c r="AG617" s="60"/>
      <c r="AH617" s="60"/>
      <c r="AI617" s="60"/>
      <c r="AJ617" s="60"/>
    </row>
    <row r="618">
      <c r="A618" s="185"/>
      <c r="B618" s="67"/>
      <c r="C618" s="186"/>
      <c r="D618" s="186"/>
      <c r="E618" s="67"/>
      <c r="F618" s="186"/>
      <c r="G618" s="187"/>
      <c r="H618" s="43"/>
      <c r="I618" s="98"/>
      <c r="J618" s="99"/>
      <c r="K618" s="98"/>
      <c r="L618" s="99"/>
      <c r="M618" s="99"/>
      <c r="N618" s="98"/>
      <c r="O618" s="98"/>
      <c r="P618" s="98"/>
      <c r="Q618" s="98"/>
      <c r="R618" s="43"/>
      <c r="S618" s="43"/>
      <c r="T618" s="43"/>
      <c r="U618" s="43"/>
      <c r="V618" s="43"/>
      <c r="W618" s="43"/>
      <c r="X618" s="43"/>
      <c r="Y618" s="43"/>
      <c r="Z618" s="43"/>
      <c r="AA618" s="43"/>
      <c r="AB618" s="43"/>
      <c r="AC618" s="43"/>
      <c r="AD618" s="43"/>
      <c r="AE618" s="43"/>
      <c r="AF618" s="43"/>
      <c r="AG618" s="43"/>
      <c r="AH618" s="43"/>
      <c r="AI618" s="43"/>
      <c r="AJ618" s="43"/>
    </row>
    <row r="619">
      <c r="A619" s="188"/>
      <c r="B619" s="90"/>
      <c r="C619" s="189"/>
      <c r="D619" s="189"/>
      <c r="E619" s="90"/>
      <c r="F619" s="189"/>
      <c r="G619" s="190"/>
      <c r="H619" s="60"/>
      <c r="I619" s="95"/>
      <c r="J619" s="96"/>
      <c r="K619" s="95"/>
      <c r="L619" s="96"/>
      <c r="M619" s="96"/>
      <c r="N619" s="95"/>
      <c r="O619" s="95"/>
      <c r="P619" s="95"/>
      <c r="Q619" s="95"/>
      <c r="R619" s="60"/>
      <c r="S619" s="60"/>
      <c r="T619" s="60"/>
      <c r="U619" s="60"/>
      <c r="V619" s="60"/>
      <c r="W619" s="60"/>
      <c r="X619" s="60"/>
      <c r="Y619" s="60"/>
      <c r="Z619" s="60"/>
      <c r="AA619" s="60"/>
      <c r="AB619" s="60"/>
      <c r="AC619" s="60"/>
      <c r="AD619" s="60"/>
      <c r="AE619" s="60"/>
      <c r="AF619" s="60"/>
      <c r="AG619" s="60"/>
      <c r="AH619" s="60"/>
      <c r="AI619" s="60"/>
      <c r="AJ619" s="60"/>
    </row>
    <row r="620">
      <c r="A620" s="185"/>
      <c r="B620" s="67"/>
      <c r="C620" s="186"/>
      <c r="D620" s="186"/>
      <c r="E620" s="67"/>
      <c r="F620" s="186"/>
      <c r="G620" s="187"/>
      <c r="H620" s="43"/>
      <c r="I620" s="98"/>
      <c r="J620" s="99"/>
      <c r="K620" s="98"/>
      <c r="L620" s="99"/>
      <c r="M620" s="99"/>
      <c r="N620" s="98"/>
      <c r="O620" s="98"/>
      <c r="P620" s="98"/>
      <c r="Q620" s="98"/>
      <c r="R620" s="43"/>
      <c r="S620" s="43"/>
      <c r="T620" s="43"/>
      <c r="U620" s="43"/>
      <c r="V620" s="43"/>
      <c r="W620" s="43"/>
      <c r="X620" s="43"/>
      <c r="Y620" s="43"/>
      <c r="Z620" s="43"/>
      <c r="AA620" s="43"/>
      <c r="AB620" s="43"/>
      <c r="AC620" s="43"/>
      <c r="AD620" s="43"/>
      <c r="AE620" s="43"/>
      <c r="AF620" s="43"/>
      <c r="AG620" s="43"/>
      <c r="AH620" s="43"/>
      <c r="AI620" s="43"/>
      <c r="AJ620" s="43"/>
    </row>
    <row r="621">
      <c r="A621" s="188"/>
      <c r="B621" s="90"/>
      <c r="C621" s="189"/>
      <c r="D621" s="189"/>
      <c r="E621" s="90"/>
      <c r="F621" s="189"/>
      <c r="G621" s="190"/>
      <c r="H621" s="60"/>
      <c r="I621" s="95"/>
      <c r="J621" s="96"/>
      <c r="K621" s="95"/>
      <c r="L621" s="96"/>
      <c r="M621" s="96"/>
      <c r="N621" s="95"/>
      <c r="O621" s="95"/>
      <c r="P621" s="95"/>
      <c r="Q621" s="95"/>
      <c r="R621" s="60"/>
      <c r="S621" s="60"/>
      <c r="T621" s="60"/>
      <c r="U621" s="60"/>
      <c r="V621" s="60"/>
      <c r="W621" s="60"/>
      <c r="X621" s="60"/>
      <c r="Y621" s="60"/>
      <c r="Z621" s="60"/>
      <c r="AA621" s="60"/>
      <c r="AB621" s="60"/>
      <c r="AC621" s="60"/>
      <c r="AD621" s="60"/>
      <c r="AE621" s="60"/>
      <c r="AF621" s="60"/>
      <c r="AG621" s="60"/>
      <c r="AH621" s="60"/>
      <c r="AI621" s="60"/>
      <c r="AJ621" s="60"/>
    </row>
    <row r="622">
      <c r="A622" s="185"/>
      <c r="B622" s="67"/>
      <c r="C622" s="186"/>
      <c r="D622" s="186"/>
      <c r="E622" s="67"/>
      <c r="F622" s="186"/>
      <c r="G622" s="187"/>
      <c r="H622" s="43"/>
      <c r="I622" s="98"/>
      <c r="J622" s="99"/>
      <c r="K622" s="98"/>
      <c r="L622" s="99"/>
      <c r="M622" s="99"/>
      <c r="N622" s="98"/>
      <c r="O622" s="98"/>
      <c r="P622" s="98"/>
      <c r="Q622" s="98"/>
      <c r="R622" s="43"/>
      <c r="S622" s="43"/>
      <c r="T622" s="43"/>
      <c r="U622" s="43"/>
      <c r="V622" s="43"/>
      <c r="W622" s="43"/>
      <c r="X622" s="43"/>
      <c r="Y622" s="43"/>
      <c r="Z622" s="43"/>
      <c r="AA622" s="43"/>
      <c r="AB622" s="43"/>
      <c r="AC622" s="43"/>
      <c r="AD622" s="43"/>
      <c r="AE622" s="43"/>
      <c r="AF622" s="43"/>
      <c r="AG622" s="43"/>
      <c r="AH622" s="43"/>
      <c r="AI622" s="43"/>
      <c r="AJ622" s="43"/>
    </row>
    <row r="623">
      <c r="A623" s="188"/>
      <c r="B623" s="90"/>
      <c r="C623" s="189"/>
      <c r="D623" s="189"/>
      <c r="E623" s="90"/>
      <c r="F623" s="189"/>
      <c r="G623" s="190"/>
      <c r="H623" s="60"/>
      <c r="I623" s="95"/>
      <c r="J623" s="96"/>
      <c r="K623" s="95"/>
      <c r="L623" s="96"/>
      <c r="M623" s="96"/>
      <c r="N623" s="95"/>
      <c r="O623" s="95"/>
      <c r="P623" s="95"/>
      <c r="Q623" s="95"/>
      <c r="R623" s="60"/>
      <c r="S623" s="60"/>
      <c r="T623" s="60"/>
      <c r="U623" s="60"/>
      <c r="V623" s="60"/>
      <c r="W623" s="60"/>
      <c r="X623" s="60"/>
      <c r="Y623" s="60"/>
      <c r="Z623" s="60"/>
      <c r="AA623" s="60"/>
      <c r="AB623" s="60"/>
      <c r="AC623" s="60"/>
      <c r="AD623" s="60"/>
      <c r="AE623" s="60"/>
      <c r="AF623" s="60"/>
      <c r="AG623" s="60"/>
      <c r="AH623" s="60"/>
      <c r="AI623" s="60"/>
      <c r="AJ623" s="60"/>
    </row>
    <row r="624">
      <c r="A624" s="185"/>
      <c r="B624" s="67"/>
      <c r="C624" s="186"/>
      <c r="D624" s="186"/>
      <c r="E624" s="67"/>
      <c r="F624" s="186"/>
      <c r="G624" s="187"/>
      <c r="H624" s="43"/>
      <c r="I624" s="98"/>
      <c r="J624" s="99"/>
      <c r="K624" s="98"/>
      <c r="L624" s="99"/>
      <c r="M624" s="99"/>
      <c r="N624" s="98"/>
      <c r="O624" s="98"/>
      <c r="P624" s="98"/>
      <c r="Q624" s="98"/>
      <c r="R624" s="43"/>
      <c r="S624" s="43"/>
      <c r="T624" s="43"/>
      <c r="U624" s="43"/>
      <c r="V624" s="43"/>
      <c r="W624" s="43"/>
      <c r="X624" s="43"/>
      <c r="Y624" s="43"/>
      <c r="Z624" s="43"/>
      <c r="AA624" s="43"/>
      <c r="AB624" s="43"/>
      <c r="AC624" s="43"/>
      <c r="AD624" s="43"/>
      <c r="AE624" s="43"/>
      <c r="AF624" s="43"/>
      <c r="AG624" s="43"/>
      <c r="AH624" s="43"/>
      <c r="AI624" s="43"/>
      <c r="AJ624" s="43"/>
    </row>
    <row r="625">
      <c r="A625" s="188"/>
      <c r="B625" s="90"/>
      <c r="C625" s="189"/>
      <c r="D625" s="189"/>
      <c r="E625" s="90"/>
      <c r="F625" s="189"/>
      <c r="G625" s="190"/>
      <c r="H625" s="60"/>
      <c r="I625" s="95"/>
      <c r="J625" s="96"/>
      <c r="K625" s="95"/>
      <c r="L625" s="96"/>
      <c r="M625" s="96"/>
      <c r="N625" s="95"/>
      <c r="O625" s="95"/>
      <c r="P625" s="95"/>
      <c r="Q625" s="95"/>
      <c r="R625" s="60"/>
      <c r="S625" s="60"/>
      <c r="T625" s="60"/>
      <c r="U625" s="60"/>
      <c r="V625" s="60"/>
      <c r="W625" s="60"/>
      <c r="X625" s="60"/>
      <c r="Y625" s="60"/>
      <c r="Z625" s="60"/>
      <c r="AA625" s="60"/>
      <c r="AB625" s="60"/>
      <c r="AC625" s="60"/>
      <c r="AD625" s="60"/>
      <c r="AE625" s="60"/>
      <c r="AF625" s="60"/>
      <c r="AG625" s="60"/>
      <c r="AH625" s="60"/>
      <c r="AI625" s="60"/>
      <c r="AJ625" s="60"/>
    </row>
    <row r="626">
      <c r="A626" s="185"/>
      <c r="B626" s="67"/>
      <c r="C626" s="186"/>
      <c r="D626" s="186"/>
      <c r="E626" s="67"/>
      <c r="F626" s="186"/>
      <c r="G626" s="187"/>
      <c r="H626" s="43"/>
      <c r="I626" s="98"/>
      <c r="J626" s="99"/>
      <c r="K626" s="98"/>
      <c r="L626" s="99"/>
      <c r="M626" s="99"/>
      <c r="N626" s="98"/>
      <c r="O626" s="98"/>
      <c r="P626" s="98"/>
      <c r="Q626" s="98"/>
      <c r="R626" s="43"/>
      <c r="S626" s="43"/>
      <c r="T626" s="43"/>
      <c r="U626" s="43"/>
      <c r="V626" s="43"/>
      <c r="W626" s="43"/>
      <c r="X626" s="43"/>
      <c r="Y626" s="43"/>
      <c r="Z626" s="43"/>
      <c r="AA626" s="43"/>
      <c r="AB626" s="43"/>
      <c r="AC626" s="43"/>
      <c r="AD626" s="43"/>
      <c r="AE626" s="43"/>
      <c r="AF626" s="43"/>
      <c r="AG626" s="43"/>
      <c r="AH626" s="43"/>
      <c r="AI626" s="43"/>
      <c r="AJ626" s="43"/>
    </row>
    <row r="627">
      <c r="A627" s="188"/>
      <c r="B627" s="90"/>
      <c r="C627" s="189"/>
      <c r="D627" s="189"/>
      <c r="E627" s="90"/>
      <c r="F627" s="189"/>
      <c r="G627" s="190"/>
      <c r="H627" s="60"/>
      <c r="I627" s="95"/>
      <c r="J627" s="96"/>
      <c r="K627" s="95"/>
      <c r="L627" s="96"/>
      <c r="M627" s="96"/>
      <c r="N627" s="95"/>
      <c r="O627" s="95"/>
      <c r="P627" s="95"/>
      <c r="Q627" s="95"/>
      <c r="R627" s="60"/>
      <c r="S627" s="60"/>
      <c r="T627" s="60"/>
      <c r="U627" s="60"/>
      <c r="V627" s="60"/>
      <c r="W627" s="60"/>
      <c r="X627" s="60"/>
      <c r="Y627" s="60"/>
      <c r="Z627" s="60"/>
      <c r="AA627" s="60"/>
      <c r="AB627" s="60"/>
      <c r="AC627" s="60"/>
      <c r="AD627" s="60"/>
      <c r="AE627" s="60"/>
      <c r="AF627" s="60"/>
      <c r="AG627" s="60"/>
      <c r="AH627" s="60"/>
      <c r="AI627" s="60"/>
      <c r="AJ627" s="60"/>
    </row>
    <row r="628">
      <c r="A628" s="185"/>
      <c r="B628" s="67"/>
      <c r="C628" s="186"/>
      <c r="D628" s="186"/>
      <c r="E628" s="67"/>
      <c r="F628" s="186"/>
      <c r="G628" s="187"/>
      <c r="H628" s="43"/>
      <c r="I628" s="98"/>
      <c r="J628" s="99"/>
      <c r="K628" s="98"/>
      <c r="L628" s="99"/>
      <c r="M628" s="99"/>
      <c r="N628" s="98"/>
      <c r="O628" s="98"/>
      <c r="P628" s="98"/>
      <c r="Q628" s="98"/>
      <c r="R628" s="43"/>
      <c r="S628" s="43"/>
      <c r="T628" s="43"/>
      <c r="U628" s="43"/>
      <c r="V628" s="43"/>
      <c r="W628" s="43"/>
      <c r="X628" s="43"/>
      <c r="Y628" s="43"/>
      <c r="Z628" s="43"/>
      <c r="AA628" s="43"/>
      <c r="AB628" s="43"/>
      <c r="AC628" s="43"/>
      <c r="AD628" s="43"/>
      <c r="AE628" s="43"/>
      <c r="AF628" s="43"/>
      <c r="AG628" s="43"/>
      <c r="AH628" s="43"/>
      <c r="AI628" s="43"/>
      <c r="AJ628" s="43"/>
    </row>
    <row r="629">
      <c r="A629" s="188"/>
      <c r="B629" s="90"/>
      <c r="C629" s="189"/>
      <c r="D629" s="189"/>
      <c r="E629" s="90"/>
      <c r="F629" s="189"/>
      <c r="G629" s="190"/>
      <c r="H629" s="60"/>
      <c r="I629" s="95"/>
      <c r="J629" s="96"/>
      <c r="K629" s="95"/>
      <c r="L629" s="96"/>
      <c r="M629" s="96"/>
      <c r="N629" s="95"/>
      <c r="O629" s="95"/>
      <c r="P629" s="95"/>
      <c r="Q629" s="95"/>
      <c r="R629" s="60"/>
      <c r="S629" s="60"/>
      <c r="T629" s="60"/>
      <c r="U629" s="60"/>
      <c r="V629" s="60"/>
      <c r="W629" s="60"/>
      <c r="X629" s="60"/>
      <c r="Y629" s="60"/>
      <c r="Z629" s="60"/>
      <c r="AA629" s="60"/>
      <c r="AB629" s="60"/>
      <c r="AC629" s="60"/>
      <c r="AD629" s="60"/>
      <c r="AE629" s="60"/>
      <c r="AF629" s="60"/>
      <c r="AG629" s="60"/>
      <c r="AH629" s="60"/>
      <c r="AI629" s="60"/>
      <c r="AJ629" s="60"/>
    </row>
    <row r="630">
      <c r="A630" s="185"/>
      <c r="B630" s="67"/>
      <c r="C630" s="186"/>
      <c r="D630" s="186"/>
      <c r="E630" s="67"/>
      <c r="F630" s="186"/>
      <c r="G630" s="187"/>
      <c r="H630" s="43"/>
      <c r="I630" s="98"/>
      <c r="J630" s="99"/>
      <c r="K630" s="98"/>
      <c r="L630" s="99"/>
      <c r="M630" s="99"/>
      <c r="N630" s="98"/>
      <c r="O630" s="98"/>
      <c r="P630" s="98"/>
      <c r="Q630" s="98"/>
      <c r="R630" s="43"/>
      <c r="S630" s="43"/>
      <c r="T630" s="43"/>
      <c r="U630" s="43"/>
      <c r="V630" s="43"/>
      <c r="W630" s="43"/>
      <c r="X630" s="43"/>
      <c r="Y630" s="43"/>
      <c r="Z630" s="43"/>
      <c r="AA630" s="43"/>
      <c r="AB630" s="43"/>
      <c r="AC630" s="43"/>
      <c r="AD630" s="43"/>
      <c r="AE630" s="43"/>
      <c r="AF630" s="43"/>
      <c r="AG630" s="43"/>
      <c r="AH630" s="43"/>
      <c r="AI630" s="43"/>
      <c r="AJ630" s="43"/>
    </row>
    <row r="631">
      <c r="A631" s="188"/>
      <c r="B631" s="90"/>
      <c r="C631" s="189"/>
      <c r="D631" s="189"/>
      <c r="E631" s="90"/>
      <c r="F631" s="189"/>
      <c r="G631" s="190"/>
      <c r="H631" s="60"/>
      <c r="I631" s="95"/>
      <c r="J631" s="96"/>
      <c r="K631" s="95"/>
      <c r="L631" s="96"/>
      <c r="M631" s="96"/>
      <c r="N631" s="95"/>
      <c r="O631" s="95"/>
      <c r="P631" s="95"/>
      <c r="Q631" s="95"/>
      <c r="R631" s="60"/>
      <c r="S631" s="60"/>
      <c r="T631" s="60"/>
      <c r="U631" s="60"/>
      <c r="V631" s="60"/>
      <c r="W631" s="60"/>
      <c r="X631" s="60"/>
      <c r="Y631" s="60"/>
      <c r="Z631" s="60"/>
      <c r="AA631" s="60"/>
      <c r="AB631" s="60"/>
      <c r="AC631" s="60"/>
      <c r="AD631" s="60"/>
      <c r="AE631" s="60"/>
      <c r="AF631" s="60"/>
      <c r="AG631" s="60"/>
      <c r="AH631" s="60"/>
      <c r="AI631" s="60"/>
      <c r="AJ631" s="60"/>
    </row>
    <row r="632">
      <c r="A632" s="185"/>
      <c r="B632" s="67"/>
      <c r="C632" s="186"/>
      <c r="D632" s="186"/>
      <c r="E632" s="67"/>
      <c r="F632" s="186"/>
      <c r="G632" s="187"/>
      <c r="H632" s="43"/>
      <c r="I632" s="98"/>
      <c r="J632" s="99"/>
      <c r="K632" s="98"/>
      <c r="L632" s="99"/>
      <c r="M632" s="99"/>
      <c r="N632" s="98"/>
      <c r="O632" s="98"/>
      <c r="P632" s="98"/>
      <c r="Q632" s="98"/>
      <c r="R632" s="43"/>
      <c r="S632" s="43"/>
      <c r="T632" s="43"/>
      <c r="U632" s="43"/>
      <c r="V632" s="43"/>
      <c r="W632" s="43"/>
      <c r="X632" s="43"/>
      <c r="Y632" s="43"/>
      <c r="Z632" s="43"/>
      <c r="AA632" s="43"/>
      <c r="AB632" s="43"/>
      <c r="AC632" s="43"/>
      <c r="AD632" s="43"/>
      <c r="AE632" s="43"/>
      <c r="AF632" s="43"/>
      <c r="AG632" s="43"/>
      <c r="AH632" s="43"/>
      <c r="AI632" s="43"/>
      <c r="AJ632" s="43"/>
    </row>
    <row r="633">
      <c r="A633" s="188"/>
      <c r="B633" s="90"/>
      <c r="C633" s="189"/>
      <c r="D633" s="189"/>
      <c r="E633" s="90"/>
      <c r="F633" s="189"/>
      <c r="G633" s="190"/>
      <c r="H633" s="60"/>
      <c r="I633" s="95"/>
      <c r="J633" s="96"/>
      <c r="K633" s="95"/>
      <c r="L633" s="96"/>
      <c r="M633" s="96"/>
      <c r="N633" s="95"/>
      <c r="O633" s="95"/>
      <c r="P633" s="95"/>
      <c r="Q633" s="95"/>
      <c r="R633" s="60"/>
      <c r="S633" s="60"/>
      <c r="T633" s="60"/>
      <c r="U633" s="60"/>
      <c r="V633" s="60"/>
      <c r="W633" s="60"/>
      <c r="X633" s="60"/>
      <c r="Y633" s="60"/>
      <c r="Z633" s="60"/>
      <c r="AA633" s="60"/>
      <c r="AB633" s="60"/>
      <c r="AC633" s="60"/>
      <c r="AD633" s="60"/>
      <c r="AE633" s="60"/>
      <c r="AF633" s="60"/>
      <c r="AG633" s="60"/>
      <c r="AH633" s="60"/>
      <c r="AI633" s="60"/>
      <c r="AJ633" s="60"/>
    </row>
    <row r="634">
      <c r="A634" s="185"/>
      <c r="B634" s="67"/>
      <c r="C634" s="186"/>
      <c r="D634" s="186"/>
      <c r="E634" s="67"/>
      <c r="F634" s="186"/>
      <c r="G634" s="187"/>
      <c r="H634" s="43"/>
      <c r="I634" s="98"/>
      <c r="J634" s="99"/>
      <c r="K634" s="98"/>
      <c r="L634" s="99"/>
      <c r="M634" s="99"/>
      <c r="N634" s="98"/>
      <c r="O634" s="98"/>
      <c r="P634" s="98"/>
      <c r="Q634" s="98"/>
      <c r="R634" s="43"/>
      <c r="S634" s="43"/>
      <c r="T634" s="43"/>
      <c r="U634" s="43"/>
      <c r="V634" s="43"/>
      <c r="W634" s="43"/>
      <c r="X634" s="43"/>
      <c r="Y634" s="43"/>
      <c r="Z634" s="43"/>
      <c r="AA634" s="43"/>
      <c r="AB634" s="43"/>
      <c r="AC634" s="43"/>
      <c r="AD634" s="43"/>
      <c r="AE634" s="43"/>
      <c r="AF634" s="43"/>
      <c r="AG634" s="43"/>
      <c r="AH634" s="43"/>
      <c r="AI634" s="43"/>
      <c r="AJ634" s="43"/>
    </row>
    <row r="635">
      <c r="A635" s="188"/>
      <c r="B635" s="90"/>
      <c r="C635" s="189"/>
      <c r="D635" s="189"/>
      <c r="E635" s="90"/>
      <c r="F635" s="189"/>
      <c r="G635" s="190"/>
      <c r="H635" s="60"/>
      <c r="I635" s="95"/>
      <c r="J635" s="96"/>
      <c r="K635" s="95"/>
      <c r="L635" s="96"/>
      <c r="M635" s="96"/>
      <c r="N635" s="95"/>
      <c r="O635" s="95"/>
      <c r="P635" s="95"/>
      <c r="Q635" s="95"/>
      <c r="R635" s="60"/>
      <c r="S635" s="60"/>
      <c r="T635" s="60"/>
      <c r="U635" s="60"/>
      <c r="V635" s="60"/>
      <c r="W635" s="60"/>
      <c r="X635" s="60"/>
      <c r="Y635" s="60"/>
      <c r="Z635" s="60"/>
      <c r="AA635" s="60"/>
      <c r="AB635" s="60"/>
      <c r="AC635" s="60"/>
      <c r="AD635" s="60"/>
      <c r="AE635" s="60"/>
      <c r="AF635" s="60"/>
      <c r="AG635" s="60"/>
      <c r="AH635" s="60"/>
      <c r="AI635" s="60"/>
      <c r="AJ635" s="60"/>
    </row>
    <row r="636">
      <c r="A636" s="185"/>
      <c r="B636" s="67"/>
      <c r="C636" s="186"/>
      <c r="D636" s="186"/>
      <c r="E636" s="67"/>
      <c r="F636" s="186"/>
      <c r="G636" s="187"/>
      <c r="H636" s="43"/>
      <c r="I636" s="98"/>
      <c r="J636" s="99"/>
      <c r="K636" s="98"/>
      <c r="L636" s="99"/>
      <c r="M636" s="99"/>
      <c r="N636" s="98"/>
      <c r="O636" s="98"/>
      <c r="P636" s="98"/>
      <c r="Q636" s="98"/>
      <c r="R636" s="43"/>
      <c r="S636" s="43"/>
      <c r="T636" s="43"/>
      <c r="U636" s="43"/>
      <c r="V636" s="43"/>
      <c r="W636" s="43"/>
      <c r="X636" s="43"/>
      <c r="Y636" s="43"/>
      <c r="Z636" s="43"/>
      <c r="AA636" s="43"/>
      <c r="AB636" s="43"/>
      <c r="AC636" s="43"/>
      <c r="AD636" s="43"/>
      <c r="AE636" s="43"/>
      <c r="AF636" s="43"/>
      <c r="AG636" s="43"/>
      <c r="AH636" s="43"/>
      <c r="AI636" s="43"/>
      <c r="AJ636" s="43"/>
    </row>
    <row r="637">
      <c r="A637" s="188"/>
      <c r="B637" s="90"/>
      <c r="C637" s="189"/>
      <c r="D637" s="189"/>
      <c r="E637" s="90"/>
      <c r="F637" s="189"/>
      <c r="G637" s="190"/>
      <c r="H637" s="60"/>
      <c r="I637" s="95"/>
      <c r="J637" s="96"/>
      <c r="K637" s="95"/>
      <c r="L637" s="96"/>
      <c r="M637" s="96"/>
      <c r="N637" s="95"/>
      <c r="O637" s="95"/>
      <c r="P637" s="95"/>
      <c r="Q637" s="95"/>
      <c r="R637" s="60"/>
      <c r="S637" s="60"/>
      <c r="T637" s="60"/>
      <c r="U637" s="60"/>
      <c r="V637" s="60"/>
      <c r="W637" s="60"/>
      <c r="X637" s="60"/>
      <c r="Y637" s="60"/>
      <c r="Z637" s="60"/>
      <c r="AA637" s="60"/>
      <c r="AB637" s="60"/>
      <c r="AC637" s="60"/>
      <c r="AD637" s="60"/>
      <c r="AE637" s="60"/>
      <c r="AF637" s="60"/>
      <c r="AG637" s="60"/>
      <c r="AH637" s="60"/>
      <c r="AI637" s="60"/>
      <c r="AJ637" s="60"/>
    </row>
    <row r="638">
      <c r="A638" s="185"/>
      <c r="B638" s="67"/>
      <c r="C638" s="186"/>
      <c r="D638" s="186"/>
      <c r="E638" s="67"/>
      <c r="F638" s="186"/>
      <c r="G638" s="187"/>
      <c r="H638" s="43"/>
      <c r="I638" s="98"/>
      <c r="J638" s="99"/>
      <c r="K638" s="98"/>
      <c r="L638" s="99"/>
      <c r="M638" s="99"/>
      <c r="N638" s="98"/>
      <c r="O638" s="98"/>
      <c r="P638" s="98"/>
      <c r="Q638" s="98"/>
      <c r="R638" s="43"/>
      <c r="S638" s="43"/>
      <c r="T638" s="43"/>
      <c r="U638" s="43"/>
      <c r="V638" s="43"/>
      <c r="W638" s="43"/>
      <c r="X638" s="43"/>
      <c r="Y638" s="43"/>
      <c r="Z638" s="43"/>
      <c r="AA638" s="43"/>
      <c r="AB638" s="43"/>
      <c r="AC638" s="43"/>
      <c r="AD638" s="43"/>
      <c r="AE638" s="43"/>
      <c r="AF638" s="43"/>
      <c r="AG638" s="43"/>
      <c r="AH638" s="43"/>
      <c r="AI638" s="43"/>
      <c r="AJ638" s="43"/>
    </row>
    <row r="639">
      <c r="A639" s="188"/>
      <c r="B639" s="90"/>
      <c r="C639" s="189"/>
      <c r="D639" s="189"/>
      <c r="E639" s="90"/>
      <c r="F639" s="189"/>
      <c r="G639" s="190"/>
      <c r="H639" s="60"/>
      <c r="I639" s="95"/>
      <c r="J639" s="96"/>
      <c r="K639" s="95"/>
      <c r="L639" s="96"/>
      <c r="M639" s="96"/>
      <c r="N639" s="95"/>
      <c r="O639" s="95"/>
      <c r="P639" s="95"/>
      <c r="Q639" s="95"/>
      <c r="R639" s="60"/>
      <c r="S639" s="60"/>
      <c r="T639" s="60"/>
      <c r="U639" s="60"/>
      <c r="V639" s="60"/>
      <c r="W639" s="60"/>
      <c r="X639" s="60"/>
      <c r="Y639" s="60"/>
      <c r="Z639" s="60"/>
      <c r="AA639" s="60"/>
      <c r="AB639" s="60"/>
      <c r="AC639" s="60"/>
      <c r="AD639" s="60"/>
      <c r="AE639" s="60"/>
      <c r="AF639" s="60"/>
      <c r="AG639" s="60"/>
      <c r="AH639" s="60"/>
      <c r="AI639" s="60"/>
      <c r="AJ639" s="60"/>
    </row>
    <row r="640">
      <c r="A640" s="185"/>
      <c r="B640" s="67"/>
      <c r="C640" s="186"/>
      <c r="D640" s="186"/>
      <c r="E640" s="67"/>
      <c r="F640" s="186"/>
      <c r="G640" s="187"/>
      <c r="H640" s="43"/>
      <c r="I640" s="98"/>
      <c r="J640" s="99"/>
      <c r="K640" s="98"/>
      <c r="L640" s="99"/>
      <c r="M640" s="99"/>
      <c r="N640" s="98"/>
      <c r="O640" s="98"/>
      <c r="P640" s="98"/>
      <c r="Q640" s="98"/>
      <c r="R640" s="43"/>
      <c r="S640" s="43"/>
      <c r="T640" s="43"/>
      <c r="U640" s="43"/>
      <c r="V640" s="43"/>
      <c r="W640" s="43"/>
      <c r="X640" s="43"/>
      <c r="Y640" s="43"/>
      <c r="Z640" s="43"/>
      <c r="AA640" s="43"/>
      <c r="AB640" s="43"/>
      <c r="AC640" s="43"/>
      <c r="AD640" s="43"/>
      <c r="AE640" s="43"/>
      <c r="AF640" s="43"/>
      <c r="AG640" s="43"/>
      <c r="AH640" s="43"/>
      <c r="AI640" s="43"/>
      <c r="AJ640" s="43"/>
    </row>
    <row r="641">
      <c r="A641" s="188"/>
      <c r="B641" s="90"/>
      <c r="C641" s="189"/>
      <c r="D641" s="189"/>
      <c r="E641" s="90"/>
      <c r="F641" s="189"/>
      <c r="G641" s="190"/>
      <c r="H641" s="60"/>
      <c r="I641" s="95"/>
      <c r="J641" s="96"/>
      <c r="K641" s="95"/>
      <c r="L641" s="96"/>
      <c r="M641" s="96"/>
      <c r="N641" s="95"/>
      <c r="O641" s="95"/>
      <c r="P641" s="95"/>
      <c r="Q641" s="95"/>
      <c r="R641" s="60"/>
      <c r="S641" s="60"/>
      <c r="T641" s="60"/>
      <c r="U641" s="60"/>
      <c r="V641" s="60"/>
      <c r="W641" s="60"/>
      <c r="X641" s="60"/>
      <c r="Y641" s="60"/>
      <c r="Z641" s="60"/>
      <c r="AA641" s="60"/>
      <c r="AB641" s="60"/>
      <c r="AC641" s="60"/>
      <c r="AD641" s="60"/>
      <c r="AE641" s="60"/>
      <c r="AF641" s="60"/>
      <c r="AG641" s="60"/>
      <c r="AH641" s="60"/>
      <c r="AI641" s="60"/>
      <c r="AJ641" s="60"/>
    </row>
    <row r="642">
      <c r="A642" s="185"/>
      <c r="B642" s="67"/>
      <c r="C642" s="186"/>
      <c r="D642" s="186"/>
      <c r="E642" s="67"/>
      <c r="F642" s="186"/>
      <c r="G642" s="187"/>
      <c r="H642" s="43"/>
      <c r="I642" s="98"/>
      <c r="J642" s="99"/>
      <c r="K642" s="98"/>
      <c r="L642" s="99"/>
      <c r="M642" s="99"/>
      <c r="N642" s="98"/>
      <c r="O642" s="98"/>
      <c r="P642" s="98"/>
      <c r="Q642" s="98"/>
      <c r="R642" s="43"/>
      <c r="S642" s="43"/>
      <c r="T642" s="43"/>
      <c r="U642" s="43"/>
      <c r="V642" s="43"/>
      <c r="W642" s="43"/>
      <c r="X642" s="43"/>
      <c r="Y642" s="43"/>
      <c r="Z642" s="43"/>
      <c r="AA642" s="43"/>
      <c r="AB642" s="43"/>
      <c r="AC642" s="43"/>
      <c r="AD642" s="43"/>
      <c r="AE642" s="43"/>
      <c r="AF642" s="43"/>
      <c r="AG642" s="43"/>
      <c r="AH642" s="43"/>
      <c r="AI642" s="43"/>
      <c r="AJ642" s="43"/>
    </row>
    <row r="643">
      <c r="A643" s="188"/>
      <c r="B643" s="90"/>
      <c r="C643" s="189"/>
      <c r="D643" s="189"/>
      <c r="E643" s="90"/>
      <c r="F643" s="189"/>
      <c r="G643" s="190"/>
      <c r="H643" s="60"/>
      <c r="I643" s="95"/>
      <c r="J643" s="96"/>
      <c r="K643" s="95"/>
      <c r="L643" s="96"/>
      <c r="M643" s="96"/>
      <c r="N643" s="95"/>
      <c r="O643" s="95"/>
      <c r="P643" s="95"/>
      <c r="Q643" s="95"/>
      <c r="R643" s="60"/>
      <c r="S643" s="60"/>
      <c r="T643" s="60"/>
      <c r="U643" s="60"/>
      <c r="V643" s="60"/>
      <c r="W643" s="60"/>
      <c r="X643" s="60"/>
      <c r="Y643" s="60"/>
      <c r="Z643" s="60"/>
      <c r="AA643" s="60"/>
      <c r="AB643" s="60"/>
      <c r="AC643" s="60"/>
      <c r="AD643" s="60"/>
      <c r="AE643" s="60"/>
      <c r="AF643" s="60"/>
      <c r="AG643" s="60"/>
      <c r="AH643" s="60"/>
      <c r="AI643" s="60"/>
      <c r="AJ643" s="60"/>
    </row>
    <row r="644">
      <c r="A644" s="185"/>
      <c r="B644" s="67"/>
      <c r="C644" s="186"/>
      <c r="D644" s="186"/>
      <c r="E644" s="67"/>
      <c r="F644" s="186"/>
      <c r="G644" s="187"/>
      <c r="H644" s="43"/>
      <c r="I644" s="98"/>
      <c r="J644" s="99"/>
      <c r="K644" s="98"/>
      <c r="L644" s="99"/>
      <c r="M644" s="99"/>
      <c r="N644" s="98"/>
      <c r="O644" s="98"/>
      <c r="P644" s="98"/>
      <c r="Q644" s="98"/>
      <c r="R644" s="43"/>
      <c r="S644" s="43"/>
      <c r="T644" s="43"/>
      <c r="U644" s="43"/>
      <c r="V644" s="43"/>
      <c r="W644" s="43"/>
      <c r="X644" s="43"/>
      <c r="Y644" s="43"/>
      <c r="Z644" s="43"/>
      <c r="AA644" s="43"/>
      <c r="AB644" s="43"/>
      <c r="AC644" s="43"/>
      <c r="AD644" s="43"/>
      <c r="AE644" s="43"/>
      <c r="AF644" s="43"/>
      <c r="AG644" s="43"/>
      <c r="AH644" s="43"/>
      <c r="AI644" s="43"/>
      <c r="AJ644" s="43"/>
    </row>
    <row r="645">
      <c r="A645" s="188"/>
      <c r="B645" s="90"/>
      <c r="C645" s="189"/>
      <c r="D645" s="189"/>
      <c r="E645" s="90"/>
      <c r="F645" s="189"/>
      <c r="G645" s="190"/>
      <c r="H645" s="60"/>
      <c r="I645" s="95"/>
      <c r="J645" s="96"/>
      <c r="K645" s="95"/>
      <c r="L645" s="96"/>
      <c r="M645" s="96"/>
      <c r="N645" s="95"/>
      <c r="O645" s="95"/>
      <c r="P645" s="95"/>
      <c r="Q645" s="95"/>
      <c r="R645" s="60"/>
      <c r="S645" s="60"/>
      <c r="T645" s="60"/>
      <c r="U645" s="60"/>
      <c r="V645" s="60"/>
      <c r="W645" s="60"/>
      <c r="X645" s="60"/>
      <c r="Y645" s="60"/>
      <c r="Z645" s="60"/>
      <c r="AA645" s="60"/>
      <c r="AB645" s="60"/>
      <c r="AC645" s="60"/>
      <c r="AD645" s="60"/>
      <c r="AE645" s="60"/>
      <c r="AF645" s="60"/>
      <c r="AG645" s="60"/>
      <c r="AH645" s="60"/>
      <c r="AI645" s="60"/>
      <c r="AJ645" s="60"/>
    </row>
    <row r="646">
      <c r="A646" s="185"/>
      <c r="B646" s="67"/>
      <c r="C646" s="186"/>
      <c r="D646" s="186"/>
      <c r="E646" s="67"/>
      <c r="F646" s="186"/>
      <c r="G646" s="187"/>
      <c r="H646" s="43"/>
      <c r="I646" s="98"/>
      <c r="J646" s="99"/>
      <c r="K646" s="98"/>
      <c r="L646" s="99"/>
      <c r="M646" s="99"/>
      <c r="N646" s="98"/>
      <c r="O646" s="98"/>
      <c r="P646" s="98"/>
      <c r="Q646" s="98"/>
      <c r="R646" s="43"/>
      <c r="S646" s="43"/>
      <c r="T646" s="43"/>
      <c r="U646" s="43"/>
      <c r="V646" s="43"/>
      <c r="W646" s="43"/>
      <c r="X646" s="43"/>
      <c r="Y646" s="43"/>
      <c r="Z646" s="43"/>
      <c r="AA646" s="43"/>
      <c r="AB646" s="43"/>
      <c r="AC646" s="43"/>
      <c r="AD646" s="43"/>
      <c r="AE646" s="43"/>
      <c r="AF646" s="43"/>
      <c r="AG646" s="43"/>
      <c r="AH646" s="43"/>
      <c r="AI646" s="43"/>
      <c r="AJ646" s="43"/>
    </row>
    <row r="647">
      <c r="A647" s="188"/>
      <c r="B647" s="90"/>
      <c r="C647" s="189"/>
      <c r="D647" s="189"/>
      <c r="E647" s="90"/>
      <c r="F647" s="189"/>
      <c r="G647" s="190"/>
      <c r="H647" s="60"/>
      <c r="I647" s="95"/>
      <c r="J647" s="96"/>
      <c r="K647" s="95"/>
      <c r="L647" s="96"/>
      <c r="M647" s="96"/>
      <c r="N647" s="95"/>
      <c r="O647" s="95"/>
      <c r="P647" s="95"/>
      <c r="Q647" s="95"/>
      <c r="R647" s="60"/>
      <c r="S647" s="60"/>
      <c r="T647" s="60"/>
      <c r="U647" s="60"/>
      <c r="V647" s="60"/>
      <c r="W647" s="60"/>
      <c r="X647" s="60"/>
      <c r="Y647" s="60"/>
      <c r="Z647" s="60"/>
      <c r="AA647" s="60"/>
      <c r="AB647" s="60"/>
      <c r="AC647" s="60"/>
      <c r="AD647" s="60"/>
      <c r="AE647" s="60"/>
      <c r="AF647" s="60"/>
      <c r="AG647" s="60"/>
      <c r="AH647" s="60"/>
      <c r="AI647" s="60"/>
      <c r="AJ647" s="60"/>
    </row>
    <row r="648">
      <c r="A648" s="185"/>
      <c r="B648" s="67"/>
      <c r="C648" s="186"/>
      <c r="D648" s="186"/>
      <c r="E648" s="67"/>
      <c r="F648" s="186"/>
      <c r="G648" s="187"/>
      <c r="H648" s="43"/>
      <c r="I648" s="98"/>
      <c r="J648" s="99"/>
      <c r="K648" s="98"/>
      <c r="L648" s="99"/>
      <c r="M648" s="99"/>
      <c r="N648" s="98"/>
      <c r="O648" s="98"/>
      <c r="P648" s="98"/>
      <c r="Q648" s="98"/>
      <c r="R648" s="43"/>
      <c r="S648" s="43"/>
      <c r="T648" s="43"/>
      <c r="U648" s="43"/>
      <c r="V648" s="43"/>
      <c r="W648" s="43"/>
      <c r="X648" s="43"/>
      <c r="Y648" s="43"/>
      <c r="Z648" s="43"/>
      <c r="AA648" s="43"/>
      <c r="AB648" s="43"/>
      <c r="AC648" s="43"/>
      <c r="AD648" s="43"/>
      <c r="AE648" s="43"/>
      <c r="AF648" s="43"/>
      <c r="AG648" s="43"/>
      <c r="AH648" s="43"/>
      <c r="AI648" s="43"/>
      <c r="AJ648" s="43"/>
    </row>
    <row r="649">
      <c r="A649" s="188"/>
      <c r="B649" s="90"/>
      <c r="C649" s="189"/>
      <c r="D649" s="189"/>
      <c r="E649" s="90"/>
      <c r="F649" s="189"/>
      <c r="G649" s="190"/>
      <c r="H649" s="60"/>
      <c r="I649" s="95"/>
      <c r="J649" s="96"/>
      <c r="K649" s="95"/>
      <c r="L649" s="96"/>
      <c r="M649" s="96"/>
      <c r="N649" s="95"/>
      <c r="O649" s="95"/>
      <c r="P649" s="95"/>
      <c r="Q649" s="95"/>
      <c r="R649" s="60"/>
      <c r="S649" s="60"/>
      <c r="T649" s="60"/>
      <c r="U649" s="60"/>
      <c r="V649" s="60"/>
      <c r="W649" s="60"/>
      <c r="X649" s="60"/>
      <c r="Y649" s="60"/>
      <c r="Z649" s="60"/>
      <c r="AA649" s="60"/>
      <c r="AB649" s="60"/>
      <c r="AC649" s="60"/>
      <c r="AD649" s="60"/>
      <c r="AE649" s="60"/>
      <c r="AF649" s="60"/>
      <c r="AG649" s="60"/>
      <c r="AH649" s="60"/>
      <c r="AI649" s="60"/>
      <c r="AJ649" s="60"/>
    </row>
    <row r="650">
      <c r="A650" s="185"/>
      <c r="B650" s="67"/>
      <c r="C650" s="186"/>
      <c r="D650" s="186"/>
      <c r="E650" s="67"/>
      <c r="F650" s="186"/>
      <c r="G650" s="187"/>
      <c r="H650" s="43"/>
      <c r="I650" s="98"/>
      <c r="J650" s="99"/>
      <c r="K650" s="98"/>
      <c r="L650" s="99"/>
      <c r="M650" s="99"/>
      <c r="N650" s="98"/>
      <c r="O650" s="98"/>
      <c r="P650" s="98"/>
      <c r="Q650" s="98"/>
      <c r="R650" s="43"/>
      <c r="S650" s="43"/>
      <c r="T650" s="43"/>
      <c r="U650" s="43"/>
      <c r="V650" s="43"/>
      <c r="W650" s="43"/>
      <c r="X650" s="43"/>
      <c r="Y650" s="43"/>
      <c r="Z650" s="43"/>
      <c r="AA650" s="43"/>
      <c r="AB650" s="43"/>
      <c r="AC650" s="43"/>
      <c r="AD650" s="43"/>
      <c r="AE650" s="43"/>
      <c r="AF650" s="43"/>
      <c r="AG650" s="43"/>
      <c r="AH650" s="43"/>
      <c r="AI650" s="43"/>
      <c r="AJ650" s="43"/>
    </row>
    <row r="651">
      <c r="A651" s="188"/>
      <c r="B651" s="90"/>
      <c r="C651" s="189"/>
      <c r="D651" s="189"/>
      <c r="E651" s="90"/>
      <c r="F651" s="189"/>
      <c r="G651" s="190"/>
      <c r="H651" s="60"/>
      <c r="I651" s="95"/>
      <c r="J651" s="96"/>
      <c r="K651" s="95"/>
      <c r="L651" s="96"/>
      <c r="M651" s="96"/>
      <c r="N651" s="95"/>
      <c r="O651" s="95"/>
      <c r="P651" s="95"/>
      <c r="Q651" s="95"/>
      <c r="R651" s="60"/>
      <c r="S651" s="60"/>
      <c r="T651" s="60"/>
      <c r="U651" s="60"/>
      <c r="V651" s="60"/>
      <c r="W651" s="60"/>
      <c r="X651" s="60"/>
      <c r="Y651" s="60"/>
      <c r="Z651" s="60"/>
      <c r="AA651" s="60"/>
      <c r="AB651" s="60"/>
      <c r="AC651" s="60"/>
      <c r="AD651" s="60"/>
      <c r="AE651" s="60"/>
      <c r="AF651" s="60"/>
      <c r="AG651" s="60"/>
      <c r="AH651" s="60"/>
      <c r="AI651" s="60"/>
      <c r="AJ651" s="60"/>
    </row>
    <row r="652">
      <c r="A652" s="185"/>
      <c r="B652" s="67"/>
      <c r="C652" s="186"/>
      <c r="D652" s="186"/>
      <c r="E652" s="67"/>
      <c r="F652" s="186"/>
      <c r="G652" s="187"/>
      <c r="H652" s="43"/>
      <c r="I652" s="98"/>
      <c r="J652" s="99"/>
      <c r="K652" s="98"/>
      <c r="L652" s="99"/>
      <c r="M652" s="99"/>
      <c r="N652" s="98"/>
      <c r="O652" s="98"/>
      <c r="P652" s="98"/>
      <c r="Q652" s="98"/>
      <c r="R652" s="43"/>
      <c r="S652" s="43"/>
      <c r="T652" s="43"/>
      <c r="U652" s="43"/>
      <c r="V652" s="43"/>
      <c r="W652" s="43"/>
      <c r="X652" s="43"/>
      <c r="Y652" s="43"/>
      <c r="Z652" s="43"/>
      <c r="AA652" s="43"/>
      <c r="AB652" s="43"/>
      <c r="AC652" s="43"/>
      <c r="AD652" s="43"/>
      <c r="AE652" s="43"/>
      <c r="AF652" s="43"/>
      <c r="AG652" s="43"/>
      <c r="AH652" s="43"/>
      <c r="AI652" s="43"/>
      <c r="AJ652" s="43"/>
    </row>
    <row r="653">
      <c r="A653" s="188"/>
      <c r="B653" s="90"/>
      <c r="C653" s="189"/>
      <c r="D653" s="189"/>
      <c r="E653" s="90"/>
      <c r="F653" s="189"/>
      <c r="G653" s="190"/>
      <c r="H653" s="60"/>
      <c r="I653" s="95"/>
      <c r="J653" s="96"/>
      <c r="K653" s="95"/>
      <c r="L653" s="96"/>
      <c r="M653" s="96"/>
      <c r="N653" s="95"/>
      <c r="O653" s="95"/>
      <c r="P653" s="95"/>
      <c r="Q653" s="95"/>
      <c r="R653" s="60"/>
      <c r="S653" s="60"/>
      <c r="T653" s="60"/>
      <c r="U653" s="60"/>
      <c r="V653" s="60"/>
      <c r="W653" s="60"/>
      <c r="X653" s="60"/>
      <c r="Y653" s="60"/>
      <c r="Z653" s="60"/>
      <c r="AA653" s="60"/>
      <c r="AB653" s="60"/>
      <c r="AC653" s="60"/>
      <c r="AD653" s="60"/>
      <c r="AE653" s="60"/>
      <c r="AF653" s="60"/>
      <c r="AG653" s="60"/>
      <c r="AH653" s="60"/>
      <c r="AI653" s="60"/>
      <c r="AJ653" s="60"/>
    </row>
    <row r="654">
      <c r="A654" s="185"/>
      <c r="B654" s="67"/>
      <c r="C654" s="186"/>
      <c r="D654" s="186"/>
      <c r="E654" s="67"/>
      <c r="F654" s="186"/>
      <c r="G654" s="187"/>
      <c r="H654" s="43"/>
      <c r="I654" s="98"/>
      <c r="J654" s="99"/>
      <c r="K654" s="98"/>
      <c r="L654" s="99"/>
      <c r="M654" s="99"/>
      <c r="N654" s="98"/>
      <c r="O654" s="98"/>
      <c r="P654" s="98"/>
      <c r="Q654" s="98"/>
      <c r="R654" s="43"/>
      <c r="S654" s="43"/>
      <c r="T654" s="43"/>
      <c r="U654" s="43"/>
      <c r="V654" s="43"/>
      <c r="W654" s="43"/>
      <c r="X654" s="43"/>
      <c r="Y654" s="43"/>
      <c r="Z654" s="43"/>
      <c r="AA654" s="43"/>
      <c r="AB654" s="43"/>
      <c r="AC654" s="43"/>
      <c r="AD654" s="43"/>
      <c r="AE654" s="43"/>
      <c r="AF654" s="43"/>
      <c r="AG654" s="43"/>
      <c r="AH654" s="43"/>
      <c r="AI654" s="43"/>
      <c r="AJ654" s="43"/>
    </row>
    <row r="655">
      <c r="A655" s="188"/>
      <c r="B655" s="90"/>
      <c r="C655" s="189"/>
      <c r="D655" s="189"/>
      <c r="E655" s="90"/>
      <c r="F655" s="189"/>
      <c r="G655" s="190"/>
      <c r="H655" s="60"/>
      <c r="I655" s="95"/>
      <c r="J655" s="96"/>
      <c r="K655" s="95"/>
      <c r="L655" s="96"/>
      <c r="M655" s="96"/>
      <c r="N655" s="95"/>
      <c r="O655" s="95"/>
      <c r="P655" s="95"/>
      <c r="Q655" s="95"/>
      <c r="R655" s="60"/>
      <c r="S655" s="60"/>
      <c r="T655" s="60"/>
      <c r="U655" s="60"/>
      <c r="V655" s="60"/>
      <c r="W655" s="60"/>
      <c r="X655" s="60"/>
      <c r="Y655" s="60"/>
      <c r="Z655" s="60"/>
      <c r="AA655" s="60"/>
      <c r="AB655" s="60"/>
      <c r="AC655" s="60"/>
      <c r="AD655" s="60"/>
      <c r="AE655" s="60"/>
      <c r="AF655" s="60"/>
      <c r="AG655" s="60"/>
      <c r="AH655" s="60"/>
      <c r="AI655" s="60"/>
      <c r="AJ655" s="60"/>
    </row>
    <row r="656">
      <c r="A656" s="185"/>
      <c r="B656" s="67"/>
      <c r="C656" s="186"/>
      <c r="D656" s="186"/>
      <c r="E656" s="67"/>
      <c r="F656" s="186"/>
      <c r="G656" s="187"/>
      <c r="H656" s="43"/>
      <c r="I656" s="98"/>
      <c r="J656" s="99"/>
      <c r="K656" s="98"/>
      <c r="L656" s="99"/>
      <c r="M656" s="99"/>
      <c r="N656" s="98"/>
      <c r="O656" s="98"/>
      <c r="P656" s="98"/>
      <c r="Q656" s="98"/>
      <c r="R656" s="43"/>
      <c r="S656" s="43"/>
      <c r="T656" s="43"/>
      <c r="U656" s="43"/>
      <c r="V656" s="43"/>
      <c r="W656" s="43"/>
      <c r="X656" s="43"/>
      <c r="Y656" s="43"/>
      <c r="Z656" s="43"/>
      <c r="AA656" s="43"/>
      <c r="AB656" s="43"/>
      <c r="AC656" s="43"/>
      <c r="AD656" s="43"/>
      <c r="AE656" s="43"/>
      <c r="AF656" s="43"/>
      <c r="AG656" s="43"/>
      <c r="AH656" s="43"/>
      <c r="AI656" s="43"/>
      <c r="AJ656" s="43"/>
    </row>
    <row r="657">
      <c r="A657" s="188"/>
      <c r="B657" s="90"/>
      <c r="C657" s="189"/>
      <c r="D657" s="189"/>
      <c r="E657" s="90"/>
      <c r="F657" s="189"/>
      <c r="G657" s="190"/>
      <c r="H657" s="60"/>
      <c r="I657" s="95"/>
      <c r="J657" s="96"/>
      <c r="K657" s="95"/>
      <c r="L657" s="96"/>
      <c r="M657" s="96"/>
      <c r="N657" s="95"/>
      <c r="O657" s="95"/>
      <c r="P657" s="95"/>
      <c r="Q657" s="95"/>
      <c r="R657" s="60"/>
      <c r="S657" s="60"/>
      <c r="T657" s="60"/>
      <c r="U657" s="60"/>
      <c r="V657" s="60"/>
      <c r="W657" s="60"/>
      <c r="X657" s="60"/>
      <c r="Y657" s="60"/>
      <c r="Z657" s="60"/>
      <c r="AA657" s="60"/>
      <c r="AB657" s="60"/>
      <c r="AC657" s="60"/>
      <c r="AD657" s="60"/>
      <c r="AE657" s="60"/>
      <c r="AF657" s="60"/>
      <c r="AG657" s="60"/>
      <c r="AH657" s="60"/>
      <c r="AI657" s="60"/>
      <c r="AJ657" s="60"/>
    </row>
    <row r="658">
      <c r="A658" s="185"/>
      <c r="B658" s="67"/>
      <c r="C658" s="186"/>
      <c r="D658" s="186"/>
      <c r="E658" s="67"/>
      <c r="F658" s="186"/>
      <c r="G658" s="187"/>
      <c r="H658" s="43"/>
      <c r="I658" s="98"/>
      <c r="J658" s="99"/>
      <c r="K658" s="98"/>
      <c r="L658" s="99"/>
      <c r="M658" s="99"/>
      <c r="N658" s="98"/>
      <c r="O658" s="98"/>
      <c r="P658" s="98"/>
      <c r="Q658" s="98"/>
      <c r="R658" s="43"/>
      <c r="S658" s="43"/>
      <c r="T658" s="43"/>
      <c r="U658" s="43"/>
      <c r="V658" s="43"/>
      <c r="W658" s="43"/>
      <c r="X658" s="43"/>
      <c r="Y658" s="43"/>
      <c r="Z658" s="43"/>
      <c r="AA658" s="43"/>
      <c r="AB658" s="43"/>
      <c r="AC658" s="43"/>
      <c r="AD658" s="43"/>
      <c r="AE658" s="43"/>
      <c r="AF658" s="43"/>
      <c r="AG658" s="43"/>
      <c r="AH658" s="43"/>
      <c r="AI658" s="43"/>
      <c r="AJ658" s="43"/>
    </row>
    <row r="659">
      <c r="A659" s="188"/>
      <c r="B659" s="90"/>
      <c r="C659" s="189"/>
      <c r="D659" s="189"/>
      <c r="E659" s="90"/>
      <c r="F659" s="189"/>
      <c r="G659" s="190"/>
      <c r="H659" s="60"/>
      <c r="I659" s="95"/>
      <c r="J659" s="96"/>
      <c r="K659" s="95"/>
      <c r="L659" s="96"/>
      <c r="M659" s="96"/>
      <c r="N659" s="95"/>
      <c r="O659" s="95"/>
      <c r="P659" s="95"/>
      <c r="Q659" s="95"/>
      <c r="R659" s="60"/>
      <c r="S659" s="60"/>
      <c r="T659" s="60"/>
      <c r="U659" s="60"/>
      <c r="V659" s="60"/>
      <c r="W659" s="60"/>
      <c r="X659" s="60"/>
      <c r="Y659" s="60"/>
      <c r="Z659" s="60"/>
      <c r="AA659" s="60"/>
      <c r="AB659" s="60"/>
      <c r="AC659" s="60"/>
      <c r="AD659" s="60"/>
      <c r="AE659" s="60"/>
      <c r="AF659" s="60"/>
      <c r="AG659" s="60"/>
      <c r="AH659" s="60"/>
      <c r="AI659" s="60"/>
      <c r="AJ659" s="60"/>
    </row>
    <row r="660">
      <c r="A660" s="185"/>
      <c r="B660" s="67"/>
      <c r="C660" s="186"/>
      <c r="D660" s="186"/>
      <c r="E660" s="67"/>
      <c r="F660" s="186"/>
      <c r="G660" s="187"/>
      <c r="H660" s="43"/>
      <c r="I660" s="98"/>
      <c r="J660" s="99"/>
      <c r="K660" s="98"/>
      <c r="L660" s="99"/>
      <c r="M660" s="99"/>
      <c r="N660" s="98"/>
      <c r="O660" s="98"/>
      <c r="P660" s="98"/>
      <c r="Q660" s="98"/>
      <c r="R660" s="43"/>
      <c r="S660" s="43"/>
      <c r="T660" s="43"/>
      <c r="U660" s="43"/>
      <c r="V660" s="43"/>
      <c r="W660" s="43"/>
      <c r="X660" s="43"/>
      <c r="Y660" s="43"/>
      <c r="Z660" s="43"/>
      <c r="AA660" s="43"/>
      <c r="AB660" s="43"/>
      <c r="AC660" s="43"/>
      <c r="AD660" s="43"/>
      <c r="AE660" s="43"/>
      <c r="AF660" s="43"/>
      <c r="AG660" s="43"/>
      <c r="AH660" s="43"/>
      <c r="AI660" s="43"/>
      <c r="AJ660" s="43"/>
    </row>
    <row r="661">
      <c r="A661" s="188"/>
      <c r="B661" s="90"/>
      <c r="C661" s="189"/>
      <c r="D661" s="189"/>
      <c r="E661" s="90"/>
      <c r="F661" s="189"/>
      <c r="G661" s="190"/>
      <c r="H661" s="60"/>
      <c r="I661" s="95"/>
      <c r="J661" s="96"/>
      <c r="K661" s="95"/>
      <c r="L661" s="96"/>
      <c r="M661" s="96"/>
      <c r="N661" s="95"/>
      <c r="O661" s="95"/>
      <c r="P661" s="95"/>
      <c r="Q661" s="95"/>
      <c r="R661" s="60"/>
      <c r="S661" s="60"/>
      <c r="T661" s="60"/>
      <c r="U661" s="60"/>
      <c r="V661" s="60"/>
      <c r="W661" s="60"/>
      <c r="X661" s="60"/>
      <c r="Y661" s="60"/>
      <c r="Z661" s="60"/>
      <c r="AA661" s="60"/>
      <c r="AB661" s="60"/>
      <c r="AC661" s="60"/>
      <c r="AD661" s="60"/>
      <c r="AE661" s="60"/>
      <c r="AF661" s="60"/>
      <c r="AG661" s="60"/>
      <c r="AH661" s="60"/>
      <c r="AI661" s="60"/>
      <c r="AJ661" s="60"/>
    </row>
    <row r="662">
      <c r="A662" s="185"/>
      <c r="B662" s="67"/>
      <c r="C662" s="186"/>
      <c r="D662" s="186"/>
      <c r="E662" s="67"/>
      <c r="F662" s="186"/>
      <c r="G662" s="187"/>
      <c r="H662" s="43"/>
      <c r="I662" s="98"/>
      <c r="J662" s="99"/>
      <c r="K662" s="98"/>
      <c r="L662" s="99"/>
      <c r="M662" s="99"/>
      <c r="N662" s="98"/>
      <c r="O662" s="98"/>
      <c r="P662" s="98"/>
      <c r="Q662" s="98"/>
      <c r="R662" s="43"/>
      <c r="S662" s="43"/>
      <c r="T662" s="43"/>
      <c r="U662" s="43"/>
      <c r="V662" s="43"/>
      <c r="W662" s="43"/>
      <c r="X662" s="43"/>
      <c r="Y662" s="43"/>
      <c r="Z662" s="43"/>
      <c r="AA662" s="43"/>
      <c r="AB662" s="43"/>
      <c r="AC662" s="43"/>
      <c r="AD662" s="43"/>
      <c r="AE662" s="43"/>
      <c r="AF662" s="43"/>
      <c r="AG662" s="43"/>
      <c r="AH662" s="43"/>
      <c r="AI662" s="43"/>
      <c r="AJ662" s="43"/>
    </row>
    <row r="663">
      <c r="A663" s="188"/>
      <c r="B663" s="90"/>
      <c r="C663" s="189"/>
      <c r="D663" s="189"/>
      <c r="E663" s="90"/>
      <c r="F663" s="189"/>
      <c r="G663" s="190"/>
      <c r="H663" s="60"/>
      <c r="I663" s="95"/>
      <c r="J663" s="96"/>
      <c r="K663" s="95"/>
      <c r="L663" s="96"/>
      <c r="M663" s="96"/>
      <c r="N663" s="95"/>
      <c r="O663" s="95"/>
      <c r="P663" s="95"/>
      <c r="Q663" s="95"/>
      <c r="R663" s="60"/>
      <c r="S663" s="60"/>
      <c r="T663" s="60"/>
      <c r="U663" s="60"/>
      <c r="V663" s="60"/>
      <c r="W663" s="60"/>
      <c r="X663" s="60"/>
      <c r="Y663" s="60"/>
      <c r="Z663" s="60"/>
      <c r="AA663" s="60"/>
      <c r="AB663" s="60"/>
      <c r="AC663" s="60"/>
      <c r="AD663" s="60"/>
      <c r="AE663" s="60"/>
      <c r="AF663" s="60"/>
      <c r="AG663" s="60"/>
      <c r="AH663" s="60"/>
      <c r="AI663" s="60"/>
      <c r="AJ663" s="60"/>
    </row>
    <row r="664">
      <c r="A664" s="185"/>
      <c r="B664" s="67"/>
      <c r="C664" s="186"/>
      <c r="D664" s="186"/>
      <c r="E664" s="67"/>
      <c r="F664" s="186"/>
      <c r="G664" s="187"/>
      <c r="H664" s="43"/>
      <c r="I664" s="98"/>
      <c r="J664" s="99"/>
      <c r="K664" s="98"/>
      <c r="L664" s="99"/>
      <c r="M664" s="99"/>
      <c r="N664" s="98"/>
      <c r="O664" s="98"/>
      <c r="P664" s="98"/>
      <c r="Q664" s="98"/>
      <c r="R664" s="43"/>
      <c r="S664" s="43"/>
      <c r="T664" s="43"/>
      <c r="U664" s="43"/>
      <c r="V664" s="43"/>
      <c r="W664" s="43"/>
      <c r="X664" s="43"/>
      <c r="Y664" s="43"/>
      <c r="Z664" s="43"/>
      <c r="AA664" s="43"/>
      <c r="AB664" s="43"/>
      <c r="AC664" s="43"/>
      <c r="AD664" s="43"/>
      <c r="AE664" s="43"/>
      <c r="AF664" s="43"/>
      <c r="AG664" s="43"/>
      <c r="AH664" s="43"/>
      <c r="AI664" s="43"/>
      <c r="AJ664" s="43"/>
    </row>
    <row r="665">
      <c r="A665" s="188"/>
      <c r="B665" s="90"/>
      <c r="C665" s="189"/>
      <c r="D665" s="189"/>
      <c r="E665" s="90"/>
      <c r="F665" s="189"/>
      <c r="G665" s="190"/>
      <c r="H665" s="60"/>
      <c r="I665" s="95"/>
      <c r="J665" s="96"/>
      <c r="K665" s="95"/>
      <c r="L665" s="96"/>
      <c r="M665" s="96"/>
      <c r="N665" s="95"/>
      <c r="O665" s="95"/>
      <c r="P665" s="95"/>
      <c r="Q665" s="95"/>
      <c r="R665" s="60"/>
      <c r="S665" s="60"/>
      <c r="T665" s="60"/>
      <c r="U665" s="60"/>
      <c r="V665" s="60"/>
      <c r="W665" s="60"/>
      <c r="X665" s="60"/>
      <c r="Y665" s="60"/>
      <c r="Z665" s="60"/>
      <c r="AA665" s="60"/>
      <c r="AB665" s="60"/>
      <c r="AC665" s="60"/>
      <c r="AD665" s="60"/>
      <c r="AE665" s="60"/>
      <c r="AF665" s="60"/>
      <c r="AG665" s="60"/>
      <c r="AH665" s="60"/>
      <c r="AI665" s="60"/>
      <c r="AJ665" s="60"/>
    </row>
    <row r="666">
      <c r="A666" s="185"/>
      <c r="B666" s="67"/>
      <c r="C666" s="186"/>
      <c r="D666" s="186"/>
      <c r="E666" s="67"/>
      <c r="F666" s="186"/>
      <c r="G666" s="187"/>
      <c r="H666" s="43"/>
      <c r="I666" s="98"/>
      <c r="J666" s="99"/>
      <c r="K666" s="98"/>
      <c r="L666" s="99"/>
      <c r="M666" s="99"/>
      <c r="N666" s="98"/>
      <c r="O666" s="98"/>
      <c r="P666" s="98"/>
      <c r="Q666" s="98"/>
      <c r="R666" s="43"/>
      <c r="S666" s="43"/>
      <c r="T666" s="43"/>
      <c r="U666" s="43"/>
      <c r="V666" s="43"/>
      <c r="W666" s="43"/>
      <c r="X666" s="43"/>
      <c r="Y666" s="43"/>
      <c r="Z666" s="43"/>
      <c r="AA666" s="43"/>
      <c r="AB666" s="43"/>
      <c r="AC666" s="43"/>
      <c r="AD666" s="43"/>
      <c r="AE666" s="43"/>
      <c r="AF666" s="43"/>
      <c r="AG666" s="43"/>
      <c r="AH666" s="43"/>
      <c r="AI666" s="43"/>
      <c r="AJ666" s="43"/>
    </row>
    <row r="667">
      <c r="A667" s="188"/>
      <c r="B667" s="90"/>
      <c r="C667" s="189"/>
      <c r="D667" s="189"/>
      <c r="E667" s="90"/>
      <c r="F667" s="189"/>
      <c r="G667" s="190"/>
      <c r="H667" s="60"/>
      <c r="I667" s="95"/>
      <c r="J667" s="96"/>
      <c r="K667" s="95"/>
      <c r="L667" s="96"/>
      <c r="M667" s="96"/>
      <c r="N667" s="95"/>
      <c r="O667" s="95"/>
      <c r="P667" s="95"/>
      <c r="Q667" s="95"/>
      <c r="R667" s="60"/>
      <c r="S667" s="60"/>
      <c r="T667" s="60"/>
      <c r="U667" s="60"/>
      <c r="V667" s="60"/>
      <c r="W667" s="60"/>
      <c r="X667" s="60"/>
      <c r="Y667" s="60"/>
      <c r="Z667" s="60"/>
      <c r="AA667" s="60"/>
      <c r="AB667" s="60"/>
      <c r="AC667" s="60"/>
      <c r="AD667" s="60"/>
      <c r="AE667" s="60"/>
      <c r="AF667" s="60"/>
      <c r="AG667" s="60"/>
      <c r="AH667" s="60"/>
      <c r="AI667" s="60"/>
      <c r="AJ667" s="60"/>
    </row>
    <row r="668">
      <c r="A668" s="185"/>
      <c r="B668" s="67"/>
      <c r="C668" s="186"/>
      <c r="D668" s="186"/>
      <c r="E668" s="67"/>
      <c r="F668" s="186"/>
      <c r="G668" s="187"/>
      <c r="H668" s="43"/>
      <c r="I668" s="98"/>
      <c r="J668" s="99"/>
      <c r="K668" s="98"/>
      <c r="L668" s="99"/>
      <c r="M668" s="99"/>
      <c r="N668" s="98"/>
      <c r="O668" s="98"/>
      <c r="P668" s="98"/>
      <c r="Q668" s="98"/>
      <c r="R668" s="43"/>
      <c r="S668" s="43"/>
      <c r="T668" s="43"/>
      <c r="U668" s="43"/>
      <c r="V668" s="43"/>
      <c r="W668" s="43"/>
      <c r="X668" s="43"/>
      <c r="Y668" s="43"/>
      <c r="Z668" s="43"/>
      <c r="AA668" s="43"/>
      <c r="AB668" s="43"/>
      <c r="AC668" s="43"/>
      <c r="AD668" s="43"/>
      <c r="AE668" s="43"/>
      <c r="AF668" s="43"/>
      <c r="AG668" s="43"/>
      <c r="AH668" s="43"/>
      <c r="AI668" s="43"/>
      <c r="AJ668" s="43"/>
    </row>
    <row r="669">
      <c r="A669" s="188"/>
      <c r="B669" s="90"/>
      <c r="C669" s="189"/>
      <c r="D669" s="189"/>
      <c r="E669" s="90"/>
      <c r="F669" s="189"/>
      <c r="G669" s="190"/>
      <c r="H669" s="60"/>
      <c r="I669" s="95"/>
      <c r="J669" s="96"/>
      <c r="K669" s="95"/>
      <c r="L669" s="96"/>
      <c r="M669" s="96"/>
      <c r="N669" s="95"/>
      <c r="O669" s="95"/>
      <c r="P669" s="95"/>
      <c r="Q669" s="95"/>
      <c r="R669" s="60"/>
      <c r="S669" s="60"/>
      <c r="T669" s="60"/>
      <c r="U669" s="60"/>
      <c r="V669" s="60"/>
      <c r="W669" s="60"/>
      <c r="X669" s="60"/>
      <c r="Y669" s="60"/>
      <c r="Z669" s="60"/>
      <c r="AA669" s="60"/>
      <c r="AB669" s="60"/>
      <c r="AC669" s="60"/>
      <c r="AD669" s="60"/>
      <c r="AE669" s="60"/>
      <c r="AF669" s="60"/>
      <c r="AG669" s="60"/>
      <c r="AH669" s="60"/>
      <c r="AI669" s="60"/>
      <c r="AJ669" s="60"/>
    </row>
    <row r="670">
      <c r="A670" s="185"/>
      <c r="B670" s="67"/>
      <c r="C670" s="186"/>
      <c r="D670" s="186"/>
      <c r="E670" s="67"/>
      <c r="F670" s="186"/>
      <c r="G670" s="187"/>
      <c r="H670" s="43"/>
      <c r="I670" s="98"/>
      <c r="J670" s="99"/>
      <c r="K670" s="98"/>
      <c r="L670" s="99"/>
      <c r="M670" s="99"/>
      <c r="N670" s="98"/>
      <c r="O670" s="98"/>
      <c r="P670" s="98"/>
      <c r="Q670" s="98"/>
      <c r="R670" s="43"/>
      <c r="S670" s="43"/>
      <c r="T670" s="43"/>
      <c r="U670" s="43"/>
      <c r="V670" s="43"/>
      <c r="W670" s="43"/>
      <c r="X670" s="43"/>
      <c r="Y670" s="43"/>
      <c r="Z670" s="43"/>
      <c r="AA670" s="43"/>
      <c r="AB670" s="43"/>
      <c r="AC670" s="43"/>
      <c r="AD670" s="43"/>
      <c r="AE670" s="43"/>
      <c r="AF670" s="43"/>
      <c r="AG670" s="43"/>
      <c r="AH670" s="43"/>
      <c r="AI670" s="43"/>
      <c r="AJ670" s="43"/>
    </row>
    <row r="671">
      <c r="A671" s="188"/>
      <c r="B671" s="90"/>
      <c r="C671" s="189"/>
      <c r="D671" s="189"/>
      <c r="E671" s="90"/>
      <c r="F671" s="189"/>
      <c r="G671" s="190"/>
      <c r="H671" s="60"/>
      <c r="I671" s="95"/>
      <c r="J671" s="96"/>
      <c r="K671" s="95"/>
      <c r="L671" s="96"/>
      <c r="M671" s="96"/>
      <c r="N671" s="95"/>
      <c r="O671" s="95"/>
      <c r="P671" s="95"/>
      <c r="Q671" s="95"/>
      <c r="R671" s="60"/>
      <c r="S671" s="60"/>
      <c r="T671" s="60"/>
      <c r="U671" s="60"/>
      <c r="V671" s="60"/>
      <c r="W671" s="60"/>
      <c r="X671" s="60"/>
      <c r="Y671" s="60"/>
      <c r="Z671" s="60"/>
      <c r="AA671" s="60"/>
      <c r="AB671" s="60"/>
      <c r="AC671" s="60"/>
      <c r="AD671" s="60"/>
      <c r="AE671" s="60"/>
      <c r="AF671" s="60"/>
      <c r="AG671" s="60"/>
      <c r="AH671" s="60"/>
      <c r="AI671" s="60"/>
      <c r="AJ671" s="60"/>
    </row>
    <row r="672">
      <c r="A672" s="185"/>
      <c r="B672" s="67"/>
      <c r="C672" s="186"/>
      <c r="D672" s="186"/>
      <c r="E672" s="67"/>
      <c r="F672" s="186"/>
      <c r="G672" s="187"/>
      <c r="H672" s="43"/>
      <c r="I672" s="98"/>
      <c r="J672" s="99"/>
      <c r="K672" s="98"/>
      <c r="L672" s="99"/>
      <c r="M672" s="99"/>
      <c r="N672" s="98"/>
      <c r="O672" s="98"/>
      <c r="P672" s="98"/>
      <c r="Q672" s="98"/>
      <c r="R672" s="43"/>
      <c r="S672" s="43"/>
      <c r="T672" s="43"/>
      <c r="U672" s="43"/>
      <c r="V672" s="43"/>
      <c r="W672" s="43"/>
      <c r="X672" s="43"/>
      <c r="Y672" s="43"/>
      <c r="Z672" s="43"/>
      <c r="AA672" s="43"/>
      <c r="AB672" s="43"/>
      <c r="AC672" s="43"/>
      <c r="AD672" s="43"/>
      <c r="AE672" s="43"/>
      <c r="AF672" s="43"/>
      <c r="AG672" s="43"/>
      <c r="AH672" s="43"/>
      <c r="AI672" s="43"/>
      <c r="AJ672" s="43"/>
    </row>
    <row r="673">
      <c r="A673" s="188"/>
      <c r="B673" s="90"/>
      <c r="C673" s="189"/>
      <c r="D673" s="189"/>
      <c r="E673" s="90"/>
      <c r="F673" s="189"/>
      <c r="G673" s="190"/>
      <c r="H673" s="60"/>
      <c r="I673" s="95"/>
      <c r="J673" s="96"/>
      <c r="K673" s="95"/>
      <c r="L673" s="96"/>
      <c r="M673" s="96"/>
      <c r="N673" s="95"/>
      <c r="O673" s="95"/>
      <c r="P673" s="95"/>
      <c r="Q673" s="95"/>
      <c r="R673" s="60"/>
      <c r="S673" s="60"/>
      <c r="T673" s="60"/>
      <c r="U673" s="60"/>
      <c r="V673" s="60"/>
      <c r="W673" s="60"/>
      <c r="X673" s="60"/>
      <c r="Y673" s="60"/>
      <c r="Z673" s="60"/>
      <c r="AA673" s="60"/>
      <c r="AB673" s="60"/>
      <c r="AC673" s="60"/>
      <c r="AD673" s="60"/>
      <c r="AE673" s="60"/>
      <c r="AF673" s="60"/>
      <c r="AG673" s="60"/>
      <c r="AH673" s="60"/>
      <c r="AI673" s="60"/>
      <c r="AJ673" s="60"/>
    </row>
    <row r="674">
      <c r="A674" s="185"/>
      <c r="B674" s="67"/>
      <c r="C674" s="186"/>
      <c r="D674" s="186"/>
      <c r="E674" s="67"/>
      <c r="F674" s="186"/>
      <c r="G674" s="187"/>
      <c r="H674" s="43"/>
      <c r="I674" s="98"/>
      <c r="J674" s="99"/>
      <c r="K674" s="98"/>
      <c r="L674" s="99"/>
      <c r="M674" s="99"/>
      <c r="N674" s="98"/>
      <c r="O674" s="98"/>
      <c r="P674" s="98"/>
      <c r="Q674" s="98"/>
      <c r="R674" s="43"/>
      <c r="S674" s="43"/>
      <c r="T674" s="43"/>
      <c r="U674" s="43"/>
      <c r="V674" s="43"/>
      <c r="W674" s="43"/>
      <c r="X674" s="43"/>
      <c r="Y674" s="43"/>
      <c r="Z674" s="43"/>
      <c r="AA674" s="43"/>
      <c r="AB674" s="43"/>
      <c r="AC674" s="43"/>
      <c r="AD674" s="43"/>
      <c r="AE674" s="43"/>
      <c r="AF674" s="43"/>
      <c r="AG674" s="43"/>
      <c r="AH674" s="43"/>
      <c r="AI674" s="43"/>
      <c r="AJ674" s="43"/>
    </row>
    <row r="675">
      <c r="A675" s="188"/>
      <c r="B675" s="90"/>
      <c r="C675" s="189"/>
      <c r="D675" s="189"/>
      <c r="E675" s="90"/>
      <c r="F675" s="189"/>
      <c r="G675" s="190"/>
      <c r="H675" s="60"/>
      <c r="I675" s="95"/>
      <c r="J675" s="96"/>
      <c r="K675" s="95"/>
      <c r="L675" s="96"/>
      <c r="M675" s="96"/>
      <c r="N675" s="95"/>
      <c r="O675" s="95"/>
      <c r="P675" s="95"/>
      <c r="Q675" s="95"/>
      <c r="R675" s="60"/>
      <c r="S675" s="60"/>
      <c r="T675" s="60"/>
      <c r="U675" s="60"/>
      <c r="V675" s="60"/>
      <c r="W675" s="60"/>
      <c r="X675" s="60"/>
      <c r="Y675" s="60"/>
      <c r="Z675" s="60"/>
      <c r="AA675" s="60"/>
      <c r="AB675" s="60"/>
      <c r="AC675" s="60"/>
      <c r="AD675" s="60"/>
      <c r="AE675" s="60"/>
      <c r="AF675" s="60"/>
      <c r="AG675" s="60"/>
      <c r="AH675" s="60"/>
      <c r="AI675" s="60"/>
      <c r="AJ675" s="60"/>
    </row>
    <row r="676">
      <c r="A676" s="185"/>
      <c r="B676" s="67"/>
      <c r="C676" s="186"/>
      <c r="D676" s="186"/>
      <c r="E676" s="67"/>
      <c r="F676" s="186"/>
      <c r="G676" s="187"/>
      <c r="H676" s="43"/>
      <c r="I676" s="98"/>
      <c r="J676" s="99"/>
      <c r="K676" s="98"/>
      <c r="L676" s="99"/>
      <c r="M676" s="99"/>
      <c r="N676" s="98"/>
      <c r="O676" s="98"/>
      <c r="P676" s="98"/>
      <c r="Q676" s="98"/>
      <c r="R676" s="43"/>
      <c r="S676" s="43"/>
      <c r="T676" s="43"/>
      <c r="U676" s="43"/>
      <c r="V676" s="43"/>
      <c r="W676" s="43"/>
      <c r="X676" s="43"/>
      <c r="Y676" s="43"/>
      <c r="Z676" s="43"/>
      <c r="AA676" s="43"/>
      <c r="AB676" s="43"/>
      <c r="AC676" s="43"/>
      <c r="AD676" s="43"/>
      <c r="AE676" s="43"/>
      <c r="AF676" s="43"/>
      <c r="AG676" s="43"/>
      <c r="AH676" s="43"/>
      <c r="AI676" s="43"/>
      <c r="AJ676" s="43"/>
    </row>
    <row r="677">
      <c r="A677" s="188"/>
      <c r="B677" s="90"/>
      <c r="C677" s="189"/>
      <c r="D677" s="189"/>
      <c r="E677" s="90"/>
      <c r="F677" s="189"/>
      <c r="G677" s="190"/>
      <c r="H677" s="60"/>
      <c r="I677" s="95"/>
      <c r="J677" s="96"/>
      <c r="K677" s="95"/>
      <c r="L677" s="96"/>
      <c r="M677" s="96"/>
      <c r="N677" s="95"/>
      <c r="O677" s="95"/>
      <c r="P677" s="95"/>
      <c r="Q677" s="95"/>
      <c r="R677" s="60"/>
      <c r="S677" s="60"/>
      <c r="T677" s="60"/>
      <c r="U677" s="60"/>
      <c r="V677" s="60"/>
      <c r="W677" s="60"/>
      <c r="X677" s="60"/>
      <c r="Y677" s="60"/>
      <c r="Z677" s="60"/>
      <c r="AA677" s="60"/>
      <c r="AB677" s="60"/>
      <c r="AC677" s="60"/>
      <c r="AD677" s="60"/>
      <c r="AE677" s="60"/>
      <c r="AF677" s="60"/>
      <c r="AG677" s="60"/>
      <c r="AH677" s="60"/>
      <c r="AI677" s="60"/>
      <c r="AJ677" s="60"/>
    </row>
    <row r="678">
      <c r="A678" s="185"/>
      <c r="B678" s="67"/>
      <c r="C678" s="186"/>
      <c r="D678" s="186"/>
      <c r="E678" s="67"/>
      <c r="F678" s="186"/>
      <c r="G678" s="187"/>
      <c r="H678" s="43"/>
      <c r="I678" s="98"/>
      <c r="J678" s="99"/>
      <c r="K678" s="98"/>
      <c r="L678" s="99"/>
      <c r="M678" s="99"/>
      <c r="N678" s="98"/>
      <c r="O678" s="98"/>
      <c r="P678" s="98"/>
      <c r="Q678" s="98"/>
      <c r="R678" s="43"/>
      <c r="S678" s="43"/>
      <c r="T678" s="43"/>
      <c r="U678" s="43"/>
      <c r="V678" s="43"/>
      <c r="W678" s="43"/>
      <c r="X678" s="43"/>
      <c r="Y678" s="43"/>
      <c r="Z678" s="43"/>
      <c r="AA678" s="43"/>
      <c r="AB678" s="43"/>
      <c r="AC678" s="43"/>
      <c r="AD678" s="43"/>
      <c r="AE678" s="43"/>
      <c r="AF678" s="43"/>
      <c r="AG678" s="43"/>
      <c r="AH678" s="43"/>
      <c r="AI678" s="43"/>
      <c r="AJ678" s="43"/>
    </row>
    <row r="679">
      <c r="A679" s="188"/>
      <c r="B679" s="90"/>
      <c r="C679" s="189"/>
      <c r="D679" s="189"/>
      <c r="E679" s="90"/>
      <c r="F679" s="189"/>
      <c r="G679" s="190"/>
      <c r="H679" s="60"/>
      <c r="I679" s="95"/>
      <c r="J679" s="96"/>
      <c r="K679" s="95"/>
      <c r="L679" s="96"/>
      <c r="M679" s="96"/>
      <c r="N679" s="95"/>
      <c r="O679" s="95"/>
      <c r="P679" s="95"/>
      <c r="Q679" s="95"/>
      <c r="R679" s="60"/>
      <c r="S679" s="60"/>
      <c r="T679" s="60"/>
      <c r="U679" s="60"/>
      <c r="V679" s="60"/>
      <c r="W679" s="60"/>
      <c r="X679" s="60"/>
      <c r="Y679" s="60"/>
      <c r="Z679" s="60"/>
      <c r="AA679" s="60"/>
      <c r="AB679" s="60"/>
      <c r="AC679" s="60"/>
      <c r="AD679" s="60"/>
      <c r="AE679" s="60"/>
      <c r="AF679" s="60"/>
      <c r="AG679" s="60"/>
      <c r="AH679" s="60"/>
      <c r="AI679" s="60"/>
      <c r="AJ679" s="60"/>
    </row>
    <row r="680">
      <c r="A680" s="185"/>
      <c r="B680" s="67"/>
      <c r="C680" s="186"/>
      <c r="D680" s="186"/>
      <c r="E680" s="67"/>
      <c r="F680" s="186"/>
      <c r="G680" s="187"/>
      <c r="H680" s="43"/>
      <c r="I680" s="98"/>
      <c r="J680" s="99"/>
      <c r="K680" s="98"/>
      <c r="L680" s="99"/>
      <c r="M680" s="99"/>
      <c r="N680" s="98"/>
      <c r="O680" s="98"/>
      <c r="P680" s="98"/>
      <c r="Q680" s="98"/>
      <c r="R680" s="43"/>
      <c r="S680" s="43"/>
      <c r="T680" s="43"/>
      <c r="U680" s="43"/>
      <c r="V680" s="43"/>
      <c r="W680" s="43"/>
      <c r="X680" s="43"/>
      <c r="Y680" s="43"/>
      <c r="Z680" s="43"/>
      <c r="AA680" s="43"/>
      <c r="AB680" s="43"/>
      <c r="AC680" s="43"/>
      <c r="AD680" s="43"/>
      <c r="AE680" s="43"/>
      <c r="AF680" s="43"/>
      <c r="AG680" s="43"/>
      <c r="AH680" s="43"/>
      <c r="AI680" s="43"/>
      <c r="AJ680" s="43"/>
    </row>
    <row r="681">
      <c r="A681" s="188"/>
      <c r="B681" s="90"/>
      <c r="C681" s="189"/>
      <c r="D681" s="189"/>
      <c r="E681" s="90"/>
      <c r="F681" s="189"/>
      <c r="G681" s="190"/>
      <c r="H681" s="60"/>
      <c r="I681" s="95"/>
      <c r="J681" s="96"/>
      <c r="K681" s="95"/>
      <c r="L681" s="96"/>
      <c r="M681" s="96"/>
      <c r="N681" s="95"/>
      <c r="O681" s="95"/>
      <c r="P681" s="95"/>
      <c r="Q681" s="95"/>
      <c r="R681" s="60"/>
      <c r="S681" s="60"/>
      <c r="T681" s="60"/>
      <c r="U681" s="60"/>
      <c r="V681" s="60"/>
      <c r="W681" s="60"/>
      <c r="X681" s="60"/>
      <c r="Y681" s="60"/>
      <c r="Z681" s="60"/>
      <c r="AA681" s="60"/>
      <c r="AB681" s="60"/>
      <c r="AC681" s="60"/>
      <c r="AD681" s="60"/>
      <c r="AE681" s="60"/>
      <c r="AF681" s="60"/>
      <c r="AG681" s="60"/>
      <c r="AH681" s="60"/>
      <c r="AI681" s="60"/>
      <c r="AJ681" s="60"/>
    </row>
    <row r="682">
      <c r="A682" s="185"/>
      <c r="B682" s="67"/>
      <c r="C682" s="186"/>
      <c r="D682" s="186"/>
      <c r="E682" s="67"/>
      <c r="F682" s="186"/>
      <c r="G682" s="187"/>
      <c r="H682" s="43"/>
      <c r="I682" s="98"/>
      <c r="J682" s="99"/>
      <c r="K682" s="98"/>
      <c r="L682" s="99"/>
      <c r="M682" s="99"/>
      <c r="N682" s="98"/>
      <c r="O682" s="98"/>
      <c r="P682" s="98"/>
      <c r="Q682" s="98"/>
      <c r="R682" s="43"/>
      <c r="S682" s="43"/>
      <c r="T682" s="43"/>
      <c r="U682" s="43"/>
      <c r="V682" s="43"/>
      <c r="W682" s="43"/>
      <c r="X682" s="43"/>
      <c r="Y682" s="43"/>
      <c r="Z682" s="43"/>
      <c r="AA682" s="43"/>
      <c r="AB682" s="43"/>
      <c r="AC682" s="43"/>
      <c r="AD682" s="43"/>
      <c r="AE682" s="43"/>
      <c r="AF682" s="43"/>
      <c r="AG682" s="43"/>
      <c r="AH682" s="43"/>
      <c r="AI682" s="43"/>
      <c r="AJ682" s="43"/>
    </row>
    <row r="683">
      <c r="A683" s="188"/>
      <c r="B683" s="90"/>
      <c r="C683" s="189"/>
      <c r="D683" s="189"/>
      <c r="E683" s="90"/>
      <c r="F683" s="189"/>
      <c r="G683" s="190"/>
      <c r="H683" s="60"/>
      <c r="I683" s="95"/>
      <c r="J683" s="96"/>
      <c r="K683" s="95"/>
      <c r="L683" s="96"/>
      <c r="M683" s="96"/>
      <c r="N683" s="95"/>
      <c r="O683" s="95"/>
      <c r="P683" s="95"/>
      <c r="Q683" s="95"/>
      <c r="R683" s="60"/>
      <c r="S683" s="60"/>
      <c r="T683" s="60"/>
      <c r="U683" s="60"/>
      <c r="V683" s="60"/>
      <c r="W683" s="60"/>
      <c r="X683" s="60"/>
      <c r="Y683" s="60"/>
      <c r="Z683" s="60"/>
      <c r="AA683" s="60"/>
      <c r="AB683" s="60"/>
      <c r="AC683" s="60"/>
      <c r="AD683" s="60"/>
      <c r="AE683" s="60"/>
      <c r="AF683" s="60"/>
      <c r="AG683" s="60"/>
      <c r="AH683" s="60"/>
      <c r="AI683" s="60"/>
      <c r="AJ683" s="60"/>
    </row>
    <row r="684">
      <c r="A684" s="185"/>
      <c r="B684" s="67"/>
      <c r="C684" s="186"/>
      <c r="D684" s="186"/>
      <c r="E684" s="67"/>
      <c r="F684" s="186"/>
      <c r="G684" s="187"/>
      <c r="H684" s="43"/>
      <c r="I684" s="98"/>
      <c r="J684" s="99"/>
      <c r="K684" s="98"/>
      <c r="L684" s="99"/>
      <c r="M684" s="99"/>
      <c r="N684" s="98"/>
      <c r="O684" s="98"/>
      <c r="P684" s="98"/>
      <c r="Q684" s="98"/>
      <c r="R684" s="43"/>
      <c r="S684" s="43"/>
      <c r="T684" s="43"/>
      <c r="U684" s="43"/>
      <c r="V684" s="43"/>
      <c r="W684" s="43"/>
      <c r="X684" s="43"/>
      <c r="Y684" s="43"/>
      <c r="Z684" s="43"/>
      <c r="AA684" s="43"/>
      <c r="AB684" s="43"/>
      <c r="AC684" s="43"/>
      <c r="AD684" s="43"/>
      <c r="AE684" s="43"/>
      <c r="AF684" s="43"/>
      <c r="AG684" s="43"/>
      <c r="AH684" s="43"/>
      <c r="AI684" s="43"/>
      <c r="AJ684" s="43"/>
    </row>
    <row r="685">
      <c r="A685" s="188"/>
      <c r="B685" s="90"/>
      <c r="C685" s="189"/>
      <c r="D685" s="189"/>
      <c r="E685" s="90"/>
      <c r="F685" s="189"/>
      <c r="G685" s="190"/>
      <c r="H685" s="60"/>
      <c r="I685" s="95"/>
      <c r="J685" s="96"/>
      <c r="K685" s="95"/>
      <c r="L685" s="96"/>
      <c r="M685" s="96"/>
      <c r="N685" s="95"/>
      <c r="O685" s="95"/>
      <c r="P685" s="95"/>
      <c r="Q685" s="95"/>
      <c r="R685" s="60"/>
      <c r="S685" s="60"/>
      <c r="T685" s="60"/>
      <c r="U685" s="60"/>
      <c r="V685" s="60"/>
      <c r="W685" s="60"/>
      <c r="X685" s="60"/>
      <c r="Y685" s="60"/>
      <c r="Z685" s="60"/>
      <c r="AA685" s="60"/>
      <c r="AB685" s="60"/>
      <c r="AC685" s="60"/>
      <c r="AD685" s="60"/>
      <c r="AE685" s="60"/>
      <c r="AF685" s="60"/>
      <c r="AG685" s="60"/>
      <c r="AH685" s="60"/>
      <c r="AI685" s="60"/>
      <c r="AJ685" s="60"/>
    </row>
    <row r="686">
      <c r="A686" s="185"/>
      <c r="B686" s="67"/>
      <c r="C686" s="186"/>
      <c r="D686" s="186"/>
      <c r="E686" s="67"/>
      <c r="F686" s="186"/>
      <c r="G686" s="187"/>
      <c r="H686" s="43"/>
      <c r="I686" s="98"/>
      <c r="J686" s="99"/>
      <c r="K686" s="98"/>
      <c r="L686" s="99"/>
      <c r="M686" s="99"/>
      <c r="N686" s="98"/>
      <c r="O686" s="98"/>
      <c r="P686" s="98"/>
      <c r="Q686" s="98"/>
      <c r="R686" s="43"/>
      <c r="S686" s="43"/>
      <c r="T686" s="43"/>
      <c r="U686" s="43"/>
      <c r="V686" s="43"/>
      <c r="W686" s="43"/>
      <c r="X686" s="43"/>
      <c r="Y686" s="43"/>
      <c r="Z686" s="43"/>
      <c r="AA686" s="43"/>
      <c r="AB686" s="43"/>
      <c r="AC686" s="43"/>
      <c r="AD686" s="43"/>
      <c r="AE686" s="43"/>
      <c r="AF686" s="43"/>
      <c r="AG686" s="43"/>
      <c r="AH686" s="43"/>
      <c r="AI686" s="43"/>
      <c r="AJ686" s="43"/>
    </row>
    <row r="687">
      <c r="A687" s="188"/>
      <c r="B687" s="90"/>
      <c r="C687" s="189"/>
      <c r="D687" s="189"/>
      <c r="E687" s="90"/>
      <c r="F687" s="189"/>
      <c r="G687" s="190"/>
      <c r="H687" s="60"/>
      <c r="I687" s="95"/>
      <c r="J687" s="96"/>
      <c r="K687" s="95"/>
      <c r="L687" s="96"/>
      <c r="M687" s="96"/>
      <c r="N687" s="95"/>
      <c r="O687" s="95"/>
      <c r="P687" s="95"/>
      <c r="Q687" s="95"/>
      <c r="R687" s="60"/>
      <c r="S687" s="60"/>
      <c r="T687" s="60"/>
      <c r="U687" s="60"/>
      <c r="V687" s="60"/>
      <c r="W687" s="60"/>
      <c r="X687" s="60"/>
      <c r="Y687" s="60"/>
      <c r="Z687" s="60"/>
      <c r="AA687" s="60"/>
      <c r="AB687" s="60"/>
      <c r="AC687" s="60"/>
      <c r="AD687" s="60"/>
      <c r="AE687" s="60"/>
      <c r="AF687" s="60"/>
      <c r="AG687" s="60"/>
      <c r="AH687" s="60"/>
      <c r="AI687" s="60"/>
      <c r="AJ687" s="60"/>
    </row>
    <row r="688">
      <c r="A688" s="185"/>
      <c r="B688" s="67"/>
      <c r="C688" s="186"/>
      <c r="D688" s="186"/>
      <c r="E688" s="67"/>
      <c r="F688" s="186"/>
      <c r="G688" s="187"/>
      <c r="H688" s="43"/>
      <c r="I688" s="98"/>
      <c r="J688" s="99"/>
      <c r="K688" s="98"/>
      <c r="L688" s="99"/>
      <c r="M688" s="99"/>
      <c r="N688" s="98"/>
      <c r="O688" s="98"/>
      <c r="P688" s="98"/>
      <c r="Q688" s="98"/>
      <c r="R688" s="43"/>
      <c r="S688" s="43"/>
      <c r="T688" s="43"/>
      <c r="U688" s="43"/>
      <c r="V688" s="43"/>
      <c r="W688" s="43"/>
      <c r="X688" s="43"/>
      <c r="Y688" s="43"/>
      <c r="Z688" s="43"/>
      <c r="AA688" s="43"/>
      <c r="AB688" s="43"/>
      <c r="AC688" s="43"/>
      <c r="AD688" s="43"/>
      <c r="AE688" s="43"/>
      <c r="AF688" s="43"/>
      <c r="AG688" s="43"/>
      <c r="AH688" s="43"/>
      <c r="AI688" s="43"/>
      <c r="AJ688" s="43"/>
    </row>
    <row r="689">
      <c r="A689" s="188"/>
      <c r="B689" s="90"/>
      <c r="C689" s="189"/>
      <c r="D689" s="189"/>
      <c r="E689" s="90"/>
      <c r="F689" s="189"/>
      <c r="G689" s="190"/>
      <c r="H689" s="60"/>
      <c r="I689" s="95"/>
      <c r="J689" s="96"/>
      <c r="K689" s="95"/>
      <c r="L689" s="96"/>
      <c r="M689" s="96"/>
      <c r="N689" s="95"/>
      <c r="O689" s="95"/>
      <c r="P689" s="95"/>
      <c r="Q689" s="95"/>
      <c r="R689" s="60"/>
      <c r="S689" s="60"/>
      <c r="T689" s="60"/>
      <c r="U689" s="60"/>
      <c r="V689" s="60"/>
      <c r="W689" s="60"/>
      <c r="X689" s="60"/>
      <c r="Y689" s="60"/>
      <c r="Z689" s="60"/>
      <c r="AA689" s="60"/>
      <c r="AB689" s="60"/>
      <c r="AC689" s="60"/>
      <c r="AD689" s="60"/>
      <c r="AE689" s="60"/>
      <c r="AF689" s="60"/>
      <c r="AG689" s="60"/>
      <c r="AH689" s="60"/>
      <c r="AI689" s="60"/>
      <c r="AJ689" s="60"/>
    </row>
    <row r="690">
      <c r="A690" s="185"/>
      <c r="B690" s="67"/>
      <c r="C690" s="186"/>
      <c r="D690" s="186"/>
      <c r="E690" s="67"/>
      <c r="F690" s="186"/>
      <c r="G690" s="187"/>
      <c r="H690" s="43"/>
      <c r="I690" s="98"/>
      <c r="J690" s="99"/>
      <c r="K690" s="98"/>
      <c r="L690" s="99"/>
      <c r="M690" s="99"/>
      <c r="N690" s="98"/>
      <c r="O690" s="98"/>
      <c r="P690" s="98"/>
      <c r="Q690" s="98"/>
      <c r="R690" s="43"/>
      <c r="S690" s="43"/>
      <c r="T690" s="43"/>
      <c r="U690" s="43"/>
      <c r="V690" s="43"/>
      <c r="W690" s="43"/>
      <c r="X690" s="43"/>
      <c r="Y690" s="43"/>
      <c r="Z690" s="43"/>
      <c r="AA690" s="43"/>
      <c r="AB690" s="43"/>
      <c r="AC690" s="43"/>
      <c r="AD690" s="43"/>
      <c r="AE690" s="43"/>
      <c r="AF690" s="43"/>
      <c r="AG690" s="43"/>
      <c r="AH690" s="43"/>
      <c r="AI690" s="43"/>
      <c r="AJ690" s="43"/>
    </row>
    <row r="691">
      <c r="A691" s="188"/>
      <c r="B691" s="90"/>
      <c r="C691" s="189"/>
      <c r="D691" s="189"/>
      <c r="E691" s="90"/>
      <c r="F691" s="189"/>
      <c r="G691" s="190"/>
      <c r="H691" s="60"/>
      <c r="I691" s="95"/>
      <c r="J691" s="96"/>
      <c r="K691" s="95"/>
      <c r="L691" s="96"/>
      <c r="M691" s="96"/>
      <c r="N691" s="95"/>
      <c r="O691" s="95"/>
      <c r="P691" s="95"/>
      <c r="Q691" s="95"/>
      <c r="R691" s="60"/>
      <c r="S691" s="60"/>
      <c r="T691" s="60"/>
      <c r="U691" s="60"/>
      <c r="V691" s="60"/>
      <c r="W691" s="60"/>
      <c r="X691" s="60"/>
      <c r="Y691" s="60"/>
      <c r="Z691" s="60"/>
      <c r="AA691" s="60"/>
      <c r="AB691" s="60"/>
      <c r="AC691" s="60"/>
      <c r="AD691" s="60"/>
      <c r="AE691" s="60"/>
      <c r="AF691" s="60"/>
      <c r="AG691" s="60"/>
      <c r="AH691" s="60"/>
      <c r="AI691" s="60"/>
      <c r="AJ691" s="60"/>
    </row>
    <row r="692">
      <c r="A692" s="185"/>
      <c r="B692" s="67"/>
      <c r="C692" s="186"/>
      <c r="D692" s="186"/>
      <c r="E692" s="67"/>
      <c r="F692" s="186"/>
      <c r="G692" s="187"/>
      <c r="H692" s="43"/>
      <c r="I692" s="98"/>
      <c r="J692" s="99"/>
      <c r="K692" s="98"/>
      <c r="L692" s="99"/>
      <c r="M692" s="99"/>
      <c r="N692" s="98"/>
      <c r="O692" s="98"/>
      <c r="P692" s="98"/>
      <c r="Q692" s="98"/>
      <c r="R692" s="43"/>
      <c r="S692" s="43"/>
      <c r="T692" s="43"/>
      <c r="U692" s="43"/>
      <c r="V692" s="43"/>
      <c r="W692" s="43"/>
      <c r="X692" s="43"/>
      <c r="Y692" s="43"/>
      <c r="Z692" s="43"/>
      <c r="AA692" s="43"/>
      <c r="AB692" s="43"/>
      <c r="AC692" s="43"/>
      <c r="AD692" s="43"/>
      <c r="AE692" s="43"/>
      <c r="AF692" s="43"/>
      <c r="AG692" s="43"/>
      <c r="AH692" s="43"/>
      <c r="AI692" s="43"/>
      <c r="AJ692" s="43"/>
    </row>
    <row r="693">
      <c r="A693" s="188"/>
      <c r="B693" s="90"/>
      <c r="C693" s="189"/>
      <c r="D693" s="189"/>
      <c r="E693" s="90"/>
      <c r="F693" s="189"/>
      <c r="G693" s="190"/>
      <c r="H693" s="60"/>
      <c r="I693" s="95"/>
      <c r="J693" s="96"/>
      <c r="K693" s="95"/>
      <c r="L693" s="96"/>
      <c r="M693" s="96"/>
      <c r="N693" s="95"/>
      <c r="O693" s="95"/>
      <c r="P693" s="95"/>
      <c r="Q693" s="95"/>
      <c r="R693" s="60"/>
      <c r="S693" s="60"/>
      <c r="T693" s="60"/>
      <c r="U693" s="60"/>
      <c r="V693" s="60"/>
      <c r="W693" s="60"/>
      <c r="X693" s="60"/>
      <c r="Y693" s="60"/>
      <c r="Z693" s="60"/>
      <c r="AA693" s="60"/>
      <c r="AB693" s="60"/>
      <c r="AC693" s="60"/>
      <c r="AD693" s="60"/>
      <c r="AE693" s="60"/>
      <c r="AF693" s="60"/>
      <c r="AG693" s="60"/>
      <c r="AH693" s="60"/>
      <c r="AI693" s="60"/>
      <c r="AJ693" s="60"/>
    </row>
    <row r="694">
      <c r="A694" s="185"/>
      <c r="B694" s="67"/>
      <c r="C694" s="186"/>
      <c r="D694" s="186"/>
      <c r="E694" s="67"/>
      <c r="F694" s="186"/>
      <c r="G694" s="187"/>
      <c r="H694" s="43"/>
      <c r="I694" s="98"/>
      <c r="J694" s="99"/>
      <c r="K694" s="98"/>
      <c r="L694" s="99"/>
      <c r="M694" s="99"/>
      <c r="N694" s="98"/>
      <c r="O694" s="98"/>
      <c r="P694" s="98"/>
      <c r="Q694" s="98"/>
      <c r="R694" s="43"/>
      <c r="S694" s="43"/>
      <c r="T694" s="43"/>
      <c r="U694" s="43"/>
      <c r="V694" s="43"/>
      <c r="W694" s="43"/>
      <c r="X694" s="43"/>
      <c r="Y694" s="43"/>
      <c r="Z694" s="43"/>
      <c r="AA694" s="43"/>
      <c r="AB694" s="43"/>
      <c r="AC694" s="43"/>
      <c r="AD694" s="43"/>
      <c r="AE694" s="43"/>
      <c r="AF694" s="43"/>
      <c r="AG694" s="43"/>
      <c r="AH694" s="43"/>
      <c r="AI694" s="43"/>
      <c r="AJ694" s="43"/>
    </row>
    <row r="695">
      <c r="A695" s="188"/>
      <c r="B695" s="90"/>
      <c r="C695" s="189"/>
      <c r="D695" s="189"/>
      <c r="E695" s="90"/>
      <c r="F695" s="189"/>
      <c r="G695" s="190"/>
      <c r="H695" s="60"/>
      <c r="I695" s="95"/>
      <c r="J695" s="96"/>
      <c r="K695" s="95"/>
      <c r="L695" s="96"/>
      <c r="M695" s="96"/>
      <c r="N695" s="95"/>
      <c r="O695" s="95"/>
      <c r="P695" s="95"/>
      <c r="Q695" s="95"/>
      <c r="R695" s="60"/>
      <c r="S695" s="60"/>
      <c r="T695" s="60"/>
      <c r="U695" s="60"/>
      <c r="V695" s="60"/>
      <c r="W695" s="60"/>
      <c r="X695" s="60"/>
      <c r="Y695" s="60"/>
      <c r="Z695" s="60"/>
      <c r="AA695" s="60"/>
      <c r="AB695" s="60"/>
      <c r="AC695" s="60"/>
      <c r="AD695" s="60"/>
      <c r="AE695" s="60"/>
      <c r="AF695" s="60"/>
      <c r="AG695" s="60"/>
      <c r="AH695" s="60"/>
      <c r="AI695" s="60"/>
      <c r="AJ695" s="60"/>
    </row>
    <row r="696">
      <c r="A696" s="185"/>
      <c r="B696" s="67"/>
      <c r="C696" s="186"/>
      <c r="D696" s="186"/>
      <c r="E696" s="67"/>
      <c r="F696" s="186"/>
      <c r="G696" s="187"/>
      <c r="H696" s="43"/>
      <c r="I696" s="98"/>
      <c r="J696" s="99"/>
      <c r="K696" s="98"/>
      <c r="L696" s="99"/>
      <c r="M696" s="99"/>
      <c r="N696" s="98"/>
      <c r="O696" s="98"/>
      <c r="P696" s="98"/>
      <c r="Q696" s="98"/>
      <c r="R696" s="43"/>
      <c r="S696" s="43"/>
      <c r="T696" s="43"/>
      <c r="U696" s="43"/>
      <c r="V696" s="43"/>
      <c r="W696" s="43"/>
      <c r="X696" s="43"/>
      <c r="Y696" s="43"/>
      <c r="Z696" s="43"/>
      <c r="AA696" s="43"/>
      <c r="AB696" s="43"/>
      <c r="AC696" s="43"/>
      <c r="AD696" s="43"/>
      <c r="AE696" s="43"/>
      <c r="AF696" s="43"/>
      <c r="AG696" s="43"/>
      <c r="AH696" s="43"/>
      <c r="AI696" s="43"/>
      <c r="AJ696" s="43"/>
    </row>
    <row r="697">
      <c r="A697" s="188"/>
      <c r="B697" s="90"/>
      <c r="C697" s="189"/>
      <c r="D697" s="189"/>
      <c r="E697" s="90"/>
      <c r="F697" s="189"/>
      <c r="G697" s="190"/>
      <c r="H697" s="60"/>
      <c r="I697" s="95"/>
      <c r="J697" s="96"/>
      <c r="K697" s="95"/>
      <c r="L697" s="96"/>
      <c r="M697" s="96"/>
      <c r="N697" s="95"/>
      <c r="O697" s="95"/>
      <c r="P697" s="95"/>
      <c r="Q697" s="95"/>
      <c r="R697" s="60"/>
      <c r="S697" s="60"/>
      <c r="T697" s="60"/>
      <c r="U697" s="60"/>
      <c r="V697" s="60"/>
      <c r="W697" s="60"/>
      <c r="X697" s="60"/>
      <c r="Y697" s="60"/>
      <c r="Z697" s="60"/>
      <c r="AA697" s="60"/>
      <c r="AB697" s="60"/>
      <c r="AC697" s="60"/>
      <c r="AD697" s="60"/>
      <c r="AE697" s="60"/>
      <c r="AF697" s="60"/>
      <c r="AG697" s="60"/>
      <c r="AH697" s="60"/>
      <c r="AI697" s="60"/>
      <c r="AJ697" s="60"/>
    </row>
    <row r="698">
      <c r="A698" s="185"/>
      <c r="B698" s="67"/>
      <c r="C698" s="186"/>
      <c r="D698" s="186"/>
      <c r="E698" s="67"/>
      <c r="F698" s="186"/>
      <c r="G698" s="187"/>
      <c r="H698" s="43"/>
      <c r="I698" s="98"/>
      <c r="J698" s="99"/>
      <c r="K698" s="98"/>
      <c r="L698" s="99"/>
      <c r="M698" s="99"/>
      <c r="N698" s="98"/>
      <c r="O698" s="98"/>
      <c r="P698" s="98"/>
      <c r="Q698" s="98"/>
      <c r="R698" s="43"/>
      <c r="S698" s="43"/>
      <c r="T698" s="43"/>
      <c r="U698" s="43"/>
      <c r="V698" s="43"/>
      <c r="W698" s="43"/>
      <c r="X698" s="43"/>
      <c r="Y698" s="43"/>
      <c r="Z698" s="43"/>
      <c r="AA698" s="43"/>
      <c r="AB698" s="43"/>
      <c r="AC698" s="43"/>
      <c r="AD698" s="43"/>
      <c r="AE698" s="43"/>
      <c r="AF698" s="43"/>
      <c r="AG698" s="43"/>
      <c r="AH698" s="43"/>
      <c r="AI698" s="43"/>
      <c r="AJ698" s="43"/>
    </row>
    <row r="699">
      <c r="A699" s="188"/>
      <c r="B699" s="90"/>
      <c r="C699" s="189"/>
      <c r="D699" s="189"/>
      <c r="E699" s="90"/>
      <c r="F699" s="189"/>
      <c r="G699" s="190"/>
      <c r="H699" s="60"/>
      <c r="I699" s="95"/>
      <c r="J699" s="96"/>
      <c r="K699" s="95"/>
      <c r="L699" s="96"/>
      <c r="M699" s="96"/>
      <c r="N699" s="95"/>
      <c r="O699" s="95"/>
      <c r="P699" s="95"/>
      <c r="Q699" s="95"/>
      <c r="R699" s="60"/>
      <c r="S699" s="60"/>
      <c r="T699" s="60"/>
      <c r="U699" s="60"/>
      <c r="V699" s="60"/>
      <c r="W699" s="60"/>
      <c r="X699" s="60"/>
      <c r="Y699" s="60"/>
      <c r="Z699" s="60"/>
      <c r="AA699" s="60"/>
      <c r="AB699" s="60"/>
      <c r="AC699" s="60"/>
      <c r="AD699" s="60"/>
      <c r="AE699" s="60"/>
      <c r="AF699" s="60"/>
      <c r="AG699" s="60"/>
      <c r="AH699" s="60"/>
      <c r="AI699" s="60"/>
      <c r="AJ699" s="60"/>
    </row>
    <row r="700">
      <c r="A700" s="185"/>
      <c r="B700" s="67"/>
      <c r="C700" s="186"/>
      <c r="D700" s="186"/>
      <c r="E700" s="67"/>
      <c r="F700" s="186"/>
      <c r="G700" s="187"/>
      <c r="H700" s="43"/>
      <c r="I700" s="98"/>
      <c r="J700" s="99"/>
      <c r="K700" s="98"/>
      <c r="L700" s="99"/>
      <c r="M700" s="99"/>
      <c r="N700" s="98"/>
      <c r="O700" s="98"/>
      <c r="P700" s="98"/>
      <c r="Q700" s="98"/>
      <c r="R700" s="43"/>
      <c r="S700" s="43"/>
      <c r="T700" s="43"/>
      <c r="U700" s="43"/>
      <c r="V700" s="43"/>
      <c r="W700" s="43"/>
      <c r="X700" s="43"/>
      <c r="Y700" s="43"/>
      <c r="Z700" s="43"/>
      <c r="AA700" s="43"/>
      <c r="AB700" s="43"/>
      <c r="AC700" s="43"/>
      <c r="AD700" s="43"/>
      <c r="AE700" s="43"/>
      <c r="AF700" s="43"/>
      <c r="AG700" s="43"/>
      <c r="AH700" s="43"/>
      <c r="AI700" s="43"/>
      <c r="AJ700" s="43"/>
    </row>
    <row r="701">
      <c r="A701" s="188"/>
      <c r="B701" s="90"/>
      <c r="C701" s="189"/>
      <c r="D701" s="189"/>
      <c r="E701" s="90"/>
      <c r="F701" s="189"/>
      <c r="G701" s="190"/>
      <c r="H701" s="60"/>
      <c r="I701" s="95"/>
      <c r="J701" s="96"/>
      <c r="K701" s="95"/>
      <c r="L701" s="96"/>
      <c r="M701" s="96"/>
      <c r="N701" s="95"/>
      <c r="O701" s="95"/>
      <c r="P701" s="95"/>
      <c r="Q701" s="95"/>
      <c r="R701" s="60"/>
      <c r="S701" s="60"/>
      <c r="T701" s="60"/>
      <c r="U701" s="60"/>
      <c r="V701" s="60"/>
      <c r="W701" s="60"/>
      <c r="X701" s="60"/>
      <c r="Y701" s="60"/>
      <c r="Z701" s="60"/>
      <c r="AA701" s="60"/>
      <c r="AB701" s="60"/>
      <c r="AC701" s="60"/>
      <c r="AD701" s="60"/>
      <c r="AE701" s="60"/>
      <c r="AF701" s="60"/>
      <c r="AG701" s="60"/>
      <c r="AH701" s="60"/>
      <c r="AI701" s="60"/>
      <c r="AJ701" s="60"/>
    </row>
    <row r="702">
      <c r="A702" s="185"/>
      <c r="B702" s="67"/>
      <c r="C702" s="186"/>
      <c r="D702" s="186"/>
      <c r="E702" s="67"/>
      <c r="F702" s="186"/>
      <c r="G702" s="187"/>
      <c r="H702" s="43"/>
      <c r="I702" s="98"/>
      <c r="J702" s="99"/>
      <c r="K702" s="98"/>
      <c r="L702" s="99"/>
      <c r="M702" s="99"/>
      <c r="N702" s="98"/>
      <c r="O702" s="98"/>
      <c r="P702" s="98"/>
      <c r="Q702" s="98"/>
      <c r="R702" s="43"/>
      <c r="S702" s="43"/>
      <c r="T702" s="43"/>
      <c r="U702" s="43"/>
      <c r="V702" s="43"/>
      <c r="W702" s="43"/>
      <c r="X702" s="43"/>
      <c r="Y702" s="43"/>
      <c r="Z702" s="43"/>
      <c r="AA702" s="43"/>
      <c r="AB702" s="43"/>
      <c r="AC702" s="43"/>
      <c r="AD702" s="43"/>
      <c r="AE702" s="43"/>
      <c r="AF702" s="43"/>
      <c r="AG702" s="43"/>
      <c r="AH702" s="43"/>
      <c r="AI702" s="43"/>
      <c r="AJ702" s="43"/>
    </row>
    <row r="703">
      <c r="A703" s="188"/>
      <c r="B703" s="90"/>
      <c r="C703" s="189"/>
      <c r="D703" s="189"/>
      <c r="E703" s="90"/>
      <c r="F703" s="189"/>
      <c r="G703" s="190"/>
      <c r="H703" s="60"/>
      <c r="I703" s="95"/>
      <c r="J703" s="96"/>
      <c r="K703" s="95"/>
      <c r="L703" s="96"/>
      <c r="M703" s="96"/>
      <c r="N703" s="95"/>
      <c r="O703" s="95"/>
      <c r="P703" s="95"/>
      <c r="Q703" s="95"/>
      <c r="R703" s="60"/>
      <c r="S703" s="60"/>
      <c r="T703" s="60"/>
      <c r="U703" s="60"/>
      <c r="V703" s="60"/>
      <c r="W703" s="60"/>
      <c r="X703" s="60"/>
      <c r="Y703" s="60"/>
      <c r="Z703" s="60"/>
      <c r="AA703" s="60"/>
      <c r="AB703" s="60"/>
      <c r="AC703" s="60"/>
      <c r="AD703" s="60"/>
      <c r="AE703" s="60"/>
      <c r="AF703" s="60"/>
      <c r="AG703" s="60"/>
      <c r="AH703" s="60"/>
      <c r="AI703" s="60"/>
      <c r="AJ703" s="60"/>
    </row>
    <row r="704">
      <c r="A704" s="185"/>
      <c r="B704" s="67"/>
      <c r="C704" s="186"/>
      <c r="D704" s="186"/>
      <c r="E704" s="67"/>
      <c r="F704" s="186"/>
      <c r="G704" s="187"/>
      <c r="H704" s="43"/>
      <c r="I704" s="98"/>
      <c r="J704" s="99"/>
      <c r="K704" s="98"/>
      <c r="L704" s="99"/>
      <c r="M704" s="99"/>
      <c r="N704" s="98"/>
      <c r="O704" s="98"/>
      <c r="P704" s="98"/>
      <c r="Q704" s="98"/>
      <c r="R704" s="43"/>
      <c r="S704" s="43"/>
      <c r="T704" s="43"/>
      <c r="U704" s="43"/>
      <c r="V704" s="43"/>
      <c r="W704" s="43"/>
      <c r="X704" s="43"/>
      <c r="Y704" s="43"/>
      <c r="Z704" s="43"/>
      <c r="AA704" s="43"/>
      <c r="AB704" s="43"/>
      <c r="AC704" s="43"/>
      <c r="AD704" s="43"/>
      <c r="AE704" s="43"/>
      <c r="AF704" s="43"/>
      <c r="AG704" s="43"/>
      <c r="AH704" s="43"/>
      <c r="AI704" s="43"/>
      <c r="AJ704" s="43"/>
    </row>
    <row r="705">
      <c r="A705" s="188"/>
      <c r="B705" s="90"/>
      <c r="C705" s="189"/>
      <c r="D705" s="189"/>
      <c r="E705" s="90"/>
      <c r="F705" s="189"/>
      <c r="G705" s="190"/>
      <c r="H705" s="60"/>
      <c r="I705" s="95"/>
      <c r="J705" s="96"/>
      <c r="K705" s="95"/>
      <c r="L705" s="96"/>
      <c r="M705" s="96"/>
      <c r="N705" s="95"/>
      <c r="O705" s="95"/>
      <c r="P705" s="95"/>
      <c r="Q705" s="95"/>
      <c r="R705" s="60"/>
      <c r="S705" s="60"/>
      <c r="T705" s="60"/>
      <c r="U705" s="60"/>
      <c r="V705" s="60"/>
      <c r="W705" s="60"/>
      <c r="X705" s="60"/>
      <c r="Y705" s="60"/>
      <c r="Z705" s="60"/>
      <c r="AA705" s="60"/>
      <c r="AB705" s="60"/>
      <c r="AC705" s="60"/>
      <c r="AD705" s="60"/>
      <c r="AE705" s="60"/>
      <c r="AF705" s="60"/>
      <c r="AG705" s="60"/>
      <c r="AH705" s="60"/>
      <c r="AI705" s="60"/>
      <c r="AJ705" s="60"/>
    </row>
    <row r="706">
      <c r="A706" s="185"/>
      <c r="B706" s="67"/>
      <c r="C706" s="186"/>
      <c r="D706" s="186"/>
      <c r="E706" s="67"/>
      <c r="F706" s="186"/>
      <c r="G706" s="187"/>
      <c r="H706" s="43"/>
      <c r="I706" s="98"/>
      <c r="J706" s="99"/>
      <c r="K706" s="98"/>
      <c r="L706" s="99"/>
      <c r="M706" s="99"/>
      <c r="N706" s="98"/>
      <c r="O706" s="98"/>
      <c r="P706" s="98"/>
      <c r="Q706" s="98"/>
      <c r="R706" s="43"/>
      <c r="S706" s="43"/>
      <c r="T706" s="43"/>
      <c r="U706" s="43"/>
      <c r="V706" s="43"/>
      <c r="W706" s="43"/>
      <c r="X706" s="43"/>
      <c r="Y706" s="43"/>
      <c r="Z706" s="43"/>
      <c r="AA706" s="43"/>
      <c r="AB706" s="43"/>
      <c r="AC706" s="43"/>
      <c r="AD706" s="43"/>
      <c r="AE706" s="43"/>
      <c r="AF706" s="43"/>
      <c r="AG706" s="43"/>
      <c r="AH706" s="43"/>
      <c r="AI706" s="43"/>
      <c r="AJ706" s="43"/>
    </row>
    <row r="707">
      <c r="A707" s="188"/>
      <c r="B707" s="90"/>
      <c r="C707" s="189"/>
      <c r="D707" s="189"/>
      <c r="E707" s="90"/>
      <c r="F707" s="189"/>
      <c r="G707" s="190"/>
      <c r="H707" s="60"/>
      <c r="I707" s="95"/>
      <c r="J707" s="96"/>
      <c r="K707" s="95"/>
      <c r="L707" s="96"/>
      <c r="M707" s="96"/>
      <c r="N707" s="95"/>
      <c r="O707" s="95"/>
      <c r="P707" s="95"/>
      <c r="Q707" s="95"/>
      <c r="R707" s="60"/>
      <c r="S707" s="60"/>
      <c r="T707" s="60"/>
      <c r="U707" s="60"/>
      <c r="V707" s="60"/>
      <c r="W707" s="60"/>
      <c r="X707" s="60"/>
      <c r="Y707" s="60"/>
      <c r="Z707" s="60"/>
      <c r="AA707" s="60"/>
      <c r="AB707" s="60"/>
      <c r="AC707" s="60"/>
      <c r="AD707" s="60"/>
      <c r="AE707" s="60"/>
      <c r="AF707" s="60"/>
      <c r="AG707" s="60"/>
      <c r="AH707" s="60"/>
      <c r="AI707" s="60"/>
      <c r="AJ707" s="60"/>
    </row>
    <row r="708">
      <c r="A708" s="185"/>
      <c r="B708" s="67"/>
      <c r="C708" s="186"/>
      <c r="D708" s="186"/>
      <c r="E708" s="67"/>
      <c r="F708" s="186"/>
      <c r="G708" s="187"/>
      <c r="H708" s="43"/>
      <c r="I708" s="98"/>
      <c r="J708" s="99"/>
      <c r="K708" s="98"/>
      <c r="L708" s="99"/>
      <c r="M708" s="99"/>
      <c r="N708" s="98"/>
      <c r="O708" s="98"/>
      <c r="P708" s="98"/>
      <c r="Q708" s="98"/>
      <c r="R708" s="43"/>
      <c r="S708" s="43"/>
      <c r="T708" s="43"/>
      <c r="U708" s="43"/>
      <c r="V708" s="43"/>
      <c r="W708" s="43"/>
      <c r="X708" s="43"/>
      <c r="Y708" s="43"/>
      <c r="Z708" s="43"/>
      <c r="AA708" s="43"/>
      <c r="AB708" s="43"/>
      <c r="AC708" s="43"/>
      <c r="AD708" s="43"/>
      <c r="AE708" s="43"/>
      <c r="AF708" s="43"/>
      <c r="AG708" s="43"/>
      <c r="AH708" s="43"/>
      <c r="AI708" s="43"/>
      <c r="AJ708" s="43"/>
    </row>
    <row r="709">
      <c r="A709" s="188"/>
      <c r="B709" s="90"/>
      <c r="C709" s="189"/>
      <c r="D709" s="189"/>
      <c r="E709" s="90"/>
      <c r="F709" s="189"/>
      <c r="G709" s="190"/>
      <c r="H709" s="60"/>
      <c r="I709" s="95"/>
      <c r="J709" s="96"/>
      <c r="K709" s="95"/>
      <c r="L709" s="96"/>
      <c r="M709" s="96"/>
      <c r="N709" s="95"/>
      <c r="O709" s="95"/>
      <c r="P709" s="95"/>
      <c r="Q709" s="95"/>
      <c r="R709" s="60"/>
      <c r="S709" s="60"/>
      <c r="T709" s="60"/>
      <c r="U709" s="60"/>
      <c r="V709" s="60"/>
      <c r="W709" s="60"/>
      <c r="X709" s="60"/>
      <c r="Y709" s="60"/>
      <c r="Z709" s="60"/>
      <c r="AA709" s="60"/>
      <c r="AB709" s="60"/>
      <c r="AC709" s="60"/>
      <c r="AD709" s="60"/>
      <c r="AE709" s="60"/>
      <c r="AF709" s="60"/>
      <c r="AG709" s="60"/>
      <c r="AH709" s="60"/>
      <c r="AI709" s="60"/>
      <c r="AJ709" s="60"/>
    </row>
    <row r="710">
      <c r="A710" s="185"/>
      <c r="B710" s="67"/>
      <c r="C710" s="186"/>
      <c r="D710" s="209"/>
      <c r="E710" s="43"/>
      <c r="F710" s="209"/>
      <c r="G710" s="187"/>
      <c r="H710" s="43"/>
      <c r="I710" s="98"/>
      <c r="J710" s="99"/>
      <c r="K710" s="98"/>
      <c r="L710" s="99"/>
      <c r="M710" s="99"/>
      <c r="N710" s="98"/>
      <c r="O710" s="98"/>
      <c r="P710" s="98"/>
      <c r="Q710" s="98"/>
      <c r="R710" s="43"/>
      <c r="S710" s="43"/>
      <c r="T710" s="43"/>
      <c r="U710" s="43"/>
      <c r="V710" s="43"/>
      <c r="W710" s="43"/>
      <c r="X710" s="43"/>
      <c r="Y710" s="43"/>
      <c r="Z710" s="43"/>
      <c r="AA710" s="43"/>
      <c r="AB710" s="43"/>
      <c r="AC710" s="43"/>
      <c r="AD710" s="43"/>
      <c r="AE710" s="43"/>
      <c r="AF710" s="43"/>
      <c r="AG710" s="43"/>
      <c r="AH710" s="43"/>
      <c r="AI710" s="43"/>
      <c r="AJ710" s="43"/>
    </row>
    <row r="711">
      <c r="A711" s="188"/>
      <c r="B711" s="90"/>
      <c r="C711" s="189"/>
      <c r="D711" s="210"/>
      <c r="E711" s="60"/>
      <c r="F711" s="210"/>
      <c r="G711" s="190"/>
      <c r="H711" s="60"/>
      <c r="I711" s="95"/>
      <c r="J711" s="96"/>
      <c r="K711" s="95"/>
      <c r="L711" s="96"/>
      <c r="M711" s="96"/>
      <c r="N711" s="95"/>
      <c r="O711" s="95"/>
      <c r="P711" s="95"/>
      <c r="Q711" s="95"/>
      <c r="R711" s="60"/>
      <c r="S711" s="60"/>
      <c r="T711" s="60"/>
      <c r="U711" s="60"/>
      <c r="V711" s="60"/>
      <c r="W711" s="60"/>
      <c r="X711" s="60"/>
      <c r="Y711" s="60"/>
      <c r="Z711" s="60"/>
      <c r="AA711" s="60"/>
      <c r="AB711" s="60"/>
      <c r="AC711" s="60"/>
      <c r="AD711" s="60"/>
      <c r="AE711" s="60"/>
      <c r="AF711" s="60"/>
      <c r="AG711" s="60"/>
      <c r="AH711" s="60"/>
      <c r="AI711" s="60"/>
      <c r="AJ711" s="60"/>
    </row>
    <row r="712">
      <c r="A712" s="185"/>
      <c r="B712" s="67"/>
      <c r="C712" s="186"/>
      <c r="D712" s="209"/>
      <c r="E712" s="43"/>
      <c r="F712" s="209"/>
      <c r="G712" s="187"/>
      <c r="H712" s="43"/>
      <c r="I712" s="98"/>
      <c r="J712" s="99"/>
      <c r="K712" s="98"/>
      <c r="L712" s="99"/>
      <c r="M712" s="99"/>
      <c r="N712" s="98"/>
      <c r="O712" s="98"/>
      <c r="P712" s="98"/>
      <c r="Q712" s="98"/>
      <c r="R712" s="43"/>
      <c r="S712" s="43"/>
      <c r="T712" s="43"/>
      <c r="U712" s="43"/>
      <c r="V712" s="43"/>
      <c r="W712" s="43"/>
      <c r="X712" s="43"/>
      <c r="Y712" s="43"/>
      <c r="Z712" s="43"/>
      <c r="AA712" s="43"/>
      <c r="AB712" s="43"/>
      <c r="AC712" s="43"/>
      <c r="AD712" s="43"/>
      <c r="AE712" s="43"/>
      <c r="AF712" s="43"/>
      <c r="AG712" s="43"/>
      <c r="AH712" s="43"/>
      <c r="AI712" s="43"/>
      <c r="AJ712" s="43"/>
    </row>
    <row r="713">
      <c r="A713" s="188"/>
      <c r="B713" s="90"/>
      <c r="C713" s="189"/>
      <c r="D713" s="210"/>
      <c r="E713" s="60"/>
      <c r="F713" s="210"/>
      <c r="G713" s="190"/>
      <c r="H713" s="60"/>
      <c r="I713" s="95"/>
      <c r="J713" s="96"/>
      <c r="K713" s="95"/>
      <c r="L713" s="96"/>
      <c r="M713" s="96"/>
      <c r="N713" s="95"/>
      <c r="O713" s="95"/>
      <c r="P713" s="95"/>
      <c r="Q713" s="95"/>
      <c r="R713" s="60"/>
      <c r="S713" s="60"/>
      <c r="T713" s="60"/>
      <c r="U713" s="60"/>
      <c r="V713" s="60"/>
      <c r="W713" s="60"/>
      <c r="X713" s="60"/>
      <c r="Y713" s="60"/>
      <c r="Z713" s="60"/>
      <c r="AA713" s="60"/>
      <c r="AB713" s="60"/>
      <c r="AC713" s="60"/>
      <c r="AD713" s="60"/>
      <c r="AE713" s="60"/>
      <c r="AF713" s="60"/>
      <c r="AG713" s="60"/>
      <c r="AH713" s="60"/>
      <c r="AI713" s="60"/>
      <c r="AJ713" s="60"/>
    </row>
    <row r="714">
      <c r="A714" s="185"/>
      <c r="B714" s="67"/>
      <c r="C714" s="186"/>
      <c r="D714" s="209"/>
      <c r="E714" s="43"/>
      <c r="F714" s="209"/>
      <c r="G714" s="187"/>
      <c r="H714" s="43"/>
      <c r="I714" s="98"/>
      <c r="J714" s="99"/>
      <c r="K714" s="98"/>
      <c r="L714" s="99"/>
      <c r="M714" s="99"/>
      <c r="N714" s="98"/>
      <c r="O714" s="98"/>
      <c r="P714" s="98"/>
      <c r="Q714" s="98"/>
      <c r="R714" s="43"/>
      <c r="S714" s="43"/>
      <c r="T714" s="43"/>
      <c r="U714" s="43"/>
      <c r="V714" s="43"/>
      <c r="W714" s="43"/>
      <c r="X714" s="43"/>
      <c r="Y714" s="43"/>
      <c r="Z714" s="43"/>
      <c r="AA714" s="43"/>
      <c r="AB714" s="43"/>
      <c r="AC714" s="43"/>
      <c r="AD714" s="43"/>
      <c r="AE714" s="43"/>
      <c r="AF714" s="43"/>
      <c r="AG714" s="43"/>
      <c r="AH714" s="43"/>
      <c r="AI714" s="43"/>
      <c r="AJ714" s="43"/>
    </row>
    <row r="715">
      <c r="A715" s="188"/>
      <c r="B715" s="90"/>
      <c r="C715" s="189"/>
      <c r="D715" s="210"/>
      <c r="E715" s="60"/>
      <c r="F715" s="210"/>
      <c r="G715" s="190"/>
      <c r="H715" s="60"/>
      <c r="I715" s="95"/>
      <c r="J715" s="96"/>
      <c r="K715" s="95"/>
      <c r="L715" s="96"/>
      <c r="M715" s="96"/>
      <c r="N715" s="95"/>
      <c r="O715" s="95"/>
      <c r="P715" s="95"/>
      <c r="Q715" s="95"/>
      <c r="R715" s="60"/>
      <c r="S715" s="60"/>
      <c r="T715" s="60"/>
      <c r="U715" s="60"/>
      <c r="V715" s="60"/>
      <c r="W715" s="60"/>
      <c r="X715" s="60"/>
      <c r="Y715" s="60"/>
      <c r="Z715" s="60"/>
      <c r="AA715" s="60"/>
      <c r="AB715" s="60"/>
      <c r="AC715" s="60"/>
      <c r="AD715" s="60"/>
      <c r="AE715" s="60"/>
      <c r="AF715" s="60"/>
      <c r="AG715" s="60"/>
      <c r="AH715" s="60"/>
      <c r="AI715" s="60"/>
      <c r="AJ715" s="60"/>
    </row>
    <row r="716">
      <c r="A716" s="185"/>
      <c r="B716" s="67"/>
      <c r="C716" s="186"/>
      <c r="D716" s="209"/>
      <c r="E716" s="43"/>
      <c r="F716" s="209"/>
      <c r="G716" s="187"/>
      <c r="H716" s="43"/>
      <c r="I716" s="98"/>
      <c r="J716" s="99"/>
      <c r="K716" s="98"/>
      <c r="L716" s="99"/>
      <c r="M716" s="99"/>
      <c r="N716" s="98"/>
      <c r="O716" s="98"/>
      <c r="P716" s="98"/>
      <c r="Q716" s="98"/>
      <c r="R716" s="43"/>
      <c r="S716" s="43"/>
      <c r="T716" s="43"/>
      <c r="U716" s="43"/>
      <c r="V716" s="43"/>
      <c r="W716" s="43"/>
      <c r="X716" s="43"/>
      <c r="Y716" s="43"/>
      <c r="Z716" s="43"/>
      <c r="AA716" s="43"/>
      <c r="AB716" s="43"/>
      <c r="AC716" s="43"/>
      <c r="AD716" s="43"/>
      <c r="AE716" s="43"/>
      <c r="AF716" s="43"/>
      <c r="AG716" s="43"/>
      <c r="AH716" s="43"/>
      <c r="AI716" s="43"/>
      <c r="AJ716" s="43"/>
    </row>
    <row r="717">
      <c r="A717" s="188"/>
      <c r="B717" s="90"/>
      <c r="C717" s="189"/>
      <c r="D717" s="210"/>
      <c r="E717" s="60"/>
      <c r="F717" s="210"/>
      <c r="G717" s="190"/>
      <c r="H717" s="60"/>
      <c r="I717" s="95"/>
      <c r="J717" s="96"/>
      <c r="K717" s="95"/>
      <c r="L717" s="96"/>
      <c r="M717" s="96"/>
      <c r="N717" s="95"/>
      <c r="O717" s="95"/>
      <c r="P717" s="95"/>
      <c r="Q717" s="95"/>
      <c r="R717" s="60"/>
      <c r="S717" s="60"/>
      <c r="T717" s="60"/>
      <c r="U717" s="60"/>
      <c r="V717" s="60"/>
      <c r="W717" s="60"/>
      <c r="X717" s="60"/>
      <c r="Y717" s="60"/>
      <c r="Z717" s="60"/>
      <c r="AA717" s="60"/>
      <c r="AB717" s="60"/>
      <c r="AC717" s="60"/>
      <c r="AD717" s="60"/>
      <c r="AE717" s="60"/>
      <c r="AF717" s="60"/>
      <c r="AG717" s="60"/>
      <c r="AH717" s="60"/>
      <c r="AI717" s="60"/>
      <c r="AJ717" s="60"/>
    </row>
    <row r="718">
      <c r="A718" s="185"/>
      <c r="B718" s="67"/>
      <c r="C718" s="186"/>
      <c r="D718" s="209"/>
      <c r="E718" s="43"/>
      <c r="F718" s="209"/>
      <c r="G718" s="187"/>
      <c r="H718" s="43"/>
      <c r="I718" s="98"/>
      <c r="J718" s="99"/>
      <c r="K718" s="98"/>
      <c r="L718" s="99"/>
      <c r="M718" s="99"/>
      <c r="N718" s="98"/>
      <c r="O718" s="98"/>
      <c r="P718" s="98"/>
      <c r="Q718" s="98"/>
      <c r="R718" s="43"/>
      <c r="S718" s="43"/>
      <c r="T718" s="43"/>
      <c r="U718" s="43"/>
      <c r="V718" s="43"/>
      <c r="W718" s="43"/>
      <c r="X718" s="43"/>
      <c r="Y718" s="43"/>
      <c r="Z718" s="43"/>
      <c r="AA718" s="43"/>
      <c r="AB718" s="43"/>
      <c r="AC718" s="43"/>
      <c r="AD718" s="43"/>
      <c r="AE718" s="43"/>
      <c r="AF718" s="43"/>
      <c r="AG718" s="43"/>
      <c r="AH718" s="43"/>
      <c r="AI718" s="43"/>
      <c r="AJ718" s="43"/>
    </row>
    <row r="719">
      <c r="A719" s="188"/>
      <c r="B719" s="90"/>
      <c r="C719" s="189"/>
      <c r="D719" s="210"/>
      <c r="E719" s="60"/>
      <c r="F719" s="210"/>
      <c r="G719" s="190"/>
      <c r="H719" s="60"/>
      <c r="I719" s="95"/>
      <c r="J719" s="96"/>
      <c r="K719" s="95"/>
      <c r="L719" s="96"/>
      <c r="M719" s="96"/>
      <c r="N719" s="95"/>
      <c r="O719" s="95"/>
      <c r="P719" s="95"/>
      <c r="Q719" s="95"/>
      <c r="R719" s="60"/>
      <c r="S719" s="60"/>
      <c r="T719" s="60"/>
      <c r="U719" s="60"/>
      <c r="V719" s="60"/>
      <c r="W719" s="60"/>
      <c r="X719" s="60"/>
      <c r="Y719" s="60"/>
      <c r="Z719" s="60"/>
      <c r="AA719" s="60"/>
      <c r="AB719" s="60"/>
      <c r="AC719" s="60"/>
      <c r="AD719" s="60"/>
      <c r="AE719" s="60"/>
      <c r="AF719" s="60"/>
      <c r="AG719" s="60"/>
      <c r="AH719" s="60"/>
      <c r="AI719" s="60"/>
      <c r="AJ719" s="60"/>
    </row>
    <row r="720">
      <c r="A720" s="185"/>
      <c r="B720" s="67"/>
      <c r="C720" s="186"/>
      <c r="D720" s="209"/>
      <c r="E720" s="43"/>
      <c r="F720" s="209"/>
      <c r="G720" s="187"/>
      <c r="H720" s="43"/>
      <c r="I720" s="98"/>
      <c r="J720" s="99"/>
      <c r="K720" s="98"/>
      <c r="L720" s="99"/>
      <c r="M720" s="99"/>
      <c r="N720" s="98"/>
      <c r="O720" s="98"/>
      <c r="P720" s="98"/>
      <c r="Q720" s="98"/>
      <c r="R720" s="43"/>
      <c r="S720" s="43"/>
      <c r="T720" s="43"/>
      <c r="U720" s="43"/>
      <c r="V720" s="43"/>
      <c r="W720" s="43"/>
      <c r="X720" s="43"/>
      <c r="Y720" s="43"/>
      <c r="Z720" s="43"/>
      <c r="AA720" s="43"/>
      <c r="AB720" s="43"/>
      <c r="AC720" s="43"/>
      <c r="AD720" s="43"/>
      <c r="AE720" s="43"/>
      <c r="AF720" s="43"/>
      <c r="AG720" s="43"/>
      <c r="AH720" s="43"/>
      <c r="AI720" s="43"/>
      <c r="AJ720" s="43"/>
    </row>
    <row r="721">
      <c r="A721" s="188"/>
      <c r="B721" s="90"/>
      <c r="C721" s="189"/>
      <c r="D721" s="210"/>
      <c r="E721" s="60"/>
      <c r="F721" s="210"/>
      <c r="G721" s="190"/>
      <c r="H721" s="60"/>
      <c r="I721" s="95"/>
      <c r="J721" s="96"/>
      <c r="K721" s="95"/>
      <c r="L721" s="96"/>
      <c r="M721" s="96"/>
      <c r="N721" s="95"/>
      <c r="O721" s="95"/>
      <c r="P721" s="95"/>
      <c r="Q721" s="95"/>
      <c r="R721" s="60"/>
      <c r="S721" s="60"/>
      <c r="T721" s="60"/>
      <c r="U721" s="60"/>
      <c r="V721" s="60"/>
      <c r="W721" s="60"/>
      <c r="X721" s="60"/>
      <c r="Y721" s="60"/>
      <c r="Z721" s="60"/>
      <c r="AA721" s="60"/>
      <c r="AB721" s="60"/>
      <c r="AC721" s="60"/>
      <c r="AD721" s="60"/>
      <c r="AE721" s="60"/>
      <c r="AF721" s="60"/>
      <c r="AG721" s="60"/>
      <c r="AH721" s="60"/>
      <c r="AI721" s="60"/>
      <c r="AJ721" s="60"/>
    </row>
    <row r="722">
      <c r="A722" s="185"/>
      <c r="B722" s="67"/>
      <c r="C722" s="186"/>
      <c r="D722" s="209"/>
      <c r="E722" s="43"/>
      <c r="F722" s="209"/>
      <c r="G722" s="187"/>
      <c r="H722" s="43"/>
      <c r="I722" s="98"/>
      <c r="J722" s="99"/>
      <c r="K722" s="98"/>
      <c r="L722" s="99"/>
      <c r="M722" s="99"/>
      <c r="N722" s="98"/>
      <c r="O722" s="98"/>
      <c r="P722" s="98"/>
      <c r="Q722" s="98"/>
      <c r="R722" s="43"/>
      <c r="S722" s="43"/>
      <c r="T722" s="43"/>
      <c r="U722" s="43"/>
      <c r="V722" s="43"/>
      <c r="W722" s="43"/>
      <c r="X722" s="43"/>
      <c r="Y722" s="43"/>
      <c r="Z722" s="43"/>
      <c r="AA722" s="43"/>
      <c r="AB722" s="43"/>
      <c r="AC722" s="43"/>
      <c r="AD722" s="43"/>
      <c r="AE722" s="43"/>
      <c r="AF722" s="43"/>
      <c r="AG722" s="43"/>
      <c r="AH722" s="43"/>
      <c r="AI722" s="43"/>
      <c r="AJ722" s="43"/>
    </row>
    <row r="723">
      <c r="A723" s="188"/>
      <c r="B723" s="90"/>
      <c r="C723" s="189"/>
      <c r="D723" s="210"/>
      <c r="E723" s="60"/>
      <c r="F723" s="210"/>
      <c r="G723" s="190"/>
      <c r="H723" s="60"/>
      <c r="I723" s="95"/>
      <c r="J723" s="96"/>
      <c r="K723" s="95"/>
      <c r="L723" s="96"/>
      <c r="M723" s="96"/>
      <c r="N723" s="95"/>
      <c r="O723" s="95"/>
      <c r="P723" s="95"/>
      <c r="Q723" s="95"/>
      <c r="R723" s="60"/>
      <c r="S723" s="60"/>
      <c r="T723" s="60"/>
      <c r="U723" s="60"/>
      <c r="V723" s="60"/>
      <c r="W723" s="60"/>
      <c r="X723" s="60"/>
      <c r="Y723" s="60"/>
      <c r="Z723" s="60"/>
      <c r="AA723" s="60"/>
      <c r="AB723" s="60"/>
      <c r="AC723" s="60"/>
      <c r="AD723" s="60"/>
      <c r="AE723" s="60"/>
      <c r="AF723" s="60"/>
      <c r="AG723" s="60"/>
      <c r="AH723" s="60"/>
      <c r="AI723" s="60"/>
      <c r="AJ723" s="60"/>
    </row>
    <row r="724">
      <c r="A724" s="185"/>
      <c r="B724" s="67"/>
      <c r="C724" s="186"/>
      <c r="D724" s="209"/>
      <c r="E724" s="43"/>
      <c r="F724" s="209"/>
      <c r="G724" s="187"/>
      <c r="H724" s="43"/>
      <c r="I724" s="98"/>
      <c r="J724" s="99"/>
      <c r="K724" s="98"/>
      <c r="L724" s="99"/>
      <c r="M724" s="99"/>
      <c r="N724" s="98"/>
      <c r="O724" s="98"/>
      <c r="P724" s="98"/>
      <c r="Q724" s="98"/>
      <c r="R724" s="43"/>
      <c r="S724" s="43"/>
      <c r="T724" s="43"/>
      <c r="U724" s="43"/>
      <c r="V724" s="43"/>
      <c r="W724" s="43"/>
      <c r="X724" s="43"/>
      <c r="Y724" s="43"/>
      <c r="Z724" s="43"/>
      <c r="AA724" s="43"/>
      <c r="AB724" s="43"/>
      <c r="AC724" s="43"/>
      <c r="AD724" s="43"/>
      <c r="AE724" s="43"/>
      <c r="AF724" s="43"/>
      <c r="AG724" s="43"/>
      <c r="AH724" s="43"/>
      <c r="AI724" s="43"/>
      <c r="AJ724" s="43"/>
    </row>
    <row r="725">
      <c r="A725" s="188"/>
      <c r="B725" s="90"/>
      <c r="C725" s="189"/>
      <c r="D725" s="210"/>
      <c r="E725" s="60"/>
      <c r="F725" s="210"/>
      <c r="G725" s="190"/>
      <c r="H725" s="60"/>
      <c r="I725" s="95"/>
      <c r="J725" s="96"/>
      <c r="K725" s="95"/>
      <c r="L725" s="96"/>
      <c r="M725" s="96"/>
      <c r="N725" s="95"/>
      <c r="O725" s="95"/>
      <c r="P725" s="95"/>
      <c r="Q725" s="95"/>
      <c r="R725" s="60"/>
      <c r="S725" s="60"/>
      <c r="T725" s="60"/>
      <c r="U725" s="60"/>
      <c r="V725" s="60"/>
      <c r="W725" s="60"/>
      <c r="X725" s="60"/>
      <c r="Y725" s="60"/>
      <c r="Z725" s="60"/>
      <c r="AA725" s="60"/>
      <c r="AB725" s="60"/>
      <c r="AC725" s="60"/>
      <c r="AD725" s="60"/>
      <c r="AE725" s="60"/>
      <c r="AF725" s="60"/>
      <c r="AG725" s="60"/>
      <c r="AH725" s="60"/>
      <c r="AI725" s="60"/>
      <c r="AJ725" s="60"/>
    </row>
    <row r="726">
      <c r="A726" s="185"/>
      <c r="B726" s="67"/>
      <c r="C726" s="186"/>
      <c r="D726" s="209"/>
      <c r="E726" s="43"/>
      <c r="F726" s="209"/>
      <c r="G726" s="187"/>
      <c r="H726" s="43"/>
      <c r="I726" s="98"/>
      <c r="J726" s="99"/>
      <c r="K726" s="98"/>
      <c r="L726" s="99"/>
      <c r="M726" s="99"/>
      <c r="N726" s="98"/>
      <c r="O726" s="98"/>
      <c r="P726" s="98"/>
      <c r="Q726" s="98"/>
      <c r="R726" s="43"/>
      <c r="S726" s="43"/>
      <c r="T726" s="43"/>
      <c r="U726" s="43"/>
      <c r="V726" s="43"/>
      <c r="W726" s="43"/>
      <c r="X726" s="43"/>
      <c r="Y726" s="43"/>
      <c r="Z726" s="43"/>
      <c r="AA726" s="43"/>
      <c r="AB726" s="43"/>
      <c r="AC726" s="43"/>
      <c r="AD726" s="43"/>
      <c r="AE726" s="43"/>
      <c r="AF726" s="43"/>
      <c r="AG726" s="43"/>
      <c r="AH726" s="43"/>
      <c r="AI726" s="43"/>
      <c r="AJ726" s="43"/>
    </row>
    <row r="727">
      <c r="A727" s="188"/>
      <c r="B727" s="90"/>
      <c r="C727" s="189"/>
      <c r="D727" s="210"/>
      <c r="E727" s="60"/>
      <c r="F727" s="210"/>
      <c r="G727" s="190"/>
      <c r="H727" s="60"/>
      <c r="I727" s="95"/>
      <c r="J727" s="96"/>
      <c r="K727" s="95"/>
      <c r="L727" s="96"/>
      <c r="M727" s="96"/>
      <c r="N727" s="95"/>
      <c r="O727" s="95"/>
      <c r="P727" s="95"/>
      <c r="Q727" s="95"/>
      <c r="R727" s="60"/>
      <c r="S727" s="60"/>
      <c r="T727" s="60"/>
      <c r="U727" s="60"/>
      <c r="V727" s="60"/>
      <c r="W727" s="60"/>
      <c r="X727" s="60"/>
      <c r="Y727" s="60"/>
      <c r="Z727" s="60"/>
      <c r="AA727" s="60"/>
      <c r="AB727" s="60"/>
      <c r="AC727" s="60"/>
      <c r="AD727" s="60"/>
      <c r="AE727" s="60"/>
      <c r="AF727" s="60"/>
      <c r="AG727" s="60"/>
      <c r="AH727" s="60"/>
      <c r="AI727" s="60"/>
      <c r="AJ727" s="60"/>
    </row>
    <row r="728">
      <c r="A728" s="185"/>
      <c r="B728" s="67"/>
      <c r="C728" s="186"/>
      <c r="D728" s="209"/>
      <c r="E728" s="43"/>
      <c r="F728" s="209"/>
      <c r="G728" s="187"/>
      <c r="H728" s="43"/>
      <c r="I728" s="98"/>
      <c r="J728" s="99"/>
      <c r="K728" s="98"/>
      <c r="L728" s="99"/>
      <c r="M728" s="99"/>
      <c r="N728" s="98"/>
      <c r="O728" s="98"/>
      <c r="P728" s="98"/>
      <c r="Q728" s="98"/>
      <c r="R728" s="43"/>
      <c r="S728" s="43"/>
      <c r="T728" s="43"/>
      <c r="U728" s="43"/>
      <c r="V728" s="43"/>
      <c r="W728" s="43"/>
      <c r="X728" s="43"/>
      <c r="Y728" s="43"/>
      <c r="Z728" s="43"/>
      <c r="AA728" s="43"/>
      <c r="AB728" s="43"/>
      <c r="AC728" s="43"/>
      <c r="AD728" s="43"/>
      <c r="AE728" s="43"/>
      <c r="AF728" s="43"/>
      <c r="AG728" s="43"/>
      <c r="AH728" s="43"/>
      <c r="AI728" s="43"/>
      <c r="AJ728" s="43"/>
    </row>
    <row r="729">
      <c r="A729" s="188"/>
      <c r="B729" s="90"/>
      <c r="C729" s="189"/>
      <c r="D729" s="210"/>
      <c r="E729" s="60"/>
      <c r="F729" s="210"/>
      <c r="G729" s="190"/>
      <c r="H729" s="60"/>
      <c r="I729" s="95"/>
      <c r="J729" s="96"/>
      <c r="K729" s="95"/>
      <c r="L729" s="96"/>
      <c r="M729" s="96"/>
      <c r="N729" s="95"/>
      <c r="O729" s="95"/>
      <c r="P729" s="95"/>
      <c r="Q729" s="95"/>
      <c r="R729" s="60"/>
      <c r="S729" s="60"/>
      <c r="T729" s="60"/>
      <c r="U729" s="60"/>
      <c r="V729" s="60"/>
      <c r="W729" s="60"/>
      <c r="X729" s="60"/>
      <c r="Y729" s="60"/>
      <c r="Z729" s="60"/>
      <c r="AA729" s="60"/>
      <c r="AB729" s="60"/>
      <c r="AC729" s="60"/>
      <c r="AD729" s="60"/>
      <c r="AE729" s="60"/>
      <c r="AF729" s="60"/>
      <c r="AG729" s="60"/>
      <c r="AH729" s="60"/>
      <c r="AI729" s="60"/>
      <c r="AJ729" s="60"/>
    </row>
    <row r="730">
      <c r="A730" s="185"/>
      <c r="B730" s="67"/>
      <c r="C730" s="186"/>
      <c r="D730" s="209"/>
      <c r="E730" s="43"/>
      <c r="F730" s="209"/>
      <c r="G730" s="187"/>
      <c r="H730" s="43"/>
      <c r="I730" s="98"/>
      <c r="J730" s="99"/>
      <c r="K730" s="98"/>
      <c r="L730" s="99"/>
      <c r="M730" s="99"/>
      <c r="N730" s="98"/>
      <c r="O730" s="98"/>
      <c r="P730" s="98"/>
      <c r="Q730" s="98"/>
      <c r="R730" s="43"/>
      <c r="S730" s="43"/>
      <c r="T730" s="43"/>
      <c r="U730" s="43"/>
      <c r="V730" s="43"/>
      <c r="W730" s="43"/>
      <c r="X730" s="43"/>
      <c r="Y730" s="43"/>
      <c r="Z730" s="43"/>
      <c r="AA730" s="43"/>
      <c r="AB730" s="43"/>
      <c r="AC730" s="43"/>
      <c r="AD730" s="43"/>
      <c r="AE730" s="43"/>
      <c r="AF730" s="43"/>
      <c r="AG730" s="43"/>
      <c r="AH730" s="43"/>
      <c r="AI730" s="43"/>
      <c r="AJ730" s="43"/>
    </row>
    <row r="731">
      <c r="A731" s="188"/>
      <c r="B731" s="90"/>
      <c r="C731" s="189"/>
      <c r="D731" s="210"/>
      <c r="E731" s="60"/>
      <c r="F731" s="210"/>
      <c r="G731" s="190"/>
      <c r="H731" s="60"/>
      <c r="I731" s="95"/>
      <c r="J731" s="96"/>
      <c r="K731" s="95"/>
      <c r="L731" s="96"/>
      <c r="M731" s="96"/>
      <c r="N731" s="95"/>
      <c r="O731" s="95"/>
      <c r="P731" s="95"/>
      <c r="Q731" s="95"/>
      <c r="R731" s="60"/>
      <c r="S731" s="60"/>
      <c r="T731" s="60"/>
      <c r="U731" s="60"/>
      <c r="V731" s="60"/>
      <c r="W731" s="60"/>
      <c r="X731" s="60"/>
      <c r="Y731" s="60"/>
      <c r="Z731" s="60"/>
      <c r="AA731" s="60"/>
      <c r="AB731" s="60"/>
      <c r="AC731" s="60"/>
      <c r="AD731" s="60"/>
      <c r="AE731" s="60"/>
      <c r="AF731" s="60"/>
      <c r="AG731" s="60"/>
      <c r="AH731" s="60"/>
      <c r="AI731" s="60"/>
      <c r="AJ731" s="60"/>
    </row>
    <row r="732">
      <c r="A732" s="185"/>
      <c r="B732" s="67"/>
      <c r="C732" s="186"/>
      <c r="D732" s="209"/>
      <c r="E732" s="43"/>
      <c r="F732" s="209"/>
      <c r="G732" s="187"/>
      <c r="H732" s="43"/>
      <c r="I732" s="98"/>
      <c r="J732" s="99"/>
      <c r="K732" s="98"/>
      <c r="L732" s="99"/>
      <c r="M732" s="99"/>
      <c r="N732" s="98"/>
      <c r="O732" s="98"/>
      <c r="P732" s="98"/>
      <c r="Q732" s="98"/>
      <c r="R732" s="43"/>
      <c r="S732" s="43"/>
      <c r="T732" s="43"/>
      <c r="U732" s="43"/>
      <c r="V732" s="43"/>
      <c r="W732" s="43"/>
      <c r="X732" s="43"/>
      <c r="Y732" s="43"/>
      <c r="Z732" s="43"/>
      <c r="AA732" s="43"/>
      <c r="AB732" s="43"/>
      <c r="AC732" s="43"/>
      <c r="AD732" s="43"/>
      <c r="AE732" s="43"/>
      <c r="AF732" s="43"/>
      <c r="AG732" s="43"/>
      <c r="AH732" s="43"/>
      <c r="AI732" s="43"/>
      <c r="AJ732" s="43"/>
    </row>
    <row r="733">
      <c r="A733" s="188"/>
      <c r="B733" s="90"/>
      <c r="C733" s="189"/>
      <c r="D733" s="210"/>
      <c r="E733" s="60"/>
      <c r="F733" s="210"/>
      <c r="G733" s="190"/>
      <c r="H733" s="60"/>
      <c r="I733" s="95"/>
      <c r="J733" s="96"/>
      <c r="K733" s="95"/>
      <c r="L733" s="96"/>
      <c r="M733" s="96"/>
      <c r="N733" s="95"/>
      <c r="O733" s="95"/>
      <c r="P733" s="95"/>
      <c r="Q733" s="95"/>
      <c r="R733" s="60"/>
      <c r="S733" s="60"/>
      <c r="T733" s="60"/>
      <c r="U733" s="60"/>
      <c r="V733" s="60"/>
      <c r="W733" s="60"/>
      <c r="X733" s="60"/>
      <c r="Y733" s="60"/>
      <c r="Z733" s="60"/>
      <c r="AA733" s="60"/>
      <c r="AB733" s="60"/>
      <c r="AC733" s="60"/>
      <c r="AD733" s="60"/>
      <c r="AE733" s="60"/>
      <c r="AF733" s="60"/>
      <c r="AG733" s="60"/>
      <c r="AH733" s="60"/>
      <c r="AI733" s="60"/>
      <c r="AJ733" s="60"/>
    </row>
    <row r="734">
      <c r="A734" s="185"/>
      <c r="B734" s="67"/>
      <c r="C734" s="186"/>
      <c r="D734" s="209"/>
      <c r="E734" s="43"/>
      <c r="F734" s="209"/>
      <c r="G734" s="187"/>
      <c r="H734" s="43"/>
      <c r="I734" s="98"/>
      <c r="J734" s="99"/>
      <c r="K734" s="98"/>
      <c r="L734" s="99"/>
      <c r="M734" s="99"/>
      <c r="N734" s="98"/>
      <c r="O734" s="98"/>
      <c r="P734" s="98"/>
      <c r="Q734" s="98"/>
      <c r="R734" s="43"/>
      <c r="S734" s="43"/>
      <c r="T734" s="43"/>
      <c r="U734" s="43"/>
      <c r="V734" s="43"/>
      <c r="W734" s="43"/>
      <c r="X734" s="43"/>
      <c r="Y734" s="43"/>
      <c r="Z734" s="43"/>
      <c r="AA734" s="43"/>
      <c r="AB734" s="43"/>
      <c r="AC734" s="43"/>
      <c r="AD734" s="43"/>
      <c r="AE734" s="43"/>
      <c r="AF734" s="43"/>
      <c r="AG734" s="43"/>
      <c r="AH734" s="43"/>
      <c r="AI734" s="43"/>
      <c r="AJ734" s="43"/>
    </row>
    <row r="735">
      <c r="A735" s="188"/>
      <c r="B735" s="90"/>
      <c r="C735" s="189"/>
      <c r="D735" s="210"/>
      <c r="E735" s="60"/>
      <c r="F735" s="210"/>
      <c r="G735" s="190"/>
      <c r="H735" s="60"/>
      <c r="I735" s="95"/>
      <c r="J735" s="96"/>
      <c r="K735" s="95"/>
      <c r="L735" s="96"/>
      <c r="M735" s="96"/>
      <c r="N735" s="95"/>
      <c r="O735" s="95"/>
      <c r="P735" s="95"/>
      <c r="Q735" s="95"/>
      <c r="R735" s="60"/>
      <c r="S735" s="60"/>
      <c r="T735" s="60"/>
      <c r="U735" s="60"/>
      <c r="V735" s="60"/>
      <c r="W735" s="60"/>
      <c r="X735" s="60"/>
      <c r="Y735" s="60"/>
      <c r="Z735" s="60"/>
      <c r="AA735" s="60"/>
      <c r="AB735" s="60"/>
      <c r="AC735" s="60"/>
      <c r="AD735" s="60"/>
      <c r="AE735" s="60"/>
      <c r="AF735" s="60"/>
      <c r="AG735" s="60"/>
      <c r="AH735" s="60"/>
      <c r="AI735" s="60"/>
      <c r="AJ735" s="60"/>
    </row>
    <row r="736">
      <c r="A736" s="185"/>
      <c r="B736" s="67"/>
      <c r="C736" s="186"/>
      <c r="D736" s="209"/>
      <c r="E736" s="43"/>
      <c r="F736" s="209"/>
      <c r="G736" s="187"/>
      <c r="H736" s="43"/>
      <c r="I736" s="98"/>
      <c r="J736" s="99"/>
      <c r="K736" s="98"/>
      <c r="L736" s="99"/>
      <c r="M736" s="99"/>
      <c r="N736" s="98"/>
      <c r="O736" s="98"/>
      <c r="P736" s="98"/>
      <c r="Q736" s="98"/>
      <c r="R736" s="43"/>
      <c r="S736" s="43"/>
      <c r="T736" s="43"/>
      <c r="U736" s="43"/>
      <c r="V736" s="43"/>
      <c r="W736" s="43"/>
      <c r="X736" s="43"/>
      <c r="Y736" s="43"/>
      <c r="Z736" s="43"/>
      <c r="AA736" s="43"/>
      <c r="AB736" s="43"/>
      <c r="AC736" s="43"/>
      <c r="AD736" s="43"/>
      <c r="AE736" s="43"/>
      <c r="AF736" s="43"/>
      <c r="AG736" s="43"/>
      <c r="AH736" s="43"/>
      <c r="AI736" s="43"/>
      <c r="AJ736" s="43"/>
    </row>
    <row r="737">
      <c r="A737" s="188"/>
      <c r="B737" s="90"/>
      <c r="C737" s="189"/>
      <c r="D737" s="210"/>
      <c r="E737" s="60"/>
      <c r="F737" s="210"/>
      <c r="G737" s="190"/>
      <c r="H737" s="60"/>
      <c r="I737" s="95"/>
      <c r="J737" s="96"/>
      <c r="K737" s="95"/>
      <c r="L737" s="96"/>
      <c r="M737" s="96"/>
      <c r="N737" s="95"/>
      <c r="O737" s="95"/>
      <c r="P737" s="95"/>
      <c r="Q737" s="95"/>
      <c r="R737" s="60"/>
      <c r="S737" s="60"/>
      <c r="T737" s="60"/>
      <c r="U737" s="60"/>
      <c r="V737" s="60"/>
      <c r="W737" s="60"/>
      <c r="X737" s="60"/>
      <c r="Y737" s="60"/>
      <c r="Z737" s="60"/>
      <c r="AA737" s="60"/>
      <c r="AB737" s="60"/>
      <c r="AC737" s="60"/>
      <c r="AD737" s="60"/>
      <c r="AE737" s="60"/>
      <c r="AF737" s="60"/>
      <c r="AG737" s="60"/>
      <c r="AH737" s="60"/>
      <c r="AI737" s="60"/>
      <c r="AJ737" s="60"/>
    </row>
    <row r="738">
      <c r="A738" s="185"/>
      <c r="B738" s="67"/>
      <c r="C738" s="186"/>
      <c r="D738" s="209"/>
      <c r="E738" s="43"/>
      <c r="F738" s="209"/>
      <c r="G738" s="187"/>
      <c r="H738" s="43"/>
      <c r="I738" s="98"/>
      <c r="J738" s="99"/>
      <c r="K738" s="98"/>
      <c r="L738" s="99"/>
      <c r="M738" s="99"/>
      <c r="N738" s="98"/>
      <c r="O738" s="98"/>
      <c r="P738" s="98"/>
      <c r="Q738" s="98"/>
      <c r="R738" s="43"/>
      <c r="S738" s="43"/>
      <c r="T738" s="43"/>
      <c r="U738" s="43"/>
      <c r="V738" s="43"/>
      <c r="W738" s="43"/>
      <c r="X738" s="43"/>
      <c r="Y738" s="43"/>
      <c r="Z738" s="43"/>
      <c r="AA738" s="43"/>
      <c r="AB738" s="43"/>
      <c r="AC738" s="43"/>
      <c r="AD738" s="43"/>
      <c r="AE738" s="43"/>
      <c r="AF738" s="43"/>
      <c r="AG738" s="43"/>
      <c r="AH738" s="43"/>
      <c r="AI738" s="43"/>
      <c r="AJ738" s="43"/>
    </row>
    <row r="739">
      <c r="A739" s="188"/>
      <c r="B739" s="90"/>
      <c r="C739" s="189"/>
      <c r="D739" s="210"/>
      <c r="E739" s="60"/>
      <c r="F739" s="210"/>
      <c r="G739" s="190"/>
      <c r="H739" s="60"/>
      <c r="I739" s="95"/>
      <c r="J739" s="96"/>
      <c r="K739" s="95"/>
      <c r="L739" s="96"/>
      <c r="M739" s="96"/>
      <c r="N739" s="95"/>
      <c r="O739" s="95"/>
      <c r="P739" s="95"/>
      <c r="Q739" s="95"/>
      <c r="R739" s="60"/>
      <c r="S739" s="60"/>
      <c r="T739" s="60"/>
      <c r="U739" s="60"/>
      <c r="V739" s="60"/>
      <c r="W739" s="60"/>
      <c r="X739" s="60"/>
      <c r="Y739" s="60"/>
      <c r="Z739" s="60"/>
      <c r="AA739" s="60"/>
      <c r="AB739" s="60"/>
      <c r="AC739" s="60"/>
      <c r="AD739" s="60"/>
      <c r="AE739" s="60"/>
      <c r="AF739" s="60"/>
      <c r="AG739" s="60"/>
      <c r="AH739" s="60"/>
      <c r="AI739" s="60"/>
      <c r="AJ739" s="60"/>
    </row>
    <row r="740">
      <c r="A740" s="185"/>
      <c r="B740" s="67"/>
      <c r="C740" s="186"/>
      <c r="D740" s="209"/>
      <c r="E740" s="43"/>
      <c r="F740" s="209"/>
      <c r="G740" s="187"/>
      <c r="H740" s="43"/>
      <c r="I740" s="98"/>
      <c r="J740" s="99"/>
      <c r="K740" s="98"/>
      <c r="L740" s="99"/>
      <c r="M740" s="99"/>
      <c r="N740" s="98"/>
      <c r="O740" s="98"/>
      <c r="P740" s="98"/>
      <c r="Q740" s="98"/>
      <c r="R740" s="43"/>
      <c r="S740" s="43"/>
      <c r="T740" s="43"/>
      <c r="U740" s="43"/>
      <c r="V740" s="43"/>
      <c r="W740" s="43"/>
      <c r="X740" s="43"/>
      <c r="Y740" s="43"/>
      <c r="Z740" s="43"/>
      <c r="AA740" s="43"/>
      <c r="AB740" s="43"/>
      <c r="AC740" s="43"/>
      <c r="AD740" s="43"/>
      <c r="AE740" s="43"/>
      <c r="AF740" s="43"/>
      <c r="AG740" s="43"/>
      <c r="AH740" s="43"/>
      <c r="AI740" s="43"/>
      <c r="AJ740" s="43"/>
    </row>
    <row r="741">
      <c r="A741" s="188"/>
      <c r="B741" s="90"/>
      <c r="C741" s="189"/>
      <c r="D741" s="210"/>
      <c r="E741" s="60"/>
      <c r="F741" s="210"/>
      <c r="G741" s="190"/>
      <c r="H741" s="60"/>
      <c r="I741" s="95"/>
      <c r="J741" s="96"/>
      <c r="K741" s="95"/>
      <c r="L741" s="96"/>
      <c r="M741" s="96"/>
      <c r="N741" s="95"/>
      <c r="O741" s="95"/>
      <c r="P741" s="95"/>
      <c r="Q741" s="95"/>
      <c r="R741" s="60"/>
      <c r="S741" s="60"/>
      <c r="T741" s="60"/>
      <c r="U741" s="60"/>
      <c r="V741" s="60"/>
      <c r="W741" s="60"/>
      <c r="X741" s="60"/>
      <c r="Y741" s="60"/>
      <c r="Z741" s="60"/>
      <c r="AA741" s="60"/>
      <c r="AB741" s="60"/>
      <c r="AC741" s="60"/>
      <c r="AD741" s="60"/>
      <c r="AE741" s="60"/>
      <c r="AF741" s="60"/>
      <c r="AG741" s="60"/>
      <c r="AH741" s="60"/>
      <c r="AI741" s="60"/>
      <c r="AJ741" s="60"/>
    </row>
    <row r="742">
      <c r="A742" s="185"/>
      <c r="B742" s="67"/>
      <c r="C742" s="186"/>
      <c r="D742" s="209"/>
      <c r="E742" s="43"/>
      <c r="F742" s="209"/>
      <c r="G742" s="187"/>
      <c r="H742" s="43"/>
      <c r="I742" s="98"/>
      <c r="J742" s="99"/>
      <c r="K742" s="98"/>
      <c r="L742" s="99"/>
      <c r="M742" s="99"/>
      <c r="N742" s="98"/>
      <c r="O742" s="98"/>
      <c r="P742" s="98"/>
      <c r="Q742" s="98"/>
      <c r="R742" s="43"/>
      <c r="S742" s="43"/>
      <c r="T742" s="43"/>
      <c r="U742" s="43"/>
      <c r="V742" s="43"/>
      <c r="W742" s="43"/>
      <c r="X742" s="43"/>
      <c r="Y742" s="43"/>
      <c r="Z742" s="43"/>
      <c r="AA742" s="43"/>
      <c r="AB742" s="43"/>
      <c r="AC742" s="43"/>
      <c r="AD742" s="43"/>
      <c r="AE742" s="43"/>
      <c r="AF742" s="43"/>
      <c r="AG742" s="43"/>
      <c r="AH742" s="43"/>
      <c r="AI742" s="43"/>
      <c r="AJ742" s="43"/>
    </row>
    <row r="743">
      <c r="A743" s="188"/>
      <c r="B743" s="90"/>
      <c r="C743" s="189"/>
      <c r="D743" s="210"/>
      <c r="E743" s="60"/>
      <c r="F743" s="210"/>
      <c r="G743" s="190"/>
      <c r="H743" s="60"/>
      <c r="I743" s="95"/>
      <c r="J743" s="96"/>
      <c r="K743" s="95"/>
      <c r="L743" s="96"/>
      <c r="M743" s="96"/>
      <c r="N743" s="95"/>
      <c r="O743" s="95"/>
      <c r="P743" s="95"/>
      <c r="Q743" s="95"/>
      <c r="R743" s="60"/>
      <c r="S743" s="60"/>
      <c r="T743" s="60"/>
      <c r="U743" s="60"/>
      <c r="V743" s="60"/>
      <c r="W743" s="60"/>
      <c r="X743" s="60"/>
      <c r="Y743" s="60"/>
      <c r="Z743" s="60"/>
      <c r="AA743" s="60"/>
      <c r="AB743" s="60"/>
      <c r="AC743" s="60"/>
      <c r="AD743" s="60"/>
      <c r="AE743" s="60"/>
      <c r="AF743" s="60"/>
      <c r="AG743" s="60"/>
      <c r="AH743" s="60"/>
      <c r="AI743" s="60"/>
      <c r="AJ743" s="60"/>
    </row>
    <row r="744">
      <c r="A744" s="185"/>
      <c r="B744" s="67"/>
      <c r="C744" s="186"/>
      <c r="D744" s="209"/>
      <c r="E744" s="43"/>
      <c r="F744" s="209"/>
      <c r="G744" s="187"/>
      <c r="H744" s="43"/>
      <c r="I744" s="98"/>
      <c r="J744" s="99"/>
      <c r="K744" s="98"/>
      <c r="L744" s="99"/>
      <c r="M744" s="99"/>
      <c r="N744" s="98"/>
      <c r="O744" s="98"/>
      <c r="P744" s="98"/>
      <c r="Q744" s="98"/>
      <c r="R744" s="43"/>
      <c r="S744" s="43"/>
      <c r="T744" s="43"/>
      <c r="U744" s="43"/>
      <c r="V744" s="43"/>
      <c r="W744" s="43"/>
      <c r="X744" s="43"/>
      <c r="Y744" s="43"/>
      <c r="Z744" s="43"/>
      <c r="AA744" s="43"/>
      <c r="AB744" s="43"/>
      <c r="AC744" s="43"/>
      <c r="AD744" s="43"/>
      <c r="AE744" s="43"/>
      <c r="AF744" s="43"/>
      <c r="AG744" s="43"/>
      <c r="AH744" s="43"/>
      <c r="AI744" s="43"/>
      <c r="AJ744" s="43"/>
    </row>
    <row r="745">
      <c r="A745" s="188"/>
      <c r="B745" s="90"/>
      <c r="C745" s="189"/>
      <c r="D745" s="210"/>
      <c r="E745" s="60"/>
      <c r="F745" s="210"/>
      <c r="G745" s="190"/>
      <c r="H745" s="60"/>
      <c r="I745" s="95"/>
      <c r="J745" s="96"/>
      <c r="K745" s="95"/>
      <c r="L745" s="96"/>
      <c r="M745" s="96"/>
      <c r="N745" s="95"/>
      <c r="O745" s="95"/>
      <c r="P745" s="95"/>
      <c r="Q745" s="95"/>
      <c r="R745" s="60"/>
      <c r="S745" s="60"/>
      <c r="T745" s="60"/>
      <c r="U745" s="60"/>
      <c r="V745" s="60"/>
      <c r="W745" s="60"/>
      <c r="X745" s="60"/>
      <c r="Y745" s="60"/>
      <c r="Z745" s="60"/>
      <c r="AA745" s="60"/>
      <c r="AB745" s="60"/>
      <c r="AC745" s="60"/>
      <c r="AD745" s="60"/>
      <c r="AE745" s="60"/>
      <c r="AF745" s="60"/>
      <c r="AG745" s="60"/>
      <c r="AH745" s="60"/>
      <c r="AI745" s="60"/>
      <c r="AJ745" s="60"/>
    </row>
    <row r="746">
      <c r="A746" s="185"/>
      <c r="B746" s="67"/>
      <c r="C746" s="186"/>
      <c r="D746" s="209"/>
      <c r="E746" s="43"/>
      <c r="F746" s="209"/>
      <c r="G746" s="187"/>
      <c r="H746" s="43"/>
      <c r="I746" s="98"/>
      <c r="J746" s="99"/>
      <c r="K746" s="98"/>
      <c r="L746" s="99"/>
      <c r="M746" s="99"/>
      <c r="N746" s="98"/>
      <c r="O746" s="98"/>
      <c r="P746" s="98"/>
      <c r="Q746" s="98"/>
      <c r="R746" s="43"/>
      <c r="S746" s="43"/>
      <c r="T746" s="43"/>
      <c r="U746" s="43"/>
      <c r="V746" s="43"/>
      <c r="W746" s="43"/>
      <c r="X746" s="43"/>
      <c r="Y746" s="43"/>
      <c r="Z746" s="43"/>
      <c r="AA746" s="43"/>
      <c r="AB746" s="43"/>
      <c r="AC746" s="43"/>
      <c r="AD746" s="43"/>
      <c r="AE746" s="43"/>
      <c r="AF746" s="43"/>
      <c r="AG746" s="43"/>
      <c r="AH746" s="43"/>
      <c r="AI746" s="43"/>
      <c r="AJ746" s="43"/>
    </row>
    <row r="747">
      <c r="A747" s="188"/>
      <c r="B747" s="90"/>
      <c r="C747" s="189"/>
      <c r="D747" s="210"/>
      <c r="E747" s="60"/>
      <c r="F747" s="210"/>
      <c r="G747" s="190"/>
      <c r="H747" s="60"/>
      <c r="I747" s="95"/>
      <c r="J747" s="96"/>
      <c r="K747" s="95"/>
      <c r="L747" s="96"/>
      <c r="M747" s="96"/>
      <c r="N747" s="95"/>
      <c r="O747" s="95"/>
      <c r="P747" s="95"/>
      <c r="Q747" s="95"/>
      <c r="R747" s="60"/>
      <c r="S747" s="60"/>
      <c r="T747" s="60"/>
      <c r="U747" s="60"/>
      <c r="V747" s="60"/>
      <c r="W747" s="60"/>
      <c r="X747" s="60"/>
      <c r="Y747" s="60"/>
      <c r="Z747" s="60"/>
      <c r="AA747" s="60"/>
      <c r="AB747" s="60"/>
      <c r="AC747" s="60"/>
      <c r="AD747" s="60"/>
      <c r="AE747" s="60"/>
      <c r="AF747" s="60"/>
      <c r="AG747" s="60"/>
      <c r="AH747" s="60"/>
      <c r="AI747" s="60"/>
      <c r="AJ747" s="60"/>
    </row>
    <row r="748">
      <c r="A748" s="185"/>
      <c r="B748" s="67"/>
      <c r="C748" s="186"/>
      <c r="D748" s="209"/>
      <c r="E748" s="43"/>
      <c r="F748" s="209"/>
      <c r="G748" s="187"/>
      <c r="H748" s="43"/>
      <c r="I748" s="98"/>
      <c r="J748" s="99"/>
      <c r="K748" s="98"/>
      <c r="L748" s="99"/>
      <c r="M748" s="99"/>
      <c r="N748" s="98"/>
      <c r="O748" s="98"/>
      <c r="P748" s="98"/>
      <c r="Q748" s="98"/>
      <c r="R748" s="43"/>
      <c r="S748" s="43"/>
      <c r="T748" s="43"/>
      <c r="U748" s="43"/>
      <c r="V748" s="43"/>
      <c r="W748" s="43"/>
      <c r="X748" s="43"/>
      <c r="Y748" s="43"/>
      <c r="Z748" s="43"/>
      <c r="AA748" s="43"/>
      <c r="AB748" s="43"/>
      <c r="AC748" s="43"/>
      <c r="AD748" s="43"/>
      <c r="AE748" s="43"/>
      <c r="AF748" s="43"/>
      <c r="AG748" s="43"/>
      <c r="AH748" s="43"/>
      <c r="AI748" s="43"/>
      <c r="AJ748" s="43"/>
    </row>
    <row r="749">
      <c r="A749" s="188"/>
      <c r="B749" s="90"/>
      <c r="C749" s="189"/>
      <c r="D749" s="210"/>
      <c r="E749" s="60"/>
      <c r="F749" s="210"/>
      <c r="G749" s="190"/>
      <c r="H749" s="60"/>
      <c r="I749" s="95"/>
      <c r="J749" s="96"/>
      <c r="K749" s="95"/>
      <c r="L749" s="96"/>
      <c r="M749" s="96"/>
      <c r="N749" s="95"/>
      <c r="O749" s="95"/>
      <c r="P749" s="95"/>
      <c r="Q749" s="95"/>
      <c r="R749" s="60"/>
      <c r="S749" s="60"/>
      <c r="T749" s="60"/>
      <c r="U749" s="60"/>
      <c r="V749" s="60"/>
      <c r="W749" s="60"/>
      <c r="X749" s="60"/>
      <c r="Y749" s="60"/>
      <c r="Z749" s="60"/>
      <c r="AA749" s="60"/>
      <c r="AB749" s="60"/>
      <c r="AC749" s="60"/>
      <c r="AD749" s="60"/>
      <c r="AE749" s="60"/>
      <c r="AF749" s="60"/>
      <c r="AG749" s="60"/>
      <c r="AH749" s="60"/>
      <c r="AI749" s="60"/>
      <c r="AJ749" s="60"/>
    </row>
    <row r="750">
      <c r="A750" s="185"/>
      <c r="B750" s="67"/>
      <c r="C750" s="186"/>
      <c r="D750" s="209"/>
      <c r="E750" s="43"/>
      <c r="F750" s="209"/>
      <c r="G750" s="187"/>
      <c r="H750" s="43"/>
      <c r="I750" s="98"/>
      <c r="J750" s="99"/>
      <c r="K750" s="98"/>
      <c r="L750" s="99"/>
      <c r="M750" s="99"/>
      <c r="N750" s="98"/>
      <c r="O750" s="98"/>
      <c r="P750" s="98"/>
      <c r="Q750" s="98"/>
      <c r="R750" s="43"/>
      <c r="S750" s="43"/>
      <c r="T750" s="43"/>
      <c r="U750" s="43"/>
      <c r="V750" s="43"/>
      <c r="W750" s="43"/>
      <c r="X750" s="43"/>
      <c r="Y750" s="43"/>
      <c r="Z750" s="43"/>
      <c r="AA750" s="43"/>
      <c r="AB750" s="43"/>
      <c r="AC750" s="43"/>
      <c r="AD750" s="43"/>
      <c r="AE750" s="43"/>
      <c r="AF750" s="43"/>
      <c r="AG750" s="43"/>
      <c r="AH750" s="43"/>
      <c r="AI750" s="43"/>
      <c r="AJ750" s="43"/>
    </row>
    <row r="751">
      <c r="A751" s="188"/>
      <c r="B751" s="90"/>
      <c r="C751" s="189"/>
      <c r="D751" s="210"/>
      <c r="E751" s="60"/>
      <c r="F751" s="210"/>
      <c r="G751" s="190"/>
      <c r="H751" s="60"/>
      <c r="I751" s="95"/>
      <c r="J751" s="96"/>
      <c r="K751" s="95"/>
      <c r="L751" s="96"/>
      <c r="M751" s="96"/>
      <c r="N751" s="95"/>
      <c r="O751" s="95"/>
      <c r="P751" s="95"/>
      <c r="Q751" s="95"/>
      <c r="R751" s="60"/>
      <c r="S751" s="60"/>
      <c r="T751" s="60"/>
      <c r="U751" s="60"/>
      <c r="V751" s="60"/>
      <c r="W751" s="60"/>
      <c r="X751" s="60"/>
      <c r="Y751" s="60"/>
      <c r="Z751" s="60"/>
      <c r="AA751" s="60"/>
      <c r="AB751" s="60"/>
      <c r="AC751" s="60"/>
      <c r="AD751" s="60"/>
      <c r="AE751" s="60"/>
      <c r="AF751" s="60"/>
      <c r="AG751" s="60"/>
      <c r="AH751" s="60"/>
      <c r="AI751" s="60"/>
      <c r="AJ751" s="60"/>
    </row>
    <row r="752">
      <c r="A752" s="185"/>
      <c r="B752" s="67"/>
      <c r="C752" s="186"/>
      <c r="D752" s="209"/>
      <c r="E752" s="43"/>
      <c r="F752" s="209"/>
      <c r="G752" s="187"/>
      <c r="H752" s="43"/>
      <c r="I752" s="98"/>
      <c r="J752" s="99"/>
      <c r="K752" s="98"/>
      <c r="L752" s="99"/>
      <c r="M752" s="99"/>
      <c r="N752" s="98"/>
      <c r="O752" s="98"/>
      <c r="P752" s="98"/>
      <c r="Q752" s="98"/>
      <c r="R752" s="43"/>
      <c r="S752" s="43"/>
      <c r="T752" s="43"/>
      <c r="U752" s="43"/>
      <c r="V752" s="43"/>
      <c r="W752" s="43"/>
      <c r="X752" s="43"/>
      <c r="Y752" s="43"/>
      <c r="Z752" s="43"/>
      <c r="AA752" s="43"/>
      <c r="AB752" s="43"/>
      <c r="AC752" s="43"/>
      <c r="AD752" s="43"/>
      <c r="AE752" s="43"/>
      <c r="AF752" s="43"/>
      <c r="AG752" s="43"/>
      <c r="AH752" s="43"/>
      <c r="AI752" s="43"/>
      <c r="AJ752" s="43"/>
    </row>
    <row r="753">
      <c r="A753" s="188"/>
      <c r="B753" s="90"/>
      <c r="C753" s="189"/>
      <c r="D753" s="210"/>
      <c r="E753" s="60"/>
      <c r="F753" s="210"/>
      <c r="G753" s="190"/>
      <c r="H753" s="60"/>
      <c r="I753" s="95"/>
      <c r="J753" s="96"/>
      <c r="K753" s="95"/>
      <c r="L753" s="96"/>
      <c r="M753" s="96"/>
      <c r="N753" s="95"/>
      <c r="O753" s="95"/>
      <c r="P753" s="95"/>
      <c r="Q753" s="95"/>
      <c r="R753" s="60"/>
      <c r="S753" s="60"/>
      <c r="T753" s="60"/>
      <c r="U753" s="60"/>
      <c r="V753" s="60"/>
      <c r="W753" s="60"/>
      <c r="X753" s="60"/>
      <c r="Y753" s="60"/>
      <c r="Z753" s="60"/>
      <c r="AA753" s="60"/>
      <c r="AB753" s="60"/>
      <c r="AC753" s="60"/>
      <c r="AD753" s="60"/>
      <c r="AE753" s="60"/>
      <c r="AF753" s="60"/>
      <c r="AG753" s="60"/>
      <c r="AH753" s="60"/>
      <c r="AI753" s="60"/>
      <c r="AJ753" s="60"/>
    </row>
    <row r="754">
      <c r="A754" s="185"/>
      <c r="B754" s="67"/>
      <c r="C754" s="186"/>
      <c r="D754" s="209"/>
      <c r="E754" s="43"/>
      <c r="F754" s="209"/>
      <c r="G754" s="187"/>
      <c r="H754" s="43"/>
      <c r="I754" s="98"/>
      <c r="J754" s="99"/>
      <c r="K754" s="98"/>
      <c r="L754" s="99"/>
      <c r="M754" s="99"/>
      <c r="N754" s="98"/>
      <c r="O754" s="98"/>
      <c r="P754" s="98"/>
      <c r="Q754" s="98"/>
      <c r="R754" s="43"/>
      <c r="S754" s="43"/>
      <c r="T754" s="43"/>
      <c r="U754" s="43"/>
      <c r="V754" s="43"/>
      <c r="W754" s="43"/>
      <c r="X754" s="43"/>
      <c r="Y754" s="43"/>
      <c r="Z754" s="43"/>
      <c r="AA754" s="43"/>
      <c r="AB754" s="43"/>
      <c r="AC754" s="43"/>
      <c r="AD754" s="43"/>
      <c r="AE754" s="43"/>
      <c r="AF754" s="43"/>
      <c r="AG754" s="43"/>
      <c r="AH754" s="43"/>
      <c r="AI754" s="43"/>
      <c r="AJ754" s="43"/>
    </row>
    <row r="755">
      <c r="A755" s="188"/>
      <c r="B755" s="90"/>
      <c r="C755" s="189"/>
      <c r="D755" s="210"/>
      <c r="E755" s="60"/>
      <c r="F755" s="210"/>
      <c r="G755" s="190"/>
      <c r="H755" s="60"/>
      <c r="I755" s="95"/>
      <c r="J755" s="96"/>
      <c r="K755" s="95"/>
      <c r="L755" s="96"/>
      <c r="M755" s="96"/>
      <c r="N755" s="95"/>
      <c r="O755" s="95"/>
      <c r="P755" s="95"/>
      <c r="Q755" s="95"/>
      <c r="R755" s="60"/>
      <c r="S755" s="60"/>
      <c r="T755" s="60"/>
      <c r="U755" s="60"/>
      <c r="V755" s="60"/>
      <c r="W755" s="60"/>
      <c r="X755" s="60"/>
      <c r="Y755" s="60"/>
      <c r="Z755" s="60"/>
      <c r="AA755" s="60"/>
      <c r="AB755" s="60"/>
      <c r="AC755" s="60"/>
      <c r="AD755" s="60"/>
      <c r="AE755" s="60"/>
      <c r="AF755" s="60"/>
      <c r="AG755" s="60"/>
      <c r="AH755" s="60"/>
      <c r="AI755" s="60"/>
      <c r="AJ755" s="60"/>
    </row>
    <row r="756">
      <c r="A756" s="185"/>
      <c r="B756" s="67"/>
      <c r="C756" s="186"/>
      <c r="D756" s="209"/>
      <c r="E756" s="43"/>
      <c r="F756" s="209"/>
      <c r="G756" s="187"/>
      <c r="H756" s="43"/>
      <c r="I756" s="98"/>
      <c r="J756" s="99"/>
      <c r="K756" s="98"/>
      <c r="L756" s="99"/>
      <c r="M756" s="99"/>
      <c r="N756" s="98"/>
      <c r="O756" s="98"/>
      <c r="P756" s="98"/>
      <c r="Q756" s="98"/>
      <c r="R756" s="43"/>
      <c r="S756" s="43"/>
      <c r="T756" s="43"/>
      <c r="U756" s="43"/>
      <c r="V756" s="43"/>
      <c r="W756" s="43"/>
      <c r="X756" s="43"/>
      <c r="Y756" s="43"/>
      <c r="Z756" s="43"/>
      <c r="AA756" s="43"/>
      <c r="AB756" s="43"/>
      <c r="AC756" s="43"/>
      <c r="AD756" s="43"/>
      <c r="AE756" s="43"/>
      <c r="AF756" s="43"/>
      <c r="AG756" s="43"/>
      <c r="AH756" s="43"/>
      <c r="AI756" s="43"/>
      <c r="AJ756" s="43"/>
    </row>
    <row r="757">
      <c r="A757" s="188"/>
      <c r="B757" s="90"/>
      <c r="C757" s="189"/>
      <c r="D757" s="210"/>
      <c r="E757" s="60"/>
      <c r="F757" s="210"/>
      <c r="G757" s="190"/>
      <c r="H757" s="60"/>
      <c r="I757" s="95"/>
      <c r="J757" s="96"/>
      <c r="K757" s="95"/>
      <c r="L757" s="96"/>
      <c r="M757" s="96"/>
      <c r="N757" s="95"/>
      <c r="O757" s="95"/>
      <c r="P757" s="95"/>
      <c r="Q757" s="95"/>
      <c r="R757" s="60"/>
      <c r="S757" s="60"/>
      <c r="T757" s="60"/>
      <c r="U757" s="60"/>
      <c r="V757" s="60"/>
      <c r="W757" s="60"/>
      <c r="X757" s="60"/>
      <c r="Y757" s="60"/>
      <c r="Z757" s="60"/>
      <c r="AA757" s="60"/>
      <c r="AB757" s="60"/>
      <c r="AC757" s="60"/>
      <c r="AD757" s="60"/>
      <c r="AE757" s="60"/>
      <c r="AF757" s="60"/>
      <c r="AG757" s="60"/>
      <c r="AH757" s="60"/>
      <c r="AI757" s="60"/>
      <c r="AJ757" s="60"/>
    </row>
    <row r="758">
      <c r="A758" s="185"/>
      <c r="B758" s="67"/>
      <c r="C758" s="186"/>
      <c r="D758" s="209"/>
      <c r="E758" s="43"/>
      <c r="F758" s="209"/>
      <c r="G758" s="187"/>
      <c r="H758" s="43"/>
      <c r="I758" s="98"/>
      <c r="J758" s="99"/>
      <c r="K758" s="98"/>
      <c r="L758" s="99"/>
      <c r="M758" s="99"/>
      <c r="N758" s="98"/>
      <c r="O758" s="98"/>
      <c r="P758" s="98"/>
      <c r="Q758" s="98"/>
      <c r="R758" s="43"/>
      <c r="S758" s="43"/>
      <c r="T758" s="43"/>
      <c r="U758" s="43"/>
      <c r="V758" s="43"/>
      <c r="W758" s="43"/>
      <c r="X758" s="43"/>
      <c r="Y758" s="43"/>
      <c r="Z758" s="43"/>
      <c r="AA758" s="43"/>
      <c r="AB758" s="43"/>
      <c r="AC758" s="43"/>
      <c r="AD758" s="43"/>
      <c r="AE758" s="43"/>
      <c r="AF758" s="43"/>
      <c r="AG758" s="43"/>
      <c r="AH758" s="43"/>
      <c r="AI758" s="43"/>
      <c r="AJ758" s="43"/>
    </row>
    <row r="759">
      <c r="A759" s="188"/>
      <c r="B759" s="90"/>
      <c r="C759" s="189"/>
      <c r="D759" s="210"/>
      <c r="E759" s="60"/>
      <c r="F759" s="210"/>
      <c r="G759" s="190"/>
      <c r="H759" s="60"/>
      <c r="I759" s="95"/>
      <c r="J759" s="96"/>
      <c r="K759" s="95"/>
      <c r="L759" s="96"/>
      <c r="M759" s="96"/>
      <c r="N759" s="95"/>
      <c r="O759" s="95"/>
      <c r="P759" s="95"/>
      <c r="Q759" s="95"/>
      <c r="R759" s="60"/>
      <c r="S759" s="60"/>
      <c r="T759" s="60"/>
      <c r="U759" s="60"/>
      <c r="V759" s="60"/>
      <c r="W759" s="60"/>
      <c r="X759" s="60"/>
      <c r="Y759" s="60"/>
      <c r="Z759" s="60"/>
      <c r="AA759" s="60"/>
      <c r="AB759" s="60"/>
      <c r="AC759" s="60"/>
      <c r="AD759" s="60"/>
      <c r="AE759" s="60"/>
      <c r="AF759" s="60"/>
      <c r="AG759" s="60"/>
      <c r="AH759" s="60"/>
      <c r="AI759" s="60"/>
      <c r="AJ759" s="60"/>
    </row>
    <row r="760">
      <c r="A760" s="185"/>
      <c r="B760" s="67"/>
      <c r="C760" s="186"/>
      <c r="D760" s="209"/>
      <c r="E760" s="43"/>
      <c r="F760" s="209"/>
      <c r="G760" s="187"/>
      <c r="H760" s="43"/>
      <c r="I760" s="98"/>
      <c r="J760" s="99"/>
      <c r="K760" s="98"/>
      <c r="L760" s="99"/>
      <c r="M760" s="99"/>
      <c r="N760" s="98"/>
      <c r="O760" s="98"/>
      <c r="P760" s="98"/>
      <c r="Q760" s="98"/>
      <c r="R760" s="43"/>
      <c r="S760" s="43"/>
      <c r="T760" s="43"/>
      <c r="U760" s="43"/>
      <c r="V760" s="43"/>
      <c r="W760" s="43"/>
      <c r="X760" s="43"/>
      <c r="Y760" s="43"/>
      <c r="Z760" s="43"/>
      <c r="AA760" s="43"/>
      <c r="AB760" s="43"/>
      <c r="AC760" s="43"/>
      <c r="AD760" s="43"/>
      <c r="AE760" s="43"/>
      <c r="AF760" s="43"/>
      <c r="AG760" s="43"/>
      <c r="AH760" s="43"/>
      <c r="AI760" s="43"/>
      <c r="AJ760" s="43"/>
    </row>
    <row r="761">
      <c r="A761" s="188"/>
      <c r="B761" s="90"/>
      <c r="C761" s="189"/>
      <c r="D761" s="210"/>
      <c r="E761" s="60"/>
      <c r="F761" s="210"/>
      <c r="G761" s="190"/>
      <c r="H761" s="60"/>
      <c r="I761" s="95"/>
      <c r="J761" s="96"/>
      <c r="K761" s="95"/>
      <c r="L761" s="96"/>
      <c r="M761" s="96"/>
      <c r="N761" s="95"/>
      <c r="O761" s="95"/>
      <c r="P761" s="95"/>
      <c r="Q761" s="95"/>
      <c r="R761" s="60"/>
      <c r="S761" s="60"/>
      <c r="T761" s="60"/>
      <c r="U761" s="60"/>
      <c r="V761" s="60"/>
      <c r="W761" s="60"/>
      <c r="X761" s="60"/>
      <c r="Y761" s="60"/>
      <c r="Z761" s="60"/>
      <c r="AA761" s="60"/>
      <c r="AB761" s="60"/>
      <c r="AC761" s="60"/>
      <c r="AD761" s="60"/>
      <c r="AE761" s="60"/>
      <c r="AF761" s="60"/>
      <c r="AG761" s="60"/>
      <c r="AH761" s="60"/>
      <c r="AI761" s="60"/>
      <c r="AJ761" s="60"/>
    </row>
    <row r="762">
      <c r="A762" s="185"/>
      <c r="B762" s="67"/>
      <c r="C762" s="186"/>
      <c r="D762" s="209"/>
      <c r="E762" s="43"/>
      <c r="F762" s="209"/>
      <c r="G762" s="187"/>
      <c r="H762" s="43"/>
      <c r="I762" s="98"/>
      <c r="J762" s="99"/>
      <c r="K762" s="98"/>
      <c r="L762" s="99"/>
      <c r="M762" s="99"/>
      <c r="N762" s="98"/>
      <c r="O762" s="98"/>
      <c r="P762" s="98"/>
      <c r="Q762" s="98"/>
      <c r="R762" s="43"/>
      <c r="S762" s="43"/>
      <c r="T762" s="43"/>
      <c r="U762" s="43"/>
      <c r="V762" s="43"/>
      <c r="W762" s="43"/>
      <c r="X762" s="43"/>
      <c r="Y762" s="43"/>
      <c r="Z762" s="43"/>
      <c r="AA762" s="43"/>
      <c r="AB762" s="43"/>
      <c r="AC762" s="43"/>
      <c r="AD762" s="43"/>
      <c r="AE762" s="43"/>
      <c r="AF762" s="43"/>
      <c r="AG762" s="43"/>
      <c r="AH762" s="43"/>
      <c r="AI762" s="43"/>
      <c r="AJ762" s="43"/>
    </row>
    <row r="763">
      <c r="A763" s="188"/>
      <c r="B763" s="90"/>
      <c r="C763" s="189"/>
      <c r="D763" s="210"/>
      <c r="E763" s="60"/>
      <c r="F763" s="210"/>
      <c r="G763" s="190"/>
      <c r="H763" s="60"/>
      <c r="I763" s="95"/>
      <c r="J763" s="96"/>
      <c r="K763" s="95"/>
      <c r="L763" s="96"/>
      <c r="M763" s="96"/>
      <c r="N763" s="95"/>
      <c r="O763" s="95"/>
      <c r="P763" s="95"/>
      <c r="Q763" s="95"/>
      <c r="R763" s="60"/>
      <c r="S763" s="60"/>
      <c r="T763" s="60"/>
      <c r="U763" s="60"/>
      <c r="V763" s="60"/>
      <c r="W763" s="60"/>
      <c r="X763" s="60"/>
      <c r="Y763" s="60"/>
      <c r="Z763" s="60"/>
      <c r="AA763" s="60"/>
      <c r="AB763" s="60"/>
      <c r="AC763" s="60"/>
      <c r="AD763" s="60"/>
      <c r="AE763" s="60"/>
      <c r="AF763" s="60"/>
      <c r="AG763" s="60"/>
      <c r="AH763" s="60"/>
      <c r="AI763" s="60"/>
      <c r="AJ763" s="60"/>
    </row>
    <row r="764">
      <c r="A764" s="185"/>
      <c r="B764" s="67"/>
      <c r="C764" s="186"/>
      <c r="D764" s="209"/>
      <c r="E764" s="43"/>
      <c r="F764" s="209"/>
      <c r="G764" s="187"/>
      <c r="H764" s="43"/>
      <c r="I764" s="98"/>
      <c r="J764" s="99"/>
      <c r="K764" s="98"/>
      <c r="L764" s="99"/>
      <c r="M764" s="99"/>
      <c r="N764" s="98"/>
      <c r="O764" s="98"/>
      <c r="P764" s="98"/>
      <c r="Q764" s="98"/>
      <c r="R764" s="43"/>
      <c r="S764" s="43"/>
      <c r="T764" s="43"/>
      <c r="U764" s="43"/>
      <c r="V764" s="43"/>
      <c r="W764" s="43"/>
      <c r="X764" s="43"/>
      <c r="Y764" s="43"/>
      <c r="Z764" s="43"/>
      <c r="AA764" s="43"/>
      <c r="AB764" s="43"/>
      <c r="AC764" s="43"/>
      <c r="AD764" s="43"/>
      <c r="AE764" s="43"/>
      <c r="AF764" s="43"/>
      <c r="AG764" s="43"/>
      <c r="AH764" s="43"/>
      <c r="AI764" s="43"/>
      <c r="AJ764" s="43"/>
    </row>
    <row r="765">
      <c r="A765" s="188"/>
      <c r="B765" s="90"/>
      <c r="C765" s="189"/>
      <c r="D765" s="210"/>
      <c r="E765" s="60"/>
      <c r="F765" s="210"/>
      <c r="G765" s="190"/>
      <c r="H765" s="60"/>
      <c r="I765" s="95"/>
      <c r="J765" s="96"/>
      <c r="K765" s="95"/>
      <c r="L765" s="96"/>
      <c r="M765" s="96"/>
      <c r="N765" s="95"/>
      <c r="O765" s="95"/>
      <c r="P765" s="95"/>
      <c r="Q765" s="95"/>
      <c r="R765" s="60"/>
      <c r="S765" s="60"/>
      <c r="T765" s="60"/>
      <c r="U765" s="60"/>
      <c r="V765" s="60"/>
      <c r="W765" s="60"/>
      <c r="X765" s="60"/>
      <c r="Y765" s="60"/>
      <c r="Z765" s="60"/>
      <c r="AA765" s="60"/>
      <c r="AB765" s="60"/>
      <c r="AC765" s="60"/>
      <c r="AD765" s="60"/>
      <c r="AE765" s="60"/>
      <c r="AF765" s="60"/>
      <c r="AG765" s="60"/>
      <c r="AH765" s="60"/>
      <c r="AI765" s="60"/>
      <c r="AJ765" s="60"/>
    </row>
    <row r="766">
      <c r="A766" s="185"/>
      <c r="B766" s="67"/>
      <c r="C766" s="186"/>
      <c r="D766" s="209"/>
      <c r="E766" s="43"/>
      <c r="F766" s="209"/>
      <c r="G766" s="187"/>
      <c r="H766" s="43"/>
      <c r="I766" s="98"/>
      <c r="J766" s="99"/>
      <c r="K766" s="98"/>
      <c r="L766" s="99"/>
      <c r="M766" s="99"/>
      <c r="N766" s="98"/>
      <c r="O766" s="98"/>
      <c r="P766" s="98"/>
      <c r="Q766" s="98"/>
      <c r="R766" s="43"/>
      <c r="S766" s="43"/>
      <c r="T766" s="43"/>
      <c r="U766" s="43"/>
      <c r="V766" s="43"/>
      <c r="W766" s="43"/>
      <c r="X766" s="43"/>
      <c r="Y766" s="43"/>
      <c r="Z766" s="43"/>
      <c r="AA766" s="43"/>
      <c r="AB766" s="43"/>
      <c r="AC766" s="43"/>
      <c r="AD766" s="43"/>
      <c r="AE766" s="43"/>
      <c r="AF766" s="43"/>
      <c r="AG766" s="43"/>
      <c r="AH766" s="43"/>
      <c r="AI766" s="43"/>
      <c r="AJ766" s="43"/>
    </row>
    <row r="767">
      <c r="A767" s="188"/>
      <c r="B767" s="90"/>
      <c r="C767" s="189"/>
      <c r="D767" s="210"/>
      <c r="E767" s="60"/>
      <c r="F767" s="210"/>
      <c r="G767" s="190"/>
      <c r="H767" s="60"/>
      <c r="I767" s="95"/>
      <c r="J767" s="96"/>
      <c r="K767" s="95"/>
      <c r="L767" s="96"/>
      <c r="M767" s="96"/>
      <c r="N767" s="95"/>
      <c r="O767" s="95"/>
      <c r="P767" s="95"/>
      <c r="Q767" s="95"/>
      <c r="R767" s="60"/>
      <c r="S767" s="60"/>
      <c r="T767" s="60"/>
      <c r="U767" s="60"/>
      <c r="V767" s="60"/>
      <c r="W767" s="60"/>
      <c r="X767" s="60"/>
      <c r="Y767" s="60"/>
      <c r="Z767" s="60"/>
      <c r="AA767" s="60"/>
      <c r="AB767" s="60"/>
      <c r="AC767" s="60"/>
      <c r="AD767" s="60"/>
      <c r="AE767" s="60"/>
      <c r="AF767" s="60"/>
      <c r="AG767" s="60"/>
      <c r="AH767" s="60"/>
      <c r="AI767" s="60"/>
      <c r="AJ767" s="60"/>
    </row>
    <row r="768">
      <c r="A768" s="185"/>
      <c r="B768" s="67"/>
      <c r="C768" s="186"/>
      <c r="D768" s="209"/>
      <c r="E768" s="43"/>
      <c r="F768" s="209"/>
      <c r="G768" s="187"/>
      <c r="H768" s="43"/>
      <c r="I768" s="98"/>
      <c r="J768" s="99"/>
      <c r="K768" s="98"/>
      <c r="L768" s="99"/>
      <c r="M768" s="99"/>
      <c r="N768" s="98"/>
      <c r="O768" s="98"/>
      <c r="P768" s="98"/>
      <c r="Q768" s="98"/>
      <c r="R768" s="43"/>
      <c r="S768" s="43"/>
      <c r="T768" s="43"/>
      <c r="U768" s="43"/>
      <c r="V768" s="43"/>
      <c r="W768" s="43"/>
      <c r="X768" s="43"/>
      <c r="Y768" s="43"/>
      <c r="Z768" s="43"/>
      <c r="AA768" s="43"/>
      <c r="AB768" s="43"/>
      <c r="AC768" s="43"/>
      <c r="AD768" s="43"/>
      <c r="AE768" s="43"/>
      <c r="AF768" s="43"/>
      <c r="AG768" s="43"/>
      <c r="AH768" s="43"/>
      <c r="AI768" s="43"/>
      <c r="AJ768" s="43"/>
    </row>
    <row r="769">
      <c r="A769" s="188"/>
      <c r="B769" s="90"/>
      <c r="C769" s="189"/>
      <c r="D769" s="210"/>
      <c r="E769" s="60"/>
      <c r="F769" s="210"/>
      <c r="G769" s="190"/>
      <c r="H769" s="60"/>
      <c r="I769" s="95"/>
      <c r="J769" s="96"/>
      <c r="K769" s="95"/>
      <c r="L769" s="96"/>
      <c r="M769" s="96"/>
      <c r="N769" s="95"/>
      <c r="O769" s="95"/>
      <c r="P769" s="95"/>
      <c r="Q769" s="95"/>
      <c r="R769" s="60"/>
      <c r="S769" s="60"/>
      <c r="T769" s="60"/>
      <c r="U769" s="60"/>
      <c r="V769" s="60"/>
      <c r="W769" s="60"/>
      <c r="X769" s="60"/>
      <c r="Y769" s="60"/>
      <c r="Z769" s="60"/>
      <c r="AA769" s="60"/>
      <c r="AB769" s="60"/>
      <c r="AC769" s="60"/>
      <c r="AD769" s="60"/>
      <c r="AE769" s="60"/>
      <c r="AF769" s="60"/>
      <c r="AG769" s="60"/>
      <c r="AH769" s="60"/>
      <c r="AI769" s="60"/>
      <c r="AJ769" s="60"/>
    </row>
    <row r="770">
      <c r="A770" s="185"/>
      <c r="B770" s="67"/>
      <c r="C770" s="186"/>
      <c r="D770" s="209"/>
      <c r="E770" s="43"/>
      <c r="F770" s="209"/>
      <c r="G770" s="187"/>
      <c r="H770" s="43"/>
      <c r="I770" s="98"/>
      <c r="J770" s="99"/>
      <c r="K770" s="98"/>
      <c r="L770" s="99"/>
      <c r="M770" s="99"/>
      <c r="N770" s="98"/>
      <c r="O770" s="98"/>
      <c r="P770" s="98"/>
      <c r="Q770" s="98"/>
      <c r="R770" s="43"/>
      <c r="S770" s="43"/>
      <c r="T770" s="43"/>
      <c r="U770" s="43"/>
      <c r="V770" s="43"/>
      <c r="W770" s="43"/>
      <c r="X770" s="43"/>
      <c r="Y770" s="43"/>
      <c r="Z770" s="43"/>
      <c r="AA770" s="43"/>
      <c r="AB770" s="43"/>
      <c r="AC770" s="43"/>
      <c r="AD770" s="43"/>
      <c r="AE770" s="43"/>
      <c r="AF770" s="43"/>
      <c r="AG770" s="43"/>
      <c r="AH770" s="43"/>
      <c r="AI770" s="43"/>
      <c r="AJ770" s="43"/>
    </row>
    <row r="771">
      <c r="A771" s="188"/>
      <c r="B771" s="90"/>
      <c r="C771" s="189"/>
      <c r="D771" s="210"/>
      <c r="E771" s="60"/>
      <c r="F771" s="210"/>
      <c r="G771" s="190"/>
      <c r="H771" s="60"/>
      <c r="I771" s="95"/>
      <c r="J771" s="96"/>
      <c r="K771" s="95"/>
      <c r="L771" s="96"/>
      <c r="M771" s="96"/>
      <c r="N771" s="95"/>
      <c r="O771" s="95"/>
      <c r="P771" s="95"/>
      <c r="Q771" s="95"/>
      <c r="R771" s="60"/>
      <c r="S771" s="60"/>
      <c r="T771" s="60"/>
      <c r="U771" s="60"/>
      <c r="V771" s="60"/>
      <c r="W771" s="60"/>
      <c r="X771" s="60"/>
      <c r="Y771" s="60"/>
      <c r="Z771" s="60"/>
      <c r="AA771" s="60"/>
      <c r="AB771" s="60"/>
      <c r="AC771" s="60"/>
      <c r="AD771" s="60"/>
      <c r="AE771" s="60"/>
      <c r="AF771" s="60"/>
      <c r="AG771" s="60"/>
      <c r="AH771" s="60"/>
      <c r="AI771" s="60"/>
      <c r="AJ771" s="60"/>
    </row>
    <row r="772">
      <c r="A772" s="185"/>
      <c r="B772" s="67"/>
      <c r="C772" s="186"/>
      <c r="D772" s="209"/>
      <c r="E772" s="43"/>
      <c r="F772" s="209"/>
      <c r="G772" s="187"/>
      <c r="H772" s="43"/>
      <c r="I772" s="98"/>
      <c r="J772" s="99"/>
      <c r="K772" s="98"/>
      <c r="L772" s="99"/>
      <c r="M772" s="99"/>
      <c r="N772" s="98"/>
      <c r="O772" s="98"/>
      <c r="P772" s="98"/>
      <c r="Q772" s="98"/>
      <c r="R772" s="43"/>
      <c r="S772" s="43"/>
      <c r="T772" s="43"/>
      <c r="U772" s="43"/>
      <c r="V772" s="43"/>
      <c r="W772" s="43"/>
      <c r="X772" s="43"/>
      <c r="Y772" s="43"/>
      <c r="Z772" s="43"/>
      <c r="AA772" s="43"/>
      <c r="AB772" s="43"/>
      <c r="AC772" s="43"/>
      <c r="AD772" s="43"/>
      <c r="AE772" s="43"/>
      <c r="AF772" s="43"/>
      <c r="AG772" s="43"/>
      <c r="AH772" s="43"/>
      <c r="AI772" s="43"/>
      <c r="AJ772" s="43"/>
    </row>
    <row r="773">
      <c r="A773" s="188"/>
      <c r="B773" s="90"/>
      <c r="C773" s="189"/>
      <c r="D773" s="210"/>
      <c r="E773" s="60"/>
      <c r="F773" s="210"/>
      <c r="G773" s="190"/>
      <c r="H773" s="60"/>
      <c r="I773" s="95"/>
      <c r="J773" s="96"/>
      <c r="K773" s="95"/>
      <c r="L773" s="96"/>
      <c r="M773" s="96"/>
      <c r="N773" s="95"/>
      <c r="O773" s="95"/>
      <c r="P773" s="95"/>
      <c r="Q773" s="95"/>
      <c r="R773" s="60"/>
      <c r="S773" s="60"/>
      <c r="T773" s="60"/>
      <c r="U773" s="60"/>
      <c r="V773" s="60"/>
      <c r="W773" s="60"/>
      <c r="X773" s="60"/>
      <c r="Y773" s="60"/>
      <c r="Z773" s="60"/>
      <c r="AA773" s="60"/>
      <c r="AB773" s="60"/>
      <c r="AC773" s="60"/>
      <c r="AD773" s="60"/>
      <c r="AE773" s="60"/>
      <c r="AF773" s="60"/>
      <c r="AG773" s="60"/>
      <c r="AH773" s="60"/>
      <c r="AI773" s="60"/>
      <c r="AJ773" s="60"/>
    </row>
    <row r="774">
      <c r="A774" s="185"/>
      <c r="B774" s="67"/>
      <c r="C774" s="186"/>
      <c r="D774" s="209"/>
      <c r="E774" s="43"/>
      <c r="F774" s="209"/>
      <c r="G774" s="187"/>
      <c r="H774" s="43"/>
      <c r="I774" s="98"/>
      <c r="J774" s="99"/>
      <c r="K774" s="98"/>
      <c r="L774" s="99"/>
      <c r="M774" s="99"/>
      <c r="N774" s="98"/>
      <c r="O774" s="98"/>
      <c r="P774" s="98"/>
      <c r="Q774" s="98"/>
      <c r="R774" s="43"/>
      <c r="S774" s="43"/>
      <c r="T774" s="43"/>
      <c r="U774" s="43"/>
      <c r="V774" s="43"/>
      <c r="W774" s="43"/>
      <c r="X774" s="43"/>
      <c r="Y774" s="43"/>
      <c r="Z774" s="43"/>
      <c r="AA774" s="43"/>
      <c r="AB774" s="43"/>
      <c r="AC774" s="43"/>
      <c r="AD774" s="43"/>
      <c r="AE774" s="43"/>
      <c r="AF774" s="43"/>
      <c r="AG774" s="43"/>
      <c r="AH774" s="43"/>
      <c r="AI774" s="43"/>
      <c r="AJ774" s="43"/>
    </row>
    <row r="775">
      <c r="A775" s="188"/>
      <c r="B775" s="90"/>
      <c r="C775" s="189"/>
      <c r="D775" s="210"/>
      <c r="E775" s="60"/>
      <c r="F775" s="210"/>
      <c r="G775" s="190"/>
      <c r="H775" s="60"/>
      <c r="I775" s="95"/>
      <c r="J775" s="96"/>
      <c r="K775" s="95"/>
      <c r="L775" s="96"/>
      <c r="M775" s="96"/>
      <c r="N775" s="95"/>
      <c r="O775" s="95"/>
      <c r="P775" s="95"/>
      <c r="Q775" s="95"/>
      <c r="R775" s="60"/>
      <c r="S775" s="60"/>
      <c r="T775" s="60"/>
      <c r="U775" s="60"/>
      <c r="V775" s="60"/>
      <c r="W775" s="60"/>
      <c r="X775" s="60"/>
      <c r="Y775" s="60"/>
      <c r="Z775" s="60"/>
      <c r="AA775" s="60"/>
      <c r="AB775" s="60"/>
      <c r="AC775" s="60"/>
      <c r="AD775" s="60"/>
      <c r="AE775" s="60"/>
      <c r="AF775" s="60"/>
      <c r="AG775" s="60"/>
      <c r="AH775" s="60"/>
      <c r="AI775" s="60"/>
      <c r="AJ775" s="60"/>
    </row>
    <row r="776">
      <c r="A776" s="185"/>
      <c r="B776" s="67"/>
      <c r="C776" s="186"/>
      <c r="D776" s="209"/>
      <c r="E776" s="43"/>
      <c r="F776" s="209"/>
      <c r="G776" s="187"/>
      <c r="H776" s="43"/>
      <c r="I776" s="98"/>
      <c r="J776" s="99"/>
      <c r="K776" s="98"/>
      <c r="L776" s="99"/>
      <c r="M776" s="99"/>
      <c r="N776" s="98"/>
      <c r="O776" s="98"/>
      <c r="P776" s="98"/>
      <c r="Q776" s="98"/>
      <c r="R776" s="43"/>
      <c r="S776" s="43"/>
      <c r="T776" s="43"/>
      <c r="U776" s="43"/>
      <c r="V776" s="43"/>
      <c r="W776" s="43"/>
      <c r="X776" s="43"/>
      <c r="Y776" s="43"/>
      <c r="Z776" s="43"/>
      <c r="AA776" s="43"/>
      <c r="AB776" s="43"/>
      <c r="AC776" s="43"/>
      <c r="AD776" s="43"/>
      <c r="AE776" s="43"/>
      <c r="AF776" s="43"/>
      <c r="AG776" s="43"/>
      <c r="AH776" s="43"/>
      <c r="AI776" s="43"/>
      <c r="AJ776" s="43"/>
    </row>
    <row r="777">
      <c r="A777" s="188"/>
      <c r="B777" s="90"/>
      <c r="C777" s="189"/>
      <c r="D777" s="210"/>
      <c r="E777" s="60"/>
      <c r="F777" s="210"/>
      <c r="G777" s="190"/>
      <c r="H777" s="60"/>
      <c r="I777" s="95"/>
      <c r="J777" s="96"/>
      <c r="K777" s="95"/>
      <c r="L777" s="96"/>
      <c r="M777" s="96"/>
      <c r="N777" s="95"/>
      <c r="O777" s="95"/>
      <c r="P777" s="95"/>
      <c r="Q777" s="95"/>
      <c r="R777" s="60"/>
      <c r="S777" s="60"/>
      <c r="T777" s="60"/>
      <c r="U777" s="60"/>
      <c r="V777" s="60"/>
      <c r="W777" s="60"/>
      <c r="X777" s="60"/>
      <c r="Y777" s="60"/>
      <c r="Z777" s="60"/>
      <c r="AA777" s="60"/>
      <c r="AB777" s="60"/>
      <c r="AC777" s="60"/>
      <c r="AD777" s="60"/>
      <c r="AE777" s="60"/>
      <c r="AF777" s="60"/>
      <c r="AG777" s="60"/>
      <c r="AH777" s="60"/>
      <c r="AI777" s="60"/>
      <c r="AJ777" s="60"/>
    </row>
    <row r="778">
      <c r="A778" s="185"/>
      <c r="B778" s="67"/>
      <c r="C778" s="186"/>
      <c r="D778" s="209"/>
      <c r="E778" s="43"/>
      <c r="F778" s="209"/>
      <c r="G778" s="187"/>
      <c r="H778" s="43"/>
      <c r="I778" s="98"/>
      <c r="J778" s="99"/>
      <c r="K778" s="98"/>
      <c r="L778" s="99"/>
      <c r="M778" s="99"/>
      <c r="N778" s="98"/>
      <c r="O778" s="98"/>
      <c r="P778" s="98"/>
      <c r="Q778" s="98"/>
      <c r="R778" s="43"/>
      <c r="S778" s="43"/>
      <c r="T778" s="43"/>
      <c r="U778" s="43"/>
      <c r="V778" s="43"/>
      <c r="W778" s="43"/>
      <c r="X778" s="43"/>
      <c r="Y778" s="43"/>
      <c r="Z778" s="43"/>
      <c r="AA778" s="43"/>
      <c r="AB778" s="43"/>
      <c r="AC778" s="43"/>
      <c r="AD778" s="43"/>
      <c r="AE778" s="43"/>
      <c r="AF778" s="43"/>
      <c r="AG778" s="43"/>
      <c r="AH778" s="43"/>
      <c r="AI778" s="43"/>
      <c r="AJ778" s="43"/>
    </row>
    <row r="779">
      <c r="A779" s="188"/>
      <c r="B779" s="90"/>
      <c r="C779" s="189"/>
      <c r="D779" s="210"/>
      <c r="E779" s="60"/>
      <c r="F779" s="210"/>
      <c r="G779" s="190"/>
      <c r="H779" s="60"/>
      <c r="I779" s="95"/>
      <c r="J779" s="96"/>
      <c r="K779" s="95"/>
      <c r="L779" s="96"/>
      <c r="M779" s="96"/>
      <c r="N779" s="95"/>
      <c r="O779" s="95"/>
      <c r="P779" s="95"/>
      <c r="Q779" s="95"/>
      <c r="R779" s="60"/>
      <c r="S779" s="60"/>
      <c r="T779" s="60"/>
      <c r="U779" s="60"/>
      <c r="V779" s="60"/>
      <c r="W779" s="60"/>
      <c r="X779" s="60"/>
      <c r="Y779" s="60"/>
      <c r="Z779" s="60"/>
      <c r="AA779" s="60"/>
      <c r="AB779" s="60"/>
      <c r="AC779" s="60"/>
      <c r="AD779" s="60"/>
      <c r="AE779" s="60"/>
      <c r="AF779" s="60"/>
      <c r="AG779" s="60"/>
      <c r="AH779" s="60"/>
      <c r="AI779" s="60"/>
      <c r="AJ779" s="60"/>
    </row>
    <row r="780">
      <c r="A780" s="185"/>
      <c r="B780" s="67"/>
      <c r="C780" s="186"/>
      <c r="D780" s="209"/>
      <c r="E780" s="43"/>
      <c r="F780" s="209"/>
      <c r="G780" s="187"/>
      <c r="H780" s="43"/>
      <c r="I780" s="98"/>
      <c r="J780" s="99"/>
      <c r="K780" s="98"/>
      <c r="L780" s="99"/>
      <c r="M780" s="99"/>
      <c r="N780" s="98"/>
      <c r="O780" s="98"/>
      <c r="P780" s="98"/>
      <c r="Q780" s="98"/>
      <c r="R780" s="43"/>
      <c r="S780" s="43"/>
      <c r="T780" s="43"/>
      <c r="U780" s="43"/>
      <c r="V780" s="43"/>
      <c r="W780" s="43"/>
      <c r="X780" s="43"/>
      <c r="Y780" s="43"/>
      <c r="Z780" s="43"/>
      <c r="AA780" s="43"/>
      <c r="AB780" s="43"/>
      <c r="AC780" s="43"/>
      <c r="AD780" s="43"/>
      <c r="AE780" s="43"/>
      <c r="AF780" s="43"/>
      <c r="AG780" s="43"/>
      <c r="AH780" s="43"/>
      <c r="AI780" s="43"/>
      <c r="AJ780" s="43"/>
    </row>
    <row r="781">
      <c r="A781" s="188"/>
      <c r="B781" s="90"/>
      <c r="C781" s="189"/>
      <c r="D781" s="210"/>
      <c r="E781" s="60"/>
      <c r="F781" s="210"/>
      <c r="G781" s="190"/>
      <c r="H781" s="60"/>
      <c r="I781" s="95"/>
      <c r="J781" s="96"/>
      <c r="K781" s="95"/>
      <c r="L781" s="96"/>
      <c r="M781" s="96"/>
      <c r="N781" s="95"/>
      <c r="O781" s="95"/>
      <c r="P781" s="95"/>
      <c r="Q781" s="95"/>
      <c r="R781" s="60"/>
      <c r="S781" s="60"/>
      <c r="T781" s="60"/>
      <c r="U781" s="60"/>
      <c r="V781" s="60"/>
      <c r="W781" s="60"/>
      <c r="X781" s="60"/>
      <c r="Y781" s="60"/>
      <c r="Z781" s="60"/>
      <c r="AA781" s="60"/>
      <c r="AB781" s="60"/>
      <c r="AC781" s="60"/>
      <c r="AD781" s="60"/>
      <c r="AE781" s="60"/>
      <c r="AF781" s="60"/>
      <c r="AG781" s="60"/>
      <c r="AH781" s="60"/>
      <c r="AI781" s="60"/>
      <c r="AJ781" s="60"/>
    </row>
    <row r="782">
      <c r="A782" s="185"/>
      <c r="B782" s="67"/>
      <c r="C782" s="186"/>
      <c r="D782" s="209"/>
      <c r="E782" s="43"/>
      <c r="F782" s="209"/>
      <c r="G782" s="187"/>
      <c r="H782" s="43"/>
      <c r="I782" s="98"/>
      <c r="J782" s="99"/>
      <c r="K782" s="98"/>
      <c r="L782" s="99"/>
      <c r="M782" s="99"/>
      <c r="N782" s="98"/>
      <c r="O782" s="98"/>
      <c r="P782" s="98"/>
      <c r="Q782" s="98"/>
      <c r="R782" s="43"/>
      <c r="S782" s="43"/>
      <c r="T782" s="43"/>
      <c r="U782" s="43"/>
      <c r="V782" s="43"/>
      <c r="W782" s="43"/>
      <c r="X782" s="43"/>
      <c r="Y782" s="43"/>
      <c r="Z782" s="43"/>
      <c r="AA782" s="43"/>
      <c r="AB782" s="43"/>
      <c r="AC782" s="43"/>
      <c r="AD782" s="43"/>
      <c r="AE782" s="43"/>
      <c r="AF782" s="43"/>
      <c r="AG782" s="43"/>
      <c r="AH782" s="43"/>
      <c r="AI782" s="43"/>
      <c r="AJ782" s="43"/>
    </row>
    <row r="783">
      <c r="A783" s="188"/>
      <c r="B783" s="90"/>
      <c r="C783" s="189"/>
      <c r="D783" s="210"/>
      <c r="E783" s="60"/>
      <c r="F783" s="210"/>
      <c r="G783" s="190"/>
      <c r="H783" s="60"/>
      <c r="I783" s="95"/>
      <c r="J783" s="96"/>
      <c r="K783" s="95"/>
      <c r="L783" s="96"/>
      <c r="M783" s="96"/>
      <c r="N783" s="95"/>
      <c r="O783" s="95"/>
      <c r="P783" s="95"/>
      <c r="Q783" s="95"/>
      <c r="R783" s="60"/>
      <c r="S783" s="60"/>
      <c r="T783" s="60"/>
      <c r="U783" s="60"/>
      <c r="V783" s="60"/>
      <c r="W783" s="60"/>
      <c r="X783" s="60"/>
      <c r="Y783" s="60"/>
      <c r="Z783" s="60"/>
      <c r="AA783" s="60"/>
      <c r="AB783" s="60"/>
      <c r="AC783" s="60"/>
      <c r="AD783" s="60"/>
      <c r="AE783" s="60"/>
      <c r="AF783" s="60"/>
      <c r="AG783" s="60"/>
      <c r="AH783" s="60"/>
      <c r="AI783" s="60"/>
      <c r="AJ783" s="60"/>
    </row>
    <row r="784">
      <c r="A784" s="185"/>
      <c r="B784" s="67"/>
      <c r="C784" s="186"/>
      <c r="D784" s="209"/>
      <c r="E784" s="43"/>
      <c r="F784" s="209"/>
      <c r="G784" s="187"/>
      <c r="H784" s="43"/>
      <c r="I784" s="98"/>
      <c r="J784" s="99"/>
      <c r="K784" s="98"/>
      <c r="L784" s="99"/>
      <c r="M784" s="99"/>
      <c r="N784" s="98"/>
      <c r="O784" s="98"/>
      <c r="P784" s="98"/>
      <c r="Q784" s="98"/>
      <c r="R784" s="43"/>
      <c r="S784" s="43"/>
      <c r="T784" s="43"/>
      <c r="U784" s="43"/>
      <c r="V784" s="43"/>
      <c r="W784" s="43"/>
      <c r="X784" s="43"/>
      <c r="Y784" s="43"/>
      <c r="Z784" s="43"/>
      <c r="AA784" s="43"/>
      <c r="AB784" s="43"/>
      <c r="AC784" s="43"/>
      <c r="AD784" s="43"/>
      <c r="AE784" s="43"/>
      <c r="AF784" s="43"/>
      <c r="AG784" s="43"/>
      <c r="AH784" s="43"/>
      <c r="AI784" s="43"/>
      <c r="AJ784" s="43"/>
    </row>
    <row r="785">
      <c r="A785" s="188"/>
      <c r="B785" s="90"/>
      <c r="C785" s="189"/>
      <c r="D785" s="210"/>
      <c r="E785" s="60"/>
      <c r="F785" s="210"/>
      <c r="G785" s="190"/>
      <c r="H785" s="60"/>
      <c r="I785" s="95"/>
      <c r="J785" s="96"/>
      <c r="K785" s="95"/>
      <c r="L785" s="96"/>
      <c r="M785" s="96"/>
      <c r="N785" s="95"/>
      <c r="O785" s="95"/>
      <c r="P785" s="95"/>
      <c r="Q785" s="95"/>
      <c r="R785" s="60"/>
      <c r="S785" s="60"/>
      <c r="T785" s="60"/>
      <c r="U785" s="60"/>
      <c r="V785" s="60"/>
      <c r="W785" s="60"/>
      <c r="X785" s="60"/>
      <c r="Y785" s="60"/>
      <c r="Z785" s="60"/>
      <c r="AA785" s="60"/>
      <c r="AB785" s="60"/>
      <c r="AC785" s="60"/>
      <c r="AD785" s="60"/>
      <c r="AE785" s="60"/>
      <c r="AF785" s="60"/>
      <c r="AG785" s="60"/>
      <c r="AH785" s="60"/>
      <c r="AI785" s="60"/>
      <c r="AJ785" s="60"/>
    </row>
    <row r="786">
      <c r="A786" s="185"/>
      <c r="B786" s="67"/>
      <c r="C786" s="186"/>
      <c r="D786" s="209"/>
      <c r="E786" s="43"/>
      <c r="F786" s="209"/>
      <c r="G786" s="187"/>
      <c r="H786" s="43"/>
      <c r="I786" s="98"/>
      <c r="J786" s="99"/>
      <c r="K786" s="98"/>
      <c r="L786" s="99"/>
      <c r="M786" s="99"/>
      <c r="N786" s="98"/>
      <c r="O786" s="98"/>
      <c r="P786" s="98"/>
      <c r="Q786" s="98"/>
      <c r="R786" s="43"/>
      <c r="S786" s="43"/>
      <c r="T786" s="43"/>
      <c r="U786" s="43"/>
      <c r="V786" s="43"/>
      <c r="W786" s="43"/>
      <c r="X786" s="43"/>
      <c r="Y786" s="43"/>
      <c r="Z786" s="43"/>
      <c r="AA786" s="43"/>
      <c r="AB786" s="43"/>
      <c r="AC786" s="43"/>
      <c r="AD786" s="43"/>
      <c r="AE786" s="43"/>
      <c r="AF786" s="43"/>
      <c r="AG786" s="43"/>
      <c r="AH786" s="43"/>
      <c r="AI786" s="43"/>
      <c r="AJ786" s="43"/>
    </row>
    <row r="787">
      <c r="A787" s="188"/>
      <c r="B787" s="90"/>
      <c r="C787" s="189"/>
      <c r="D787" s="210"/>
      <c r="E787" s="60"/>
      <c r="F787" s="210"/>
      <c r="G787" s="190"/>
      <c r="H787" s="60"/>
      <c r="I787" s="95"/>
      <c r="J787" s="96"/>
      <c r="K787" s="95"/>
      <c r="L787" s="96"/>
      <c r="M787" s="96"/>
      <c r="N787" s="95"/>
      <c r="O787" s="95"/>
      <c r="P787" s="95"/>
      <c r="Q787" s="95"/>
      <c r="R787" s="60"/>
      <c r="S787" s="60"/>
      <c r="T787" s="60"/>
      <c r="U787" s="60"/>
      <c r="V787" s="60"/>
      <c r="W787" s="60"/>
      <c r="X787" s="60"/>
      <c r="Y787" s="60"/>
      <c r="Z787" s="60"/>
      <c r="AA787" s="60"/>
      <c r="AB787" s="60"/>
      <c r="AC787" s="60"/>
      <c r="AD787" s="60"/>
      <c r="AE787" s="60"/>
      <c r="AF787" s="60"/>
      <c r="AG787" s="60"/>
      <c r="AH787" s="60"/>
      <c r="AI787" s="60"/>
      <c r="AJ787" s="60"/>
    </row>
    <row r="788">
      <c r="A788" s="185"/>
      <c r="B788" s="67"/>
      <c r="C788" s="186"/>
      <c r="D788" s="209"/>
      <c r="E788" s="43"/>
      <c r="F788" s="209"/>
      <c r="G788" s="187"/>
      <c r="H788" s="43"/>
      <c r="I788" s="98"/>
      <c r="J788" s="99"/>
      <c r="K788" s="98"/>
      <c r="L788" s="99"/>
      <c r="M788" s="99"/>
      <c r="N788" s="98"/>
      <c r="O788" s="98"/>
      <c r="P788" s="98"/>
      <c r="Q788" s="98"/>
      <c r="R788" s="43"/>
      <c r="S788" s="43"/>
      <c r="T788" s="43"/>
      <c r="U788" s="43"/>
      <c r="V788" s="43"/>
      <c r="W788" s="43"/>
      <c r="X788" s="43"/>
      <c r="Y788" s="43"/>
      <c r="Z788" s="43"/>
      <c r="AA788" s="43"/>
      <c r="AB788" s="43"/>
      <c r="AC788" s="43"/>
      <c r="AD788" s="43"/>
      <c r="AE788" s="43"/>
      <c r="AF788" s="43"/>
      <c r="AG788" s="43"/>
      <c r="AH788" s="43"/>
      <c r="AI788" s="43"/>
      <c r="AJ788" s="43"/>
    </row>
    <row r="789">
      <c r="A789" s="188"/>
      <c r="B789" s="90"/>
      <c r="C789" s="189"/>
      <c r="D789" s="210"/>
      <c r="E789" s="60"/>
      <c r="F789" s="210"/>
      <c r="G789" s="190"/>
      <c r="H789" s="60"/>
      <c r="I789" s="95"/>
      <c r="J789" s="96"/>
      <c r="K789" s="95"/>
      <c r="L789" s="96"/>
      <c r="M789" s="96"/>
      <c r="N789" s="95"/>
      <c r="O789" s="95"/>
      <c r="P789" s="95"/>
      <c r="Q789" s="95"/>
      <c r="R789" s="60"/>
      <c r="S789" s="60"/>
      <c r="T789" s="60"/>
      <c r="U789" s="60"/>
      <c r="V789" s="60"/>
      <c r="W789" s="60"/>
      <c r="X789" s="60"/>
      <c r="Y789" s="60"/>
      <c r="Z789" s="60"/>
      <c r="AA789" s="60"/>
      <c r="AB789" s="60"/>
      <c r="AC789" s="60"/>
      <c r="AD789" s="60"/>
      <c r="AE789" s="60"/>
      <c r="AF789" s="60"/>
      <c r="AG789" s="60"/>
      <c r="AH789" s="60"/>
      <c r="AI789" s="60"/>
      <c r="AJ789" s="60"/>
    </row>
    <row r="790">
      <c r="A790" s="185"/>
      <c r="B790" s="67"/>
      <c r="C790" s="186"/>
      <c r="D790" s="209"/>
      <c r="E790" s="43"/>
      <c r="F790" s="209"/>
      <c r="G790" s="187"/>
      <c r="H790" s="43"/>
      <c r="I790" s="98"/>
      <c r="J790" s="99"/>
      <c r="K790" s="98"/>
      <c r="L790" s="99"/>
      <c r="M790" s="99"/>
      <c r="N790" s="98"/>
      <c r="O790" s="98"/>
      <c r="P790" s="98"/>
      <c r="Q790" s="98"/>
      <c r="R790" s="43"/>
      <c r="S790" s="43"/>
      <c r="T790" s="43"/>
      <c r="U790" s="43"/>
      <c r="V790" s="43"/>
      <c r="W790" s="43"/>
      <c r="X790" s="43"/>
      <c r="Y790" s="43"/>
      <c r="Z790" s="43"/>
      <c r="AA790" s="43"/>
      <c r="AB790" s="43"/>
      <c r="AC790" s="43"/>
      <c r="AD790" s="43"/>
      <c r="AE790" s="43"/>
      <c r="AF790" s="43"/>
      <c r="AG790" s="43"/>
      <c r="AH790" s="43"/>
      <c r="AI790" s="43"/>
      <c r="AJ790" s="43"/>
    </row>
    <row r="791">
      <c r="A791" s="188"/>
      <c r="B791" s="90"/>
      <c r="C791" s="189"/>
      <c r="D791" s="210"/>
      <c r="E791" s="60"/>
      <c r="F791" s="210"/>
      <c r="G791" s="190"/>
      <c r="H791" s="60"/>
      <c r="I791" s="95"/>
      <c r="J791" s="96"/>
      <c r="K791" s="95"/>
      <c r="L791" s="96"/>
      <c r="M791" s="96"/>
      <c r="N791" s="95"/>
      <c r="O791" s="95"/>
      <c r="P791" s="95"/>
      <c r="Q791" s="95"/>
      <c r="R791" s="60"/>
      <c r="S791" s="60"/>
      <c r="T791" s="60"/>
      <c r="U791" s="60"/>
      <c r="V791" s="60"/>
      <c r="W791" s="60"/>
      <c r="X791" s="60"/>
      <c r="Y791" s="60"/>
      <c r="Z791" s="60"/>
      <c r="AA791" s="60"/>
      <c r="AB791" s="60"/>
      <c r="AC791" s="60"/>
      <c r="AD791" s="60"/>
      <c r="AE791" s="60"/>
      <c r="AF791" s="60"/>
      <c r="AG791" s="60"/>
      <c r="AH791" s="60"/>
      <c r="AI791" s="60"/>
      <c r="AJ791" s="60"/>
    </row>
    <row r="792">
      <c r="A792" s="185"/>
      <c r="B792" s="67"/>
      <c r="C792" s="186"/>
      <c r="D792" s="209"/>
      <c r="E792" s="43"/>
      <c r="F792" s="209"/>
      <c r="G792" s="187"/>
      <c r="H792" s="43"/>
      <c r="I792" s="98"/>
      <c r="J792" s="99"/>
      <c r="K792" s="98"/>
      <c r="L792" s="99"/>
      <c r="M792" s="99"/>
      <c r="N792" s="98"/>
      <c r="O792" s="98"/>
      <c r="P792" s="98"/>
      <c r="Q792" s="98"/>
      <c r="R792" s="43"/>
      <c r="S792" s="43"/>
      <c r="T792" s="43"/>
      <c r="U792" s="43"/>
      <c r="V792" s="43"/>
      <c r="W792" s="43"/>
      <c r="X792" s="43"/>
      <c r="Y792" s="43"/>
      <c r="Z792" s="43"/>
      <c r="AA792" s="43"/>
      <c r="AB792" s="43"/>
      <c r="AC792" s="43"/>
      <c r="AD792" s="43"/>
      <c r="AE792" s="43"/>
      <c r="AF792" s="43"/>
      <c r="AG792" s="43"/>
      <c r="AH792" s="43"/>
      <c r="AI792" s="43"/>
      <c r="AJ792" s="43"/>
    </row>
    <row r="793">
      <c r="A793" s="188"/>
      <c r="B793" s="90"/>
      <c r="C793" s="189"/>
      <c r="D793" s="210"/>
      <c r="E793" s="60"/>
      <c r="F793" s="210"/>
      <c r="G793" s="190"/>
      <c r="H793" s="60"/>
      <c r="I793" s="95"/>
      <c r="J793" s="96"/>
      <c r="K793" s="95"/>
      <c r="L793" s="96"/>
      <c r="M793" s="96"/>
      <c r="N793" s="95"/>
      <c r="O793" s="95"/>
      <c r="P793" s="95"/>
      <c r="Q793" s="95"/>
      <c r="R793" s="60"/>
      <c r="S793" s="60"/>
      <c r="T793" s="60"/>
      <c r="U793" s="60"/>
      <c r="V793" s="60"/>
      <c r="W793" s="60"/>
      <c r="X793" s="60"/>
      <c r="Y793" s="60"/>
      <c r="Z793" s="60"/>
      <c r="AA793" s="60"/>
      <c r="AB793" s="60"/>
      <c r="AC793" s="60"/>
      <c r="AD793" s="60"/>
      <c r="AE793" s="60"/>
      <c r="AF793" s="60"/>
      <c r="AG793" s="60"/>
      <c r="AH793" s="60"/>
      <c r="AI793" s="60"/>
      <c r="AJ793" s="60"/>
    </row>
    <row r="794">
      <c r="A794" s="185"/>
      <c r="B794" s="67"/>
      <c r="C794" s="186"/>
      <c r="D794" s="209"/>
      <c r="E794" s="43"/>
      <c r="F794" s="209"/>
      <c r="G794" s="187"/>
      <c r="H794" s="43"/>
      <c r="I794" s="98"/>
      <c r="J794" s="99"/>
      <c r="K794" s="98"/>
      <c r="L794" s="99"/>
      <c r="M794" s="99"/>
      <c r="N794" s="98"/>
      <c r="O794" s="98"/>
      <c r="P794" s="98"/>
      <c r="Q794" s="98"/>
      <c r="R794" s="43"/>
      <c r="S794" s="43"/>
      <c r="T794" s="43"/>
      <c r="U794" s="43"/>
      <c r="V794" s="43"/>
      <c r="W794" s="43"/>
      <c r="X794" s="43"/>
      <c r="Y794" s="43"/>
      <c r="Z794" s="43"/>
      <c r="AA794" s="43"/>
      <c r="AB794" s="43"/>
      <c r="AC794" s="43"/>
      <c r="AD794" s="43"/>
      <c r="AE794" s="43"/>
      <c r="AF794" s="43"/>
      <c r="AG794" s="43"/>
      <c r="AH794" s="43"/>
      <c r="AI794" s="43"/>
      <c r="AJ794" s="43"/>
    </row>
    <row r="795">
      <c r="A795" s="188"/>
      <c r="B795" s="90"/>
      <c r="C795" s="189"/>
      <c r="D795" s="210"/>
      <c r="E795" s="60"/>
      <c r="F795" s="210"/>
      <c r="G795" s="190"/>
      <c r="H795" s="60"/>
      <c r="I795" s="95"/>
      <c r="J795" s="96"/>
      <c r="K795" s="95"/>
      <c r="L795" s="96"/>
      <c r="M795" s="96"/>
      <c r="N795" s="95"/>
      <c r="O795" s="95"/>
      <c r="P795" s="95"/>
      <c r="Q795" s="95"/>
      <c r="R795" s="60"/>
      <c r="S795" s="60"/>
      <c r="T795" s="60"/>
      <c r="U795" s="60"/>
      <c r="V795" s="60"/>
      <c r="W795" s="60"/>
      <c r="X795" s="60"/>
      <c r="Y795" s="60"/>
      <c r="Z795" s="60"/>
      <c r="AA795" s="60"/>
      <c r="AB795" s="60"/>
      <c r="AC795" s="60"/>
      <c r="AD795" s="60"/>
      <c r="AE795" s="60"/>
      <c r="AF795" s="60"/>
      <c r="AG795" s="60"/>
      <c r="AH795" s="60"/>
      <c r="AI795" s="60"/>
      <c r="AJ795" s="60"/>
    </row>
    <row r="796">
      <c r="A796" s="185"/>
      <c r="B796" s="67"/>
      <c r="C796" s="186"/>
      <c r="D796" s="209"/>
      <c r="E796" s="43"/>
      <c r="F796" s="209"/>
      <c r="G796" s="187"/>
      <c r="H796" s="43"/>
      <c r="I796" s="98"/>
      <c r="J796" s="99"/>
      <c r="K796" s="98"/>
      <c r="L796" s="99"/>
      <c r="M796" s="99"/>
      <c r="N796" s="98"/>
      <c r="O796" s="98"/>
      <c r="P796" s="98"/>
      <c r="Q796" s="98"/>
      <c r="R796" s="43"/>
      <c r="S796" s="43"/>
      <c r="T796" s="43"/>
      <c r="U796" s="43"/>
      <c r="V796" s="43"/>
      <c r="W796" s="43"/>
      <c r="X796" s="43"/>
      <c r="Y796" s="43"/>
      <c r="Z796" s="43"/>
      <c r="AA796" s="43"/>
      <c r="AB796" s="43"/>
      <c r="AC796" s="43"/>
      <c r="AD796" s="43"/>
      <c r="AE796" s="43"/>
      <c r="AF796" s="43"/>
      <c r="AG796" s="43"/>
      <c r="AH796" s="43"/>
      <c r="AI796" s="43"/>
      <c r="AJ796" s="43"/>
    </row>
    <row r="797">
      <c r="A797" s="188"/>
      <c r="B797" s="90"/>
      <c r="C797" s="189"/>
      <c r="D797" s="210"/>
      <c r="E797" s="60"/>
      <c r="F797" s="210"/>
      <c r="G797" s="190"/>
      <c r="H797" s="60"/>
      <c r="I797" s="95"/>
      <c r="J797" s="96"/>
      <c r="K797" s="95"/>
      <c r="L797" s="96"/>
      <c r="M797" s="96"/>
      <c r="N797" s="95"/>
      <c r="O797" s="95"/>
      <c r="P797" s="95"/>
      <c r="Q797" s="95"/>
      <c r="R797" s="60"/>
      <c r="S797" s="60"/>
      <c r="T797" s="60"/>
      <c r="U797" s="60"/>
      <c r="V797" s="60"/>
      <c r="W797" s="60"/>
      <c r="X797" s="60"/>
      <c r="Y797" s="60"/>
      <c r="Z797" s="60"/>
      <c r="AA797" s="60"/>
      <c r="AB797" s="60"/>
      <c r="AC797" s="60"/>
      <c r="AD797" s="60"/>
      <c r="AE797" s="60"/>
      <c r="AF797" s="60"/>
      <c r="AG797" s="60"/>
      <c r="AH797" s="60"/>
      <c r="AI797" s="60"/>
      <c r="AJ797" s="60"/>
    </row>
    <row r="798">
      <c r="A798" s="185"/>
      <c r="B798" s="67"/>
      <c r="C798" s="186"/>
      <c r="D798" s="209"/>
      <c r="E798" s="43"/>
      <c r="F798" s="209"/>
      <c r="G798" s="187"/>
      <c r="H798" s="43"/>
      <c r="I798" s="98"/>
      <c r="J798" s="99"/>
      <c r="K798" s="98"/>
      <c r="L798" s="99"/>
      <c r="M798" s="99"/>
      <c r="N798" s="98"/>
      <c r="O798" s="98"/>
      <c r="P798" s="98"/>
      <c r="Q798" s="98"/>
      <c r="R798" s="43"/>
      <c r="S798" s="43"/>
      <c r="T798" s="43"/>
      <c r="U798" s="43"/>
      <c r="V798" s="43"/>
      <c r="W798" s="43"/>
      <c r="X798" s="43"/>
      <c r="Y798" s="43"/>
      <c r="Z798" s="43"/>
      <c r="AA798" s="43"/>
      <c r="AB798" s="43"/>
      <c r="AC798" s="43"/>
      <c r="AD798" s="43"/>
      <c r="AE798" s="43"/>
      <c r="AF798" s="43"/>
      <c r="AG798" s="43"/>
      <c r="AH798" s="43"/>
      <c r="AI798" s="43"/>
      <c r="AJ798" s="43"/>
    </row>
    <row r="799">
      <c r="A799" s="188"/>
      <c r="B799" s="90"/>
      <c r="C799" s="189"/>
      <c r="D799" s="210"/>
      <c r="E799" s="60"/>
      <c r="F799" s="210"/>
      <c r="G799" s="190"/>
      <c r="H799" s="60"/>
      <c r="I799" s="95"/>
      <c r="J799" s="96"/>
      <c r="K799" s="95"/>
      <c r="L799" s="96"/>
      <c r="M799" s="96"/>
      <c r="N799" s="95"/>
      <c r="O799" s="95"/>
      <c r="P799" s="95"/>
      <c r="Q799" s="95"/>
      <c r="R799" s="60"/>
      <c r="S799" s="60"/>
      <c r="T799" s="60"/>
      <c r="U799" s="60"/>
      <c r="V799" s="60"/>
      <c r="W799" s="60"/>
      <c r="X799" s="60"/>
      <c r="Y799" s="60"/>
      <c r="Z799" s="60"/>
      <c r="AA799" s="60"/>
      <c r="AB799" s="60"/>
      <c r="AC799" s="60"/>
      <c r="AD799" s="60"/>
      <c r="AE799" s="60"/>
      <c r="AF799" s="60"/>
      <c r="AG799" s="60"/>
      <c r="AH799" s="60"/>
      <c r="AI799" s="60"/>
      <c r="AJ799" s="60"/>
    </row>
    <row r="800">
      <c r="A800" s="185"/>
      <c r="B800" s="67"/>
      <c r="C800" s="186"/>
      <c r="D800" s="209"/>
      <c r="E800" s="43"/>
      <c r="F800" s="209"/>
      <c r="G800" s="187"/>
      <c r="H800" s="43"/>
      <c r="I800" s="98"/>
      <c r="J800" s="99"/>
      <c r="K800" s="98"/>
      <c r="L800" s="99"/>
      <c r="M800" s="99"/>
      <c r="N800" s="98"/>
      <c r="O800" s="98"/>
      <c r="P800" s="98"/>
      <c r="Q800" s="98"/>
      <c r="R800" s="43"/>
      <c r="S800" s="43"/>
      <c r="T800" s="43"/>
      <c r="U800" s="43"/>
      <c r="V800" s="43"/>
      <c r="W800" s="43"/>
      <c r="X800" s="43"/>
      <c r="Y800" s="43"/>
      <c r="Z800" s="43"/>
      <c r="AA800" s="43"/>
      <c r="AB800" s="43"/>
      <c r="AC800" s="43"/>
      <c r="AD800" s="43"/>
      <c r="AE800" s="43"/>
      <c r="AF800" s="43"/>
      <c r="AG800" s="43"/>
      <c r="AH800" s="43"/>
      <c r="AI800" s="43"/>
      <c r="AJ800" s="43"/>
    </row>
    <row r="801">
      <c r="A801" s="188"/>
      <c r="B801" s="90"/>
      <c r="C801" s="189"/>
      <c r="D801" s="210"/>
      <c r="E801" s="60"/>
      <c r="F801" s="210"/>
      <c r="G801" s="190"/>
      <c r="H801" s="60"/>
      <c r="I801" s="95"/>
      <c r="J801" s="96"/>
      <c r="K801" s="95"/>
      <c r="L801" s="96"/>
      <c r="M801" s="96"/>
      <c r="N801" s="95"/>
      <c r="O801" s="95"/>
      <c r="P801" s="95"/>
      <c r="Q801" s="95"/>
      <c r="R801" s="60"/>
      <c r="S801" s="60"/>
      <c r="T801" s="60"/>
      <c r="U801" s="60"/>
      <c r="V801" s="60"/>
      <c r="W801" s="60"/>
      <c r="X801" s="60"/>
      <c r="Y801" s="60"/>
      <c r="Z801" s="60"/>
      <c r="AA801" s="60"/>
      <c r="AB801" s="60"/>
      <c r="AC801" s="60"/>
      <c r="AD801" s="60"/>
      <c r="AE801" s="60"/>
      <c r="AF801" s="60"/>
      <c r="AG801" s="60"/>
      <c r="AH801" s="60"/>
      <c r="AI801" s="60"/>
      <c r="AJ801" s="60"/>
    </row>
    <row r="802">
      <c r="A802" s="185"/>
      <c r="B802" s="67"/>
      <c r="C802" s="186"/>
      <c r="D802" s="209"/>
      <c r="E802" s="43"/>
      <c r="F802" s="209"/>
      <c r="G802" s="187"/>
      <c r="H802" s="43"/>
      <c r="I802" s="98"/>
      <c r="J802" s="99"/>
      <c r="K802" s="98"/>
      <c r="L802" s="99"/>
      <c r="M802" s="99"/>
      <c r="N802" s="98"/>
      <c r="O802" s="98"/>
      <c r="P802" s="98"/>
      <c r="Q802" s="98"/>
      <c r="R802" s="43"/>
      <c r="S802" s="43"/>
      <c r="T802" s="43"/>
      <c r="U802" s="43"/>
      <c r="V802" s="43"/>
      <c r="W802" s="43"/>
      <c r="X802" s="43"/>
      <c r="Y802" s="43"/>
      <c r="Z802" s="43"/>
      <c r="AA802" s="43"/>
      <c r="AB802" s="43"/>
      <c r="AC802" s="43"/>
      <c r="AD802" s="43"/>
      <c r="AE802" s="43"/>
      <c r="AF802" s="43"/>
      <c r="AG802" s="43"/>
      <c r="AH802" s="43"/>
      <c r="AI802" s="43"/>
      <c r="AJ802" s="43"/>
    </row>
    <row r="803">
      <c r="A803" s="188"/>
      <c r="B803" s="90"/>
      <c r="C803" s="189"/>
      <c r="D803" s="210"/>
      <c r="E803" s="60"/>
      <c r="F803" s="210"/>
      <c r="G803" s="190"/>
      <c r="H803" s="60"/>
      <c r="I803" s="95"/>
      <c r="J803" s="96"/>
      <c r="K803" s="95"/>
      <c r="L803" s="96"/>
      <c r="M803" s="96"/>
      <c r="N803" s="95"/>
      <c r="O803" s="95"/>
      <c r="P803" s="95"/>
      <c r="Q803" s="95"/>
      <c r="R803" s="60"/>
      <c r="S803" s="60"/>
      <c r="T803" s="60"/>
      <c r="U803" s="60"/>
      <c r="V803" s="60"/>
      <c r="W803" s="60"/>
      <c r="X803" s="60"/>
      <c r="Y803" s="60"/>
      <c r="Z803" s="60"/>
      <c r="AA803" s="60"/>
      <c r="AB803" s="60"/>
      <c r="AC803" s="60"/>
      <c r="AD803" s="60"/>
      <c r="AE803" s="60"/>
      <c r="AF803" s="60"/>
      <c r="AG803" s="60"/>
      <c r="AH803" s="60"/>
      <c r="AI803" s="60"/>
      <c r="AJ803" s="60"/>
    </row>
    <row r="804">
      <c r="A804" s="185"/>
      <c r="B804" s="67"/>
      <c r="C804" s="186"/>
      <c r="D804" s="209"/>
      <c r="E804" s="43"/>
      <c r="F804" s="209"/>
      <c r="G804" s="187"/>
      <c r="H804" s="43"/>
      <c r="I804" s="98"/>
      <c r="J804" s="99"/>
      <c r="K804" s="98"/>
      <c r="L804" s="99"/>
      <c r="M804" s="99"/>
      <c r="N804" s="98"/>
      <c r="O804" s="98"/>
      <c r="P804" s="98"/>
      <c r="Q804" s="98"/>
      <c r="R804" s="43"/>
      <c r="S804" s="43"/>
      <c r="T804" s="43"/>
      <c r="U804" s="43"/>
      <c r="V804" s="43"/>
      <c r="W804" s="43"/>
      <c r="X804" s="43"/>
      <c r="Y804" s="43"/>
      <c r="Z804" s="43"/>
      <c r="AA804" s="43"/>
      <c r="AB804" s="43"/>
      <c r="AC804" s="43"/>
      <c r="AD804" s="43"/>
      <c r="AE804" s="43"/>
      <c r="AF804" s="43"/>
      <c r="AG804" s="43"/>
      <c r="AH804" s="43"/>
      <c r="AI804" s="43"/>
      <c r="AJ804" s="43"/>
    </row>
    <row r="805">
      <c r="A805" s="188"/>
      <c r="B805" s="90"/>
      <c r="C805" s="189"/>
      <c r="D805" s="210"/>
      <c r="E805" s="60"/>
      <c r="F805" s="210"/>
      <c r="G805" s="190"/>
      <c r="H805" s="60"/>
      <c r="I805" s="95"/>
      <c r="J805" s="96"/>
      <c r="K805" s="95"/>
      <c r="L805" s="96"/>
      <c r="M805" s="96"/>
      <c r="N805" s="95"/>
      <c r="O805" s="95"/>
      <c r="P805" s="95"/>
      <c r="Q805" s="95"/>
      <c r="R805" s="60"/>
      <c r="S805" s="60"/>
      <c r="T805" s="60"/>
      <c r="U805" s="60"/>
      <c r="V805" s="60"/>
      <c r="W805" s="60"/>
      <c r="X805" s="60"/>
      <c r="Y805" s="60"/>
      <c r="Z805" s="60"/>
      <c r="AA805" s="60"/>
      <c r="AB805" s="60"/>
      <c r="AC805" s="60"/>
      <c r="AD805" s="60"/>
      <c r="AE805" s="60"/>
      <c r="AF805" s="60"/>
      <c r="AG805" s="60"/>
      <c r="AH805" s="60"/>
      <c r="AI805" s="60"/>
      <c r="AJ805" s="60"/>
    </row>
    <row r="806">
      <c r="A806" s="185"/>
      <c r="B806" s="67"/>
      <c r="C806" s="186"/>
      <c r="D806" s="209"/>
      <c r="E806" s="43"/>
      <c r="F806" s="209"/>
      <c r="G806" s="187"/>
      <c r="H806" s="43"/>
      <c r="I806" s="98"/>
      <c r="J806" s="99"/>
      <c r="K806" s="98"/>
      <c r="L806" s="99"/>
      <c r="M806" s="99"/>
      <c r="N806" s="98"/>
      <c r="O806" s="98"/>
      <c r="P806" s="98"/>
      <c r="Q806" s="98"/>
      <c r="R806" s="43"/>
      <c r="S806" s="43"/>
      <c r="T806" s="43"/>
      <c r="U806" s="43"/>
      <c r="V806" s="43"/>
      <c r="W806" s="43"/>
      <c r="X806" s="43"/>
      <c r="Y806" s="43"/>
      <c r="Z806" s="43"/>
      <c r="AA806" s="43"/>
      <c r="AB806" s="43"/>
      <c r="AC806" s="43"/>
      <c r="AD806" s="43"/>
      <c r="AE806" s="43"/>
      <c r="AF806" s="43"/>
      <c r="AG806" s="43"/>
      <c r="AH806" s="43"/>
      <c r="AI806" s="43"/>
      <c r="AJ806" s="43"/>
    </row>
    <row r="807">
      <c r="A807" s="188"/>
      <c r="B807" s="90"/>
      <c r="C807" s="189"/>
      <c r="D807" s="210"/>
      <c r="E807" s="60"/>
      <c r="F807" s="210"/>
      <c r="G807" s="190"/>
      <c r="H807" s="60"/>
      <c r="I807" s="95"/>
      <c r="J807" s="96"/>
      <c r="K807" s="95"/>
      <c r="L807" s="96"/>
      <c r="M807" s="96"/>
      <c r="N807" s="95"/>
      <c r="O807" s="95"/>
      <c r="P807" s="95"/>
      <c r="Q807" s="95"/>
      <c r="R807" s="60"/>
      <c r="S807" s="60"/>
      <c r="T807" s="60"/>
      <c r="U807" s="60"/>
      <c r="V807" s="60"/>
      <c r="W807" s="60"/>
      <c r="X807" s="60"/>
      <c r="Y807" s="60"/>
      <c r="Z807" s="60"/>
      <c r="AA807" s="60"/>
      <c r="AB807" s="60"/>
      <c r="AC807" s="60"/>
      <c r="AD807" s="60"/>
      <c r="AE807" s="60"/>
      <c r="AF807" s="60"/>
      <c r="AG807" s="60"/>
      <c r="AH807" s="60"/>
      <c r="AI807" s="60"/>
      <c r="AJ807" s="60"/>
    </row>
    <row r="808">
      <c r="A808" s="185"/>
      <c r="B808" s="67"/>
      <c r="C808" s="186"/>
      <c r="D808" s="209"/>
      <c r="E808" s="43"/>
      <c r="F808" s="209"/>
      <c r="G808" s="187"/>
      <c r="H808" s="43"/>
      <c r="I808" s="98"/>
      <c r="J808" s="99"/>
      <c r="K808" s="98"/>
      <c r="L808" s="99"/>
      <c r="M808" s="99"/>
      <c r="N808" s="98"/>
      <c r="O808" s="98"/>
      <c r="P808" s="98"/>
      <c r="Q808" s="98"/>
      <c r="R808" s="43"/>
      <c r="S808" s="43"/>
      <c r="T808" s="43"/>
      <c r="U808" s="43"/>
      <c r="V808" s="43"/>
      <c r="W808" s="43"/>
      <c r="X808" s="43"/>
      <c r="Y808" s="43"/>
      <c r="Z808" s="43"/>
      <c r="AA808" s="43"/>
      <c r="AB808" s="43"/>
      <c r="AC808" s="43"/>
      <c r="AD808" s="43"/>
      <c r="AE808" s="43"/>
      <c r="AF808" s="43"/>
      <c r="AG808" s="43"/>
      <c r="AH808" s="43"/>
      <c r="AI808" s="43"/>
      <c r="AJ808" s="43"/>
    </row>
    <row r="809">
      <c r="A809" s="188"/>
      <c r="B809" s="90"/>
      <c r="C809" s="189"/>
      <c r="D809" s="210"/>
      <c r="E809" s="60"/>
      <c r="F809" s="210"/>
      <c r="G809" s="190"/>
      <c r="H809" s="60"/>
      <c r="I809" s="95"/>
      <c r="J809" s="96"/>
      <c r="K809" s="95"/>
      <c r="L809" s="96"/>
      <c r="M809" s="96"/>
      <c r="N809" s="95"/>
      <c r="O809" s="95"/>
      <c r="P809" s="95"/>
      <c r="Q809" s="95"/>
      <c r="R809" s="60"/>
      <c r="S809" s="60"/>
      <c r="T809" s="60"/>
      <c r="U809" s="60"/>
      <c r="V809" s="60"/>
      <c r="W809" s="60"/>
      <c r="X809" s="60"/>
      <c r="Y809" s="60"/>
      <c r="Z809" s="60"/>
      <c r="AA809" s="60"/>
      <c r="AB809" s="60"/>
      <c r="AC809" s="60"/>
      <c r="AD809" s="60"/>
      <c r="AE809" s="60"/>
      <c r="AF809" s="60"/>
      <c r="AG809" s="60"/>
      <c r="AH809" s="60"/>
      <c r="AI809" s="60"/>
      <c r="AJ809" s="60"/>
    </row>
    <row r="810">
      <c r="A810" s="185"/>
      <c r="B810" s="67"/>
      <c r="C810" s="186"/>
      <c r="D810" s="209"/>
      <c r="E810" s="43"/>
      <c r="F810" s="209"/>
      <c r="G810" s="187"/>
      <c r="H810" s="43"/>
      <c r="I810" s="98"/>
      <c r="J810" s="99"/>
      <c r="K810" s="98"/>
      <c r="L810" s="99"/>
      <c r="M810" s="99"/>
      <c r="N810" s="98"/>
      <c r="O810" s="98"/>
      <c r="P810" s="98"/>
      <c r="Q810" s="98"/>
      <c r="R810" s="43"/>
      <c r="S810" s="43"/>
      <c r="T810" s="43"/>
      <c r="U810" s="43"/>
      <c r="V810" s="43"/>
      <c r="W810" s="43"/>
      <c r="X810" s="43"/>
      <c r="Y810" s="43"/>
      <c r="Z810" s="43"/>
      <c r="AA810" s="43"/>
      <c r="AB810" s="43"/>
      <c r="AC810" s="43"/>
      <c r="AD810" s="43"/>
      <c r="AE810" s="43"/>
      <c r="AF810" s="43"/>
      <c r="AG810" s="43"/>
      <c r="AH810" s="43"/>
      <c r="AI810" s="43"/>
      <c r="AJ810" s="43"/>
    </row>
    <row r="811">
      <c r="A811" s="188"/>
      <c r="B811" s="90"/>
      <c r="C811" s="189"/>
      <c r="D811" s="210"/>
      <c r="E811" s="60"/>
      <c r="F811" s="210"/>
      <c r="G811" s="190"/>
      <c r="H811" s="60"/>
      <c r="I811" s="95"/>
      <c r="J811" s="96"/>
      <c r="K811" s="95"/>
      <c r="L811" s="96"/>
      <c r="M811" s="96"/>
      <c r="N811" s="95"/>
      <c r="O811" s="95"/>
      <c r="P811" s="95"/>
      <c r="Q811" s="95"/>
      <c r="R811" s="60"/>
      <c r="S811" s="60"/>
      <c r="T811" s="60"/>
      <c r="U811" s="60"/>
      <c r="V811" s="60"/>
      <c r="W811" s="60"/>
      <c r="X811" s="60"/>
      <c r="Y811" s="60"/>
      <c r="Z811" s="60"/>
      <c r="AA811" s="60"/>
      <c r="AB811" s="60"/>
      <c r="AC811" s="60"/>
      <c r="AD811" s="60"/>
      <c r="AE811" s="60"/>
      <c r="AF811" s="60"/>
      <c r="AG811" s="60"/>
      <c r="AH811" s="60"/>
      <c r="AI811" s="60"/>
      <c r="AJ811" s="60"/>
    </row>
    <row r="812">
      <c r="A812" s="185"/>
      <c r="B812" s="67"/>
      <c r="C812" s="186"/>
      <c r="D812" s="209"/>
      <c r="E812" s="43"/>
      <c r="F812" s="209"/>
      <c r="G812" s="187"/>
      <c r="H812" s="43"/>
      <c r="I812" s="98"/>
      <c r="J812" s="99"/>
      <c r="K812" s="98"/>
      <c r="L812" s="99"/>
      <c r="M812" s="99"/>
      <c r="N812" s="98"/>
      <c r="O812" s="98"/>
      <c r="P812" s="98"/>
      <c r="Q812" s="98"/>
      <c r="R812" s="43"/>
      <c r="S812" s="43"/>
      <c r="T812" s="43"/>
      <c r="U812" s="43"/>
      <c r="V812" s="43"/>
      <c r="W812" s="43"/>
      <c r="X812" s="43"/>
      <c r="Y812" s="43"/>
      <c r="Z812" s="43"/>
      <c r="AA812" s="43"/>
      <c r="AB812" s="43"/>
      <c r="AC812" s="43"/>
      <c r="AD812" s="43"/>
      <c r="AE812" s="43"/>
      <c r="AF812" s="43"/>
      <c r="AG812" s="43"/>
      <c r="AH812" s="43"/>
      <c r="AI812" s="43"/>
      <c r="AJ812" s="43"/>
    </row>
    <row r="813">
      <c r="A813" s="188"/>
      <c r="B813" s="90"/>
      <c r="C813" s="189"/>
      <c r="D813" s="210"/>
      <c r="E813" s="60"/>
      <c r="F813" s="210"/>
      <c r="G813" s="190"/>
      <c r="H813" s="60"/>
      <c r="I813" s="95"/>
      <c r="J813" s="96"/>
      <c r="K813" s="95"/>
      <c r="L813" s="96"/>
      <c r="M813" s="96"/>
      <c r="N813" s="95"/>
      <c r="O813" s="95"/>
      <c r="P813" s="95"/>
      <c r="Q813" s="95"/>
      <c r="R813" s="60"/>
      <c r="S813" s="60"/>
      <c r="T813" s="60"/>
      <c r="U813" s="60"/>
      <c r="V813" s="60"/>
      <c r="W813" s="60"/>
      <c r="X813" s="60"/>
      <c r="Y813" s="60"/>
      <c r="Z813" s="60"/>
      <c r="AA813" s="60"/>
      <c r="AB813" s="60"/>
      <c r="AC813" s="60"/>
      <c r="AD813" s="60"/>
      <c r="AE813" s="60"/>
      <c r="AF813" s="60"/>
      <c r="AG813" s="60"/>
      <c r="AH813" s="60"/>
      <c r="AI813" s="60"/>
      <c r="AJ813" s="60"/>
    </row>
    <row r="814">
      <c r="A814" s="185"/>
      <c r="B814" s="67"/>
      <c r="C814" s="186"/>
      <c r="D814" s="209"/>
      <c r="E814" s="43"/>
      <c r="F814" s="209"/>
      <c r="G814" s="187"/>
      <c r="H814" s="43"/>
      <c r="I814" s="98"/>
      <c r="J814" s="99"/>
      <c r="K814" s="98"/>
      <c r="L814" s="99"/>
      <c r="M814" s="99"/>
      <c r="N814" s="98"/>
      <c r="O814" s="98"/>
      <c r="P814" s="98"/>
      <c r="Q814" s="98"/>
      <c r="R814" s="43"/>
      <c r="S814" s="43"/>
      <c r="T814" s="43"/>
      <c r="U814" s="43"/>
      <c r="V814" s="43"/>
      <c r="W814" s="43"/>
      <c r="X814" s="43"/>
      <c r="Y814" s="43"/>
      <c r="Z814" s="43"/>
      <c r="AA814" s="43"/>
      <c r="AB814" s="43"/>
      <c r="AC814" s="43"/>
      <c r="AD814" s="43"/>
      <c r="AE814" s="43"/>
      <c r="AF814" s="43"/>
      <c r="AG814" s="43"/>
      <c r="AH814" s="43"/>
      <c r="AI814" s="43"/>
      <c r="AJ814" s="43"/>
    </row>
    <row r="815">
      <c r="A815" s="188"/>
      <c r="B815" s="90"/>
      <c r="C815" s="189"/>
      <c r="D815" s="210"/>
      <c r="E815" s="60"/>
      <c r="F815" s="210"/>
      <c r="G815" s="190"/>
      <c r="H815" s="60"/>
      <c r="I815" s="95"/>
      <c r="J815" s="96"/>
      <c r="K815" s="95"/>
      <c r="L815" s="96"/>
      <c r="M815" s="96"/>
      <c r="N815" s="95"/>
      <c r="O815" s="95"/>
      <c r="P815" s="95"/>
      <c r="Q815" s="95"/>
      <c r="R815" s="60"/>
      <c r="S815" s="60"/>
      <c r="T815" s="60"/>
      <c r="U815" s="60"/>
      <c r="V815" s="60"/>
      <c r="W815" s="60"/>
      <c r="X815" s="60"/>
      <c r="Y815" s="60"/>
      <c r="Z815" s="60"/>
      <c r="AA815" s="60"/>
      <c r="AB815" s="60"/>
      <c r="AC815" s="60"/>
      <c r="AD815" s="60"/>
      <c r="AE815" s="60"/>
      <c r="AF815" s="60"/>
      <c r="AG815" s="60"/>
      <c r="AH815" s="60"/>
      <c r="AI815" s="60"/>
      <c r="AJ815" s="60"/>
    </row>
    <row r="816">
      <c r="A816" s="185"/>
      <c r="B816" s="67"/>
      <c r="C816" s="186"/>
      <c r="D816" s="209"/>
      <c r="E816" s="43"/>
      <c r="F816" s="209"/>
      <c r="G816" s="187"/>
      <c r="H816" s="43"/>
      <c r="I816" s="98"/>
      <c r="J816" s="99"/>
      <c r="K816" s="98"/>
      <c r="L816" s="99"/>
      <c r="M816" s="99"/>
      <c r="N816" s="98"/>
      <c r="O816" s="98"/>
      <c r="P816" s="98"/>
      <c r="Q816" s="98"/>
      <c r="R816" s="43"/>
      <c r="S816" s="43"/>
      <c r="T816" s="43"/>
      <c r="U816" s="43"/>
      <c r="V816" s="43"/>
      <c r="W816" s="43"/>
      <c r="X816" s="43"/>
      <c r="Y816" s="43"/>
      <c r="Z816" s="43"/>
      <c r="AA816" s="43"/>
      <c r="AB816" s="43"/>
      <c r="AC816" s="43"/>
      <c r="AD816" s="43"/>
      <c r="AE816" s="43"/>
      <c r="AF816" s="43"/>
      <c r="AG816" s="43"/>
      <c r="AH816" s="43"/>
      <c r="AI816" s="43"/>
      <c r="AJ816" s="43"/>
    </row>
    <row r="817">
      <c r="A817" s="188"/>
      <c r="B817" s="90"/>
      <c r="C817" s="189"/>
      <c r="D817" s="210"/>
      <c r="E817" s="60"/>
      <c r="F817" s="210"/>
      <c r="G817" s="190"/>
      <c r="H817" s="60"/>
      <c r="I817" s="95"/>
      <c r="J817" s="96"/>
      <c r="K817" s="95"/>
      <c r="L817" s="96"/>
      <c r="M817" s="96"/>
      <c r="N817" s="95"/>
      <c r="O817" s="95"/>
      <c r="P817" s="95"/>
      <c r="Q817" s="95"/>
      <c r="R817" s="60"/>
      <c r="S817" s="60"/>
      <c r="T817" s="60"/>
      <c r="U817" s="60"/>
      <c r="V817" s="60"/>
      <c r="W817" s="60"/>
      <c r="X817" s="60"/>
      <c r="Y817" s="60"/>
      <c r="Z817" s="60"/>
      <c r="AA817" s="60"/>
      <c r="AB817" s="60"/>
      <c r="AC817" s="60"/>
      <c r="AD817" s="60"/>
      <c r="AE817" s="60"/>
      <c r="AF817" s="60"/>
      <c r="AG817" s="60"/>
      <c r="AH817" s="60"/>
      <c r="AI817" s="60"/>
      <c r="AJ817" s="60"/>
    </row>
    <row r="818">
      <c r="A818" s="185"/>
      <c r="B818" s="67"/>
      <c r="C818" s="186"/>
      <c r="D818" s="209"/>
      <c r="E818" s="43"/>
      <c r="F818" s="209"/>
      <c r="G818" s="187"/>
      <c r="H818" s="43"/>
      <c r="I818" s="98"/>
      <c r="J818" s="99"/>
      <c r="K818" s="98"/>
      <c r="L818" s="99"/>
      <c r="M818" s="99"/>
      <c r="N818" s="98"/>
      <c r="O818" s="98"/>
      <c r="P818" s="98"/>
      <c r="Q818" s="98"/>
      <c r="R818" s="43"/>
      <c r="S818" s="43"/>
      <c r="T818" s="43"/>
      <c r="U818" s="43"/>
      <c r="V818" s="43"/>
      <c r="W818" s="43"/>
      <c r="X818" s="43"/>
      <c r="Y818" s="43"/>
      <c r="Z818" s="43"/>
      <c r="AA818" s="43"/>
      <c r="AB818" s="43"/>
      <c r="AC818" s="43"/>
      <c r="AD818" s="43"/>
      <c r="AE818" s="43"/>
      <c r="AF818" s="43"/>
      <c r="AG818" s="43"/>
      <c r="AH818" s="43"/>
      <c r="AI818" s="43"/>
      <c r="AJ818" s="43"/>
    </row>
    <row r="819">
      <c r="A819" s="188"/>
      <c r="B819" s="90"/>
      <c r="C819" s="189"/>
      <c r="D819" s="210"/>
      <c r="E819" s="60"/>
      <c r="F819" s="210"/>
      <c r="G819" s="190"/>
      <c r="H819" s="60"/>
      <c r="I819" s="95"/>
      <c r="J819" s="96"/>
      <c r="K819" s="95"/>
      <c r="L819" s="96"/>
      <c r="M819" s="96"/>
      <c r="N819" s="95"/>
      <c r="O819" s="95"/>
      <c r="P819" s="95"/>
      <c r="Q819" s="95"/>
      <c r="R819" s="60"/>
      <c r="S819" s="60"/>
      <c r="T819" s="60"/>
      <c r="U819" s="60"/>
      <c r="V819" s="60"/>
      <c r="W819" s="60"/>
      <c r="X819" s="60"/>
      <c r="Y819" s="60"/>
      <c r="Z819" s="60"/>
      <c r="AA819" s="60"/>
      <c r="AB819" s="60"/>
      <c r="AC819" s="60"/>
      <c r="AD819" s="60"/>
      <c r="AE819" s="60"/>
      <c r="AF819" s="60"/>
      <c r="AG819" s="60"/>
      <c r="AH819" s="60"/>
      <c r="AI819" s="60"/>
      <c r="AJ819" s="60"/>
    </row>
    <row r="820">
      <c r="A820" s="185"/>
      <c r="B820" s="67"/>
      <c r="C820" s="186"/>
      <c r="D820" s="209"/>
      <c r="E820" s="43"/>
      <c r="F820" s="209"/>
      <c r="G820" s="187"/>
      <c r="H820" s="43"/>
      <c r="I820" s="98"/>
      <c r="J820" s="99"/>
      <c r="K820" s="98"/>
      <c r="L820" s="99"/>
      <c r="M820" s="99"/>
      <c r="N820" s="98"/>
      <c r="O820" s="98"/>
      <c r="P820" s="98"/>
      <c r="Q820" s="98"/>
      <c r="R820" s="43"/>
      <c r="S820" s="43"/>
      <c r="T820" s="43"/>
      <c r="U820" s="43"/>
      <c r="V820" s="43"/>
      <c r="W820" s="43"/>
      <c r="X820" s="43"/>
      <c r="Y820" s="43"/>
      <c r="Z820" s="43"/>
      <c r="AA820" s="43"/>
      <c r="AB820" s="43"/>
      <c r="AC820" s="43"/>
      <c r="AD820" s="43"/>
      <c r="AE820" s="43"/>
      <c r="AF820" s="43"/>
      <c r="AG820" s="43"/>
      <c r="AH820" s="43"/>
      <c r="AI820" s="43"/>
      <c r="AJ820" s="43"/>
    </row>
    <row r="821">
      <c r="A821" s="188"/>
      <c r="B821" s="90"/>
      <c r="C821" s="189"/>
      <c r="D821" s="210"/>
      <c r="E821" s="60"/>
      <c r="F821" s="210"/>
      <c r="G821" s="190"/>
      <c r="H821" s="60"/>
      <c r="I821" s="95"/>
      <c r="J821" s="96"/>
      <c r="K821" s="95"/>
      <c r="L821" s="96"/>
      <c r="M821" s="96"/>
      <c r="N821" s="95"/>
      <c r="O821" s="95"/>
      <c r="P821" s="95"/>
      <c r="Q821" s="95"/>
      <c r="R821" s="60"/>
      <c r="S821" s="60"/>
      <c r="T821" s="60"/>
      <c r="U821" s="60"/>
      <c r="V821" s="60"/>
      <c r="W821" s="60"/>
      <c r="X821" s="60"/>
      <c r="Y821" s="60"/>
      <c r="Z821" s="60"/>
      <c r="AA821" s="60"/>
      <c r="AB821" s="60"/>
      <c r="AC821" s="60"/>
      <c r="AD821" s="60"/>
      <c r="AE821" s="60"/>
      <c r="AF821" s="60"/>
      <c r="AG821" s="60"/>
      <c r="AH821" s="60"/>
      <c r="AI821" s="60"/>
      <c r="AJ821" s="60"/>
    </row>
    <row r="822">
      <c r="A822" s="185"/>
      <c r="B822" s="67"/>
      <c r="C822" s="186"/>
      <c r="D822" s="209"/>
      <c r="E822" s="43"/>
      <c r="F822" s="209"/>
      <c r="G822" s="187"/>
      <c r="H822" s="43"/>
      <c r="I822" s="98"/>
      <c r="J822" s="99"/>
      <c r="K822" s="98"/>
      <c r="L822" s="99"/>
      <c r="M822" s="99"/>
      <c r="N822" s="98"/>
      <c r="O822" s="98"/>
      <c r="P822" s="98"/>
      <c r="Q822" s="98"/>
      <c r="R822" s="43"/>
      <c r="S822" s="43"/>
      <c r="T822" s="43"/>
      <c r="U822" s="43"/>
      <c r="V822" s="43"/>
      <c r="W822" s="43"/>
      <c r="X822" s="43"/>
      <c r="Y822" s="43"/>
      <c r="Z822" s="43"/>
      <c r="AA822" s="43"/>
      <c r="AB822" s="43"/>
      <c r="AC822" s="43"/>
      <c r="AD822" s="43"/>
      <c r="AE822" s="43"/>
      <c r="AF822" s="43"/>
      <c r="AG822" s="43"/>
      <c r="AH822" s="43"/>
      <c r="AI822" s="43"/>
      <c r="AJ822" s="43"/>
    </row>
    <row r="823">
      <c r="A823" s="188"/>
      <c r="B823" s="90"/>
      <c r="C823" s="189"/>
      <c r="D823" s="210"/>
      <c r="E823" s="60"/>
      <c r="F823" s="210"/>
      <c r="G823" s="190"/>
      <c r="H823" s="60"/>
      <c r="I823" s="95"/>
      <c r="J823" s="96"/>
      <c r="K823" s="95"/>
      <c r="L823" s="96"/>
      <c r="M823" s="96"/>
      <c r="N823" s="95"/>
      <c r="O823" s="95"/>
      <c r="P823" s="95"/>
      <c r="Q823" s="95"/>
      <c r="R823" s="60"/>
      <c r="S823" s="60"/>
      <c r="T823" s="60"/>
      <c r="U823" s="60"/>
      <c r="V823" s="60"/>
      <c r="W823" s="60"/>
      <c r="X823" s="60"/>
      <c r="Y823" s="60"/>
      <c r="Z823" s="60"/>
      <c r="AA823" s="60"/>
      <c r="AB823" s="60"/>
      <c r="AC823" s="60"/>
      <c r="AD823" s="60"/>
      <c r="AE823" s="60"/>
      <c r="AF823" s="60"/>
      <c r="AG823" s="60"/>
      <c r="AH823" s="60"/>
      <c r="AI823" s="60"/>
      <c r="AJ823" s="60"/>
    </row>
    <row r="824">
      <c r="A824" s="185"/>
      <c r="B824" s="67"/>
      <c r="C824" s="186"/>
      <c r="D824" s="209"/>
      <c r="E824" s="43"/>
      <c r="F824" s="209"/>
      <c r="G824" s="187"/>
      <c r="H824" s="43"/>
      <c r="I824" s="98"/>
      <c r="J824" s="99"/>
      <c r="K824" s="98"/>
      <c r="L824" s="99"/>
      <c r="M824" s="99"/>
      <c r="N824" s="98"/>
      <c r="O824" s="98"/>
      <c r="P824" s="98"/>
      <c r="Q824" s="98"/>
      <c r="R824" s="43"/>
      <c r="S824" s="43"/>
      <c r="T824" s="43"/>
      <c r="U824" s="43"/>
      <c r="V824" s="43"/>
      <c r="W824" s="43"/>
      <c r="X824" s="43"/>
      <c r="Y824" s="43"/>
      <c r="Z824" s="43"/>
      <c r="AA824" s="43"/>
      <c r="AB824" s="43"/>
      <c r="AC824" s="43"/>
      <c r="AD824" s="43"/>
      <c r="AE824" s="43"/>
      <c r="AF824" s="43"/>
      <c r="AG824" s="43"/>
      <c r="AH824" s="43"/>
      <c r="AI824" s="43"/>
      <c r="AJ824" s="43"/>
    </row>
    <row r="825">
      <c r="A825" s="188"/>
      <c r="B825" s="90"/>
      <c r="C825" s="189"/>
      <c r="D825" s="210"/>
      <c r="E825" s="60"/>
      <c r="F825" s="210"/>
      <c r="G825" s="190"/>
      <c r="H825" s="60"/>
      <c r="I825" s="95"/>
      <c r="J825" s="96"/>
      <c r="K825" s="95"/>
      <c r="L825" s="96"/>
      <c r="M825" s="96"/>
      <c r="N825" s="95"/>
      <c r="O825" s="95"/>
      <c r="P825" s="95"/>
      <c r="Q825" s="95"/>
      <c r="R825" s="60"/>
      <c r="S825" s="60"/>
      <c r="T825" s="60"/>
      <c r="U825" s="60"/>
      <c r="V825" s="60"/>
      <c r="W825" s="60"/>
      <c r="X825" s="60"/>
      <c r="Y825" s="60"/>
      <c r="Z825" s="60"/>
      <c r="AA825" s="60"/>
      <c r="AB825" s="60"/>
      <c r="AC825" s="60"/>
      <c r="AD825" s="60"/>
      <c r="AE825" s="60"/>
      <c r="AF825" s="60"/>
      <c r="AG825" s="60"/>
      <c r="AH825" s="60"/>
      <c r="AI825" s="60"/>
      <c r="AJ825" s="60"/>
    </row>
    <row r="826">
      <c r="A826" s="185"/>
      <c r="B826" s="67"/>
      <c r="C826" s="186"/>
      <c r="D826" s="209"/>
      <c r="E826" s="43"/>
      <c r="F826" s="209"/>
      <c r="G826" s="187"/>
      <c r="H826" s="43"/>
      <c r="I826" s="98"/>
      <c r="J826" s="99"/>
      <c r="K826" s="98"/>
      <c r="L826" s="99"/>
      <c r="M826" s="99"/>
      <c r="N826" s="98"/>
      <c r="O826" s="98"/>
      <c r="P826" s="98"/>
      <c r="Q826" s="98"/>
      <c r="R826" s="43"/>
      <c r="S826" s="43"/>
      <c r="T826" s="43"/>
      <c r="U826" s="43"/>
      <c r="V826" s="43"/>
      <c r="W826" s="43"/>
      <c r="X826" s="43"/>
      <c r="Y826" s="43"/>
      <c r="Z826" s="43"/>
      <c r="AA826" s="43"/>
      <c r="AB826" s="43"/>
      <c r="AC826" s="43"/>
      <c r="AD826" s="43"/>
      <c r="AE826" s="43"/>
      <c r="AF826" s="43"/>
      <c r="AG826" s="43"/>
      <c r="AH826" s="43"/>
      <c r="AI826" s="43"/>
      <c r="AJ826" s="43"/>
    </row>
    <row r="827">
      <c r="A827" s="188"/>
      <c r="B827" s="90"/>
      <c r="C827" s="189"/>
      <c r="D827" s="210"/>
      <c r="E827" s="60"/>
      <c r="F827" s="210"/>
      <c r="G827" s="190"/>
      <c r="H827" s="60"/>
      <c r="I827" s="95"/>
      <c r="J827" s="96"/>
      <c r="K827" s="95"/>
      <c r="L827" s="96"/>
      <c r="M827" s="96"/>
      <c r="N827" s="95"/>
      <c r="O827" s="95"/>
      <c r="P827" s="95"/>
      <c r="Q827" s="95"/>
      <c r="R827" s="60"/>
      <c r="S827" s="60"/>
      <c r="T827" s="60"/>
      <c r="U827" s="60"/>
      <c r="V827" s="60"/>
      <c r="W827" s="60"/>
      <c r="X827" s="60"/>
      <c r="Y827" s="60"/>
      <c r="Z827" s="60"/>
      <c r="AA827" s="60"/>
      <c r="AB827" s="60"/>
      <c r="AC827" s="60"/>
      <c r="AD827" s="60"/>
      <c r="AE827" s="60"/>
      <c r="AF827" s="60"/>
      <c r="AG827" s="60"/>
      <c r="AH827" s="60"/>
      <c r="AI827" s="60"/>
      <c r="AJ827" s="60"/>
    </row>
    <row r="828">
      <c r="A828" s="185"/>
      <c r="B828" s="67"/>
      <c r="C828" s="186"/>
      <c r="D828" s="209"/>
      <c r="E828" s="43"/>
      <c r="F828" s="209"/>
      <c r="G828" s="187"/>
      <c r="H828" s="43"/>
      <c r="I828" s="98"/>
      <c r="J828" s="99"/>
      <c r="K828" s="98"/>
      <c r="L828" s="99"/>
      <c r="M828" s="99"/>
      <c r="N828" s="98"/>
      <c r="O828" s="98"/>
      <c r="P828" s="98"/>
      <c r="Q828" s="98"/>
      <c r="R828" s="43"/>
      <c r="S828" s="43"/>
      <c r="T828" s="43"/>
      <c r="U828" s="43"/>
      <c r="V828" s="43"/>
      <c r="W828" s="43"/>
      <c r="X828" s="43"/>
      <c r="Y828" s="43"/>
      <c r="Z828" s="43"/>
      <c r="AA828" s="43"/>
      <c r="AB828" s="43"/>
      <c r="AC828" s="43"/>
      <c r="AD828" s="43"/>
      <c r="AE828" s="43"/>
      <c r="AF828" s="43"/>
      <c r="AG828" s="43"/>
      <c r="AH828" s="43"/>
      <c r="AI828" s="43"/>
      <c r="AJ828" s="43"/>
    </row>
    <row r="829">
      <c r="A829" s="188"/>
      <c r="B829" s="90"/>
      <c r="C829" s="189"/>
      <c r="D829" s="210"/>
      <c r="E829" s="60"/>
      <c r="F829" s="210"/>
      <c r="G829" s="190"/>
      <c r="H829" s="60"/>
      <c r="I829" s="95"/>
      <c r="J829" s="96"/>
      <c r="K829" s="95"/>
      <c r="L829" s="96"/>
      <c r="M829" s="96"/>
      <c r="N829" s="95"/>
      <c r="O829" s="95"/>
      <c r="P829" s="95"/>
      <c r="Q829" s="95"/>
      <c r="R829" s="60"/>
      <c r="S829" s="60"/>
      <c r="T829" s="60"/>
      <c r="U829" s="60"/>
      <c r="V829" s="60"/>
      <c r="W829" s="60"/>
      <c r="X829" s="60"/>
      <c r="Y829" s="60"/>
      <c r="Z829" s="60"/>
      <c r="AA829" s="60"/>
      <c r="AB829" s="60"/>
      <c r="AC829" s="60"/>
      <c r="AD829" s="60"/>
      <c r="AE829" s="60"/>
      <c r="AF829" s="60"/>
      <c r="AG829" s="60"/>
      <c r="AH829" s="60"/>
      <c r="AI829" s="60"/>
      <c r="AJ829" s="60"/>
    </row>
    <row r="830">
      <c r="A830" s="185"/>
      <c r="B830" s="67"/>
      <c r="C830" s="186"/>
      <c r="D830" s="209"/>
      <c r="E830" s="43"/>
      <c r="F830" s="209"/>
      <c r="G830" s="187"/>
      <c r="H830" s="43"/>
      <c r="I830" s="98"/>
      <c r="J830" s="99"/>
      <c r="K830" s="98"/>
      <c r="L830" s="99"/>
      <c r="M830" s="99"/>
      <c r="N830" s="98"/>
      <c r="O830" s="98"/>
      <c r="P830" s="98"/>
      <c r="Q830" s="98"/>
      <c r="R830" s="43"/>
      <c r="S830" s="43"/>
      <c r="T830" s="43"/>
      <c r="U830" s="43"/>
      <c r="V830" s="43"/>
      <c r="W830" s="43"/>
      <c r="X830" s="43"/>
      <c r="Y830" s="43"/>
      <c r="Z830" s="43"/>
      <c r="AA830" s="43"/>
      <c r="AB830" s="43"/>
      <c r="AC830" s="43"/>
      <c r="AD830" s="43"/>
      <c r="AE830" s="43"/>
      <c r="AF830" s="43"/>
      <c r="AG830" s="43"/>
      <c r="AH830" s="43"/>
      <c r="AI830" s="43"/>
      <c r="AJ830" s="43"/>
    </row>
    <row r="831">
      <c r="A831" s="188"/>
      <c r="B831" s="90"/>
      <c r="C831" s="189"/>
      <c r="D831" s="210"/>
      <c r="E831" s="60"/>
      <c r="F831" s="210"/>
      <c r="G831" s="190"/>
      <c r="H831" s="60"/>
      <c r="I831" s="95"/>
      <c r="J831" s="96"/>
      <c r="K831" s="95"/>
      <c r="L831" s="96"/>
      <c r="M831" s="96"/>
      <c r="N831" s="95"/>
      <c r="O831" s="95"/>
      <c r="P831" s="95"/>
      <c r="Q831" s="95"/>
      <c r="R831" s="60"/>
      <c r="S831" s="60"/>
      <c r="T831" s="60"/>
      <c r="U831" s="60"/>
      <c r="V831" s="60"/>
      <c r="W831" s="60"/>
      <c r="X831" s="60"/>
      <c r="Y831" s="60"/>
      <c r="Z831" s="60"/>
      <c r="AA831" s="60"/>
      <c r="AB831" s="60"/>
      <c r="AC831" s="60"/>
      <c r="AD831" s="60"/>
      <c r="AE831" s="60"/>
      <c r="AF831" s="60"/>
      <c r="AG831" s="60"/>
      <c r="AH831" s="60"/>
      <c r="AI831" s="60"/>
      <c r="AJ831" s="60"/>
    </row>
    <row r="832">
      <c r="A832" s="185"/>
      <c r="B832" s="67"/>
      <c r="C832" s="186"/>
      <c r="D832" s="209"/>
      <c r="E832" s="43"/>
      <c r="F832" s="209"/>
      <c r="G832" s="187"/>
      <c r="H832" s="43"/>
      <c r="I832" s="98"/>
      <c r="J832" s="99"/>
      <c r="K832" s="98"/>
      <c r="L832" s="99"/>
      <c r="M832" s="99"/>
      <c r="N832" s="98"/>
      <c r="O832" s="98"/>
      <c r="P832" s="98"/>
      <c r="Q832" s="98"/>
      <c r="R832" s="43"/>
      <c r="S832" s="43"/>
      <c r="T832" s="43"/>
      <c r="U832" s="43"/>
      <c r="V832" s="43"/>
      <c r="W832" s="43"/>
      <c r="X832" s="43"/>
      <c r="Y832" s="43"/>
      <c r="Z832" s="43"/>
      <c r="AA832" s="43"/>
      <c r="AB832" s="43"/>
      <c r="AC832" s="43"/>
      <c r="AD832" s="43"/>
      <c r="AE832" s="43"/>
      <c r="AF832" s="43"/>
      <c r="AG832" s="43"/>
      <c r="AH832" s="43"/>
      <c r="AI832" s="43"/>
      <c r="AJ832" s="43"/>
    </row>
    <row r="833">
      <c r="A833" s="188"/>
      <c r="B833" s="90"/>
      <c r="C833" s="189"/>
      <c r="D833" s="210"/>
      <c r="E833" s="60"/>
      <c r="F833" s="210"/>
      <c r="G833" s="190"/>
      <c r="H833" s="60"/>
      <c r="I833" s="95"/>
      <c r="J833" s="96"/>
      <c r="K833" s="95"/>
      <c r="L833" s="96"/>
      <c r="M833" s="96"/>
      <c r="N833" s="95"/>
      <c r="O833" s="95"/>
      <c r="P833" s="95"/>
      <c r="Q833" s="95"/>
      <c r="R833" s="60"/>
      <c r="S833" s="60"/>
      <c r="T833" s="60"/>
      <c r="U833" s="60"/>
      <c r="V833" s="60"/>
      <c r="W833" s="60"/>
      <c r="X833" s="60"/>
      <c r="Y833" s="60"/>
      <c r="Z833" s="60"/>
      <c r="AA833" s="60"/>
      <c r="AB833" s="60"/>
      <c r="AC833" s="60"/>
      <c r="AD833" s="60"/>
      <c r="AE833" s="60"/>
      <c r="AF833" s="60"/>
      <c r="AG833" s="60"/>
      <c r="AH833" s="60"/>
      <c r="AI833" s="60"/>
      <c r="AJ833" s="60"/>
    </row>
    <row r="834">
      <c r="A834" s="185"/>
      <c r="B834" s="67"/>
      <c r="C834" s="186"/>
      <c r="D834" s="209"/>
      <c r="E834" s="43"/>
      <c r="F834" s="209"/>
      <c r="G834" s="187"/>
      <c r="H834" s="43"/>
      <c r="I834" s="98"/>
      <c r="J834" s="99"/>
      <c r="K834" s="98"/>
      <c r="L834" s="99"/>
      <c r="M834" s="99"/>
      <c r="N834" s="98"/>
      <c r="O834" s="98"/>
      <c r="P834" s="98"/>
      <c r="Q834" s="98"/>
      <c r="R834" s="43"/>
      <c r="S834" s="43"/>
      <c r="T834" s="43"/>
      <c r="U834" s="43"/>
      <c r="V834" s="43"/>
      <c r="W834" s="43"/>
      <c r="X834" s="43"/>
      <c r="Y834" s="43"/>
      <c r="Z834" s="43"/>
      <c r="AA834" s="43"/>
      <c r="AB834" s="43"/>
      <c r="AC834" s="43"/>
      <c r="AD834" s="43"/>
      <c r="AE834" s="43"/>
      <c r="AF834" s="43"/>
      <c r="AG834" s="43"/>
      <c r="AH834" s="43"/>
      <c r="AI834" s="43"/>
      <c r="AJ834" s="43"/>
    </row>
    <row r="835">
      <c r="A835" s="188"/>
      <c r="B835" s="90"/>
      <c r="C835" s="189"/>
      <c r="D835" s="210"/>
      <c r="E835" s="60"/>
      <c r="F835" s="210"/>
      <c r="G835" s="190"/>
      <c r="H835" s="60"/>
      <c r="I835" s="95"/>
      <c r="J835" s="96"/>
      <c r="K835" s="95"/>
      <c r="L835" s="96"/>
      <c r="M835" s="96"/>
      <c r="N835" s="95"/>
      <c r="O835" s="95"/>
      <c r="P835" s="95"/>
      <c r="Q835" s="95"/>
      <c r="R835" s="60"/>
      <c r="S835" s="60"/>
      <c r="T835" s="60"/>
      <c r="U835" s="60"/>
      <c r="V835" s="60"/>
      <c r="W835" s="60"/>
      <c r="X835" s="60"/>
      <c r="Y835" s="60"/>
      <c r="Z835" s="60"/>
      <c r="AA835" s="60"/>
      <c r="AB835" s="60"/>
      <c r="AC835" s="60"/>
      <c r="AD835" s="60"/>
      <c r="AE835" s="60"/>
      <c r="AF835" s="60"/>
      <c r="AG835" s="60"/>
      <c r="AH835" s="60"/>
      <c r="AI835" s="60"/>
      <c r="AJ835" s="60"/>
    </row>
    <row r="836">
      <c r="A836" s="185"/>
      <c r="B836" s="67"/>
      <c r="C836" s="186"/>
      <c r="D836" s="209"/>
      <c r="E836" s="43"/>
      <c r="F836" s="209"/>
      <c r="G836" s="187"/>
      <c r="H836" s="43"/>
      <c r="I836" s="98"/>
      <c r="J836" s="99"/>
      <c r="K836" s="98"/>
      <c r="L836" s="99"/>
      <c r="M836" s="99"/>
      <c r="N836" s="98"/>
      <c r="O836" s="98"/>
      <c r="P836" s="98"/>
      <c r="Q836" s="98"/>
      <c r="R836" s="43"/>
      <c r="S836" s="43"/>
      <c r="T836" s="43"/>
      <c r="U836" s="43"/>
      <c r="V836" s="43"/>
      <c r="W836" s="43"/>
      <c r="X836" s="43"/>
      <c r="Y836" s="43"/>
      <c r="Z836" s="43"/>
      <c r="AA836" s="43"/>
      <c r="AB836" s="43"/>
      <c r="AC836" s="43"/>
      <c r="AD836" s="43"/>
      <c r="AE836" s="43"/>
      <c r="AF836" s="43"/>
      <c r="AG836" s="43"/>
      <c r="AH836" s="43"/>
      <c r="AI836" s="43"/>
      <c r="AJ836" s="43"/>
    </row>
    <row r="837">
      <c r="A837" s="244"/>
      <c r="B837" s="60"/>
      <c r="C837" s="210"/>
      <c r="D837" s="210"/>
      <c r="E837" s="60"/>
      <c r="F837" s="210"/>
      <c r="G837" s="190"/>
      <c r="H837" s="60"/>
      <c r="I837" s="95"/>
      <c r="J837" s="96"/>
      <c r="K837" s="95"/>
      <c r="L837" s="96"/>
      <c r="M837" s="96"/>
      <c r="N837" s="95"/>
      <c r="O837" s="95"/>
      <c r="P837" s="95"/>
      <c r="Q837" s="95"/>
      <c r="R837" s="60"/>
      <c r="S837" s="60"/>
      <c r="T837" s="60"/>
      <c r="U837" s="60"/>
      <c r="V837" s="60"/>
      <c r="W837" s="60"/>
      <c r="X837" s="60"/>
      <c r="Y837" s="60"/>
      <c r="Z837" s="60"/>
      <c r="AA837" s="60"/>
      <c r="AB837" s="60"/>
      <c r="AC837" s="60"/>
      <c r="AD837" s="60"/>
      <c r="AE837" s="60"/>
      <c r="AF837" s="60"/>
      <c r="AG837" s="60"/>
      <c r="AH837" s="60"/>
      <c r="AI837" s="60"/>
      <c r="AJ837" s="60"/>
    </row>
    <row r="838">
      <c r="A838" s="245"/>
      <c r="B838" s="43"/>
      <c r="C838" s="209"/>
      <c r="D838" s="209"/>
      <c r="E838" s="43"/>
      <c r="F838" s="209"/>
      <c r="G838" s="187"/>
      <c r="H838" s="43"/>
      <c r="I838" s="98"/>
      <c r="J838" s="99"/>
      <c r="K838" s="98"/>
      <c r="L838" s="99"/>
      <c r="M838" s="99"/>
      <c r="N838" s="98"/>
      <c r="O838" s="98"/>
      <c r="P838" s="98"/>
      <c r="Q838" s="98"/>
      <c r="R838" s="43"/>
      <c r="S838" s="43"/>
      <c r="T838" s="43"/>
      <c r="U838" s="43"/>
      <c r="V838" s="43"/>
      <c r="W838" s="43"/>
      <c r="X838" s="43"/>
      <c r="Y838" s="43"/>
      <c r="Z838" s="43"/>
      <c r="AA838" s="43"/>
      <c r="AB838" s="43"/>
      <c r="AC838" s="43"/>
      <c r="AD838" s="43"/>
      <c r="AE838" s="43"/>
      <c r="AF838" s="43"/>
      <c r="AG838" s="43"/>
      <c r="AH838" s="43"/>
      <c r="AI838" s="43"/>
      <c r="AJ838" s="43"/>
    </row>
    <row r="839">
      <c r="A839" s="244"/>
      <c r="B839" s="60"/>
      <c r="C839" s="210"/>
      <c r="D839" s="210"/>
      <c r="E839" s="60"/>
      <c r="F839" s="210"/>
      <c r="G839" s="190"/>
      <c r="H839" s="60"/>
      <c r="I839" s="95"/>
      <c r="J839" s="96"/>
      <c r="K839" s="95"/>
      <c r="L839" s="96"/>
      <c r="M839" s="96"/>
      <c r="N839" s="95"/>
      <c r="O839" s="95"/>
      <c r="P839" s="95"/>
      <c r="Q839" s="95"/>
      <c r="R839" s="60"/>
      <c r="S839" s="60"/>
      <c r="T839" s="60"/>
      <c r="U839" s="60"/>
      <c r="V839" s="60"/>
      <c r="W839" s="60"/>
      <c r="X839" s="60"/>
      <c r="Y839" s="60"/>
      <c r="Z839" s="60"/>
      <c r="AA839" s="60"/>
      <c r="AB839" s="60"/>
      <c r="AC839" s="60"/>
      <c r="AD839" s="60"/>
      <c r="AE839" s="60"/>
      <c r="AF839" s="60"/>
      <c r="AG839" s="60"/>
      <c r="AH839" s="60"/>
      <c r="AI839" s="60"/>
      <c r="AJ839" s="60"/>
    </row>
    <row r="840">
      <c r="A840" s="245"/>
      <c r="B840" s="43"/>
      <c r="C840" s="209"/>
      <c r="D840" s="209"/>
      <c r="E840" s="43"/>
      <c r="F840" s="209"/>
      <c r="G840" s="187"/>
      <c r="H840" s="43"/>
      <c r="I840" s="98"/>
      <c r="J840" s="99"/>
      <c r="K840" s="98"/>
      <c r="L840" s="99"/>
      <c r="M840" s="99"/>
      <c r="N840" s="98"/>
      <c r="O840" s="98"/>
      <c r="P840" s="98"/>
      <c r="Q840" s="98"/>
      <c r="R840" s="43"/>
      <c r="S840" s="43"/>
      <c r="T840" s="43"/>
      <c r="U840" s="43"/>
      <c r="V840" s="43"/>
      <c r="W840" s="43"/>
      <c r="X840" s="43"/>
      <c r="Y840" s="43"/>
      <c r="Z840" s="43"/>
      <c r="AA840" s="43"/>
      <c r="AB840" s="43"/>
      <c r="AC840" s="43"/>
      <c r="AD840" s="43"/>
      <c r="AE840" s="43"/>
      <c r="AF840" s="43"/>
      <c r="AG840" s="43"/>
      <c r="AH840" s="43"/>
      <c r="AI840" s="43"/>
      <c r="AJ840" s="43"/>
    </row>
    <row r="841">
      <c r="A841" s="244"/>
      <c r="B841" s="60"/>
      <c r="C841" s="210"/>
      <c r="D841" s="210"/>
      <c r="E841" s="60"/>
      <c r="F841" s="210"/>
      <c r="G841" s="190"/>
      <c r="H841" s="60"/>
      <c r="I841" s="95"/>
      <c r="J841" s="96"/>
      <c r="K841" s="95"/>
      <c r="L841" s="96"/>
      <c r="M841" s="96"/>
      <c r="N841" s="95"/>
      <c r="O841" s="95"/>
      <c r="P841" s="95"/>
      <c r="Q841" s="95"/>
      <c r="R841" s="60"/>
      <c r="S841" s="60"/>
      <c r="T841" s="60"/>
      <c r="U841" s="60"/>
      <c r="V841" s="60"/>
      <c r="W841" s="60"/>
      <c r="X841" s="60"/>
      <c r="Y841" s="60"/>
      <c r="Z841" s="60"/>
      <c r="AA841" s="60"/>
      <c r="AB841" s="60"/>
      <c r="AC841" s="60"/>
      <c r="AD841" s="60"/>
      <c r="AE841" s="60"/>
      <c r="AF841" s="60"/>
      <c r="AG841" s="60"/>
      <c r="AH841" s="60"/>
      <c r="AI841" s="60"/>
      <c r="AJ841" s="60"/>
    </row>
    <row r="842">
      <c r="A842" s="245"/>
      <c r="B842" s="43"/>
      <c r="C842" s="209"/>
      <c r="D842" s="209"/>
      <c r="E842" s="43"/>
      <c r="F842" s="209"/>
      <c r="G842" s="187"/>
      <c r="H842" s="43"/>
      <c r="I842" s="98"/>
      <c r="J842" s="99"/>
      <c r="K842" s="98"/>
      <c r="L842" s="99"/>
      <c r="M842" s="99"/>
      <c r="N842" s="98"/>
      <c r="O842" s="98"/>
      <c r="P842" s="98"/>
      <c r="Q842" s="98"/>
      <c r="R842" s="43"/>
      <c r="S842" s="43"/>
      <c r="T842" s="43"/>
      <c r="U842" s="43"/>
      <c r="V842" s="43"/>
      <c r="W842" s="43"/>
      <c r="X842" s="43"/>
      <c r="Y842" s="43"/>
      <c r="Z842" s="43"/>
      <c r="AA842" s="43"/>
      <c r="AB842" s="43"/>
      <c r="AC842" s="43"/>
      <c r="AD842" s="43"/>
      <c r="AE842" s="43"/>
      <c r="AF842" s="43"/>
      <c r="AG842" s="43"/>
      <c r="AH842" s="43"/>
      <c r="AI842" s="43"/>
      <c r="AJ842" s="43"/>
    </row>
    <row r="843">
      <c r="A843" s="244"/>
      <c r="B843" s="60"/>
      <c r="C843" s="210"/>
      <c r="D843" s="210"/>
      <c r="E843" s="60"/>
      <c r="F843" s="210"/>
      <c r="G843" s="190"/>
      <c r="H843" s="60"/>
      <c r="I843" s="95"/>
      <c r="J843" s="96"/>
      <c r="K843" s="95"/>
      <c r="L843" s="96"/>
      <c r="M843" s="96"/>
      <c r="N843" s="95"/>
      <c r="O843" s="95"/>
      <c r="P843" s="95"/>
      <c r="Q843" s="95"/>
      <c r="R843" s="60"/>
      <c r="S843" s="60"/>
      <c r="T843" s="60"/>
      <c r="U843" s="60"/>
      <c r="V843" s="60"/>
      <c r="W843" s="60"/>
      <c r="X843" s="60"/>
      <c r="Y843" s="60"/>
      <c r="Z843" s="60"/>
      <c r="AA843" s="60"/>
      <c r="AB843" s="60"/>
      <c r="AC843" s="60"/>
      <c r="AD843" s="60"/>
      <c r="AE843" s="60"/>
      <c r="AF843" s="60"/>
      <c r="AG843" s="60"/>
      <c r="AH843" s="60"/>
      <c r="AI843" s="60"/>
      <c r="AJ843" s="60"/>
    </row>
    <row r="844">
      <c r="A844" s="245"/>
      <c r="B844" s="43"/>
      <c r="C844" s="209"/>
      <c r="D844" s="209"/>
      <c r="E844" s="43"/>
      <c r="F844" s="209"/>
      <c r="G844" s="187"/>
      <c r="H844" s="43"/>
      <c r="I844" s="98"/>
      <c r="J844" s="99"/>
      <c r="K844" s="98"/>
      <c r="L844" s="99"/>
      <c r="M844" s="99"/>
      <c r="N844" s="98"/>
      <c r="O844" s="98"/>
      <c r="P844" s="98"/>
      <c r="Q844" s="98"/>
      <c r="R844" s="43"/>
      <c r="S844" s="43"/>
      <c r="T844" s="43"/>
      <c r="U844" s="43"/>
      <c r="V844" s="43"/>
      <c r="W844" s="43"/>
      <c r="X844" s="43"/>
      <c r="Y844" s="43"/>
      <c r="Z844" s="43"/>
      <c r="AA844" s="43"/>
      <c r="AB844" s="43"/>
      <c r="AC844" s="43"/>
      <c r="AD844" s="43"/>
      <c r="AE844" s="43"/>
      <c r="AF844" s="43"/>
      <c r="AG844" s="43"/>
      <c r="AH844" s="43"/>
      <c r="AI844" s="43"/>
      <c r="AJ844" s="43"/>
    </row>
    <row r="845">
      <c r="A845" s="244"/>
      <c r="B845" s="60"/>
      <c r="C845" s="210"/>
      <c r="D845" s="210"/>
      <c r="E845" s="60"/>
      <c r="F845" s="210"/>
      <c r="G845" s="190"/>
      <c r="H845" s="60"/>
      <c r="I845" s="95"/>
      <c r="J845" s="96"/>
      <c r="K845" s="95"/>
      <c r="L845" s="96"/>
      <c r="M845" s="96"/>
      <c r="N845" s="95"/>
      <c r="O845" s="95"/>
      <c r="P845" s="95"/>
      <c r="Q845" s="95"/>
      <c r="R845" s="60"/>
      <c r="S845" s="60"/>
      <c r="T845" s="60"/>
      <c r="U845" s="60"/>
      <c r="V845" s="60"/>
      <c r="W845" s="60"/>
      <c r="X845" s="60"/>
      <c r="Y845" s="60"/>
      <c r="Z845" s="60"/>
      <c r="AA845" s="60"/>
      <c r="AB845" s="60"/>
      <c r="AC845" s="60"/>
      <c r="AD845" s="60"/>
      <c r="AE845" s="60"/>
      <c r="AF845" s="60"/>
      <c r="AG845" s="60"/>
      <c r="AH845" s="60"/>
      <c r="AI845" s="60"/>
      <c r="AJ845" s="60"/>
    </row>
    <row r="846">
      <c r="A846" s="245"/>
      <c r="B846" s="43"/>
      <c r="C846" s="209"/>
      <c r="D846" s="209"/>
      <c r="E846" s="43"/>
      <c r="F846" s="209"/>
      <c r="G846" s="187"/>
      <c r="H846" s="43"/>
      <c r="I846" s="98"/>
      <c r="J846" s="99"/>
      <c r="K846" s="98"/>
      <c r="L846" s="99"/>
      <c r="M846" s="99"/>
      <c r="N846" s="98"/>
      <c r="O846" s="98"/>
      <c r="P846" s="98"/>
      <c r="Q846" s="98"/>
      <c r="R846" s="43"/>
      <c r="S846" s="43"/>
      <c r="T846" s="43"/>
      <c r="U846" s="43"/>
      <c r="V846" s="43"/>
      <c r="W846" s="43"/>
      <c r="X846" s="43"/>
      <c r="Y846" s="43"/>
      <c r="Z846" s="43"/>
      <c r="AA846" s="43"/>
      <c r="AB846" s="43"/>
      <c r="AC846" s="43"/>
      <c r="AD846" s="43"/>
      <c r="AE846" s="43"/>
      <c r="AF846" s="43"/>
      <c r="AG846" s="43"/>
      <c r="AH846" s="43"/>
      <c r="AI846" s="43"/>
      <c r="AJ846" s="43"/>
    </row>
    <row r="847">
      <c r="A847" s="244"/>
      <c r="B847" s="60"/>
      <c r="C847" s="210"/>
      <c r="D847" s="210"/>
      <c r="E847" s="60"/>
      <c r="F847" s="210"/>
      <c r="G847" s="190"/>
      <c r="H847" s="60"/>
      <c r="I847" s="95"/>
      <c r="J847" s="96"/>
      <c r="K847" s="95"/>
      <c r="L847" s="96"/>
      <c r="M847" s="96"/>
      <c r="N847" s="95"/>
      <c r="O847" s="95"/>
      <c r="P847" s="95"/>
      <c r="Q847" s="95"/>
      <c r="R847" s="60"/>
      <c r="S847" s="60"/>
      <c r="T847" s="60"/>
      <c r="U847" s="60"/>
      <c r="V847" s="60"/>
      <c r="W847" s="60"/>
      <c r="X847" s="60"/>
      <c r="Y847" s="60"/>
      <c r="Z847" s="60"/>
      <c r="AA847" s="60"/>
      <c r="AB847" s="60"/>
      <c r="AC847" s="60"/>
      <c r="AD847" s="60"/>
      <c r="AE847" s="60"/>
      <c r="AF847" s="60"/>
      <c r="AG847" s="60"/>
      <c r="AH847" s="60"/>
      <c r="AI847" s="60"/>
      <c r="AJ847" s="60"/>
    </row>
    <row r="848">
      <c r="A848" s="245"/>
      <c r="B848" s="43"/>
      <c r="C848" s="209"/>
      <c r="D848" s="209"/>
      <c r="E848" s="43"/>
      <c r="F848" s="209"/>
      <c r="G848" s="187"/>
      <c r="H848" s="43"/>
      <c r="I848" s="98"/>
      <c r="J848" s="99"/>
      <c r="K848" s="98"/>
      <c r="L848" s="99"/>
      <c r="M848" s="99"/>
      <c r="N848" s="98"/>
      <c r="O848" s="98"/>
      <c r="P848" s="98"/>
      <c r="Q848" s="98"/>
      <c r="R848" s="43"/>
      <c r="S848" s="43"/>
      <c r="T848" s="43"/>
      <c r="U848" s="43"/>
      <c r="V848" s="43"/>
      <c r="W848" s="43"/>
      <c r="X848" s="43"/>
      <c r="Y848" s="43"/>
      <c r="Z848" s="43"/>
      <c r="AA848" s="43"/>
      <c r="AB848" s="43"/>
      <c r="AC848" s="43"/>
      <c r="AD848" s="43"/>
      <c r="AE848" s="43"/>
      <c r="AF848" s="43"/>
      <c r="AG848" s="43"/>
      <c r="AH848" s="43"/>
      <c r="AI848" s="43"/>
      <c r="AJ848" s="43"/>
    </row>
    <row r="849">
      <c r="A849" s="244"/>
      <c r="B849" s="60"/>
      <c r="C849" s="210"/>
      <c r="D849" s="210"/>
      <c r="E849" s="60"/>
      <c r="F849" s="210"/>
      <c r="G849" s="190"/>
      <c r="H849" s="60"/>
      <c r="I849" s="95"/>
      <c r="J849" s="96"/>
      <c r="K849" s="95"/>
      <c r="L849" s="96"/>
      <c r="M849" s="96"/>
      <c r="N849" s="95"/>
      <c r="O849" s="95"/>
      <c r="P849" s="95"/>
      <c r="Q849" s="95"/>
      <c r="R849" s="60"/>
      <c r="S849" s="60"/>
      <c r="T849" s="60"/>
      <c r="U849" s="60"/>
      <c r="V849" s="60"/>
      <c r="W849" s="60"/>
      <c r="X849" s="60"/>
      <c r="Y849" s="60"/>
      <c r="Z849" s="60"/>
      <c r="AA849" s="60"/>
      <c r="AB849" s="60"/>
      <c r="AC849" s="60"/>
      <c r="AD849" s="60"/>
      <c r="AE849" s="60"/>
      <c r="AF849" s="60"/>
      <c r="AG849" s="60"/>
      <c r="AH849" s="60"/>
      <c r="AI849" s="60"/>
      <c r="AJ849" s="60"/>
    </row>
    <row r="850">
      <c r="A850" s="245"/>
      <c r="B850" s="43"/>
      <c r="C850" s="209"/>
      <c r="D850" s="209"/>
      <c r="E850" s="43"/>
      <c r="F850" s="209"/>
      <c r="G850" s="187"/>
      <c r="H850" s="43"/>
      <c r="I850" s="98"/>
      <c r="J850" s="99"/>
      <c r="K850" s="98"/>
      <c r="L850" s="99"/>
      <c r="M850" s="99"/>
      <c r="N850" s="98"/>
      <c r="O850" s="98"/>
      <c r="P850" s="98"/>
      <c r="Q850" s="98"/>
      <c r="R850" s="43"/>
      <c r="S850" s="43"/>
      <c r="T850" s="43"/>
      <c r="U850" s="43"/>
      <c r="V850" s="43"/>
      <c r="W850" s="43"/>
      <c r="X850" s="43"/>
      <c r="Y850" s="43"/>
      <c r="Z850" s="43"/>
      <c r="AA850" s="43"/>
      <c r="AB850" s="43"/>
      <c r="AC850" s="43"/>
      <c r="AD850" s="43"/>
      <c r="AE850" s="43"/>
      <c r="AF850" s="43"/>
      <c r="AG850" s="43"/>
      <c r="AH850" s="43"/>
      <c r="AI850" s="43"/>
      <c r="AJ850" s="43"/>
    </row>
    <row r="851">
      <c r="A851" s="244"/>
      <c r="B851" s="60"/>
      <c r="C851" s="210"/>
      <c r="D851" s="210"/>
      <c r="E851" s="60"/>
      <c r="F851" s="210"/>
      <c r="G851" s="190"/>
      <c r="H851" s="60"/>
      <c r="I851" s="95"/>
      <c r="J851" s="96"/>
      <c r="K851" s="95"/>
      <c r="L851" s="96"/>
      <c r="M851" s="96"/>
      <c r="N851" s="95"/>
      <c r="O851" s="95"/>
      <c r="P851" s="95"/>
      <c r="Q851" s="95"/>
      <c r="R851" s="60"/>
      <c r="S851" s="60"/>
      <c r="T851" s="60"/>
      <c r="U851" s="60"/>
      <c r="V851" s="60"/>
      <c r="W851" s="60"/>
      <c r="X851" s="60"/>
      <c r="Y851" s="60"/>
      <c r="Z851" s="60"/>
      <c r="AA851" s="60"/>
      <c r="AB851" s="60"/>
      <c r="AC851" s="60"/>
      <c r="AD851" s="60"/>
      <c r="AE851" s="60"/>
      <c r="AF851" s="60"/>
      <c r="AG851" s="60"/>
      <c r="AH851" s="60"/>
      <c r="AI851" s="60"/>
      <c r="AJ851" s="60"/>
    </row>
    <row r="852">
      <c r="A852" s="245"/>
      <c r="B852" s="43"/>
      <c r="C852" s="209"/>
      <c r="D852" s="209"/>
      <c r="E852" s="43"/>
      <c r="F852" s="209"/>
      <c r="G852" s="187"/>
      <c r="H852" s="43"/>
      <c r="I852" s="98"/>
      <c r="J852" s="99"/>
      <c r="K852" s="98"/>
      <c r="L852" s="99"/>
      <c r="M852" s="99"/>
      <c r="N852" s="98"/>
      <c r="O852" s="98"/>
      <c r="P852" s="98"/>
      <c r="Q852" s="98"/>
      <c r="R852" s="43"/>
      <c r="S852" s="43"/>
      <c r="T852" s="43"/>
      <c r="U852" s="43"/>
      <c r="V852" s="43"/>
      <c r="W852" s="43"/>
      <c r="X852" s="43"/>
      <c r="Y852" s="43"/>
      <c r="Z852" s="43"/>
      <c r="AA852" s="43"/>
      <c r="AB852" s="43"/>
      <c r="AC852" s="43"/>
      <c r="AD852" s="43"/>
      <c r="AE852" s="43"/>
      <c r="AF852" s="43"/>
      <c r="AG852" s="43"/>
      <c r="AH852" s="43"/>
      <c r="AI852" s="43"/>
      <c r="AJ852" s="43"/>
    </row>
    <row r="853">
      <c r="A853" s="244"/>
      <c r="B853" s="60"/>
      <c r="C853" s="210"/>
      <c r="D853" s="210"/>
      <c r="E853" s="60"/>
      <c r="F853" s="210"/>
      <c r="G853" s="190"/>
      <c r="H853" s="60"/>
      <c r="I853" s="95"/>
      <c r="J853" s="96"/>
      <c r="K853" s="95"/>
      <c r="L853" s="96"/>
      <c r="M853" s="96"/>
      <c r="N853" s="95"/>
      <c r="O853" s="95"/>
      <c r="P853" s="95"/>
      <c r="Q853" s="95"/>
      <c r="R853" s="60"/>
      <c r="S853" s="60"/>
      <c r="T853" s="60"/>
      <c r="U853" s="60"/>
      <c r="V853" s="60"/>
      <c r="W853" s="60"/>
      <c r="X853" s="60"/>
      <c r="Y853" s="60"/>
      <c r="Z853" s="60"/>
      <c r="AA853" s="60"/>
      <c r="AB853" s="60"/>
      <c r="AC853" s="60"/>
      <c r="AD853" s="60"/>
      <c r="AE853" s="60"/>
      <c r="AF853" s="60"/>
      <c r="AG853" s="60"/>
      <c r="AH853" s="60"/>
      <c r="AI853" s="60"/>
      <c r="AJ853" s="60"/>
    </row>
    <row r="854">
      <c r="A854" s="245"/>
      <c r="B854" s="43"/>
      <c r="C854" s="209"/>
      <c r="D854" s="209"/>
      <c r="E854" s="43"/>
      <c r="F854" s="209"/>
      <c r="G854" s="187"/>
      <c r="H854" s="43"/>
      <c r="I854" s="98"/>
      <c r="J854" s="99"/>
      <c r="K854" s="98"/>
      <c r="L854" s="99"/>
      <c r="M854" s="99"/>
      <c r="N854" s="98"/>
      <c r="O854" s="98"/>
      <c r="P854" s="98"/>
      <c r="Q854" s="98"/>
      <c r="R854" s="43"/>
      <c r="S854" s="43"/>
      <c r="T854" s="43"/>
      <c r="U854" s="43"/>
      <c r="V854" s="43"/>
      <c r="W854" s="43"/>
      <c r="X854" s="43"/>
      <c r="Y854" s="43"/>
      <c r="Z854" s="43"/>
      <c r="AA854" s="43"/>
      <c r="AB854" s="43"/>
      <c r="AC854" s="43"/>
      <c r="AD854" s="43"/>
      <c r="AE854" s="43"/>
      <c r="AF854" s="43"/>
      <c r="AG854" s="43"/>
      <c r="AH854" s="43"/>
      <c r="AI854" s="43"/>
      <c r="AJ854" s="43"/>
    </row>
    <row r="855">
      <c r="A855" s="244"/>
      <c r="B855" s="60"/>
      <c r="C855" s="210"/>
      <c r="D855" s="210"/>
      <c r="E855" s="60"/>
      <c r="F855" s="210"/>
      <c r="G855" s="190"/>
      <c r="H855" s="60"/>
      <c r="I855" s="95"/>
      <c r="J855" s="96"/>
      <c r="K855" s="95"/>
      <c r="L855" s="96"/>
      <c r="M855" s="96"/>
      <c r="N855" s="95"/>
      <c r="O855" s="95"/>
      <c r="P855" s="95"/>
      <c r="Q855" s="95"/>
      <c r="R855" s="60"/>
      <c r="S855" s="60"/>
      <c r="T855" s="60"/>
      <c r="U855" s="60"/>
      <c r="V855" s="60"/>
      <c r="W855" s="60"/>
      <c r="X855" s="60"/>
      <c r="Y855" s="60"/>
      <c r="Z855" s="60"/>
      <c r="AA855" s="60"/>
      <c r="AB855" s="60"/>
      <c r="AC855" s="60"/>
      <c r="AD855" s="60"/>
      <c r="AE855" s="60"/>
      <c r="AF855" s="60"/>
      <c r="AG855" s="60"/>
      <c r="AH855" s="60"/>
      <c r="AI855" s="60"/>
      <c r="AJ855" s="60"/>
    </row>
    <row r="856">
      <c r="A856" s="245"/>
      <c r="B856" s="43"/>
      <c r="C856" s="209"/>
      <c r="D856" s="209"/>
      <c r="E856" s="43"/>
      <c r="F856" s="209"/>
      <c r="G856" s="187"/>
      <c r="H856" s="43"/>
      <c r="I856" s="98"/>
      <c r="J856" s="99"/>
      <c r="K856" s="98"/>
      <c r="L856" s="99"/>
      <c r="M856" s="99"/>
      <c r="N856" s="98"/>
      <c r="O856" s="98"/>
      <c r="P856" s="98"/>
      <c r="Q856" s="98"/>
      <c r="R856" s="43"/>
      <c r="S856" s="43"/>
      <c r="T856" s="43"/>
      <c r="U856" s="43"/>
      <c r="V856" s="43"/>
      <c r="W856" s="43"/>
      <c r="X856" s="43"/>
      <c r="Y856" s="43"/>
      <c r="Z856" s="43"/>
      <c r="AA856" s="43"/>
      <c r="AB856" s="43"/>
      <c r="AC856" s="43"/>
      <c r="AD856" s="43"/>
      <c r="AE856" s="43"/>
      <c r="AF856" s="43"/>
      <c r="AG856" s="43"/>
      <c r="AH856" s="43"/>
      <c r="AI856" s="43"/>
      <c r="AJ856" s="43"/>
    </row>
    <row r="857">
      <c r="A857" s="244"/>
      <c r="B857" s="60"/>
      <c r="C857" s="210"/>
      <c r="D857" s="210"/>
      <c r="E857" s="60"/>
      <c r="F857" s="210"/>
      <c r="G857" s="190"/>
      <c r="H857" s="60"/>
      <c r="I857" s="95"/>
      <c r="J857" s="96"/>
      <c r="K857" s="95"/>
      <c r="L857" s="96"/>
      <c r="M857" s="96"/>
      <c r="N857" s="95"/>
      <c r="O857" s="95"/>
      <c r="P857" s="95"/>
      <c r="Q857" s="95"/>
      <c r="R857" s="60"/>
      <c r="S857" s="60"/>
      <c r="T857" s="60"/>
      <c r="U857" s="60"/>
      <c r="V857" s="60"/>
      <c r="W857" s="60"/>
      <c r="X857" s="60"/>
      <c r="Y857" s="60"/>
      <c r="Z857" s="60"/>
      <c r="AA857" s="60"/>
      <c r="AB857" s="60"/>
      <c r="AC857" s="60"/>
      <c r="AD857" s="60"/>
      <c r="AE857" s="60"/>
      <c r="AF857" s="60"/>
      <c r="AG857" s="60"/>
      <c r="AH857" s="60"/>
      <c r="AI857" s="60"/>
      <c r="AJ857" s="60"/>
    </row>
    <row r="858">
      <c r="A858" s="245"/>
      <c r="B858" s="43"/>
      <c r="C858" s="209"/>
      <c r="D858" s="209"/>
      <c r="E858" s="43"/>
      <c r="F858" s="209"/>
      <c r="G858" s="187"/>
      <c r="H858" s="43"/>
      <c r="I858" s="98"/>
      <c r="J858" s="99"/>
      <c r="K858" s="98"/>
      <c r="L858" s="99"/>
      <c r="M858" s="99"/>
      <c r="N858" s="98"/>
      <c r="O858" s="98"/>
      <c r="P858" s="98"/>
      <c r="Q858" s="98"/>
      <c r="R858" s="43"/>
      <c r="S858" s="43"/>
      <c r="T858" s="43"/>
      <c r="U858" s="43"/>
      <c r="V858" s="43"/>
      <c r="W858" s="43"/>
      <c r="X858" s="43"/>
      <c r="Y858" s="43"/>
      <c r="Z858" s="43"/>
      <c r="AA858" s="43"/>
      <c r="AB858" s="43"/>
      <c r="AC858" s="43"/>
      <c r="AD858" s="43"/>
      <c r="AE858" s="43"/>
      <c r="AF858" s="43"/>
      <c r="AG858" s="43"/>
      <c r="AH858" s="43"/>
      <c r="AI858" s="43"/>
      <c r="AJ858" s="43"/>
    </row>
    <row r="859">
      <c r="A859" s="244"/>
      <c r="B859" s="60"/>
      <c r="C859" s="210"/>
      <c r="D859" s="210"/>
      <c r="E859" s="60"/>
      <c r="F859" s="210"/>
      <c r="G859" s="190"/>
      <c r="H859" s="60"/>
      <c r="I859" s="95"/>
      <c r="J859" s="96"/>
      <c r="K859" s="95"/>
      <c r="L859" s="96"/>
      <c r="M859" s="96"/>
      <c r="N859" s="95"/>
      <c r="O859" s="95"/>
      <c r="P859" s="95"/>
      <c r="Q859" s="95"/>
      <c r="R859" s="60"/>
      <c r="S859" s="60"/>
      <c r="T859" s="60"/>
      <c r="U859" s="60"/>
      <c r="V859" s="60"/>
      <c r="W859" s="60"/>
      <c r="X859" s="60"/>
      <c r="Y859" s="60"/>
      <c r="Z859" s="60"/>
      <c r="AA859" s="60"/>
      <c r="AB859" s="60"/>
      <c r="AC859" s="60"/>
      <c r="AD859" s="60"/>
      <c r="AE859" s="60"/>
      <c r="AF859" s="60"/>
      <c r="AG859" s="60"/>
      <c r="AH859" s="60"/>
      <c r="AI859" s="60"/>
      <c r="AJ859" s="60"/>
    </row>
    <row r="860">
      <c r="A860" s="245"/>
      <c r="B860" s="43"/>
      <c r="C860" s="209"/>
      <c r="D860" s="209"/>
      <c r="E860" s="43"/>
      <c r="F860" s="209"/>
      <c r="G860" s="187"/>
      <c r="H860" s="43"/>
      <c r="I860" s="98"/>
      <c r="J860" s="99"/>
      <c r="K860" s="98"/>
      <c r="L860" s="99"/>
      <c r="M860" s="99"/>
      <c r="N860" s="98"/>
      <c r="O860" s="98"/>
      <c r="P860" s="98"/>
      <c r="Q860" s="98"/>
      <c r="R860" s="43"/>
      <c r="S860" s="43"/>
      <c r="T860" s="43"/>
      <c r="U860" s="43"/>
      <c r="V860" s="43"/>
      <c r="W860" s="43"/>
      <c r="X860" s="43"/>
      <c r="Y860" s="43"/>
      <c r="Z860" s="43"/>
      <c r="AA860" s="43"/>
      <c r="AB860" s="43"/>
      <c r="AC860" s="43"/>
      <c r="AD860" s="43"/>
      <c r="AE860" s="43"/>
      <c r="AF860" s="43"/>
      <c r="AG860" s="43"/>
      <c r="AH860" s="43"/>
      <c r="AI860" s="43"/>
      <c r="AJ860" s="43"/>
    </row>
    <row r="861">
      <c r="A861" s="244"/>
      <c r="B861" s="60"/>
      <c r="C861" s="210"/>
      <c r="D861" s="210"/>
      <c r="E861" s="60"/>
      <c r="F861" s="210"/>
      <c r="G861" s="190"/>
      <c r="H861" s="60"/>
      <c r="I861" s="95"/>
      <c r="J861" s="96"/>
      <c r="K861" s="95"/>
      <c r="L861" s="96"/>
      <c r="M861" s="96"/>
      <c r="N861" s="95"/>
      <c r="O861" s="95"/>
      <c r="P861" s="95"/>
      <c r="Q861" s="95"/>
      <c r="R861" s="60"/>
      <c r="S861" s="60"/>
      <c r="T861" s="60"/>
      <c r="U861" s="60"/>
      <c r="V861" s="60"/>
      <c r="W861" s="60"/>
      <c r="X861" s="60"/>
      <c r="Y861" s="60"/>
      <c r="Z861" s="60"/>
      <c r="AA861" s="60"/>
      <c r="AB861" s="60"/>
      <c r="AC861" s="60"/>
      <c r="AD861" s="60"/>
      <c r="AE861" s="60"/>
      <c r="AF861" s="60"/>
      <c r="AG861" s="60"/>
      <c r="AH861" s="60"/>
      <c r="AI861" s="60"/>
      <c r="AJ861" s="60"/>
    </row>
    <row r="862">
      <c r="A862" s="245"/>
      <c r="B862" s="43"/>
      <c r="C862" s="209"/>
      <c r="D862" s="209"/>
      <c r="E862" s="43"/>
      <c r="F862" s="209"/>
      <c r="G862" s="187"/>
      <c r="H862" s="43"/>
      <c r="I862" s="98"/>
      <c r="J862" s="99"/>
      <c r="K862" s="98"/>
      <c r="L862" s="99"/>
      <c r="M862" s="99"/>
      <c r="N862" s="98"/>
      <c r="O862" s="98"/>
      <c r="P862" s="98"/>
      <c r="Q862" s="98"/>
      <c r="R862" s="43"/>
      <c r="S862" s="43"/>
      <c r="T862" s="43"/>
      <c r="U862" s="43"/>
      <c r="V862" s="43"/>
      <c r="W862" s="43"/>
      <c r="X862" s="43"/>
      <c r="Y862" s="43"/>
      <c r="Z862" s="43"/>
      <c r="AA862" s="43"/>
      <c r="AB862" s="43"/>
      <c r="AC862" s="43"/>
      <c r="AD862" s="43"/>
      <c r="AE862" s="43"/>
      <c r="AF862" s="43"/>
      <c r="AG862" s="43"/>
      <c r="AH862" s="43"/>
      <c r="AI862" s="43"/>
      <c r="AJ862" s="43"/>
    </row>
    <row r="863">
      <c r="A863" s="244"/>
      <c r="B863" s="60"/>
      <c r="C863" s="210"/>
      <c r="D863" s="210"/>
      <c r="E863" s="60"/>
      <c r="F863" s="210"/>
      <c r="G863" s="190"/>
      <c r="H863" s="60"/>
      <c r="I863" s="95"/>
      <c r="J863" s="96"/>
      <c r="K863" s="95"/>
      <c r="L863" s="96"/>
      <c r="M863" s="96"/>
      <c r="N863" s="95"/>
      <c r="O863" s="95"/>
      <c r="P863" s="95"/>
      <c r="Q863" s="95"/>
      <c r="R863" s="60"/>
      <c r="S863" s="60"/>
      <c r="T863" s="60"/>
      <c r="U863" s="60"/>
      <c r="V863" s="60"/>
      <c r="W863" s="60"/>
      <c r="X863" s="60"/>
      <c r="Y863" s="60"/>
      <c r="Z863" s="60"/>
      <c r="AA863" s="60"/>
      <c r="AB863" s="60"/>
      <c r="AC863" s="60"/>
      <c r="AD863" s="60"/>
      <c r="AE863" s="60"/>
      <c r="AF863" s="60"/>
      <c r="AG863" s="60"/>
      <c r="AH863" s="60"/>
      <c r="AI863" s="60"/>
      <c r="AJ863" s="60"/>
    </row>
    <row r="864">
      <c r="A864" s="245"/>
      <c r="B864" s="43"/>
      <c r="C864" s="209"/>
      <c r="D864" s="209"/>
      <c r="E864" s="43"/>
      <c r="F864" s="209"/>
      <c r="G864" s="187"/>
      <c r="H864" s="43"/>
      <c r="I864" s="98"/>
      <c r="J864" s="99"/>
      <c r="K864" s="98"/>
      <c r="L864" s="99"/>
      <c r="M864" s="99"/>
      <c r="N864" s="98"/>
      <c r="O864" s="98"/>
      <c r="P864" s="98"/>
      <c r="Q864" s="98"/>
      <c r="R864" s="43"/>
      <c r="S864" s="43"/>
      <c r="T864" s="43"/>
      <c r="U864" s="43"/>
      <c r="V864" s="43"/>
      <c r="W864" s="43"/>
      <c r="X864" s="43"/>
      <c r="Y864" s="43"/>
      <c r="Z864" s="43"/>
      <c r="AA864" s="43"/>
      <c r="AB864" s="43"/>
      <c r="AC864" s="43"/>
      <c r="AD864" s="43"/>
      <c r="AE864" s="43"/>
      <c r="AF864" s="43"/>
      <c r="AG864" s="43"/>
      <c r="AH864" s="43"/>
      <c r="AI864" s="43"/>
      <c r="AJ864" s="43"/>
    </row>
    <row r="865">
      <c r="A865" s="244"/>
      <c r="B865" s="60"/>
      <c r="C865" s="210"/>
      <c r="D865" s="210"/>
      <c r="E865" s="60"/>
      <c r="F865" s="210"/>
      <c r="G865" s="190"/>
      <c r="H865" s="60"/>
      <c r="I865" s="95"/>
      <c r="J865" s="96"/>
      <c r="K865" s="95"/>
      <c r="L865" s="96"/>
      <c r="M865" s="96"/>
      <c r="N865" s="95"/>
      <c r="O865" s="95"/>
      <c r="P865" s="95"/>
      <c r="Q865" s="95"/>
      <c r="R865" s="60"/>
      <c r="S865" s="60"/>
      <c r="T865" s="60"/>
      <c r="U865" s="60"/>
      <c r="V865" s="60"/>
      <c r="W865" s="60"/>
      <c r="X865" s="60"/>
      <c r="Y865" s="60"/>
      <c r="Z865" s="60"/>
      <c r="AA865" s="60"/>
      <c r="AB865" s="60"/>
      <c r="AC865" s="60"/>
      <c r="AD865" s="60"/>
      <c r="AE865" s="60"/>
      <c r="AF865" s="60"/>
      <c r="AG865" s="60"/>
      <c r="AH865" s="60"/>
      <c r="AI865" s="60"/>
      <c r="AJ865" s="60"/>
    </row>
    <row r="866">
      <c r="A866" s="245"/>
      <c r="B866" s="43"/>
      <c r="C866" s="209"/>
      <c r="D866" s="209"/>
      <c r="E866" s="43"/>
      <c r="F866" s="209"/>
      <c r="G866" s="187"/>
      <c r="H866" s="43"/>
      <c r="I866" s="98"/>
      <c r="J866" s="99"/>
      <c r="K866" s="98"/>
      <c r="L866" s="99"/>
      <c r="M866" s="99"/>
      <c r="N866" s="98"/>
      <c r="O866" s="98"/>
      <c r="P866" s="98"/>
      <c r="Q866" s="98"/>
      <c r="R866" s="43"/>
      <c r="S866" s="43"/>
      <c r="T866" s="43"/>
      <c r="U866" s="43"/>
      <c r="V866" s="43"/>
      <c r="W866" s="43"/>
      <c r="X866" s="43"/>
      <c r="Y866" s="43"/>
      <c r="Z866" s="43"/>
      <c r="AA866" s="43"/>
      <c r="AB866" s="43"/>
      <c r="AC866" s="43"/>
      <c r="AD866" s="43"/>
      <c r="AE866" s="43"/>
      <c r="AF866" s="43"/>
      <c r="AG866" s="43"/>
      <c r="AH866" s="43"/>
      <c r="AI866" s="43"/>
      <c r="AJ866" s="43"/>
    </row>
    <row r="867">
      <c r="A867" s="244"/>
      <c r="B867" s="60"/>
      <c r="C867" s="210"/>
      <c r="D867" s="210"/>
      <c r="E867" s="60"/>
      <c r="F867" s="210"/>
      <c r="G867" s="190"/>
      <c r="H867" s="60"/>
      <c r="I867" s="95"/>
      <c r="J867" s="96"/>
      <c r="K867" s="95"/>
      <c r="L867" s="96"/>
      <c r="M867" s="96"/>
      <c r="N867" s="95"/>
      <c r="O867" s="95"/>
      <c r="P867" s="95"/>
      <c r="Q867" s="95"/>
      <c r="R867" s="60"/>
      <c r="S867" s="60"/>
      <c r="T867" s="60"/>
      <c r="U867" s="60"/>
      <c r="V867" s="60"/>
      <c r="W867" s="60"/>
      <c r="X867" s="60"/>
      <c r="Y867" s="60"/>
      <c r="Z867" s="60"/>
      <c r="AA867" s="60"/>
      <c r="AB867" s="60"/>
      <c r="AC867" s="60"/>
      <c r="AD867" s="60"/>
      <c r="AE867" s="60"/>
      <c r="AF867" s="60"/>
      <c r="AG867" s="60"/>
      <c r="AH867" s="60"/>
      <c r="AI867" s="60"/>
      <c r="AJ867" s="60"/>
    </row>
    <row r="868">
      <c r="A868" s="245"/>
      <c r="B868" s="43"/>
      <c r="C868" s="209"/>
      <c r="D868" s="209"/>
      <c r="E868" s="43"/>
      <c r="F868" s="209"/>
      <c r="G868" s="187"/>
      <c r="H868" s="43"/>
      <c r="I868" s="98"/>
      <c r="J868" s="99"/>
      <c r="K868" s="98"/>
      <c r="L868" s="99"/>
      <c r="M868" s="99"/>
      <c r="N868" s="98"/>
      <c r="O868" s="98"/>
      <c r="P868" s="98"/>
      <c r="Q868" s="98"/>
      <c r="R868" s="43"/>
      <c r="S868" s="43"/>
      <c r="T868" s="43"/>
      <c r="U868" s="43"/>
      <c r="V868" s="43"/>
      <c r="W868" s="43"/>
      <c r="X868" s="43"/>
      <c r="Y868" s="43"/>
      <c r="Z868" s="43"/>
      <c r="AA868" s="43"/>
      <c r="AB868" s="43"/>
      <c r="AC868" s="43"/>
      <c r="AD868" s="43"/>
      <c r="AE868" s="43"/>
      <c r="AF868" s="43"/>
      <c r="AG868" s="43"/>
      <c r="AH868" s="43"/>
      <c r="AI868" s="43"/>
      <c r="AJ868" s="43"/>
    </row>
    <row r="869">
      <c r="A869" s="244"/>
      <c r="B869" s="60"/>
      <c r="C869" s="210"/>
      <c r="D869" s="210"/>
      <c r="E869" s="60"/>
      <c r="F869" s="210"/>
      <c r="G869" s="190"/>
      <c r="H869" s="60"/>
      <c r="I869" s="95"/>
      <c r="J869" s="96"/>
      <c r="K869" s="95"/>
      <c r="L869" s="96"/>
      <c r="M869" s="96"/>
      <c r="N869" s="95"/>
      <c r="O869" s="95"/>
      <c r="P869" s="95"/>
      <c r="Q869" s="95"/>
      <c r="R869" s="60"/>
      <c r="S869" s="60"/>
      <c r="T869" s="60"/>
      <c r="U869" s="60"/>
      <c r="V869" s="60"/>
      <c r="W869" s="60"/>
      <c r="X869" s="60"/>
      <c r="Y869" s="60"/>
      <c r="Z869" s="60"/>
      <c r="AA869" s="60"/>
      <c r="AB869" s="60"/>
      <c r="AC869" s="60"/>
      <c r="AD869" s="60"/>
      <c r="AE869" s="60"/>
      <c r="AF869" s="60"/>
      <c r="AG869" s="60"/>
      <c r="AH869" s="60"/>
      <c r="AI869" s="60"/>
      <c r="AJ869" s="60"/>
    </row>
    <row r="870">
      <c r="A870" s="245"/>
      <c r="B870" s="43"/>
      <c r="C870" s="209"/>
      <c r="D870" s="209"/>
      <c r="E870" s="43"/>
      <c r="F870" s="209"/>
      <c r="G870" s="187"/>
      <c r="H870" s="43"/>
      <c r="I870" s="98"/>
      <c r="J870" s="99"/>
      <c r="K870" s="98"/>
      <c r="L870" s="99"/>
      <c r="M870" s="99"/>
      <c r="N870" s="98"/>
      <c r="O870" s="98"/>
      <c r="P870" s="98"/>
      <c r="Q870" s="98"/>
      <c r="R870" s="43"/>
      <c r="S870" s="43"/>
      <c r="T870" s="43"/>
      <c r="U870" s="43"/>
      <c r="V870" s="43"/>
      <c r="W870" s="43"/>
      <c r="X870" s="43"/>
      <c r="Y870" s="43"/>
      <c r="Z870" s="43"/>
      <c r="AA870" s="43"/>
      <c r="AB870" s="43"/>
      <c r="AC870" s="43"/>
      <c r="AD870" s="43"/>
      <c r="AE870" s="43"/>
      <c r="AF870" s="43"/>
      <c r="AG870" s="43"/>
      <c r="AH870" s="43"/>
      <c r="AI870" s="43"/>
      <c r="AJ870" s="43"/>
    </row>
    <row r="871">
      <c r="A871" s="244"/>
      <c r="B871" s="60"/>
      <c r="C871" s="210"/>
      <c r="D871" s="210"/>
      <c r="E871" s="60"/>
      <c r="F871" s="210"/>
      <c r="G871" s="190"/>
      <c r="H871" s="60"/>
      <c r="I871" s="95"/>
      <c r="J871" s="96"/>
      <c r="K871" s="95"/>
      <c r="L871" s="96"/>
      <c r="M871" s="96"/>
      <c r="N871" s="95"/>
      <c r="O871" s="95"/>
      <c r="P871" s="95"/>
      <c r="Q871" s="95"/>
      <c r="R871" s="60"/>
      <c r="S871" s="60"/>
      <c r="T871" s="60"/>
      <c r="U871" s="60"/>
      <c r="V871" s="60"/>
      <c r="W871" s="60"/>
      <c r="X871" s="60"/>
      <c r="Y871" s="60"/>
      <c r="Z871" s="60"/>
      <c r="AA871" s="60"/>
      <c r="AB871" s="60"/>
      <c r="AC871" s="60"/>
      <c r="AD871" s="60"/>
      <c r="AE871" s="60"/>
      <c r="AF871" s="60"/>
      <c r="AG871" s="60"/>
      <c r="AH871" s="60"/>
      <c r="AI871" s="60"/>
      <c r="AJ871" s="60"/>
    </row>
    <row r="872">
      <c r="A872" s="245"/>
      <c r="B872" s="43"/>
      <c r="C872" s="209"/>
      <c r="D872" s="209"/>
      <c r="E872" s="43"/>
      <c r="F872" s="209"/>
      <c r="G872" s="187"/>
      <c r="H872" s="43"/>
      <c r="I872" s="98"/>
      <c r="J872" s="99"/>
      <c r="K872" s="98"/>
      <c r="L872" s="99"/>
      <c r="M872" s="99"/>
      <c r="N872" s="98"/>
      <c r="O872" s="98"/>
      <c r="P872" s="98"/>
      <c r="Q872" s="98"/>
      <c r="R872" s="43"/>
      <c r="S872" s="43"/>
      <c r="T872" s="43"/>
      <c r="U872" s="43"/>
      <c r="V872" s="43"/>
      <c r="W872" s="43"/>
      <c r="X872" s="43"/>
      <c r="Y872" s="43"/>
      <c r="Z872" s="43"/>
      <c r="AA872" s="43"/>
      <c r="AB872" s="43"/>
      <c r="AC872" s="43"/>
      <c r="AD872" s="43"/>
      <c r="AE872" s="43"/>
      <c r="AF872" s="43"/>
      <c r="AG872" s="43"/>
      <c r="AH872" s="43"/>
      <c r="AI872" s="43"/>
      <c r="AJ872" s="43"/>
    </row>
    <row r="873">
      <c r="A873" s="244"/>
      <c r="B873" s="60"/>
      <c r="C873" s="210"/>
      <c r="D873" s="210"/>
      <c r="E873" s="60"/>
      <c r="F873" s="210"/>
      <c r="G873" s="190"/>
      <c r="H873" s="60"/>
      <c r="I873" s="95"/>
      <c r="J873" s="96"/>
      <c r="K873" s="95"/>
      <c r="L873" s="96"/>
      <c r="M873" s="96"/>
      <c r="N873" s="95"/>
      <c r="O873" s="95"/>
      <c r="P873" s="95"/>
      <c r="Q873" s="95"/>
      <c r="R873" s="60"/>
      <c r="S873" s="60"/>
      <c r="T873" s="60"/>
      <c r="U873" s="60"/>
      <c r="V873" s="60"/>
      <c r="W873" s="60"/>
      <c r="X873" s="60"/>
      <c r="Y873" s="60"/>
      <c r="Z873" s="60"/>
      <c r="AA873" s="60"/>
      <c r="AB873" s="60"/>
      <c r="AC873" s="60"/>
      <c r="AD873" s="60"/>
      <c r="AE873" s="60"/>
      <c r="AF873" s="60"/>
      <c r="AG873" s="60"/>
      <c r="AH873" s="60"/>
      <c r="AI873" s="60"/>
      <c r="AJ873" s="60"/>
    </row>
    <row r="874">
      <c r="A874" s="245"/>
      <c r="B874" s="43"/>
      <c r="C874" s="209"/>
      <c r="D874" s="209"/>
      <c r="E874" s="43"/>
      <c r="F874" s="209"/>
      <c r="G874" s="187"/>
      <c r="H874" s="43"/>
      <c r="I874" s="98"/>
      <c r="J874" s="99"/>
      <c r="K874" s="98"/>
      <c r="L874" s="99"/>
      <c r="M874" s="99"/>
      <c r="N874" s="98"/>
      <c r="O874" s="98"/>
      <c r="P874" s="98"/>
      <c r="Q874" s="98"/>
      <c r="R874" s="43"/>
      <c r="S874" s="43"/>
      <c r="T874" s="43"/>
      <c r="U874" s="43"/>
      <c r="V874" s="43"/>
      <c r="W874" s="43"/>
      <c r="X874" s="43"/>
      <c r="Y874" s="43"/>
      <c r="Z874" s="43"/>
      <c r="AA874" s="43"/>
      <c r="AB874" s="43"/>
      <c r="AC874" s="43"/>
      <c r="AD874" s="43"/>
      <c r="AE874" s="43"/>
      <c r="AF874" s="43"/>
      <c r="AG874" s="43"/>
      <c r="AH874" s="43"/>
      <c r="AI874" s="43"/>
      <c r="AJ874" s="43"/>
    </row>
    <row r="875">
      <c r="A875" s="244"/>
      <c r="B875" s="60"/>
      <c r="C875" s="210"/>
      <c r="D875" s="210"/>
      <c r="E875" s="60"/>
      <c r="F875" s="210"/>
      <c r="G875" s="190"/>
      <c r="H875" s="60"/>
      <c r="I875" s="95"/>
      <c r="J875" s="96"/>
      <c r="K875" s="95"/>
      <c r="L875" s="96"/>
      <c r="M875" s="96"/>
      <c r="N875" s="95"/>
      <c r="O875" s="95"/>
      <c r="P875" s="95"/>
      <c r="Q875" s="95"/>
      <c r="R875" s="60"/>
      <c r="S875" s="60"/>
      <c r="T875" s="60"/>
      <c r="U875" s="60"/>
      <c r="V875" s="60"/>
      <c r="W875" s="60"/>
      <c r="X875" s="60"/>
      <c r="Y875" s="60"/>
      <c r="Z875" s="60"/>
      <c r="AA875" s="60"/>
      <c r="AB875" s="60"/>
      <c r="AC875" s="60"/>
      <c r="AD875" s="60"/>
      <c r="AE875" s="60"/>
      <c r="AF875" s="60"/>
      <c r="AG875" s="60"/>
      <c r="AH875" s="60"/>
      <c r="AI875" s="60"/>
      <c r="AJ875" s="60"/>
    </row>
    <row r="876">
      <c r="A876" s="245"/>
      <c r="B876" s="43"/>
      <c r="C876" s="209"/>
      <c r="D876" s="209"/>
      <c r="E876" s="43"/>
      <c r="F876" s="209"/>
      <c r="G876" s="187"/>
      <c r="H876" s="43"/>
      <c r="I876" s="98"/>
      <c r="J876" s="99"/>
      <c r="K876" s="98"/>
      <c r="L876" s="99"/>
      <c r="M876" s="99"/>
      <c r="N876" s="98"/>
      <c r="O876" s="98"/>
      <c r="P876" s="98"/>
      <c r="Q876" s="98"/>
      <c r="R876" s="43"/>
      <c r="S876" s="43"/>
      <c r="T876" s="43"/>
      <c r="U876" s="43"/>
      <c r="V876" s="43"/>
      <c r="W876" s="43"/>
      <c r="X876" s="43"/>
      <c r="Y876" s="43"/>
      <c r="Z876" s="43"/>
      <c r="AA876" s="43"/>
      <c r="AB876" s="43"/>
      <c r="AC876" s="43"/>
      <c r="AD876" s="43"/>
      <c r="AE876" s="43"/>
      <c r="AF876" s="43"/>
      <c r="AG876" s="43"/>
      <c r="AH876" s="43"/>
      <c r="AI876" s="43"/>
      <c r="AJ876" s="43"/>
    </row>
    <row r="877">
      <c r="A877" s="244"/>
      <c r="B877" s="60"/>
      <c r="C877" s="210"/>
      <c r="D877" s="210"/>
      <c r="E877" s="60"/>
      <c r="F877" s="210"/>
      <c r="G877" s="190"/>
      <c r="H877" s="60"/>
      <c r="I877" s="95"/>
      <c r="J877" s="96"/>
      <c r="K877" s="95"/>
      <c r="L877" s="96"/>
      <c r="M877" s="96"/>
      <c r="N877" s="95"/>
      <c r="O877" s="95"/>
      <c r="P877" s="95"/>
      <c r="Q877" s="95"/>
      <c r="R877" s="60"/>
      <c r="S877" s="60"/>
      <c r="T877" s="60"/>
      <c r="U877" s="60"/>
      <c r="V877" s="60"/>
      <c r="W877" s="60"/>
      <c r="X877" s="60"/>
      <c r="Y877" s="60"/>
      <c r="Z877" s="60"/>
      <c r="AA877" s="60"/>
      <c r="AB877" s="60"/>
      <c r="AC877" s="60"/>
      <c r="AD877" s="60"/>
      <c r="AE877" s="60"/>
      <c r="AF877" s="60"/>
      <c r="AG877" s="60"/>
      <c r="AH877" s="60"/>
      <c r="AI877" s="60"/>
      <c r="AJ877" s="60"/>
    </row>
    <row r="878">
      <c r="A878" s="245"/>
      <c r="B878" s="43"/>
      <c r="C878" s="209"/>
      <c r="D878" s="209"/>
      <c r="E878" s="43"/>
      <c r="F878" s="209"/>
      <c r="G878" s="187"/>
      <c r="H878" s="43"/>
      <c r="I878" s="98"/>
      <c r="J878" s="99"/>
      <c r="K878" s="98"/>
      <c r="L878" s="99"/>
      <c r="M878" s="99"/>
      <c r="N878" s="98"/>
      <c r="O878" s="98"/>
      <c r="P878" s="98"/>
      <c r="Q878" s="98"/>
      <c r="R878" s="43"/>
      <c r="S878" s="43"/>
      <c r="T878" s="43"/>
      <c r="U878" s="43"/>
      <c r="V878" s="43"/>
      <c r="W878" s="43"/>
      <c r="X878" s="43"/>
      <c r="Y878" s="43"/>
      <c r="Z878" s="43"/>
      <c r="AA878" s="43"/>
      <c r="AB878" s="43"/>
      <c r="AC878" s="43"/>
      <c r="AD878" s="43"/>
      <c r="AE878" s="43"/>
      <c r="AF878" s="43"/>
      <c r="AG878" s="43"/>
      <c r="AH878" s="43"/>
      <c r="AI878" s="43"/>
      <c r="AJ878" s="43"/>
    </row>
    <row r="879">
      <c r="A879" s="244"/>
      <c r="B879" s="60"/>
      <c r="C879" s="210"/>
      <c r="D879" s="210"/>
      <c r="E879" s="60"/>
      <c r="F879" s="210"/>
      <c r="G879" s="190"/>
      <c r="H879" s="60"/>
      <c r="I879" s="95"/>
      <c r="J879" s="96"/>
      <c r="K879" s="95"/>
      <c r="L879" s="96"/>
      <c r="M879" s="96"/>
      <c r="N879" s="95"/>
      <c r="O879" s="95"/>
      <c r="P879" s="95"/>
      <c r="Q879" s="95"/>
      <c r="R879" s="60"/>
      <c r="S879" s="60"/>
      <c r="T879" s="60"/>
      <c r="U879" s="60"/>
      <c r="V879" s="60"/>
      <c r="W879" s="60"/>
      <c r="X879" s="60"/>
      <c r="Y879" s="60"/>
      <c r="Z879" s="60"/>
      <c r="AA879" s="60"/>
      <c r="AB879" s="60"/>
      <c r="AC879" s="60"/>
      <c r="AD879" s="60"/>
      <c r="AE879" s="60"/>
      <c r="AF879" s="60"/>
      <c r="AG879" s="60"/>
      <c r="AH879" s="60"/>
      <c r="AI879" s="60"/>
      <c r="AJ879" s="60"/>
    </row>
    <row r="880">
      <c r="A880" s="245"/>
      <c r="B880" s="43"/>
      <c r="C880" s="209"/>
      <c r="D880" s="209"/>
      <c r="E880" s="43"/>
      <c r="F880" s="209"/>
      <c r="G880" s="187"/>
      <c r="H880" s="43"/>
      <c r="I880" s="98"/>
      <c r="J880" s="99"/>
      <c r="K880" s="98"/>
      <c r="L880" s="99"/>
      <c r="M880" s="99"/>
      <c r="N880" s="98"/>
      <c r="O880" s="98"/>
      <c r="P880" s="98"/>
      <c r="Q880" s="98"/>
      <c r="R880" s="43"/>
      <c r="S880" s="43"/>
      <c r="T880" s="43"/>
      <c r="U880" s="43"/>
      <c r="V880" s="43"/>
      <c r="W880" s="43"/>
      <c r="X880" s="43"/>
      <c r="Y880" s="43"/>
      <c r="Z880" s="43"/>
      <c r="AA880" s="43"/>
      <c r="AB880" s="43"/>
      <c r="AC880" s="43"/>
      <c r="AD880" s="43"/>
      <c r="AE880" s="43"/>
      <c r="AF880" s="43"/>
      <c r="AG880" s="43"/>
      <c r="AH880" s="43"/>
      <c r="AI880" s="43"/>
      <c r="AJ880" s="43"/>
    </row>
    <row r="881">
      <c r="A881" s="244"/>
      <c r="B881" s="60"/>
      <c r="C881" s="210"/>
      <c r="D881" s="210"/>
      <c r="E881" s="60"/>
      <c r="F881" s="210"/>
      <c r="G881" s="190"/>
      <c r="H881" s="60"/>
      <c r="I881" s="95"/>
      <c r="J881" s="96"/>
      <c r="K881" s="95"/>
      <c r="L881" s="96"/>
      <c r="M881" s="96"/>
      <c r="N881" s="95"/>
      <c r="O881" s="95"/>
      <c r="P881" s="95"/>
      <c r="Q881" s="95"/>
      <c r="R881" s="60"/>
      <c r="S881" s="60"/>
      <c r="T881" s="60"/>
      <c r="U881" s="60"/>
      <c r="V881" s="60"/>
      <c r="W881" s="60"/>
      <c r="X881" s="60"/>
      <c r="Y881" s="60"/>
      <c r="Z881" s="60"/>
      <c r="AA881" s="60"/>
      <c r="AB881" s="60"/>
      <c r="AC881" s="60"/>
      <c r="AD881" s="60"/>
      <c r="AE881" s="60"/>
      <c r="AF881" s="60"/>
      <c r="AG881" s="60"/>
      <c r="AH881" s="60"/>
      <c r="AI881" s="60"/>
      <c r="AJ881" s="60"/>
    </row>
    <row r="882">
      <c r="A882" s="245"/>
      <c r="B882" s="43"/>
      <c r="C882" s="209"/>
      <c r="D882" s="209"/>
      <c r="E882" s="43"/>
      <c r="F882" s="209"/>
      <c r="G882" s="187"/>
      <c r="H882" s="43"/>
      <c r="I882" s="98"/>
      <c r="J882" s="99"/>
      <c r="K882" s="98"/>
      <c r="L882" s="99"/>
      <c r="M882" s="99"/>
      <c r="N882" s="98"/>
      <c r="O882" s="98"/>
      <c r="P882" s="98"/>
      <c r="Q882" s="98"/>
      <c r="R882" s="43"/>
      <c r="S882" s="43"/>
      <c r="T882" s="43"/>
      <c r="U882" s="43"/>
      <c r="V882" s="43"/>
      <c r="W882" s="43"/>
      <c r="X882" s="43"/>
      <c r="Y882" s="43"/>
      <c r="Z882" s="43"/>
      <c r="AA882" s="43"/>
      <c r="AB882" s="43"/>
      <c r="AC882" s="43"/>
      <c r="AD882" s="43"/>
      <c r="AE882" s="43"/>
      <c r="AF882" s="43"/>
      <c r="AG882" s="43"/>
      <c r="AH882" s="43"/>
      <c r="AI882" s="43"/>
      <c r="AJ882" s="43"/>
    </row>
    <row r="883">
      <c r="A883" s="244"/>
      <c r="B883" s="60"/>
      <c r="C883" s="210"/>
      <c r="D883" s="210"/>
      <c r="E883" s="60"/>
      <c r="F883" s="210"/>
      <c r="G883" s="190"/>
      <c r="H883" s="60"/>
      <c r="I883" s="95"/>
      <c r="J883" s="96"/>
      <c r="K883" s="95"/>
      <c r="L883" s="96"/>
      <c r="M883" s="96"/>
      <c r="N883" s="95"/>
      <c r="O883" s="95"/>
      <c r="P883" s="95"/>
      <c r="Q883" s="95"/>
      <c r="R883" s="60"/>
      <c r="S883" s="60"/>
      <c r="T883" s="60"/>
      <c r="U883" s="60"/>
      <c r="V883" s="60"/>
      <c r="W883" s="60"/>
      <c r="X883" s="60"/>
      <c r="Y883" s="60"/>
      <c r="Z883" s="60"/>
      <c r="AA883" s="60"/>
      <c r="AB883" s="60"/>
      <c r="AC883" s="60"/>
      <c r="AD883" s="60"/>
      <c r="AE883" s="60"/>
      <c r="AF883" s="60"/>
      <c r="AG883" s="60"/>
      <c r="AH883" s="60"/>
      <c r="AI883" s="60"/>
      <c r="AJ883" s="60"/>
    </row>
    <row r="884">
      <c r="A884" s="245"/>
      <c r="B884" s="43"/>
      <c r="C884" s="209"/>
      <c r="D884" s="209"/>
      <c r="E884" s="43"/>
      <c r="F884" s="209"/>
      <c r="G884" s="187"/>
      <c r="H884" s="43"/>
      <c r="I884" s="98"/>
      <c r="J884" s="99"/>
      <c r="K884" s="98"/>
      <c r="L884" s="99"/>
      <c r="M884" s="99"/>
      <c r="N884" s="98"/>
      <c r="O884" s="98"/>
      <c r="P884" s="98"/>
      <c r="Q884" s="98"/>
      <c r="R884" s="43"/>
      <c r="S884" s="43"/>
      <c r="T884" s="43"/>
      <c r="U884" s="43"/>
      <c r="V884" s="43"/>
      <c r="W884" s="43"/>
      <c r="X884" s="43"/>
      <c r="Y884" s="43"/>
      <c r="Z884" s="43"/>
      <c r="AA884" s="43"/>
      <c r="AB884" s="43"/>
      <c r="AC884" s="43"/>
      <c r="AD884" s="43"/>
      <c r="AE884" s="43"/>
      <c r="AF884" s="43"/>
      <c r="AG884" s="43"/>
      <c r="AH884" s="43"/>
      <c r="AI884" s="43"/>
      <c r="AJ884" s="43"/>
    </row>
    <row r="885">
      <c r="A885" s="244"/>
      <c r="B885" s="60"/>
      <c r="C885" s="210"/>
      <c r="D885" s="210"/>
      <c r="E885" s="60"/>
      <c r="F885" s="210"/>
      <c r="G885" s="190"/>
      <c r="H885" s="60"/>
      <c r="I885" s="95"/>
      <c r="J885" s="96"/>
      <c r="K885" s="95"/>
      <c r="L885" s="96"/>
      <c r="M885" s="96"/>
      <c r="N885" s="95"/>
      <c r="O885" s="95"/>
      <c r="P885" s="95"/>
      <c r="Q885" s="95"/>
      <c r="R885" s="60"/>
      <c r="S885" s="60"/>
      <c r="T885" s="60"/>
      <c r="U885" s="60"/>
      <c r="V885" s="60"/>
      <c r="W885" s="60"/>
      <c r="X885" s="60"/>
      <c r="Y885" s="60"/>
      <c r="Z885" s="60"/>
      <c r="AA885" s="60"/>
      <c r="AB885" s="60"/>
      <c r="AC885" s="60"/>
      <c r="AD885" s="60"/>
      <c r="AE885" s="60"/>
      <c r="AF885" s="60"/>
      <c r="AG885" s="60"/>
      <c r="AH885" s="60"/>
      <c r="AI885" s="60"/>
      <c r="AJ885" s="60"/>
    </row>
    <row r="886">
      <c r="A886" s="245"/>
      <c r="B886" s="43"/>
      <c r="C886" s="209"/>
      <c r="D886" s="209"/>
      <c r="E886" s="43"/>
      <c r="F886" s="209"/>
      <c r="G886" s="187"/>
      <c r="H886" s="43"/>
      <c r="I886" s="98"/>
      <c r="J886" s="99"/>
      <c r="K886" s="98"/>
      <c r="L886" s="99"/>
      <c r="M886" s="99"/>
      <c r="N886" s="98"/>
      <c r="O886" s="98"/>
      <c r="P886" s="98"/>
      <c r="Q886" s="98"/>
      <c r="R886" s="43"/>
      <c r="S886" s="43"/>
      <c r="T886" s="43"/>
      <c r="U886" s="43"/>
      <c r="V886" s="43"/>
      <c r="W886" s="43"/>
      <c r="X886" s="43"/>
      <c r="Y886" s="43"/>
      <c r="Z886" s="43"/>
      <c r="AA886" s="43"/>
      <c r="AB886" s="43"/>
      <c r="AC886" s="43"/>
      <c r="AD886" s="43"/>
      <c r="AE886" s="43"/>
      <c r="AF886" s="43"/>
      <c r="AG886" s="43"/>
      <c r="AH886" s="43"/>
      <c r="AI886" s="43"/>
      <c r="AJ886" s="43"/>
    </row>
    <row r="887">
      <c r="A887" s="244"/>
      <c r="B887" s="60"/>
      <c r="C887" s="210"/>
      <c r="D887" s="210"/>
      <c r="E887" s="60"/>
      <c r="F887" s="210"/>
      <c r="G887" s="190"/>
      <c r="H887" s="60"/>
      <c r="I887" s="95"/>
      <c r="J887" s="96"/>
      <c r="K887" s="95"/>
      <c r="L887" s="96"/>
      <c r="M887" s="96"/>
      <c r="N887" s="95"/>
      <c r="O887" s="95"/>
      <c r="P887" s="95"/>
      <c r="Q887" s="95"/>
      <c r="R887" s="60"/>
      <c r="S887" s="60"/>
      <c r="T887" s="60"/>
      <c r="U887" s="60"/>
      <c r="V887" s="60"/>
      <c r="W887" s="60"/>
      <c r="X887" s="60"/>
      <c r="Y887" s="60"/>
      <c r="Z887" s="60"/>
      <c r="AA887" s="60"/>
      <c r="AB887" s="60"/>
      <c r="AC887" s="60"/>
      <c r="AD887" s="60"/>
      <c r="AE887" s="60"/>
      <c r="AF887" s="60"/>
      <c r="AG887" s="60"/>
      <c r="AH887" s="60"/>
      <c r="AI887" s="60"/>
      <c r="AJ887" s="60"/>
    </row>
    <row r="888">
      <c r="A888" s="245"/>
      <c r="B888" s="43"/>
      <c r="C888" s="209"/>
      <c r="D888" s="209"/>
      <c r="E888" s="43"/>
      <c r="F888" s="209"/>
      <c r="G888" s="187"/>
      <c r="H888" s="43"/>
      <c r="I888" s="98"/>
      <c r="J888" s="99"/>
      <c r="K888" s="98"/>
      <c r="L888" s="99"/>
      <c r="M888" s="99"/>
      <c r="N888" s="98"/>
      <c r="O888" s="98"/>
      <c r="P888" s="98"/>
      <c r="Q888" s="98"/>
      <c r="R888" s="43"/>
      <c r="S888" s="43"/>
      <c r="T888" s="43"/>
      <c r="U888" s="43"/>
      <c r="V888" s="43"/>
      <c r="W888" s="43"/>
      <c r="X888" s="43"/>
      <c r="Y888" s="43"/>
      <c r="Z888" s="43"/>
      <c r="AA888" s="43"/>
      <c r="AB888" s="43"/>
      <c r="AC888" s="43"/>
      <c r="AD888" s="43"/>
      <c r="AE888" s="43"/>
      <c r="AF888" s="43"/>
      <c r="AG888" s="43"/>
      <c r="AH888" s="43"/>
      <c r="AI888" s="43"/>
      <c r="AJ888" s="43"/>
    </row>
    <row r="889">
      <c r="A889" s="244"/>
      <c r="B889" s="60"/>
      <c r="C889" s="210"/>
      <c r="D889" s="210"/>
      <c r="E889" s="60"/>
      <c r="F889" s="210"/>
      <c r="G889" s="190"/>
      <c r="H889" s="60"/>
      <c r="I889" s="95"/>
      <c r="J889" s="96"/>
      <c r="K889" s="95"/>
      <c r="L889" s="96"/>
      <c r="M889" s="96"/>
      <c r="N889" s="95"/>
      <c r="O889" s="95"/>
      <c r="P889" s="95"/>
      <c r="Q889" s="95"/>
      <c r="R889" s="60"/>
      <c r="S889" s="60"/>
      <c r="T889" s="60"/>
      <c r="U889" s="60"/>
      <c r="V889" s="60"/>
      <c r="W889" s="60"/>
      <c r="X889" s="60"/>
      <c r="Y889" s="60"/>
      <c r="Z889" s="60"/>
      <c r="AA889" s="60"/>
      <c r="AB889" s="60"/>
      <c r="AC889" s="60"/>
      <c r="AD889" s="60"/>
      <c r="AE889" s="60"/>
      <c r="AF889" s="60"/>
      <c r="AG889" s="60"/>
      <c r="AH889" s="60"/>
      <c r="AI889" s="60"/>
      <c r="AJ889" s="60"/>
    </row>
    <row r="890">
      <c r="A890" s="245"/>
      <c r="B890" s="43"/>
      <c r="C890" s="209"/>
      <c r="D890" s="209"/>
      <c r="E890" s="43"/>
      <c r="F890" s="209"/>
      <c r="G890" s="187"/>
      <c r="H890" s="43"/>
      <c r="I890" s="98"/>
      <c r="J890" s="99"/>
      <c r="K890" s="98"/>
      <c r="L890" s="99"/>
      <c r="M890" s="99"/>
      <c r="N890" s="98"/>
      <c r="O890" s="98"/>
      <c r="P890" s="98"/>
      <c r="Q890" s="98"/>
      <c r="R890" s="43"/>
      <c r="S890" s="43"/>
      <c r="T890" s="43"/>
      <c r="U890" s="43"/>
      <c r="V890" s="43"/>
      <c r="W890" s="43"/>
      <c r="X890" s="43"/>
      <c r="Y890" s="43"/>
      <c r="Z890" s="43"/>
      <c r="AA890" s="43"/>
      <c r="AB890" s="43"/>
      <c r="AC890" s="43"/>
      <c r="AD890" s="43"/>
      <c r="AE890" s="43"/>
      <c r="AF890" s="43"/>
      <c r="AG890" s="43"/>
      <c r="AH890" s="43"/>
      <c r="AI890" s="43"/>
      <c r="AJ890" s="43"/>
    </row>
    <row r="891">
      <c r="A891" s="244"/>
      <c r="B891" s="60"/>
      <c r="C891" s="210"/>
      <c r="D891" s="210"/>
      <c r="E891" s="60"/>
      <c r="F891" s="210"/>
      <c r="G891" s="190"/>
      <c r="H891" s="60"/>
      <c r="I891" s="95"/>
      <c r="J891" s="96"/>
      <c r="K891" s="95"/>
      <c r="L891" s="96"/>
      <c r="M891" s="96"/>
      <c r="N891" s="95"/>
      <c r="O891" s="95"/>
      <c r="P891" s="95"/>
      <c r="Q891" s="95"/>
      <c r="R891" s="60"/>
      <c r="S891" s="60"/>
      <c r="T891" s="60"/>
      <c r="U891" s="60"/>
      <c r="V891" s="60"/>
      <c r="W891" s="60"/>
      <c r="X891" s="60"/>
      <c r="Y891" s="60"/>
      <c r="Z891" s="60"/>
      <c r="AA891" s="60"/>
      <c r="AB891" s="60"/>
      <c r="AC891" s="60"/>
      <c r="AD891" s="60"/>
      <c r="AE891" s="60"/>
      <c r="AF891" s="60"/>
      <c r="AG891" s="60"/>
      <c r="AH891" s="60"/>
      <c r="AI891" s="60"/>
      <c r="AJ891" s="60"/>
    </row>
    <row r="892">
      <c r="A892" s="245"/>
      <c r="B892" s="43"/>
      <c r="C892" s="209"/>
      <c r="D892" s="209"/>
      <c r="E892" s="43"/>
      <c r="F892" s="209"/>
      <c r="G892" s="187"/>
      <c r="H892" s="43"/>
      <c r="I892" s="98"/>
      <c r="J892" s="99"/>
      <c r="K892" s="98"/>
      <c r="L892" s="99"/>
      <c r="M892" s="99"/>
      <c r="N892" s="98"/>
      <c r="O892" s="98"/>
      <c r="P892" s="98"/>
      <c r="Q892" s="98"/>
      <c r="R892" s="43"/>
      <c r="S892" s="43"/>
      <c r="T892" s="43"/>
      <c r="U892" s="43"/>
      <c r="V892" s="43"/>
      <c r="W892" s="43"/>
      <c r="X892" s="43"/>
      <c r="Y892" s="43"/>
      <c r="Z892" s="43"/>
      <c r="AA892" s="43"/>
      <c r="AB892" s="43"/>
      <c r="AC892" s="43"/>
      <c r="AD892" s="43"/>
      <c r="AE892" s="43"/>
      <c r="AF892" s="43"/>
      <c r="AG892" s="43"/>
      <c r="AH892" s="43"/>
      <c r="AI892" s="43"/>
      <c r="AJ892" s="43"/>
    </row>
    <row r="893">
      <c r="A893" s="244"/>
      <c r="B893" s="60"/>
      <c r="C893" s="210"/>
      <c r="D893" s="210"/>
      <c r="E893" s="60"/>
      <c r="F893" s="210"/>
      <c r="G893" s="190"/>
      <c r="H893" s="60"/>
      <c r="I893" s="95"/>
      <c r="J893" s="96"/>
      <c r="K893" s="95"/>
      <c r="L893" s="96"/>
      <c r="M893" s="96"/>
      <c r="N893" s="95"/>
      <c r="O893" s="95"/>
      <c r="P893" s="95"/>
      <c r="Q893" s="95"/>
      <c r="R893" s="60"/>
      <c r="S893" s="60"/>
      <c r="T893" s="60"/>
      <c r="U893" s="60"/>
      <c r="V893" s="60"/>
      <c r="W893" s="60"/>
      <c r="X893" s="60"/>
      <c r="Y893" s="60"/>
      <c r="Z893" s="60"/>
      <c r="AA893" s="60"/>
      <c r="AB893" s="60"/>
      <c r="AC893" s="60"/>
      <c r="AD893" s="60"/>
      <c r="AE893" s="60"/>
      <c r="AF893" s="60"/>
      <c r="AG893" s="60"/>
      <c r="AH893" s="60"/>
      <c r="AI893" s="60"/>
      <c r="AJ893" s="60"/>
    </row>
    <row r="894">
      <c r="A894" s="245"/>
      <c r="B894" s="43"/>
      <c r="C894" s="209"/>
      <c r="D894" s="209"/>
      <c r="E894" s="43"/>
      <c r="F894" s="209"/>
      <c r="G894" s="187"/>
      <c r="H894" s="43"/>
      <c r="I894" s="98"/>
      <c r="J894" s="99"/>
      <c r="K894" s="98"/>
      <c r="L894" s="99"/>
      <c r="M894" s="99"/>
      <c r="N894" s="98"/>
      <c r="O894" s="98"/>
      <c r="P894" s="98"/>
      <c r="Q894" s="98"/>
      <c r="R894" s="43"/>
      <c r="S894" s="43"/>
      <c r="T894" s="43"/>
      <c r="U894" s="43"/>
      <c r="V894" s="43"/>
      <c r="W894" s="43"/>
      <c r="X894" s="43"/>
      <c r="Y894" s="43"/>
      <c r="Z894" s="43"/>
      <c r="AA894" s="43"/>
      <c r="AB894" s="43"/>
      <c r="AC894" s="43"/>
      <c r="AD894" s="43"/>
      <c r="AE894" s="43"/>
      <c r="AF894" s="43"/>
      <c r="AG894" s="43"/>
      <c r="AH894" s="43"/>
      <c r="AI894" s="43"/>
      <c r="AJ894" s="43"/>
    </row>
    <row r="895">
      <c r="A895" s="244"/>
      <c r="B895" s="60"/>
      <c r="C895" s="210"/>
      <c r="D895" s="210"/>
      <c r="E895" s="60"/>
      <c r="F895" s="210"/>
      <c r="G895" s="190"/>
      <c r="H895" s="60"/>
      <c r="I895" s="95"/>
      <c r="J895" s="96"/>
      <c r="K895" s="95"/>
      <c r="L895" s="96"/>
      <c r="M895" s="96"/>
      <c r="N895" s="95"/>
      <c r="O895" s="95"/>
      <c r="P895" s="95"/>
      <c r="Q895" s="95"/>
      <c r="R895" s="60"/>
      <c r="S895" s="60"/>
      <c r="T895" s="60"/>
      <c r="U895" s="60"/>
      <c r="V895" s="60"/>
      <c r="W895" s="60"/>
      <c r="X895" s="60"/>
      <c r="Y895" s="60"/>
      <c r="Z895" s="60"/>
      <c r="AA895" s="60"/>
      <c r="AB895" s="60"/>
      <c r="AC895" s="60"/>
      <c r="AD895" s="60"/>
      <c r="AE895" s="60"/>
      <c r="AF895" s="60"/>
      <c r="AG895" s="60"/>
      <c r="AH895" s="60"/>
      <c r="AI895" s="60"/>
      <c r="AJ895" s="60"/>
    </row>
    <row r="896">
      <c r="A896" s="245"/>
      <c r="B896" s="43"/>
      <c r="C896" s="209"/>
      <c r="D896" s="209"/>
      <c r="E896" s="43"/>
      <c r="F896" s="209"/>
      <c r="G896" s="187"/>
      <c r="H896" s="43"/>
      <c r="I896" s="98"/>
      <c r="J896" s="99"/>
      <c r="K896" s="98"/>
      <c r="L896" s="99"/>
      <c r="M896" s="99"/>
      <c r="N896" s="98"/>
      <c r="O896" s="98"/>
      <c r="P896" s="98"/>
      <c r="Q896" s="98"/>
      <c r="R896" s="43"/>
      <c r="S896" s="43"/>
      <c r="T896" s="43"/>
      <c r="U896" s="43"/>
      <c r="V896" s="43"/>
      <c r="W896" s="43"/>
      <c r="X896" s="43"/>
      <c r="Y896" s="43"/>
      <c r="Z896" s="43"/>
      <c r="AA896" s="43"/>
      <c r="AB896" s="43"/>
      <c r="AC896" s="43"/>
      <c r="AD896" s="43"/>
      <c r="AE896" s="43"/>
      <c r="AF896" s="43"/>
      <c r="AG896" s="43"/>
      <c r="AH896" s="43"/>
      <c r="AI896" s="43"/>
      <c r="AJ896" s="43"/>
    </row>
    <row r="897">
      <c r="A897" s="244"/>
      <c r="B897" s="60"/>
      <c r="C897" s="210"/>
      <c r="D897" s="210"/>
      <c r="E897" s="60"/>
      <c r="F897" s="210"/>
      <c r="G897" s="190"/>
      <c r="H897" s="60"/>
      <c r="I897" s="95"/>
      <c r="J897" s="96"/>
      <c r="K897" s="95"/>
      <c r="L897" s="96"/>
      <c r="M897" s="96"/>
      <c r="N897" s="95"/>
      <c r="O897" s="95"/>
      <c r="P897" s="95"/>
      <c r="Q897" s="95"/>
      <c r="R897" s="60"/>
      <c r="S897" s="60"/>
      <c r="T897" s="60"/>
      <c r="U897" s="60"/>
      <c r="V897" s="60"/>
      <c r="W897" s="60"/>
      <c r="X897" s="60"/>
      <c r="Y897" s="60"/>
      <c r="Z897" s="60"/>
      <c r="AA897" s="60"/>
      <c r="AB897" s="60"/>
      <c r="AC897" s="60"/>
      <c r="AD897" s="60"/>
      <c r="AE897" s="60"/>
      <c r="AF897" s="60"/>
      <c r="AG897" s="60"/>
      <c r="AH897" s="60"/>
      <c r="AI897" s="60"/>
      <c r="AJ897" s="60"/>
    </row>
    <row r="898">
      <c r="A898" s="245"/>
      <c r="B898" s="43"/>
      <c r="C898" s="209"/>
      <c r="D898" s="209"/>
      <c r="E898" s="43"/>
      <c r="F898" s="209"/>
      <c r="G898" s="187"/>
      <c r="H898" s="43"/>
      <c r="I898" s="98"/>
      <c r="J898" s="99"/>
      <c r="K898" s="98"/>
      <c r="L898" s="99"/>
      <c r="M898" s="99"/>
      <c r="N898" s="98"/>
      <c r="O898" s="98"/>
      <c r="P898" s="98"/>
      <c r="Q898" s="98"/>
      <c r="R898" s="43"/>
      <c r="S898" s="43"/>
      <c r="T898" s="43"/>
      <c r="U898" s="43"/>
      <c r="V898" s="43"/>
      <c r="W898" s="43"/>
      <c r="X898" s="43"/>
      <c r="Y898" s="43"/>
      <c r="Z898" s="43"/>
      <c r="AA898" s="43"/>
      <c r="AB898" s="43"/>
      <c r="AC898" s="43"/>
      <c r="AD898" s="43"/>
      <c r="AE898" s="43"/>
      <c r="AF898" s="43"/>
      <c r="AG898" s="43"/>
      <c r="AH898" s="43"/>
      <c r="AI898" s="43"/>
      <c r="AJ898" s="43"/>
    </row>
    <row r="899">
      <c r="A899" s="244"/>
      <c r="B899" s="60"/>
      <c r="C899" s="210"/>
      <c r="D899" s="210"/>
      <c r="E899" s="60"/>
      <c r="F899" s="210"/>
      <c r="G899" s="190"/>
      <c r="H899" s="60"/>
      <c r="I899" s="95"/>
      <c r="J899" s="96"/>
      <c r="K899" s="95"/>
      <c r="L899" s="96"/>
      <c r="M899" s="96"/>
      <c r="N899" s="95"/>
      <c r="O899" s="95"/>
      <c r="P899" s="95"/>
      <c r="Q899" s="95"/>
      <c r="R899" s="60"/>
      <c r="S899" s="60"/>
      <c r="T899" s="60"/>
      <c r="U899" s="60"/>
      <c r="V899" s="60"/>
      <c r="W899" s="60"/>
      <c r="X899" s="60"/>
      <c r="Y899" s="60"/>
      <c r="Z899" s="60"/>
      <c r="AA899" s="60"/>
      <c r="AB899" s="60"/>
      <c r="AC899" s="60"/>
      <c r="AD899" s="60"/>
      <c r="AE899" s="60"/>
      <c r="AF899" s="60"/>
      <c r="AG899" s="60"/>
      <c r="AH899" s="60"/>
      <c r="AI899" s="60"/>
      <c r="AJ899" s="60"/>
    </row>
    <row r="900">
      <c r="A900" s="245"/>
      <c r="B900" s="43"/>
      <c r="C900" s="209"/>
      <c r="D900" s="209"/>
      <c r="E900" s="43"/>
      <c r="F900" s="209"/>
      <c r="G900" s="187"/>
      <c r="H900" s="43"/>
      <c r="I900" s="98"/>
      <c r="J900" s="99"/>
      <c r="K900" s="98"/>
      <c r="L900" s="99"/>
      <c r="M900" s="99"/>
      <c r="N900" s="98"/>
      <c r="O900" s="98"/>
      <c r="P900" s="98"/>
      <c r="Q900" s="98"/>
      <c r="R900" s="43"/>
      <c r="S900" s="43"/>
      <c r="T900" s="43"/>
      <c r="U900" s="43"/>
      <c r="V900" s="43"/>
      <c r="W900" s="43"/>
      <c r="X900" s="43"/>
      <c r="Y900" s="43"/>
      <c r="Z900" s="43"/>
      <c r="AA900" s="43"/>
      <c r="AB900" s="43"/>
      <c r="AC900" s="43"/>
      <c r="AD900" s="43"/>
      <c r="AE900" s="43"/>
      <c r="AF900" s="43"/>
      <c r="AG900" s="43"/>
      <c r="AH900" s="43"/>
      <c r="AI900" s="43"/>
      <c r="AJ900" s="43"/>
    </row>
    <row r="901">
      <c r="A901" s="244"/>
      <c r="B901" s="60"/>
      <c r="C901" s="210"/>
      <c r="D901" s="210"/>
      <c r="E901" s="60"/>
      <c r="F901" s="210"/>
      <c r="G901" s="190"/>
      <c r="H901" s="60"/>
      <c r="I901" s="95"/>
      <c r="J901" s="96"/>
      <c r="K901" s="95"/>
      <c r="L901" s="96"/>
      <c r="M901" s="96"/>
      <c r="N901" s="95"/>
      <c r="O901" s="95"/>
      <c r="P901" s="95"/>
      <c r="Q901" s="95"/>
      <c r="R901" s="60"/>
      <c r="S901" s="60"/>
      <c r="T901" s="60"/>
      <c r="U901" s="60"/>
      <c r="V901" s="60"/>
      <c r="W901" s="60"/>
      <c r="X901" s="60"/>
      <c r="Y901" s="60"/>
      <c r="Z901" s="60"/>
      <c r="AA901" s="60"/>
      <c r="AB901" s="60"/>
      <c r="AC901" s="60"/>
      <c r="AD901" s="60"/>
      <c r="AE901" s="60"/>
      <c r="AF901" s="60"/>
      <c r="AG901" s="60"/>
      <c r="AH901" s="60"/>
      <c r="AI901" s="60"/>
      <c r="AJ901" s="60"/>
    </row>
    <row r="902">
      <c r="A902" s="245"/>
      <c r="B902" s="43"/>
      <c r="C902" s="209"/>
      <c r="D902" s="209"/>
      <c r="E902" s="43"/>
      <c r="F902" s="209"/>
      <c r="G902" s="187"/>
      <c r="H902" s="43"/>
      <c r="I902" s="98"/>
      <c r="J902" s="99"/>
      <c r="K902" s="98"/>
      <c r="L902" s="99"/>
      <c r="M902" s="99"/>
      <c r="N902" s="98"/>
      <c r="O902" s="98"/>
      <c r="P902" s="98"/>
      <c r="Q902" s="98"/>
      <c r="R902" s="43"/>
      <c r="S902" s="43"/>
      <c r="T902" s="43"/>
      <c r="U902" s="43"/>
      <c r="V902" s="43"/>
      <c r="W902" s="43"/>
      <c r="X902" s="43"/>
      <c r="Y902" s="43"/>
      <c r="Z902" s="43"/>
      <c r="AA902" s="43"/>
      <c r="AB902" s="43"/>
      <c r="AC902" s="43"/>
      <c r="AD902" s="43"/>
      <c r="AE902" s="43"/>
      <c r="AF902" s="43"/>
      <c r="AG902" s="43"/>
      <c r="AH902" s="43"/>
      <c r="AI902" s="43"/>
      <c r="AJ902" s="43"/>
    </row>
    <row r="903">
      <c r="A903" s="244"/>
      <c r="B903" s="60"/>
      <c r="C903" s="210"/>
      <c r="D903" s="210"/>
      <c r="E903" s="60"/>
      <c r="F903" s="210"/>
      <c r="G903" s="190"/>
      <c r="H903" s="60"/>
      <c r="I903" s="95"/>
      <c r="J903" s="96"/>
      <c r="K903" s="95"/>
      <c r="L903" s="96"/>
      <c r="M903" s="96"/>
      <c r="N903" s="95"/>
      <c r="O903" s="95"/>
      <c r="P903" s="95"/>
      <c r="Q903" s="95"/>
      <c r="R903" s="60"/>
      <c r="S903" s="60"/>
      <c r="T903" s="60"/>
      <c r="U903" s="60"/>
      <c r="V903" s="60"/>
      <c r="W903" s="60"/>
      <c r="X903" s="60"/>
      <c r="Y903" s="60"/>
      <c r="Z903" s="60"/>
      <c r="AA903" s="60"/>
      <c r="AB903" s="60"/>
      <c r="AC903" s="60"/>
      <c r="AD903" s="60"/>
      <c r="AE903" s="60"/>
      <c r="AF903" s="60"/>
      <c r="AG903" s="60"/>
      <c r="AH903" s="60"/>
      <c r="AI903" s="60"/>
      <c r="AJ903" s="60"/>
    </row>
    <row r="904">
      <c r="A904" s="245"/>
      <c r="B904" s="43"/>
      <c r="C904" s="209"/>
      <c r="D904" s="209"/>
      <c r="E904" s="43"/>
      <c r="F904" s="209"/>
      <c r="G904" s="187"/>
      <c r="H904" s="43"/>
      <c r="I904" s="98"/>
      <c r="J904" s="99"/>
      <c r="K904" s="98"/>
      <c r="L904" s="99"/>
      <c r="M904" s="99"/>
      <c r="N904" s="98"/>
      <c r="O904" s="98"/>
      <c r="P904" s="98"/>
      <c r="Q904" s="98"/>
      <c r="R904" s="43"/>
      <c r="S904" s="43"/>
      <c r="T904" s="43"/>
      <c r="U904" s="43"/>
      <c r="V904" s="43"/>
      <c r="W904" s="43"/>
      <c r="X904" s="43"/>
      <c r="Y904" s="43"/>
      <c r="Z904" s="43"/>
      <c r="AA904" s="43"/>
      <c r="AB904" s="43"/>
      <c r="AC904" s="43"/>
      <c r="AD904" s="43"/>
      <c r="AE904" s="43"/>
      <c r="AF904" s="43"/>
      <c r="AG904" s="43"/>
      <c r="AH904" s="43"/>
      <c r="AI904" s="43"/>
      <c r="AJ904" s="43"/>
    </row>
    <row r="905">
      <c r="A905" s="244"/>
      <c r="B905" s="60"/>
      <c r="C905" s="210"/>
      <c r="D905" s="210"/>
      <c r="E905" s="60"/>
      <c r="F905" s="210"/>
      <c r="G905" s="190"/>
      <c r="H905" s="60"/>
      <c r="I905" s="95"/>
      <c r="J905" s="96"/>
      <c r="K905" s="95"/>
      <c r="L905" s="96"/>
      <c r="M905" s="96"/>
      <c r="N905" s="95"/>
      <c r="O905" s="95"/>
      <c r="P905" s="95"/>
      <c r="Q905" s="95"/>
      <c r="R905" s="60"/>
      <c r="S905" s="60"/>
      <c r="T905" s="60"/>
      <c r="U905" s="60"/>
      <c r="V905" s="60"/>
      <c r="W905" s="60"/>
      <c r="X905" s="60"/>
      <c r="Y905" s="60"/>
      <c r="Z905" s="60"/>
      <c r="AA905" s="60"/>
      <c r="AB905" s="60"/>
      <c r="AC905" s="60"/>
      <c r="AD905" s="60"/>
      <c r="AE905" s="60"/>
      <c r="AF905" s="60"/>
      <c r="AG905" s="60"/>
      <c r="AH905" s="60"/>
      <c r="AI905" s="60"/>
      <c r="AJ905" s="60"/>
    </row>
    <row r="906">
      <c r="A906" s="245"/>
      <c r="B906" s="43"/>
      <c r="C906" s="209"/>
      <c r="D906" s="209"/>
      <c r="E906" s="43"/>
      <c r="F906" s="209"/>
      <c r="G906" s="187"/>
      <c r="H906" s="43"/>
      <c r="I906" s="98"/>
      <c r="J906" s="99"/>
      <c r="K906" s="98"/>
      <c r="L906" s="99"/>
      <c r="M906" s="99"/>
      <c r="N906" s="98"/>
      <c r="O906" s="98"/>
      <c r="P906" s="98"/>
      <c r="Q906" s="98"/>
      <c r="R906" s="43"/>
      <c r="S906" s="43"/>
      <c r="T906" s="43"/>
      <c r="U906" s="43"/>
      <c r="V906" s="43"/>
      <c r="W906" s="43"/>
      <c r="X906" s="43"/>
      <c r="Y906" s="43"/>
      <c r="Z906" s="43"/>
      <c r="AA906" s="43"/>
      <c r="AB906" s="43"/>
      <c r="AC906" s="43"/>
      <c r="AD906" s="43"/>
      <c r="AE906" s="43"/>
      <c r="AF906" s="43"/>
      <c r="AG906" s="43"/>
      <c r="AH906" s="43"/>
      <c r="AI906" s="43"/>
      <c r="AJ906" s="43"/>
    </row>
    <row r="907">
      <c r="A907" s="244"/>
      <c r="B907" s="60"/>
      <c r="C907" s="210"/>
      <c r="D907" s="210"/>
      <c r="E907" s="60"/>
      <c r="F907" s="210"/>
      <c r="G907" s="190"/>
      <c r="H907" s="60"/>
      <c r="I907" s="95"/>
      <c r="J907" s="96"/>
      <c r="K907" s="95"/>
      <c r="L907" s="96"/>
      <c r="M907" s="96"/>
      <c r="N907" s="95"/>
      <c r="O907" s="95"/>
      <c r="P907" s="95"/>
      <c r="Q907" s="95"/>
      <c r="R907" s="60"/>
      <c r="S907" s="60"/>
      <c r="T907" s="60"/>
      <c r="U907" s="60"/>
      <c r="V907" s="60"/>
      <c r="W907" s="60"/>
      <c r="X907" s="60"/>
      <c r="Y907" s="60"/>
      <c r="Z907" s="60"/>
      <c r="AA907" s="60"/>
      <c r="AB907" s="60"/>
      <c r="AC907" s="60"/>
      <c r="AD907" s="60"/>
      <c r="AE907" s="60"/>
      <c r="AF907" s="60"/>
      <c r="AG907" s="60"/>
      <c r="AH907" s="60"/>
      <c r="AI907" s="60"/>
      <c r="AJ907" s="60"/>
    </row>
    <row r="908">
      <c r="A908" s="245"/>
      <c r="B908" s="43"/>
      <c r="C908" s="209"/>
      <c r="D908" s="209"/>
      <c r="E908" s="43"/>
      <c r="F908" s="209"/>
      <c r="G908" s="187"/>
      <c r="H908" s="43"/>
      <c r="I908" s="98"/>
      <c r="J908" s="99"/>
      <c r="K908" s="98"/>
      <c r="L908" s="99"/>
      <c r="M908" s="99"/>
      <c r="N908" s="98"/>
      <c r="O908" s="98"/>
      <c r="P908" s="98"/>
      <c r="Q908" s="98"/>
      <c r="R908" s="43"/>
      <c r="S908" s="43"/>
      <c r="T908" s="43"/>
      <c r="U908" s="43"/>
      <c r="V908" s="43"/>
      <c r="W908" s="43"/>
      <c r="X908" s="43"/>
      <c r="Y908" s="43"/>
      <c r="Z908" s="43"/>
      <c r="AA908" s="43"/>
      <c r="AB908" s="43"/>
      <c r="AC908" s="43"/>
      <c r="AD908" s="43"/>
      <c r="AE908" s="43"/>
      <c r="AF908" s="43"/>
      <c r="AG908" s="43"/>
      <c r="AH908" s="43"/>
      <c r="AI908" s="43"/>
      <c r="AJ908" s="43"/>
    </row>
    <row r="909">
      <c r="A909" s="244"/>
      <c r="B909" s="60"/>
      <c r="C909" s="210"/>
      <c r="D909" s="210"/>
      <c r="E909" s="60"/>
      <c r="F909" s="210"/>
      <c r="G909" s="190"/>
      <c r="H909" s="60"/>
      <c r="I909" s="95"/>
      <c r="J909" s="96"/>
      <c r="K909" s="95"/>
      <c r="L909" s="96"/>
      <c r="M909" s="96"/>
      <c r="N909" s="95"/>
      <c r="O909" s="95"/>
      <c r="P909" s="95"/>
      <c r="Q909" s="95"/>
      <c r="R909" s="60"/>
      <c r="S909" s="60"/>
      <c r="T909" s="60"/>
      <c r="U909" s="60"/>
      <c r="V909" s="60"/>
      <c r="W909" s="60"/>
      <c r="X909" s="60"/>
      <c r="Y909" s="60"/>
      <c r="Z909" s="60"/>
      <c r="AA909" s="60"/>
      <c r="AB909" s="60"/>
      <c r="AC909" s="60"/>
      <c r="AD909" s="60"/>
      <c r="AE909" s="60"/>
      <c r="AF909" s="60"/>
      <c r="AG909" s="60"/>
      <c r="AH909" s="60"/>
      <c r="AI909" s="60"/>
      <c r="AJ909" s="60"/>
    </row>
    <row r="910">
      <c r="A910" s="245"/>
      <c r="B910" s="43"/>
      <c r="C910" s="209"/>
      <c r="D910" s="209"/>
      <c r="E910" s="43"/>
      <c r="F910" s="209"/>
      <c r="G910" s="187"/>
      <c r="H910" s="43"/>
      <c r="I910" s="98"/>
      <c r="J910" s="99"/>
      <c r="K910" s="98"/>
      <c r="L910" s="99"/>
      <c r="M910" s="99"/>
      <c r="N910" s="98"/>
      <c r="O910" s="98"/>
      <c r="P910" s="98"/>
      <c r="Q910" s="98"/>
      <c r="R910" s="43"/>
      <c r="S910" s="43"/>
      <c r="T910" s="43"/>
      <c r="U910" s="43"/>
      <c r="V910" s="43"/>
      <c r="W910" s="43"/>
      <c r="X910" s="43"/>
      <c r="Y910" s="43"/>
      <c r="Z910" s="43"/>
      <c r="AA910" s="43"/>
      <c r="AB910" s="43"/>
      <c r="AC910" s="43"/>
      <c r="AD910" s="43"/>
      <c r="AE910" s="43"/>
      <c r="AF910" s="43"/>
      <c r="AG910" s="43"/>
      <c r="AH910" s="43"/>
      <c r="AI910" s="43"/>
      <c r="AJ910" s="43"/>
    </row>
    <row r="911">
      <c r="A911" s="244"/>
      <c r="B911" s="60"/>
      <c r="C911" s="210"/>
      <c r="D911" s="210"/>
      <c r="E911" s="60"/>
      <c r="F911" s="210"/>
      <c r="G911" s="190"/>
      <c r="H911" s="60"/>
      <c r="I911" s="95"/>
      <c r="J911" s="96"/>
      <c r="K911" s="95"/>
      <c r="L911" s="96"/>
      <c r="M911" s="96"/>
      <c r="N911" s="95"/>
      <c r="O911" s="95"/>
      <c r="P911" s="95"/>
      <c r="Q911" s="95"/>
      <c r="R911" s="60"/>
      <c r="S911" s="60"/>
      <c r="T911" s="60"/>
      <c r="U911" s="60"/>
      <c r="V911" s="60"/>
      <c r="W911" s="60"/>
      <c r="X911" s="60"/>
      <c r="Y911" s="60"/>
      <c r="Z911" s="60"/>
      <c r="AA911" s="60"/>
      <c r="AB911" s="60"/>
      <c r="AC911" s="60"/>
      <c r="AD911" s="60"/>
      <c r="AE911" s="60"/>
      <c r="AF911" s="60"/>
      <c r="AG911" s="60"/>
      <c r="AH911" s="60"/>
      <c r="AI911" s="60"/>
      <c r="AJ911" s="60"/>
    </row>
    <row r="912">
      <c r="A912" s="245"/>
      <c r="B912" s="43"/>
      <c r="C912" s="209"/>
      <c r="D912" s="209"/>
      <c r="E912" s="43"/>
      <c r="F912" s="209"/>
      <c r="G912" s="187"/>
      <c r="H912" s="43"/>
      <c r="I912" s="98"/>
      <c r="J912" s="99"/>
      <c r="K912" s="98"/>
      <c r="L912" s="99"/>
      <c r="M912" s="99"/>
      <c r="N912" s="98"/>
      <c r="O912" s="98"/>
      <c r="P912" s="98"/>
      <c r="Q912" s="98"/>
      <c r="R912" s="43"/>
      <c r="S912" s="43"/>
      <c r="T912" s="43"/>
      <c r="U912" s="43"/>
      <c r="V912" s="43"/>
      <c r="W912" s="43"/>
      <c r="X912" s="43"/>
      <c r="Y912" s="43"/>
      <c r="Z912" s="43"/>
      <c r="AA912" s="43"/>
      <c r="AB912" s="43"/>
      <c r="AC912" s="43"/>
      <c r="AD912" s="43"/>
      <c r="AE912" s="43"/>
      <c r="AF912" s="43"/>
      <c r="AG912" s="43"/>
      <c r="AH912" s="43"/>
      <c r="AI912" s="43"/>
      <c r="AJ912" s="43"/>
    </row>
    <row r="913">
      <c r="A913" s="244"/>
      <c r="B913" s="60"/>
      <c r="C913" s="210"/>
      <c r="D913" s="210"/>
      <c r="E913" s="60"/>
      <c r="F913" s="210"/>
      <c r="G913" s="190"/>
      <c r="H913" s="60"/>
      <c r="I913" s="95"/>
      <c r="J913" s="96"/>
      <c r="K913" s="95"/>
      <c r="L913" s="96"/>
      <c r="M913" s="96"/>
      <c r="N913" s="95"/>
      <c r="O913" s="95"/>
      <c r="P913" s="95"/>
      <c r="Q913" s="95"/>
      <c r="R913" s="60"/>
      <c r="S913" s="60"/>
      <c r="T913" s="60"/>
      <c r="U913" s="60"/>
      <c r="V913" s="60"/>
      <c r="W913" s="60"/>
      <c r="X913" s="60"/>
      <c r="Y913" s="60"/>
      <c r="Z913" s="60"/>
      <c r="AA913" s="60"/>
      <c r="AB913" s="60"/>
      <c r="AC913" s="60"/>
      <c r="AD913" s="60"/>
      <c r="AE913" s="60"/>
      <c r="AF913" s="60"/>
      <c r="AG913" s="60"/>
      <c r="AH913" s="60"/>
      <c r="AI913" s="60"/>
      <c r="AJ913" s="60"/>
    </row>
    <row r="914">
      <c r="A914" s="245"/>
      <c r="B914" s="43"/>
      <c r="C914" s="209"/>
      <c r="D914" s="209"/>
      <c r="E914" s="43"/>
      <c r="F914" s="209"/>
      <c r="G914" s="187"/>
      <c r="H914" s="43"/>
      <c r="I914" s="98"/>
      <c r="J914" s="99"/>
      <c r="K914" s="98"/>
      <c r="L914" s="99"/>
      <c r="M914" s="99"/>
      <c r="N914" s="98"/>
      <c r="O914" s="98"/>
      <c r="P914" s="98"/>
      <c r="Q914" s="98"/>
      <c r="R914" s="43"/>
      <c r="S914" s="43"/>
      <c r="T914" s="43"/>
      <c r="U914" s="43"/>
      <c r="V914" s="43"/>
      <c r="W914" s="43"/>
      <c r="X914" s="43"/>
      <c r="Y914" s="43"/>
      <c r="Z914" s="43"/>
      <c r="AA914" s="43"/>
      <c r="AB914" s="43"/>
      <c r="AC914" s="43"/>
      <c r="AD914" s="43"/>
      <c r="AE914" s="43"/>
      <c r="AF914" s="43"/>
      <c r="AG914" s="43"/>
      <c r="AH914" s="43"/>
      <c r="AI914" s="43"/>
      <c r="AJ914" s="43"/>
    </row>
    <row r="915">
      <c r="A915" s="244"/>
      <c r="B915" s="60"/>
      <c r="C915" s="210"/>
      <c r="D915" s="210"/>
      <c r="E915" s="60"/>
      <c r="F915" s="210"/>
      <c r="G915" s="190"/>
      <c r="H915" s="60"/>
      <c r="I915" s="95"/>
      <c r="J915" s="96"/>
      <c r="K915" s="95"/>
      <c r="L915" s="96"/>
      <c r="M915" s="96"/>
      <c r="N915" s="95"/>
      <c r="O915" s="95"/>
      <c r="P915" s="95"/>
      <c r="Q915" s="95"/>
      <c r="R915" s="60"/>
      <c r="S915" s="60"/>
      <c r="T915" s="60"/>
      <c r="U915" s="60"/>
      <c r="V915" s="60"/>
      <c r="W915" s="60"/>
      <c r="X915" s="60"/>
      <c r="Y915" s="60"/>
      <c r="Z915" s="60"/>
      <c r="AA915" s="60"/>
      <c r="AB915" s="60"/>
      <c r="AC915" s="60"/>
      <c r="AD915" s="60"/>
      <c r="AE915" s="60"/>
      <c r="AF915" s="60"/>
      <c r="AG915" s="60"/>
      <c r="AH915" s="60"/>
      <c r="AI915" s="60"/>
      <c r="AJ915" s="60"/>
    </row>
    <row r="916">
      <c r="A916" s="245"/>
      <c r="B916" s="43"/>
      <c r="C916" s="209"/>
      <c r="D916" s="209"/>
      <c r="E916" s="43"/>
      <c r="F916" s="209"/>
      <c r="G916" s="187"/>
      <c r="H916" s="43"/>
      <c r="I916" s="98"/>
      <c r="J916" s="99"/>
      <c r="K916" s="98"/>
      <c r="L916" s="99"/>
      <c r="M916" s="99"/>
      <c r="N916" s="98"/>
      <c r="O916" s="98"/>
      <c r="P916" s="98"/>
      <c r="Q916" s="98"/>
      <c r="R916" s="43"/>
      <c r="S916" s="43"/>
      <c r="T916" s="43"/>
      <c r="U916" s="43"/>
      <c r="V916" s="43"/>
      <c r="W916" s="43"/>
      <c r="X916" s="43"/>
      <c r="Y916" s="43"/>
      <c r="Z916" s="43"/>
      <c r="AA916" s="43"/>
      <c r="AB916" s="43"/>
      <c r="AC916" s="43"/>
      <c r="AD916" s="43"/>
      <c r="AE916" s="43"/>
      <c r="AF916" s="43"/>
      <c r="AG916" s="43"/>
      <c r="AH916" s="43"/>
      <c r="AI916" s="43"/>
      <c r="AJ916" s="43"/>
    </row>
    <row r="917">
      <c r="A917" s="244"/>
      <c r="B917" s="60"/>
      <c r="C917" s="210"/>
      <c r="D917" s="210"/>
      <c r="E917" s="60"/>
      <c r="F917" s="210"/>
      <c r="G917" s="190"/>
      <c r="H917" s="60"/>
      <c r="I917" s="95"/>
      <c r="J917" s="96"/>
      <c r="K917" s="95"/>
      <c r="L917" s="96"/>
      <c r="M917" s="96"/>
      <c r="N917" s="95"/>
      <c r="O917" s="95"/>
      <c r="P917" s="95"/>
      <c r="Q917" s="95"/>
      <c r="R917" s="60"/>
      <c r="S917" s="60"/>
      <c r="T917" s="60"/>
      <c r="U917" s="60"/>
      <c r="V917" s="60"/>
      <c r="W917" s="60"/>
      <c r="X917" s="60"/>
      <c r="Y917" s="60"/>
      <c r="Z917" s="60"/>
      <c r="AA917" s="60"/>
      <c r="AB917" s="60"/>
      <c r="AC917" s="60"/>
      <c r="AD917" s="60"/>
      <c r="AE917" s="60"/>
      <c r="AF917" s="60"/>
      <c r="AG917" s="60"/>
      <c r="AH917" s="60"/>
      <c r="AI917" s="60"/>
      <c r="AJ917" s="60"/>
    </row>
    <row r="918">
      <c r="A918" s="245"/>
      <c r="B918" s="43"/>
      <c r="C918" s="209"/>
      <c r="D918" s="209"/>
      <c r="E918" s="43"/>
      <c r="F918" s="209"/>
      <c r="G918" s="187"/>
      <c r="H918" s="43"/>
      <c r="I918" s="98"/>
      <c r="J918" s="99"/>
      <c r="K918" s="98"/>
      <c r="L918" s="99"/>
      <c r="M918" s="99"/>
      <c r="N918" s="98"/>
      <c r="O918" s="98"/>
      <c r="P918" s="98"/>
      <c r="Q918" s="98"/>
      <c r="R918" s="43"/>
      <c r="S918" s="43"/>
      <c r="T918" s="43"/>
      <c r="U918" s="43"/>
      <c r="V918" s="43"/>
      <c r="W918" s="43"/>
      <c r="X918" s="43"/>
      <c r="Y918" s="43"/>
      <c r="Z918" s="43"/>
      <c r="AA918" s="43"/>
      <c r="AB918" s="43"/>
      <c r="AC918" s="43"/>
      <c r="AD918" s="43"/>
      <c r="AE918" s="43"/>
      <c r="AF918" s="43"/>
      <c r="AG918" s="43"/>
      <c r="AH918" s="43"/>
      <c r="AI918" s="43"/>
      <c r="AJ918" s="43"/>
    </row>
    <row r="919">
      <c r="A919" s="244"/>
      <c r="B919" s="60"/>
      <c r="C919" s="210"/>
      <c r="D919" s="210"/>
      <c r="E919" s="60"/>
      <c r="F919" s="210"/>
      <c r="G919" s="190"/>
      <c r="H919" s="60"/>
      <c r="I919" s="95"/>
      <c r="J919" s="96"/>
      <c r="K919" s="95"/>
      <c r="L919" s="96"/>
      <c r="M919" s="96"/>
      <c r="N919" s="95"/>
      <c r="O919" s="95"/>
      <c r="P919" s="95"/>
      <c r="Q919" s="95"/>
      <c r="R919" s="60"/>
      <c r="S919" s="60"/>
      <c r="T919" s="60"/>
      <c r="U919" s="60"/>
      <c r="V919" s="60"/>
      <c r="W919" s="60"/>
      <c r="X919" s="60"/>
      <c r="Y919" s="60"/>
      <c r="Z919" s="60"/>
      <c r="AA919" s="60"/>
      <c r="AB919" s="60"/>
      <c r="AC919" s="60"/>
      <c r="AD919" s="60"/>
      <c r="AE919" s="60"/>
      <c r="AF919" s="60"/>
      <c r="AG919" s="60"/>
      <c r="AH919" s="60"/>
      <c r="AI919" s="60"/>
      <c r="AJ919" s="60"/>
    </row>
    <row r="920">
      <c r="A920" s="245"/>
      <c r="B920" s="43"/>
      <c r="C920" s="209"/>
      <c r="D920" s="209"/>
      <c r="E920" s="43"/>
      <c r="F920" s="209"/>
      <c r="G920" s="187"/>
      <c r="H920" s="43"/>
      <c r="I920" s="98"/>
      <c r="J920" s="99"/>
      <c r="K920" s="98"/>
      <c r="L920" s="99"/>
      <c r="M920" s="99"/>
      <c r="N920" s="98"/>
      <c r="O920" s="98"/>
      <c r="P920" s="98"/>
      <c r="Q920" s="98"/>
      <c r="R920" s="43"/>
      <c r="S920" s="43"/>
      <c r="T920" s="43"/>
      <c r="U920" s="43"/>
      <c r="V920" s="43"/>
      <c r="W920" s="43"/>
      <c r="X920" s="43"/>
      <c r="Y920" s="43"/>
      <c r="Z920" s="43"/>
      <c r="AA920" s="43"/>
      <c r="AB920" s="43"/>
      <c r="AC920" s="43"/>
      <c r="AD920" s="43"/>
      <c r="AE920" s="43"/>
      <c r="AF920" s="43"/>
      <c r="AG920" s="43"/>
      <c r="AH920" s="43"/>
      <c r="AI920" s="43"/>
      <c r="AJ920" s="43"/>
    </row>
    <row r="921">
      <c r="A921" s="244"/>
      <c r="B921" s="60"/>
      <c r="C921" s="210"/>
      <c r="D921" s="210"/>
      <c r="E921" s="60"/>
      <c r="F921" s="210"/>
      <c r="G921" s="190"/>
      <c r="H921" s="60"/>
      <c r="I921" s="95"/>
      <c r="J921" s="96"/>
      <c r="K921" s="95"/>
      <c r="L921" s="96"/>
      <c r="M921" s="96"/>
      <c r="N921" s="95"/>
      <c r="O921" s="95"/>
      <c r="P921" s="95"/>
      <c r="Q921" s="95"/>
      <c r="R921" s="60"/>
      <c r="S921" s="60"/>
      <c r="T921" s="60"/>
      <c r="U921" s="60"/>
      <c r="V921" s="60"/>
      <c r="W921" s="60"/>
      <c r="X921" s="60"/>
      <c r="Y921" s="60"/>
      <c r="Z921" s="60"/>
      <c r="AA921" s="60"/>
      <c r="AB921" s="60"/>
      <c r="AC921" s="60"/>
      <c r="AD921" s="60"/>
      <c r="AE921" s="60"/>
      <c r="AF921" s="60"/>
      <c r="AG921" s="60"/>
      <c r="AH921" s="60"/>
      <c r="AI921" s="60"/>
      <c r="AJ921" s="60"/>
    </row>
    <row r="922">
      <c r="A922" s="245"/>
      <c r="B922" s="43"/>
      <c r="C922" s="209"/>
      <c r="D922" s="209"/>
      <c r="E922" s="43"/>
      <c r="F922" s="209"/>
      <c r="G922" s="187"/>
      <c r="H922" s="43"/>
      <c r="I922" s="98"/>
      <c r="J922" s="99"/>
      <c r="K922" s="98"/>
      <c r="L922" s="99"/>
      <c r="M922" s="99"/>
      <c r="N922" s="98"/>
      <c r="O922" s="98"/>
      <c r="P922" s="98"/>
      <c r="Q922" s="98"/>
      <c r="R922" s="43"/>
      <c r="S922" s="43"/>
      <c r="T922" s="43"/>
      <c r="U922" s="43"/>
      <c r="V922" s="43"/>
      <c r="W922" s="43"/>
      <c r="X922" s="43"/>
      <c r="Y922" s="43"/>
      <c r="Z922" s="43"/>
      <c r="AA922" s="43"/>
      <c r="AB922" s="43"/>
      <c r="AC922" s="43"/>
      <c r="AD922" s="43"/>
      <c r="AE922" s="43"/>
      <c r="AF922" s="43"/>
      <c r="AG922" s="43"/>
      <c r="AH922" s="43"/>
      <c r="AI922" s="43"/>
      <c r="AJ922" s="43"/>
    </row>
    <row r="923">
      <c r="A923" s="244"/>
      <c r="B923" s="60"/>
      <c r="C923" s="210"/>
      <c r="D923" s="210"/>
      <c r="E923" s="60"/>
      <c r="F923" s="210"/>
      <c r="G923" s="190"/>
      <c r="H923" s="60"/>
      <c r="I923" s="95"/>
      <c r="J923" s="96"/>
      <c r="K923" s="95"/>
      <c r="L923" s="96"/>
      <c r="M923" s="96"/>
      <c r="N923" s="95"/>
      <c r="O923" s="95"/>
      <c r="P923" s="95"/>
      <c r="Q923" s="95"/>
      <c r="R923" s="60"/>
      <c r="S923" s="60"/>
      <c r="T923" s="60"/>
      <c r="U923" s="60"/>
      <c r="V923" s="60"/>
      <c r="W923" s="60"/>
      <c r="X923" s="60"/>
      <c r="Y923" s="60"/>
      <c r="Z923" s="60"/>
      <c r="AA923" s="60"/>
      <c r="AB923" s="60"/>
      <c r="AC923" s="60"/>
      <c r="AD923" s="60"/>
      <c r="AE923" s="60"/>
      <c r="AF923" s="60"/>
      <c r="AG923" s="60"/>
      <c r="AH923" s="60"/>
      <c r="AI923" s="60"/>
      <c r="AJ923" s="60"/>
    </row>
    <row r="924">
      <c r="A924" s="245"/>
      <c r="B924" s="43"/>
      <c r="C924" s="209"/>
      <c r="D924" s="209"/>
      <c r="E924" s="43"/>
      <c r="F924" s="209"/>
      <c r="G924" s="187"/>
      <c r="H924" s="43"/>
      <c r="I924" s="98"/>
      <c r="J924" s="99"/>
      <c r="K924" s="98"/>
      <c r="L924" s="99"/>
      <c r="M924" s="99"/>
      <c r="N924" s="98"/>
      <c r="O924" s="98"/>
      <c r="P924" s="98"/>
      <c r="Q924" s="98"/>
      <c r="R924" s="43"/>
      <c r="S924" s="43"/>
      <c r="T924" s="43"/>
      <c r="U924" s="43"/>
      <c r="V924" s="43"/>
      <c r="W924" s="43"/>
      <c r="X924" s="43"/>
      <c r="Y924" s="43"/>
      <c r="Z924" s="43"/>
      <c r="AA924" s="43"/>
      <c r="AB924" s="43"/>
      <c r="AC924" s="43"/>
      <c r="AD924" s="43"/>
      <c r="AE924" s="43"/>
      <c r="AF924" s="43"/>
      <c r="AG924" s="43"/>
      <c r="AH924" s="43"/>
      <c r="AI924" s="43"/>
      <c r="AJ924" s="43"/>
    </row>
    <row r="925">
      <c r="A925" s="244"/>
      <c r="B925" s="60"/>
      <c r="C925" s="210"/>
      <c r="D925" s="210"/>
      <c r="E925" s="60"/>
      <c r="F925" s="210"/>
      <c r="G925" s="190"/>
      <c r="H925" s="60"/>
      <c r="I925" s="95"/>
      <c r="J925" s="96"/>
      <c r="K925" s="95"/>
      <c r="L925" s="96"/>
      <c r="M925" s="96"/>
      <c r="N925" s="95"/>
      <c r="O925" s="95"/>
      <c r="P925" s="95"/>
      <c r="Q925" s="95"/>
      <c r="R925" s="60"/>
      <c r="S925" s="60"/>
      <c r="T925" s="60"/>
      <c r="U925" s="60"/>
      <c r="V925" s="60"/>
      <c r="W925" s="60"/>
      <c r="X925" s="60"/>
      <c r="Y925" s="60"/>
      <c r="Z925" s="60"/>
      <c r="AA925" s="60"/>
      <c r="AB925" s="60"/>
      <c r="AC925" s="60"/>
      <c r="AD925" s="60"/>
      <c r="AE925" s="60"/>
      <c r="AF925" s="60"/>
      <c r="AG925" s="60"/>
      <c r="AH925" s="60"/>
      <c r="AI925" s="60"/>
      <c r="AJ925" s="60"/>
    </row>
    <row r="926">
      <c r="A926" s="245"/>
      <c r="B926" s="43"/>
      <c r="C926" s="209"/>
      <c r="D926" s="209"/>
      <c r="E926" s="43"/>
      <c r="F926" s="209"/>
      <c r="G926" s="187"/>
      <c r="H926" s="43"/>
      <c r="I926" s="98"/>
      <c r="J926" s="99"/>
      <c r="K926" s="98"/>
      <c r="L926" s="99"/>
      <c r="M926" s="99"/>
      <c r="N926" s="98"/>
      <c r="O926" s="98"/>
      <c r="P926" s="98"/>
      <c r="Q926" s="98"/>
      <c r="R926" s="43"/>
      <c r="S926" s="43"/>
      <c r="T926" s="43"/>
      <c r="U926" s="43"/>
      <c r="V926" s="43"/>
      <c r="W926" s="43"/>
      <c r="X926" s="43"/>
      <c r="Y926" s="43"/>
      <c r="Z926" s="43"/>
      <c r="AA926" s="43"/>
      <c r="AB926" s="43"/>
      <c r="AC926" s="43"/>
      <c r="AD926" s="43"/>
      <c r="AE926" s="43"/>
      <c r="AF926" s="43"/>
      <c r="AG926" s="43"/>
      <c r="AH926" s="43"/>
      <c r="AI926" s="43"/>
      <c r="AJ926" s="43"/>
    </row>
    <row r="927">
      <c r="A927" s="244"/>
      <c r="B927" s="60"/>
      <c r="C927" s="210"/>
      <c r="D927" s="210"/>
      <c r="E927" s="60"/>
      <c r="F927" s="210"/>
      <c r="G927" s="190"/>
      <c r="H927" s="60"/>
      <c r="I927" s="95"/>
      <c r="J927" s="96"/>
      <c r="K927" s="95"/>
      <c r="L927" s="96"/>
      <c r="M927" s="96"/>
      <c r="N927" s="95"/>
      <c r="O927" s="95"/>
      <c r="P927" s="95"/>
      <c r="Q927" s="95"/>
      <c r="R927" s="60"/>
      <c r="S927" s="60"/>
      <c r="T927" s="60"/>
      <c r="U927" s="60"/>
      <c r="V927" s="60"/>
      <c r="W927" s="60"/>
      <c r="X927" s="60"/>
      <c r="Y927" s="60"/>
      <c r="Z927" s="60"/>
      <c r="AA927" s="60"/>
      <c r="AB927" s="60"/>
      <c r="AC927" s="60"/>
      <c r="AD927" s="60"/>
      <c r="AE927" s="60"/>
      <c r="AF927" s="60"/>
      <c r="AG927" s="60"/>
      <c r="AH927" s="60"/>
      <c r="AI927" s="60"/>
      <c r="AJ927" s="60"/>
    </row>
    <row r="928">
      <c r="A928" s="245"/>
      <c r="B928" s="43"/>
      <c r="C928" s="209"/>
      <c r="D928" s="209"/>
      <c r="E928" s="43"/>
      <c r="F928" s="209"/>
      <c r="G928" s="187"/>
      <c r="H928" s="43"/>
      <c r="I928" s="98"/>
      <c r="J928" s="99"/>
      <c r="K928" s="98"/>
      <c r="L928" s="99"/>
      <c r="M928" s="99"/>
      <c r="N928" s="98"/>
      <c r="O928" s="98"/>
      <c r="P928" s="98"/>
      <c r="Q928" s="98"/>
      <c r="R928" s="43"/>
      <c r="S928" s="43"/>
      <c r="T928" s="43"/>
      <c r="U928" s="43"/>
      <c r="V928" s="43"/>
      <c r="W928" s="43"/>
      <c r="X928" s="43"/>
      <c r="Y928" s="43"/>
      <c r="Z928" s="43"/>
      <c r="AA928" s="43"/>
      <c r="AB928" s="43"/>
      <c r="AC928" s="43"/>
      <c r="AD928" s="43"/>
      <c r="AE928" s="43"/>
      <c r="AF928" s="43"/>
      <c r="AG928" s="43"/>
      <c r="AH928" s="43"/>
      <c r="AI928" s="43"/>
      <c r="AJ928" s="43"/>
    </row>
    <row r="929">
      <c r="A929" s="244"/>
      <c r="B929" s="60"/>
      <c r="C929" s="210"/>
      <c r="D929" s="210"/>
      <c r="E929" s="60"/>
      <c r="F929" s="210"/>
      <c r="G929" s="190"/>
      <c r="H929" s="60"/>
      <c r="I929" s="95"/>
      <c r="J929" s="96"/>
      <c r="K929" s="95"/>
      <c r="L929" s="96"/>
      <c r="M929" s="96"/>
      <c r="N929" s="95"/>
      <c r="O929" s="95"/>
      <c r="P929" s="95"/>
      <c r="Q929" s="95"/>
      <c r="R929" s="60"/>
      <c r="S929" s="60"/>
      <c r="T929" s="60"/>
      <c r="U929" s="60"/>
      <c r="V929" s="60"/>
      <c r="W929" s="60"/>
      <c r="X929" s="60"/>
      <c r="Y929" s="60"/>
      <c r="Z929" s="60"/>
      <c r="AA929" s="60"/>
      <c r="AB929" s="60"/>
      <c r="AC929" s="60"/>
      <c r="AD929" s="60"/>
      <c r="AE929" s="60"/>
      <c r="AF929" s="60"/>
      <c r="AG929" s="60"/>
      <c r="AH929" s="60"/>
      <c r="AI929" s="60"/>
      <c r="AJ929" s="60"/>
    </row>
    <row r="930">
      <c r="A930" s="245"/>
      <c r="B930" s="43"/>
      <c r="C930" s="209"/>
      <c r="D930" s="209"/>
      <c r="E930" s="43"/>
      <c r="F930" s="209"/>
      <c r="G930" s="187"/>
      <c r="H930" s="43"/>
      <c r="I930" s="98"/>
      <c r="J930" s="99"/>
      <c r="K930" s="98"/>
      <c r="L930" s="99"/>
      <c r="M930" s="99"/>
      <c r="N930" s="98"/>
      <c r="O930" s="98"/>
      <c r="P930" s="98"/>
      <c r="Q930" s="98"/>
      <c r="R930" s="43"/>
      <c r="S930" s="43"/>
      <c r="T930" s="43"/>
      <c r="U930" s="43"/>
      <c r="V930" s="43"/>
      <c r="W930" s="43"/>
      <c r="X930" s="43"/>
      <c r="Y930" s="43"/>
      <c r="Z930" s="43"/>
      <c r="AA930" s="43"/>
      <c r="AB930" s="43"/>
      <c r="AC930" s="43"/>
      <c r="AD930" s="43"/>
      <c r="AE930" s="43"/>
      <c r="AF930" s="43"/>
      <c r="AG930" s="43"/>
      <c r="AH930" s="43"/>
      <c r="AI930" s="43"/>
      <c r="AJ930" s="43"/>
    </row>
    <row r="931">
      <c r="A931" s="244"/>
      <c r="B931" s="60"/>
      <c r="C931" s="210"/>
      <c r="D931" s="210"/>
      <c r="E931" s="60"/>
      <c r="F931" s="210"/>
      <c r="G931" s="190"/>
      <c r="H931" s="60"/>
      <c r="I931" s="95"/>
      <c r="J931" s="96"/>
      <c r="K931" s="95"/>
      <c r="L931" s="96"/>
      <c r="M931" s="96"/>
      <c r="N931" s="95"/>
      <c r="O931" s="95"/>
      <c r="P931" s="95"/>
      <c r="Q931" s="95"/>
      <c r="R931" s="60"/>
      <c r="S931" s="60"/>
      <c r="T931" s="60"/>
      <c r="U931" s="60"/>
      <c r="V931" s="60"/>
      <c r="W931" s="60"/>
      <c r="X931" s="60"/>
      <c r="Y931" s="60"/>
      <c r="Z931" s="60"/>
      <c r="AA931" s="60"/>
      <c r="AB931" s="60"/>
      <c r="AC931" s="60"/>
      <c r="AD931" s="60"/>
      <c r="AE931" s="60"/>
      <c r="AF931" s="60"/>
      <c r="AG931" s="60"/>
      <c r="AH931" s="60"/>
      <c r="AI931" s="60"/>
      <c r="AJ931" s="60"/>
    </row>
    <row r="932">
      <c r="A932" s="245"/>
      <c r="B932" s="43"/>
      <c r="C932" s="209"/>
      <c r="D932" s="209"/>
      <c r="E932" s="43"/>
      <c r="F932" s="209"/>
      <c r="G932" s="187"/>
      <c r="H932" s="43"/>
      <c r="I932" s="98"/>
      <c r="J932" s="99"/>
      <c r="K932" s="98"/>
      <c r="L932" s="99"/>
      <c r="M932" s="99"/>
      <c r="N932" s="98"/>
      <c r="O932" s="98"/>
      <c r="P932" s="98"/>
      <c r="Q932" s="98"/>
      <c r="R932" s="43"/>
      <c r="S932" s="43"/>
      <c r="T932" s="43"/>
      <c r="U932" s="43"/>
      <c r="V932" s="43"/>
      <c r="W932" s="43"/>
      <c r="X932" s="43"/>
      <c r="Y932" s="43"/>
      <c r="Z932" s="43"/>
      <c r="AA932" s="43"/>
      <c r="AB932" s="43"/>
      <c r="AC932" s="43"/>
      <c r="AD932" s="43"/>
      <c r="AE932" s="43"/>
      <c r="AF932" s="43"/>
      <c r="AG932" s="43"/>
      <c r="AH932" s="43"/>
      <c r="AI932" s="43"/>
      <c r="AJ932" s="43"/>
    </row>
    <row r="933">
      <c r="A933" s="244"/>
      <c r="B933" s="60"/>
      <c r="C933" s="210"/>
      <c r="D933" s="210"/>
      <c r="E933" s="60"/>
      <c r="F933" s="210"/>
      <c r="G933" s="190"/>
      <c r="H933" s="60"/>
      <c r="I933" s="95"/>
      <c r="J933" s="96"/>
      <c r="K933" s="95"/>
      <c r="L933" s="96"/>
      <c r="M933" s="96"/>
      <c r="N933" s="95"/>
      <c r="O933" s="95"/>
      <c r="P933" s="95"/>
      <c r="Q933" s="95"/>
      <c r="R933" s="60"/>
      <c r="S933" s="60"/>
      <c r="T933" s="60"/>
      <c r="U933" s="60"/>
      <c r="V933" s="60"/>
      <c r="W933" s="60"/>
      <c r="X933" s="60"/>
      <c r="Y933" s="60"/>
      <c r="Z933" s="60"/>
      <c r="AA933" s="60"/>
      <c r="AB933" s="60"/>
      <c r="AC933" s="60"/>
      <c r="AD933" s="60"/>
      <c r="AE933" s="60"/>
      <c r="AF933" s="60"/>
      <c r="AG933" s="60"/>
      <c r="AH933" s="60"/>
      <c r="AI933" s="60"/>
      <c r="AJ933" s="60"/>
    </row>
    <row r="934">
      <c r="A934" s="245"/>
      <c r="B934" s="43"/>
      <c r="C934" s="209"/>
      <c r="D934" s="209"/>
      <c r="E934" s="43"/>
      <c r="F934" s="209"/>
      <c r="G934" s="187"/>
      <c r="H934" s="43"/>
      <c r="I934" s="98"/>
      <c r="J934" s="99"/>
      <c r="K934" s="98"/>
      <c r="L934" s="99"/>
      <c r="M934" s="99"/>
      <c r="N934" s="98"/>
      <c r="O934" s="98"/>
      <c r="P934" s="98"/>
      <c r="Q934" s="98"/>
      <c r="R934" s="43"/>
      <c r="S934" s="43"/>
      <c r="T934" s="43"/>
      <c r="U934" s="43"/>
      <c r="V934" s="43"/>
      <c r="W934" s="43"/>
      <c r="X934" s="43"/>
      <c r="Y934" s="43"/>
      <c r="Z934" s="43"/>
      <c r="AA934" s="43"/>
      <c r="AB934" s="43"/>
      <c r="AC934" s="43"/>
      <c r="AD934" s="43"/>
      <c r="AE934" s="43"/>
      <c r="AF934" s="43"/>
      <c r="AG934" s="43"/>
      <c r="AH934" s="43"/>
      <c r="AI934" s="43"/>
      <c r="AJ934" s="43"/>
    </row>
    <row r="935">
      <c r="A935" s="244"/>
      <c r="B935" s="60"/>
      <c r="C935" s="210"/>
      <c r="D935" s="210"/>
      <c r="E935" s="60"/>
      <c r="F935" s="210"/>
      <c r="G935" s="190"/>
      <c r="H935" s="60"/>
      <c r="I935" s="95"/>
      <c r="J935" s="96"/>
      <c r="K935" s="95"/>
      <c r="L935" s="96"/>
      <c r="M935" s="96"/>
      <c r="N935" s="95"/>
      <c r="O935" s="95"/>
      <c r="P935" s="95"/>
      <c r="Q935" s="95"/>
      <c r="R935" s="60"/>
      <c r="S935" s="60"/>
      <c r="T935" s="60"/>
      <c r="U935" s="60"/>
      <c r="V935" s="60"/>
      <c r="W935" s="60"/>
      <c r="X935" s="60"/>
      <c r="Y935" s="60"/>
      <c r="Z935" s="60"/>
      <c r="AA935" s="60"/>
      <c r="AB935" s="60"/>
      <c r="AC935" s="60"/>
      <c r="AD935" s="60"/>
      <c r="AE935" s="60"/>
      <c r="AF935" s="60"/>
      <c r="AG935" s="60"/>
      <c r="AH935" s="60"/>
      <c r="AI935" s="60"/>
      <c r="AJ935" s="60"/>
    </row>
    <row r="936">
      <c r="A936" s="245"/>
      <c r="B936" s="43"/>
      <c r="C936" s="209"/>
      <c r="D936" s="209"/>
      <c r="E936" s="43"/>
      <c r="F936" s="209"/>
      <c r="G936" s="187"/>
      <c r="H936" s="43"/>
      <c r="I936" s="98"/>
      <c r="J936" s="99"/>
      <c r="K936" s="98"/>
      <c r="L936" s="99"/>
      <c r="M936" s="99"/>
      <c r="N936" s="98"/>
      <c r="O936" s="98"/>
      <c r="P936" s="98"/>
      <c r="Q936" s="98"/>
      <c r="R936" s="43"/>
      <c r="S936" s="43"/>
      <c r="T936" s="43"/>
      <c r="U936" s="43"/>
      <c r="V936" s="43"/>
      <c r="W936" s="43"/>
      <c r="X936" s="43"/>
      <c r="Y936" s="43"/>
      <c r="Z936" s="43"/>
      <c r="AA936" s="43"/>
      <c r="AB936" s="43"/>
      <c r="AC936" s="43"/>
      <c r="AD936" s="43"/>
      <c r="AE936" s="43"/>
      <c r="AF936" s="43"/>
      <c r="AG936" s="43"/>
      <c r="AH936" s="43"/>
      <c r="AI936" s="43"/>
      <c r="AJ936" s="43"/>
    </row>
    <row r="937">
      <c r="A937" s="244"/>
      <c r="B937" s="60"/>
      <c r="C937" s="210"/>
      <c r="D937" s="210"/>
      <c r="E937" s="60"/>
      <c r="F937" s="210"/>
      <c r="G937" s="190"/>
      <c r="H937" s="60"/>
      <c r="I937" s="95"/>
      <c r="J937" s="96"/>
      <c r="K937" s="95"/>
      <c r="L937" s="96"/>
      <c r="M937" s="96"/>
      <c r="N937" s="95"/>
      <c r="O937" s="95"/>
      <c r="P937" s="95"/>
      <c r="Q937" s="95"/>
      <c r="R937" s="60"/>
      <c r="S937" s="60"/>
      <c r="T937" s="60"/>
      <c r="U937" s="60"/>
      <c r="V937" s="60"/>
      <c r="W937" s="60"/>
      <c r="X937" s="60"/>
      <c r="Y937" s="60"/>
      <c r="Z937" s="60"/>
      <c r="AA937" s="60"/>
      <c r="AB937" s="60"/>
      <c r="AC937" s="60"/>
      <c r="AD937" s="60"/>
      <c r="AE937" s="60"/>
      <c r="AF937" s="60"/>
      <c r="AG937" s="60"/>
      <c r="AH937" s="60"/>
      <c r="AI937" s="60"/>
      <c r="AJ937" s="60"/>
    </row>
    <row r="938">
      <c r="A938" s="245"/>
      <c r="B938" s="43"/>
      <c r="C938" s="209"/>
      <c r="D938" s="209"/>
      <c r="E938" s="43"/>
      <c r="F938" s="209"/>
      <c r="G938" s="187"/>
      <c r="H938" s="43"/>
      <c r="I938" s="98"/>
      <c r="J938" s="99"/>
      <c r="K938" s="98"/>
      <c r="L938" s="99"/>
      <c r="M938" s="99"/>
      <c r="N938" s="98"/>
      <c r="O938" s="98"/>
      <c r="P938" s="98"/>
      <c r="Q938" s="98"/>
      <c r="R938" s="43"/>
      <c r="S938" s="43"/>
      <c r="T938" s="43"/>
      <c r="U938" s="43"/>
      <c r="V938" s="43"/>
      <c r="W938" s="43"/>
      <c r="X938" s="43"/>
      <c r="Y938" s="43"/>
      <c r="Z938" s="43"/>
      <c r="AA938" s="43"/>
      <c r="AB938" s="43"/>
      <c r="AC938" s="43"/>
      <c r="AD938" s="43"/>
      <c r="AE938" s="43"/>
      <c r="AF938" s="43"/>
      <c r="AG938" s="43"/>
      <c r="AH938" s="43"/>
      <c r="AI938" s="43"/>
      <c r="AJ938" s="43"/>
    </row>
    <row r="939">
      <c r="A939" s="244"/>
      <c r="B939" s="60"/>
      <c r="C939" s="210"/>
      <c r="D939" s="210"/>
      <c r="E939" s="60"/>
      <c r="F939" s="210"/>
      <c r="G939" s="190"/>
      <c r="H939" s="60"/>
      <c r="I939" s="95"/>
      <c r="J939" s="96"/>
      <c r="K939" s="95"/>
      <c r="L939" s="96"/>
      <c r="M939" s="96"/>
      <c r="N939" s="95"/>
      <c r="O939" s="95"/>
      <c r="P939" s="95"/>
      <c r="Q939" s="95"/>
      <c r="R939" s="60"/>
      <c r="S939" s="60"/>
      <c r="T939" s="60"/>
      <c r="U939" s="60"/>
      <c r="V939" s="60"/>
      <c r="W939" s="60"/>
      <c r="X939" s="60"/>
      <c r="Y939" s="60"/>
      <c r="Z939" s="60"/>
      <c r="AA939" s="60"/>
      <c r="AB939" s="60"/>
      <c r="AC939" s="60"/>
      <c r="AD939" s="60"/>
      <c r="AE939" s="60"/>
      <c r="AF939" s="60"/>
      <c r="AG939" s="60"/>
      <c r="AH939" s="60"/>
      <c r="AI939" s="60"/>
      <c r="AJ939" s="60"/>
    </row>
    <row r="940">
      <c r="A940" s="245"/>
      <c r="B940" s="43"/>
      <c r="C940" s="209"/>
      <c r="D940" s="209"/>
      <c r="E940" s="43"/>
      <c r="F940" s="209"/>
      <c r="G940" s="187"/>
      <c r="H940" s="43"/>
      <c r="I940" s="98"/>
      <c r="J940" s="99"/>
      <c r="K940" s="98"/>
      <c r="L940" s="99"/>
      <c r="M940" s="99"/>
      <c r="N940" s="98"/>
      <c r="O940" s="98"/>
      <c r="P940" s="98"/>
      <c r="Q940" s="98"/>
      <c r="R940" s="43"/>
      <c r="S940" s="43"/>
      <c r="T940" s="43"/>
      <c r="U940" s="43"/>
      <c r="V940" s="43"/>
      <c r="W940" s="43"/>
      <c r="X940" s="43"/>
      <c r="Y940" s="43"/>
      <c r="Z940" s="43"/>
      <c r="AA940" s="43"/>
      <c r="AB940" s="43"/>
      <c r="AC940" s="43"/>
      <c r="AD940" s="43"/>
      <c r="AE940" s="43"/>
      <c r="AF940" s="43"/>
      <c r="AG940" s="43"/>
      <c r="AH940" s="43"/>
      <c r="AI940" s="43"/>
      <c r="AJ940" s="43"/>
    </row>
    <row r="941">
      <c r="A941" s="244"/>
      <c r="B941" s="60"/>
      <c r="C941" s="210"/>
      <c r="D941" s="210"/>
      <c r="E941" s="60"/>
      <c r="F941" s="210"/>
      <c r="G941" s="190"/>
      <c r="H941" s="60"/>
      <c r="I941" s="95"/>
      <c r="J941" s="96"/>
      <c r="K941" s="95"/>
      <c r="L941" s="96"/>
      <c r="M941" s="96"/>
      <c r="N941" s="95"/>
      <c r="O941" s="95"/>
      <c r="P941" s="95"/>
      <c r="Q941" s="95"/>
      <c r="R941" s="60"/>
      <c r="S941" s="60"/>
      <c r="T941" s="60"/>
      <c r="U941" s="60"/>
      <c r="V941" s="60"/>
      <c r="W941" s="60"/>
      <c r="X941" s="60"/>
      <c r="Y941" s="60"/>
      <c r="Z941" s="60"/>
      <c r="AA941" s="60"/>
      <c r="AB941" s="60"/>
      <c r="AC941" s="60"/>
      <c r="AD941" s="60"/>
      <c r="AE941" s="60"/>
      <c r="AF941" s="60"/>
      <c r="AG941" s="60"/>
      <c r="AH941" s="60"/>
      <c r="AI941" s="60"/>
      <c r="AJ941" s="60"/>
    </row>
    <row r="942">
      <c r="A942" s="245"/>
      <c r="B942" s="43"/>
      <c r="C942" s="209"/>
      <c r="D942" s="209"/>
      <c r="E942" s="43"/>
      <c r="F942" s="209"/>
      <c r="G942" s="187"/>
      <c r="H942" s="43"/>
      <c r="I942" s="98"/>
      <c r="J942" s="99"/>
      <c r="K942" s="98"/>
      <c r="L942" s="99"/>
      <c r="M942" s="99"/>
      <c r="N942" s="98"/>
      <c r="O942" s="98"/>
      <c r="P942" s="98"/>
      <c r="Q942" s="98"/>
      <c r="R942" s="43"/>
      <c r="S942" s="43"/>
      <c r="T942" s="43"/>
      <c r="U942" s="43"/>
      <c r="V942" s="43"/>
      <c r="W942" s="43"/>
      <c r="X942" s="43"/>
      <c r="Y942" s="43"/>
      <c r="Z942" s="43"/>
      <c r="AA942" s="43"/>
      <c r="AB942" s="43"/>
      <c r="AC942" s="43"/>
      <c r="AD942" s="43"/>
      <c r="AE942" s="43"/>
      <c r="AF942" s="43"/>
      <c r="AG942" s="43"/>
      <c r="AH942" s="43"/>
      <c r="AI942" s="43"/>
      <c r="AJ942" s="43"/>
    </row>
    <row r="943">
      <c r="A943" s="244"/>
      <c r="B943" s="60"/>
      <c r="C943" s="210"/>
      <c r="D943" s="210"/>
      <c r="E943" s="60"/>
      <c r="F943" s="210"/>
      <c r="G943" s="190"/>
      <c r="H943" s="60"/>
      <c r="I943" s="95"/>
      <c r="J943" s="96"/>
      <c r="K943" s="95"/>
      <c r="L943" s="96"/>
      <c r="M943" s="96"/>
      <c r="N943" s="95"/>
      <c r="O943" s="95"/>
      <c r="P943" s="95"/>
      <c r="Q943" s="95"/>
      <c r="R943" s="60"/>
      <c r="S943" s="60"/>
      <c r="T943" s="60"/>
      <c r="U943" s="60"/>
      <c r="V943" s="60"/>
      <c r="W943" s="60"/>
      <c r="X943" s="60"/>
      <c r="Y943" s="60"/>
      <c r="Z943" s="60"/>
      <c r="AA943" s="60"/>
      <c r="AB943" s="60"/>
      <c r="AC943" s="60"/>
      <c r="AD943" s="60"/>
      <c r="AE943" s="60"/>
      <c r="AF943" s="60"/>
      <c r="AG943" s="60"/>
      <c r="AH943" s="60"/>
      <c r="AI943" s="60"/>
      <c r="AJ943" s="60"/>
    </row>
    <row r="944">
      <c r="A944" s="245"/>
      <c r="B944" s="43"/>
      <c r="C944" s="209"/>
      <c r="D944" s="209"/>
      <c r="E944" s="43"/>
      <c r="F944" s="209"/>
      <c r="G944" s="187"/>
      <c r="H944" s="43"/>
      <c r="I944" s="98"/>
      <c r="J944" s="99"/>
      <c r="K944" s="98"/>
      <c r="L944" s="99"/>
      <c r="M944" s="99"/>
      <c r="N944" s="98"/>
      <c r="O944" s="98"/>
      <c r="P944" s="98"/>
      <c r="Q944" s="98"/>
      <c r="R944" s="43"/>
      <c r="S944" s="43"/>
      <c r="T944" s="43"/>
      <c r="U944" s="43"/>
      <c r="V944" s="43"/>
      <c r="W944" s="43"/>
      <c r="X944" s="43"/>
      <c r="Y944" s="43"/>
      <c r="Z944" s="43"/>
      <c r="AA944" s="43"/>
      <c r="AB944" s="43"/>
      <c r="AC944" s="43"/>
      <c r="AD944" s="43"/>
      <c r="AE944" s="43"/>
      <c r="AF944" s="43"/>
      <c r="AG944" s="43"/>
      <c r="AH944" s="43"/>
      <c r="AI944" s="43"/>
      <c r="AJ944" s="43"/>
    </row>
    <row r="945">
      <c r="A945" s="244"/>
      <c r="B945" s="60"/>
      <c r="C945" s="210"/>
      <c r="D945" s="210"/>
      <c r="E945" s="60"/>
      <c r="F945" s="210"/>
      <c r="G945" s="190"/>
      <c r="H945" s="60"/>
      <c r="I945" s="95"/>
      <c r="J945" s="96"/>
      <c r="K945" s="95"/>
      <c r="L945" s="96"/>
      <c r="M945" s="96"/>
      <c r="N945" s="95"/>
      <c r="O945" s="95"/>
      <c r="P945" s="95"/>
      <c r="Q945" s="95"/>
      <c r="R945" s="60"/>
      <c r="S945" s="60"/>
      <c r="T945" s="60"/>
      <c r="U945" s="60"/>
      <c r="V945" s="60"/>
      <c r="W945" s="60"/>
      <c r="X945" s="60"/>
      <c r="Y945" s="60"/>
      <c r="Z945" s="60"/>
      <c r="AA945" s="60"/>
      <c r="AB945" s="60"/>
      <c r="AC945" s="60"/>
      <c r="AD945" s="60"/>
      <c r="AE945" s="60"/>
      <c r="AF945" s="60"/>
      <c r="AG945" s="60"/>
      <c r="AH945" s="60"/>
      <c r="AI945" s="60"/>
      <c r="AJ945" s="60"/>
    </row>
    <row r="946">
      <c r="A946" s="245"/>
      <c r="B946" s="43"/>
      <c r="C946" s="209"/>
      <c r="D946" s="209"/>
      <c r="E946" s="43"/>
      <c r="F946" s="209"/>
      <c r="G946" s="187"/>
      <c r="H946" s="43"/>
      <c r="I946" s="98"/>
      <c r="J946" s="99"/>
      <c r="K946" s="98"/>
      <c r="L946" s="99"/>
      <c r="M946" s="99"/>
      <c r="N946" s="98"/>
      <c r="O946" s="98"/>
      <c r="P946" s="98"/>
      <c r="Q946" s="98"/>
      <c r="R946" s="43"/>
      <c r="S946" s="43"/>
      <c r="T946" s="43"/>
      <c r="U946" s="43"/>
      <c r="V946" s="43"/>
      <c r="W946" s="43"/>
      <c r="X946" s="43"/>
      <c r="Y946" s="43"/>
      <c r="Z946" s="43"/>
      <c r="AA946" s="43"/>
      <c r="AB946" s="43"/>
      <c r="AC946" s="43"/>
      <c r="AD946" s="43"/>
      <c r="AE946" s="43"/>
      <c r="AF946" s="43"/>
      <c r="AG946" s="43"/>
      <c r="AH946" s="43"/>
      <c r="AI946" s="43"/>
      <c r="AJ946" s="43"/>
    </row>
    <row r="947">
      <c r="A947" s="244"/>
      <c r="B947" s="60"/>
      <c r="C947" s="210"/>
      <c r="D947" s="210"/>
      <c r="E947" s="60"/>
      <c r="F947" s="210"/>
      <c r="G947" s="190"/>
      <c r="H947" s="60"/>
      <c r="I947" s="95"/>
      <c r="J947" s="96"/>
      <c r="K947" s="95"/>
      <c r="L947" s="96"/>
      <c r="M947" s="96"/>
      <c r="N947" s="95"/>
      <c r="O947" s="95"/>
      <c r="P947" s="95"/>
      <c r="Q947" s="95"/>
      <c r="R947" s="60"/>
      <c r="S947" s="60"/>
      <c r="T947" s="60"/>
      <c r="U947" s="60"/>
      <c r="V947" s="60"/>
      <c r="W947" s="60"/>
      <c r="X947" s="60"/>
      <c r="Y947" s="60"/>
      <c r="Z947" s="60"/>
      <c r="AA947" s="60"/>
      <c r="AB947" s="60"/>
      <c r="AC947" s="60"/>
      <c r="AD947" s="60"/>
      <c r="AE947" s="60"/>
      <c r="AF947" s="60"/>
      <c r="AG947" s="60"/>
      <c r="AH947" s="60"/>
      <c r="AI947" s="60"/>
      <c r="AJ947" s="60"/>
    </row>
    <row r="948">
      <c r="A948" s="245"/>
      <c r="B948" s="43"/>
      <c r="C948" s="209"/>
      <c r="D948" s="209"/>
      <c r="E948" s="43"/>
      <c r="F948" s="209"/>
      <c r="G948" s="187"/>
      <c r="H948" s="43"/>
      <c r="I948" s="98"/>
      <c r="J948" s="99"/>
      <c r="K948" s="98"/>
      <c r="L948" s="99"/>
      <c r="M948" s="99"/>
      <c r="N948" s="98"/>
      <c r="O948" s="98"/>
      <c r="P948" s="98"/>
      <c r="Q948" s="98"/>
      <c r="R948" s="43"/>
      <c r="S948" s="43"/>
      <c r="T948" s="43"/>
      <c r="U948" s="43"/>
      <c r="V948" s="43"/>
      <c r="W948" s="43"/>
      <c r="X948" s="43"/>
      <c r="Y948" s="43"/>
      <c r="Z948" s="43"/>
      <c r="AA948" s="43"/>
      <c r="AB948" s="43"/>
      <c r="AC948" s="43"/>
      <c r="AD948" s="43"/>
      <c r="AE948" s="43"/>
      <c r="AF948" s="43"/>
      <c r="AG948" s="43"/>
      <c r="AH948" s="43"/>
      <c r="AI948" s="43"/>
      <c r="AJ948" s="43"/>
    </row>
    <row r="949">
      <c r="A949" s="244"/>
      <c r="B949" s="60"/>
      <c r="C949" s="210"/>
      <c r="D949" s="210"/>
      <c r="E949" s="60"/>
      <c r="F949" s="210"/>
      <c r="G949" s="190"/>
      <c r="H949" s="60"/>
      <c r="I949" s="95"/>
      <c r="J949" s="96"/>
      <c r="K949" s="95"/>
      <c r="L949" s="96"/>
      <c r="M949" s="96"/>
      <c r="N949" s="95"/>
      <c r="O949" s="95"/>
      <c r="P949" s="95"/>
      <c r="Q949" s="95"/>
      <c r="R949" s="60"/>
      <c r="S949" s="60"/>
      <c r="T949" s="60"/>
      <c r="U949" s="60"/>
      <c r="V949" s="60"/>
      <c r="W949" s="60"/>
      <c r="X949" s="60"/>
      <c r="Y949" s="60"/>
      <c r="Z949" s="60"/>
      <c r="AA949" s="60"/>
      <c r="AB949" s="60"/>
      <c r="AC949" s="60"/>
      <c r="AD949" s="60"/>
      <c r="AE949" s="60"/>
      <c r="AF949" s="60"/>
      <c r="AG949" s="60"/>
      <c r="AH949" s="60"/>
      <c r="AI949" s="60"/>
      <c r="AJ949" s="60"/>
    </row>
    <row r="950">
      <c r="A950" s="245"/>
      <c r="B950" s="43"/>
      <c r="C950" s="209"/>
      <c r="D950" s="209"/>
      <c r="E950" s="43"/>
      <c r="F950" s="209"/>
      <c r="G950" s="187"/>
      <c r="H950" s="43"/>
      <c r="I950" s="98"/>
      <c r="J950" s="99"/>
      <c r="K950" s="98"/>
      <c r="L950" s="99"/>
      <c r="M950" s="99"/>
      <c r="N950" s="98"/>
      <c r="O950" s="98"/>
      <c r="P950" s="98"/>
      <c r="Q950" s="98"/>
      <c r="R950" s="43"/>
      <c r="S950" s="43"/>
      <c r="T950" s="43"/>
      <c r="U950" s="43"/>
      <c r="V950" s="43"/>
      <c r="W950" s="43"/>
      <c r="X950" s="43"/>
      <c r="Y950" s="43"/>
      <c r="Z950" s="43"/>
      <c r="AA950" s="43"/>
      <c r="AB950" s="43"/>
      <c r="AC950" s="43"/>
      <c r="AD950" s="43"/>
      <c r="AE950" s="43"/>
      <c r="AF950" s="43"/>
      <c r="AG950" s="43"/>
      <c r="AH950" s="43"/>
      <c r="AI950" s="43"/>
      <c r="AJ950" s="43"/>
    </row>
    <row r="951">
      <c r="A951" s="244"/>
      <c r="B951" s="60"/>
      <c r="C951" s="210"/>
      <c r="D951" s="210"/>
      <c r="E951" s="60"/>
      <c r="F951" s="210"/>
      <c r="G951" s="190"/>
      <c r="H951" s="60"/>
      <c r="I951" s="95"/>
      <c r="J951" s="96"/>
      <c r="K951" s="95"/>
      <c r="L951" s="96"/>
      <c r="M951" s="96"/>
      <c r="N951" s="95"/>
      <c r="O951" s="95"/>
      <c r="P951" s="95"/>
      <c r="Q951" s="95"/>
      <c r="R951" s="60"/>
      <c r="S951" s="60"/>
      <c r="T951" s="60"/>
      <c r="U951" s="60"/>
      <c r="V951" s="60"/>
      <c r="W951" s="60"/>
      <c r="X951" s="60"/>
      <c r="Y951" s="60"/>
      <c r="Z951" s="60"/>
      <c r="AA951" s="60"/>
      <c r="AB951" s="60"/>
      <c r="AC951" s="60"/>
      <c r="AD951" s="60"/>
      <c r="AE951" s="60"/>
      <c r="AF951" s="60"/>
      <c r="AG951" s="60"/>
      <c r="AH951" s="60"/>
      <c r="AI951" s="60"/>
      <c r="AJ951" s="60"/>
    </row>
    <row r="952">
      <c r="A952" s="245"/>
      <c r="B952" s="43"/>
      <c r="C952" s="209"/>
      <c r="D952" s="209"/>
      <c r="E952" s="43"/>
      <c r="F952" s="209"/>
      <c r="G952" s="187"/>
      <c r="H952" s="43"/>
      <c r="I952" s="98"/>
      <c r="J952" s="99"/>
      <c r="K952" s="98"/>
      <c r="L952" s="99"/>
      <c r="M952" s="99"/>
      <c r="N952" s="98"/>
      <c r="O952" s="98"/>
      <c r="P952" s="98"/>
      <c r="Q952" s="98"/>
      <c r="R952" s="43"/>
      <c r="S952" s="43"/>
      <c r="T952" s="43"/>
      <c r="U952" s="43"/>
      <c r="V952" s="43"/>
      <c r="W952" s="43"/>
      <c r="X952" s="43"/>
      <c r="Y952" s="43"/>
      <c r="Z952" s="43"/>
      <c r="AA952" s="43"/>
      <c r="AB952" s="43"/>
      <c r="AC952" s="43"/>
      <c r="AD952" s="43"/>
      <c r="AE952" s="43"/>
      <c r="AF952" s="43"/>
      <c r="AG952" s="43"/>
      <c r="AH952" s="43"/>
      <c r="AI952" s="43"/>
      <c r="AJ952" s="43"/>
    </row>
    <row r="953">
      <c r="A953" s="244"/>
      <c r="B953" s="60"/>
      <c r="C953" s="210"/>
      <c r="D953" s="210"/>
      <c r="E953" s="60"/>
      <c r="F953" s="210"/>
      <c r="G953" s="190"/>
      <c r="H953" s="60"/>
      <c r="I953" s="95"/>
      <c r="J953" s="96"/>
      <c r="K953" s="95"/>
      <c r="L953" s="96"/>
      <c r="M953" s="96"/>
      <c r="N953" s="95"/>
      <c r="O953" s="95"/>
      <c r="P953" s="95"/>
      <c r="Q953" s="95"/>
      <c r="R953" s="60"/>
      <c r="S953" s="60"/>
      <c r="T953" s="60"/>
      <c r="U953" s="60"/>
      <c r="V953" s="60"/>
      <c r="W953" s="60"/>
      <c r="X953" s="60"/>
      <c r="Y953" s="60"/>
      <c r="Z953" s="60"/>
      <c r="AA953" s="60"/>
      <c r="AB953" s="60"/>
      <c r="AC953" s="60"/>
      <c r="AD953" s="60"/>
      <c r="AE953" s="60"/>
      <c r="AF953" s="60"/>
      <c r="AG953" s="60"/>
      <c r="AH953" s="60"/>
      <c r="AI953" s="60"/>
      <c r="AJ953" s="60"/>
    </row>
    <row r="954">
      <c r="A954" s="245"/>
      <c r="B954" s="43"/>
      <c r="C954" s="209"/>
      <c r="D954" s="209"/>
      <c r="E954" s="43"/>
      <c r="F954" s="209"/>
      <c r="G954" s="187"/>
      <c r="H954" s="43"/>
      <c r="I954" s="98"/>
      <c r="J954" s="99"/>
      <c r="K954" s="98"/>
      <c r="L954" s="99"/>
      <c r="M954" s="99"/>
      <c r="N954" s="98"/>
      <c r="O954" s="98"/>
      <c r="P954" s="98"/>
      <c r="Q954" s="98"/>
      <c r="R954" s="43"/>
      <c r="S954" s="43"/>
      <c r="T954" s="43"/>
      <c r="U954" s="43"/>
      <c r="V954" s="43"/>
      <c r="W954" s="43"/>
      <c r="X954" s="43"/>
      <c r="Y954" s="43"/>
      <c r="Z954" s="43"/>
      <c r="AA954" s="43"/>
      <c r="AB954" s="43"/>
      <c r="AC954" s="43"/>
      <c r="AD954" s="43"/>
      <c r="AE954" s="43"/>
      <c r="AF954" s="43"/>
      <c r="AG954" s="43"/>
      <c r="AH954" s="43"/>
      <c r="AI954" s="43"/>
      <c r="AJ954" s="43"/>
    </row>
    <row r="955">
      <c r="A955" s="244"/>
      <c r="B955" s="60"/>
      <c r="C955" s="210"/>
      <c r="D955" s="210"/>
      <c r="E955" s="60"/>
      <c r="F955" s="210"/>
      <c r="G955" s="190"/>
      <c r="H955" s="60"/>
      <c r="I955" s="95"/>
      <c r="J955" s="96"/>
      <c r="K955" s="95"/>
      <c r="L955" s="96"/>
      <c r="M955" s="96"/>
      <c r="N955" s="95"/>
      <c r="O955" s="95"/>
      <c r="P955" s="95"/>
      <c r="Q955" s="95"/>
      <c r="R955" s="60"/>
      <c r="S955" s="60"/>
      <c r="T955" s="60"/>
      <c r="U955" s="60"/>
      <c r="V955" s="60"/>
      <c r="W955" s="60"/>
      <c r="X955" s="60"/>
      <c r="Y955" s="60"/>
      <c r="Z955" s="60"/>
      <c r="AA955" s="60"/>
      <c r="AB955" s="60"/>
      <c r="AC955" s="60"/>
      <c r="AD955" s="60"/>
      <c r="AE955" s="60"/>
      <c r="AF955" s="60"/>
      <c r="AG955" s="60"/>
      <c r="AH955" s="60"/>
      <c r="AI955" s="60"/>
      <c r="AJ955" s="60"/>
    </row>
    <row r="956">
      <c r="A956" s="245"/>
      <c r="B956" s="43"/>
      <c r="C956" s="209"/>
      <c r="D956" s="209"/>
      <c r="E956" s="43"/>
      <c r="F956" s="209"/>
      <c r="G956" s="187"/>
      <c r="H956" s="43"/>
      <c r="I956" s="98"/>
      <c r="J956" s="99"/>
      <c r="K956" s="98"/>
      <c r="L956" s="99"/>
      <c r="M956" s="99"/>
      <c r="N956" s="98"/>
      <c r="O956" s="98"/>
      <c r="P956" s="98"/>
      <c r="Q956" s="98"/>
      <c r="R956" s="43"/>
      <c r="S956" s="43"/>
      <c r="T956" s="43"/>
      <c r="U956" s="43"/>
      <c r="V956" s="43"/>
      <c r="W956" s="43"/>
      <c r="X956" s="43"/>
      <c r="Y956" s="43"/>
      <c r="Z956" s="43"/>
      <c r="AA956" s="43"/>
      <c r="AB956" s="43"/>
      <c r="AC956" s="43"/>
      <c r="AD956" s="43"/>
      <c r="AE956" s="43"/>
      <c r="AF956" s="43"/>
      <c r="AG956" s="43"/>
      <c r="AH956" s="43"/>
      <c r="AI956" s="43"/>
      <c r="AJ956" s="43"/>
    </row>
    <row r="957">
      <c r="A957" s="244"/>
      <c r="B957" s="60"/>
      <c r="C957" s="210"/>
      <c r="D957" s="210"/>
      <c r="E957" s="60"/>
      <c r="F957" s="210"/>
      <c r="G957" s="190"/>
      <c r="H957" s="60"/>
      <c r="I957" s="95"/>
      <c r="J957" s="96"/>
      <c r="K957" s="95"/>
      <c r="L957" s="96"/>
      <c r="M957" s="96"/>
      <c r="N957" s="95"/>
      <c r="O957" s="95"/>
      <c r="P957" s="95"/>
      <c r="Q957" s="95"/>
      <c r="R957" s="60"/>
      <c r="S957" s="60"/>
      <c r="T957" s="60"/>
      <c r="U957" s="60"/>
      <c r="V957" s="60"/>
      <c r="W957" s="60"/>
      <c r="X957" s="60"/>
      <c r="Y957" s="60"/>
      <c r="Z957" s="60"/>
      <c r="AA957" s="60"/>
      <c r="AB957" s="60"/>
      <c r="AC957" s="60"/>
      <c r="AD957" s="60"/>
      <c r="AE957" s="60"/>
      <c r="AF957" s="60"/>
      <c r="AG957" s="60"/>
      <c r="AH957" s="60"/>
      <c r="AI957" s="60"/>
      <c r="AJ957" s="60"/>
    </row>
    <row r="958">
      <c r="A958" s="245"/>
      <c r="B958" s="43"/>
      <c r="C958" s="209"/>
      <c r="D958" s="209"/>
      <c r="E958" s="43"/>
      <c r="F958" s="209"/>
      <c r="G958" s="187"/>
      <c r="H958" s="43"/>
      <c r="I958" s="98"/>
      <c r="J958" s="99"/>
      <c r="K958" s="98"/>
      <c r="L958" s="99"/>
      <c r="M958" s="99"/>
      <c r="N958" s="98"/>
      <c r="O958" s="98"/>
      <c r="P958" s="98"/>
      <c r="Q958" s="98"/>
      <c r="R958" s="43"/>
      <c r="S958" s="43"/>
      <c r="T958" s="43"/>
      <c r="U958" s="43"/>
      <c r="V958" s="43"/>
      <c r="W958" s="43"/>
      <c r="X958" s="43"/>
      <c r="Y958" s="43"/>
      <c r="Z958" s="43"/>
      <c r="AA958" s="43"/>
      <c r="AB958" s="43"/>
      <c r="AC958" s="43"/>
      <c r="AD958" s="43"/>
      <c r="AE958" s="43"/>
      <c r="AF958" s="43"/>
      <c r="AG958" s="43"/>
      <c r="AH958" s="43"/>
      <c r="AI958" s="43"/>
      <c r="AJ958" s="43"/>
    </row>
    <row r="959">
      <c r="A959" s="244"/>
      <c r="B959" s="60"/>
      <c r="C959" s="210"/>
      <c r="D959" s="210"/>
      <c r="E959" s="60"/>
      <c r="F959" s="210"/>
      <c r="G959" s="190"/>
      <c r="H959" s="60"/>
      <c r="I959" s="95"/>
      <c r="J959" s="96"/>
      <c r="K959" s="95"/>
      <c r="L959" s="96"/>
      <c r="M959" s="96"/>
      <c r="N959" s="95"/>
      <c r="O959" s="95"/>
      <c r="P959" s="95"/>
      <c r="Q959" s="95"/>
      <c r="R959" s="60"/>
      <c r="S959" s="60"/>
      <c r="T959" s="60"/>
      <c r="U959" s="60"/>
      <c r="V959" s="60"/>
      <c r="W959" s="60"/>
      <c r="X959" s="60"/>
      <c r="Y959" s="60"/>
      <c r="Z959" s="60"/>
      <c r="AA959" s="60"/>
      <c r="AB959" s="60"/>
      <c r="AC959" s="60"/>
      <c r="AD959" s="60"/>
      <c r="AE959" s="60"/>
      <c r="AF959" s="60"/>
      <c r="AG959" s="60"/>
      <c r="AH959" s="60"/>
      <c r="AI959" s="60"/>
      <c r="AJ959" s="60"/>
    </row>
    <row r="960">
      <c r="A960" s="245"/>
      <c r="B960" s="43"/>
      <c r="C960" s="209"/>
      <c r="D960" s="209"/>
      <c r="E960" s="43"/>
      <c r="F960" s="209"/>
      <c r="G960" s="187"/>
      <c r="H960" s="43"/>
      <c r="I960" s="98"/>
      <c r="J960" s="99"/>
      <c r="K960" s="98"/>
      <c r="L960" s="99"/>
      <c r="M960" s="99"/>
      <c r="N960" s="98"/>
      <c r="O960" s="98"/>
      <c r="P960" s="98"/>
      <c r="Q960" s="98"/>
      <c r="R960" s="43"/>
      <c r="S960" s="43"/>
      <c r="T960" s="43"/>
      <c r="U960" s="43"/>
      <c r="V960" s="43"/>
      <c r="W960" s="43"/>
      <c r="X960" s="43"/>
      <c r="Y960" s="43"/>
      <c r="Z960" s="43"/>
      <c r="AA960" s="43"/>
      <c r="AB960" s="43"/>
      <c r="AC960" s="43"/>
      <c r="AD960" s="43"/>
      <c r="AE960" s="43"/>
      <c r="AF960" s="43"/>
      <c r="AG960" s="43"/>
      <c r="AH960" s="43"/>
      <c r="AI960" s="43"/>
      <c r="AJ960" s="43"/>
    </row>
    <row r="961">
      <c r="A961" s="244"/>
      <c r="B961" s="60"/>
      <c r="C961" s="210"/>
      <c r="D961" s="210"/>
      <c r="E961" s="60"/>
      <c r="F961" s="210"/>
      <c r="G961" s="190"/>
      <c r="H961" s="60"/>
      <c r="I961" s="95"/>
      <c r="J961" s="96"/>
      <c r="K961" s="95"/>
      <c r="L961" s="96"/>
      <c r="M961" s="96"/>
      <c r="N961" s="95"/>
      <c r="O961" s="95"/>
      <c r="P961" s="95"/>
      <c r="Q961" s="95"/>
      <c r="R961" s="60"/>
      <c r="S961" s="60"/>
      <c r="T961" s="60"/>
      <c r="U961" s="60"/>
      <c r="V961" s="60"/>
      <c r="W961" s="60"/>
      <c r="X961" s="60"/>
      <c r="Y961" s="60"/>
      <c r="Z961" s="60"/>
      <c r="AA961" s="60"/>
      <c r="AB961" s="60"/>
      <c r="AC961" s="60"/>
      <c r="AD961" s="60"/>
      <c r="AE961" s="60"/>
      <c r="AF961" s="60"/>
      <c r="AG961" s="60"/>
      <c r="AH961" s="60"/>
      <c r="AI961" s="60"/>
      <c r="AJ961" s="60"/>
    </row>
    <row r="962">
      <c r="A962" s="245"/>
      <c r="B962" s="43"/>
      <c r="C962" s="209"/>
      <c r="D962" s="209"/>
      <c r="E962" s="43"/>
      <c r="F962" s="209"/>
      <c r="G962" s="187"/>
      <c r="H962" s="43"/>
      <c r="I962" s="98"/>
      <c r="J962" s="99"/>
      <c r="K962" s="98"/>
      <c r="L962" s="99"/>
      <c r="M962" s="99"/>
      <c r="N962" s="98"/>
      <c r="O962" s="98"/>
      <c r="P962" s="98"/>
      <c r="Q962" s="98"/>
      <c r="R962" s="43"/>
      <c r="S962" s="43"/>
      <c r="T962" s="43"/>
      <c r="U962" s="43"/>
      <c r="V962" s="43"/>
      <c r="W962" s="43"/>
      <c r="X962" s="43"/>
      <c r="Y962" s="43"/>
      <c r="Z962" s="43"/>
      <c r="AA962" s="43"/>
      <c r="AB962" s="43"/>
      <c r="AC962" s="43"/>
      <c r="AD962" s="43"/>
      <c r="AE962" s="43"/>
      <c r="AF962" s="43"/>
      <c r="AG962" s="43"/>
      <c r="AH962" s="43"/>
      <c r="AI962" s="43"/>
      <c r="AJ962" s="43"/>
    </row>
    <row r="963">
      <c r="A963" s="244"/>
      <c r="B963" s="60"/>
      <c r="C963" s="210"/>
      <c r="D963" s="210"/>
      <c r="E963" s="60"/>
      <c r="F963" s="210"/>
      <c r="G963" s="190"/>
      <c r="H963" s="60"/>
      <c r="I963" s="95"/>
      <c r="J963" s="96"/>
      <c r="K963" s="95"/>
      <c r="L963" s="96"/>
      <c r="M963" s="96"/>
      <c r="N963" s="95"/>
      <c r="O963" s="95"/>
      <c r="P963" s="95"/>
      <c r="Q963" s="95"/>
      <c r="R963" s="60"/>
      <c r="S963" s="60"/>
      <c r="T963" s="60"/>
      <c r="U963" s="60"/>
      <c r="V963" s="60"/>
      <c r="W963" s="60"/>
      <c r="X963" s="60"/>
      <c r="Y963" s="60"/>
      <c r="Z963" s="60"/>
      <c r="AA963" s="60"/>
      <c r="AB963" s="60"/>
      <c r="AC963" s="60"/>
      <c r="AD963" s="60"/>
      <c r="AE963" s="60"/>
      <c r="AF963" s="60"/>
      <c r="AG963" s="60"/>
      <c r="AH963" s="60"/>
      <c r="AI963" s="60"/>
      <c r="AJ963" s="60"/>
    </row>
    <row r="964">
      <c r="A964" s="245"/>
      <c r="B964" s="43"/>
      <c r="C964" s="209"/>
      <c r="D964" s="209"/>
      <c r="E964" s="43"/>
      <c r="F964" s="209"/>
      <c r="G964" s="187"/>
      <c r="H964" s="43"/>
      <c r="I964" s="98"/>
      <c r="J964" s="99"/>
      <c r="K964" s="98"/>
      <c r="L964" s="99"/>
      <c r="M964" s="99"/>
      <c r="N964" s="98"/>
      <c r="O964" s="98"/>
      <c r="P964" s="98"/>
      <c r="Q964" s="98"/>
      <c r="R964" s="43"/>
      <c r="S964" s="43"/>
      <c r="T964" s="43"/>
      <c r="U964" s="43"/>
      <c r="V964" s="43"/>
      <c r="W964" s="43"/>
      <c r="X964" s="43"/>
      <c r="Y964" s="43"/>
      <c r="Z964" s="43"/>
      <c r="AA964" s="43"/>
      <c r="AB964" s="43"/>
      <c r="AC964" s="43"/>
      <c r="AD964" s="43"/>
      <c r="AE964" s="43"/>
      <c r="AF964" s="43"/>
      <c r="AG964" s="43"/>
      <c r="AH964" s="43"/>
      <c r="AI964" s="43"/>
      <c r="AJ964" s="43"/>
    </row>
    <row r="965">
      <c r="A965" s="244"/>
      <c r="B965" s="60"/>
      <c r="C965" s="210"/>
      <c r="D965" s="210"/>
      <c r="E965" s="60"/>
      <c r="F965" s="210"/>
      <c r="G965" s="190"/>
      <c r="H965" s="60"/>
      <c r="I965" s="95"/>
      <c r="J965" s="96"/>
      <c r="K965" s="95"/>
      <c r="L965" s="96"/>
      <c r="M965" s="96"/>
      <c r="N965" s="95"/>
      <c r="O965" s="95"/>
      <c r="P965" s="95"/>
      <c r="Q965" s="95"/>
      <c r="R965" s="60"/>
      <c r="S965" s="60"/>
      <c r="T965" s="60"/>
      <c r="U965" s="60"/>
      <c r="V965" s="60"/>
      <c r="W965" s="60"/>
      <c r="X965" s="60"/>
      <c r="Y965" s="60"/>
      <c r="Z965" s="60"/>
      <c r="AA965" s="60"/>
      <c r="AB965" s="60"/>
      <c r="AC965" s="60"/>
      <c r="AD965" s="60"/>
      <c r="AE965" s="60"/>
      <c r="AF965" s="60"/>
      <c r="AG965" s="60"/>
      <c r="AH965" s="60"/>
      <c r="AI965" s="60"/>
      <c r="AJ965" s="60"/>
    </row>
    <row r="966">
      <c r="A966" s="245"/>
      <c r="B966" s="43"/>
      <c r="C966" s="209"/>
      <c r="D966" s="209"/>
      <c r="E966" s="43"/>
      <c r="F966" s="209"/>
      <c r="G966" s="187"/>
      <c r="H966" s="43"/>
      <c r="I966" s="98"/>
      <c r="J966" s="99"/>
      <c r="K966" s="98"/>
      <c r="L966" s="99"/>
      <c r="M966" s="99"/>
      <c r="N966" s="98"/>
      <c r="O966" s="98"/>
      <c r="P966" s="98"/>
      <c r="Q966" s="98"/>
      <c r="R966" s="43"/>
      <c r="S966" s="43"/>
      <c r="T966" s="43"/>
      <c r="U966" s="43"/>
      <c r="V966" s="43"/>
      <c r="W966" s="43"/>
      <c r="X966" s="43"/>
      <c r="Y966" s="43"/>
      <c r="Z966" s="43"/>
      <c r="AA966" s="43"/>
      <c r="AB966" s="43"/>
      <c r="AC966" s="43"/>
      <c r="AD966" s="43"/>
      <c r="AE966" s="43"/>
      <c r="AF966" s="43"/>
      <c r="AG966" s="43"/>
      <c r="AH966" s="43"/>
      <c r="AI966" s="43"/>
      <c r="AJ966" s="43"/>
    </row>
    <row r="967">
      <c r="A967" s="244"/>
      <c r="B967" s="60"/>
      <c r="C967" s="210"/>
      <c r="D967" s="210"/>
      <c r="E967" s="60"/>
      <c r="F967" s="210"/>
      <c r="G967" s="190"/>
      <c r="H967" s="60"/>
      <c r="I967" s="95"/>
      <c r="J967" s="96"/>
      <c r="K967" s="95"/>
      <c r="L967" s="96"/>
      <c r="M967" s="96"/>
      <c r="N967" s="95"/>
      <c r="O967" s="95"/>
      <c r="P967" s="95"/>
      <c r="Q967" s="95"/>
      <c r="R967" s="60"/>
      <c r="S967" s="60"/>
      <c r="T967" s="60"/>
      <c r="U967" s="60"/>
      <c r="V967" s="60"/>
      <c r="W967" s="60"/>
      <c r="X967" s="60"/>
      <c r="Y967" s="60"/>
      <c r="Z967" s="60"/>
      <c r="AA967" s="60"/>
      <c r="AB967" s="60"/>
      <c r="AC967" s="60"/>
      <c r="AD967" s="60"/>
      <c r="AE967" s="60"/>
      <c r="AF967" s="60"/>
      <c r="AG967" s="60"/>
      <c r="AH967" s="60"/>
      <c r="AI967" s="60"/>
      <c r="AJ967" s="60"/>
    </row>
    <row r="968">
      <c r="A968" s="245"/>
      <c r="B968" s="43"/>
      <c r="C968" s="209"/>
      <c r="D968" s="209"/>
      <c r="E968" s="43"/>
      <c r="F968" s="209"/>
      <c r="G968" s="187"/>
      <c r="H968" s="43"/>
      <c r="I968" s="98"/>
      <c r="J968" s="99"/>
      <c r="K968" s="98"/>
      <c r="L968" s="99"/>
      <c r="M968" s="99"/>
      <c r="N968" s="98"/>
      <c r="O968" s="98"/>
      <c r="P968" s="98"/>
      <c r="Q968" s="98"/>
      <c r="R968" s="43"/>
      <c r="S968" s="43"/>
      <c r="T968" s="43"/>
      <c r="U968" s="43"/>
      <c r="V968" s="43"/>
      <c r="W968" s="43"/>
      <c r="X968" s="43"/>
      <c r="Y968" s="43"/>
      <c r="Z968" s="43"/>
      <c r="AA968" s="43"/>
      <c r="AB968" s="43"/>
      <c r="AC968" s="43"/>
      <c r="AD968" s="43"/>
      <c r="AE968" s="43"/>
      <c r="AF968" s="43"/>
      <c r="AG968" s="43"/>
      <c r="AH968" s="43"/>
      <c r="AI968" s="43"/>
      <c r="AJ968" s="43"/>
    </row>
    <row r="969">
      <c r="A969" s="244"/>
      <c r="B969" s="60"/>
      <c r="C969" s="210"/>
      <c r="D969" s="210"/>
      <c r="E969" s="60"/>
      <c r="F969" s="210"/>
      <c r="G969" s="190"/>
      <c r="H969" s="60"/>
      <c r="I969" s="95"/>
      <c r="J969" s="96"/>
      <c r="K969" s="95"/>
      <c r="L969" s="96"/>
      <c r="M969" s="96"/>
      <c r="N969" s="95"/>
      <c r="O969" s="95"/>
      <c r="P969" s="95"/>
      <c r="Q969" s="95"/>
      <c r="R969" s="60"/>
      <c r="S969" s="60"/>
      <c r="T969" s="60"/>
      <c r="U969" s="60"/>
      <c r="V969" s="60"/>
      <c r="W969" s="60"/>
      <c r="X969" s="60"/>
      <c r="Y969" s="60"/>
      <c r="Z969" s="60"/>
      <c r="AA969" s="60"/>
      <c r="AB969" s="60"/>
      <c r="AC969" s="60"/>
      <c r="AD969" s="60"/>
      <c r="AE969" s="60"/>
      <c r="AF969" s="60"/>
      <c r="AG969" s="60"/>
      <c r="AH969" s="60"/>
      <c r="AI969" s="60"/>
      <c r="AJ969" s="60"/>
    </row>
    <row r="970">
      <c r="A970" s="245"/>
      <c r="B970" s="43"/>
      <c r="C970" s="209"/>
      <c r="D970" s="209"/>
      <c r="E970" s="43"/>
      <c r="F970" s="209"/>
      <c r="G970" s="187"/>
      <c r="H970" s="43"/>
      <c r="I970" s="98"/>
      <c r="J970" s="99"/>
      <c r="K970" s="98"/>
      <c r="L970" s="99"/>
      <c r="M970" s="99"/>
      <c r="N970" s="98"/>
      <c r="O970" s="98"/>
      <c r="P970" s="98"/>
      <c r="Q970" s="98"/>
      <c r="R970" s="43"/>
      <c r="S970" s="43"/>
      <c r="T970" s="43"/>
      <c r="U970" s="43"/>
      <c r="V970" s="43"/>
      <c r="W970" s="43"/>
      <c r="X970" s="43"/>
      <c r="Y970" s="43"/>
      <c r="Z970" s="43"/>
      <c r="AA970" s="43"/>
      <c r="AB970" s="43"/>
      <c r="AC970" s="43"/>
      <c r="AD970" s="43"/>
      <c r="AE970" s="43"/>
      <c r="AF970" s="43"/>
      <c r="AG970" s="43"/>
      <c r="AH970" s="43"/>
      <c r="AI970" s="43"/>
      <c r="AJ970" s="43"/>
    </row>
    <row r="971">
      <c r="A971" s="244"/>
      <c r="B971" s="60"/>
      <c r="C971" s="210"/>
      <c r="D971" s="210"/>
      <c r="E971" s="60"/>
      <c r="F971" s="210"/>
      <c r="G971" s="190"/>
      <c r="H971" s="60"/>
      <c r="I971" s="95"/>
      <c r="J971" s="96"/>
      <c r="K971" s="95"/>
      <c r="L971" s="96"/>
      <c r="M971" s="96"/>
      <c r="N971" s="95"/>
      <c r="O971" s="95"/>
      <c r="P971" s="95"/>
      <c r="Q971" s="95"/>
      <c r="R971" s="60"/>
      <c r="S971" s="60"/>
      <c r="T971" s="60"/>
      <c r="U971" s="60"/>
      <c r="V971" s="60"/>
      <c r="W971" s="60"/>
      <c r="X971" s="60"/>
      <c r="Y971" s="60"/>
      <c r="Z971" s="60"/>
      <c r="AA971" s="60"/>
      <c r="AB971" s="60"/>
      <c r="AC971" s="60"/>
      <c r="AD971" s="60"/>
      <c r="AE971" s="60"/>
      <c r="AF971" s="60"/>
      <c r="AG971" s="60"/>
      <c r="AH971" s="60"/>
      <c r="AI971" s="60"/>
      <c r="AJ971" s="60"/>
    </row>
    <row r="972">
      <c r="A972" s="245"/>
      <c r="B972" s="43"/>
      <c r="C972" s="209"/>
      <c r="D972" s="209"/>
      <c r="E972" s="43"/>
      <c r="F972" s="209"/>
      <c r="G972" s="187"/>
      <c r="H972" s="43"/>
      <c r="I972" s="98"/>
      <c r="J972" s="99"/>
      <c r="K972" s="98"/>
      <c r="L972" s="99"/>
      <c r="M972" s="99"/>
      <c r="N972" s="98"/>
      <c r="O972" s="98"/>
      <c r="P972" s="98"/>
      <c r="Q972" s="98"/>
      <c r="R972" s="43"/>
      <c r="S972" s="43"/>
      <c r="T972" s="43"/>
      <c r="U972" s="43"/>
      <c r="V972" s="43"/>
      <c r="W972" s="43"/>
      <c r="X972" s="43"/>
      <c r="Y972" s="43"/>
      <c r="Z972" s="43"/>
      <c r="AA972" s="43"/>
      <c r="AB972" s="43"/>
      <c r="AC972" s="43"/>
      <c r="AD972" s="43"/>
      <c r="AE972" s="43"/>
      <c r="AF972" s="43"/>
      <c r="AG972" s="43"/>
      <c r="AH972" s="43"/>
      <c r="AI972" s="43"/>
      <c r="AJ972" s="43"/>
    </row>
    <row r="973">
      <c r="A973" s="244"/>
      <c r="B973" s="60"/>
      <c r="C973" s="210"/>
      <c r="D973" s="210"/>
      <c r="E973" s="60"/>
      <c r="F973" s="210"/>
      <c r="G973" s="190"/>
      <c r="H973" s="60"/>
      <c r="I973" s="95"/>
      <c r="J973" s="96"/>
      <c r="K973" s="95"/>
      <c r="L973" s="96"/>
      <c r="M973" s="96"/>
      <c r="N973" s="95"/>
      <c r="O973" s="95"/>
      <c r="P973" s="95"/>
      <c r="Q973" s="95"/>
      <c r="R973" s="60"/>
      <c r="S973" s="60"/>
      <c r="T973" s="60"/>
      <c r="U973" s="60"/>
      <c r="V973" s="60"/>
      <c r="W973" s="60"/>
      <c r="X973" s="60"/>
      <c r="Y973" s="60"/>
      <c r="Z973" s="60"/>
      <c r="AA973" s="60"/>
      <c r="AB973" s="60"/>
      <c r="AC973" s="60"/>
      <c r="AD973" s="60"/>
      <c r="AE973" s="60"/>
      <c r="AF973" s="60"/>
      <c r="AG973" s="60"/>
      <c r="AH973" s="60"/>
      <c r="AI973" s="60"/>
      <c r="AJ973" s="60"/>
    </row>
    <row r="974">
      <c r="A974" s="245"/>
      <c r="B974" s="43"/>
      <c r="C974" s="209"/>
      <c r="D974" s="209"/>
      <c r="E974" s="43"/>
      <c r="F974" s="209"/>
      <c r="G974" s="187"/>
      <c r="H974" s="43"/>
      <c r="I974" s="98"/>
      <c r="J974" s="99"/>
      <c r="K974" s="98"/>
      <c r="L974" s="99"/>
      <c r="M974" s="99"/>
      <c r="N974" s="98"/>
      <c r="O974" s="98"/>
      <c r="P974" s="98"/>
      <c r="Q974" s="98"/>
      <c r="R974" s="43"/>
      <c r="S974" s="43"/>
      <c r="T974" s="43"/>
      <c r="U974" s="43"/>
      <c r="V974" s="43"/>
      <c r="W974" s="43"/>
      <c r="X974" s="43"/>
      <c r="Y974" s="43"/>
      <c r="Z974" s="43"/>
      <c r="AA974" s="43"/>
      <c r="AB974" s="43"/>
      <c r="AC974" s="43"/>
      <c r="AD974" s="43"/>
      <c r="AE974" s="43"/>
      <c r="AF974" s="43"/>
      <c r="AG974" s="43"/>
      <c r="AH974" s="43"/>
      <c r="AI974" s="43"/>
      <c r="AJ974" s="43"/>
    </row>
    <row r="975">
      <c r="A975" s="244"/>
      <c r="B975" s="60"/>
      <c r="C975" s="210"/>
      <c r="D975" s="210"/>
      <c r="E975" s="60"/>
      <c r="F975" s="210"/>
      <c r="G975" s="190"/>
      <c r="H975" s="60"/>
      <c r="I975" s="95"/>
      <c r="J975" s="96"/>
      <c r="K975" s="95"/>
      <c r="L975" s="96"/>
      <c r="M975" s="96"/>
      <c r="N975" s="95"/>
      <c r="O975" s="95"/>
      <c r="P975" s="95"/>
      <c r="Q975" s="95"/>
      <c r="R975" s="60"/>
      <c r="S975" s="60"/>
      <c r="T975" s="60"/>
      <c r="U975" s="60"/>
      <c r="V975" s="60"/>
      <c r="W975" s="60"/>
      <c r="X975" s="60"/>
      <c r="Y975" s="60"/>
      <c r="Z975" s="60"/>
      <c r="AA975" s="60"/>
      <c r="AB975" s="60"/>
      <c r="AC975" s="60"/>
      <c r="AD975" s="60"/>
      <c r="AE975" s="60"/>
      <c r="AF975" s="60"/>
      <c r="AG975" s="60"/>
      <c r="AH975" s="60"/>
      <c r="AI975" s="60"/>
      <c r="AJ975" s="60"/>
    </row>
    <row r="976">
      <c r="A976" s="245"/>
      <c r="B976" s="43"/>
      <c r="C976" s="209"/>
      <c r="D976" s="209"/>
      <c r="E976" s="43"/>
      <c r="F976" s="209"/>
      <c r="G976" s="187"/>
      <c r="H976" s="43"/>
      <c r="I976" s="98"/>
      <c r="J976" s="99"/>
      <c r="K976" s="98"/>
      <c r="L976" s="99"/>
      <c r="M976" s="99"/>
      <c r="N976" s="98"/>
      <c r="O976" s="98"/>
      <c r="P976" s="98"/>
      <c r="Q976" s="98"/>
      <c r="R976" s="43"/>
      <c r="S976" s="43"/>
      <c r="T976" s="43"/>
      <c r="U976" s="43"/>
      <c r="V976" s="43"/>
      <c r="W976" s="43"/>
      <c r="X976" s="43"/>
      <c r="Y976" s="43"/>
      <c r="Z976" s="43"/>
      <c r="AA976" s="43"/>
      <c r="AB976" s="43"/>
      <c r="AC976" s="43"/>
      <c r="AD976" s="43"/>
      <c r="AE976" s="43"/>
      <c r="AF976" s="43"/>
      <c r="AG976" s="43"/>
      <c r="AH976" s="43"/>
      <c r="AI976" s="43"/>
      <c r="AJ976" s="43"/>
    </row>
    <row r="977">
      <c r="A977" s="244"/>
      <c r="B977" s="60"/>
      <c r="C977" s="210"/>
      <c r="D977" s="210"/>
      <c r="E977" s="60"/>
      <c r="F977" s="210"/>
      <c r="G977" s="190"/>
      <c r="H977" s="60"/>
      <c r="I977" s="95"/>
      <c r="J977" s="96"/>
      <c r="K977" s="95"/>
      <c r="L977" s="96"/>
      <c r="M977" s="96"/>
      <c r="N977" s="95"/>
      <c r="O977" s="95"/>
      <c r="P977" s="95"/>
      <c r="Q977" s="95"/>
      <c r="R977" s="60"/>
      <c r="S977" s="60"/>
      <c r="T977" s="60"/>
      <c r="U977" s="60"/>
      <c r="V977" s="60"/>
      <c r="W977" s="60"/>
      <c r="X977" s="60"/>
      <c r="Y977" s="60"/>
      <c r="Z977" s="60"/>
      <c r="AA977" s="60"/>
      <c r="AB977" s="60"/>
      <c r="AC977" s="60"/>
      <c r="AD977" s="60"/>
      <c r="AE977" s="60"/>
      <c r="AF977" s="60"/>
      <c r="AG977" s="60"/>
      <c r="AH977" s="60"/>
      <c r="AI977" s="60"/>
      <c r="AJ977" s="60"/>
    </row>
    <row r="978">
      <c r="A978" s="245"/>
      <c r="B978" s="43"/>
      <c r="C978" s="209"/>
      <c r="D978" s="209"/>
      <c r="E978" s="43"/>
      <c r="F978" s="209"/>
      <c r="G978" s="187"/>
      <c r="H978" s="43"/>
      <c r="I978" s="98"/>
      <c r="J978" s="99"/>
      <c r="K978" s="98"/>
      <c r="L978" s="99"/>
      <c r="M978" s="99"/>
      <c r="N978" s="98"/>
      <c r="O978" s="98"/>
      <c r="P978" s="98"/>
      <c r="Q978" s="98"/>
      <c r="R978" s="43"/>
      <c r="S978" s="43"/>
      <c r="T978" s="43"/>
      <c r="U978" s="43"/>
      <c r="V978" s="43"/>
      <c r="W978" s="43"/>
      <c r="X978" s="43"/>
      <c r="Y978" s="43"/>
      <c r="Z978" s="43"/>
      <c r="AA978" s="43"/>
      <c r="AB978" s="43"/>
      <c r="AC978" s="43"/>
      <c r="AD978" s="43"/>
      <c r="AE978" s="43"/>
      <c r="AF978" s="43"/>
      <c r="AG978" s="43"/>
      <c r="AH978" s="43"/>
      <c r="AI978" s="43"/>
      <c r="AJ978" s="43"/>
    </row>
    <row r="979">
      <c r="A979" s="244"/>
      <c r="B979" s="60"/>
      <c r="C979" s="210"/>
      <c r="D979" s="210"/>
      <c r="E979" s="60"/>
      <c r="F979" s="210"/>
      <c r="G979" s="190"/>
      <c r="H979" s="60"/>
      <c r="I979" s="95"/>
      <c r="J979" s="96"/>
      <c r="K979" s="95"/>
      <c r="L979" s="96"/>
      <c r="M979" s="96"/>
      <c r="N979" s="95"/>
      <c r="O979" s="95"/>
      <c r="P979" s="95"/>
      <c r="Q979" s="95"/>
      <c r="R979" s="60"/>
      <c r="S979" s="60"/>
      <c r="T979" s="60"/>
      <c r="U979" s="60"/>
      <c r="V979" s="60"/>
      <c r="W979" s="60"/>
      <c r="X979" s="60"/>
      <c r="Y979" s="60"/>
      <c r="Z979" s="60"/>
      <c r="AA979" s="60"/>
      <c r="AB979" s="60"/>
      <c r="AC979" s="60"/>
      <c r="AD979" s="60"/>
      <c r="AE979" s="60"/>
      <c r="AF979" s="60"/>
      <c r="AG979" s="60"/>
      <c r="AH979" s="60"/>
      <c r="AI979" s="60"/>
      <c r="AJ979" s="60"/>
    </row>
    <row r="980">
      <c r="A980" s="312"/>
      <c r="B980" s="313"/>
      <c r="C980" s="314"/>
      <c r="D980" s="314"/>
      <c r="E980" s="313"/>
      <c r="F980" s="314"/>
      <c r="G980" s="315"/>
      <c r="H980" s="313"/>
      <c r="I980" s="316"/>
      <c r="J980" s="317"/>
      <c r="K980" s="316"/>
      <c r="L980" s="317"/>
      <c r="M980" s="317"/>
      <c r="N980" s="316"/>
      <c r="O980" s="316"/>
      <c r="P980" s="316"/>
      <c r="Q980" s="316"/>
      <c r="R980" s="313"/>
      <c r="S980" s="313"/>
      <c r="T980" s="313"/>
      <c r="U980" s="313"/>
      <c r="V980" s="313"/>
      <c r="W980" s="313"/>
      <c r="X980" s="313"/>
      <c r="Y980" s="313"/>
      <c r="Z980" s="313"/>
      <c r="AA980" s="313"/>
      <c r="AB980" s="313"/>
      <c r="AC980" s="313"/>
      <c r="AD980" s="313"/>
      <c r="AE980" s="313"/>
      <c r="AF980" s="313"/>
      <c r="AG980" s="313"/>
      <c r="AH980" s="313"/>
      <c r="AI980" s="313"/>
      <c r="AJ980" s="313"/>
    </row>
  </sheetData>
  <autoFilter ref="$A$1:$AJ$980"/>
  <customSheetViews>
    <customSheetView guid="{5186B62B-D31F-4F84-B849-5DD9BBD71B06}" filter="1" showAutoFilter="1">
      <autoFilter ref="$B$1:$Q$237"/>
    </customSheetView>
  </customSheetViews>
  <dataValidations>
    <dataValidation type="list" allowBlank="1" showErrorMessage="1" sqref="K2:K273">
      <formula1>"API Gee,MuleSoft,EKS,Web Methods,Worker"</formula1>
    </dataValidation>
    <dataValidation type="list" allowBlank="1" showErrorMessage="1" sqref="A2:A251">
      <formula1>"SSFF,Afore,Empresa Net"</formula1>
    </dataValidation>
    <dataValidation type="list" allowBlank="1" showErrorMessage="1" sqref="A252:A273">
      <formula1>"SSFF,Afore,Empresa Net,Hub Domiciliación"</formula1>
    </dataValidation>
    <dataValidation type="list" allowBlank="1" showErrorMessage="1" sqref="D2:D273">
      <formula1>"RECEPTION,BUSINESS,DOMAIN,PROXY,BUSINESS RULES,WORKER"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c r="A1" s="1" t="s">
        <v>0</v>
      </c>
      <c r="B1" s="2" t="s">
        <v>1</v>
      </c>
    </row>
    <row r="2">
      <c r="A2" s="1" t="s">
        <v>2</v>
      </c>
      <c r="B2" s="3" t="s">
        <v>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26" width="17.67"/>
  </cols>
  <sheetData>
    <row r="1" ht="18.75" customHeight="1">
      <c r="A1" s="17" t="s">
        <v>6</v>
      </c>
      <c r="B1" s="19" t="s">
        <v>5</v>
      </c>
      <c r="C1" s="17" t="s">
        <v>7</v>
      </c>
      <c r="D1" s="17" t="s">
        <v>8</v>
      </c>
      <c r="E1" s="20" t="s">
        <v>9</v>
      </c>
      <c r="F1" s="21" t="s">
        <v>10</v>
      </c>
      <c r="G1" s="19" t="s">
        <v>11</v>
      </c>
      <c r="H1" s="19" t="s">
        <v>12</v>
      </c>
      <c r="I1" s="17" t="s">
        <v>13</v>
      </c>
      <c r="J1" s="17" t="s">
        <v>14</v>
      </c>
      <c r="K1" s="17" t="s">
        <v>15</v>
      </c>
      <c r="L1" s="17" t="s">
        <v>17</v>
      </c>
      <c r="M1" s="17" t="s">
        <v>18</v>
      </c>
      <c r="N1" s="17" t="s">
        <v>19</v>
      </c>
      <c r="O1" s="17" t="s">
        <v>20</v>
      </c>
      <c r="P1" s="17" t="s">
        <v>21</v>
      </c>
      <c r="Q1" s="20" t="s">
        <v>22</v>
      </c>
      <c r="R1" s="17" t="s">
        <v>25</v>
      </c>
      <c r="S1" s="17" t="s">
        <v>26</v>
      </c>
      <c r="T1" s="19" t="s">
        <v>27</v>
      </c>
      <c r="U1" s="17"/>
      <c r="V1" s="17"/>
      <c r="W1" s="17"/>
      <c r="X1" s="17"/>
      <c r="Y1" s="17"/>
      <c r="Z1" s="17"/>
    </row>
    <row r="2">
      <c r="A2" s="30" t="str">
        <f>IFERROR(__xludf.DUMMYFUNCTION("FILTER(develop!A:Z, ISNUMBER(MATCH(develop!B:B, 'unity-ms'!D:D, 0)))"),"#N/A")</f>
        <v>#N/A</v>
      </c>
      <c r="B2" s="30"/>
      <c r="C2" s="30"/>
      <c r="D2" s="30"/>
      <c r="E2" s="30"/>
      <c r="F2" s="30"/>
      <c r="G2" s="30"/>
      <c r="H2" s="30"/>
      <c r="I2" s="30"/>
      <c r="J2" s="30"/>
      <c r="K2" s="30"/>
      <c r="L2" s="30"/>
      <c r="M2" s="30"/>
      <c r="N2" s="30"/>
      <c r="O2" s="30"/>
      <c r="P2" s="30"/>
      <c r="Q2" s="30"/>
      <c r="R2" s="30"/>
      <c r="S2" s="30"/>
      <c r="T2" s="30"/>
      <c r="U2" s="30"/>
      <c r="V2" s="30"/>
      <c r="W2" s="30"/>
      <c r="X2" s="30"/>
      <c r="Y2" s="30"/>
      <c r="Z2" s="30"/>
    </row>
    <row r="3">
      <c r="A3" s="30"/>
      <c r="B3" s="30"/>
      <c r="C3" s="30"/>
      <c r="D3" s="30"/>
      <c r="E3" s="30"/>
      <c r="F3" s="30"/>
      <c r="G3" s="30"/>
      <c r="H3" s="30"/>
      <c r="I3" s="30"/>
      <c r="J3" s="30"/>
      <c r="K3" s="30"/>
      <c r="L3" s="30"/>
      <c r="M3" s="30"/>
      <c r="N3" s="30"/>
      <c r="O3" s="30"/>
      <c r="P3" s="30"/>
      <c r="Q3" s="30"/>
      <c r="R3" s="30"/>
      <c r="S3" s="30"/>
      <c r="T3" s="30"/>
      <c r="U3" s="30"/>
      <c r="V3" s="30"/>
      <c r="W3" s="30"/>
      <c r="X3" s="30"/>
      <c r="Y3" s="30"/>
      <c r="Z3" s="30"/>
    </row>
    <row r="4">
      <c r="A4" s="30"/>
      <c r="B4" s="30"/>
      <c r="C4" s="30"/>
      <c r="D4" s="30"/>
      <c r="E4" s="30"/>
      <c r="F4" s="30"/>
      <c r="G4" s="30"/>
      <c r="H4" s="30"/>
      <c r="I4" s="30"/>
      <c r="J4" s="30"/>
      <c r="K4" s="30"/>
      <c r="L4" s="30"/>
      <c r="M4" s="30"/>
      <c r="N4" s="30"/>
      <c r="O4" s="30"/>
      <c r="P4" s="30"/>
      <c r="Q4" s="30"/>
      <c r="R4" s="30"/>
      <c r="S4" s="30"/>
      <c r="T4" s="30"/>
      <c r="U4" s="30"/>
      <c r="V4" s="30"/>
      <c r="W4" s="30"/>
      <c r="X4" s="30"/>
      <c r="Y4" s="30"/>
      <c r="Z4" s="30"/>
    </row>
    <row r="5">
      <c r="A5" s="30"/>
      <c r="B5" s="30"/>
      <c r="C5" s="30"/>
      <c r="D5" s="30"/>
      <c r="E5" s="30"/>
      <c r="F5" s="30"/>
      <c r="G5" s="30"/>
      <c r="H5" s="30"/>
      <c r="I5" s="30"/>
      <c r="J5" s="30"/>
      <c r="K5" s="30"/>
      <c r="L5" s="30"/>
      <c r="M5" s="30"/>
      <c r="N5" s="30"/>
      <c r="O5" s="30"/>
      <c r="P5" s="30"/>
      <c r="Q5" s="30"/>
      <c r="R5" s="30"/>
      <c r="S5" s="30"/>
      <c r="T5" s="30"/>
      <c r="U5" s="30"/>
      <c r="V5" s="30"/>
      <c r="W5" s="30"/>
      <c r="X5" s="30"/>
      <c r="Y5" s="30"/>
      <c r="Z5" s="30"/>
    </row>
    <row r="6">
      <c r="A6" s="30"/>
      <c r="B6" s="30"/>
      <c r="C6" s="30"/>
      <c r="D6" s="30"/>
      <c r="E6" s="30"/>
      <c r="F6" s="30"/>
      <c r="G6" s="30"/>
      <c r="H6" s="30"/>
      <c r="I6" s="30"/>
      <c r="J6" s="30"/>
      <c r="K6" s="30"/>
      <c r="L6" s="30"/>
      <c r="M6" s="30"/>
      <c r="N6" s="30"/>
      <c r="O6" s="30"/>
      <c r="P6" s="30"/>
      <c r="Q6" s="30"/>
      <c r="R6" s="30"/>
      <c r="S6" s="30"/>
      <c r="T6" s="30"/>
      <c r="U6" s="30"/>
      <c r="V6" s="30"/>
      <c r="W6" s="30"/>
      <c r="X6" s="30"/>
      <c r="Y6" s="30"/>
      <c r="Z6" s="30"/>
    </row>
    <row r="7">
      <c r="A7" s="30"/>
      <c r="B7" s="30"/>
      <c r="C7" s="30"/>
      <c r="D7" s="30"/>
      <c r="E7" s="30"/>
      <c r="F7" s="30"/>
      <c r="G7" s="30"/>
      <c r="H7" s="30"/>
      <c r="I7" s="30"/>
      <c r="J7" s="30"/>
      <c r="K7" s="30"/>
      <c r="L7" s="30"/>
      <c r="M7" s="30"/>
      <c r="N7" s="30"/>
      <c r="O7" s="30"/>
      <c r="P7" s="30"/>
      <c r="Q7" s="30"/>
      <c r="R7" s="30"/>
      <c r="S7" s="30"/>
      <c r="T7" s="30"/>
      <c r="U7" s="30"/>
      <c r="V7" s="30"/>
      <c r="W7" s="30"/>
      <c r="X7" s="30"/>
      <c r="Y7" s="30"/>
      <c r="Z7" s="30"/>
    </row>
    <row r="8">
      <c r="A8" s="30"/>
      <c r="B8" s="30"/>
      <c r="C8" s="30"/>
      <c r="D8" s="30"/>
      <c r="E8" s="30"/>
      <c r="F8" s="30"/>
      <c r="G8" s="30"/>
      <c r="H8" s="30"/>
      <c r="I8" s="30"/>
      <c r="J8" s="30"/>
      <c r="K8" s="30"/>
      <c r="L8" s="30"/>
      <c r="M8" s="30"/>
      <c r="N8" s="30"/>
      <c r="O8" s="30"/>
      <c r="P8" s="30"/>
      <c r="Q8" s="30"/>
      <c r="R8" s="30"/>
      <c r="S8" s="30"/>
      <c r="T8" s="30"/>
      <c r="U8" s="30"/>
      <c r="V8" s="30"/>
      <c r="W8" s="30"/>
      <c r="X8" s="30"/>
      <c r="Y8" s="30"/>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row>
    <row r="1007">
      <c r="A1007" s="30"/>
      <c r="B1007" s="30"/>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row>
    <row r="1008">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row>
    <row r="1009">
      <c r="A1009" s="30"/>
      <c r="B1009" s="30"/>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row>
    <row r="1010">
      <c r="A1010" s="30"/>
      <c r="B1010" s="30"/>
      <c r="C1010" s="30"/>
      <c r="D1010" s="30"/>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row>
    <row r="1011">
      <c r="A1011" s="30"/>
      <c r="B1011" s="30"/>
      <c r="C1011" s="30"/>
      <c r="D1011" s="30"/>
      <c r="E1011" s="30"/>
      <c r="F1011" s="30"/>
      <c r="G1011" s="30"/>
      <c r="H1011" s="30"/>
      <c r="I1011" s="30"/>
      <c r="J1011" s="30"/>
      <c r="K1011" s="30"/>
      <c r="L1011" s="30"/>
      <c r="M1011" s="30"/>
      <c r="N1011" s="30"/>
      <c r="O1011" s="30"/>
      <c r="P1011" s="30"/>
      <c r="Q1011" s="30"/>
      <c r="R1011" s="30"/>
      <c r="S1011" s="30"/>
      <c r="T1011" s="30"/>
      <c r="U1011" s="30"/>
      <c r="V1011" s="30"/>
      <c r="W1011" s="30"/>
      <c r="X1011" s="30"/>
      <c r="Y1011" s="30"/>
      <c r="Z1011" s="30"/>
    </row>
    <row r="1012">
      <c r="A1012" s="30"/>
      <c r="B1012" s="30"/>
      <c r="C1012" s="30"/>
      <c r="D1012" s="30"/>
      <c r="E1012" s="30"/>
      <c r="F1012" s="30"/>
      <c r="G1012" s="30"/>
      <c r="H1012" s="30"/>
      <c r="I1012" s="30"/>
      <c r="J1012" s="30"/>
      <c r="K1012" s="30"/>
      <c r="L1012" s="30"/>
      <c r="M1012" s="30"/>
      <c r="N1012" s="30"/>
      <c r="O1012" s="30"/>
      <c r="P1012" s="30"/>
      <c r="Q1012" s="30"/>
      <c r="R1012" s="30"/>
      <c r="S1012" s="30"/>
      <c r="T1012" s="30"/>
      <c r="U1012" s="30"/>
      <c r="V1012" s="30"/>
      <c r="W1012" s="30"/>
      <c r="X1012" s="30"/>
      <c r="Y1012" s="30"/>
      <c r="Z1012" s="30"/>
    </row>
    <row r="1013">
      <c r="A1013" s="30"/>
      <c r="B1013" s="30"/>
      <c r="C1013" s="30"/>
      <c r="D1013" s="30"/>
      <c r="E1013" s="30"/>
      <c r="F1013" s="30"/>
      <c r="G1013" s="30"/>
      <c r="H1013" s="30"/>
      <c r="I1013" s="30"/>
      <c r="J1013" s="30"/>
      <c r="K1013" s="30"/>
      <c r="L1013" s="30"/>
      <c r="M1013" s="30"/>
      <c r="N1013" s="30"/>
      <c r="O1013" s="30"/>
      <c r="P1013" s="30"/>
      <c r="Q1013" s="30"/>
      <c r="R1013" s="30"/>
      <c r="S1013" s="30"/>
      <c r="T1013" s="30"/>
      <c r="U1013" s="30"/>
      <c r="V1013" s="30"/>
      <c r="W1013" s="30"/>
      <c r="X1013" s="30"/>
      <c r="Y1013" s="30"/>
      <c r="Z1013" s="30"/>
    </row>
    <row r="1014">
      <c r="A1014" s="30"/>
      <c r="B1014" s="30"/>
      <c r="C1014" s="30"/>
      <c r="D1014" s="30"/>
      <c r="E1014" s="30"/>
      <c r="F1014" s="30"/>
      <c r="G1014" s="30"/>
      <c r="H1014" s="30"/>
      <c r="I1014" s="30"/>
      <c r="J1014" s="30"/>
      <c r="K1014" s="30"/>
      <c r="L1014" s="30"/>
      <c r="M1014" s="30"/>
      <c r="N1014" s="30"/>
      <c r="O1014" s="30"/>
      <c r="P1014" s="30"/>
      <c r="Q1014" s="30"/>
      <c r="R1014" s="30"/>
      <c r="S1014" s="30"/>
      <c r="T1014" s="30"/>
      <c r="U1014" s="30"/>
      <c r="V1014" s="30"/>
      <c r="W1014" s="30"/>
      <c r="X1014" s="30"/>
      <c r="Y1014" s="30"/>
      <c r="Z1014" s="30"/>
    </row>
    <row r="1015">
      <c r="A1015" s="30"/>
      <c r="B1015" s="30"/>
      <c r="C1015" s="30"/>
      <c r="D1015" s="30"/>
      <c r="E1015" s="30"/>
      <c r="F1015" s="30"/>
      <c r="G1015" s="30"/>
      <c r="H1015" s="30"/>
      <c r="I1015" s="30"/>
      <c r="J1015" s="30"/>
      <c r="K1015" s="30"/>
      <c r="L1015" s="30"/>
      <c r="M1015" s="30"/>
      <c r="N1015" s="30"/>
      <c r="O1015" s="30"/>
      <c r="P1015" s="30"/>
      <c r="Q1015" s="30"/>
      <c r="R1015" s="30"/>
      <c r="S1015" s="30"/>
      <c r="T1015" s="30"/>
      <c r="U1015" s="30"/>
      <c r="V1015" s="30"/>
      <c r="W1015" s="30"/>
      <c r="X1015" s="30"/>
      <c r="Y1015" s="30"/>
      <c r="Z1015" s="30"/>
    </row>
    <row r="1016">
      <c r="A1016" s="30"/>
      <c r="B1016" s="30"/>
      <c r="C1016" s="30"/>
      <c r="D1016" s="30"/>
      <c r="E1016" s="30"/>
      <c r="F1016" s="30"/>
      <c r="G1016" s="30"/>
      <c r="H1016" s="30"/>
      <c r="I1016" s="30"/>
      <c r="J1016" s="30"/>
      <c r="K1016" s="30"/>
      <c r="L1016" s="30"/>
      <c r="M1016" s="30"/>
      <c r="N1016" s="30"/>
      <c r="O1016" s="30"/>
      <c r="P1016" s="30"/>
      <c r="Q1016" s="30"/>
      <c r="R1016" s="30"/>
      <c r="S1016" s="30"/>
      <c r="T1016" s="30"/>
      <c r="U1016" s="30"/>
      <c r="V1016" s="30"/>
      <c r="W1016" s="30"/>
      <c r="X1016" s="30"/>
      <c r="Y1016" s="30"/>
      <c r="Z1016" s="30"/>
    </row>
    <row r="1017">
      <c r="A1017" s="30"/>
      <c r="B1017" s="30"/>
      <c r="C1017" s="30"/>
      <c r="D1017" s="30"/>
      <c r="E1017" s="30"/>
      <c r="F1017" s="30"/>
      <c r="G1017" s="30"/>
      <c r="H1017" s="30"/>
      <c r="I1017" s="30"/>
      <c r="J1017" s="30"/>
      <c r="K1017" s="30"/>
      <c r="L1017" s="30"/>
      <c r="M1017" s="30"/>
      <c r="N1017" s="30"/>
      <c r="O1017" s="30"/>
      <c r="P1017" s="30"/>
      <c r="Q1017" s="30"/>
      <c r="R1017" s="30"/>
      <c r="S1017" s="30"/>
      <c r="T1017" s="30"/>
      <c r="U1017" s="30"/>
      <c r="V1017" s="30"/>
      <c r="W1017" s="30"/>
      <c r="X1017" s="30"/>
      <c r="Y1017" s="30"/>
      <c r="Z1017" s="30"/>
    </row>
    <row r="1018">
      <c r="A1018" s="30"/>
      <c r="B1018" s="30"/>
      <c r="C1018" s="30"/>
      <c r="D1018" s="30"/>
      <c r="E1018" s="30"/>
      <c r="F1018" s="30"/>
      <c r="G1018" s="30"/>
      <c r="H1018" s="30"/>
      <c r="I1018" s="30"/>
      <c r="J1018" s="30"/>
      <c r="K1018" s="30"/>
      <c r="L1018" s="30"/>
      <c r="M1018" s="30"/>
      <c r="N1018" s="30"/>
      <c r="O1018" s="30"/>
      <c r="P1018" s="30"/>
      <c r="Q1018" s="30"/>
      <c r="R1018" s="30"/>
      <c r="S1018" s="30"/>
      <c r="T1018" s="30"/>
      <c r="U1018" s="30"/>
      <c r="V1018" s="30"/>
      <c r="W1018" s="30"/>
      <c r="X1018" s="30"/>
      <c r="Y1018" s="30"/>
      <c r="Z1018" s="30"/>
    </row>
    <row r="1019">
      <c r="A1019" s="30"/>
      <c r="B1019" s="30"/>
      <c r="C1019" s="30"/>
      <c r="D1019" s="30"/>
      <c r="E1019" s="30"/>
      <c r="F1019" s="30"/>
      <c r="G1019" s="30"/>
      <c r="H1019" s="30"/>
      <c r="I1019" s="30"/>
      <c r="J1019" s="30"/>
      <c r="K1019" s="30"/>
      <c r="L1019" s="30"/>
      <c r="M1019" s="30"/>
      <c r="N1019" s="30"/>
      <c r="O1019" s="30"/>
      <c r="P1019" s="30"/>
      <c r="Q1019" s="30"/>
      <c r="R1019" s="30"/>
      <c r="S1019" s="30"/>
      <c r="T1019" s="30"/>
      <c r="U1019" s="30"/>
      <c r="V1019" s="30"/>
      <c r="W1019" s="30"/>
      <c r="X1019" s="30"/>
      <c r="Y1019" s="30"/>
      <c r="Z1019" s="30"/>
    </row>
    <row r="1020">
      <c r="A1020" s="30"/>
      <c r="B1020" s="30"/>
      <c r="C1020" s="30"/>
      <c r="D1020" s="30"/>
      <c r="E1020" s="30"/>
      <c r="F1020" s="30"/>
      <c r="G1020" s="30"/>
      <c r="H1020" s="30"/>
      <c r="I1020" s="30"/>
      <c r="J1020" s="30"/>
      <c r="K1020" s="30"/>
      <c r="L1020" s="30"/>
      <c r="M1020" s="30"/>
      <c r="N1020" s="30"/>
      <c r="O1020" s="30"/>
      <c r="P1020" s="30"/>
      <c r="Q1020" s="30"/>
      <c r="R1020" s="30"/>
      <c r="S1020" s="30"/>
      <c r="T1020" s="30"/>
      <c r="U1020" s="30"/>
      <c r="V1020" s="30"/>
      <c r="W1020" s="30"/>
      <c r="X1020" s="30"/>
      <c r="Y1020" s="30"/>
      <c r="Z1020" s="30"/>
    </row>
    <row r="1021">
      <c r="A1021" s="30"/>
      <c r="B1021" s="30"/>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row>
    <row r="1022">
      <c r="A1022" s="30"/>
      <c r="B1022" s="30"/>
      <c r="C1022" s="30"/>
      <c r="D1022" s="30"/>
      <c r="E1022" s="30"/>
      <c r="F1022" s="30"/>
      <c r="G1022" s="30"/>
      <c r="H1022" s="30"/>
      <c r="I1022" s="30"/>
      <c r="J1022" s="30"/>
      <c r="K1022" s="30"/>
      <c r="L1022" s="30"/>
      <c r="M1022" s="30"/>
      <c r="N1022" s="30"/>
      <c r="O1022" s="30"/>
      <c r="P1022" s="30"/>
      <c r="Q1022" s="30"/>
      <c r="R1022" s="30"/>
      <c r="S1022" s="30"/>
      <c r="T1022" s="30"/>
      <c r="U1022" s="30"/>
      <c r="V1022" s="30"/>
      <c r="W1022" s="30"/>
      <c r="X1022" s="30"/>
      <c r="Y1022" s="30"/>
      <c r="Z1022" s="30"/>
    </row>
    <row r="1023">
      <c r="A1023" s="30"/>
      <c r="B1023" s="30"/>
      <c r="C1023" s="30"/>
      <c r="D1023" s="30"/>
      <c r="E1023" s="30"/>
      <c r="F1023" s="30"/>
      <c r="G1023" s="30"/>
      <c r="H1023" s="30"/>
      <c r="I1023" s="30"/>
      <c r="J1023" s="30"/>
      <c r="K1023" s="30"/>
      <c r="L1023" s="30"/>
      <c r="M1023" s="30"/>
      <c r="N1023" s="30"/>
      <c r="O1023" s="30"/>
      <c r="P1023" s="30"/>
      <c r="Q1023" s="30"/>
      <c r="R1023" s="30"/>
      <c r="S1023" s="30"/>
      <c r="T1023" s="30"/>
      <c r="U1023" s="30"/>
      <c r="V1023" s="30"/>
      <c r="W1023" s="30"/>
      <c r="X1023" s="30"/>
      <c r="Y1023" s="30"/>
      <c r="Z1023" s="30"/>
    </row>
    <row r="1024">
      <c r="A1024" s="30"/>
      <c r="B1024" s="30"/>
      <c r="C1024" s="30"/>
      <c r="D1024" s="30"/>
      <c r="E1024" s="30"/>
      <c r="F1024" s="30"/>
      <c r="G1024" s="30"/>
      <c r="H1024" s="30"/>
      <c r="I1024" s="30"/>
      <c r="J1024" s="30"/>
      <c r="K1024" s="30"/>
      <c r="L1024" s="30"/>
      <c r="M1024" s="30"/>
      <c r="N1024" s="30"/>
      <c r="O1024" s="30"/>
      <c r="P1024" s="30"/>
      <c r="Q1024" s="30"/>
      <c r="R1024" s="30"/>
      <c r="S1024" s="30"/>
      <c r="T1024" s="30"/>
      <c r="U1024" s="30"/>
      <c r="V1024" s="30"/>
      <c r="W1024" s="30"/>
      <c r="X1024" s="30"/>
      <c r="Y1024" s="30"/>
      <c r="Z1024" s="30"/>
    </row>
    <row r="1025">
      <c r="A1025" s="30"/>
      <c r="B1025" s="30"/>
      <c r="C1025" s="30"/>
      <c r="D1025" s="30"/>
      <c r="E1025" s="30"/>
      <c r="F1025" s="30"/>
      <c r="G1025" s="30"/>
      <c r="H1025" s="30"/>
      <c r="I1025" s="30"/>
      <c r="J1025" s="30"/>
      <c r="K1025" s="30"/>
      <c r="L1025" s="30"/>
      <c r="M1025" s="30"/>
      <c r="N1025" s="30"/>
      <c r="O1025" s="30"/>
      <c r="P1025" s="30"/>
      <c r="Q1025" s="30"/>
      <c r="R1025" s="30"/>
      <c r="S1025" s="30"/>
      <c r="T1025" s="30"/>
      <c r="U1025" s="30"/>
      <c r="V1025" s="30"/>
      <c r="W1025" s="30"/>
      <c r="X1025" s="30"/>
      <c r="Y1025" s="30"/>
      <c r="Z1025" s="30"/>
    </row>
    <row r="1026">
      <c r="A1026" s="30"/>
      <c r="B1026" s="30"/>
      <c r="C1026" s="30"/>
      <c r="D1026" s="30"/>
      <c r="E1026" s="30"/>
      <c r="F1026" s="30"/>
      <c r="G1026" s="30"/>
      <c r="H1026" s="30"/>
      <c r="I1026" s="30"/>
      <c r="J1026" s="30"/>
      <c r="K1026" s="30"/>
      <c r="L1026" s="30"/>
      <c r="M1026" s="30"/>
      <c r="N1026" s="30"/>
      <c r="O1026" s="30"/>
      <c r="P1026" s="30"/>
      <c r="Q1026" s="30"/>
      <c r="R1026" s="30"/>
      <c r="S1026" s="30"/>
      <c r="T1026" s="30"/>
      <c r="U1026" s="30"/>
      <c r="V1026" s="30"/>
      <c r="W1026" s="30"/>
      <c r="X1026" s="30"/>
      <c r="Y1026" s="30"/>
      <c r="Z1026" s="30"/>
    </row>
    <row r="1027">
      <c r="A1027" s="30"/>
      <c r="B1027" s="30"/>
      <c r="C1027" s="30"/>
      <c r="D1027" s="30"/>
      <c r="E1027" s="30"/>
      <c r="F1027" s="30"/>
      <c r="G1027" s="30"/>
      <c r="H1027" s="30"/>
      <c r="I1027" s="30"/>
      <c r="J1027" s="30"/>
      <c r="K1027" s="30"/>
      <c r="L1027" s="30"/>
      <c r="M1027" s="30"/>
      <c r="N1027" s="30"/>
      <c r="O1027" s="30"/>
      <c r="P1027" s="30"/>
      <c r="Q1027" s="30"/>
      <c r="R1027" s="30"/>
      <c r="S1027" s="30"/>
      <c r="T1027" s="30"/>
      <c r="U1027" s="30"/>
      <c r="V1027" s="30"/>
      <c r="W1027" s="30"/>
      <c r="X1027" s="30"/>
      <c r="Y1027" s="30"/>
      <c r="Z1027" s="30"/>
    </row>
    <row r="1028">
      <c r="A1028" s="30"/>
      <c r="B1028" s="30"/>
      <c r="C1028" s="30"/>
      <c r="D1028" s="30"/>
      <c r="E1028" s="30"/>
      <c r="F1028" s="30"/>
      <c r="G1028" s="30"/>
      <c r="H1028" s="30"/>
      <c r="I1028" s="30"/>
      <c r="J1028" s="30"/>
      <c r="K1028" s="30"/>
      <c r="L1028" s="30"/>
      <c r="M1028" s="30"/>
      <c r="N1028" s="30"/>
      <c r="O1028" s="30"/>
      <c r="P1028" s="30"/>
      <c r="Q1028" s="30"/>
      <c r="R1028" s="30"/>
      <c r="S1028" s="30"/>
      <c r="T1028" s="30"/>
      <c r="U1028" s="30"/>
      <c r="V1028" s="30"/>
      <c r="W1028" s="30"/>
      <c r="X1028" s="30"/>
      <c r="Y1028" s="30"/>
      <c r="Z1028" s="30"/>
    </row>
    <row r="1029">
      <c r="A1029" s="30"/>
      <c r="B1029" s="30"/>
      <c r="C1029" s="30"/>
      <c r="D1029" s="30"/>
      <c r="E1029" s="30"/>
      <c r="F1029" s="30"/>
      <c r="G1029" s="30"/>
      <c r="H1029" s="30"/>
      <c r="I1029" s="30"/>
      <c r="J1029" s="30"/>
      <c r="K1029" s="30"/>
      <c r="L1029" s="30"/>
      <c r="M1029" s="30"/>
      <c r="N1029" s="30"/>
      <c r="O1029" s="30"/>
      <c r="P1029" s="30"/>
      <c r="Q1029" s="30"/>
      <c r="R1029" s="30"/>
      <c r="S1029" s="30"/>
      <c r="T1029" s="30"/>
      <c r="U1029" s="30"/>
      <c r="V1029" s="30"/>
      <c r="W1029" s="30"/>
      <c r="X1029" s="30"/>
      <c r="Y1029" s="30"/>
      <c r="Z1029" s="30"/>
    </row>
    <row r="1030">
      <c r="A1030" s="30"/>
      <c r="B1030" s="30"/>
      <c r="C1030" s="30"/>
      <c r="D1030" s="30"/>
      <c r="E1030" s="30"/>
      <c r="F1030" s="30"/>
      <c r="G1030" s="30"/>
      <c r="H1030" s="30"/>
      <c r="I1030" s="30"/>
      <c r="J1030" s="30"/>
      <c r="K1030" s="30"/>
      <c r="L1030" s="30"/>
      <c r="M1030" s="30"/>
      <c r="N1030" s="30"/>
      <c r="O1030" s="30"/>
      <c r="P1030" s="30"/>
      <c r="Q1030" s="30"/>
      <c r="R1030" s="30"/>
      <c r="S1030" s="30"/>
      <c r="T1030" s="30"/>
      <c r="U1030" s="30"/>
      <c r="V1030" s="30"/>
      <c r="W1030" s="30"/>
      <c r="X1030" s="30"/>
      <c r="Y1030" s="30"/>
      <c r="Z1030" s="30"/>
    </row>
    <row r="1031">
      <c r="A1031" s="30"/>
      <c r="B1031" s="30"/>
      <c r="C1031" s="30"/>
      <c r="D1031" s="30"/>
      <c r="E1031" s="30"/>
      <c r="F1031" s="30"/>
      <c r="G1031" s="30"/>
      <c r="H1031" s="30"/>
      <c r="I1031" s="30"/>
      <c r="J1031" s="30"/>
      <c r="K1031" s="30"/>
      <c r="L1031" s="30"/>
      <c r="M1031" s="30"/>
      <c r="N1031" s="30"/>
      <c r="O1031" s="30"/>
      <c r="P1031" s="30"/>
      <c r="Q1031" s="30"/>
      <c r="R1031" s="30"/>
      <c r="S1031" s="30"/>
      <c r="T1031" s="30"/>
      <c r="U1031" s="30"/>
      <c r="V1031" s="30"/>
      <c r="W1031" s="30"/>
      <c r="X1031" s="30"/>
      <c r="Y1031" s="30"/>
      <c r="Z1031" s="30"/>
    </row>
    <row r="1032">
      <c r="A1032" s="30"/>
      <c r="B1032" s="30"/>
      <c r="C1032" s="30"/>
      <c r="D1032" s="30"/>
      <c r="E1032" s="30"/>
      <c r="F1032" s="30"/>
      <c r="G1032" s="30"/>
      <c r="H1032" s="30"/>
      <c r="I1032" s="30"/>
      <c r="J1032" s="30"/>
      <c r="K1032" s="30"/>
      <c r="L1032" s="30"/>
      <c r="M1032" s="30"/>
      <c r="N1032" s="30"/>
      <c r="O1032" s="30"/>
      <c r="P1032" s="30"/>
      <c r="Q1032" s="30"/>
      <c r="R1032" s="30"/>
      <c r="S1032" s="30"/>
      <c r="T1032" s="30"/>
      <c r="U1032" s="30"/>
      <c r="V1032" s="30"/>
      <c r="W1032" s="30"/>
      <c r="X1032" s="30"/>
      <c r="Y1032" s="30"/>
      <c r="Z1032" s="30"/>
    </row>
    <row r="1033">
      <c r="A1033" s="30"/>
      <c r="B1033" s="30"/>
      <c r="C1033" s="30"/>
      <c r="D1033" s="30"/>
      <c r="E1033" s="30"/>
      <c r="F1033" s="30"/>
      <c r="G1033" s="30"/>
      <c r="H1033" s="30"/>
      <c r="I1033" s="30"/>
      <c r="J1033" s="30"/>
      <c r="K1033" s="30"/>
      <c r="L1033" s="30"/>
      <c r="M1033" s="30"/>
      <c r="N1033" s="30"/>
      <c r="O1033" s="30"/>
      <c r="P1033" s="30"/>
      <c r="Q1033" s="30"/>
      <c r="R1033" s="30"/>
      <c r="S1033" s="30"/>
      <c r="T1033" s="30"/>
      <c r="U1033" s="30"/>
      <c r="V1033" s="30"/>
      <c r="W1033" s="30"/>
      <c r="X1033" s="30"/>
      <c r="Y1033" s="30"/>
      <c r="Z1033" s="30"/>
    </row>
    <row r="1034">
      <c r="A1034" s="30"/>
      <c r="B1034" s="30"/>
      <c r="C1034" s="30"/>
      <c r="D1034" s="30"/>
      <c r="E1034" s="30"/>
      <c r="F1034" s="30"/>
      <c r="G1034" s="30"/>
      <c r="H1034" s="30"/>
      <c r="I1034" s="30"/>
      <c r="J1034" s="30"/>
      <c r="K1034" s="30"/>
      <c r="L1034" s="30"/>
      <c r="M1034" s="30"/>
      <c r="N1034" s="30"/>
      <c r="O1034" s="30"/>
      <c r="P1034" s="30"/>
      <c r="Q1034" s="30"/>
      <c r="R1034" s="30"/>
      <c r="S1034" s="30"/>
      <c r="T1034" s="30"/>
      <c r="U1034" s="30"/>
      <c r="V1034" s="30"/>
      <c r="W1034" s="30"/>
      <c r="X1034" s="30"/>
      <c r="Y1034" s="30"/>
      <c r="Z1034" s="30"/>
    </row>
    <row r="1035">
      <c r="A1035" s="30"/>
      <c r="B1035" s="30"/>
      <c r="C1035" s="30"/>
      <c r="D1035" s="30"/>
      <c r="E1035" s="30"/>
      <c r="F1035" s="30"/>
      <c r="G1035" s="30"/>
      <c r="H1035" s="30"/>
      <c r="I1035" s="30"/>
      <c r="J1035" s="30"/>
      <c r="K1035" s="30"/>
      <c r="L1035" s="30"/>
      <c r="M1035" s="30"/>
      <c r="N1035" s="30"/>
      <c r="O1035" s="30"/>
      <c r="P1035" s="30"/>
      <c r="Q1035" s="30"/>
      <c r="R1035" s="30"/>
      <c r="S1035" s="30"/>
      <c r="T1035" s="30"/>
      <c r="U1035" s="30"/>
      <c r="V1035" s="30"/>
      <c r="W1035" s="30"/>
      <c r="X1035" s="30"/>
      <c r="Y1035" s="30"/>
      <c r="Z1035" s="30"/>
    </row>
    <row r="1036">
      <c r="A1036" s="30"/>
      <c r="B1036" s="30"/>
      <c r="C1036" s="30"/>
      <c r="D1036" s="30"/>
      <c r="E1036" s="30"/>
      <c r="F1036" s="30"/>
      <c r="G1036" s="30"/>
      <c r="H1036" s="30"/>
      <c r="I1036" s="30"/>
      <c r="J1036" s="30"/>
      <c r="K1036" s="30"/>
      <c r="L1036" s="30"/>
      <c r="M1036" s="30"/>
      <c r="N1036" s="30"/>
      <c r="O1036" s="30"/>
      <c r="P1036" s="30"/>
      <c r="Q1036" s="30"/>
      <c r="R1036" s="30"/>
      <c r="S1036" s="30"/>
      <c r="T1036" s="30"/>
      <c r="U1036" s="30"/>
      <c r="V1036" s="30"/>
      <c r="W1036" s="30"/>
      <c r="X1036" s="30"/>
      <c r="Y1036" s="30"/>
      <c r="Z1036" s="30"/>
    </row>
    <row r="1037">
      <c r="A1037" s="30"/>
      <c r="B1037" s="30"/>
      <c r="C1037" s="30"/>
      <c r="D1037" s="30"/>
      <c r="E1037" s="30"/>
      <c r="F1037" s="30"/>
      <c r="G1037" s="30"/>
      <c r="H1037" s="30"/>
      <c r="I1037" s="30"/>
      <c r="J1037" s="30"/>
      <c r="K1037" s="30"/>
      <c r="L1037" s="30"/>
      <c r="M1037" s="30"/>
      <c r="N1037" s="30"/>
      <c r="O1037" s="30"/>
      <c r="P1037" s="30"/>
      <c r="Q1037" s="30"/>
      <c r="R1037" s="30"/>
      <c r="S1037" s="30"/>
      <c r="T1037" s="30"/>
      <c r="U1037" s="30"/>
      <c r="V1037" s="30"/>
      <c r="W1037" s="30"/>
      <c r="X1037" s="30"/>
      <c r="Y1037" s="30"/>
      <c r="Z1037" s="30"/>
    </row>
    <row r="1038">
      <c r="A1038" s="30"/>
      <c r="B1038" s="30"/>
      <c r="C1038" s="30"/>
      <c r="D1038" s="30"/>
      <c r="E1038" s="30"/>
      <c r="F1038" s="30"/>
      <c r="G1038" s="30"/>
      <c r="H1038" s="30"/>
      <c r="I1038" s="30"/>
      <c r="J1038" s="30"/>
      <c r="K1038" s="30"/>
      <c r="L1038" s="30"/>
      <c r="M1038" s="30"/>
      <c r="N1038" s="30"/>
      <c r="O1038" s="30"/>
      <c r="P1038" s="30"/>
      <c r="Q1038" s="30"/>
      <c r="R1038" s="30"/>
      <c r="S1038" s="30"/>
      <c r="T1038" s="30"/>
      <c r="U1038" s="30"/>
      <c r="V1038" s="30"/>
      <c r="W1038" s="30"/>
      <c r="X1038" s="30"/>
      <c r="Y1038" s="30"/>
      <c r="Z1038" s="30"/>
    </row>
    <row r="1039">
      <c r="A1039" s="30"/>
      <c r="B1039" s="30"/>
      <c r="C1039" s="30"/>
      <c r="D1039" s="30"/>
      <c r="E1039" s="30"/>
      <c r="F1039" s="30"/>
      <c r="G1039" s="30"/>
      <c r="H1039" s="30"/>
      <c r="I1039" s="30"/>
      <c r="J1039" s="30"/>
      <c r="K1039" s="30"/>
      <c r="L1039" s="30"/>
      <c r="M1039" s="30"/>
      <c r="N1039" s="30"/>
      <c r="O1039" s="30"/>
      <c r="P1039" s="30"/>
      <c r="Q1039" s="30"/>
      <c r="R1039" s="30"/>
      <c r="S1039" s="30"/>
      <c r="T1039" s="30"/>
      <c r="U1039" s="30"/>
      <c r="V1039" s="30"/>
      <c r="W1039" s="30"/>
      <c r="X1039" s="30"/>
      <c r="Y1039" s="30"/>
      <c r="Z1039" s="30"/>
    </row>
    <row r="1040">
      <c r="A1040" s="30"/>
      <c r="B1040" s="30"/>
      <c r="C1040" s="30"/>
      <c r="D1040" s="30"/>
      <c r="E1040" s="30"/>
      <c r="F1040" s="30"/>
      <c r="G1040" s="30"/>
      <c r="H1040" s="30"/>
      <c r="I1040" s="30"/>
      <c r="J1040" s="30"/>
      <c r="K1040" s="30"/>
      <c r="L1040" s="30"/>
      <c r="M1040" s="30"/>
      <c r="N1040" s="30"/>
      <c r="O1040" s="30"/>
      <c r="P1040" s="30"/>
      <c r="Q1040" s="30"/>
      <c r="R1040" s="30"/>
      <c r="S1040" s="30"/>
      <c r="T1040" s="30"/>
      <c r="U1040" s="30"/>
      <c r="V1040" s="30"/>
      <c r="W1040" s="30"/>
      <c r="X1040" s="30"/>
      <c r="Y1040" s="30"/>
      <c r="Z1040" s="30"/>
    </row>
    <row r="1041">
      <c r="A1041" s="30"/>
      <c r="B1041" s="30"/>
      <c r="C1041" s="30"/>
      <c r="D1041" s="30"/>
      <c r="E1041" s="30"/>
      <c r="F1041" s="30"/>
      <c r="G1041" s="30"/>
      <c r="H1041" s="30"/>
      <c r="I1041" s="30"/>
      <c r="J1041" s="30"/>
      <c r="K1041" s="30"/>
      <c r="L1041" s="30"/>
      <c r="M1041" s="30"/>
      <c r="N1041" s="30"/>
      <c r="O1041" s="30"/>
      <c r="P1041" s="30"/>
      <c r="Q1041" s="30"/>
      <c r="R1041" s="30"/>
      <c r="S1041" s="30"/>
      <c r="T1041" s="30"/>
      <c r="U1041" s="30"/>
      <c r="V1041" s="30"/>
      <c r="W1041" s="30"/>
      <c r="X1041" s="30"/>
      <c r="Y1041" s="30"/>
      <c r="Z1041" s="30"/>
    </row>
    <row r="1042">
      <c r="A1042" s="30"/>
      <c r="B1042" s="30"/>
      <c r="C1042" s="30"/>
      <c r="D1042" s="30"/>
      <c r="E1042" s="30"/>
      <c r="F1042" s="30"/>
      <c r="G1042" s="30"/>
      <c r="H1042" s="30"/>
      <c r="I1042" s="30"/>
      <c r="J1042" s="30"/>
      <c r="K1042" s="30"/>
      <c r="L1042" s="30"/>
      <c r="M1042" s="30"/>
      <c r="N1042" s="30"/>
      <c r="O1042" s="30"/>
      <c r="P1042" s="30"/>
      <c r="Q1042" s="30"/>
      <c r="R1042" s="30"/>
      <c r="S1042" s="30"/>
      <c r="T1042" s="30"/>
      <c r="U1042" s="30"/>
      <c r="V1042" s="30"/>
      <c r="W1042" s="30"/>
      <c r="X1042" s="30"/>
      <c r="Y1042" s="30"/>
      <c r="Z1042" s="30"/>
    </row>
    <row r="1043">
      <c r="A1043" s="30"/>
      <c r="B1043" s="30"/>
      <c r="C1043" s="30"/>
      <c r="D1043" s="30"/>
      <c r="E1043" s="30"/>
      <c r="F1043" s="30"/>
      <c r="G1043" s="30"/>
      <c r="H1043" s="30"/>
      <c r="I1043" s="30"/>
      <c r="J1043" s="30"/>
      <c r="K1043" s="30"/>
      <c r="L1043" s="30"/>
      <c r="M1043" s="30"/>
      <c r="N1043" s="30"/>
      <c r="O1043" s="30"/>
      <c r="P1043" s="30"/>
      <c r="Q1043" s="30"/>
      <c r="R1043" s="30"/>
      <c r="S1043" s="30"/>
      <c r="T1043" s="30"/>
      <c r="U1043" s="30"/>
      <c r="V1043" s="30"/>
      <c r="W1043" s="30"/>
      <c r="X1043" s="30"/>
      <c r="Y1043" s="30"/>
      <c r="Z1043" s="30"/>
    </row>
    <row r="1044">
      <c r="A1044" s="30"/>
      <c r="B1044" s="30"/>
      <c r="C1044" s="30"/>
      <c r="D1044" s="30"/>
      <c r="E1044" s="30"/>
      <c r="F1044" s="30"/>
      <c r="G1044" s="30"/>
      <c r="H1044" s="30"/>
      <c r="I1044" s="30"/>
      <c r="J1044" s="30"/>
      <c r="K1044" s="30"/>
      <c r="L1044" s="30"/>
      <c r="M1044" s="30"/>
      <c r="N1044" s="30"/>
      <c r="O1044" s="30"/>
      <c r="P1044" s="30"/>
      <c r="Q1044" s="30"/>
      <c r="R1044" s="30"/>
      <c r="S1044" s="30"/>
      <c r="T1044" s="30"/>
      <c r="U1044" s="30"/>
      <c r="V1044" s="30"/>
      <c r="W1044" s="30"/>
      <c r="X1044" s="30"/>
      <c r="Y1044" s="30"/>
      <c r="Z1044" s="30"/>
    </row>
    <row r="1045">
      <c r="A1045" s="30"/>
      <c r="B1045" s="30"/>
      <c r="C1045" s="30"/>
      <c r="D1045" s="30"/>
      <c r="E1045" s="30"/>
      <c r="F1045" s="30"/>
      <c r="G1045" s="30"/>
      <c r="H1045" s="30"/>
      <c r="I1045" s="30"/>
      <c r="J1045" s="30"/>
      <c r="K1045" s="30"/>
      <c r="L1045" s="30"/>
      <c r="M1045" s="30"/>
      <c r="N1045" s="30"/>
      <c r="O1045" s="30"/>
      <c r="P1045" s="30"/>
      <c r="Q1045" s="30"/>
      <c r="R1045" s="30"/>
      <c r="S1045" s="30"/>
      <c r="T1045" s="30"/>
      <c r="U1045" s="30"/>
      <c r="V1045" s="30"/>
      <c r="W1045" s="30"/>
      <c r="X1045" s="30"/>
      <c r="Y1045" s="30"/>
      <c r="Z1045" s="30"/>
    </row>
    <row r="1046">
      <c r="A1046" s="30"/>
      <c r="B1046" s="30"/>
      <c r="C1046" s="30"/>
      <c r="D1046" s="30"/>
      <c r="E1046" s="30"/>
      <c r="F1046" s="30"/>
      <c r="G1046" s="30"/>
      <c r="H1046" s="30"/>
      <c r="I1046" s="30"/>
      <c r="J1046" s="30"/>
      <c r="K1046" s="30"/>
      <c r="L1046" s="30"/>
      <c r="M1046" s="30"/>
      <c r="N1046" s="30"/>
      <c r="O1046" s="30"/>
      <c r="P1046" s="30"/>
      <c r="Q1046" s="30"/>
      <c r="R1046" s="30"/>
      <c r="S1046" s="30"/>
      <c r="T1046" s="30"/>
      <c r="U1046" s="30"/>
      <c r="V1046" s="30"/>
      <c r="W1046" s="30"/>
      <c r="X1046" s="30"/>
      <c r="Y1046" s="30"/>
      <c r="Z1046" s="30"/>
    </row>
    <row r="1047">
      <c r="A1047" s="30"/>
      <c r="B1047" s="30"/>
      <c r="C1047" s="30"/>
      <c r="D1047" s="30"/>
      <c r="E1047" s="30"/>
      <c r="F1047" s="30"/>
      <c r="G1047" s="30"/>
      <c r="H1047" s="30"/>
      <c r="I1047" s="30"/>
      <c r="J1047" s="30"/>
      <c r="K1047" s="30"/>
      <c r="L1047" s="30"/>
      <c r="M1047" s="30"/>
      <c r="N1047" s="30"/>
      <c r="O1047" s="30"/>
      <c r="P1047" s="30"/>
      <c r="Q1047" s="30"/>
      <c r="R1047" s="30"/>
      <c r="S1047" s="30"/>
      <c r="T1047" s="30"/>
      <c r="U1047" s="30"/>
      <c r="V1047" s="30"/>
      <c r="W1047" s="30"/>
      <c r="X1047" s="30"/>
      <c r="Y1047" s="30"/>
      <c r="Z1047" s="30"/>
    </row>
    <row r="1048">
      <c r="A1048" s="30"/>
      <c r="B1048" s="30"/>
      <c r="C1048" s="30"/>
      <c r="D1048" s="30"/>
      <c r="E1048" s="30"/>
      <c r="F1048" s="30"/>
      <c r="G1048" s="30"/>
      <c r="H1048" s="30"/>
      <c r="I1048" s="30"/>
      <c r="J1048" s="30"/>
      <c r="K1048" s="30"/>
      <c r="L1048" s="30"/>
      <c r="M1048" s="30"/>
      <c r="N1048" s="30"/>
      <c r="O1048" s="30"/>
      <c r="P1048" s="30"/>
      <c r="Q1048" s="30"/>
      <c r="R1048" s="30"/>
      <c r="S1048" s="30"/>
      <c r="T1048" s="30"/>
      <c r="U1048" s="30"/>
      <c r="V1048" s="30"/>
      <c r="W1048" s="30"/>
      <c r="X1048" s="30"/>
      <c r="Y1048" s="30"/>
      <c r="Z1048" s="30"/>
    </row>
    <row r="1049">
      <c r="A1049" s="30"/>
      <c r="B1049" s="30"/>
      <c r="C1049" s="30"/>
      <c r="D1049" s="30"/>
      <c r="E1049" s="30"/>
      <c r="F1049" s="30"/>
      <c r="G1049" s="30"/>
      <c r="H1049" s="30"/>
      <c r="I1049" s="30"/>
      <c r="J1049" s="30"/>
      <c r="K1049" s="30"/>
      <c r="L1049" s="30"/>
      <c r="M1049" s="30"/>
      <c r="N1049" s="30"/>
      <c r="O1049" s="30"/>
      <c r="P1049" s="30"/>
      <c r="Q1049" s="30"/>
      <c r="R1049" s="30"/>
      <c r="S1049" s="30"/>
      <c r="T1049" s="30"/>
      <c r="U1049" s="30"/>
      <c r="V1049" s="30"/>
      <c r="W1049" s="30"/>
      <c r="X1049" s="30"/>
      <c r="Y1049" s="30"/>
      <c r="Z1049" s="30"/>
    </row>
    <row r="1050">
      <c r="A1050" s="30"/>
      <c r="B1050" s="30"/>
      <c r="C1050" s="30"/>
      <c r="D1050" s="30"/>
      <c r="E1050" s="30"/>
      <c r="F1050" s="30"/>
      <c r="G1050" s="30"/>
      <c r="H1050" s="30"/>
      <c r="I1050" s="30"/>
      <c r="J1050" s="30"/>
      <c r="K1050" s="30"/>
      <c r="L1050" s="30"/>
      <c r="M1050" s="30"/>
      <c r="N1050" s="30"/>
      <c r="O1050" s="30"/>
      <c r="P1050" s="30"/>
      <c r="Q1050" s="30"/>
      <c r="R1050" s="30"/>
      <c r="S1050" s="30"/>
      <c r="T1050" s="30"/>
      <c r="U1050" s="30"/>
      <c r="V1050" s="30"/>
      <c r="W1050" s="30"/>
      <c r="X1050" s="30"/>
      <c r="Y1050" s="30"/>
      <c r="Z1050" s="30"/>
    </row>
    <row r="1051">
      <c r="A1051" s="30"/>
      <c r="B1051" s="30"/>
      <c r="C1051" s="30"/>
      <c r="D1051" s="30"/>
      <c r="E1051" s="30"/>
      <c r="F1051" s="30"/>
      <c r="G1051" s="30"/>
      <c r="H1051" s="30"/>
      <c r="I1051" s="30"/>
      <c r="J1051" s="30"/>
      <c r="K1051" s="30"/>
      <c r="L1051" s="30"/>
      <c r="M1051" s="30"/>
      <c r="N1051" s="30"/>
      <c r="O1051" s="30"/>
      <c r="P1051" s="30"/>
      <c r="Q1051" s="30"/>
      <c r="R1051" s="30"/>
      <c r="S1051" s="30"/>
      <c r="T1051" s="30"/>
      <c r="U1051" s="30"/>
      <c r="V1051" s="30"/>
      <c r="W1051" s="30"/>
      <c r="X1051" s="30"/>
      <c r="Y1051" s="30"/>
      <c r="Z1051" s="30"/>
    </row>
    <row r="1052">
      <c r="A1052" s="30"/>
      <c r="B1052" s="30"/>
      <c r="C1052" s="30"/>
      <c r="D1052" s="30"/>
      <c r="E1052" s="30"/>
      <c r="F1052" s="30"/>
      <c r="G1052" s="30"/>
      <c r="H1052" s="30"/>
      <c r="I1052" s="30"/>
      <c r="J1052" s="30"/>
      <c r="K1052" s="30"/>
      <c r="L1052" s="30"/>
      <c r="M1052" s="30"/>
      <c r="N1052" s="30"/>
      <c r="O1052" s="30"/>
      <c r="P1052" s="30"/>
      <c r="Q1052" s="30"/>
      <c r="R1052" s="30"/>
      <c r="S1052" s="30"/>
      <c r="T1052" s="30"/>
      <c r="U1052" s="30"/>
      <c r="V1052" s="30"/>
      <c r="W1052" s="30"/>
      <c r="X1052" s="30"/>
      <c r="Y1052" s="30"/>
      <c r="Z1052" s="30"/>
    </row>
    <row r="1053">
      <c r="A1053" s="30"/>
      <c r="B1053" s="30"/>
      <c r="C1053" s="30"/>
      <c r="D1053" s="30"/>
      <c r="E1053" s="30"/>
      <c r="F1053" s="30"/>
      <c r="G1053" s="30"/>
      <c r="H1053" s="30"/>
      <c r="I1053" s="30"/>
      <c r="J1053" s="30"/>
      <c r="K1053" s="30"/>
      <c r="L1053" s="30"/>
      <c r="M1053" s="30"/>
      <c r="N1053" s="30"/>
      <c r="O1053" s="30"/>
      <c r="P1053" s="30"/>
      <c r="Q1053" s="30"/>
      <c r="R1053" s="30"/>
      <c r="S1053" s="30"/>
      <c r="T1053" s="30"/>
      <c r="U1053" s="30"/>
      <c r="V1053" s="30"/>
      <c r="W1053" s="30"/>
      <c r="X1053" s="30"/>
      <c r="Y1053" s="30"/>
      <c r="Z1053" s="30"/>
    </row>
    <row r="1054">
      <c r="A1054" s="30"/>
      <c r="B1054" s="30"/>
      <c r="C1054" s="30"/>
      <c r="D1054" s="30"/>
      <c r="E1054" s="30"/>
      <c r="F1054" s="30"/>
      <c r="G1054" s="30"/>
      <c r="H1054" s="30"/>
      <c r="I1054" s="30"/>
      <c r="J1054" s="30"/>
      <c r="K1054" s="30"/>
      <c r="L1054" s="30"/>
      <c r="M1054" s="30"/>
      <c r="N1054" s="30"/>
      <c r="O1054" s="30"/>
      <c r="P1054" s="30"/>
      <c r="Q1054" s="30"/>
      <c r="R1054" s="30"/>
      <c r="S1054" s="30"/>
      <c r="T1054" s="30"/>
      <c r="U1054" s="30"/>
      <c r="V1054" s="30"/>
      <c r="W1054" s="30"/>
      <c r="X1054" s="30"/>
      <c r="Y1054" s="30"/>
      <c r="Z1054" s="30"/>
    </row>
    <row r="1055">
      <c r="A1055" s="30"/>
      <c r="B1055" s="30"/>
      <c r="C1055" s="30"/>
      <c r="D1055" s="30"/>
      <c r="E1055" s="30"/>
      <c r="F1055" s="30"/>
      <c r="G1055" s="30"/>
      <c r="H1055" s="30"/>
      <c r="I1055" s="30"/>
      <c r="J1055" s="30"/>
      <c r="K1055" s="30"/>
      <c r="L1055" s="30"/>
      <c r="M1055" s="30"/>
      <c r="N1055" s="30"/>
      <c r="O1055" s="30"/>
      <c r="P1055" s="30"/>
      <c r="Q1055" s="30"/>
      <c r="R1055" s="30"/>
      <c r="S1055" s="30"/>
      <c r="T1055" s="30"/>
      <c r="U1055" s="30"/>
      <c r="V1055" s="30"/>
      <c r="W1055" s="30"/>
      <c r="X1055" s="30"/>
      <c r="Y1055" s="30"/>
      <c r="Z1055" s="30"/>
    </row>
    <row r="1056">
      <c r="A1056" s="30"/>
      <c r="B1056" s="30"/>
      <c r="C1056" s="30"/>
      <c r="D1056" s="30"/>
      <c r="E1056" s="30"/>
      <c r="F1056" s="30"/>
      <c r="G1056" s="30"/>
      <c r="H1056" s="30"/>
      <c r="I1056" s="30"/>
      <c r="J1056" s="30"/>
      <c r="K1056" s="30"/>
      <c r="L1056" s="30"/>
      <c r="M1056" s="30"/>
      <c r="N1056" s="30"/>
      <c r="O1056" s="30"/>
      <c r="P1056" s="30"/>
      <c r="Q1056" s="30"/>
      <c r="R1056" s="30"/>
      <c r="S1056" s="30"/>
      <c r="T1056" s="30"/>
      <c r="U1056" s="30"/>
      <c r="V1056" s="30"/>
      <c r="W1056" s="30"/>
      <c r="X1056" s="30"/>
      <c r="Y1056" s="30"/>
      <c r="Z1056" s="30"/>
    </row>
    <row r="1057">
      <c r="A1057" s="30"/>
      <c r="B1057" s="30"/>
      <c r="C1057" s="30"/>
      <c r="D1057" s="30"/>
      <c r="E1057" s="30"/>
      <c r="F1057" s="30"/>
      <c r="G1057" s="30"/>
      <c r="H1057" s="30"/>
      <c r="I1057" s="30"/>
      <c r="J1057" s="30"/>
      <c r="K1057" s="30"/>
      <c r="L1057" s="30"/>
      <c r="M1057" s="30"/>
      <c r="N1057" s="30"/>
      <c r="O1057" s="30"/>
      <c r="P1057" s="30"/>
      <c r="Q1057" s="30"/>
      <c r="R1057" s="30"/>
      <c r="S1057" s="30"/>
      <c r="T1057" s="30"/>
      <c r="U1057" s="30"/>
      <c r="V1057" s="30"/>
      <c r="W1057" s="30"/>
      <c r="X1057" s="30"/>
      <c r="Y1057" s="30"/>
      <c r="Z1057" s="30"/>
    </row>
    <row r="1058">
      <c r="A1058" s="30"/>
      <c r="B1058" s="30"/>
      <c r="C1058" s="30"/>
      <c r="D1058" s="30"/>
      <c r="E1058" s="30"/>
      <c r="F1058" s="30"/>
      <c r="G1058" s="30"/>
      <c r="H1058" s="30"/>
      <c r="I1058" s="30"/>
      <c r="J1058" s="30"/>
      <c r="K1058" s="30"/>
      <c r="L1058" s="30"/>
      <c r="M1058" s="30"/>
      <c r="N1058" s="30"/>
      <c r="O1058" s="30"/>
      <c r="P1058" s="30"/>
      <c r="Q1058" s="30"/>
      <c r="R1058" s="30"/>
      <c r="S1058" s="30"/>
      <c r="T1058" s="30"/>
      <c r="U1058" s="30"/>
      <c r="V1058" s="30"/>
      <c r="W1058" s="30"/>
      <c r="X1058" s="30"/>
      <c r="Y1058" s="30"/>
      <c r="Z1058" s="30"/>
    </row>
    <row r="1059">
      <c r="A1059" s="30"/>
      <c r="B1059" s="30"/>
      <c r="C1059" s="30"/>
      <c r="D1059" s="30"/>
      <c r="E1059" s="30"/>
      <c r="F1059" s="30"/>
      <c r="G1059" s="30"/>
      <c r="H1059" s="30"/>
      <c r="I1059" s="30"/>
      <c r="J1059" s="30"/>
      <c r="K1059" s="30"/>
      <c r="L1059" s="30"/>
      <c r="M1059" s="30"/>
      <c r="N1059" s="30"/>
      <c r="O1059" s="30"/>
      <c r="P1059" s="30"/>
      <c r="Q1059" s="30"/>
      <c r="R1059" s="30"/>
      <c r="S1059" s="30"/>
      <c r="T1059" s="30"/>
      <c r="U1059" s="30"/>
      <c r="V1059" s="30"/>
      <c r="W1059" s="30"/>
      <c r="X1059" s="30"/>
      <c r="Y1059" s="30"/>
      <c r="Z1059" s="30"/>
    </row>
    <row r="1060">
      <c r="A1060" s="30"/>
      <c r="B1060" s="30"/>
      <c r="C1060" s="30"/>
      <c r="D1060" s="30"/>
      <c r="E1060" s="30"/>
      <c r="F1060" s="30"/>
      <c r="G1060" s="30"/>
      <c r="H1060" s="30"/>
      <c r="I1060" s="30"/>
      <c r="J1060" s="30"/>
      <c r="K1060" s="30"/>
      <c r="L1060" s="30"/>
      <c r="M1060" s="30"/>
      <c r="N1060" s="30"/>
      <c r="O1060" s="30"/>
      <c r="P1060" s="30"/>
      <c r="Q1060" s="30"/>
      <c r="R1060" s="30"/>
      <c r="S1060" s="30"/>
      <c r="T1060" s="30"/>
      <c r="U1060" s="30"/>
      <c r="V1060" s="30"/>
      <c r="W1060" s="30"/>
      <c r="X1060" s="30"/>
      <c r="Y1060" s="30"/>
      <c r="Z1060" s="30"/>
    </row>
    <row r="1061">
      <c r="A1061" s="30"/>
      <c r="B1061" s="30"/>
      <c r="C1061" s="30"/>
      <c r="D1061" s="30"/>
      <c r="E1061" s="30"/>
      <c r="F1061" s="30"/>
      <c r="G1061" s="30"/>
      <c r="H1061" s="30"/>
      <c r="I1061" s="30"/>
      <c r="J1061" s="30"/>
      <c r="K1061" s="30"/>
      <c r="L1061" s="30"/>
      <c r="M1061" s="30"/>
      <c r="N1061" s="30"/>
      <c r="O1061" s="30"/>
      <c r="P1061" s="30"/>
      <c r="Q1061" s="30"/>
      <c r="R1061" s="30"/>
      <c r="S1061" s="30"/>
      <c r="T1061" s="30"/>
      <c r="U1061" s="30"/>
      <c r="V1061" s="30"/>
      <c r="W1061" s="30"/>
      <c r="X1061" s="30"/>
      <c r="Y1061" s="30"/>
      <c r="Z1061" s="30"/>
    </row>
    <row r="1062">
      <c r="A1062" s="30"/>
      <c r="B1062" s="30"/>
      <c r="C1062" s="30"/>
      <c r="D1062" s="30"/>
      <c r="E1062" s="30"/>
      <c r="F1062" s="30"/>
      <c r="G1062" s="30"/>
      <c r="H1062" s="30"/>
      <c r="I1062" s="30"/>
      <c r="J1062" s="30"/>
      <c r="K1062" s="30"/>
      <c r="L1062" s="30"/>
      <c r="M1062" s="30"/>
      <c r="N1062" s="30"/>
      <c r="O1062" s="30"/>
      <c r="P1062" s="30"/>
      <c r="Q1062" s="30"/>
      <c r="R1062" s="30"/>
      <c r="S1062" s="30"/>
      <c r="T1062" s="30"/>
      <c r="U1062" s="30"/>
      <c r="V1062" s="30"/>
      <c r="W1062" s="30"/>
      <c r="X1062" s="30"/>
      <c r="Y1062" s="30"/>
      <c r="Z1062" s="30"/>
    </row>
    <row r="1063">
      <c r="A1063" s="30"/>
      <c r="B1063" s="30"/>
      <c r="C1063" s="30"/>
      <c r="D1063" s="30"/>
      <c r="E1063" s="30"/>
      <c r="F1063" s="30"/>
      <c r="G1063" s="30"/>
      <c r="H1063" s="30"/>
      <c r="I1063" s="30"/>
      <c r="J1063" s="30"/>
      <c r="K1063" s="30"/>
      <c r="L1063" s="30"/>
      <c r="M1063" s="30"/>
      <c r="N1063" s="30"/>
      <c r="O1063" s="30"/>
      <c r="P1063" s="30"/>
      <c r="Q1063" s="30"/>
      <c r="R1063" s="30"/>
      <c r="S1063" s="30"/>
      <c r="T1063" s="30"/>
      <c r="U1063" s="30"/>
      <c r="V1063" s="30"/>
      <c r="W1063" s="30"/>
      <c r="X1063" s="30"/>
      <c r="Y1063" s="30"/>
      <c r="Z1063" s="30"/>
    </row>
    <row r="1064">
      <c r="A1064" s="30"/>
      <c r="B1064" s="30"/>
      <c r="C1064" s="30"/>
      <c r="D1064" s="30"/>
      <c r="E1064" s="30"/>
      <c r="F1064" s="30"/>
      <c r="G1064" s="30"/>
      <c r="H1064" s="30"/>
      <c r="I1064" s="30"/>
      <c r="J1064" s="30"/>
      <c r="K1064" s="30"/>
      <c r="L1064" s="30"/>
      <c r="M1064" s="30"/>
      <c r="N1064" s="30"/>
      <c r="O1064" s="30"/>
      <c r="P1064" s="30"/>
      <c r="Q1064" s="30"/>
      <c r="R1064" s="30"/>
      <c r="S1064" s="30"/>
      <c r="T1064" s="30"/>
      <c r="U1064" s="30"/>
      <c r="V1064" s="30"/>
      <c r="W1064" s="30"/>
      <c r="X1064" s="30"/>
      <c r="Y1064" s="30"/>
      <c r="Z1064" s="30"/>
    </row>
    <row r="1065">
      <c r="A1065" s="30"/>
      <c r="B1065" s="30"/>
      <c r="C1065" s="30"/>
      <c r="D1065" s="30"/>
      <c r="E1065" s="30"/>
      <c r="F1065" s="30"/>
      <c r="G1065" s="30"/>
      <c r="H1065" s="30"/>
      <c r="I1065" s="30"/>
      <c r="J1065" s="30"/>
      <c r="K1065" s="30"/>
      <c r="L1065" s="30"/>
      <c r="M1065" s="30"/>
      <c r="N1065" s="30"/>
      <c r="O1065" s="30"/>
      <c r="P1065" s="30"/>
      <c r="Q1065" s="30"/>
      <c r="R1065" s="30"/>
      <c r="S1065" s="30"/>
      <c r="T1065" s="30"/>
      <c r="U1065" s="30"/>
      <c r="V1065" s="30"/>
      <c r="W1065" s="30"/>
      <c r="X1065" s="30"/>
      <c r="Y1065" s="30"/>
      <c r="Z1065" s="30"/>
    </row>
    <row r="1066">
      <c r="A1066" s="30"/>
      <c r="B1066" s="30"/>
      <c r="C1066" s="30"/>
      <c r="D1066" s="30"/>
      <c r="E1066" s="30"/>
      <c r="F1066" s="30"/>
      <c r="G1066" s="30"/>
      <c r="H1066" s="30"/>
      <c r="I1066" s="30"/>
      <c r="J1066" s="30"/>
      <c r="K1066" s="30"/>
      <c r="L1066" s="30"/>
      <c r="M1066" s="30"/>
      <c r="N1066" s="30"/>
      <c r="O1066" s="30"/>
      <c r="P1066" s="30"/>
      <c r="Q1066" s="30"/>
      <c r="R1066" s="30"/>
      <c r="S1066" s="30"/>
      <c r="T1066" s="30"/>
      <c r="U1066" s="30"/>
      <c r="V1066" s="30"/>
      <c r="W1066" s="30"/>
      <c r="X1066" s="30"/>
      <c r="Y1066" s="30"/>
      <c r="Z1066" s="30"/>
    </row>
    <row r="1067">
      <c r="A1067" s="30"/>
      <c r="B1067" s="30"/>
      <c r="C1067" s="30"/>
      <c r="D1067" s="30"/>
      <c r="E1067" s="30"/>
      <c r="F1067" s="30"/>
      <c r="G1067" s="30"/>
      <c r="H1067" s="30"/>
      <c r="I1067" s="30"/>
      <c r="J1067" s="30"/>
      <c r="K1067" s="30"/>
      <c r="L1067" s="30"/>
      <c r="M1067" s="30"/>
      <c r="N1067" s="30"/>
      <c r="O1067" s="30"/>
      <c r="P1067" s="30"/>
      <c r="Q1067" s="30"/>
      <c r="R1067" s="30"/>
      <c r="S1067" s="30"/>
      <c r="T1067" s="30"/>
      <c r="U1067" s="30"/>
      <c r="V1067" s="30"/>
      <c r="W1067" s="30"/>
      <c r="X1067" s="30"/>
      <c r="Y1067" s="30"/>
      <c r="Z1067" s="30"/>
    </row>
    <row r="1068">
      <c r="A1068" s="30"/>
      <c r="B1068" s="30"/>
      <c r="C1068" s="30"/>
      <c r="D1068" s="30"/>
      <c r="E1068" s="30"/>
      <c r="F1068" s="30"/>
      <c r="G1068" s="30"/>
      <c r="H1068" s="30"/>
      <c r="I1068" s="30"/>
      <c r="J1068" s="30"/>
      <c r="K1068" s="30"/>
      <c r="L1068" s="30"/>
      <c r="M1068" s="30"/>
      <c r="N1068" s="30"/>
      <c r="O1068" s="30"/>
      <c r="P1068" s="30"/>
      <c r="Q1068" s="30"/>
      <c r="R1068" s="30"/>
      <c r="S1068" s="30"/>
      <c r="T1068" s="30"/>
      <c r="U1068" s="30"/>
      <c r="V1068" s="30"/>
      <c r="W1068" s="30"/>
      <c r="X1068" s="30"/>
      <c r="Y1068" s="30"/>
      <c r="Z1068" s="30"/>
    </row>
    <row r="1069">
      <c r="A1069" s="30"/>
      <c r="B1069" s="30"/>
      <c r="C1069" s="30"/>
      <c r="D1069" s="30"/>
      <c r="E1069" s="30"/>
      <c r="F1069" s="30"/>
      <c r="G1069" s="30"/>
      <c r="H1069" s="30"/>
      <c r="I1069" s="30"/>
      <c r="J1069" s="30"/>
      <c r="K1069" s="30"/>
      <c r="L1069" s="30"/>
      <c r="M1069" s="30"/>
      <c r="N1069" s="30"/>
      <c r="O1069" s="30"/>
      <c r="P1069" s="30"/>
      <c r="Q1069" s="30"/>
      <c r="R1069" s="30"/>
      <c r="S1069" s="30"/>
      <c r="T1069" s="30"/>
      <c r="U1069" s="30"/>
      <c r="V1069" s="30"/>
      <c r="W1069" s="30"/>
      <c r="X1069" s="30"/>
      <c r="Y1069" s="30"/>
      <c r="Z1069" s="30"/>
    </row>
    <row r="1070">
      <c r="A1070" s="30"/>
      <c r="B1070" s="30"/>
      <c r="C1070" s="30"/>
      <c r="D1070" s="30"/>
      <c r="E1070" s="30"/>
      <c r="F1070" s="30"/>
      <c r="G1070" s="30"/>
      <c r="H1070" s="30"/>
      <c r="I1070" s="30"/>
      <c r="J1070" s="30"/>
      <c r="K1070" s="30"/>
      <c r="L1070" s="30"/>
      <c r="M1070" s="30"/>
      <c r="N1070" s="30"/>
      <c r="O1070" s="30"/>
      <c r="P1070" s="30"/>
      <c r="Q1070" s="30"/>
      <c r="R1070" s="30"/>
      <c r="S1070" s="30"/>
      <c r="T1070" s="30"/>
      <c r="U1070" s="30"/>
      <c r="V1070" s="30"/>
      <c r="W1070" s="30"/>
      <c r="X1070" s="30"/>
      <c r="Y1070" s="30"/>
      <c r="Z1070" s="30"/>
    </row>
    <row r="1071">
      <c r="A1071" s="30"/>
      <c r="B1071" s="30"/>
      <c r="C1071" s="30"/>
      <c r="D1071" s="30"/>
      <c r="E1071" s="30"/>
      <c r="F1071" s="30"/>
      <c r="G1071" s="30"/>
      <c r="H1071" s="30"/>
      <c r="I1071" s="30"/>
      <c r="J1071" s="30"/>
      <c r="K1071" s="30"/>
      <c r="L1071" s="30"/>
      <c r="M1071" s="30"/>
      <c r="N1071" s="30"/>
      <c r="O1071" s="30"/>
      <c r="P1071" s="30"/>
      <c r="Q1071" s="30"/>
      <c r="R1071" s="30"/>
      <c r="S1071" s="30"/>
      <c r="T1071" s="30"/>
      <c r="U1071" s="30"/>
      <c r="V1071" s="30"/>
      <c r="W1071" s="30"/>
      <c r="X1071" s="30"/>
      <c r="Y1071" s="30"/>
      <c r="Z1071" s="30"/>
    </row>
    <row r="1072">
      <c r="A1072" s="30"/>
      <c r="B1072" s="30"/>
      <c r="C1072" s="30"/>
      <c r="D1072" s="30"/>
      <c r="E1072" s="30"/>
      <c r="F1072" s="30"/>
      <c r="G1072" s="30"/>
      <c r="H1072" s="30"/>
      <c r="I1072" s="30"/>
      <c r="J1072" s="30"/>
      <c r="K1072" s="30"/>
      <c r="L1072" s="30"/>
      <c r="M1072" s="30"/>
      <c r="N1072" s="30"/>
      <c r="O1072" s="30"/>
      <c r="P1072" s="30"/>
      <c r="Q1072" s="30"/>
      <c r="R1072" s="30"/>
      <c r="S1072" s="30"/>
      <c r="T1072" s="30"/>
      <c r="U1072" s="30"/>
      <c r="V1072" s="30"/>
      <c r="W1072" s="30"/>
      <c r="X1072" s="30"/>
      <c r="Y1072" s="30"/>
      <c r="Z1072" s="30"/>
    </row>
    <row r="1073">
      <c r="A1073" s="30"/>
      <c r="B1073" s="30"/>
      <c r="C1073" s="30"/>
      <c r="D1073" s="30"/>
      <c r="E1073" s="30"/>
      <c r="F1073" s="30"/>
      <c r="G1073" s="30"/>
      <c r="H1073" s="30"/>
      <c r="I1073" s="30"/>
      <c r="J1073" s="30"/>
      <c r="K1073" s="30"/>
      <c r="L1073" s="30"/>
      <c r="M1073" s="30"/>
      <c r="N1073" s="30"/>
      <c r="O1073" s="30"/>
      <c r="P1073" s="30"/>
      <c r="Q1073" s="30"/>
      <c r="R1073" s="30"/>
      <c r="S1073" s="30"/>
      <c r="T1073" s="30"/>
      <c r="U1073" s="30"/>
      <c r="V1073" s="30"/>
      <c r="W1073" s="30"/>
      <c r="X1073" s="30"/>
      <c r="Y1073" s="30"/>
      <c r="Z1073" s="30"/>
    </row>
    <row r="1074">
      <c r="A1074" s="30"/>
      <c r="B1074" s="30"/>
      <c r="C1074" s="30"/>
      <c r="D1074" s="30"/>
      <c r="E1074" s="30"/>
      <c r="F1074" s="30"/>
      <c r="G1074" s="30"/>
      <c r="H1074" s="30"/>
      <c r="I1074" s="30"/>
      <c r="J1074" s="30"/>
      <c r="K1074" s="30"/>
      <c r="L1074" s="30"/>
      <c r="M1074" s="30"/>
      <c r="N1074" s="30"/>
      <c r="O1074" s="30"/>
      <c r="P1074" s="30"/>
      <c r="Q1074" s="30"/>
      <c r="R1074" s="30"/>
      <c r="S1074" s="30"/>
      <c r="T1074" s="30"/>
      <c r="U1074" s="30"/>
      <c r="V1074" s="30"/>
      <c r="W1074" s="30"/>
      <c r="X1074" s="30"/>
      <c r="Y1074" s="30"/>
      <c r="Z1074" s="30"/>
    </row>
    <row r="1075">
      <c r="A1075" s="30"/>
      <c r="B1075" s="30"/>
      <c r="C1075" s="30"/>
      <c r="D1075" s="30"/>
      <c r="E1075" s="30"/>
      <c r="F1075" s="30"/>
      <c r="G1075" s="30"/>
      <c r="H1075" s="30"/>
      <c r="I1075" s="30"/>
      <c r="J1075" s="30"/>
      <c r="K1075" s="30"/>
      <c r="L1075" s="30"/>
      <c r="M1075" s="30"/>
      <c r="N1075" s="30"/>
      <c r="O1075" s="30"/>
      <c r="P1075" s="30"/>
      <c r="Q1075" s="30"/>
      <c r="R1075" s="30"/>
      <c r="S1075" s="30"/>
      <c r="T1075" s="30"/>
      <c r="U1075" s="30"/>
      <c r="V1075" s="30"/>
      <c r="W1075" s="30"/>
      <c r="X1075" s="30"/>
      <c r="Y1075" s="30"/>
      <c r="Z1075" s="30"/>
    </row>
    <row r="1076">
      <c r="A1076" s="30"/>
      <c r="B1076" s="30"/>
      <c r="C1076" s="30"/>
      <c r="D1076" s="30"/>
      <c r="E1076" s="30"/>
      <c r="F1076" s="30"/>
      <c r="G1076" s="30"/>
      <c r="H1076" s="30"/>
      <c r="I1076" s="30"/>
      <c r="J1076" s="30"/>
      <c r="K1076" s="30"/>
      <c r="L1076" s="30"/>
      <c r="M1076" s="30"/>
      <c r="N1076" s="30"/>
      <c r="O1076" s="30"/>
      <c r="P1076" s="30"/>
      <c r="Q1076" s="30"/>
      <c r="R1076" s="30"/>
      <c r="S1076" s="30"/>
      <c r="T1076" s="30"/>
      <c r="U1076" s="30"/>
      <c r="V1076" s="30"/>
      <c r="W1076" s="30"/>
      <c r="X1076" s="30"/>
      <c r="Y1076" s="30"/>
      <c r="Z1076" s="30"/>
    </row>
    <row r="1077">
      <c r="A1077" s="30"/>
      <c r="B1077" s="30"/>
      <c r="C1077" s="30"/>
      <c r="D1077" s="30"/>
      <c r="E1077" s="30"/>
      <c r="F1077" s="30"/>
      <c r="G1077" s="30"/>
      <c r="H1077" s="30"/>
      <c r="I1077" s="30"/>
      <c r="J1077" s="30"/>
      <c r="K1077" s="30"/>
      <c r="L1077" s="30"/>
      <c r="M1077" s="30"/>
      <c r="N1077" s="30"/>
      <c r="O1077" s="30"/>
      <c r="P1077" s="30"/>
      <c r="Q1077" s="30"/>
      <c r="R1077" s="30"/>
      <c r="S1077" s="30"/>
      <c r="T1077" s="30"/>
      <c r="U1077" s="30"/>
      <c r="V1077" s="30"/>
      <c r="W1077" s="30"/>
      <c r="X1077" s="30"/>
      <c r="Y1077" s="30"/>
      <c r="Z1077" s="30"/>
    </row>
    <row r="1078">
      <c r="A1078" s="30"/>
      <c r="B1078" s="30"/>
      <c r="C1078" s="30"/>
      <c r="D1078" s="30"/>
      <c r="E1078" s="30"/>
      <c r="F1078" s="30"/>
      <c r="G1078" s="30"/>
      <c r="H1078" s="30"/>
      <c r="I1078" s="30"/>
      <c r="J1078" s="30"/>
      <c r="K1078" s="30"/>
      <c r="L1078" s="30"/>
      <c r="M1078" s="30"/>
      <c r="N1078" s="30"/>
      <c r="O1078" s="30"/>
      <c r="P1078" s="30"/>
      <c r="Q1078" s="30"/>
      <c r="R1078" s="30"/>
      <c r="S1078" s="30"/>
      <c r="T1078" s="30"/>
      <c r="U1078" s="30"/>
      <c r="V1078" s="30"/>
      <c r="W1078" s="30"/>
      <c r="X1078" s="30"/>
      <c r="Y1078" s="30"/>
      <c r="Z1078" s="30"/>
    </row>
    <row r="1079">
      <c r="A1079" s="30"/>
      <c r="B1079" s="30"/>
      <c r="C1079" s="30"/>
      <c r="D1079" s="30"/>
      <c r="E1079" s="30"/>
      <c r="F1079" s="30"/>
      <c r="G1079" s="30"/>
      <c r="H1079" s="30"/>
      <c r="I1079" s="30"/>
      <c r="J1079" s="30"/>
      <c r="K1079" s="30"/>
      <c r="L1079" s="30"/>
      <c r="M1079" s="30"/>
      <c r="N1079" s="30"/>
      <c r="O1079" s="30"/>
      <c r="P1079" s="30"/>
      <c r="Q1079" s="30"/>
      <c r="R1079" s="30"/>
      <c r="S1079" s="30"/>
      <c r="T1079" s="30"/>
      <c r="U1079" s="30"/>
      <c r="V1079" s="30"/>
      <c r="W1079" s="30"/>
      <c r="X1079" s="30"/>
      <c r="Y1079" s="30"/>
      <c r="Z1079" s="30"/>
    </row>
    <row r="1080">
      <c r="A1080" s="30"/>
      <c r="B1080" s="30"/>
      <c r="C1080" s="30"/>
      <c r="D1080" s="30"/>
      <c r="E1080" s="30"/>
      <c r="F1080" s="30"/>
      <c r="G1080" s="30"/>
      <c r="H1080" s="30"/>
      <c r="I1080" s="30"/>
      <c r="J1080" s="30"/>
      <c r="K1080" s="30"/>
      <c r="L1080" s="30"/>
      <c r="M1080" s="30"/>
      <c r="N1080" s="30"/>
      <c r="O1080" s="30"/>
      <c r="P1080" s="30"/>
      <c r="Q1080" s="30"/>
      <c r="R1080" s="30"/>
      <c r="S1080" s="30"/>
      <c r="T1080" s="30"/>
      <c r="U1080" s="30"/>
      <c r="V1080" s="30"/>
      <c r="W1080" s="30"/>
      <c r="X1080" s="30"/>
      <c r="Y1080" s="30"/>
      <c r="Z1080" s="30"/>
    </row>
    <row r="1081">
      <c r="A1081" s="30"/>
      <c r="B1081" s="30"/>
      <c r="C1081" s="30"/>
      <c r="D1081" s="30"/>
      <c r="E1081" s="30"/>
      <c r="F1081" s="30"/>
      <c r="G1081" s="30"/>
      <c r="H1081" s="30"/>
      <c r="I1081" s="30"/>
      <c r="J1081" s="30"/>
      <c r="K1081" s="30"/>
      <c r="L1081" s="30"/>
      <c r="M1081" s="30"/>
      <c r="N1081" s="30"/>
      <c r="O1081" s="30"/>
      <c r="P1081" s="30"/>
      <c r="Q1081" s="30"/>
      <c r="R1081" s="30"/>
      <c r="S1081" s="30"/>
      <c r="T1081" s="30"/>
      <c r="U1081" s="30"/>
      <c r="V1081" s="30"/>
      <c r="W1081" s="30"/>
      <c r="X1081" s="30"/>
      <c r="Y1081" s="30"/>
      <c r="Z1081" s="30"/>
    </row>
    <row r="1082">
      <c r="A1082" s="30"/>
      <c r="B1082" s="30"/>
      <c r="C1082" s="30"/>
      <c r="D1082" s="30"/>
      <c r="E1082" s="30"/>
      <c r="F1082" s="30"/>
      <c r="G1082" s="30"/>
      <c r="H1082" s="30"/>
      <c r="I1082" s="30"/>
      <c r="J1082" s="30"/>
      <c r="K1082" s="30"/>
      <c r="L1082" s="30"/>
      <c r="M1082" s="30"/>
      <c r="N1082" s="30"/>
      <c r="O1082" s="30"/>
      <c r="P1082" s="30"/>
      <c r="Q1082" s="30"/>
      <c r="R1082" s="30"/>
      <c r="S1082" s="30"/>
      <c r="T1082" s="30"/>
      <c r="U1082" s="30"/>
      <c r="V1082" s="30"/>
      <c r="W1082" s="30"/>
      <c r="X1082" s="30"/>
      <c r="Y1082" s="30"/>
      <c r="Z1082" s="30"/>
    </row>
    <row r="1083">
      <c r="A1083" s="30"/>
      <c r="B1083" s="30"/>
      <c r="C1083" s="30"/>
      <c r="D1083" s="30"/>
      <c r="E1083" s="30"/>
      <c r="F1083" s="30"/>
      <c r="G1083" s="30"/>
      <c r="H1083" s="30"/>
      <c r="I1083" s="30"/>
      <c r="J1083" s="30"/>
      <c r="K1083" s="30"/>
      <c r="L1083" s="30"/>
      <c r="M1083" s="30"/>
      <c r="N1083" s="30"/>
      <c r="O1083" s="30"/>
      <c r="P1083" s="30"/>
      <c r="Q1083" s="30"/>
      <c r="R1083" s="30"/>
      <c r="S1083" s="30"/>
      <c r="T1083" s="30"/>
      <c r="U1083" s="30"/>
      <c r="V1083" s="30"/>
      <c r="W1083" s="30"/>
      <c r="X1083" s="30"/>
      <c r="Y1083" s="30"/>
      <c r="Z1083" s="30"/>
    </row>
    <row r="1084">
      <c r="A1084" s="30"/>
      <c r="B1084" s="30"/>
      <c r="C1084" s="30"/>
      <c r="D1084" s="30"/>
      <c r="E1084" s="30"/>
      <c r="F1084" s="30"/>
      <c r="G1084" s="30"/>
      <c r="H1084" s="30"/>
      <c r="I1084" s="30"/>
      <c r="J1084" s="30"/>
      <c r="K1084" s="30"/>
      <c r="L1084" s="30"/>
      <c r="M1084" s="30"/>
      <c r="N1084" s="30"/>
      <c r="O1084" s="30"/>
      <c r="P1084" s="30"/>
      <c r="Q1084" s="30"/>
      <c r="R1084" s="30"/>
      <c r="S1084" s="30"/>
      <c r="T1084" s="30"/>
      <c r="U1084" s="30"/>
      <c r="V1084" s="30"/>
      <c r="W1084" s="30"/>
      <c r="X1084" s="30"/>
      <c r="Y1084" s="30"/>
      <c r="Z1084" s="30"/>
    </row>
    <row r="1085">
      <c r="A1085" s="30"/>
      <c r="B1085" s="30"/>
      <c r="C1085" s="30"/>
      <c r="D1085" s="30"/>
      <c r="E1085" s="30"/>
      <c r="F1085" s="30"/>
      <c r="G1085" s="30"/>
      <c r="H1085" s="30"/>
      <c r="I1085" s="30"/>
      <c r="J1085" s="30"/>
      <c r="K1085" s="30"/>
      <c r="L1085" s="30"/>
      <c r="M1085" s="30"/>
      <c r="N1085" s="30"/>
      <c r="O1085" s="30"/>
      <c r="P1085" s="30"/>
      <c r="Q1085" s="30"/>
      <c r="R1085" s="30"/>
      <c r="S1085" s="30"/>
      <c r="T1085" s="30"/>
      <c r="U1085" s="30"/>
      <c r="V1085" s="30"/>
      <c r="W1085" s="30"/>
      <c r="X1085" s="30"/>
      <c r="Y1085" s="30"/>
      <c r="Z1085" s="30"/>
    </row>
    <row r="1086">
      <c r="A1086" s="30"/>
      <c r="B1086" s="30"/>
      <c r="C1086" s="30"/>
      <c r="D1086" s="30"/>
      <c r="E1086" s="30"/>
      <c r="F1086" s="30"/>
      <c r="G1086" s="30"/>
      <c r="H1086" s="30"/>
      <c r="I1086" s="30"/>
      <c r="J1086" s="30"/>
      <c r="K1086" s="30"/>
      <c r="L1086" s="30"/>
      <c r="M1086" s="30"/>
      <c r="N1086" s="30"/>
      <c r="O1086" s="30"/>
      <c r="P1086" s="30"/>
      <c r="Q1086" s="30"/>
      <c r="R1086" s="30"/>
      <c r="S1086" s="30"/>
      <c r="T1086" s="30"/>
      <c r="U1086" s="30"/>
      <c r="V1086" s="30"/>
      <c r="W1086" s="30"/>
      <c r="X1086" s="30"/>
      <c r="Y1086" s="30"/>
      <c r="Z1086" s="30"/>
    </row>
    <row r="1087">
      <c r="A1087" s="30"/>
      <c r="B1087" s="30"/>
      <c r="C1087" s="30"/>
      <c r="D1087" s="30"/>
      <c r="E1087" s="30"/>
      <c r="F1087" s="30"/>
      <c r="G1087" s="30"/>
      <c r="H1087" s="30"/>
      <c r="I1087" s="30"/>
      <c r="J1087" s="30"/>
      <c r="K1087" s="30"/>
      <c r="L1087" s="30"/>
      <c r="M1087" s="30"/>
      <c r="N1087" s="30"/>
      <c r="O1087" s="30"/>
      <c r="P1087" s="30"/>
      <c r="Q1087" s="30"/>
      <c r="R1087" s="30"/>
      <c r="S1087" s="30"/>
      <c r="T1087" s="30"/>
      <c r="U1087" s="30"/>
      <c r="V1087" s="30"/>
      <c r="W1087" s="30"/>
      <c r="X1087" s="30"/>
      <c r="Y1087" s="30"/>
      <c r="Z1087" s="30"/>
    </row>
    <row r="1088">
      <c r="A1088" s="30"/>
      <c r="B1088" s="30"/>
      <c r="C1088" s="30"/>
      <c r="D1088" s="30"/>
      <c r="E1088" s="30"/>
      <c r="F1088" s="30"/>
      <c r="G1088" s="30"/>
      <c r="H1088" s="30"/>
      <c r="I1088" s="30"/>
      <c r="J1088" s="30"/>
      <c r="K1088" s="30"/>
      <c r="L1088" s="30"/>
      <c r="M1088" s="30"/>
      <c r="N1088" s="30"/>
      <c r="O1088" s="30"/>
      <c r="P1088" s="30"/>
      <c r="Q1088" s="30"/>
      <c r="R1088" s="30"/>
      <c r="S1088" s="30"/>
      <c r="T1088" s="30"/>
      <c r="U1088" s="30"/>
      <c r="V1088" s="30"/>
      <c r="W1088" s="30"/>
      <c r="X1088" s="30"/>
      <c r="Y1088" s="30"/>
      <c r="Z1088" s="30"/>
    </row>
    <row r="1089">
      <c r="A1089" s="30"/>
      <c r="B1089" s="30"/>
      <c r="C1089" s="30"/>
      <c r="D1089" s="30"/>
      <c r="E1089" s="30"/>
      <c r="F1089" s="30"/>
      <c r="G1089" s="30"/>
      <c r="H1089" s="30"/>
      <c r="I1089" s="30"/>
      <c r="J1089" s="30"/>
      <c r="K1089" s="30"/>
      <c r="L1089" s="30"/>
      <c r="M1089" s="30"/>
      <c r="N1089" s="30"/>
      <c r="O1089" s="30"/>
      <c r="P1089" s="30"/>
      <c r="Q1089" s="30"/>
      <c r="R1089" s="30"/>
      <c r="S1089" s="30"/>
      <c r="T1089" s="30"/>
      <c r="U1089" s="30"/>
      <c r="V1089" s="30"/>
      <c r="W1089" s="30"/>
      <c r="X1089" s="30"/>
      <c r="Y1089" s="30"/>
      <c r="Z1089" s="30"/>
    </row>
    <row r="1090">
      <c r="A1090" s="30"/>
      <c r="B1090" s="30"/>
      <c r="C1090" s="30"/>
      <c r="D1090" s="30"/>
      <c r="E1090" s="30"/>
      <c r="F1090" s="30"/>
      <c r="G1090" s="30"/>
      <c r="H1090" s="30"/>
      <c r="I1090" s="30"/>
      <c r="J1090" s="30"/>
      <c r="K1090" s="30"/>
      <c r="L1090" s="30"/>
      <c r="M1090" s="30"/>
      <c r="N1090" s="30"/>
      <c r="O1090" s="30"/>
      <c r="P1090" s="30"/>
      <c r="Q1090" s="30"/>
      <c r="R1090" s="30"/>
      <c r="S1090" s="30"/>
      <c r="T1090" s="30"/>
      <c r="U1090" s="30"/>
      <c r="V1090" s="30"/>
      <c r="W1090" s="30"/>
      <c r="X1090" s="30"/>
      <c r="Y1090" s="30"/>
      <c r="Z1090" s="30"/>
    </row>
    <row r="1091">
      <c r="A1091" s="30"/>
      <c r="B1091" s="30"/>
      <c r="C1091" s="30"/>
      <c r="D1091" s="30"/>
      <c r="E1091" s="30"/>
      <c r="F1091" s="30"/>
      <c r="G1091" s="30"/>
      <c r="H1091" s="30"/>
      <c r="I1091" s="30"/>
      <c r="J1091" s="30"/>
      <c r="K1091" s="30"/>
      <c r="L1091" s="30"/>
      <c r="M1091" s="30"/>
      <c r="N1091" s="30"/>
      <c r="O1091" s="30"/>
      <c r="P1091" s="30"/>
      <c r="Q1091" s="30"/>
      <c r="R1091" s="30"/>
      <c r="S1091" s="30"/>
      <c r="T1091" s="30"/>
      <c r="U1091" s="30"/>
      <c r="V1091" s="30"/>
      <c r="W1091" s="30"/>
      <c r="X1091" s="30"/>
      <c r="Y1091" s="30"/>
      <c r="Z1091" s="30"/>
    </row>
    <row r="1092">
      <c r="A1092" s="30"/>
      <c r="B1092" s="30"/>
      <c r="C1092" s="30"/>
      <c r="D1092" s="30"/>
      <c r="E1092" s="30"/>
      <c r="F1092" s="30"/>
      <c r="G1092" s="30"/>
      <c r="H1092" s="30"/>
      <c r="I1092" s="30"/>
      <c r="J1092" s="30"/>
      <c r="K1092" s="30"/>
      <c r="L1092" s="30"/>
      <c r="M1092" s="30"/>
      <c r="N1092" s="30"/>
      <c r="O1092" s="30"/>
      <c r="P1092" s="30"/>
      <c r="Q1092" s="30"/>
      <c r="R1092" s="30"/>
      <c r="S1092" s="30"/>
      <c r="T1092" s="30"/>
      <c r="U1092" s="30"/>
      <c r="V1092" s="30"/>
      <c r="W1092" s="30"/>
      <c r="X1092" s="30"/>
      <c r="Y1092" s="30"/>
      <c r="Z1092" s="30"/>
    </row>
    <row r="1093">
      <c r="A1093" s="30"/>
      <c r="B1093" s="30"/>
      <c r="C1093" s="30"/>
      <c r="D1093" s="30"/>
      <c r="E1093" s="30"/>
      <c r="F1093" s="30"/>
      <c r="G1093" s="30"/>
      <c r="H1093" s="30"/>
      <c r="I1093" s="30"/>
      <c r="J1093" s="30"/>
      <c r="K1093" s="30"/>
      <c r="L1093" s="30"/>
      <c r="M1093" s="30"/>
      <c r="N1093" s="30"/>
      <c r="O1093" s="30"/>
      <c r="P1093" s="30"/>
      <c r="Q1093" s="30"/>
      <c r="R1093" s="30"/>
      <c r="S1093" s="30"/>
      <c r="T1093" s="30"/>
      <c r="U1093" s="30"/>
      <c r="V1093" s="30"/>
      <c r="W1093" s="30"/>
      <c r="X1093" s="30"/>
      <c r="Y1093" s="30"/>
      <c r="Z1093" s="30"/>
    </row>
    <row r="1094">
      <c r="A1094" s="30"/>
      <c r="B1094" s="30"/>
      <c r="C1094" s="30"/>
      <c r="D1094" s="30"/>
      <c r="E1094" s="30"/>
      <c r="F1094" s="30"/>
      <c r="G1094" s="30"/>
      <c r="H1094" s="30"/>
      <c r="I1094" s="30"/>
      <c r="J1094" s="30"/>
      <c r="K1094" s="30"/>
      <c r="L1094" s="30"/>
      <c r="M1094" s="30"/>
      <c r="N1094" s="30"/>
      <c r="O1094" s="30"/>
      <c r="P1094" s="30"/>
      <c r="Q1094" s="30"/>
      <c r="R1094" s="30"/>
      <c r="S1094" s="30"/>
      <c r="T1094" s="30"/>
      <c r="U1094" s="30"/>
      <c r="V1094" s="30"/>
      <c r="W1094" s="30"/>
      <c r="X1094" s="30"/>
      <c r="Y1094" s="30"/>
      <c r="Z1094" s="30"/>
    </row>
    <row r="1095">
      <c r="A1095" s="30"/>
      <c r="B1095" s="30"/>
      <c r="C1095" s="30"/>
      <c r="D1095" s="30"/>
      <c r="E1095" s="30"/>
      <c r="F1095" s="30"/>
      <c r="G1095" s="30"/>
      <c r="H1095" s="30"/>
      <c r="I1095" s="30"/>
      <c r="J1095" s="30"/>
      <c r="K1095" s="30"/>
      <c r="L1095" s="30"/>
      <c r="M1095" s="30"/>
      <c r="N1095" s="30"/>
      <c r="O1095" s="30"/>
      <c r="P1095" s="30"/>
      <c r="Q1095" s="30"/>
      <c r="R1095" s="30"/>
      <c r="S1095" s="30"/>
      <c r="T1095" s="30"/>
      <c r="U1095" s="30"/>
      <c r="V1095" s="30"/>
      <c r="W1095" s="30"/>
      <c r="X1095" s="30"/>
      <c r="Y1095" s="30"/>
      <c r="Z1095" s="30"/>
    </row>
    <row r="1096">
      <c r="A1096" s="30"/>
      <c r="B1096" s="30"/>
      <c r="C1096" s="30"/>
      <c r="D1096" s="30"/>
      <c r="E1096" s="30"/>
      <c r="F1096" s="30"/>
      <c r="G1096" s="30"/>
      <c r="H1096" s="30"/>
      <c r="I1096" s="30"/>
      <c r="J1096" s="30"/>
      <c r="K1096" s="30"/>
      <c r="L1096" s="30"/>
      <c r="M1096" s="30"/>
      <c r="N1096" s="30"/>
      <c r="O1096" s="30"/>
      <c r="P1096" s="30"/>
      <c r="Q1096" s="30"/>
      <c r="R1096" s="30"/>
      <c r="S1096" s="30"/>
      <c r="T1096" s="30"/>
      <c r="U1096" s="30"/>
      <c r="V1096" s="30"/>
      <c r="W1096" s="30"/>
      <c r="X1096" s="30"/>
      <c r="Y1096" s="30"/>
      <c r="Z1096" s="30"/>
    </row>
    <row r="1097">
      <c r="A1097" s="30"/>
      <c r="B1097" s="30"/>
      <c r="C1097" s="30"/>
      <c r="D1097" s="30"/>
      <c r="E1097" s="30"/>
      <c r="F1097" s="30"/>
      <c r="G1097" s="30"/>
      <c r="H1097" s="30"/>
      <c r="I1097" s="30"/>
      <c r="J1097" s="30"/>
      <c r="K1097" s="30"/>
      <c r="L1097" s="30"/>
      <c r="M1097" s="30"/>
      <c r="N1097" s="30"/>
      <c r="O1097" s="30"/>
      <c r="P1097" s="30"/>
      <c r="Q1097" s="30"/>
      <c r="R1097" s="30"/>
      <c r="S1097" s="30"/>
      <c r="T1097" s="30"/>
      <c r="U1097" s="30"/>
      <c r="V1097" s="30"/>
      <c r="W1097" s="30"/>
      <c r="X1097" s="30"/>
      <c r="Y1097" s="30"/>
      <c r="Z1097" s="30"/>
    </row>
    <row r="1098">
      <c r="A1098" s="30"/>
      <c r="B1098" s="30"/>
      <c r="C1098" s="30"/>
      <c r="D1098" s="30"/>
      <c r="E1098" s="30"/>
      <c r="F1098" s="30"/>
      <c r="G1098" s="30"/>
      <c r="H1098" s="30"/>
      <c r="I1098" s="30"/>
      <c r="J1098" s="30"/>
      <c r="K1098" s="30"/>
      <c r="L1098" s="30"/>
      <c r="M1098" s="30"/>
      <c r="N1098" s="30"/>
      <c r="O1098" s="30"/>
      <c r="P1098" s="30"/>
      <c r="Q1098" s="30"/>
      <c r="R1098" s="30"/>
      <c r="S1098" s="30"/>
      <c r="T1098" s="30"/>
      <c r="U1098" s="30"/>
      <c r="V1098" s="30"/>
      <c r="W1098" s="30"/>
      <c r="X1098" s="30"/>
      <c r="Y1098" s="30"/>
      <c r="Z1098" s="30"/>
    </row>
    <row r="1099">
      <c r="A1099" s="30"/>
      <c r="B1099" s="30"/>
      <c r="C1099" s="30"/>
      <c r="D1099" s="30"/>
      <c r="E1099" s="30"/>
      <c r="F1099" s="30"/>
      <c r="G1099" s="30"/>
      <c r="H1099" s="30"/>
      <c r="I1099" s="30"/>
      <c r="J1099" s="30"/>
      <c r="K1099" s="30"/>
      <c r="L1099" s="30"/>
      <c r="M1099" s="30"/>
      <c r="N1099" s="30"/>
      <c r="O1099" s="30"/>
      <c r="P1099" s="30"/>
      <c r="Q1099" s="30"/>
      <c r="R1099" s="30"/>
      <c r="S1099" s="30"/>
      <c r="T1099" s="30"/>
      <c r="U1099" s="30"/>
      <c r="V1099" s="30"/>
      <c r="W1099" s="30"/>
      <c r="X1099" s="30"/>
      <c r="Y1099" s="30"/>
      <c r="Z1099" s="30"/>
    </row>
    <row r="1100">
      <c r="A1100" s="30"/>
      <c r="B1100" s="30"/>
      <c r="C1100" s="30"/>
      <c r="D1100" s="30"/>
      <c r="E1100" s="30"/>
      <c r="F1100" s="30"/>
      <c r="G1100" s="30"/>
      <c r="H1100" s="30"/>
      <c r="I1100" s="30"/>
      <c r="J1100" s="30"/>
      <c r="K1100" s="30"/>
      <c r="L1100" s="30"/>
      <c r="M1100" s="30"/>
      <c r="N1100" s="30"/>
      <c r="O1100" s="30"/>
      <c r="P1100" s="30"/>
      <c r="Q1100" s="30"/>
      <c r="R1100" s="30"/>
      <c r="S1100" s="30"/>
      <c r="T1100" s="30"/>
      <c r="U1100" s="30"/>
      <c r="V1100" s="30"/>
      <c r="W1100" s="30"/>
      <c r="X1100" s="30"/>
      <c r="Y1100" s="30"/>
      <c r="Z1100" s="30"/>
    </row>
    <row r="1101">
      <c r="A1101" s="30"/>
      <c r="B1101" s="30"/>
      <c r="C1101" s="30"/>
      <c r="D1101" s="30"/>
      <c r="E1101" s="30"/>
      <c r="F1101" s="30"/>
      <c r="G1101" s="30"/>
      <c r="H1101" s="30"/>
      <c r="I1101" s="30"/>
      <c r="J1101" s="30"/>
      <c r="K1101" s="30"/>
      <c r="L1101" s="30"/>
      <c r="M1101" s="30"/>
      <c r="N1101" s="30"/>
      <c r="O1101" s="30"/>
      <c r="P1101" s="30"/>
      <c r="Q1101" s="30"/>
      <c r="R1101" s="30"/>
      <c r="S1101" s="30"/>
      <c r="T1101" s="30"/>
      <c r="U1101" s="30"/>
      <c r="V1101" s="30"/>
      <c r="W1101" s="30"/>
      <c r="X1101" s="30"/>
      <c r="Y1101" s="30"/>
      <c r="Z1101" s="30"/>
    </row>
    <row r="1102">
      <c r="A1102" s="30"/>
      <c r="B1102" s="30"/>
      <c r="C1102" s="30"/>
      <c r="D1102" s="30"/>
      <c r="E1102" s="30"/>
      <c r="F1102" s="30"/>
      <c r="G1102" s="30"/>
      <c r="H1102" s="30"/>
      <c r="I1102" s="30"/>
      <c r="J1102" s="30"/>
      <c r="K1102" s="30"/>
      <c r="L1102" s="30"/>
      <c r="M1102" s="30"/>
      <c r="N1102" s="30"/>
      <c r="O1102" s="30"/>
      <c r="P1102" s="30"/>
      <c r="Q1102" s="30"/>
      <c r="R1102" s="30"/>
      <c r="S1102" s="30"/>
      <c r="T1102" s="30"/>
      <c r="U1102" s="30"/>
      <c r="V1102" s="30"/>
      <c r="W1102" s="30"/>
      <c r="X1102" s="30"/>
      <c r="Y1102" s="30"/>
      <c r="Z1102" s="30"/>
    </row>
    <row r="1103">
      <c r="A1103" s="30"/>
      <c r="B1103" s="30"/>
      <c r="C1103" s="30"/>
      <c r="D1103" s="30"/>
      <c r="E1103" s="30"/>
      <c r="F1103" s="30"/>
      <c r="G1103" s="30"/>
      <c r="H1103" s="30"/>
      <c r="I1103" s="30"/>
      <c r="J1103" s="30"/>
      <c r="K1103" s="30"/>
      <c r="L1103" s="30"/>
      <c r="M1103" s="30"/>
      <c r="N1103" s="30"/>
      <c r="O1103" s="30"/>
      <c r="P1103" s="30"/>
      <c r="Q1103" s="30"/>
      <c r="R1103" s="30"/>
      <c r="S1103" s="30"/>
      <c r="T1103" s="30"/>
      <c r="U1103" s="30"/>
      <c r="V1103" s="30"/>
      <c r="W1103" s="30"/>
      <c r="X1103" s="30"/>
      <c r="Y1103" s="30"/>
      <c r="Z1103" s="30"/>
    </row>
    <row r="1104">
      <c r="A1104" s="30"/>
      <c r="B1104" s="30"/>
      <c r="C1104" s="30"/>
      <c r="D1104" s="30"/>
      <c r="E1104" s="30"/>
      <c r="F1104" s="30"/>
      <c r="G1104" s="30"/>
      <c r="H1104" s="30"/>
      <c r="I1104" s="30"/>
      <c r="J1104" s="30"/>
      <c r="K1104" s="30"/>
      <c r="L1104" s="30"/>
      <c r="M1104" s="30"/>
      <c r="N1104" s="30"/>
      <c r="O1104" s="30"/>
      <c r="P1104" s="30"/>
      <c r="Q1104" s="30"/>
      <c r="R1104" s="30"/>
      <c r="S1104" s="30"/>
      <c r="T1104" s="30"/>
      <c r="U1104" s="30"/>
      <c r="V1104" s="30"/>
      <c r="W1104" s="30"/>
      <c r="X1104" s="30"/>
      <c r="Y1104" s="30"/>
      <c r="Z1104" s="30"/>
    </row>
    <row r="1105">
      <c r="A1105" s="30"/>
      <c r="B1105" s="30"/>
      <c r="C1105" s="30"/>
      <c r="D1105" s="30"/>
      <c r="E1105" s="30"/>
      <c r="F1105" s="30"/>
      <c r="G1105" s="30"/>
      <c r="H1105" s="30"/>
      <c r="I1105" s="30"/>
      <c r="J1105" s="30"/>
      <c r="K1105" s="30"/>
      <c r="L1105" s="30"/>
      <c r="M1105" s="30"/>
      <c r="N1105" s="30"/>
      <c r="O1105" s="30"/>
      <c r="P1105" s="30"/>
      <c r="Q1105" s="30"/>
      <c r="R1105" s="30"/>
      <c r="S1105" s="30"/>
      <c r="T1105" s="30"/>
      <c r="U1105" s="30"/>
      <c r="V1105" s="30"/>
      <c r="W1105" s="30"/>
      <c r="X1105" s="30"/>
      <c r="Y1105" s="30"/>
      <c r="Z1105" s="30"/>
    </row>
    <row r="1106">
      <c r="A1106" s="30"/>
      <c r="B1106" s="30"/>
      <c r="C1106" s="30"/>
      <c r="D1106" s="30"/>
      <c r="E1106" s="30"/>
      <c r="F1106" s="30"/>
      <c r="G1106" s="30"/>
      <c r="H1106" s="30"/>
      <c r="I1106" s="30"/>
      <c r="J1106" s="30"/>
      <c r="K1106" s="30"/>
      <c r="L1106" s="30"/>
      <c r="M1106" s="30"/>
      <c r="N1106" s="30"/>
      <c r="O1106" s="30"/>
      <c r="P1106" s="30"/>
      <c r="Q1106" s="30"/>
      <c r="R1106" s="30"/>
      <c r="S1106" s="30"/>
      <c r="T1106" s="30"/>
      <c r="U1106" s="30"/>
      <c r="V1106" s="30"/>
      <c r="W1106" s="30"/>
      <c r="X1106" s="30"/>
      <c r="Y1106" s="30"/>
      <c r="Z1106" s="30"/>
    </row>
    <row r="1107">
      <c r="A1107" s="30"/>
      <c r="B1107" s="30"/>
      <c r="C1107" s="30"/>
      <c r="D1107" s="30"/>
      <c r="E1107" s="30"/>
      <c r="F1107" s="30"/>
      <c r="G1107" s="30"/>
      <c r="H1107" s="30"/>
      <c r="I1107" s="30"/>
      <c r="J1107" s="30"/>
      <c r="K1107" s="30"/>
      <c r="L1107" s="30"/>
      <c r="M1107" s="30"/>
      <c r="N1107" s="30"/>
      <c r="O1107" s="30"/>
      <c r="P1107" s="30"/>
      <c r="Q1107" s="30"/>
      <c r="R1107" s="30"/>
      <c r="S1107" s="30"/>
      <c r="T1107" s="30"/>
      <c r="U1107" s="30"/>
      <c r="V1107" s="30"/>
      <c r="W1107" s="30"/>
      <c r="X1107" s="30"/>
      <c r="Y1107" s="30"/>
      <c r="Z1107" s="30"/>
    </row>
    <row r="1108">
      <c r="A1108" s="30"/>
      <c r="B1108" s="30"/>
      <c r="C1108" s="30"/>
      <c r="D1108" s="30"/>
      <c r="E1108" s="30"/>
      <c r="F1108" s="30"/>
      <c r="G1108" s="30"/>
      <c r="H1108" s="30"/>
      <c r="I1108" s="30"/>
      <c r="J1108" s="30"/>
      <c r="K1108" s="30"/>
      <c r="L1108" s="30"/>
      <c r="M1108" s="30"/>
      <c r="N1108" s="30"/>
      <c r="O1108" s="30"/>
      <c r="P1108" s="30"/>
      <c r="Q1108" s="30"/>
      <c r="R1108" s="30"/>
      <c r="S1108" s="30"/>
      <c r="T1108" s="30"/>
      <c r="U1108" s="30"/>
      <c r="V1108" s="30"/>
      <c r="W1108" s="30"/>
      <c r="X1108" s="30"/>
      <c r="Y1108" s="30"/>
      <c r="Z1108" s="30"/>
    </row>
    <row r="1109">
      <c r="A1109" s="30"/>
      <c r="B1109" s="30"/>
      <c r="C1109" s="30"/>
      <c r="D1109" s="30"/>
      <c r="E1109" s="30"/>
      <c r="F1109" s="30"/>
      <c r="G1109" s="30"/>
      <c r="H1109" s="30"/>
      <c r="I1109" s="30"/>
      <c r="J1109" s="30"/>
      <c r="K1109" s="30"/>
      <c r="L1109" s="30"/>
      <c r="M1109" s="30"/>
      <c r="N1109" s="30"/>
      <c r="O1109" s="30"/>
      <c r="P1109" s="30"/>
      <c r="Q1109" s="30"/>
      <c r="R1109" s="30"/>
      <c r="S1109" s="30"/>
      <c r="T1109" s="30"/>
      <c r="U1109" s="30"/>
      <c r="V1109" s="30"/>
      <c r="W1109" s="30"/>
      <c r="X1109" s="30"/>
      <c r="Y1109" s="30"/>
      <c r="Z1109" s="30"/>
    </row>
    <row r="1110">
      <c r="A1110" s="30"/>
      <c r="B1110" s="30"/>
      <c r="C1110" s="30"/>
      <c r="D1110" s="30"/>
      <c r="E1110" s="30"/>
      <c r="F1110" s="30"/>
      <c r="G1110" s="30"/>
      <c r="H1110" s="30"/>
      <c r="I1110" s="30"/>
      <c r="J1110" s="30"/>
      <c r="K1110" s="30"/>
      <c r="L1110" s="30"/>
      <c r="M1110" s="30"/>
      <c r="N1110" s="30"/>
      <c r="O1110" s="30"/>
      <c r="P1110" s="30"/>
      <c r="Q1110" s="30"/>
      <c r="R1110" s="30"/>
      <c r="S1110" s="30"/>
      <c r="T1110" s="30"/>
      <c r="U1110" s="30"/>
      <c r="V1110" s="30"/>
      <c r="W1110" s="30"/>
      <c r="X1110" s="30"/>
      <c r="Y1110" s="30"/>
      <c r="Z1110" s="30"/>
    </row>
    <row r="1111">
      <c r="A1111" s="30"/>
      <c r="B1111" s="30"/>
      <c r="C1111" s="30"/>
      <c r="D1111" s="30"/>
      <c r="E1111" s="30"/>
      <c r="F1111" s="30"/>
      <c r="G1111" s="30"/>
      <c r="H1111" s="30"/>
      <c r="I1111" s="30"/>
      <c r="J1111" s="30"/>
      <c r="K1111" s="30"/>
      <c r="L1111" s="30"/>
      <c r="M1111" s="30"/>
      <c r="N1111" s="30"/>
      <c r="O1111" s="30"/>
      <c r="P1111" s="30"/>
      <c r="Q1111" s="30"/>
      <c r="R1111" s="30"/>
      <c r="S1111" s="30"/>
      <c r="T1111" s="30"/>
      <c r="U1111" s="30"/>
      <c r="V1111" s="30"/>
      <c r="W1111" s="30"/>
      <c r="X1111" s="30"/>
      <c r="Y1111" s="30"/>
      <c r="Z1111" s="30"/>
    </row>
    <row r="1112">
      <c r="A1112" s="30"/>
      <c r="B1112" s="30"/>
      <c r="C1112" s="30"/>
      <c r="D1112" s="30"/>
      <c r="E1112" s="30"/>
      <c r="F1112" s="30"/>
      <c r="G1112" s="30"/>
      <c r="H1112" s="30"/>
      <c r="I1112" s="30"/>
      <c r="J1112" s="30"/>
      <c r="K1112" s="30"/>
      <c r="L1112" s="30"/>
      <c r="M1112" s="30"/>
      <c r="N1112" s="30"/>
      <c r="O1112" s="30"/>
      <c r="P1112" s="30"/>
      <c r="Q1112" s="30"/>
      <c r="R1112" s="30"/>
      <c r="S1112" s="30"/>
      <c r="T1112" s="30"/>
      <c r="U1112" s="30"/>
      <c r="V1112" s="30"/>
      <c r="W1112" s="30"/>
      <c r="X1112" s="30"/>
      <c r="Y1112" s="30"/>
      <c r="Z1112" s="30"/>
    </row>
    <row r="1113">
      <c r="A1113" s="30"/>
      <c r="B1113" s="30"/>
      <c r="C1113" s="30"/>
      <c r="D1113" s="30"/>
      <c r="E1113" s="30"/>
      <c r="F1113" s="30"/>
      <c r="G1113" s="30"/>
      <c r="H1113" s="30"/>
      <c r="I1113" s="30"/>
      <c r="J1113" s="30"/>
      <c r="K1113" s="30"/>
      <c r="L1113" s="30"/>
      <c r="M1113" s="30"/>
      <c r="N1113" s="30"/>
      <c r="O1113" s="30"/>
      <c r="P1113" s="30"/>
      <c r="Q1113" s="30"/>
      <c r="R1113" s="30"/>
      <c r="S1113" s="30"/>
      <c r="T1113" s="30"/>
      <c r="U1113" s="30"/>
      <c r="V1113" s="30"/>
      <c r="W1113" s="30"/>
      <c r="X1113" s="30"/>
      <c r="Y1113" s="30"/>
      <c r="Z1113" s="30"/>
    </row>
    <row r="1114">
      <c r="A1114" s="30"/>
      <c r="B1114" s="30"/>
      <c r="C1114" s="30"/>
      <c r="D1114" s="30"/>
      <c r="E1114" s="30"/>
      <c r="F1114" s="30"/>
      <c r="G1114" s="30"/>
      <c r="H1114" s="30"/>
      <c r="I1114" s="30"/>
      <c r="J1114" s="30"/>
      <c r="K1114" s="30"/>
      <c r="L1114" s="30"/>
      <c r="M1114" s="30"/>
      <c r="N1114" s="30"/>
      <c r="O1114" s="30"/>
      <c r="P1114" s="30"/>
      <c r="Q1114" s="30"/>
      <c r="R1114" s="30"/>
      <c r="S1114" s="30"/>
      <c r="T1114" s="30"/>
      <c r="U1114" s="30"/>
      <c r="V1114" s="30"/>
      <c r="W1114" s="30"/>
      <c r="X1114" s="30"/>
      <c r="Y1114" s="30"/>
      <c r="Z1114" s="30"/>
    </row>
    <row r="1115">
      <c r="A1115" s="30"/>
      <c r="B1115" s="30"/>
      <c r="C1115" s="30"/>
      <c r="D1115" s="30"/>
      <c r="E1115" s="30"/>
      <c r="F1115" s="30"/>
      <c r="G1115" s="30"/>
      <c r="H1115" s="30"/>
      <c r="I1115" s="30"/>
      <c r="J1115" s="30"/>
      <c r="K1115" s="30"/>
      <c r="L1115" s="30"/>
      <c r="M1115" s="30"/>
      <c r="N1115" s="30"/>
      <c r="O1115" s="30"/>
      <c r="P1115" s="30"/>
      <c r="Q1115" s="30"/>
      <c r="R1115" s="30"/>
      <c r="S1115" s="30"/>
      <c r="T1115" s="30"/>
      <c r="U1115" s="30"/>
      <c r="V1115" s="30"/>
      <c r="W1115" s="30"/>
      <c r="X1115" s="30"/>
      <c r="Y1115" s="30"/>
      <c r="Z1115" s="30"/>
    </row>
    <row r="1116">
      <c r="A1116" s="30"/>
      <c r="B1116" s="30"/>
      <c r="C1116" s="30"/>
      <c r="D1116" s="30"/>
      <c r="E1116" s="30"/>
      <c r="F1116" s="30"/>
      <c r="G1116" s="30"/>
      <c r="H1116" s="30"/>
      <c r="I1116" s="30"/>
      <c r="J1116" s="30"/>
      <c r="K1116" s="30"/>
      <c r="L1116" s="30"/>
      <c r="M1116" s="30"/>
      <c r="N1116" s="30"/>
      <c r="O1116" s="30"/>
      <c r="P1116" s="30"/>
      <c r="Q1116" s="30"/>
      <c r="R1116" s="30"/>
      <c r="S1116" s="30"/>
      <c r="T1116" s="30"/>
      <c r="U1116" s="30"/>
      <c r="V1116" s="30"/>
      <c r="W1116" s="30"/>
      <c r="X1116" s="30"/>
      <c r="Y1116" s="30"/>
      <c r="Z1116" s="30"/>
    </row>
    <row r="1117">
      <c r="A1117" s="30"/>
      <c r="B1117" s="30"/>
      <c r="C1117" s="30"/>
      <c r="D1117" s="30"/>
      <c r="E1117" s="30"/>
      <c r="F1117" s="30"/>
      <c r="G1117" s="30"/>
      <c r="H1117" s="30"/>
      <c r="I1117" s="30"/>
      <c r="J1117" s="30"/>
      <c r="K1117" s="30"/>
      <c r="L1117" s="30"/>
      <c r="M1117" s="30"/>
      <c r="N1117" s="30"/>
      <c r="O1117" s="30"/>
      <c r="P1117" s="30"/>
      <c r="Q1117" s="30"/>
      <c r="R1117" s="30"/>
      <c r="S1117" s="30"/>
      <c r="T1117" s="30"/>
      <c r="U1117" s="30"/>
      <c r="V1117" s="30"/>
      <c r="W1117" s="30"/>
      <c r="X1117" s="30"/>
      <c r="Y1117" s="30"/>
      <c r="Z1117" s="30"/>
    </row>
    <row r="1118">
      <c r="A1118" s="30"/>
      <c r="B1118" s="30"/>
      <c r="C1118" s="30"/>
      <c r="D1118" s="30"/>
      <c r="E1118" s="30"/>
      <c r="F1118" s="30"/>
      <c r="G1118" s="30"/>
      <c r="H1118" s="30"/>
      <c r="I1118" s="30"/>
      <c r="J1118" s="30"/>
      <c r="K1118" s="30"/>
      <c r="L1118" s="30"/>
      <c r="M1118" s="30"/>
      <c r="N1118" s="30"/>
      <c r="O1118" s="30"/>
      <c r="P1118" s="30"/>
      <c r="Q1118" s="30"/>
      <c r="R1118" s="30"/>
      <c r="S1118" s="30"/>
      <c r="T1118" s="30"/>
      <c r="U1118" s="30"/>
      <c r="V1118" s="30"/>
      <c r="W1118" s="30"/>
      <c r="X1118" s="30"/>
      <c r="Y1118" s="30"/>
      <c r="Z1118" s="30"/>
    </row>
    <row r="1119">
      <c r="A1119" s="30"/>
      <c r="B1119" s="30"/>
      <c r="C1119" s="30"/>
      <c r="D1119" s="30"/>
      <c r="E1119" s="30"/>
      <c r="F1119" s="30"/>
      <c r="G1119" s="30"/>
      <c r="H1119" s="30"/>
      <c r="I1119" s="30"/>
      <c r="J1119" s="30"/>
      <c r="K1119" s="30"/>
      <c r="L1119" s="30"/>
      <c r="M1119" s="30"/>
      <c r="N1119" s="30"/>
      <c r="O1119" s="30"/>
      <c r="P1119" s="30"/>
      <c r="Q1119" s="30"/>
      <c r="R1119" s="30"/>
      <c r="S1119" s="30"/>
      <c r="T1119" s="30"/>
      <c r="U1119" s="30"/>
      <c r="V1119" s="30"/>
      <c r="W1119" s="30"/>
      <c r="X1119" s="30"/>
      <c r="Y1119" s="30"/>
      <c r="Z1119" s="30"/>
    </row>
    <row r="1120">
      <c r="A1120" s="30"/>
      <c r="B1120" s="30"/>
      <c r="C1120" s="30"/>
      <c r="D1120" s="30"/>
      <c r="E1120" s="30"/>
      <c r="F1120" s="30"/>
      <c r="G1120" s="30"/>
      <c r="H1120" s="30"/>
      <c r="I1120" s="30"/>
      <c r="J1120" s="30"/>
      <c r="K1120" s="30"/>
      <c r="L1120" s="30"/>
      <c r="M1120" s="30"/>
      <c r="N1120" s="30"/>
      <c r="O1120" s="30"/>
      <c r="P1120" s="30"/>
      <c r="Q1120" s="30"/>
      <c r="R1120" s="30"/>
      <c r="S1120" s="30"/>
      <c r="T1120" s="30"/>
      <c r="U1120" s="30"/>
      <c r="V1120" s="30"/>
      <c r="W1120" s="30"/>
      <c r="X1120" s="30"/>
      <c r="Y1120" s="30"/>
      <c r="Z1120" s="30"/>
    </row>
    <row r="1121">
      <c r="A1121" s="30"/>
      <c r="B1121" s="30"/>
      <c r="C1121" s="30"/>
      <c r="D1121" s="30"/>
      <c r="E1121" s="30"/>
      <c r="F1121" s="30"/>
      <c r="G1121" s="30"/>
      <c r="H1121" s="30"/>
      <c r="I1121" s="30"/>
      <c r="J1121" s="30"/>
      <c r="K1121" s="30"/>
      <c r="L1121" s="30"/>
      <c r="M1121" s="30"/>
      <c r="N1121" s="30"/>
      <c r="O1121" s="30"/>
      <c r="P1121" s="30"/>
      <c r="Q1121" s="30"/>
      <c r="R1121" s="30"/>
      <c r="S1121" s="30"/>
      <c r="T1121" s="30"/>
      <c r="U1121" s="30"/>
      <c r="V1121" s="30"/>
      <c r="W1121" s="30"/>
      <c r="X1121" s="30"/>
      <c r="Y1121" s="30"/>
      <c r="Z1121" s="30"/>
    </row>
    <row r="1122">
      <c r="A1122" s="30"/>
      <c r="B1122" s="30"/>
      <c r="C1122" s="30"/>
      <c r="D1122" s="30"/>
      <c r="E1122" s="30"/>
      <c r="F1122" s="30"/>
      <c r="G1122" s="30"/>
      <c r="H1122" s="30"/>
      <c r="I1122" s="30"/>
      <c r="J1122" s="30"/>
      <c r="K1122" s="30"/>
      <c r="L1122" s="30"/>
      <c r="M1122" s="30"/>
      <c r="N1122" s="30"/>
      <c r="O1122" s="30"/>
      <c r="P1122" s="30"/>
      <c r="Q1122" s="30"/>
      <c r="R1122" s="30"/>
      <c r="S1122" s="30"/>
      <c r="T1122" s="30"/>
      <c r="U1122" s="30"/>
      <c r="V1122" s="30"/>
      <c r="W1122" s="30"/>
      <c r="X1122" s="30"/>
      <c r="Y1122" s="30"/>
      <c r="Z1122" s="30"/>
    </row>
    <row r="1123">
      <c r="A1123" s="30"/>
      <c r="B1123" s="30"/>
      <c r="C1123" s="30"/>
      <c r="D1123" s="30"/>
      <c r="E1123" s="30"/>
      <c r="F1123" s="30"/>
      <c r="G1123" s="30"/>
      <c r="H1123" s="30"/>
      <c r="I1123" s="30"/>
      <c r="J1123" s="30"/>
      <c r="K1123" s="30"/>
      <c r="L1123" s="30"/>
      <c r="M1123" s="30"/>
      <c r="N1123" s="30"/>
      <c r="O1123" s="30"/>
      <c r="P1123" s="30"/>
      <c r="Q1123" s="30"/>
      <c r="R1123" s="30"/>
      <c r="S1123" s="30"/>
      <c r="T1123" s="30"/>
      <c r="U1123" s="30"/>
      <c r="V1123" s="30"/>
      <c r="W1123" s="30"/>
      <c r="X1123" s="30"/>
      <c r="Y1123" s="30"/>
      <c r="Z1123" s="30"/>
    </row>
    <row r="1124">
      <c r="A1124" s="30"/>
      <c r="B1124" s="30"/>
      <c r="C1124" s="30"/>
      <c r="D1124" s="30"/>
      <c r="E1124" s="30"/>
      <c r="F1124" s="30"/>
      <c r="G1124" s="30"/>
      <c r="H1124" s="30"/>
      <c r="I1124" s="30"/>
      <c r="J1124" s="30"/>
      <c r="K1124" s="30"/>
      <c r="L1124" s="30"/>
      <c r="M1124" s="30"/>
      <c r="N1124" s="30"/>
      <c r="O1124" s="30"/>
      <c r="P1124" s="30"/>
      <c r="Q1124" s="30"/>
      <c r="R1124" s="30"/>
      <c r="S1124" s="30"/>
      <c r="T1124" s="30"/>
      <c r="U1124" s="30"/>
      <c r="V1124" s="30"/>
      <c r="W1124" s="30"/>
      <c r="X1124" s="30"/>
      <c r="Y1124" s="30"/>
      <c r="Z1124" s="30"/>
    </row>
    <row r="1125">
      <c r="A1125" s="30"/>
      <c r="B1125" s="30"/>
      <c r="C1125" s="30"/>
      <c r="D1125" s="30"/>
      <c r="E1125" s="30"/>
      <c r="F1125" s="30"/>
      <c r="G1125" s="30"/>
      <c r="H1125" s="30"/>
      <c r="I1125" s="30"/>
      <c r="J1125" s="30"/>
      <c r="K1125" s="30"/>
      <c r="L1125" s="30"/>
      <c r="M1125" s="30"/>
      <c r="N1125" s="30"/>
      <c r="O1125" s="30"/>
      <c r="P1125" s="30"/>
      <c r="Q1125" s="30"/>
      <c r="R1125" s="30"/>
      <c r="S1125" s="30"/>
      <c r="T1125" s="30"/>
      <c r="U1125" s="30"/>
      <c r="V1125" s="30"/>
      <c r="W1125" s="30"/>
      <c r="X1125" s="30"/>
      <c r="Y1125" s="30"/>
      <c r="Z1125" s="30"/>
    </row>
    <row r="1126">
      <c r="A1126" s="30"/>
      <c r="B1126" s="30"/>
      <c r="C1126" s="30"/>
      <c r="D1126" s="30"/>
      <c r="E1126" s="30"/>
      <c r="F1126" s="30"/>
      <c r="G1126" s="30"/>
      <c r="H1126" s="30"/>
      <c r="I1126" s="30"/>
      <c r="J1126" s="30"/>
      <c r="K1126" s="30"/>
      <c r="L1126" s="30"/>
      <c r="M1126" s="30"/>
      <c r="N1126" s="30"/>
      <c r="O1126" s="30"/>
      <c r="P1126" s="30"/>
      <c r="Q1126" s="30"/>
      <c r="R1126" s="30"/>
      <c r="S1126" s="30"/>
      <c r="T1126" s="30"/>
      <c r="U1126" s="30"/>
      <c r="V1126" s="30"/>
      <c r="W1126" s="30"/>
      <c r="X1126" s="30"/>
      <c r="Y1126" s="30"/>
      <c r="Z1126" s="30"/>
    </row>
    <row r="1127">
      <c r="A1127" s="30"/>
      <c r="B1127" s="30"/>
      <c r="C1127" s="30"/>
      <c r="D1127" s="30"/>
      <c r="E1127" s="30"/>
      <c r="F1127" s="30"/>
      <c r="G1127" s="30"/>
      <c r="H1127" s="30"/>
      <c r="I1127" s="30"/>
      <c r="J1127" s="30"/>
      <c r="K1127" s="30"/>
      <c r="L1127" s="30"/>
      <c r="M1127" s="30"/>
      <c r="N1127" s="30"/>
      <c r="O1127" s="30"/>
      <c r="P1127" s="30"/>
      <c r="Q1127" s="30"/>
      <c r="R1127" s="30"/>
      <c r="S1127" s="30"/>
      <c r="T1127" s="30"/>
      <c r="U1127" s="30"/>
      <c r="V1127" s="30"/>
      <c r="W1127" s="30"/>
      <c r="X1127" s="30"/>
      <c r="Y1127" s="30"/>
      <c r="Z1127" s="30"/>
    </row>
    <row r="1128">
      <c r="A1128" s="30"/>
      <c r="B1128" s="30"/>
      <c r="C1128" s="30"/>
      <c r="D1128" s="30"/>
      <c r="E1128" s="30"/>
      <c r="F1128" s="30"/>
      <c r="G1128" s="30"/>
      <c r="H1128" s="30"/>
      <c r="I1128" s="30"/>
      <c r="J1128" s="30"/>
      <c r="K1128" s="30"/>
      <c r="L1128" s="30"/>
      <c r="M1128" s="30"/>
      <c r="N1128" s="30"/>
      <c r="O1128" s="30"/>
      <c r="P1128" s="30"/>
      <c r="Q1128" s="30"/>
      <c r="R1128" s="30"/>
      <c r="S1128" s="30"/>
      <c r="T1128" s="30"/>
      <c r="U1128" s="30"/>
      <c r="V1128" s="30"/>
      <c r="W1128" s="30"/>
      <c r="X1128" s="30"/>
      <c r="Y1128" s="30"/>
      <c r="Z1128" s="30"/>
    </row>
    <row r="1129">
      <c r="A1129" s="30"/>
      <c r="B1129" s="30"/>
      <c r="C1129" s="30"/>
      <c r="D1129" s="30"/>
      <c r="E1129" s="30"/>
      <c r="F1129" s="30"/>
      <c r="G1129" s="30"/>
      <c r="H1129" s="30"/>
      <c r="I1129" s="30"/>
      <c r="J1129" s="30"/>
      <c r="K1129" s="30"/>
      <c r="L1129" s="30"/>
      <c r="M1129" s="30"/>
      <c r="N1129" s="30"/>
      <c r="O1129" s="30"/>
      <c r="P1129" s="30"/>
      <c r="Q1129" s="30"/>
      <c r="R1129" s="30"/>
      <c r="S1129" s="30"/>
      <c r="T1129" s="30"/>
      <c r="U1129" s="30"/>
      <c r="V1129" s="30"/>
      <c r="W1129" s="30"/>
      <c r="X1129" s="30"/>
      <c r="Y1129" s="30"/>
      <c r="Z1129" s="30"/>
    </row>
    <row r="1130">
      <c r="A1130" s="30"/>
      <c r="B1130" s="30"/>
      <c r="C1130" s="30"/>
      <c r="D1130" s="30"/>
      <c r="E1130" s="30"/>
      <c r="F1130" s="30"/>
      <c r="G1130" s="30"/>
      <c r="H1130" s="30"/>
      <c r="I1130" s="30"/>
      <c r="J1130" s="30"/>
      <c r="K1130" s="30"/>
      <c r="L1130" s="30"/>
      <c r="M1130" s="30"/>
      <c r="N1130" s="30"/>
      <c r="O1130" s="30"/>
      <c r="P1130" s="30"/>
      <c r="Q1130" s="30"/>
      <c r="R1130" s="30"/>
      <c r="S1130" s="30"/>
      <c r="T1130" s="30"/>
      <c r="U1130" s="30"/>
      <c r="V1130" s="30"/>
      <c r="W1130" s="30"/>
      <c r="X1130" s="30"/>
      <c r="Y1130" s="30"/>
      <c r="Z1130" s="30"/>
    </row>
    <row r="1131">
      <c r="A1131" s="30"/>
      <c r="B1131" s="30"/>
      <c r="C1131" s="30"/>
      <c r="D1131" s="30"/>
      <c r="E1131" s="30"/>
      <c r="F1131" s="30"/>
      <c r="G1131" s="30"/>
      <c r="H1131" s="30"/>
      <c r="I1131" s="30"/>
      <c r="J1131" s="30"/>
      <c r="K1131" s="30"/>
      <c r="L1131" s="30"/>
      <c r="M1131" s="30"/>
      <c r="N1131" s="30"/>
      <c r="O1131" s="30"/>
      <c r="P1131" s="30"/>
      <c r="Q1131" s="30"/>
      <c r="R1131" s="30"/>
      <c r="S1131" s="30"/>
      <c r="T1131" s="30"/>
      <c r="U1131" s="30"/>
      <c r="V1131" s="30"/>
      <c r="W1131" s="30"/>
      <c r="X1131" s="30"/>
      <c r="Y1131" s="30"/>
      <c r="Z1131" s="30"/>
    </row>
    <row r="1132">
      <c r="A1132" s="30"/>
      <c r="B1132" s="30"/>
      <c r="C1132" s="30"/>
      <c r="D1132" s="30"/>
      <c r="E1132" s="30"/>
      <c r="F1132" s="30"/>
      <c r="G1132" s="30"/>
      <c r="H1132" s="30"/>
      <c r="I1132" s="30"/>
      <c r="J1132" s="30"/>
      <c r="K1132" s="30"/>
      <c r="L1132" s="30"/>
      <c r="M1132" s="30"/>
      <c r="N1132" s="30"/>
      <c r="O1132" s="30"/>
      <c r="P1132" s="30"/>
      <c r="Q1132" s="30"/>
      <c r="R1132" s="30"/>
      <c r="S1132" s="30"/>
      <c r="T1132" s="30"/>
      <c r="U1132" s="30"/>
      <c r="V1132" s="30"/>
      <c r="W1132" s="30"/>
      <c r="X1132" s="30"/>
      <c r="Y1132" s="30"/>
      <c r="Z1132" s="30"/>
    </row>
    <row r="1133">
      <c r="A1133" s="30"/>
      <c r="B1133" s="30"/>
      <c r="C1133" s="30"/>
      <c r="D1133" s="30"/>
      <c r="E1133" s="30"/>
      <c r="F1133" s="30"/>
      <c r="G1133" s="30"/>
      <c r="H1133" s="30"/>
      <c r="I1133" s="30"/>
      <c r="J1133" s="30"/>
      <c r="K1133" s="30"/>
      <c r="L1133" s="30"/>
      <c r="M1133" s="30"/>
      <c r="N1133" s="30"/>
      <c r="O1133" s="30"/>
      <c r="P1133" s="30"/>
      <c r="Q1133" s="30"/>
      <c r="R1133" s="30"/>
      <c r="S1133" s="30"/>
      <c r="T1133" s="30"/>
      <c r="U1133" s="30"/>
      <c r="V1133" s="30"/>
      <c r="W1133" s="30"/>
      <c r="X1133" s="30"/>
      <c r="Y1133" s="30"/>
      <c r="Z1133" s="30"/>
    </row>
    <row r="1134">
      <c r="A1134" s="30"/>
      <c r="B1134" s="30"/>
      <c r="C1134" s="30"/>
      <c r="D1134" s="30"/>
      <c r="E1134" s="30"/>
      <c r="F1134" s="30"/>
      <c r="G1134" s="30"/>
      <c r="H1134" s="30"/>
      <c r="I1134" s="30"/>
      <c r="J1134" s="30"/>
      <c r="K1134" s="30"/>
      <c r="L1134" s="30"/>
      <c r="M1134" s="30"/>
      <c r="N1134" s="30"/>
      <c r="O1134" s="30"/>
      <c r="P1134" s="30"/>
      <c r="Q1134" s="30"/>
      <c r="R1134" s="30"/>
      <c r="S1134" s="30"/>
      <c r="T1134" s="30"/>
      <c r="U1134" s="30"/>
      <c r="V1134" s="30"/>
      <c r="W1134" s="30"/>
      <c r="X1134" s="30"/>
      <c r="Y1134" s="30"/>
      <c r="Z1134" s="30"/>
    </row>
    <row r="1135">
      <c r="A1135" s="30"/>
      <c r="B1135" s="30"/>
      <c r="C1135" s="30"/>
      <c r="D1135" s="30"/>
      <c r="E1135" s="30"/>
      <c r="F1135" s="30"/>
      <c r="G1135" s="30"/>
      <c r="H1135" s="30"/>
      <c r="I1135" s="30"/>
      <c r="J1135" s="30"/>
      <c r="K1135" s="30"/>
      <c r="L1135" s="30"/>
      <c r="M1135" s="30"/>
      <c r="N1135" s="30"/>
      <c r="O1135" s="30"/>
      <c r="P1135" s="30"/>
      <c r="Q1135" s="30"/>
      <c r="R1135" s="30"/>
      <c r="S1135" s="30"/>
      <c r="T1135" s="30"/>
      <c r="U1135" s="30"/>
      <c r="V1135" s="30"/>
      <c r="W1135" s="30"/>
      <c r="X1135" s="30"/>
      <c r="Y1135" s="30"/>
      <c r="Z1135" s="30"/>
    </row>
    <row r="1136">
      <c r="A1136" s="30"/>
      <c r="B1136" s="30"/>
      <c r="C1136" s="30"/>
      <c r="D1136" s="30"/>
      <c r="E1136" s="30"/>
      <c r="F1136" s="30"/>
      <c r="G1136" s="30"/>
      <c r="H1136" s="30"/>
      <c r="I1136" s="30"/>
      <c r="J1136" s="30"/>
      <c r="K1136" s="30"/>
      <c r="L1136" s="30"/>
      <c r="M1136" s="30"/>
      <c r="N1136" s="30"/>
      <c r="O1136" s="30"/>
      <c r="P1136" s="30"/>
      <c r="Q1136" s="30"/>
      <c r="R1136" s="30"/>
      <c r="S1136" s="30"/>
      <c r="T1136" s="30"/>
      <c r="U1136" s="30"/>
      <c r="V1136" s="30"/>
      <c r="W1136" s="30"/>
      <c r="X1136" s="30"/>
      <c r="Y1136" s="30"/>
      <c r="Z1136" s="30"/>
    </row>
    <row r="1137">
      <c r="A1137" s="30"/>
      <c r="B1137" s="30"/>
      <c r="C1137" s="30"/>
      <c r="D1137" s="30"/>
      <c r="E1137" s="30"/>
      <c r="F1137" s="30"/>
      <c r="G1137" s="30"/>
      <c r="H1137" s="30"/>
      <c r="I1137" s="30"/>
      <c r="J1137" s="30"/>
      <c r="K1137" s="30"/>
      <c r="L1137" s="30"/>
      <c r="M1137" s="30"/>
      <c r="N1137" s="30"/>
      <c r="O1137" s="30"/>
      <c r="P1137" s="30"/>
      <c r="Q1137" s="30"/>
      <c r="R1137" s="30"/>
      <c r="S1137" s="30"/>
      <c r="T1137" s="30"/>
      <c r="U1137" s="30"/>
      <c r="V1137" s="30"/>
      <c r="W1137" s="30"/>
      <c r="X1137" s="30"/>
      <c r="Y1137" s="30"/>
      <c r="Z1137" s="30"/>
    </row>
    <row r="1138">
      <c r="A1138" s="30"/>
      <c r="B1138" s="30"/>
      <c r="C1138" s="30"/>
      <c r="D1138" s="30"/>
      <c r="E1138" s="30"/>
      <c r="F1138" s="30"/>
      <c r="G1138" s="30"/>
      <c r="H1138" s="30"/>
      <c r="I1138" s="30"/>
      <c r="J1138" s="30"/>
      <c r="K1138" s="30"/>
      <c r="L1138" s="30"/>
      <c r="M1138" s="30"/>
      <c r="N1138" s="30"/>
      <c r="O1138" s="30"/>
      <c r="P1138" s="30"/>
      <c r="Q1138" s="30"/>
      <c r="R1138" s="30"/>
      <c r="S1138" s="30"/>
      <c r="T1138" s="30"/>
      <c r="U1138" s="30"/>
      <c r="V1138" s="30"/>
      <c r="W1138" s="30"/>
      <c r="X1138" s="30"/>
      <c r="Y1138" s="30"/>
      <c r="Z1138" s="30"/>
    </row>
    <row r="1139">
      <c r="A1139" s="30"/>
      <c r="B1139" s="30"/>
      <c r="C1139" s="30"/>
      <c r="D1139" s="30"/>
      <c r="E1139" s="30"/>
      <c r="F1139" s="30"/>
      <c r="G1139" s="30"/>
      <c r="H1139" s="30"/>
      <c r="I1139" s="30"/>
      <c r="J1139" s="30"/>
      <c r="K1139" s="30"/>
      <c r="L1139" s="30"/>
      <c r="M1139" s="30"/>
      <c r="N1139" s="30"/>
      <c r="O1139" s="30"/>
      <c r="P1139" s="30"/>
      <c r="Q1139" s="30"/>
      <c r="R1139" s="30"/>
      <c r="S1139" s="30"/>
      <c r="T1139" s="30"/>
      <c r="U1139" s="30"/>
      <c r="V1139" s="30"/>
      <c r="W1139" s="30"/>
      <c r="X1139" s="30"/>
      <c r="Y1139" s="30"/>
      <c r="Z1139" s="30"/>
    </row>
    <row r="1140">
      <c r="A1140" s="30"/>
      <c r="B1140" s="30"/>
      <c r="C1140" s="30"/>
      <c r="D1140" s="30"/>
      <c r="E1140" s="30"/>
      <c r="F1140" s="30"/>
      <c r="G1140" s="30"/>
      <c r="H1140" s="30"/>
      <c r="I1140" s="30"/>
      <c r="J1140" s="30"/>
      <c r="K1140" s="30"/>
      <c r="L1140" s="30"/>
      <c r="M1140" s="30"/>
      <c r="N1140" s="30"/>
      <c r="O1140" s="30"/>
      <c r="P1140" s="30"/>
      <c r="Q1140" s="30"/>
      <c r="R1140" s="30"/>
      <c r="S1140" s="30"/>
      <c r="T1140" s="30"/>
      <c r="U1140" s="30"/>
      <c r="V1140" s="30"/>
      <c r="W1140" s="30"/>
      <c r="X1140" s="30"/>
      <c r="Y1140" s="30"/>
      <c r="Z1140" s="30"/>
    </row>
    <row r="1141">
      <c r="A1141" s="30"/>
      <c r="B1141" s="30"/>
      <c r="C1141" s="30"/>
      <c r="D1141" s="30"/>
      <c r="E1141" s="30"/>
      <c r="F1141" s="30"/>
      <c r="G1141" s="30"/>
      <c r="H1141" s="30"/>
      <c r="I1141" s="30"/>
      <c r="J1141" s="30"/>
      <c r="K1141" s="30"/>
      <c r="L1141" s="30"/>
      <c r="M1141" s="30"/>
      <c r="N1141" s="30"/>
      <c r="O1141" s="30"/>
      <c r="P1141" s="30"/>
      <c r="Q1141" s="30"/>
      <c r="R1141" s="30"/>
      <c r="S1141" s="30"/>
      <c r="T1141" s="30"/>
      <c r="U1141" s="30"/>
      <c r="V1141" s="30"/>
      <c r="W1141" s="30"/>
      <c r="X1141" s="30"/>
      <c r="Y1141" s="30"/>
      <c r="Z1141" s="30"/>
    </row>
    <row r="1142">
      <c r="A1142" s="30"/>
      <c r="B1142" s="30"/>
      <c r="C1142" s="30"/>
      <c r="D1142" s="30"/>
      <c r="E1142" s="30"/>
      <c r="F1142" s="30"/>
      <c r="G1142" s="30"/>
      <c r="H1142" s="30"/>
      <c r="I1142" s="30"/>
      <c r="J1142" s="30"/>
      <c r="K1142" s="30"/>
      <c r="L1142" s="30"/>
      <c r="M1142" s="30"/>
      <c r="N1142" s="30"/>
      <c r="O1142" s="30"/>
      <c r="P1142" s="30"/>
      <c r="Q1142" s="30"/>
      <c r="R1142" s="30"/>
      <c r="S1142" s="30"/>
      <c r="T1142" s="30"/>
      <c r="U1142" s="30"/>
      <c r="V1142" s="30"/>
      <c r="W1142" s="30"/>
      <c r="X1142" s="30"/>
      <c r="Y1142" s="30"/>
      <c r="Z1142" s="30"/>
    </row>
    <row r="1143">
      <c r="A1143" s="30"/>
      <c r="B1143" s="30"/>
      <c r="C1143" s="30"/>
      <c r="D1143" s="30"/>
      <c r="E1143" s="30"/>
      <c r="F1143" s="30"/>
      <c r="G1143" s="30"/>
      <c r="H1143" s="30"/>
      <c r="I1143" s="30"/>
      <c r="J1143" s="30"/>
      <c r="K1143" s="30"/>
      <c r="L1143" s="30"/>
      <c r="M1143" s="30"/>
      <c r="N1143" s="30"/>
      <c r="O1143" s="30"/>
      <c r="P1143" s="30"/>
      <c r="Q1143" s="30"/>
      <c r="R1143" s="30"/>
      <c r="S1143" s="30"/>
      <c r="T1143" s="30"/>
      <c r="U1143" s="30"/>
      <c r="V1143" s="30"/>
      <c r="W1143" s="30"/>
      <c r="X1143" s="30"/>
      <c r="Y1143" s="30"/>
      <c r="Z1143" s="30"/>
    </row>
    <row r="1144">
      <c r="A1144" s="30"/>
      <c r="B1144" s="30"/>
      <c r="C1144" s="30"/>
      <c r="D1144" s="30"/>
      <c r="E1144" s="30"/>
      <c r="F1144" s="30"/>
      <c r="G1144" s="30"/>
      <c r="H1144" s="30"/>
      <c r="I1144" s="30"/>
      <c r="J1144" s="30"/>
      <c r="K1144" s="30"/>
      <c r="L1144" s="30"/>
      <c r="M1144" s="30"/>
      <c r="N1144" s="30"/>
      <c r="O1144" s="30"/>
      <c r="P1144" s="30"/>
      <c r="Q1144" s="30"/>
      <c r="R1144" s="30"/>
      <c r="S1144" s="30"/>
      <c r="T1144" s="30"/>
      <c r="U1144" s="30"/>
      <c r="V1144" s="30"/>
      <c r="W1144" s="30"/>
      <c r="X1144" s="30"/>
      <c r="Y1144" s="30"/>
      <c r="Z1144" s="30"/>
    </row>
    <row r="1145">
      <c r="A1145" s="30"/>
      <c r="B1145" s="30"/>
      <c r="C1145" s="30"/>
      <c r="D1145" s="30"/>
      <c r="E1145" s="30"/>
      <c r="F1145" s="30"/>
      <c r="G1145" s="30"/>
      <c r="H1145" s="30"/>
      <c r="I1145" s="30"/>
      <c r="J1145" s="30"/>
      <c r="K1145" s="30"/>
      <c r="L1145" s="30"/>
      <c r="M1145" s="30"/>
      <c r="N1145" s="30"/>
      <c r="O1145" s="30"/>
      <c r="P1145" s="30"/>
      <c r="Q1145" s="30"/>
      <c r="R1145" s="30"/>
      <c r="S1145" s="30"/>
      <c r="T1145" s="30"/>
      <c r="U1145" s="30"/>
      <c r="V1145" s="30"/>
      <c r="W1145" s="30"/>
      <c r="X1145" s="30"/>
      <c r="Y1145" s="30"/>
      <c r="Z1145" s="30"/>
    </row>
    <row r="1146">
      <c r="A1146" s="30"/>
      <c r="B1146" s="30"/>
      <c r="C1146" s="30"/>
      <c r="D1146" s="30"/>
      <c r="E1146" s="30"/>
      <c r="F1146" s="30"/>
      <c r="G1146" s="30"/>
      <c r="H1146" s="30"/>
      <c r="I1146" s="30"/>
      <c r="J1146" s="30"/>
      <c r="K1146" s="30"/>
      <c r="L1146" s="30"/>
      <c r="M1146" s="30"/>
      <c r="N1146" s="30"/>
      <c r="O1146" s="30"/>
      <c r="P1146" s="30"/>
      <c r="Q1146" s="30"/>
      <c r="R1146" s="30"/>
      <c r="S1146" s="30"/>
      <c r="T1146" s="30"/>
      <c r="U1146" s="30"/>
      <c r="V1146" s="30"/>
      <c r="W1146" s="30"/>
      <c r="X1146" s="30"/>
      <c r="Y1146" s="30"/>
      <c r="Z1146" s="30"/>
    </row>
    <row r="1147">
      <c r="A1147" s="30"/>
      <c r="B1147" s="30"/>
      <c r="C1147" s="30"/>
      <c r="D1147" s="30"/>
      <c r="E1147" s="30"/>
      <c r="F1147" s="30"/>
      <c r="G1147" s="30"/>
      <c r="H1147" s="30"/>
      <c r="I1147" s="30"/>
      <c r="J1147" s="30"/>
      <c r="K1147" s="30"/>
      <c r="L1147" s="30"/>
      <c r="M1147" s="30"/>
      <c r="N1147" s="30"/>
      <c r="O1147" s="30"/>
      <c r="P1147" s="30"/>
      <c r="Q1147" s="30"/>
      <c r="R1147" s="30"/>
      <c r="S1147" s="30"/>
      <c r="T1147" s="30"/>
      <c r="U1147" s="30"/>
      <c r="V1147" s="30"/>
      <c r="W1147" s="30"/>
      <c r="X1147" s="30"/>
      <c r="Y1147" s="30"/>
      <c r="Z1147" s="30"/>
    </row>
    <row r="1148">
      <c r="A1148" s="30"/>
      <c r="B1148" s="30"/>
      <c r="C1148" s="30"/>
      <c r="D1148" s="30"/>
      <c r="E1148" s="30"/>
      <c r="F1148" s="30"/>
      <c r="G1148" s="30"/>
      <c r="H1148" s="30"/>
      <c r="I1148" s="30"/>
      <c r="J1148" s="30"/>
      <c r="K1148" s="30"/>
      <c r="L1148" s="30"/>
      <c r="M1148" s="30"/>
      <c r="N1148" s="30"/>
      <c r="O1148" s="30"/>
      <c r="P1148" s="30"/>
      <c r="Q1148" s="30"/>
      <c r="R1148" s="30"/>
      <c r="S1148" s="30"/>
      <c r="T1148" s="30"/>
      <c r="U1148" s="30"/>
      <c r="V1148" s="30"/>
      <c r="W1148" s="30"/>
      <c r="X1148" s="30"/>
      <c r="Y1148" s="30"/>
      <c r="Z1148" s="30"/>
    </row>
    <row r="1149">
      <c r="A1149" s="30"/>
      <c r="B1149" s="30"/>
      <c r="C1149" s="30"/>
      <c r="D1149" s="30"/>
      <c r="E1149" s="30"/>
      <c r="F1149" s="30"/>
      <c r="G1149" s="30"/>
      <c r="H1149" s="30"/>
      <c r="I1149" s="30"/>
      <c r="J1149" s="30"/>
      <c r="K1149" s="30"/>
      <c r="L1149" s="30"/>
      <c r="M1149" s="30"/>
      <c r="N1149" s="30"/>
      <c r="O1149" s="30"/>
      <c r="P1149" s="30"/>
      <c r="Q1149" s="30"/>
      <c r="R1149" s="30"/>
      <c r="S1149" s="30"/>
      <c r="T1149" s="30"/>
      <c r="U1149" s="30"/>
      <c r="V1149" s="30"/>
      <c r="W1149" s="30"/>
      <c r="X1149" s="30"/>
      <c r="Y1149" s="30"/>
      <c r="Z1149" s="30"/>
    </row>
    <row r="1150">
      <c r="A1150" s="30"/>
      <c r="B1150" s="30"/>
      <c r="C1150" s="30"/>
      <c r="D1150" s="30"/>
      <c r="E1150" s="30"/>
      <c r="F1150" s="30"/>
      <c r="G1150" s="30"/>
      <c r="H1150" s="30"/>
      <c r="I1150" s="30"/>
      <c r="J1150" s="30"/>
      <c r="K1150" s="30"/>
      <c r="L1150" s="30"/>
      <c r="M1150" s="30"/>
      <c r="N1150" s="30"/>
      <c r="O1150" s="30"/>
      <c r="P1150" s="30"/>
      <c r="Q1150" s="30"/>
      <c r="R1150" s="30"/>
      <c r="S1150" s="30"/>
      <c r="T1150" s="30"/>
      <c r="U1150" s="30"/>
      <c r="V1150" s="30"/>
      <c r="W1150" s="30"/>
      <c r="X1150" s="30"/>
      <c r="Y1150" s="30"/>
      <c r="Z1150" s="30"/>
    </row>
    <row r="1151">
      <c r="A1151" s="30"/>
      <c r="B1151" s="30"/>
      <c r="C1151" s="30"/>
      <c r="D1151" s="30"/>
      <c r="E1151" s="30"/>
      <c r="F1151" s="30"/>
      <c r="G1151" s="30"/>
      <c r="H1151" s="30"/>
      <c r="I1151" s="30"/>
      <c r="J1151" s="30"/>
      <c r="K1151" s="30"/>
      <c r="L1151" s="30"/>
      <c r="M1151" s="30"/>
      <c r="N1151" s="30"/>
      <c r="O1151" s="30"/>
      <c r="P1151" s="30"/>
      <c r="Q1151" s="30"/>
      <c r="R1151" s="30"/>
      <c r="S1151" s="30"/>
      <c r="T1151" s="30"/>
      <c r="U1151" s="30"/>
      <c r="V1151" s="30"/>
      <c r="W1151" s="30"/>
      <c r="X1151" s="30"/>
      <c r="Y1151" s="30"/>
      <c r="Z1151" s="30"/>
    </row>
    <row r="1152">
      <c r="A1152" s="30"/>
      <c r="B1152" s="30"/>
      <c r="C1152" s="30"/>
      <c r="D1152" s="30"/>
      <c r="E1152" s="30"/>
      <c r="F1152" s="30"/>
      <c r="G1152" s="30"/>
      <c r="H1152" s="30"/>
      <c r="I1152" s="30"/>
      <c r="J1152" s="30"/>
      <c r="K1152" s="30"/>
      <c r="L1152" s="30"/>
      <c r="M1152" s="30"/>
      <c r="N1152" s="30"/>
      <c r="O1152" s="30"/>
      <c r="P1152" s="30"/>
      <c r="Q1152" s="30"/>
      <c r="R1152" s="30"/>
      <c r="S1152" s="30"/>
      <c r="T1152" s="30"/>
      <c r="U1152" s="30"/>
      <c r="V1152" s="30"/>
      <c r="W1152" s="30"/>
      <c r="X1152" s="30"/>
      <c r="Y1152" s="30"/>
      <c r="Z1152" s="30"/>
    </row>
    <row r="1153">
      <c r="A1153" s="30"/>
      <c r="B1153" s="30"/>
      <c r="C1153" s="30"/>
      <c r="D1153" s="30"/>
      <c r="E1153" s="30"/>
      <c r="F1153" s="30"/>
      <c r="G1153" s="30"/>
      <c r="H1153" s="30"/>
      <c r="I1153" s="30"/>
      <c r="J1153" s="30"/>
      <c r="K1153" s="30"/>
      <c r="L1153" s="30"/>
      <c r="M1153" s="30"/>
      <c r="N1153" s="30"/>
      <c r="O1153" s="30"/>
      <c r="P1153" s="30"/>
      <c r="Q1153" s="30"/>
      <c r="R1153" s="30"/>
      <c r="S1153" s="30"/>
      <c r="T1153" s="30"/>
      <c r="U1153" s="30"/>
      <c r="V1153" s="30"/>
      <c r="W1153" s="30"/>
      <c r="X1153" s="30"/>
      <c r="Y1153" s="30"/>
      <c r="Z1153" s="30"/>
    </row>
    <row r="1154">
      <c r="A1154" s="30"/>
      <c r="B1154" s="30"/>
      <c r="C1154" s="30"/>
      <c r="D1154" s="30"/>
      <c r="E1154" s="30"/>
      <c r="F1154" s="30"/>
      <c r="G1154" s="30"/>
      <c r="H1154" s="30"/>
      <c r="I1154" s="30"/>
      <c r="J1154" s="30"/>
      <c r="K1154" s="30"/>
      <c r="L1154" s="30"/>
      <c r="M1154" s="30"/>
      <c r="N1154" s="30"/>
      <c r="O1154" s="30"/>
      <c r="P1154" s="30"/>
      <c r="Q1154" s="30"/>
      <c r="R1154" s="30"/>
      <c r="S1154" s="30"/>
      <c r="T1154" s="30"/>
      <c r="U1154" s="30"/>
      <c r="V1154" s="30"/>
      <c r="W1154" s="30"/>
      <c r="X1154" s="30"/>
      <c r="Y1154" s="30"/>
      <c r="Z1154" s="30"/>
    </row>
    <row r="1155">
      <c r="A1155" s="30"/>
      <c r="B1155" s="30"/>
      <c r="C1155" s="30"/>
      <c r="D1155" s="30"/>
      <c r="E1155" s="30"/>
      <c r="F1155" s="30"/>
      <c r="G1155" s="30"/>
      <c r="H1155" s="30"/>
      <c r="I1155" s="30"/>
      <c r="J1155" s="30"/>
      <c r="K1155" s="30"/>
      <c r="L1155" s="30"/>
      <c r="M1155" s="30"/>
      <c r="N1155" s="30"/>
      <c r="O1155" s="30"/>
      <c r="P1155" s="30"/>
      <c r="Q1155" s="30"/>
      <c r="R1155" s="30"/>
      <c r="S1155" s="30"/>
      <c r="T1155" s="30"/>
      <c r="U1155" s="30"/>
      <c r="V1155" s="30"/>
      <c r="W1155" s="30"/>
      <c r="X1155" s="30"/>
      <c r="Y1155" s="30"/>
      <c r="Z1155" s="30"/>
    </row>
    <row r="1156">
      <c r="A1156" s="30"/>
      <c r="B1156" s="30"/>
      <c r="C1156" s="30"/>
      <c r="D1156" s="30"/>
      <c r="E1156" s="30"/>
      <c r="F1156" s="30"/>
      <c r="G1156" s="30"/>
      <c r="H1156" s="30"/>
      <c r="I1156" s="30"/>
      <c r="J1156" s="30"/>
      <c r="K1156" s="30"/>
      <c r="L1156" s="30"/>
      <c r="M1156" s="30"/>
      <c r="N1156" s="30"/>
      <c r="O1156" s="30"/>
      <c r="P1156" s="30"/>
      <c r="Q1156" s="30"/>
      <c r="R1156" s="30"/>
      <c r="S1156" s="30"/>
      <c r="T1156" s="30"/>
      <c r="U1156" s="30"/>
      <c r="V1156" s="30"/>
      <c r="W1156" s="30"/>
      <c r="X1156" s="30"/>
      <c r="Y1156" s="30"/>
      <c r="Z1156" s="30"/>
    </row>
    <row r="1157">
      <c r="A1157" s="30"/>
      <c r="B1157" s="30"/>
      <c r="C1157" s="30"/>
      <c r="D1157" s="30"/>
      <c r="E1157" s="30"/>
      <c r="F1157" s="30"/>
      <c r="G1157" s="30"/>
      <c r="H1157" s="30"/>
      <c r="I1157" s="30"/>
      <c r="J1157" s="30"/>
      <c r="K1157" s="30"/>
      <c r="L1157" s="30"/>
      <c r="M1157" s="30"/>
      <c r="N1157" s="30"/>
      <c r="O1157" s="30"/>
      <c r="P1157" s="30"/>
      <c r="Q1157" s="30"/>
      <c r="R1157" s="30"/>
      <c r="S1157" s="30"/>
      <c r="T1157" s="30"/>
      <c r="U1157" s="30"/>
      <c r="V1157" s="30"/>
      <c r="W1157" s="30"/>
      <c r="X1157" s="30"/>
      <c r="Y1157" s="30"/>
      <c r="Z1157" s="30"/>
    </row>
    <row r="1158">
      <c r="A1158" s="30"/>
      <c r="B1158" s="30"/>
      <c r="C1158" s="30"/>
      <c r="D1158" s="30"/>
      <c r="E1158" s="30"/>
      <c r="F1158" s="30"/>
      <c r="G1158" s="30"/>
      <c r="H1158" s="30"/>
      <c r="I1158" s="30"/>
      <c r="J1158" s="30"/>
      <c r="K1158" s="30"/>
      <c r="L1158" s="30"/>
      <c r="M1158" s="30"/>
      <c r="N1158" s="30"/>
      <c r="O1158" s="30"/>
      <c r="P1158" s="30"/>
      <c r="Q1158" s="30"/>
      <c r="R1158" s="30"/>
      <c r="S1158" s="30"/>
      <c r="T1158" s="30"/>
      <c r="U1158" s="30"/>
      <c r="V1158" s="30"/>
      <c r="W1158" s="30"/>
      <c r="X1158" s="30"/>
      <c r="Y1158" s="30"/>
      <c r="Z1158" s="30"/>
    </row>
    <row r="1159">
      <c r="A1159" s="30"/>
      <c r="B1159" s="30"/>
      <c r="C1159" s="30"/>
      <c r="D1159" s="30"/>
      <c r="E1159" s="30"/>
      <c r="F1159" s="30"/>
      <c r="G1159" s="30"/>
      <c r="H1159" s="30"/>
      <c r="I1159" s="30"/>
      <c r="J1159" s="30"/>
      <c r="K1159" s="30"/>
      <c r="L1159" s="30"/>
      <c r="M1159" s="30"/>
      <c r="N1159" s="30"/>
      <c r="O1159" s="30"/>
      <c r="P1159" s="30"/>
      <c r="Q1159" s="30"/>
      <c r="R1159" s="30"/>
      <c r="S1159" s="30"/>
      <c r="T1159" s="30"/>
      <c r="U1159" s="30"/>
      <c r="V1159" s="30"/>
      <c r="W1159" s="30"/>
      <c r="X1159" s="30"/>
      <c r="Y1159" s="30"/>
      <c r="Z1159" s="30"/>
    </row>
    <row r="1160">
      <c r="A1160" s="30"/>
      <c r="B1160" s="30"/>
      <c r="C1160" s="30"/>
      <c r="D1160" s="30"/>
      <c r="E1160" s="30"/>
      <c r="F1160" s="30"/>
      <c r="G1160" s="30"/>
      <c r="H1160" s="30"/>
      <c r="I1160" s="30"/>
      <c r="J1160" s="30"/>
      <c r="K1160" s="30"/>
      <c r="L1160" s="30"/>
      <c r="M1160" s="30"/>
      <c r="N1160" s="30"/>
      <c r="O1160" s="30"/>
      <c r="P1160" s="30"/>
      <c r="Q1160" s="30"/>
      <c r="R1160" s="30"/>
      <c r="S1160" s="30"/>
      <c r="T1160" s="30"/>
      <c r="U1160" s="30"/>
      <c r="V1160" s="30"/>
      <c r="W1160" s="30"/>
      <c r="X1160" s="30"/>
      <c r="Y1160" s="30"/>
      <c r="Z1160" s="30"/>
    </row>
    <row r="1161">
      <c r="A1161" s="30"/>
      <c r="B1161" s="30"/>
      <c r="C1161" s="30"/>
      <c r="D1161" s="30"/>
      <c r="E1161" s="30"/>
      <c r="F1161" s="30"/>
      <c r="G1161" s="30"/>
      <c r="H1161" s="30"/>
      <c r="I1161" s="30"/>
      <c r="J1161" s="30"/>
      <c r="K1161" s="30"/>
      <c r="L1161" s="30"/>
      <c r="M1161" s="30"/>
      <c r="N1161" s="30"/>
      <c r="O1161" s="30"/>
      <c r="P1161" s="30"/>
      <c r="Q1161" s="30"/>
      <c r="R1161" s="30"/>
      <c r="S1161" s="30"/>
      <c r="T1161" s="30"/>
      <c r="U1161" s="30"/>
      <c r="V1161" s="30"/>
      <c r="W1161" s="30"/>
      <c r="X1161" s="30"/>
      <c r="Y1161" s="30"/>
      <c r="Z1161" s="30"/>
    </row>
    <row r="1162">
      <c r="A1162" s="30"/>
      <c r="B1162" s="30"/>
      <c r="C1162" s="30"/>
      <c r="D1162" s="30"/>
      <c r="E1162" s="30"/>
      <c r="F1162" s="30"/>
      <c r="G1162" s="30"/>
      <c r="H1162" s="30"/>
      <c r="I1162" s="30"/>
      <c r="J1162" s="30"/>
      <c r="K1162" s="30"/>
      <c r="L1162" s="30"/>
      <c r="M1162" s="30"/>
      <c r="N1162" s="30"/>
      <c r="O1162" s="30"/>
      <c r="P1162" s="30"/>
      <c r="Q1162" s="30"/>
      <c r="R1162" s="30"/>
      <c r="S1162" s="30"/>
      <c r="T1162" s="30"/>
      <c r="U1162" s="30"/>
      <c r="V1162" s="30"/>
      <c r="W1162" s="30"/>
      <c r="X1162" s="30"/>
      <c r="Y1162" s="30"/>
      <c r="Z1162" s="30"/>
    </row>
    <row r="1163">
      <c r="A1163" s="30"/>
      <c r="B1163" s="30"/>
      <c r="C1163" s="30"/>
      <c r="D1163" s="30"/>
      <c r="E1163" s="30"/>
      <c r="F1163" s="30"/>
      <c r="G1163" s="30"/>
      <c r="H1163" s="30"/>
      <c r="I1163" s="30"/>
      <c r="J1163" s="30"/>
      <c r="K1163" s="30"/>
      <c r="L1163" s="30"/>
      <c r="M1163" s="30"/>
      <c r="N1163" s="30"/>
      <c r="O1163" s="30"/>
      <c r="P1163" s="30"/>
      <c r="Q1163" s="30"/>
      <c r="R1163" s="30"/>
      <c r="S1163" s="30"/>
      <c r="T1163" s="30"/>
      <c r="U1163" s="30"/>
      <c r="V1163" s="30"/>
      <c r="W1163" s="30"/>
      <c r="X1163" s="30"/>
      <c r="Y1163" s="30"/>
      <c r="Z1163" s="30"/>
    </row>
    <row r="1164">
      <c r="A1164" s="30"/>
      <c r="B1164" s="30"/>
      <c r="C1164" s="30"/>
      <c r="D1164" s="30"/>
      <c r="E1164" s="30"/>
      <c r="F1164" s="30"/>
      <c r="G1164" s="30"/>
      <c r="H1164" s="30"/>
      <c r="I1164" s="30"/>
      <c r="J1164" s="30"/>
      <c r="K1164" s="30"/>
      <c r="L1164" s="30"/>
      <c r="M1164" s="30"/>
      <c r="N1164" s="30"/>
      <c r="O1164" s="30"/>
      <c r="P1164" s="30"/>
      <c r="Q1164" s="30"/>
      <c r="R1164" s="30"/>
      <c r="S1164" s="30"/>
      <c r="T1164" s="30"/>
      <c r="U1164" s="30"/>
      <c r="V1164" s="30"/>
      <c r="W1164" s="30"/>
      <c r="X1164" s="30"/>
      <c r="Y1164" s="30"/>
      <c r="Z1164" s="30"/>
    </row>
    <row r="1165">
      <c r="A1165" s="30"/>
      <c r="B1165" s="30"/>
      <c r="C1165" s="30"/>
      <c r="D1165" s="30"/>
      <c r="E1165" s="30"/>
      <c r="F1165" s="30"/>
      <c r="G1165" s="30"/>
      <c r="H1165" s="30"/>
      <c r="I1165" s="30"/>
      <c r="J1165" s="30"/>
      <c r="K1165" s="30"/>
      <c r="L1165" s="30"/>
      <c r="M1165" s="30"/>
      <c r="N1165" s="30"/>
      <c r="O1165" s="30"/>
      <c r="P1165" s="30"/>
      <c r="Q1165" s="30"/>
      <c r="R1165" s="30"/>
      <c r="S1165" s="30"/>
      <c r="T1165" s="30"/>
      <c r="U1165" s="30"/>
      <c r="V1165" s="30"/>
      <c r="W1165" s="30"/>
      <c r="X1165" s="30"/>
      <c r="Y1165" s="30"/>
      <c r="Z1165" s="30"/>
    </row>
    <row r="1166">
      <c r="A1166" s="30"/>
      <c r="B1166" s="30"/>
      <c r="C1166" s="30"/>
      <c r="D1166" s="30"/>
      <c r="E1166" s="30"/>
      <c r="F1166" s="30"/>
      <c r="G1166" s="30"/>
      <c r="H1166" s="30"/>
      <c r="I1166" s="30"/>
      <c r="J1166" s="30"/>
      <c r="K1166" s="30"/>
      <c r="L1166" s="30"/>
      <c r="M1166" s="30"/>
      <c r="N1166" s="30"/>
      <c r="O1166" s="30"/>
      <c r="P1166" s="30"/>
      <c r="Q1166" s="30"/>
      <c r="R1166" s="30"/>
      <c r="S1166" s="30"/>
      <c r="T1166" s="30"/>
      <c r="U1166" s="30"/>
      <c r="V1166" s="30"/>
      <c r="W1166" s="30"/>
      <c r="X1166" s="30"/>
      <c r="Y1166" s="30"/>
      <c r="Z1166" s="30"/>
    </row>
    <row r="1167">
      <c r="A1167" s="30"/>
      <c r="B1167" s="30"/>
      <c r="C1167" s="30"/>
      <c r="D1167" s="30"/>
      <c r="E1167" s="30"/>
      <c r="F1167" s="30"/>
      <c r="G1167" s="30"/>
      <c r="H1167" s="30"/>
      <c r="I1167" s="30"/>
      <c r="J1167" s="30"/>
      <c r="K1167" s="30"/>
      <c r="L1167" s="30"/>
      <c r="M1167" s="30"/>
      <c r="N1167" s="30"/>
      <c r="O1167" s="30"/>
      <c r="P1167" s="30"/>
      <c r="Q1167" s="30"/>
      <c r="R1167" s="30"/>
      <c r="S1167" s="30"/>
      <c r="T1167" s="30"/>
      <c r="U1167" s="30"/>
      <c r="V1167" s="30"/>
      <c r="W1167" s="30"/>
      <c r="X1167" s="30"/>
      <c r="Y1167" s="30"/>
      <c r="Z1167" s="30"/>
    </row>
    <row r="1168">
      <c r="A1168" s="30"/>
      <c r="B1168" s="30"/>
      <c r="C1168" s="30"/>
      <c r="D1168" s="30"/>
      <c r="E1168" s="30"/>
      <c r="F1168" s="30"/>
      <c r="G1168" s="30"/>
      <c r="H1168" s="30"/>
      <c r="I1168" s="30"/>
      <c r="J1168" s="30"/>
      <c r="K1168" s="30"/>
      <c r="L1168" s="30"/>
      <c r="M1168" s="30"/>
      <c r="N1168" s="30"/>
      <c r="O1168" s="30"/>
      <c r="P1168" s="30"/>
      <c r="Q1168" s="30"/>
      <c r="R1168" s="30"/>
      <c r="S1168" s="30"/>
      <c r="T1168" s="30"/>
      <c r="U1168" s="30"/>
      <c r="V1168" s="30"/>
      <c r="W1168" s="30"/>
      <c r="X1168" s="30"/>
      <c r="Y1168" s="30"/>
      <c r="Z1168" s="30"/>
    </row>
    <row r="1169">
      <c r="A1169" s="30"/>
      <c r="B1169" s="30"/>
      <c r="C1169" s="30"/>
      <c r="D1169" s="30"/>
      <c r="E1169" s="30"/>
      <c r="F1169" s="30"/>
      <c r="G1169" s="30"/>
      <c r="H1169" s="30"/>
      <c r="I1169" s="30"/>
      <c r="J1169" s="30"/>
      <c r="K1169" s="30"/>
      <c r="L1169" s="30"/>
      <c r="M1169" s="30"/>
      <c r="N1169" s="30"/>
      <c r="O1169" s="30"/>
      <c r="P1169" s="30"/>
      <c r="Q1169" s="30"/>
      <c r="R1169" s="30"/>
      <c r="S1169" s="30"/>
      <c r="T1169" s="30"/>
      <c r="U1169" s="30"/>
      <c r="V1169" s="30"/>
      <c r="W1169" s="30"/>
      <c r="X1169" s="30"/>
      <c r="Y1169" s="30"/>
      <c r="Z1169" s="30"/>
    </row>
    <row r="1170">
      <c r="A1170" s="30"/>
      <c r="B1170" s="30"/>
      <c r="C1170" s="30"/>
      <c r="D1170" s="30"/>
      <c r="E1170" s="30"/>
      <c r="F1170" s="30"/>
      <c r="G1170" s="30"/>
      <c r="H1170" s="30"/>
      <c r="I1170" s="30"/>
      <c r="J1170" s="30"/>
      <c r="K1170" s="30"/>
      <c r="L1170" s="30"/>
      <c r="M1170" s="30"/>
      <c r="N1170" s="30"/>
      <c r="O1170" s="30"/>
      <c r="P1170" s="30"/>
      <c r="Q1170" s="30"/>
      <c r="R1170" s="30"/>
      <c r="S1170" s="30"/>
      <c r="T1170" s="30"/>
      <c r="U1170" s="30"/>
      <c r="V1170" s="30"/>
      <c r="W1170" s="30"/>
      <c r="X1170" s="30"/>
      <c r="Y1170" s="30"/>
      <c r="Z1170" s="30"/>
    </row>
    <row r="1171">
      <c r="A1171" s="30"/>
      <c r="B1171" s="30"/>
      <c r="C1171" s="30"/>
      <c r="D1171" s="30"/>
      <c r="E1171" s="30"/>
      <c r="F1171" s="30"/>
      <c r="G1171" s="30"/>
      <c r="H1171" s="30"/>
      <c r="I1171" s="30"/>
      <c r="J1171" s="30"/>
      <c r="K1171" s="30"/>
      <c r="L1171" s="30"/>
      <c r="M1171" s="30"/>
      <c r="N1171" s="30"/>
      <c r="O1171" s="30"/>
      <c r="P1171" s="30"/>
      <c r="Q1171" s="30"/>
      <c r="R1171" s="30"/>
      <c r="S1171" s="30"/>
      <c r="T1171" s="30"/>
      <c r="U1171" s="30"/>
      <c r="V1171" s="30"/>
      <c r="W1171" s="30"/>
      <c r="X1171" s="30"/>
      <c r="Y1171" s="30"/>
      <c r="Z1171" s="30"/>
    </row>
    <row r="1172">
      <c r="A1172" s="30"/>
      <c r="B1172" s="30"/>
      <c r="C1172" s="30"/>
      <c r="D1172" s="30"/>
      <c r="E1172" s="30"/>
      <c r="F1172" s="30"/>
      <c r="G1172" s="30"/>
      <c r="H1172" s="30"/>
      <c r="I1172" s="30"/>
      <c r="J1172" s="30"/>
      <c r="K1172" s="30"/>
      <c r="L1172" s="30"/>
      <c r="M1172" s="30"/>
      <c r="N1172" s="30"/>
      <c r="O1172" s="30"/>
      <c r="P1172" s="30"/>
      <c r="Q1172" s="30"/>
      <c r="R1172" s="30"/>
      <c r="S1172" s="30"/>
      <c r="T1172" s="30"/>
      <c r="U1172" s="30"/>
      <c r="V1172" s="30"/>
      <c r="W1172" s="30"/>
      <c r="X1172" s="30"/>
      <c r="Y1172" s="30"/>
      <c r="Z1172" s="30"/>
    </row>
    <row r="1173">
      <c r="A1173" s="30"/>
      <c r="B1173" s="30"/>
      <c r="C1173" s="30"/>
      <c r="D1173" s="30"/>
      <c r="E1173" s="30"/>
      <c r="F1173" s="30"/>
      <c r="G1173" s="30"/>
      <c r="H1173" s="30"/>
      <c r="I1173" s="30"/>
      <c r="J1173" s="30"/>
      <c r="K1173" s="30"/>
      <c r="L1173" s="30"/>
      <c r="M1173" s="30"/>
      <c r="N1173" s="30"/>
      <c r="O1173" s="30"/>
      <c r="P1173" s="30"/>
      <c r="Q1173" s="30"/>
      <c r="R1173" s="30"/>
      <c r="S1173" s="30"/>
      <c r="T1173" s="30"/>
      <c r="U1173" s="30"/>
      <c r="V1173" s="30"/>
      <c r="W1173" s="30"/>
      <c r="X1173" s="30"/>
      <c r="Y1173" s="30"/>
      <c r="Z1173" s="30"/>
    </row>
    <row r="1174">
      <c r="A1174" s="30"/>
      <c r="B1174" s="30"/>
      <c r="C1174" s="30"/>
      <c r="D1174" s="30"/>
      <c r="E1174" s="30"/>
      <c r="F1174" s="30"/>
      <c r="G1174" s="30"/>
      <c r="H1174" s="30"/>
      <c r="I1174" s="30"/>
      <c r="J1174" s="30"/>
      <c r="K1174" s="30"/>
      <c r="L1174" s="30"/>
      <c r="M1174" s="30"/>
      <c r="N1174" s="30"/>
      <c r="O1174" s="30"/>
      <c r="P1174" s="30"/>
      <c r="Q1174" s="30"/>
      <c r="R1174" s="30"/>
      <c r="S1174" s="30"/>
      <c r="T1174" s="30"/>
      <c r="U1174" s="30"/>
      <c r="V1174" s="30"/>
      <c r="W1174" s="30"/>
      <c r="X1174" s="30"/>
      <c r="Y1174" s="30"/>
      <c r="Z1174" s="30"/>
    </row>
    <row r="1175">
      <c r="A1175" s="30"/>
      <c r="B1175" s="30"/>
      <c r="C1175" s="30"/>
      <c r="D1175" s="30"/>
      <c r="E1175" s="30"/>
      <c r="F1175" s="30"/>
      <c r="G1175" s="30"/>
      <c r="H1175" s="30"/>
      <c r="I1175" s="30"/>
      <c r="J1175" s="30"/>
      <c r="K1175" s="30"/>
      <c r="L1175" s="30"/>
      <c r="M1175" s="30"/>
      <c r="N1175" s="30"/>
      <c r="O1175" s="30"/>
      <c r="P1175" s="30"/>
      <c r="Q1175" s="30"/>
      <c r="R1175" s="30"/>
      <c r="S1175" s="30"/>
      <c r="T1175" s="30"/>
      <c r="U1175" s="30"/>
      <c r="V1175" s="30"/>
      <c r="W1175" s="30"/>
      <c r="X1175" s="30"/>
      <c r="Y1175" s="30"/>
      <c r="Z1175" s="30"/>
    </row>
    <row r="1176">
      <c r="A1176" s="30"/>
      <c r="B1176" s="30"/>
      <c r="C1176" s="30"/>
      <c r="D1176" s="30"/>
      <c r="E1176" s="30"/>
      <c r="F1176" s="30"/>
      <c r="G1176" s="30"/>
      <c r="H1176" s="30"/>
      <c r="I1176" s="30"/>
      <c r="J1176" s="30"/>
      <c r="K1176" s="30"/>
      <c r="L1176" s="30"/>
      <c r="M1176" s="30"/>
      <c r="N1176" s="30"/>
      <c r="O1176" s="30"/>
      <c r="P1176" s="30"/>
      <c r="Q1176" s="30"/>
      <c r="R1176" s="30"/>
      <c r="S1176" s="30"/>
      <c r="T1176" s="30"/>
      <c r="U1176" s="30"/>
      <c r="V1176" s="30"/>
      <c r="W1176" s="30"/>
      <c r="X1176" s="30"/>
      <c r="Y1176" s="30"/>
      <c r="Z1176" s="30"/>
    </row>
    <row r="1177">
      <c r="A1177" s="30"/>
      <c r="B1177" s="30"/>
      <c r="C1177" s="30"/>
      <c r="D1177" s="30"/>
      <c r="E1177" s="30"/>
      <c r="F1177" s="30"/>
      <c r="G1177" s="30"/>
      <c r="H1177" s="30"/>
      <c r="I1177" s="30"/>
      <c r="J1177" s="30"/>
      <c r="K1177" s="30"/>
      <c r="L1177" s="30"/>
      <c r="M1177" s="30"/>
      <c r="N1177" s="30"/>
      <c r="O1177" s="30"/>
      <c r="P1177" s="30"/>
      <c r="Q1177" s="30"/>
      <c r="R1177" s="30"/>
      <c r="S1177" s="30"/>
      <c r="T1177" s="30"/>
      <c r="U1177" s="30"/>
      <c r="V1177" s="30"/>
      <c r="W1177" s="30"/>
      <c r="X1177" s="30"/>
      <c r="Y1177" s="30"/>
      <c r="Z1177" s="30"/>
    </row>
    <row r="1178">
      <c r="A1178" s="30"/>
      <c r="B1178" s="30"/>
      <c r="C1178" s="30"/>
      <c r="D1178" s="30"/>
      <c r="E1178" s="30"/>
      <c r="F1178" s="30"/>
      <c r="G1178" s="30"/>
      <c r="H1178" s="30"/>
      <c r="I1178" s="30"/>
      <c r="J1178" s="30"/>
      <c r="K1178" s="30"/>
      <c r="L1178" s="30"/>
      <c r="M1178" s="30"/>
      <c r="N1178" s="30"/>
      <c r="O1178" s="30"/>
      <c r="P1178" s="30"/>
      <c r="Q1178" s="30"/>
      <c r="R1178" s="30"/>
      <c r="S1178" s="30"/>
      <c r="T1178" s="30"/>
      <c r="U1178" s="30"/>
      <c r="V1178" s="30"/>
      <c r="W1178" s="30"/>
      <c r="X1178" s="30"/>
      <c r="Y1178" s="30"/>
      <c r="Z1178" s="30"/>
    </row>
    <row r="1179">
      <c r="A1179" s="30"/>
      <c r="B1179" s="30"/>
      <c r="C1179" s="30"/>
      <c r="D1179" s="30"/>
      <c r="E1179" s="30"/>
      <c r="F1179" s="30"/>
      <c r="G1179" s="30"/>
      <c r="H1179" s="30"/>
      <c r="I1179" s="30"/>
      <c r="J1179" s="30"/>
      <c r="K1179" s="30"/>
      <c r="L1179" s="30"/>
      <c r="M1179" s="30"/>
      <c r="N1179" s="30"/>
      <c r="O1179" s="30"/>
      <c r="P1179" s="30"/>
      <c r="Q1179" s="30"/>
      <c r="R1179" s="30"/>
      <c r="S1179" s="30"/>
      <c r="T1179" s="30"/>
      <c r="U1179" s="30"/>
      <c r="V1179" s="30"/>
      <c r="W1179" s="30"/>
      <c r="X1179" s="30"/>
      <c r="Y1179" s="30"/>
      <c r="Z1179" s="30"/>
    </row>
    <row r="1180">
      <c r="A1180" s="30"/>
      <c r="B1180" s="30"/>
      <c r="C1180" s="30"/>
      <c r="D1180" s="30"/>
      <c r="E1180" s="30"/>
      <c r="F1180" s="30"/>
      <c r="G1180" s="30"/>
      <c r="H1180" s="30"/>
      <c r="I1180" s="30"/>
      <c r="J1180" s="30"/>
      <c r="K1180" s="30"/>
      <c r="L1180" s="30"/>
      <c r="M1180" s="30"/>
      <c r="N1180" s="30"/>
      <c r="O1180" s="30"/>
      <c r="P1180" s="30"/>
      <c r="Q1180" s="30"/>
      <c r="R1180" s="30"/>
      <c r="S1180" s="30"/>
      <c r="T1180" s="30"/>
      <c r="U1180" s="30"/>
      <c r="V1180" s="30"/>
      <c r="W1180" s="30"/>
      <c r="X1180" s="30"/>
      <c r="Y1180" s="30"/>
      <c r="Z1180" s="30"/>
    </row>
    <row r="1181">
      <c r="A1181" s="30"/>
      <c r="B1181" s="30"/>
      <c r="C1181" s="30"/>
      <c r="D1181" s="30"/>
      <c r="E1181" s="30"/>
      <c r="F1181" s="30"/>
      <c r="G1181" s="30"/>
      <c r="H1181" s="30"/>
      <c r="I1181" s="30"/>
      <c r="J1181" s="30"/>
      <c r="K1181" s="30"/>
      <c r="L1181" s="30"/>
      <c r="M1181" s="30"/>
      <c r="N1181" s="30"/>
      <c r="O1181" s="30"/>
      <c r="P1181" s="30"/>
      <c r="Q1181" s="30"/>
      <c r="R1181" s="30"/>
      <c r="S1181" s="30"/>
      <c r="T1181" s="30"/>
      <c r="U1181" s="30"/>
      <c r="V1181" s="30"/>
      <c r="W1181" s="30"/>
      <c r="X1181" s="30"/>
      <c r="Y1181" s="30"/>
      <c r="Z1181" s="30"/>
    </row>
    <row r="1182">
      <c r="A1182" s="30"/>
      <c r="B1182" s="30"/>
      <c r="C1182" s="30"/>
      <c r="D1182" s="30"/>
      <c r="E1182" s="30"/>
      <c r="F1182" s="30"/>
      <c r="G1182" s="30"/>
      <c r="H1182" s="30"/>
      <c r="I1182" s="30"/>
      <c r="J1182" s="30"/>
      <c r="K1182" s="30"/>
      <c r="L1182" s="30"/>
      <c r="M1182" s="30"/>
      <c r="N1182" s="30"/>
      <c r="O1182" s="30"/>
      <c r="P1182" s="30"/>
      <c r="Q1182" s="30"/>
      <c r="R1182" s="30"/>
      <c r="S1182" s="30"/>
      <c r="T1182" s="30"/>
      <c r="U1182" s="30"/>
      <c r="V1182" s="30"/>
      <c r="W1182" s="30"/>
      <c r="X1182" s="30"/>
      <c r="Y1182" s="30"/>
      <c r="Z1182" s="30"/>
    </row>
    <row r="1183">
      <c r="A1183" s="30"/>
      <c r="B1183" s="30"/>
      <c r="C1183" s="30"/>
      <c r="D1183" s="30"/>
      <c r="E1183" s="30"/>
      <c r="F1183" s="30"/>
      <c r="G1183" s="30"/>
      <c r="H1183" s="30"/>
      <c r="I1183" s="30"/>
      <c r="J1183" s="30"/>
      <c r="K1183" s="30"/>
      <c r="L1183" s="30"/>
      <c r="M1183" s="30"/>
      <c r="N1183" s="30"/>
      <c r="O1183" s="30"/>
      <c r="P1183" s="30"/>
      <c r="Q1183" s="30"/>
      <c r="R1183" s="30"/>
      <c r="S1183" s="30"/>
      <c r="T1183" s="30"/>
      <c r="U1183" s="30"/>
      <c r="V1183" s="30"/>
      <c r="W1183" s="30"/>
      <c r="X1183" s="30"/>
      <c r="Y1183" s="30"/>
      <c r="Z1183" s="30"/>
    </row>
    <row r="1184">
      <c r="A1184" s="30"/>
      <c r="B1184" s="30"/>
      <c r="C1184" s="30"/>
      <c r="D1184" s="30"/>
      <c r="E1184" s="30"/>
      <c r="F1184" s="30"/>
      <c r="G1184" s="30"/>
      <c r="H1184" s="30"/>
      <c r="I1184" s="30"/>
      <c r="J1184" s="30"/>
      <c r="K1184" s="30"/>
      <c r="L1184" s="30"/>
      <c r="M1184" s="30"/>
      <c r="N1184" s="30"/>
      <c r="O1184" s="30"/>
      <c r="P1184" s="30"/>
      <c r="Q1184" s="30"/>
      <c r="R1184" s="30"/>
      <c r="S1184" s="30"/>
      <c r="T1184" s="30"/>
      <c r="U1184" s="30"/>
      <c r="V1184" s="30"/>
      <c r="W1184" s="30"/>
      <c r="X1184" s="30"/>
      <c r="Y1184" s="30"/>
      <c r="Z1184" s="30"/>
    </row>
    <row r="1185">
      <c r="A1185" s="30"/>
      <c r="B1185" s="30"/>
      <c r="C1185" s="30"/>
      <c r="D1185" s="30"/>
      <c r="E1185" s="30"/>
      <c r="F1185" s="30"/>
      <c r="G1185" s="30"/>
      <c r="H1185" s="30"/>
      <c r="I1185" s="30"/>
      <c r="J1185" s="30"/>
      <c r="K1185" s="30"/>
      <c r="L1185" s="30"/>
      <c r="M1185" s="30"/>
      <c r="N1185" s="30"/>
      <c r="O1185" s="30"/>
      <c r="P1185" s="30"/>
      <c r="Q1185" s="30"/>
      <c r="R1185" s="30"/>
      <c r="S1185" s="30"/>
      <c r="T1185" s="30"/>
      <c r="U1185" s="30"/>
      <c r="V1185" s="30"/>
      <c r="W1185" s="30"/>
      <c r="X1185" s="30"/>
      <c r="Y1185" s="30"/>
      <c r="Z1185" s="30"/>
    </row>
    <row r="1186">
      <c r="A1186" s="30"/>
      <c r="B1186" s="30"/>
      <c r="C1186" s="30"/>
      <c r="D1186" s="30"/>
      <c r="E1186" s="30"/>
      <c r="F1186" s="30"/>
      <c r="G1186" s="30"/>
      <c r="H1186" s="30"/>
      <c r="I1186" s="30"/>
      <c r="J1186" s="30"/>
      <c r="K1186" s="30"/>
      <c r="L1186" s="30"/>
      <c r="M1186" s="30"/>
      <c r="N1186" s="30"/>
      <c r="O1186" s="30"/>
      <c r="P1186" s="30"/>
      <c r="Q1186" s="30"/>
      <c r="R1186" s="30"/>
      <c r="S1186" s="30"/>
      <c r="T1186" s="30"/>
      <c r="U1186" s="30"/>
      <c r="V1186" s="30"/>
      <c r="W1186" s="30"/>
      <c r="X1186" s="30"/>
      <c r="Y1186" s="30"/>
      <c r="Z1186" s="30"/>
    </row>
    <row r="1187">
      <c r="A1187" s="30"/>
      <c r="B1187" s="30"/>
      <c r="C1187" s="30"/>
      <c r="D1187" s="30"/>
      <c r="E1187" s="30"/>
      <c r="F1187" s="30"/>
      <c r="G1187" s="30"/>
      <c r="H1187" s="30"/>
      <c r="I1187" s="30"/>
      <c r="J1187" s="30"/>
      <c r="K1187" s="30"/>
      <c r="L1187" s="30"/>
      <c r="M1187" s="30"/>
      <c r="N1187" s="30"/>
      <c r="O1187" s="30"/>
      <c r="P1187" s="30"/>
      <c r="Q1187" s="30"/>
      <c r="R1187" s="30"/>
      <c r="S1187" s="30"/>
      <c r="T1187" s="30"/>
      <c r="U1187" s="30"/>
      <c r="V1187" s="30"/>
      <c r="W1187" s="30"/>
      <c r="X1187" s="30"/>
      <c r="Y1187" s="30"/>
      <c r="Z1187" s="30"/>
    </row>
    <row r="1188">
      <c r="A1188" s="30"/>
      <c r="B1188" s="30"/>
      <c r="C1188" s="30"/>
      <c r="D1188" s="30"/>
      <c r="E1188" s="30"/>
      <c r="F1188" s="30"/>
      <c r="G1188" s="30"/>
      <c r="H1188" s="30"/>
      <c r="I1188" s="30"/>
      <c r="J1188" s="30"/>
      <c r="K1188" s="30"/>
      <c r="L1188" s="30"/>
      <c r="M1188" s="30"/>
      <c r="N1188" s="30"/>
      <c r="O1188" s="30"/>
      <c r="P1188" s="30"/>
      <c r="Q1188" s="30"/>
      <c r="R1188" s="30"/>
      <c r="S1188" s="30"/>
      <c r="T1188" s="30"/>
      <c r="U1188" s="30"/>
      <c r="V1188" s="30"/>
      <c r="W1188" s="30"/>
      <c r="X1188" s="30"/>
      <c r="Y1188" s="30"/>
      <c r="Z1188" s="30"/>
    </row>
    <row r="1189">
      <c r="A1189" s="30"/>
      <c r="B1189" s="30"/>
      <c r="C1189" s="30"/>
      <c r="D1189" s="30"/>
      <c r="E1189" s="30"/>
      <c r="F1189" s="30"/>
      <c r="G1189" s="30"/>
      <c r="H1189" s="30"/>
      <c r="I1189" s="30"/>
      <c r="J1189" s="30"/>
      <c r="K1189" s="30"/>
      <c r="L1189" s="30"/>
      <c r="M1189" s="30"/>
      <c r="N1189" s="30"/>
      <c r="O1189" s="30"/>
      <c r="P1189" s="30"/>
      <c r="Q1189" s="30"/>
      <c r="R1189" s="30"/>
      <c r="S1189" s="30"/>
      <c r="T1189" s="30"/>
      <c r="U1189" s="30"/>
      <c r="V1189" s="30"/>
      <c r="W1189" s="30"/>
      <c r="X1189" s="30"/>
      <c r="Y1189" s="30"/>
      <c r="Z1189" s="30"/>
    </row>
    <row r="1190">
      <c r="A1190" s="30"/>
      <c r="B1190" s="30"/>
      <c r="C1190" s="30"/>
      <c r="D1190" s="30"/>
      <c r="E1190" s="30"/>
      <c r="F1190" s="30"/>
      <c r="G1190" s="30"/>
      <c r="H1190" s="30"/>
      <c r="I1190" s="30"/>
      <c r="J1190" s="30"/>
      <c r="K1190" s="30"/>
      <c r="L1190" s="30"/>
      <c r="M1190" s="30"/>
      <c r="N1190" s="30"/>
      <c r="O1190" s="30"/>
      <c r="P1190" s="30"/>
      <c r="Q1190" s="30"/>
      <c r="R1190" s="30"/>
      <c r="S1190" s="30"/>
      <c r="T1190" s="30"/>
      <c r="U1190" s="30"/>
      <c r="V1190" s="30"/>
      <c r="W1190" s="30"/>
      <c r="X1190" s="30"/>
      <c r="Y1190" s="30"/>
      <c r="Z1190" s="30"/>
    </row>
    <row r="1191">
      <c r="A1191" s="30"/>
      <c r="B1191" s="30"/>
      <c r="C1191" s="30"/>
      <c r="D1191" s="30"/>
      <c r="E1191" s="30"/>
      <c r="F1191" s="30"/>
      <c r="G1191" s="30"/>
      <c r="H1191" s="30"/>
      <c r="I1191" s="30"/>
      <c r="J1191" s="30"/>
      <c r="K1191" s="30"/>
      <c r="L1191" s="30"/>
      <c r="M1191" s="30"/>
      <c r="N1191" s="30"/>
      <c r="O1191" s="30"/>
      <c r="P1191" s="30"/>
      <c r="Q1191" s="30"/>
      <c r="R1191" s="30"/>
      <c r="S1191" s="30"/>
      <c r="T1191" s="30"/>
      <c r="U1191" s="30"/>
      <c r="V1191" s="30"/>
      <c r="W1191" s="30"/>
      <c r="X1191" s="30"/>
      <c r="Y1191" s="30"/>
      <c r="Z1191" s="30"/>
    </row>
    <row r="1192">
      <c r="A1192" s="30"/>
      <c r="B1192" s="30"/>
      <c r="C1192" s="30"/>
      <c r="D1192" s="30"/>
      <c r="E1192" s="30"/>
      <c r="F1192" s="30"/>
      <c r="G1192" s="30"/>
      <c r="H1192" s="30"/>
      <c r="I1192" s="30"/>
      <c r="J1192" s="30"/>
      <c r="K1192" s="30"/>
      <c r="L1192" s="30"/>
      <c r="M1192" s="30"/>
      <c r="N1192" s="30"/>
      <c r="O1192" s="30"/>
      <c r="P1192" s="30"/>
      <c r="Q1192" s="30"/>
      <c r="R1192" s="30"/>
      <c r="S1192" s="30"/>
      <c r="T1192" s="30"/>
      <c r="U1192" s="30"/>
      <c r="V1192" s="30"/>
      <c r="W1192" s="30"/>
      <c r="X1192" s="30"/>
      <c r="Y1192" s="30"/>
      <c r="Z1192" s="30"/>
    </row>
    <row r="1193">
      <c r="A1193" s="30"/>
      <c r="B1193" s="30"/>
      <c r="C1193" s="30"/>
      <c r="D1193" s="30"/>
      <c r="E1193" s="30"/>
      <c r="F1193" s="30"/>
      <c r="G1193" s="30"/>
      <c r="H1193" s="30"/>
      <c r="I1193" s="30"/>
      <c r="J1193" s="30"/>
      <c r="K1193" s="30"/>
      <c r="L1193" s="30"/>
      <c r="M1193" s="30"/>
      <c r="N1193" s="30"/>
      <c r="O1193" s="30"/>
      <c r="P1193" s="30"/>
      <c r="Q1193" s="30"/>
      <c r="R1193" s="30"/>
      <c r="S1193" s="30"/>
      <c r="T1193" s="30"/>
      <c r="U1193" s="30"/>
      <c r="V1193" s="30"/>
      <c r="W1193" s="30"/>
      <c r="X1193" s="30"/>
      <c r="Y1193" s="30"/>
      <c r="Z1193" s="30"/>
    </row>
    <row r="1194">
      <c r="A1194" s="30"/>
      <c r="B1194" s="30"/>
      <c r="C1194" s="30"/>
      <c r="D1194" s="30"/>
      <c r="E1194" s="30"/>
      <c r="F1194" s="30"/>
      <c r="G1194" s="30"/>
      <c r="H1194" s="30"/>
      <c r="I1194" s="30"/>
      <c r="J1194" s="30"/>
      <c r="K1194" s="30"/>
      <c r="L1194" s="30"/>
      <c r="M1194" s="30"/>
      <c r="N1194" s="30"/>
      <c r="O1194" s="30"/>
      <c r="P1194" s="30"/>
      <c r="Q1194" s="30"/>
      <c r="R1194" s="30"/>
      <c r="S1194" s="30"/>
      <c r="T1194" s="30"/>
      <c r="U1194" s="30"/>
      <c r="V1194" s="30"/>
      <c r="W1194" s="30"/>
      <c r="X1194" s="30"/>
      <c r="Y1194" s="30"/>
      <c r="Z1194" s="30"/>
    </row>
    <row r="1195">
      <c r="A1195" s="30"/>
      <c r="B1195" s="30"/>
      <c r="C1195" s="30"/>
      <c r="D1195" s="30"/>
      <c r="E1195" s="30"/>
      <c r="F1195" s="30"/>
      <c r="G1195" s="30"/>
      <c r="H1195" s="30"/>
      <c r="I1195" s="30"/>
      <c r="J1195" s="30"/>
      <c r="K1195" s="30"/>
      <c r="L1195" s="30"/>
      <c r="M1195" s="30"/>
      <c r="N1195" s="30"/>
      <c r="O1195" s="30"/>
      <c r="P1195" s="30"/>
      <c r="Q1195" s="30"/>
      <c r="R1195" s="30"/>
      <c r="S1195" s="30"/>
      <c r="T1195" s="30"/>
      <c r="U1195" s="30"/>
      <c r="V1195" s="30"/>
      <c r="W1195" s="30"/>
      <c r="X1195" s="30"/>
      <c r="Y1195" s="30"/>
      <c r="Z1195" s="30"/>
    </row>
    <row r="1196">
      <c r="A1196" s="30"/>
      <c r="B1196" s="30"/>
      <c r="C1196" s="30"/>
      <c r="D1196" s="30"/>
      <c r="E1196" s="30"/>
      <c r="F1196" s="30"/>
      <c r="G1196" s="30"/>
      <c r="H1196" s="30"/>
      <c r="I1196" s="30"/>
      <c r="J1196" s="30"/>
      <c r="K1196" s="30"/>
      <c r="L1196" s="30"/>
      <c r="M1196" s="30"/>
      <c r="N1196" s="30"/>
      <c r="O1196" s="30"/>
      <c r="P1196" s="30"/>
      <c r="Q1196" s="30"/>
      <c r="R1196" s="30"/>
      <c r="S1196" s="30"/>
      <c r="T1196" s="30"/>
      <c r="U1196" s="30"/>
      <c r="V1196" s="30"/>
      <c r="W1196" s="30"/>
      <c r="X1196" s="30"/>
      <c r="Y1196" s="30"/>
      <c r="Z1196" s="30"/>
    </row>
    <row r="1197">
      <c r="A1197" s="30"/>
      <c r="B1197" s="30"/>
      <c r="C1197" s="30"/>
      <c r="D1197" s="30"/>
      <c r="E1197" s="30"/>
      <c r="F1197" s="30"/>
      <c r="G1197" s="30"/>
      <c r="H1197" s="30"/>
      <c r="I1197" s="30"/>
      <c r="J1197" s="30"/>
      <c r="K1197" s="30"/>
      <c r="L1197" s="30"/>
      <c r="M1197" s="30"/>
      <c r="N1197" s="30"/>
      <c r="O1197" s="30"/>
      <c r="P1197" s="30"/>
      <c r="Q1197" s="30"/>
      <c r="R1197" s="30"/>
      <c r="S1197" s="30"/>
      <c r="T1197" s="30"/>
      <c r="U1197" s="30"/>
      <c r="V1197" s="30"/>
      <c r="W1197" s="30"/>
      <c r="X1197" s="30"/>
      <c r="Y1197" s="30"/>
      <c r="Z1197" s="30"/>
    </row>
    <row r="1198">
      <c r="A1198" s="30"/>
      <c r="B1198" s="30"/>
      <c r="C1198" s="30"/>
      <c r="D1198" s="30"/>
      <c r="E1198" s="30"/>
      <c r="F1198" s="30"/>
      <c r="G1198" s="30"/>
      <c r="H1198" s="30"/>
      <c r="I1198" s="30"/>
      <c r="J1198" s="30"/>
      <c r="K1198" s="30"/>
      <c r="L1198" s="30"/>
      <c r="M1198" s="30"/>
      <c r="N1198" s="30"/>
      <c r="O1198" s="30"/>
      <c r="P1198" s="30"/>
      <c r="Q1198" s="30"/>
      <c r="R1198" s="30"/>
      <c r="S1198" s="30"/>
      <c r="T1198" s="30"/>
      <c r="U1198" s="30"/>
      <c r="V1198" s="30"/>
      <c r="W1198" s="30"/>
      <c r="X1198" s="30"/>
      <c r="Y1198" s="30"/>
      <c r="Z1198" s="30"/>
    </row>
    <row r="1199">
      <c r="A1199" s="30"/>
      <c r="B1199" s="30"/>
      <c r="C1199" s="30"/>
      <c r="D1199" s="30"/>
      <c r="E1199" s="30"/>
      <c r="F1199" s="30"/>
      <c r="G1199" s="30"/>
      <c r="H1199" s="30"/>
      <c r="I1199" s="30"/>
      <c r="J1199" s="30"/>
      <c r="K1199" s="30"/>
      <c r="L1199" s="30"/>
      <c r="M1199" s="30"/>
      <c r="N1199" s="30"/>
      <c r="O1199" s="30"/>
      <c r="P1199" s="30"/>
      <c r="Q1199" s="30"/>
      <c r="R1199" s="30"/>
      <c r="S1199" s="30"/>
      <c r="T1199" s="30"/>
      <c r="U1199" s="30"/>
      <c r="V1199" s="30"/>
      <c r="W1199" s="30"/>
      <c r="X1199" s="30"/>
      <c r="Y1199" s="30"/>
      <c r="Z1199" s="30"/>
    </row>
    <row r="1200">
      <c r="A1200" s="30"/>
      <c r="B1200" s="30"/>
      <c r="C1200" s="30"/>
      <c r="D1200" s="30"/>
      <c r="E1200" s="30"/>
      <c r="F1200" s="30"/>
      <c r="G1200" s="30"/>
      <c r="H1200" s="30"/>
      <c r="I1200" s="30"/>
      <c r="J1200" s="30"/>
      <c r="K1200" s="30"/>
      <c r="L1200" s="30"/>
      <c r="M1200" s="30"/>
      <c r="N1200" s="30"/>
      <c r="O1200" s="30"/>
      <c r="P1200" s="30"/>
      <c r="Q1200" s="30"/>
      <c r="R1200" s="30"/>
      <c r="S1200" s="30"/>
      <c r="T1200" s="30"/>
      <c r="U1200" s="30"/>
      <c r="V1200" s="30"/>
      <c r="W1200" s="30"/>
      <c r="X1200" s="30"/>
      <c r="Y1200" s="30"/>
      <c r="Z1200" s="30"/>
    </row>
    <row r="1201">
      <c r="A1201" s="30"/>
      <c r="B1201" s="30"/>
      <c r="C1201" s="30"/>
      <c r="D1201" s="30"/>
      <c r="E1201" s="30"/>
      <c r="F1201" s="30"/>
      <c r="G1201" s="30"/>
      <c r="H1201" s="30"/>
      <c r="I1201" s="30"/>
      <c r="J1201" s="30"/>
      <c r="K1201" s="30"/>
      <c r="L1201" s="30"/>
      <c r="M1201" s="30"/>
      <c r="N1201" s="30"/>
      <c r="O1201" s="30"/>
      <c r="P1201" s="30"/>
      <c r="Q1201" s="30"/>
      <c r="R1201" s="30"/>
      <c r="S1201" s="30"/>
      <c r="T1201" s="30"/>
      <c r="U1201" s="30"/>
      <c r="V1201" s="30"/>
      <c r="W1201" s="30"/>
      <c r="X1201" s="30"/>
      <c r="Y1201" s="30"/>
      <c r="Z1201" s="30"/>
    </row>
    <row r="1202">
      <c r="A1202" s="30"/>
      <c r="B1202" s="30"/>
      <c r="C1202" s="30"/>
      <c r="D1202" s="30"/>
      <c r="E1202" s="30"/>
      <c r="F1202" s="30"/>
      <c r="G1202" s="30"/>
      <c r="H1202" s="30"/>
      <c r="I1202" s="30"/>
      <c r="J1202" s="30"/>
      <c r="K1202" s="30"/>
      <c r="L1202" s="30"/>
      <c r="M1202" s="30"/>
      <c r="N1202" s="30"/>
      <c r="O1202" s="30"/>
      <c r="P1202" s="30"/>
      <c r="Q1202" s="30"/>
      <c r="R1202" s="30"/>
      <c r="S1202" s="30"/>
      <c r="T1202" s="30"/>
      <c r="U1202" s="30"/>
      <c r="V1202" s="30"/>
      <c r="W1202" s="30"/>
      <c r="X1202" s="30"/>
      <c r="Y1202" s="30"/>
      <c r="Z1202" s="30"/>
    </row>
    <row r="1203">
      <c r="A1203" s="30"/>
      <c r="B1203" s="30"/>
      <c r="C1203" s="30"/>
      <c r="D1203" s="30"/>
      <c r="E1203" s="30"/>
      <c r="F1203" s="30"/>
      <c r="G1203" s="30"/>
      <c r="H1203" s="30"/>
      <c r="I1203" s="30"/>
      <c r="J1203" s="30"/>
      <c r="K1203" s="30"/>
      <c r="L1203" s="30"/>
      <c r="M1203" s="30"/>
      <c r="N1203" s="30"/>
      <c r="O1203" s="30"/>
      <c r="P1203" s="30"/>
      <c r="Q1203" s="30"/>
      <c r="R1203" s="30"/>
      <c r="S1203" s="30"/>
      <c r="T1203" s="30"/>
      <c r="U1203" s="30"/>
      <c r="V1203" s="30"/>
      <c r="W1203" s="30"/>
      <c r="X1203" s="30"/>
      <c r="Y1203" s="30"/>
      <c r="Z1203" s="30"/>
    </row>
    <row r="1204">
      <c r="A1204" s="30"/>
      <c r="B1204" s="30"/>
      <c r="C1204" s="30"/>
      <c r="D1204" s="30"/>
      <c r="E1204" s="30"/>
      <c r="F1204" s="30"/>
      <c r="G1204" s="30"/>
      <c r="H1204" s="30"/>
      <c r="I1204" s="30"/>
      <c r="J1204" s="30"/>
      <c r="K1204" s="30"/>
      <c r="L1204" s="30"/>
      <c r="M1204" s="30"/>
      <c r="N1204" s="30"/>
      <c r="O1204" s="30"/>
      <c r="P1204" s="30"/>
      <c r="Q1204" s="30"/>
      <c r="R1204" s="30"/>
      <c r="S1204" s="30"/>
      <c r="T1204" s="30"/>
      <c r="U1204" s="30"/>
      <c r="V1204" s="30"/>
      <c r="W1204" s="30"/>
      <c r="X1204" s="30"/>
      <c r="Y1204" s="30"/>
      <c r="Z1204" s="30"/>
    </row>
    <row r="1205">
      <c r="A1205" s="30"/>
      <c r="B1205" s="30"/>
      <c r="C1205" s="30"/>
      <c r="D1205" s="30"/>
      <c r="E1205" s="30"/>
      <c r="F1205" s="30"/>
      <c r="G1205" s="30"/>
      <c r="H1205" s="30"/>
      <c r="I1205" s="30"/>
      <c r="J1205" s="30"/>
      <c r="K1205" s="30"/>
      <c r="L1205" s="30"/>
      <c r="M1205" s="30"/>
      <c r="N1205" s="30"/>
      <c r="O1205" s="30"/>
      <c r="P1205" s="30"/>
      <c r="Q1205" s="30"/>
      <c r="R1205" s="30"/>
      <c r="S1205" s="30"/>
      <c r="T1205" s="30"/>
      <c r="U1205" s="30"/>
      <c r="V1205" s="30"/>
      <c r="W1205" s="30"/>
      <c r="X1205" s="30"/>
      <c r="Y1205" s="30"/>
      <c r="Z1205" s="30"/>
    </row>
    <row r="1206">
      <c r="A1206" s="30"/>
      <c r="B1206" s="30"/>
      <c r="C1206" s="30"/>
      <c r="D1206" s="30"/>
      <c r="E1206" s="30"/>
      <c r="F1206" s="30"/>
      <c r="G1206" s="30"/>
      <c r="H1206" s="30"/>
      <c r="I1206" s="30"/>
      <c r="J1206" s="30"/>
      <c r="K1206" s="30"/>
      <c r="L1206" s="30"/>
      <c r="M1206" s="30"/>
      <c r="N1206" s="30"/>
      <c r="O1206" s="30"/>
      <c r="P1206" s="30"/>
      <c r="Q1206" s="30"/>
      <c r="R1206" s="30"/>
      <c r="S1206" s="30"/>
      <c r="T1206" s="30"/>
      <c r="U1206" s="30"/>
      <c r="V1206" s="30"/>
      <c r="W1206" s="30"/>
      <c r="X1206" s="30"/>
      <c r="Y1206" s="30"/>
      <c r="Z1206" s="30"/>
    </row>
    <row r="1207">
      <c r="A1207" s="30"/>
      <c r="B1207" s="30"/>
      <c r="C1207" s="30"/>
      <c r="D1207" s="30"/>
      <c r="E1207" s="30"/>
      <c r="F1207" s="30"/>
      <c r="G1207" s="30"/>
      <c r="H1207" s="30"/>
      <c r="I1207" s="30"/>
      <c r="J1207" s="30"/>
      <c r="K1207" s="30"/>
      <c r="L1207" s="30"/>
      <c r="M1207" s="30"/>
      <c r="N1207" s="30"/>
      <c r="O1207" s="30"/>
      <c r="P1207" s="30"/>
      <c r="Q1207" s="30"/>
      <c r="R1207" s="30"/>
      <c r="S1207" s="30"/>
      <c r="T1207" s="30"/>
      <c r="U1207" s="30"/>
      <c r="V1207" s="30"/>
      <c r="W1207" s="30"/>
      <c r="X1207" s="30"/>
      <c r="Y1207" s="30"/>
      <c r="Z1207" s="30"/>
    </row>
    <row r="1208">
      <c r="A1208" s="30"/>
      <c r="B1208" s="30"/>
      <c r="C1208" s="30"/>
      <c r="D1208" s="30"/>
      <c r="E1208" s="30"/>
      <c r="F1208" s="30"/>
      <c r="G1208" s="30"/>
      <c r="H1208" s="30"/>
      <c r="I1208" s="30"/>
      <c r="J1208" s="30"/>
      <c r="K1208" s="30"/>
      <c r="L1208" s="30"/>
      <c r="M1208" s="30"/>
      <c r="N1208" s="30"/>
      <c r="O1208" s="30"/>
      <c r="P1208" s="30"/>
      <c r="Q1208" s="30"/>
      <c r="R1208" s="30"/>
      <c r="S1208" s="30"/>
      <c r="T1208" s="30"/>
      <c r="U1208" s="30"/>
      <c r="V1208" s="30"/>
      <c r="W1208" s="30"/>
      <c r="X1208" s="30"/>
      <c r="Y1208" s="30"/>
      <c r="Z1208" s="30"/>
    </row>
    <row r="1209">
      <c r="A1209" s="30"/>
      <c r="B1209" s="30"/>
      <c r="C1209" s="30"/>
      <c r="D1209" s="30"/>
      <c r="E1209" s="30"/>
      <c r="F1209" s="30"/>
      <c r="G1209" s="30"/>
      <c r="H1209" s="30"/>
      <c r="I1209" s="30"/>
      <c r="J1209" s="30"/>
      <c r="K1209" s="30"/>
      <c r="L1209" s="30"/>
      <c r="M1209" s="30"/>
      <c r="N1209" s="30"/>
      <c r="O1209" s="30"/>
      <c r="P1209" s="30"/>
      <c r="Q1209" s="30"/>
      <c r="R1209" s="30"/>
      <c r="S1209" s="30"/>
      <c r="T1209" s="30"/>
      <c r="U1209" s="30"/>
      <c r="V1209" s="30"/>
      <c r="W1209" s="30"/>
      <c r="X1209" s="30"/>
      <c r="Y1209" s="30"/>
      <c r="Z1209" s="30"/>
    </row>
    <row r="1210">
      <c r="A1210" s="30"/>
      <c r="B1210" s="30"/>
      <c r="C1210" s="30"/>
      <c r="D1210" s="30"/>
      <c r="E1210" s="30"/>
      <c r="F1210" s="30"/>
      <c r="G1210" s="30"/>
      <c r="H1210" s="30"/>
      <c r="I1210" s="30"/>
      <c r="J1210" s="30"/>
      <c r="K1210" s="30"/>
      <c r="L1210" s="30"/>
      <c r="M1210" s="30"/>
      <c r="N1210" s="30"/>
      <c r="O1210" s="30"/>
      <c r="P1210" s="30"/>
      <c r="Q1210" s="30"/>
      <c r="R1210" s="30"/>
      <c r="S1210" s="30"/>
      <c r="T1210" s="30"/>
      <c r="U1210" s="30"/>
      <c r="V1210" s="30"/>
      <c r="W1210" s="30"/>
      <c r="X1210" s="30"/>
      <c r="Y1210" s="30"/>
      <c r="Z1210" s="30"/>
    </row>
    <row r="1211">
      <c r="A1211" s="30"/>
      <c r="B1211" s="30"/>
      <c r="C1211" s="30"/>
      <c r="D1211" s="30"/>
      <c r="E1211" s="30"/>
      <c r="F1211" s="30"/>
      <c r="G1211" s="30"/>
      <c r="H1211" s="30"/>
      <c r="I1211" s="30"/>
      <c r="J1211" s="30"/>
      <c r="K1211" s="30"/>
      <c r="L1211" s="30"/>
      <c r="M1211" s="30"/>
      <c r="N1211" s="30"/>
      <c r="O1211" s="30"/>
      <c r="P1211" s="30"/>
      <c r="Q1211" s="30"/>
      <c r="R1211" s="30"/>
      <c r="S1211" s="30"/>
      <c r="T1211" s="30"/>
      <c r="U1211" s="30"/>
      <c r="V1211" s="30"/>
      <c r="W1211" s="30"/>
      <c r="X1211" s="30"/>
      <c r="Y1211" s="30"/>
      <c r="Z1211" s="30"/>
    </row>
    <row r="1212">
      <c r="A1212" s="30"/>
      <c r="B1212" s="30"/>
      <c r="C1212" s="30"/>
      <c r="D1212" s="30"/>
      <c r="E1212" s="30"/>
      <c r="F1212" s="30"/>
      <c r="G1212" s="30"/>
      <c r="H1212" s="30"/>
      <c r="I1212" s="30"/>
      <c r="J1212" s="30"/>
      <c r="K1212" s="30"/>
      <c r="L1212" s="30"/>
      <c r="M1212" s="30"/>
      <c r="N1212" s="30"/>
      <c r="O1212" s="30"/>
      <c r="P1212" s="30"/>
      <c r="Q1212" s="30"/>
      <c r="R1212" s="30"/>
      <c r="S1212" s="30"/>
      <c r="T1212" s="30"/>
      <c r="U1212" s="30"/>
      <c r="V1212" s="30"/>
      <c r="W1212" s="30"/>
      <c r="X1212" s="30"/>
      <c r="Y1212" s="30"/>
      <c r="Z1212" s="30"/>
    </row>
    <row r="1213">
      <c r="A1213" s="30"/>
      <c r="B1213" s="30"/>
      <c r="C1213" s="30"/>
      <c r="D1213" s="30"/>
      <c r="E1213" s="30"/>
      <c r="F1213" s="30"/>
      <c r="G1213" s="30"/>
      <c r="H1213" s="30"/>
      <c r="I1213" s="30"/>
      <c r="J1213" s="30"/>
      <c r="K1213" s="30"/>
      <c r="L1213" s="30"/>
      <c r="M1213" s="30"/>
      <c r="N1213" s="30"/>
      <c r="O1213" s="30"/>
      <c r="P1213" s="30"/>
      <c r="Q1213" s="30"/>
      <c r="R1213" s="30"/>
      <c r="S1213" s="30"/>
      <c r="T1213" s="30"/>
      <c r="U1213" s="30"/>
      <c r="V1213" s="30"/>
      <c r="W1213" s="30"/>
      <c r="X1213" s="30"/>
      <c r="Y1213" s="30"/>
      <c r="Z1213" s="30"/>
    </row>
    <row r="1214">
      <c r="A1214" s="30"/>
      <c r="B1214" s="30"/>
      <c r="C1214" s="30"/>
      <c r="D1214" s="30"/>
      <c r="E1214" s="30"/>
      <c r="F1214" s="30"/>
      <c r="G1214" s="30"/>
      <c r="H1214" s="30"/>
      <c r="I1214" s="30"/>
      <c r="J1214" s="30"/>
      <c r="K1214" s="30"/>
      <c r="L1214" s="30"/>
      <c r="M1214" s="30"/>
      <c r="N1214" s="30"/>
      <c r="O1214" s="30"/>
      <c r="P1214" s="30"/>
      <c r="Q1214" s="30"/>
      <c r="R1214" s="30"/>
      <c r="S1214" s="30"/>
      <c r="T1214" s="30"/>
      <c r="U1214" s="30"/>
      <c r="V1214" s="30"/>
      <c r="W1214" s="30"/>
      <c r="X1214" s="30"/>
      <c r="Y1214" s="30"/>
      <c r="Z1214" s="30"/>
    </row>
    <row r="1215">
      <c r="A1215" s="30"/>
      <c r="B1215" s="30"/>
      <c r="C1215" s="30"/>
      <c r="D1215" s="30"/>
      <c r="E1215" s="30"/>
      <c r="F1215" s="30"/>
      <c r="G1215" s="30"/>
      <c r="H1215" s="30"/>
      <c r="I1215" s="30"/>
      <c r="J1215" s="30"/>
      <c r="K1215" s="30"/>
      <c r="L1215" s="30"/>
      <c r="M1215" s="30"/>
      <c r="N1215" s="30"/>
      <c r="O1215" s="30"/>
      <c r="P1215" s="30"/>
      <c r="Q1215" s="30"/>
      <c r="R1215" s="30"/>
      <c r="S1215" s="30"/>
      <c r="T1215" s="30"/>
      <c r="U1215" s="30"/>
      <c r="V1215" s="30"/>
      <c r="W1215" s="30"/>
      <c r="X1215" s="30"/>
      <c r="Y1215" s="30"/>
      <c r="Z1215" s="30"/>
    </row>
    <row r="1216">
      <c r="A1216" s="30"/>
      <c r="B1216" s="30"/>
      <c r="C1216" s="30"/>
      <c r="D1216" s="30"/>
      <c r="E1216" s="30"/>
      <c r="F1216" s="30"/>
      <c r="G1216" s="30"/>
      <c r="H1216" s="30"/>
      <c r="I1216" s="30"/>
      <c r="J1216" s="30"/>
      <c r="K1216" s="30"/>
      <c r="L1216" s="30"/>
      <c r="M1216" s="30"/>
      <c r="N1216" s="30"/>
      <c r="O1216" s="30"/>
      <c r="P1216" s="30"/>
      <c r="Q1216" s="30"/>
      <c r="R1216" s="30"/>
      <c r="S1216" s="30"/>
      <c r="T1216" s="30"/>
      <c r="U1216" s="30"/>
      <c r="V1216" s="30"/>
      <c r="W1216" s="30"/>
      <c r="X1216" s="30"/>
      <c r="Y1216" s="30"/>
      <c r="Z1216" s="30"/>
    </row>
    <row r="1217">
      <c r="A1217" s="30"/>
      <c r="B1217" s="30"/>
      <c r="C1217" s="30"/>
      <c r="D1217" s="30"/>
      <c r="E1217" s="30"/>
      <c r="F1217" s="30"/>
      <c r="G1217" s="30"/>
      <c r="H1217" s="30"/>
      <c r="I1217" s="30"/>
      <c r="J1217" s="30"/>
      <c r="K1217" s="30"/>
      <c r="L1217" s="30"/>
      <c r="M1217" s="30"/>
      <c r="N1217" s="30"/>
      <c r="O1217" s="30"/>
      <c r="P1217" s="30"/>
      <c r="Q1217" s="30"/>
      <c r="R1217" s="30"/>
      <c r="S1217" s="30"/>
      <c r="T1217" s="30"/>
      <c r="U1217" s="30"/>
      <c r="V1217" s="30"/>
      <c r="W1217" s="30"/>
      <c r="X1217" s="30"/>
      <c r="Y1217" s="30"/>
      <c r="Z1217" s="30"/>
    </row>
    <row r="1218">
      <c r="A1218" s="30"/>
      <c r="B1218" s="30"/>
      <c r="C1218" s="30"/>
      <c r="D1218" s="30"/>
      <c r="E1218" s="30"/>
      <c r="F1218" s="30"/>
      <c r="G1218" s="30"/>
      <c r="H1218" s="30"/>
      <c r="I1218" s="30"/>
      <c r="J1218" s="30"/>
      <c r="K1218" s="30"/>
      <c r="L1218" s="30"/>
      <c r="M1218" s="30"/>
      <c r="N1218" s="30"/>
      <c r="O1218" s="30"/>
      <c r="P1218" s="30"/>
      <c r="Q1218" s="30"/>
      <c r="R1218" s="30"/>
      <c r="S1218" s="30"/>
      <c r="T1218" s="30"/>
      <c r="U1218" s="30"/>
      <c r="V1218" s="30"/>
      <c r="W1218" s="30"/>
      <c r="X1218" s="30"/>
      <c r="Y1218" s="30"/>
      <c r="Z1218" s="30"/>
    </row>
    <row r="1219">
      <c r="A1219" s="30"/>
      <c r="B1219" s="30"/>
      <c r="C1219" s="30"/>
      <c r="D1219" s="30"/>
      <c r="E1219" s="30"/>
      <c r="F1219" s="30"/>
      <c r="G1219" s="30"/>
      <c r="H1219" s="30"/>
      <c r="I1219" s="30"/>
      <c r="J1219" s="30"/>
      <c r="K1219" s="30"/>
      <c r="L1219" s="30"/>
      <c r="M1219" s="30"/>
      <c r="N1219" s="30"/>
      <c r="O1219" s="30"/>
      <c r="P1219" s="30"/>
      <c r="Q1219" s="30"/>
      <c r="R1219" s="30"/>
      <c r="S1219" s="30"/>
      <c r="T1219" s="30"/>
      <c r="U1219" s="30"/>
      <c r="V1219" s="30"/>
      <c r="W1219" s="30"/>
      <c r="X1219" s="30"/>
      <c r="Y1219" s="30"/>
      <c r="Z1219" s="30"/>
    </row>
    <row r="1220">
      <c r="A1220" s="30"/>
      <c r="B1220" s="30"/>
      <c r="C1220" s="30"/>
      <c r="D1220" s="30"/>
      <c r="E1220" s="30"/>
      <c r="F1220" s="30"/>
      <c r="G1220" s="30"/>
      <c r="H1220" s="30"/>
      <c r="I1220" s="30"/>
      <c r="J1220" s="30"/>
      <c r="K1220" s="30"/>
      <c r="L1220" s="30"/>
      <c r="M1220" s="30"/>
      <c r="N1220" s="30"/>
      <c r="O1220" s="30"/>
      <c r="P1220" s="30"/>
      <c r="Q1220" s="30"/>
      <c r="R1220" s="30"/>
      <c r="S1220" s="30"/>
      <c r="T1220" s="30"/>
      <c r="U1220" s="30"/>
      <c r="V1220" s="30"/>
      <c r="W1220" s="30"/>
      <c r="X1220" s="30"/>
      <c r="Y1220" s="30"/>
      <c r="Z1220" s="30"/>
    </row>
    <row r="1221">
      <c r="A1221" s="30"/>
      <c r="B1221" s="30"/>
      <c r="C1221" s="30"/>
      <c r="D1221" s="30"/>
      <c r="E1221" s="30"/>
      <c r="F1221" s="30"/>
      <c r="G1221" s="30"/>
      <c r="H1221" s="30"/>
      <c r="I1221" s="30"/>
      <c r="J1221" s="30"/>
      <c r="K1221" s="30"/>
      <c r="L1221" s="30"/>
      <c r="M1221" s="30"/>
      <c r="N1221" s="30"/>
      <c r="O1221" s="30"/>
      <c r="P1221" s="30"/>
      <c r="Q1221" s="30"/>
      <c r="R1221" s="30"/>
      <c r="S1221" s="30"/>
      <c r="T1221" s="30"/>
      <c r="U1221" s="30"/>
      <c r="V1221" s="30"/>
      <c r="W1221" s="30"/>
      <c r="X1221" s="30"/>
      <c r="Y1221" s="30"/>
      <c r="Z1221" s="30"/>
    </row>
    <row r="1222">
      <c r="A1222" s="30"/>
      <c r="B1222" s="30"/>
      <c r="C1222" s="30"/>
      <c r="D1222" s="30"/>
      <c r="E1222" s="30"/>
      <c r="F1222" s="30"/>
      <c r="G1222" s="30"/>
      <c r="H1222" s="30"/>
      <c r="I1222" s="30"/>
      <c r="J1222" s="30"/>
      <c r="K1222" s="30"/>
      <c r="L1222" s="30"/>
      <c r="M1222" s="30"/>
      <c r="N1222" s="30"/>
      <c r="O1222" s="30"/>
      <c r="P1222" s="30"/>
      <c r="Q1222" s="30"/>
      <c r="R1222" s="30"/>
      <c r="S1222" s="30"/>
      <c r="T1222" s="30"/>
      <c r="U1222" s="30"/>
      <c r="V1222" s="30"/>
      <c r="W1222" s="30"/>
      <c r="X1222" s="30"/>
      <c r="Y1222" s="30"/>
      <c r="Z1222" s="30"/>
    </row>
    <row r="1223">
      <c r="A1223" s="30"/>
      <c r="B1223" s="30"/>
      <c r="C1223" s="30"/>
      <c r="D1223" s="30"/>
      <c r="E1223" s="30"/>
      <c r="F1223" s="30"/>
      <c r="G1223" s="30"/>
      <c r="H1223" s="30"/>
      <c r="I1223" s="30"/>
      <c r="J1223" s="30"/>
      <c r="K1223" s="30"/>
      <c r="L1223" s="30"/>
      <c r="M1223" s="30"/>
      <c r="N1223" s="30"/>
      <c r="O1223" s="30"/>
      <c r="P1223" s="30"/>
      <c r="Q1223" s="30"/>
      <c r="R1223" s="30"/>
      <c r="S1223" s="30"/>
      <c r="T1223" s="30"/>
      <c r="U1223" s="30"/>
      <c r="V1223" s="30"/>
      <c r="W1223" s="30"/>
      <c r="X1223" s="30"/>
      <c r="Y1223" s="30"/>
      <c r="Z1223" s="30"/>
    </row>
    <row r="1224">
      <c r="A1224" s="30"/>
      <c r="B1224" s="30"/>
      <c r="C1224" s="30"/>
      <c r="D1224" s="30"/>
      <c r="E1224" s="30"/>
      <c r="F1224" s="30"/>
      <c r="G1224" s="30"/>
      <c r="H1224" s="30"/>
      <c r="I1224" s="30"/>
      <c r="J1224" s="30"/>
      <c r="K1224" s="30"/>
      <c r="L1224" s="30"/>
      <c r="M1224" s="30"/>
      <c r="N1224" s="30"/>
      <c r="O1224" s="30"/>
      <c r="P1224" s="30"/>
      <c r="Q1224" s="30"/>
      <c r="R1224" s="30"/>
      <c r="S1224" s="30"/>
      <c r="T1224" s="30"/>
      <c r="U1224" s="30"/>
      <c r="V1224" s="30"/>
      <c r="W1224" s="30"/>
      <c r="X1224" s="30"/>
      <c r="Y1224" s="30"/>
      <c r="Z1224" s="30"/>
    </row>
    <row r="1225">
      <c r="A1225" s="30"/>
      <c r="B1225" s="30"/>
      <c r="C1225" s="30"/>
      <c r="D1225" s="30"/>
      <c r="E1225" s="30"/>
      <c r="F1225" s="30"/>
      <c r="G1225" s="30"/>
      <c r="H1225" s="30"/>
      <c r="I1225" s="30"/>
      <c r="J1225" s="30"/>
      <c r="K1225" s="30"/>
      <c r="L1225" s="30"/>
      <c r="M1225" s="30"/>
      <c r="N1225" s="30"/>
      <c r="O1225" s="30"/>
      <c r="P1225" s="30"/>
      <c r="Q1225" s="30"/>
      <c r="R1225" s="30"/>
      <c r="S1225" s="30"/>
      <c r="T1225" s="30"/>
      <c r="U1225" s="30"/>
      <c r="V1225" s="30"/>
      <c r="W1225" s="30"/>
      <c r="X1225" s="30"/>
      <c r="Y1225" s="30"/>
      <c r="Z1225" s="30"/>
    </row>
    <row r="1226">
      <c r="A1226" s="30"/>
      <c r="B1226" s="30"/>
      <c r="C1226" s="30"/>
      <c r="D1226" s="30"/>
      <c r="E1226" s="30"/>
      <c r="F1226" s="30"/>
      <c r="G1226" s="30"/>
      <c r="H1226" s="30"/>
      <c r="I1226" s="30"/>
      <c r="J1226" s="30"/>
      <c r="K1226" s="30"/>
      <c r="L1226" s="30"/>
      <c r="M1226" s="30"/>
      <c r="N1226" s="30"/>
      <c r="O1226" s="30"/>
      <c r="P1226" s="30"/>
      <c r="Q1226" s="30"/>
      <c r="R1226" s="30"/>
      <c r="S1226" s="30"/>
      <c r="T1226" s="30"/>
      <c r="U1226" s="30"/>
      <c r="V1226" s="30"/>
      <c r="W1226" s="30"/>
      <c r="X1226" s="30"/>
      <c r="Y1226" s="30"/>
      <c r="Z1226" s="30"/>
    </row>
    <row r="1227">
      <c r="A1227" s="30"/>
      <c r="B1227" s="30"/>
      <c r="C1227" s="30"/>
      <c r="D1227" s="30"/>
      <c r="E1227" s="30"/>
      <c r="F1227" s="30"/>
      <c r="G1227" s="30"/>
      <c r="H1227" s="30"/>
      <c r="I1227" s="30"/>
      <c r="J1227" s="30"/>
      <c r="K1227" s="30"/>
      <c r="L1227" s="30"/>
      <c r="M1227" s="30"/>
      <c r="N1227" s="30"/>
      <c r="O1227" s="30"/>
      <c r="P1227" s="30"/>
      <c r="Q1227" s="30"/>
      <c r="R1227" s="30"/>
      <c r="S1227" s="30"/>
      <c r="T1227" s="30"/>
      <c r="U1227" s="30"/>
      <c r="V1227" s="30"/>
      <c r="W1227" s="30"/>
      <c r="X1227" s="30"/>
      <c r="Y1227" s="30"/>
      <c r="Z1227" s="30"/>
    </row>
    <row r="1228">
      <c r="A1228" s="30"/>
      <c r="B1228" s="30"/>
      <c r="C1228" s="30"/>
      <c r="D1228" s="30"/>
      <c r="E1228" s="30"/>
      <c r="F1228" s="30"/>
      <c r="G1228" s="30"/>
      <c r="H1228" s="30"/>
      <c r="I1228" s="30"/>
      <c r="J1228" s="30"/>
      <c r="K1228" s="30"/>
      <c r="L1228" s="30"/>
      <c r="M1228" s="30"/>
      <c r="N1228" s="30"/>
      <c r="O1228" s="30"/>
      <c r="P1228" s="30"/>
      <c r="Q1228" s="30"/>
      <c r="R1228" s="30"/>
      <c r="S1228" s="30"/>
      <c r="T1228" s="30"/>
      <c r="U1228" s="30"/>
      <c r="V1228" s="30"/>
      <c r="W1228" s="30"/>
      <c r="X1228" s="30"/>
      <c r="Y1228" s="30"/>
      <c r="Z1228" s="30"/>
    </row>
    <row r="1229">
      <c r="A1229" s="30"/>
      <c r="B1229" s="30"/>
      <c r="C1229" s="30"/>
      <c r="D1229" s="30"/>
      <c r="E1229" s="30"/>
      <c r="F1229" s="30"/>
      <c r="G1229" s="30"/>
      <c r="H1229" s="30"/>
      <c r="I1229" s="30"/>
      <c r="J1229" s="30"/>
      <c r="K1229" s="30"/>
      <c r="L1229" s="30"/>
      <c r="M1229" s="30"/>
      <c r="N1229" s="30"/>
      <c r="O1229" s="30"/>
      <c r="P1229" s="30"/>
      <c r="Q1229" s="30"/>
      <c r="R1229" s="30"/>
      <c r="S1229" s="30"/>
      <c r="T1229" s="30"/>
      <c r="U1229" s="30"/>
      <c r="V1229" s="30"/>
      <c r="W1229" s="30"/>
      <c r="X1229" s="30"/>
      <c r="Y1229" s="30"/>
      <c r="Z1229" s="30"/>
    </row>
    <row r="1230">
      <c r="A1230" s="30"/>
      <c r="B1230" s="30"/>
      <c r="C1230" s="30"/>
      <c r="D1230" s="30"/>
      <c r="E1230" s="30"/>
      <c r="F1230" s="30"/>
      <c r="G1230" s="30"/>
      <c r="H1230" s="30"/>
      <c r="I1230" s="30"/>
      <c r="J1230" s="30"/>
      <c r="K1230" s="30"/>
      <c r="L1230" s="30"/>
      <c r="M1230" s="30"/>
      <c r="N1230" s="30"/>
      <c r="O1230" s="30"/>
      <c r="P1230" s="30"/>
      <c r="Q1230" s="30"/>
      <c r="R1230" s="30"/>
      <c r="S1230" s="30"/>
      <c r="T1230" s="30"/>
      <c r="U1230" s="30"/>
      <c r="V1230" s="30"/>
      <c r="W1230" s="30"/>
      <c r="X1230" s="30"/>
      <c r="Y1230" s="30"/>
      <c r="Z1230" s="30"/>
    </row>
    <row r="1231">
      <c r="A1231" s="30"/>
      <c r="B1231" s="30"/>
      <c r="C1231" s="30"/>
      <c r="D1231" s="30"/>
      <c r="E1231" s="30"/>
      <c r="F1231" s="30"/>
      <c r="G1231" s="30"/>
      <c r="H1231" s="30"/>
      <c r="I1231" s="30"/>
      <c r="J1231" s="30"/>
      <c r="K1231" s="30"/>
      <c r="L1231" s="30"/>
      <c r="M1231" s="30"/>
      <c r="N1231" s="30"/>
      <c r="O1231" s="30"/>
      <c r="P1231" s="30"/>
      <c r="Q1231" s="30"/>
      <c r="R1231" s="30"/>
      <c r="S1231" s="30"/>
      <c r="T1231" s="30"/>
      <c r="U1231" s="30"/>
      <c r="V1231" s="30"/>
      <c r="W1231" s="30"/>
      <c r="X1231" s="30"/>
      <c r="Y1231" s="30"/>
      <c r="Z1231" s="30"/>
    </row>
    <row r="1232">
      <c r="A1232" s="30"/>
      <c r="B1232" s="30"/>
      <c r="C1232" s="30"/>
      <c r="D1232" s="30"/>
      <c r="E1232" s="30"/>
      <c r="F1232" s="30"/>
      <c r="G1232" s="30"/>
      <c r="H1232" s="30"/>
      <c r="I1232" s="30"/>
      <c r="J1232" s="30"/>
      <c r="K1232" s="30"/>
      <c r="L1232" s="30"/>
      <c r="M1232" s="30"/>
      <c r="N1232" s="30"/>
      <c r="O1232" s="30"/>
      <c r="P1232" s="30"/>
      <c r="Q1232" s="30"/>
      <c r="R1232" s="30"/>
      <c r="S1232" s="30"/>
      <c r="T1232" s="30"/>
      <c r="U1232" s="30"/>
      <c r="V1232" s="30"/>
      <c r="W1232" s="30"/>
      <c r="X1232" s="30"/>
      <c r="Y1232" s="30"/>
      <c r="Z1232" s="30"/>
    </row>
    <row r="1233">
      <c r="A1233" s="30"/>
      <c r="B1233" s="30"/>
      <c r="C1233" s="30"/>
      <c r="D1233" s="30"/>
      <c r="E1233" s="30"/>
      <c r="F1233" s="30"/>
      <c r="G1233" s="30"/>
      <c r="H1233" s="30"/>
      <c r="I1233" s="30"/>
      <c r="J1233" s="30"/>
      <c r="K1233" s="30"/>
      <c r="L1233" s="30"/>
      <c r="M1233" s="30"/>
      <c r="N1233" s="30"/>
      <c r="O1233" s="30"/>
      <c r="P1233" s="30"/>
      <c r="Q1233" s="30"/>
      <c r="R1233" s="30"/>
      <c r="S1233" s="30"/>
      <c r="T1233" s="30"/>
      <c r="U1233" s="30"/>
      <c r="V1233" s="30"/>
      <c r="W1233" s="30"/>
      <c r="X1233" s="30"/>
      <c r="Y1233" s="30"/>
      <c r="Z1233" s="30"/>
    </row>
    <row r="1234">
      <c r="A1234" s="30"/>
      <c r="B1234" s="30"/>
      <c r="C1234" s="30"/>
      <c r="D1234" s="30"/>
      <c r="E1234" s="30"/>
      <c r="F1234" s="30"/>
      <c r="G1234" s="30"/>
      <c r="H1234" s="30"/>
      <c r="I1234" s="30"/>
      <c r="J1234" s="30"/>
      <c r="K1234" s="30"/>
      <c r="L1234" s="30"/>
      <c r="M1234" s="30"/>
      <c r="N1234" s="30"/>
      <c r="O1234" s="30"/>
      <c r="P1234" s="30"/>
      <c r="Q1234" s="30"/>
      <c r="R1234" s="30"/>
      <c r="S1234" s="30"/>
      <c r="T1234" s="30"/>
      <c r="U1234" s="30"/>
      <c r="V1234" s="30"/>
      <c r="W1234" s="30"/>
      <c r="X1234" s="30"/>
      <c r="Y1234" s="30"/>
      <c r="Z1234" s="30"/>
    </row>
    <row r="1235">
      <c r="A1235" s="30"/>
      <c r="B1235" s="30"/>
      <c r="C1235" s="30"/>
      <c r="D1235" s="30"/>
      <c r="E1235" s="30"/>
      <c r="F1235" s="30"/>
      <c r="G1235" s="30"/>
      <c r="H1235" s="30"/>
      <c r="I1235" s="30"/>
      <c r="J1235" s="30"/>
      <c r="K1235" s="30"/>
      <c r="L1235" s="30"/>
      <c r="M1235" s="30"/>
      <c r="N1235" s="30"/>
      <c r="O1235" s="30"/>
      <c r="P1235" s="30"/>
      <c r="Q1235" s="30"/>
      <c r="R1235" s="30"/>
      <c r="S1235" s="30"/>
      <c r="T1235" s="30"/>
      <c r="U1235" s="30"/>
      <c r="V1235" s="30"/>
      <c r="W1235" s="30"/>
      <c r="X1235" s="30"/>
      <c r="Y1235" s="30"/>
      <c r="Z1235" s="30"/>
    </row>
    <row r="1236">
      <c r="A1236" s="30"/>
      <c r="B1236" s="30"/>
      <c r="C1236" s="30"/>
      <c r="D1236" s="30"/>
      <c r="E1236" s="30"/>
      <c r="F1236" s="30"/>
      <c r="G1236" s="30"/>
      <c r="H1236" s="30"/>
      <c r="I1236" s="30"/>
      <c r="J1236" s="30"/>
      <c r="K1236" s="30"/>
      <c r="L1236" s="30"/>
      <c r="M1236" s="30"/>
      <c r="N1236" s="30"/>
      <c r="O1236" s="30"/>
      <c r="P1236" s="30"/>
      <c r="Q1236" s="30"/>
      <c r="R1236" s="30"/>
      <c r="S1236" s="30"/>
      <c r="T1236" s="30"/>
      <c r="U1236" s="30"/>
      <c r="V1236" s="30"/>
      <c r="W1236" s="30"/>
      <c r="X1236" s="30"/>
      <c r="Y1236" s="30"/>
      <c r="Z1236" s="30"/>
    </row>
    <row r="1237">
      <c r="A1237" s="30"/>
      <c r="B1237" s="30"/>
      <c r="C1237" s="30"/>
      <c r="D1237" s="30"/>
      <c r="E1237" s="30"/>
      <c r="F1237" s="30"/>
      <c r="G1237" s="30"/>
      <c r="H1237" s="30"/>
      <c r="I1237" s="30"/>
      <c r="J1237" s="30"/>
      <c r="K1237" s="30"/>
      <c r="L1237" s="30"/>
      <c r="M1237" s="30"/>
      <c r="N1237" s="30"/>
      <c r="O1237" s="30"/>
      <c r="P1237" s="30"/>
      <c r="Q1237" s="30"/>
      <c r="R1237" s="30"/>
      <c r="S1237" s="30"/>
      <c r="T1237" s="30"/>
      <c r="U1237" s="30"/>
      <c r="V1237" s="30"/>
      <c r="W1237" s="30"/>
      <c r="X1237" s="30"/>
      <c r="Y1237" s="30"/>
      <c r="Z1237" s="30"/>
    </row>
    <row r="1238">
      <c r="A1238" s="30"/>
      <c r="B1238" s="30"/>
      <c r="C1238" s="30"/>
      <c r="D1238" s="30"/>
      <c r="E1238" s="30"/>
      <c r="F1238" s="30"/>
      <c r="G1238" s="30"/>
      <c r="H1238" s="30"/>
      <c r="I1238" s="30"/>
      <c r="J1238" s="30"/>
      <c r="K1238" s="30"/>
      <c r="L1238" s="30"/>
      <c r="M1238" s="30"/>
      <c r="N1238" s="30"/>
      <c r="O1238" s="30"/>
      <c r="P1238" s="30"/>
      <c r="Q1238" s="30"/>
      <c r="R1238" s="30"/>
      <c r="S1238" s="30"/>
      <c r="T1238" s="30"/>
      <c r="U1238" s="30"/>
      <c r="V1238" s="30"/>
      <c r="W1238" s="30"/>
      <c r="X1238" s="30"/>
      <c r="Y1238" s="30"/>
      <c r="Z1238" s="30"/>
    </row>
    <row r="1239">
      <c r="A1239" s="30"/>
      <c r="B1239" s="30"/>
      <c r="C1239" s="30"/>
      <c r="D1239" s="30"/>
      <c r="E1239" s="30"/>
      <c r="F1239" s="30"/>
      <c r="G1239" s="30"/>
      <c r="H1239" s="30"/>
      <c r="I1239" s="30"/>
      <c r="J1239" s="30"/>
      <c r="K1239" s="30"/>
      <c r="L1239" s="30"/>
      <c r="M1239" s="30"/>
      <c r="N1239" s="30"/>
      <c r="O1239" s="30"/>
      <c r="P1239" s="30"/>
      <c r="Q1239" s="30"/>
      <c r="R1239" s="30"/>
      <c r="S1239" s="30"/>
      <c r="T1239" s="30"/>
      <c r="U1239" s="30"/>
      <c r="V1239" s="30"/>
      <c r="W1239" s="30"/>
      <c r="X1239" s="30"/>
      <c r="Y1239" s="30"/>
      <c r="Z1239" s="30"/>
    </row>
    <row r="1240">
      <c r="A1240" s="30"/>
      <c r="B1240" s="30"/>
      <c r="C1240" s="30"/>
      <c r="D1240" s="30"/>
      <c r="E1240" s="30"/>
      <c r="F1240" s="30"/>
      <c r="G1240" s="30"/>
      <c r="H1240" s="30"/>
      <c r="I1240" s="30"/>
      <c r="J1240" s="30"/>
      <c r="K1240" s="30"/>
      <c r="L1240" s="30"/>
      <c r="M1240" s="30"/>
      <c r="N1240" s="30"/>
      <c r="O1240" s="30"/>
      <c r="P1240" s="30"/>
      <c r="Q1240" s="30"/>
      <c r="R1240" s="30"/>
      <c r="S1240" s="30"/>
      <c r="T1240" s="30"/>
      <c r="U1240" s="30"/>
      <c r="V1240" s="30"/>
      <c r="W1240" s="30"/>
      <c r="X1240" s="30"/>
      <c r="Y1240" s="30"/>
      <c r="Z1240" s="30"/>
    </row>
    <row r="1241">
      <c r="A1241" s="30"/>
      <c r="B1241" s="30"/>
      <c r="C1241" s="30"/>
      <c r="D1241" s="30"/>
      <c r="E1241" s="30"/>
      <c r="F1241" s="30"/>
      <c r="G1241" s="30"/>
      <c r="H1241" s="30"/>
      <c r="I1241" s="30"/>
      <c r="J1241" s="30"/>
      <c r="K1241" s="30"/>
      <c r="L1241" s="30"/>
      <c r="M1241" s="30"/>
      <c r="N1241" s="30"/>
      <c r="O1241" s="30"/>
      <c r="P1241" s="30"/>
      <c r="Q1241" s="30"/>
      <c r="R1241" s="30"/>
      <c r="S1241" s="30"/>
      <c r="T1241" s="30"/>
      <c r="U1241" s="30"/>
      <c r="V1241" s="30"/>
      <c r="W1241" s="30"/>
      <c r="X1241" s="30"/>
      <c r="Y1241" s="30"/>
      <c r="Z1241" s="30"/>
    </row>
    <row r="1242">
      <c r="A1242" s="30"/>
      <c r="B1242" s="30"/>
      <c r="C1242" s="30"/>
      <c r="D1242" s="30"/>
      <c r="E1242" s="30"/>
      <c r="F1242" s="30"/>
      <c r="G1242" s="30"/>
      <c r="H1242" s="30"/>
      <c r="I1242" s="30"/>
      <c r="J1242" s="30"/>
      <c r="K1242" s="30"/>
      <c r="L1242" s="30"/>
      <c r="M1242" s="30"/>
      <c r="N1242" s="30"/>
      <c r="O1242" s="30"/>
      <c r="P1242" s="30"/>
      <c r="Q1242" s="30"/>
      <c r="R1242" s="30"/>
      <c r="S1242" s="30"/>
      <c r="T1242" s="30"/>
      <c r="U1242" s="30"/>
      <c r="V1242" s="30"/>
      <c r="W1242" s="30"/>
      <c r="X1242" s="30"/>
      <c r="Y1242" s="30"/>
      <c r="Z1242" s="30"/>
    </row>
    <row r="1243">
      <c r="A1243" s="30"/>
      <c r="B1243" s="30"/>
      <c r="C1243" s="30"/>
      <c r="D1243" s="30"/>
      <c r="E1243" s="30"/>
      <c r="F1243" s="30"/>
      <c r="G1243" s="30"/>
      <c r="H1243" s="30"/>
      <c r="I1243" s="30"/>
      <c r="J1243" s="30"/>
      <c r="K1243" s="30"/>
      <c r="L1243" s="30"/>
      <c r="M1243" s="30"/>
      <c r="N1243" s="30"/>
      <c r="O1243" s="30"/>
      <c r="P1243" s="30"/>
      <c r="Q1243" s="30"/>
      <c r="R1243" s="30"/>
      <c r="S1243" s="30"/>
      <c r="T1243" s="30"/>
      <c r="U1243" s="30"/>
      <c r="V1243" s="30"/>
      <c r="W1243" s="30"/>
      <c r="X1243" s="30"/>
      <c r="Y1243" s="30"/>
      <c r="Z1243" s="30"/>
    </row>
    <row r="1244">
      <c r="A1244" s="30"/>
      <c r="B1244" s="30"/>
      <c r="C1244" s="30"/>
      <c r="D1244" s="30"/>
      <c r="E1244" s="30"/>
      <c r="F1244" s="30"/>
      <c r="G1244" s="30"/>
      <c r="H1244" s="30"/>
      <c r="I1244" s="30"/>
      <c r="J1244" s="30"/>
      <c r="K1244" s="30"/>
      <c r="L1244" s="30"/>
      <c r="M1244" s="30"/>
      <c r="N1244" s="30"/>
      <c r="O1244" s="30"/>
      <c r="P1244" s="30"/>
      <c r="Q1244" s="30"/>
      <c r="R1244" s="30"/>
      <c r="S1244" s="30"/>
      <c r="T1244" s="30"/>
      <c r="U1244" s="30"/>
      <c r="V1244" s="30"/>
      <c r="W1244" s="30"/>
      <c r="X1244" s="30"/>
      <c r="Y1244" s="30"/>
      <c r="Z1244" s="30"/>
    </row>
    <row r="1245">
      <c r="A1245" s="30"/>
      <c r="B1245" s="30"/>
      <c r="C1245" s="30"/>
      <c r="D1245" s="30"/>
      <c r="E1245" s="30"/>
      <c r="F1245" s="30"/>
      <c r="G1245" s="30"/>
      <c r="H1245" s="30"/>
      <c r="I1245" s="30"/>
      <c r="J1245" s="30"/>
      <c r="K1245" s="30"/>
      <c r="L1245" s="30"/>
      <c r="M1245" s="30"/>
      <c r="N1245" s="30"/>
      <c r="O1245" s="30"/>
      <c r="P1245" s="30"/>
      <c r="Q1245" s="30"/>
      <c r="R1245" s="30"/>
      <c r="S1245" s="30"/>
      <c r="T1245" s="30"/>
      <c r="U1245" s="30"/>
      <c r="V1245" s="30"/>
      <c r="W1245" s="30"/>
      <c r="X1245" s="30"/>
      <c r="Y1245" s="30"/>
      <c r="Z1245" s="30"/>
    </row>
    <row r="1246">
      <c r="A1246" s="30"/>
      <c r="B1246" s="30"/>
      <c r="C1246" s="30"/>
      <c r="D1246" s="30"/>
      <c r="E1246" s="30"/>
      <c r="F1246" s="30"/>
      <c r="G1246" s="30"/>
      <c r="H1246" s="30"/>
      <c r="I1246" s="30"/>
      <c r="J1246" s="30"/>
      <c r="K1246" s="30"/>
      <c r="L1246" s="30"/>
      <c r="M1246" s="30"/>
      <c r="N1246" s="30"/>
      <c r="O1246" s="30"/>
      <c r="P1246" s="30"/>
      <c r="Q1246" s="30"/>
      <c r="R1246" s="30"/>
      <c r="S1246" s="30"/>
      <c r="T1246" s="30"/>
      <c r="U1246" s="30"/>
      <c r="V1246" s="30"/>
      <c r="W1246" s="30"/>
      <c r="X1246" s="30"/>
      <c r="Y1246" s="30"/>
      <c r="Z1246" s="30"/>
    </row>
    <row r="1247">
      <c r="A1247" s="30"/>
      <c r="B1247" s="30"/>
      <c r="C1247" s="30"/>
      <c r="D1247" s="30"/>
      <c r="E1247" s="30"/>
      <c r="F1247" s="30"/>
      <c r="G1247" s="30"/>
      <c r="H1247" s="30"/>
      <c r="I1247" s="30"/>
      <c r="J1247" s="30"/>
      <c r="K1247" s="30"/>
      <c r="L1247" s="30"/>
      <c r="M1247" s="30"/>
      <c r="N1247" s="30"/>
      <c r="O1247" s="30"/>
      <c r="P1247" s="30"/>
      <c r="Q1247" s="30"/>
      <c r="R1247" s="30"/>
      <c r="S1247" s="30"/>
      <c r="T1247" s="30"/>
      <c r="U1247" s="30"/>
      <c r="V1247" s="30"/>
      <c r="W1247" s="30"/>
      <c r="X1247" s="30"/>
      <c r="Y1247" s="30"/>
      <c r="Z1247" s="30"/>
    </row>
    <row r="1248">
      <c r="A1248" s="30"/>
      <c r="B1248" s="30"/>
      <c r="C1248" s="30"/>
      <c r="D1248" s="30"/>
      <c r="E1248" s="30"/>
      <c r="F1248" s="30"/>
      <c r="G1248" s="30"/>
      <c r="H1248" s="30"/>
      <c r="I1248" s="30"/>
      <c r="J1248" s="30"/>
      <c r="K1248" s="30"/>
      <c r="L1248" s="30"/>
      <c r="M1248" s="30"/>
      <c r="N1248" s="30"/>
      <c r="O1248" s="30"/>
      <c r="P1248" s="30"/>
      <c r="Q1248" s="30"/>
      <c r="R1248" s="30"/>
      <c r="S1248" s="30"/>
      <c r="T1248" s="30"/>
      <c r="U1248" s="30"/>
      <c r="V1248" s="30"/>
      <c r="W1248" s="30"/>
      <c r="X1248" s="30"/>
      <c r="Y1248" s="30"/>
      <c r="Z1248" s="30"/>
    </row>
    <row r="1249">
      <c r="A1249" s="30"/>
      <c r="B1249" s="30"/>
      <c r="C1249" s="30"/>
      <c r="D1249" s="30"/>
      <c r="E1249" s="30"/>
      <c r="F1249" s="30"/>
      <c r="G1249" s="30"/>
      <c r="H1249" s="30"/>
      <c r="I1249" s="30"/>
      <c r="J1249" s="30"/>
      <c r="K1249" s="30"/>
      <c r="L1249" s="30"/>
      <c r="M1249" s="30"/>
      <c r="N1249" s="30"/>
      <c r="O1249" s="30"/>
      <c r="P1249" s="30"/>
      <c r="Q1249" s="30"/>
      <c r="R1249" s="30"/>
      <c r="S1249" s="30"/>
      <c r="T1249" s="30"/>
      <c r="U1249" s="30"/>
      <c r="V1249" s="30"/>
      <c r="W1249" s="30"/>
      <c r="X1249" s="30"/>
      <c r="Y1249" s="30"/>
      <c r="Z1249" s="30"/>
    </row>
    <row r="1250">
      <c r="A1250" s="30"/>
      <c r="B1250" s="30"/>
      <c r="C1250" s="30"/>
      <c r="D1250" s="30"/>
      <c r="E1250" s="30"/>
      <c r="F1250" s="30"/>
      <c r="G1250" s="30"/>
      <c r="H1250" s="30"/>
      <c r="I1250" s="30"/>
      <c r="J1250" s="30"/>
      <c r="K1250" s="30"/>
      <c r="L1250" s="30"/>
      <c r="M1250" s="30"/>
      <c r="N1250" s="30"/>
      <c r="O1250" s="30"/>
      <c r="P1250" s="30"/>
      <c r="Q1250" s="30"/>
      <c r="R1250" s="30"/>
      <c r="S1250" s="30"/>
      <c r="T1250" s="30"/>
      <c r="U1250" s="30"/>
      <c r="V1250" s="30"/>
      <c r="W1250" s="30"/>
      <c r="X1250" s="30"/>
      <c r="Y1250" s="30"/>
      <c r="Z1250" s="30"/>
    </row>
    <row r="1251">
      <c r="A1251" s="30"/>
      <c r="B1251" s="30"/>
      <c r="C1251" s="30"/>
      <c r="D1251" s="30"/>
      <c r="E1251" s="30"/>
      <c r="F1251" s="30"/>
      <c r="G1251" s="30"/>
      <c r="H1251" s="30"/>
      <c r="I1251" s="30"/>
      <c r="J1251" s="30"/>
      <c r="K1251" s="30"/>
      <c r="L1251" s="30"/>
      <c r="M1251" s="30"/>
      <c r="N1251" s="30"/>
      <c r="O1251" s="30"/>
      <c r="P1251" s="30"/>
      <c r="Q1251" s="30"/>
      <c r="R1251" s="30"/>
      <c r="S1251" s="30"/>
      <c r="T1251" s="30"/>
      <c r="U1251" s="30"/>
      <c r="V1251" s="30"/>
      <c r="W1251" s="30"/>
      <c r="X1251" s="30"/>
      <c r="Y1251" s="30"/>
      <c r="Z1251" s="30"/>
    </row>
    <row r="1252">
      <c r="A1252" s="30"/>
      <c r="B1252" s="30"/>
      <c r="C1252" s="30"/>
      <c r="D1252" s="30"/>
      <c r="E1252" s="30"/>
      <c r="F1252" s="30"/>
      <c r="G1252" s="30"/>
      <c r="H1252" s="30"/>
      <c r="I1252" s="30"/>
      <c r="J1252" s="30"/>
      <c r="K1252" s="30"/>
      <c r="L1252" s="30"/>
      <c r="M1252" s="30"/>
      <c r="N1252" s="30"/>
      <c r="O1252" s="30"/>
      <c r="P1252" s="30"/>
      <c r="Q1252" s="30"/>
      <c r="R1252" s="30"/>
      <c r="S1252" s="30"/>
      <c r="T1252" s="30"/>
      <c r="U1252" s="30"/>
      <c r="V1252" s="30"/>
      <c r="W1252" s="30"/>
      <c r="X1252" s="30"/>
      <c r="Y1252" s="30"/>
      <c r="Z1252" s="30"/>
    </row>
    <row r="1253">
      <c r="A1253" s="30"/>
      <c r="B1253" s="30"/>
      <c r="C1253" s="30"/>
      <c r="D1253" s="30"/>
      <c r="E1253" s="30"/>
      <c r="F1253" s="30"/>
      <c r="G1253" s="30"/>
      <c r="H1253" s="30"/>
      <c r="I1253" s="30"/>
      <c r="J1253" s="30"/>
      <c r="K1253" s="30"/>
      <c r="L1253" s="30"/>
      <c r="M1253" s="30"/>
      <c r="N1253" s="30"/>
      <c r="O1253" s="30"/>
      <c r="P1253" s="30"/>
      <c r="Q1253" s="30"/>
      <c r="R1253" s="30"/>
      <c r="S1253" s="30"/>
      <c r="T1253" s="30"/>
      <c r="U1253" s="30"/>
      <c r="V1253" s="30"/>
      <c r="W1253" s="30"/>
      <c r="X1253" s="30"/>
      <c r="Y1253" s="30"/>
      <c r="Z1253" s="30"/>
    </row>
    <row r="1254">
      <c r="A1254" s="30"/>
      <c r="B1254" s="30"/>
      <c r="C1254" s="30"/>
      <c r="D1254" s="30"/>
      <c r="E1254" s="30"/>
      <c r="F1254" s="30"/>
      <c r="G1254" s="30"/>
      <c r="H1254" s="30"/>
      <c r="I1254" s="30"/>
      <c r="J1254" s="30"/>
      <c r="K1254" s="30"/>
      <c r="L1254" s="30"/>
      <c r="M1254" s="30"/>
      <c r="N1254" s="30"/>
      <c r="O1254" s="30"/>
      <c r="P1254" s="30"/>
      <c r="Q1254" s="30"/>
      <c r="R1254" s="30"/>
      <c r="S1254" s="30"/>
      <c r="T1254" s="30"/>
      <c r="U1254" s="30"/>
      <c r="V1254" s="30"/>
      <c r="W1254" s="30"/>
      <c r="X1254" s="30"/>
      <c r="Y1254" s="30"/>
      <c r="Z1254" s="30"/>
    </row>
    <row r="1255">
      <c r="A1255" s="30"/>
      <c r="B1255" s="30"/>
      <c r="C1255" s="30"/>
      <c r="D1255" s="30"/>
      <c r="E1255" s="30"/>
      <c r="F1255" s="30"/>
      <c r="G1255" s="30"/>
      <c r="H1255" s="30"/>
      <c r="I1255" s="30"/>
      <c r="J1255" s="30"/>
      <c r="K1255" s="30"/>
      <c r="L1255" s="30"/>
      <c r="M1255" s="30"/>
      <c r="N1255" s="30"/>
      <c r="O1255" s="30"/>
      <c r="P1255" s="30"/>
      <c r="Q1255" s="30"/>
      <c r="R1255" s="30"/>
      <c r="S1255" s="30"/>
      <c r="T1255" s="30"/>
      <c r="U1255" s="30"/>
      <c r="V1255" s="30"/>
      <c r="W1255" s="30"/>
      <c r="X1255" s="30"/>
      <c r="Y1255" s="30"/>
      <c r="Z1255" s="30"/>
    </row>
    <row r="1256">
      <c r="A1256" s="30"/>
      <c r="B1256" s="30"/>
      <c r="C1256" s="30"/>
      <c r="D1256" s="30"/>
      <c r="E1256" s="30"/>
      <c r="F1256" s="30"/>
      <c r="G1256" s="30"/>
      <c r="H1256" s="30"/>
      <c r="I1256" s="30"/>
      <c r="J1256" s="30"/>
      <c r="K1256" s="30"/>
      <c r="L1256" s="30"/>
      <c r="M1256" s="30"/>
      <c r="N1256" s="30"/>
      <c r="O1256" s="30"/>
      <c r="P1256" s="30"/>
      <c r="Q1256" s="30"/>
      <c r="R1256" s="30"/>
      <c r="S1256" s="30"/>
      <c r="T1256" s="30"/>
      <c r="U1256" s="30"/>
      <c r="V1256" s="30"/>
      <c r="W1256" s="30"/>
      <c r="X1256" s="30"/>
      <c r="Y1256" s="30"/>
      <c r="Z1256" s="30"/>
    </row>
    <row r="1257">
      <c r="A1257" s="30"/>
      <c r="B1257" s="30"/>
      <c r="C1257" s="30"/>
      <c r="D1257" s="30"/>
      <c r="E1257" s="30"/>
      <c r="F1257" s="30"/>
      <c r="G1257" s="30"/>
      <c r="H1257" s="30"/>
      <c r="I1257" s="30"/>
      <c r="J1257" s="30"/>
      <c r="K1257" s="30"/>
      <c r="L1257" s="30"/>
      <c r="M1257" s="30"/>
      <c r="N1257" s="30"/>
      <c r="O1257" s="30"/>
      <c r="P1257" s="30"/>
      <c r="Q1257" s="30"/>
      <c r="R1257" s="30"/>
      <c r="S1257" s="30"/>
      <c r="T1257" s="30"/>
      <c r="U1257" s="30"/>
      <c r="V1257" s="30"/>
      <c r="W1257" s="30"/>
      <c r="X1257" s="30"/>
      <c r="Y1257" s="30"/>
      <c r="Z1257" s="30"/>
    </row>
    <row r="1258">
      <c r="A1258" s="30"/>
      <c r="B1258" s="30"/>
      <c r="C1258" s="30"/>
      <c r="D1258" s="30"/>
      <c r="E1258" s="30"/>
      <c r="F1258" s="30"/>
      <c r="G1258" s="30"/>
      <c r="H1258" s="30"/>
      <c r="I1258" s="30"/>
      <c r="J1258" s="30"/>
      <c r="K1258" s="30"/>
      <c r="L1258" s="30"/>
      <c r="M1258" s="30"/>
      <c r="N1258" s="30"/>
      <c r="O1258" s="30"/>
      <c r="P1258" s="30"/>
      <c r="Q1258" s="30"/>
      <c r="R1258" s="30"/>
      <c r="S1258" s="30"/>
      <c r="T1258" s="30"/>
      <c r="U1258" s="30"/>
      <c r="V1258" s="30"/>
      <c r="W1258" s="30"/>
      <c r="X1258" s="30"/>
      <c r="Y1258" s="30"/>
      <c r="Z1258" s="30"/>
    </row>
    <row r="1259">
      <c r="A1259" s="30"/>
      <c r="B1259" s="30"/>
      <c r="C1259" s="30"/>
      <c r="D1259" s="30"/>
      <c r="E1259" s="30"/>
      <c r="F1259" s="30"/>
      <c r="G1259" s="30"/>
      <c r="H1259" s="30"/>
      <c r="I1259" s="30"/>
      <c r="J1259" s="30"/>
      <c r="K1259" s="30"/>
      <c r="L1259" s="30"/>
      <c r="M1259" s="30"/>
      <c r="N1259" s="30"/>
      <c r="O1259" s="30"/>
      <c r="P1259" s="30"/>
      <c r="Q1259" s="30"/>
      <c r="R1259" s="30"/>
      <c r="S1259" s="30"/>
      <c r="T1259" s="30"/>
      <c r="U1259" s="30"/>
      <c r="V1259" s="30"/>
      <c r="W1259" s="30"/>
      <c r="X1259" s="30"/>
      <c r="Y1259" s="30"/>
      <c r="Z1259" s="30"/>
    </row>
    <row r="1260">
      <c r="A1260" s="30"/>
      <c r="B1260" s="30"/>
      <c r="C1260" s="30"/>
      <c r="D1260" s="30"/>
      <c r="E1260" s="30"/>
      <c r="F1260" s="30"/>
      <c r="G1260" s="30"/>
      <c r="H1260" s="30"/>
      <c r="I1260" s="30"/>
      <c r="J1260" s="30"/>
      <c r="K1260" s="30"/>
      <c r="L1260" s="30"/>
      <c r="M1260" s="30"/>
      <c r="N1260" s="30"/>
      <c r="O1260" s="30"/>
      <c r="P1260" s="30"/>
      <c r="Q1260" s="30"/>
      <c r="R1260" s="30"/>
      <c r="S1260" s="30"/>
      <c r="T1260" s="30"/>
      <c r="U1260" s="30"/>
      <c r="V1260" s="30"/>
      <c r="W1260" s="30"/>
      <c r="X1260" s="30"/>
      <c r="Y1260" s="30"/>
      <c r="Z1260" s="30"/>
    </row>
    <row r="1261">
      <c r="A1261" s="30"/>
      <c r="B1261" s="30"/>
      <c r="C1261" s="30"/>
      <c r="D1261" s="30"/>
      <c r="E1261" s="30"/>
      <c r="F1261" s="30"/>
      <c r="G1261" s="30"/>
      <c r="H1261" s="30"/>
      <c r="I1261" s="30"/>
      <c r="J1261" s="30"/>
      <c r="K1261" s="30"/>
      <c r="L1261" s="30"/>
      <c r="M1261" s="30"/>
      <c r="N1261" s="30"/>
      <c r="O1261" s="30"/>
      <c r="P1261" s="30"/>
      <c r="Q1261" s="30"/>
      <c r="R1261" s="30"/>
      <c r="S1261" s="30"/>
      <c r="T1261" s="30"/>
      <c r="U1261" s="30"/>
      <c r="V1261" s="30"/>
      <c r="W1261" s="30"/>
      <c r="X1261" s="30"/>
      <c r="Y1261" s="30"/>
      <c r="Z1261" s="30"/>
    </row>
    <row r="1262">
      <c r="A1262" s="30"/>
      <c r="B1262" s="30"/>
      <c r="C1262" s="30"/>
      <c r="D1262" s="30"/>
      <c r="E1262" s="30"/>
      <c r="F1262" s="30"/>
      <c r="G1262" s="30"/>
      <c r="H1262" s="30"/>
      <c r="I1262" s="30"/>
      <c r="J1262" s="30"/>
      <c r="K1262" s="30"/>
      <c r="L1262" s="30"/>
      <c r="M1262" s="30"/>
      <c r="N1262" s="30"/>
      <c r="O1262" s="30"/>
      <c r="P1262" s="30"/>
      <c r="Q1262" s="30"/>
      <c r="R1262" s="30"/>
      <c r="S1262" s="30"/>
      <c r="T1262" s="30"/>
      <c r="U1262" s="30"/>
      <c r="V1262" s="30"/>
      <c r="W1262" s="30"/>
      <c r="X1262" s="30"/>
      <c r="Y1262" s="30"/>
      <c r="Z1262" s="30"/>
    </row>
    <row r="1263">
      <c r="A1263" s="30"/>
      <c r="B1263" s="30"/>
      <c r="C1263" s="30"/>
      <c r="D1263" s="30"/>
      <c r="E1263" s="30"/>
      <c r="F1263" s="30"/>
      <c r="G1263" s="30"/>
      <c r="H1263" s="30"/>
      <c r="I1263" s="30"/>
      <c r="J1263" s="30"/>
      <c r="K1263" s="30"/>
      <c r="L1263" s="30"/>
      <c r="M1263" s="30"/>
      <c r="N1263" s="30"/>
      <c r="O1263" s="30"/>
      <c r="P1263" s="30"/>
      <c r="Q1263" s="30"/>
      <c r="R1263" s="30"/>
      <c r="S1263" s="30"/>
      <c r="T1263" s="30"/>
      <c r="U1263" s="30"/>
      <c r="V1263" s="30"/>
      <c r="W1263" s="30"/>
      <c r="X1263" s="30"/>
      <c r="Y1263" s="30"/>
      <c r="Z1263" s="30"/>
    </row>
    <row r="1264">
      <c r="A1264" s="30"/>
      <c r="B1264" s="30"/>
      <c r="C1264" s="30"/>
      <c r="D1264" s="30"/>
      <c r="E1264" s="30"/>
      <c r="F1264" s="30"/>
      <c r="G1264" s="30"/>
      <c r="H1264" s="30"/>
      <c r="I1264" s="30"/>
      <c r="J1264" s="30"/>
      <c r="K1264" s="30"/>
      <c r="L1264" s="30"/>
      <c r="M1264" s="30"/>
      <c r="N1264" s="30"/>
      <c r="O1264" s="30"/>
      <c r="P1264" s="30"/>
      <c r="Q1264" s="30"/>
      <c r="R1264" s="30"/>
      <c r="S1264" s="30"/>
      <c r="T1264" s="30"/>
      <c r="U1264" s="30"/>
      <c r="V1264" s="30"/>
      <c r="W1264" s="30"/>
      <c r="X1264" s="30"/>
      <c r="Y1264" s="30"/>
      <c r="Z1264" s="30"/>
    </row>
    <row r="1265">
      <c r="A1265" s="30"/>
      <c r="B1265" s="30"/>
      <c r="C1265" s="30"/>
      <c r="D1265" s="30"/>
      <c r="E1265" s="30"/>
      <c r="F1265" s="30"/>
      <c r="G1265" s="30"/>
      <c r="H1265" s="30"/>
      <c r="I1265" s="30"/>
      <c r="J1265" s="30"/>
      <c r="K1265" s="30"/>
      <c r="L1265" s="30"/>
      <c r="M1265" s="30"/>
      <c r="N1265" s="30"/>
      <c r="O1265" s="30"/>
      <c r="P1265" s="30"/>
      <c r="Q1265" s="30"/>
      <c r="R1265" s="30"/>
      <c r="S1265" s="30"/>
      <c r="T1265" s="30"/>
      <c r="U1265" s="30"/>
      <c r="V1265" s="30"/>
      <c r="W1265" s="30"/>
      <c r="X1265" s="30"/>
      <c r="Y1265" s="30"/>
      <c r="Z1265" s="30"/>
    </row>
    <row r="1266">
      <c r="A1266" s="30"/>
      <c r="B1266" s="30"/>
      <c r="C1266" s="30"/>
      <c r="D1266" s="30"/>
      <c r="E1266" s="30"/>
      <c r="F1266" s="30"/>
      <c r="G1266" s="30"/>
      <c r="H1266" s="30"/>
      <c r="I1266" s="30"/>
      <c r="J1266" s="30"/>
      <c r="K1266" s="30"/>
      <c r="L1266" s="30"/>
      <c r="M1266" s="30"/>
      <c r="N1266" s="30"/>
      <c r="O1266" s="30"/>
      <c r="P1266" s="30"/>
      <c r="Q1266" s="30"/>
      <c r="R1266" s="30"/>
      <c r="S1266" s="30"/>
      <c r="T1266" s="30"/>
      <c r="U1266" s="30"/>
      <c r="V1266" s="30"/>
      <c r="W1266" s="30"/>
      <c r="X1266" s="30"/>
      <c r="Y1266" s="30"/>
      <c r="Z1266" s="30"/>
    </row>
    <row r="1267">
      <c r="A1267" s="30"/>
      <c r="B1267" s="30"/>
      <c r="C1267" s="30"/>
      <c r="D1267" s="30"/>
      <c r="E1267" s="30"/>
      <c r="F1267" s="30"/>
      <c r="G1267" s="30"/>
      <c r="H1267" s="30"/>
      <c r="I1267" s="30"/>
      <c r="J1267" s="30"/>
      <c r="K1267" s="30"/>
      <c r="L1267" s="30"/>
      <c r="M1267" s="30"/>
      <c r="N1267" s="30"/>
      <c r="O1267" s="30"/>
      <c r="P1267" s="30"/>
      <c r="Q1267" s="30"/>
      <c r="R1267" s="30"/>
      <c r="S1267" s="30"/>
      <c r="T1267" s="30"/>
      <c r="U1267" s="30"/>
      <c r="V1267" s="30"/>
      <c r="W1267" s="30"/>
      <c r="X1267" s="30"/>
      <c r="Y1267" s="30"/>
      <c r="Z1267" s="30"/>
    </row>
    <row r="1268">
      <c r="A1268" s="30"/>
      <c r="B1268" s="30"/>
      <c r="C1268" s="30"/>
      <c r="D1268" s="30"/>
      <c r="E1268" s="30"/>
      <c r="F1268" s="30"/>
      <c r="G1268" s="30"/>
      <c r="H1268" s="30"/>
      <c r="I1268" s="30"/>
      <c r="J1268" s="30"/>
      <c r="K1268" s="30"/>
      <c r="L1268" s="30"/>
      <c r="M1268" s="30"/>
      <c r="N1268" s="30"/>
      <c r="O1268" s="30"/>
      <c r="P1268" s="30"/>
      <c r="Q1268" s="30"/>
      <c r="R1268" s="30"/>
      <c r="S1268" s="30"/>
      <c r="T1268" s="30"/>
      <c r="U1268" s="30"/>
      <c r="V1268" s="30"/>
      <c r="W1268" s="30"/>
      <c r="X1268" s="30"/>
      <c r="Y1268" s="30"/>
      <c r="Z1268" s="30"/>
    </row>
    <row r="1269">
      <c r="A1269" s="30"/>
      <c r="B1269" s="30"/>
      <c r="C1269" s="30"/>
      <c r="D1269" s="30"/>
      <c r="E1269" s="30"/>
      <c r="F1269" s="30"/>
      <c r="G1269" s="30"/>
      <c r="H1269" s="30"/>
      <c r="I1269" s="30"/>
      <c r="J1269" s="30"/>
      <c r="K1269" s="30"/>
      <c r="L1269" s="30"/>
      <c r="M1269" s="30"/>
      <c r="N1269" s="30"/>
      <c r="O1269" s="30"/>
      <c r="P1269" s="30"/>
      <c r="Q1269" s="30"/>
      <c r="R1269" s="30"/>
      <c r="S1269" s="30"/>
      <c r="T1269" s="30"/>
      <c r="U1269" s="30"/>
      <c r="V1269" s="30"/>
      <c r="W1269" s="30"/>
      <c r="X1269" s="30"/>
      <c r="Y1269" s="30"/>
      <c r="Z1269" s="30"/>
    </row>
    <row r="1270">
      <c r="A1270" s="30"/>
      <c r="B1270" s="30"/>
      <c r="C1270" s="30"/>
      <c r="D1270" s="30"/>
      <c r="E1270" s="30"/>
      <c r="F1270" s="30"/>
      <c r="G1270" s="30"/>
      <c r="H1270" s="30"/>
      <c r="I1270" s="30"/>
      <c r="J1270" s="30"/>
      <c r="K1270" s="30"/>
      <c r="L1270" s="30"/>
      <c r="M1270" s="30"/>
      <c r="N1270" s="30"/>
      <c r="O1270" s="30"/>
      <c r="P1270" s="30"/>
      <c r="Q1270" s="30"/>
      <c r="R1270" s="30"/>
      <c r="S1270" s="30"/>
      <c r="T1270" s="30"/>
      <c r="U1270" s="30"/>
      <c r="V1270" s="30"/>
      <c r="W1270" s="30"/>
      <c r="X1270" s="30"/>
      <c r="Y1270" s="30"/>
      <c r="Z1270" s="30"/>
    </row>
    <row r="1271">
      <c r="A1271" s="30"/>
      <c r="B1271" s="30"/>
      <c r="C1271" s="30"/>
      <c r="D1271" s="30"/>
      <c r="E1271" s="30"/>
      <c r="F1271" s="30"/>
      <c r="G1271" s="30"/>
      <c r="H1271" s="30"/>
      <c r="I1271" s="30"/>
      <c r="J1271" s="30"/>
      <c r="K1271" s="30"/>
      <c r="L1271" s="30"/>
      <c r="M1271" s="30"/>
      <c r="N1271" s="30"/>
      <c r="O1271" s="30"/>
      <c r="P1271" s="30"/>
      <c r="Q1271" s="30"/>
      <c r="R1271" s="30"/>
      <c r="S1271" s="30"/>
      <c r="T1271" s="30"/>
      <c r="U1271" s="30"/>
      <c r="V1271" s="30"/>
      <c r="W1271" s="30"/>
      <c r="X1271" s="30"/>
      <c r="Y1271" s="30"/>
      <c r="Z1271" s="30"/>
    </row>
    <row r="1272">
      <c r="A1272" s="30"/>
      <c r="B1272" s="30"/>
      <c r="C1272" s="30"/>
      <c r="D1272" s="30"/>
      <c r="E1272" s="30"/>
      <c r="F1272" s="30"/>
      <c r="G1272" s="30"/>
      <c r="H1272" s="30"/>
      <c r="I1272" s="30"/>
      <c r="J1272" s="30"/>
      <c r="K1272" s="30"/>
      <c r="L1272" s="30"/>
      <c r="M1272" s="30"/>
      <c r="N1272" s="30"/>
      <c r="O1272" s="30"/>
      <c r="P1272" s="30"/>
      <c r="Q1272" s="30"/>
      <c r="R1272" s="30"/>
      <c r="S1272" s="30"/>
      <c r="T1272" s="30"/>
      <c r="U1272" s="30"/>
      <c r="V1272" s="30"/>
      <c r="W1272" s="30"/>
      <c r="X1272" s="30"/>
      <c r="Y1272" s="30"/>
      <c r="Z1272" s="30"/>
    </row>
    <row r="1273">
      <c r="A1273" s="30"/>
      <c r="B1273" s="30"/>
      <c r="C1273" s="30"/>
      <c r="D1273" s="30"/>
      <c r="E1273" s="30"/>
      <c r="F1273" s="30"/>
      <c r="G1273" s="30"/>
      <c r="H1273" s="30"/>
      <c r="I1273" s="30"/>
      <c r="J1273" s="30"/>
      <c r="K1273" s="30"/>
      <c r="L1273" s="30"/>
      <c r="M1273" s="30"/>
      <c r="N1273" s="30"/>
      <c r="O1273" s="30"/>
      <c r="P1273" s="30"/>
      <c r="Q1273" s="30"/>
      <c r="R1273" s="30"/>
      <c r="S1273" s="30"/>
      <c r="T1273" s="30"/>
      <c r="U1273" s="30"/>
      <c r="V1273" s="30"/>
      <c r="W1273" s="30"/>
      <c r="X1273" s="30"/>
      <c r="Y1273" s="30"/>
      <c r="Z1273" s="30"/>
    </row>
    <row r="1274">
      <c r="A1274" s="30"/>
      <c r="B1274" s="30"/>
      <c r="C1274" s="30"/>
      <c r="D1274" s="30"/>
      <c r="E1274" s="30"/>
      <c r="F1274" s="30"/>
      <c r="G1274" s="30"/>
      <c r="H1274" s="30"/>
      <c r="I1274" s="30"/>
      <c r="J1274" s="30"/>
      <c r="K1274" s="30"/>
      <c r="L1274" s="30"/>
      <c r="M1274" s="30"/>
      <c r="N1274" s="30"/>
      <c r="O1274" s="30"/>
      <c r="P1274" s="30"/>
      <c r="Q1274" s="30"/>
      <c r="R1274" s="30"/>
      <c r="S1274" s="30"/>
      <c r="T1274" s="30"/>
      <c r="U1274" s="30"/>
      <c r="V1274" s="30"/>
      <c r="W1274" s="30"/>
      <c r="X1274" s="30"/>
      <c r="Y1274" s="30"/>
      <c r="Z1274" s="30"/>
    </row>
    <row r="1275">
      <c r="A1275" s="30"/>
      <c r="B1275" s="30"/>
      <c r="C1275" s="30"/>
      <c r="D1275" s="30"/>
      <c r="E1275" s="30"/>
      <c r="F1275" s="30"/>
      <c r="G1275" s="30"/>
      <c r="H1275" s="30"/>
      <c r="I1275" s="30"/>
      <c r="J1275" s="30"/>
      <c r="K1275" s="30"/>
      <c r="L1275" s="30"/>
      <c r="M1275" s="30"/>
      <c r="N1275" s="30"/>
      <c r="O1275" s="30"/>
      <c r="P1275" s="30"/>
      <c r="Q1275" s="30"/>
      <c r="R1275" s="30"/>
      <c r="S1275" s="30"/>
      <c r="T1275" s="30"/>
      <c r="U1275" s="30"/>
      <c r="V1275" s="30"/>
      <c r="W1275" s="30"/>
      <c r="X1275" s="30"/>
      <c r="Y1275" s="30"/>
      <c r="Z1275" s="30"/>
    </row>
    <row r="1276">
      <c r="A1276" s="30"/>
      <c r="B1276" s="30"/>
      <c r="C1276" s="30"/>
      <c r="D1276" s="30"/>
      <c r="E1276" s="30"/>
      <c r="F1276" s="30"/>
      <c r="G1276" s="30"/>
      <c r="H1276" s="30"/>
      <c r="I1276" s="30"/>
      <c r="J1276" s="30"/>
      <c r="K1276" s="30"/>
      <c r="L1276" s="30"/>
      <c r="M1276" s="30"/>
      <c r="N1276" s="30"/>
      <c r="O1276" s="30"/>
      <c r="P1276" s="30"/>
      <c r="Q1276" s="30"/>
      <c r="R1276" s="30"/>
      <c r="S1276" s="30"/>
      <c r="T1276" s="30"/>
      <c r="U1276" s="30"/>
      <c r="V1276" s="30"/>
      <c r="W1276" s="30"/>
      <c r="X1276" s="30"/>
      <c r="Y1276" s="30"/>
      <c r="Z1276" s="30"/>
    </row>
    <row r="1277">
      <c r="A1277" s="30"/>
      <c r="B1277" s="30"/>
      <c r="C1277" s="30"/>
      <c r="D1277" s="30"/>
      <c r="E1277" s="30"/>
      <c r="F1277" s="30"/>
      <c r="G1277" s="30"/>
      <c r="H1277" s="30"/>
      <c r="I1277" s="30"/>
      <c r="J1277" s="30"/>
      <c r="K1277" s="30"/>
      <c r="L1277" s="30"/>
      <c r="M1277" s="30"/>
      <c r="N1277" s="30"/>
      <c r="O1277" s="30"/>
      <c r="P1277" s="30"/>
      <c r="Q1277" s="30"/>
      <c r="R1277" s="30"/>
      <c r="S1277" s="30"/>
      <c r="T1277" s="30"/>
      <c r="U1277" s="30"/>
      <c r="V1277" s="30"/>
      <c r="W1277" s="30"/>
      <c r="X1277" s="30"/>
      <c r="Y1277" s="30"/>
      <c r="Z1277" s="30"/>
    </row>
    <row r="1278">
      <c r="A1278" s="30"/>
      <c r="B1278" s="30"/>
      <c r="C1278" s="30"/>
      <c r="D1278" s="30"/>
      <c r="E1278" s="30"/>
      <c r="F1278" s="30"/>
      <c r="G1278" s="30"/>
      <c r="H1278" s="30"/>
      <c r="I1278" s="30"/>
      <c r="J1278" s="30"/>
      <c r="K1278" s="30"/>
      <c r="L1278" s="30"/>
      <c r="M1278" s="30"/>
      <c r="N1278" s="30"/>
      <c r="O1278" s="30"/>
      <c r="P1278" s="30"/>
      <c r="Q1278" s="30"/>
      <c r="R1278" s="30"/>
      <c r="S1278" s="30"/>
      <c r="T1278" s="30"/>
      <c r="U1278" s="30"/>
      <c r="V1278" s="30"/>
      <c r="W1278" s="30"/>
      <c r="X1278" s="30"/>
      <c r="Y1278" s="30"/>
      <c r="Z1278" s="30"/>
    </row>
    <row r="1279">
      <c r="A1279" s="30"/>
      <c r="B1279" s="30"/>
      <c r="C1279" s="30"/>
      <c r="D1279" s="30"/>
      <c r="E1279" s="30"/>
      <c r="F1279" s="30"/>
      <c r="G1279" s="30"/>
      <c r="H1279" s="30"/>
      <c r="I1279" s="30"/>
      <c r="J1279" s="30"/>
      <c r="K1279" s="30"/>
      <c r="L1279" s="30"/>
      <c r="M1279" s="30"/>
      <c r="N1279" s="30"/>
      <c r="O1279" s="30"/>
      <c r="P1279" s="30"/>
      <c r="Q1279" s="30"/>
      <c r="R1279" s="30"/>
      <c r="S1279" s="30"/>
      <c r="T1279" s="30"/>
      <c r="U1279" s="30"/>
      <c r="V1279" s="30"/>
      <c r="W1279" s="30"/>
      <c r="X1279" s="30"/>
      <c r="Y1279" s="30"/>
      <c r="Z1279" s="30"/>
    </row>
    <row r="1280">
      <c r="A1280" s="30"/>
      <c r="B1280" s="30"/>
      <c r="C1280" s="30"/>
      <c r="D1280" s="30"/>
      <c r="E1280" s="30"/>
      <c r="F1280" s="30"/>
      <c r="G1280" s="30"/>
      <c r="H1280" s="30"/>
      <c r="I1280" s="30"/>
      <c r="J1280" s="30"/>
      <c r="K1280" s="30"/>
      <c r="L1280" s="30"/>
      <c r="M1280" s="30"/>
      <c r="N1280" s="30"/>
      <c r="O1280" s="30"/>
      <c r="P1280" s="30"/>
      <c r="Q1280" s="30"/>
      <c r="R1280" s="30"/>
      <c r="S1280" s="30"/>
      <c r="T1280" s="30"/>
      <c r="U1280" s="30"/>
      <c r="V1280" s="30"/>
      <c r="W1280" s="30"/>
      <c r="X1280" s="30"/>
      <c r="Y1280" s="30"/>
      <c r="Z1280" s="30"/>
    </row>
    <row r="1281">
      <c r="A1281" s="30"/>
      <c r="B1281" s="30"/>
      <c r="C1281" s="30"/>
      <c r="D1281" s="30"/>
      <c r="E1281" s="30"/>
      <c r="F1281" s="30"/>
      <c r="G1281" s="30"/>
      <c r="H1281" s="30"/>
      <c r="I1281" s="30"/>
      <c r="J1281" s="30"/>
      <c r="K1281" s="30"/>
      <c r="L1281" s="30"/>
      <c r="M1281" s="30"/>
      <c r="N1281" s="30"/>
      <c r="O1281" s="30"/>
      <c r="P1281" s="30"/>
      <c r="Q1281" s="30"/>
      <c r="R1281" s="30"/>
      <c r="S1281" s="30"/>
      <c r="T1281" s="30"/>
      <c r="U1281" s="30"/>
      <c r="V1281" s="30"/>
      <c r="W1281" s="30"/>
      <c r="X1281" s="30"/>
      <c r="Y1281" s="30"/>
      <c r="Z1281" s="30"/>
    </row>
    <row r="1282">
      <c r="A1282" s="30"/>
      <c r="B1282" s="30"/>
      <c r="C1282" s="30"/>
      <c r="D1282" s="30"/>
      <c r="E1282" s="30"/>
      <c r="F1282" s="30"/>
      <c r="G1282" s="30"/>
      <c r="H1282" s="30"/>
      <c r="I1282" s="30"/>
      <c r="J1282" s="30"/>
      <c r="K1282" s="30"/>
      <c r="L1282" s="30"/>
      <c r="M1282" s="30"/>
      <c r="N1282" s="30"/>
      <c r="O1282" s="30"/>
      <c r="P1282" s="30"/>
      <c r="Q1282" s="30"/>
      <c r="R1282" s="30"/>
      <c r="S1282" s="30"/>
      <c r="T1282" s="30"/>
      <c r="U1282" s="30"/>
      <c r="V1282" s="30"/>
      <c r="W1282" s="30"/>
      <c r="X1282" s="30"/>
      <c r="Y1282" s="30"/>
      <c r="Z1282" s="30"/>
    </row>
    <row r="1283">
      <c r="A1283" s="30"/>
      <c r="B1283" s="30"/>
      <c r="C1283" s="30"/>
      <c r="D1283" s="30"/>
      <c r="E1283" s="30"/>
      <c r="F1283" s="30"/>
      <c r="G1283" s="30"/>
      <c r="H1283" s="30"/>
      <c r="I1283" s="30"/>
      <c r="J1283" s="30"/>
      <c r="K1283" s="30"/>
      <c r="L1283" s="30"/>
      <c r="M1283" s="30"/>
      <c r="N1283" s="30"/>
      <c r="O1283" s="30"/>
      <c r="P1283" s="30"/>
      <c r="Q1283" s="30"/>
      <c r="R1283" s="30"/>
      <c r="S1283" s="30"/>
      <c r="T1283" s="30"/>
      <c r="U1283" s="30"/>
      <c r="V1283" s="30"/>
      <c r="W1283" s="30"/>
      <c r="X1283" s="30"/>
      <c r="Y1283" s="30"/>
      <c r="Z1283" s="30"/>
    </row>
    <row r="1284">
      <c r="A1284" s="30"/>
      <c r="B1284" s="30"/>
      <c r="C1284" s="30"/>
      <c r="D1284" s="30"/>
      <c r="E1284" s="30"/>
      <c r="F1284" s="30"/>
      <c r="G1284" s="30"/>
      <c r="H1284" s="30"/>
      <c r="I1284" s="30"/>
      <c r="J1284" s="30"/>
      <c r="K1284" s="30"/>
      <c r="L1284" s="30"/>
      <c r="M1284" s="30"/>
      <c r="N1284" s="30"/>
      <c r="O1284" s="30"/>
      <c r="P1284" s="30"/>
      <c r="Q1284" s="30"/>
      <c r="R1284" s="30"/>
      <c r="S1284" s="30"/>
      <c r="T1284" s="30"/>
      <c r="U1284" s="30"/>
      <c r="V1284" s="30"/>
      <c r="W1284" s="30"/>
      <c r="X1284" s="30"/>
      <c r="Y1284" s="30"/>
      <c r="Z1284" s="30"/>
    </row>
    <row r="1285">
      <c r="A1285" s="30"/>
      <c r="B1285" s="30"/>
      <c r="C1285" s="30"/>
      <c r="D1285" s="30"/>
      <c r="E1285" s="30"/>
      <c r="F1285" s="30"/>
      <c r="G1285" s="30"/>
      <c r="H1285" s="30"/>
      <c r="I1285" s="30"/>
      <c r="J1285" s="30"/>
      <c r="K1285" s="30"/>
      <c r="L1285" s="30"/>
      <c r="M1285" s="30"/>
      <c r="N1285" s="30"/>
      <c r="O1285" s="30"/>
      <c r="P1285" s="30"/>
      <c r="Q1285" s="30"/>
      <c r="R1285" s="30"/>
      <c r="S1285" s="30"/>
      <c r="T1285" s="30"/>
      <c r="U1285" s="30"/>
      <c r="V1285" s="30"/>
      <c r="W1285" s="30"/>
      <c r="X1285" s="30"/>
      <c r="Y1285" s="30"/>
      <c r="Z1285" s="30"/>
    </row>
    <row r="1286">
      <c r="A1286" s="30"/>
      <c r="B1286" s="30"/>
      <c r="C1286" s="30"/>
      <c r="D1286" s="30"/>
      <c r="E1286" s="30"/>
      <c r="F1286" s="30"/>
      <c r="G1286" s="30"/>
      <c r="H1286" s="30"/>
      <c r="I1286" s="30"/>
      <c r="J1286" s="30"/>
      <c r="K1286" s="30"/>
      <c r="L1286" s="30"/>
      <c r="M1286" s="30"/>
      <c r="N1286" s="30"/>
      <c r="O1286" s="30"/>
      <c r="P1286" s="30"/>
      <c r="Q1286" s="30"/>
      <c r="R1286" s="30"/>
      <c r="S1286" s="30"/>
      <c r="T1286" s="30"/>
      <c r="U1286" s="30"/>
      <c r="V1286" s="30"/>
      <c r="W1286" s="30"/>
      <c r="X1286" s="30"/>
      <c r="Y1286" s="30"/>
      <c r="Z1286" s="30"/>
    </row>
    <row r="1287">
      <c r="A1287" s="30"/>
      <c r="B1287" s="30"/>
      <c r="C1287" s="30"/>
      <c r="D1287" s="30"/>
      <c r="E1287" s="30"/>
      <c r="F1287" s="30"/>
      <c r="G1287" s="30"/>
      <c r="H1287" s="30"/>
      <c r="I1287" s="30"/>
      <c r="J1287" s="30"/>
      <c r="K1287" s="30"/>
      <c r="L1287" s="30"/>
      <c r="M1287" s="30"/>
      <c r="N1287" s="30"/>
      <c r="O1287" s="30"/>
      <c r="P1287" s="30"/>
      <c r="Q1287" s="30"/>
      <c r="R1287" s="30"/>
      <c r="S1287" s="30"/>
      <c r="T1287" s="30"/>
      <c r="U1287" s="30"/>
      <c r="V1287" s="30"/>
      <c r="W1287" s="30"/>
      <c r="X1287" s="30"/>
      <c r="Y1287" s="30"/>
      <c r="Z1287" s="30"/>
    </row>
    <row r="1288">
      <c r="A1288" s="30"/>
      <c r="B1288" s="30"/>
      <c r="C1288" s="30"/>
      <c r="D1288" s="30"/>
      <c r="E1288" s="30"/>
      <c r="F1288" s="30"/>
      <c r="G1288" s="30"/>
      <c r="H1288" s="30"/>
      <c r="I1288" s="30"/>
      <c r="J1288" s="30"/>
      <c r="K1288" s="30"/>
      <c r="L1288" s="30"/>
      <c r="M1288" s="30"/>
      <c r="N1288" s="30"/>
      <c r="O1288" s="30"/>
      <c r="P1288" s="30"/>
      <c r="Q1288" s="30"/>
      <c r="R1288" s="30"/>
      <c r="S1288" s="30"/>
      <c r="T1288" s="30"/>
      <c r="U1288" s="30"/>
      <c r="V1288" s="30"/>
      <c r="W1288" s="30"/>
      <c r="X1288" s="30"/>
      <c r="Y1288" s="30"/>
      <c r="Z1288" s="30"/>
    </row>
    <row r="1289">
      <c r="A1289" s="30"/>
      <c r="B1289" s="30"/>
      <c r="C1289" s="30"/>
      <c r="D1289" s="30"/>
      <c r="E1289" s="30"/>
      <c r="F1289" s="30"/>
      <c r="G1289" s="30"/>
      <c r="H1289" s="30"/>
      <c r="I1289" s="30"/>
      <c r="J1289" s="30"/>
      <c r="K1289" s="30"/>
      <c r="L1289" s="30"/>
      <c r="M1289" s="30"/>
      <c r="N1289" s="30"/>
      <c r="O1289" s="30"/>
      <c r="P1289" s="30"/>
      <c r="Q1289" s="30"/>
      <c r="R1289" s="30"/>
      <c r="S1289" s="30"/>
      <c r="T1289" s="30"/>
      <c r="U1289" s="30"/>
      <c r="V1289" s="30"/>
      <c r="W1289" s="30"/>
      <c r="X1289" s="30"/>
      <c r="Y1289" s="30"/>
      <c r="Z1289" s="30"/>
    </row>
    <row r="1290">
      <c r="A1290" s="30"/>
      <c r="B1290" s="30"/>
      <c r="C1290" s="30"/>
      <c r="D1290" s="30"/>
      <c r="E1290" s="30"/>
      <c r="F1290" s="30"/>
      <c r="G1290" s="30"/>
      <c r="H1290" s="30"/>
      <c r="I1290" s="30"/>
      <c r="J1290" s="30"/>
      <c r="K1290" s="30"/>
      <c r="L1290" s="30"/>
      <c r="M1290" s="30"/>
      <c r="N1290" s="30"/>
      <c r="O1290" s="30"/>
      <c r="P1290" s="30"/>
      <c r="Q1290" s="30"/>
      <c r="R1290" s="30"/>
      <c r="S1290" s="30"/>
      <c r="T1290" s="30"/>
      <c r="U1290" s="30"/>
      <c r="V1290" s="30"/>
      <c r="W1290" s="30"/>
      <c r="X1290" s="30"/>
      <c r="Y1290" s="30"/>
      <c r="Z1290" s="30"/>
    </row>
    <row r="1291">
      <c r="A1291" s="30"/>
      <c r="B1291" s="30"/>
      <c r="C1291" s="30"/>
      <c r="D1291" s="30"/>
      <c r="E1291" s="30"/>
      <c r="F1291" s="30"/>
      <c r="G1291" s="30"/>
      <c r="H1291" s="30"/>
      <c r="I1291" s="30"/>
      <c r="J1291" s="30"/>
      <c r="K1291" s="30"/>
      <c r="L1291" s="30"/>
      <c r="M1291" s="30"/>
      <c r="N1291" s="30"/>
      <c r="O1291" s="30"/>
      <c r="P1291" s="30"/>
      <c r="Q1291" s="30"/>
      <c r="R1291" s="30"/>
      <c r="S1291" s="30"/>
      <c r="T1291" s="30"/>
      <c r="U1291" s="30"/>
      <c r="V1291" s="30"/>
      <c r="W1291" s="30"/>
      <c r="X1291" s="30"/>
      <c r="Y1291" s="30"/>
      <c r="Z1291" s="30"/>
    </row>
    <row r="1292">
      <c r="A1292" s="30"/>
      <c r="B1292" s="30"/>
      <c r="C1292" s="30"/>
      <c r="D1292" s="30"/>
      <c r="E1292" s="30"/>
      <c r="F1292" s="30"/>
      <c r="G1292" s="30"/>
      <c r="H1292" s="30"/>
      <c r="I1292" s="30"/>
      <c r="J1292" s="30"/>
      <c r="K1292" s="30"/>
      <c r="L1292" s="30"/>
      <c r="M1292" s="30"/>
      <c r="N1292" s="30"/>
      <c r="O1292" s="30"/>
      <c r="P1292" s="30"/>
      <c r="Q1292" s="30"/>
      <c r="R1292" s="30"/>
      <c r="S1292" s="30"/>
      <c r="T1292" s="30"/>
      <c r="U1292" s="30"/>
      <c r="V1292" s="30"/>
      <c r="W1292" s="30"/>
      <c r="X1292" s="30"/>
      <c r="Y1292" s="30"/>
      <c r="Z1292" s="30"/>
    </row>
    <row r="1293">
      <c r="A1293" s="30"/>
      <c r="B1293" s="30"/>
      <c r="C1293" s="30"/>
      <c r="D1293" s="30"/>
      <c r="E1293" s="30"/>
      <c r="F1293" s="30"/>
      <c r="G1293" s="30"/>
      <c r="H1293" s="30"/>
      <c r="I1293" s="30"/>
      <c r="J1293" s="30"/>
      <c r="K1293" s="30"/>
      <c r="L1293" s="30"/>
      <c r="M1293" s="30"/>
      <c r="N1293" s="30"/>
      <c r="O1293" s="30"/>
      <c r="P1293" s="30"/>
      <c r="Q1293" s="30"/>
      <c r="R1293" s="30"/>
      <c r="S1293" s="30"/>
      <c r="T1293" s="30"/>
      <c r="U1293" s="30"/>
      <c r="V1293" s="30"/>
      <c r="W1293" s="30"/>
      <c r="X1293" s="30"/>
      <c r="Y1293" s="30"/>
      <c r="Z1293" s="30"/>
    </row>
    <row r="1294">
      <c r="A1294" s="30"/>
      <c r="B1294" s="30"/>
      <c r="C1294" s="30"/>
      <c r="D1294" s="30"/>
      <c r="E1294" s="30"/>
      <c r="F1294" s="30"/>
      <c r="G1294" s="30"/>
      <c r="H1294" s="30"/>
      <c r="I1294" s="30"/>
      <c r="J1294" s="30"/>
      <c r="K1294" s="30"/>
      <c r="L1294" s="30"/>
      <c r="M1294" s="30"/>
      <c r="N1294" s="30"/>
      <c r="O1294" s="30"/>
      <c r="P1294" s="30"/>
      <c r="Q1294" s="30"/>
      <c r="R1294" s="30"/>
      <c r="S1294" s="30"/>
      <c r="T1294" s="30"/>
      <c r="U1294" s="30"/>
      <c r="V1294" s="30"/>
      <c r="W1294" s="30"/>
      <c r="X1294" s="30"/>
      <c r="Y1294" s="30"/>
      <c r="Z1294" s="30"/>
    </row>
    <row r="1295">
      <c r="A1295" s="30"/>
      <c r="B1295" s="30"/>
      <c r="C1295" s="30"/>
      <c r="D1295" s="30"/>
      <c r="E1295" s="30"/>
      <c r="F1295" s="30"/>
      <c r="G1295" s="30"/>
      <c r="H1295" s="30"/>
      <c r="I1295" s="30"/>
      <c r="J1295" s="30"/>
      <c r="K1295" s="30"/>
      <c r="L1295" s="30"/>
      <c r="M1295" s="30"/>
      <c r="N1295" s="30"/>
      <c r="O1295" s="30"/>
      <c r="P1295" s="30"/>
      <c r="Q1295" s="30"/>
      <c r="R1295" s="30"/>
      <c r="S1295" s="30"/>
      <c r="T1295" s="30"/>
      <c r="U1295" s="30"/>
      <c r="V1295" s="30"/>
      <c r="W1295" s="30"/>
      <c r="X1295" s="30"/>
      <c r="Y1295" s="30"/>
      <c r="Z1295" s="30"/>
    </row>
    <row r="1296">
      <c r="A1296" s="30"/>
      <c r="B1296" s="30"/>
      <c r="C1296" s="30"/>
      <c r="D1296" s="30"/>
      <c r="E1296" s="30"/>
      <c r="F1296" s="30"/>
      <c r="G1296" s="30"/>
      <c r="H1296" s="30"/>
      <c r="I1296" s="30"/>
      <c r="J1296" s="30"/>
      <c r="K1296" s="30"/>
      <c r="L1296" s="30"/>
      <c r="M1296" s="30"/>
      <c r="N1296" s="30"/>
      <c r="O1296" s="30"/>
      <c r="P1296" s="30"/>
      <c r="Q1296" s="30"/>
      <c r="R1296" s="30"/>
      <c r="S1296" s="30"/>
      <c r="T1296" s="30"/>
      <c r="U1296" s="30"/>
      <c r="V1296" s="30"/>
      <c r="W1296" s="30"/>
      <c r="X1296" s="30"/>
      <c r="Y1296" s="30"/>
      <c r="Z1296" s="30"/>
    </row>
    <row r="1297">
      <c r="A1297" s="30"/>
      <c r="B1297" s="30"/>
      <c r="C1297" s="30"/>
      <c r="D1297" s="30"/>
      <c r="E1297" s="30"/>
      <c r="F1297" s="30"/>
      <c r="G1297" s="30"/>
      <c r="H1297" s="30"/>
      <c r="I1297" s="30"/>
      <c r="J1297" s="30"/>
      <c r="K1297" s="30"/>
      <c r="L1297" s="30"/>
      <c r="M1297" s="30"/>
      <c r="N1297" s="30"/>
      <c r="O1297" s="30"/>
      <c r="P1297" s="30"/>
      <c r="Q1297" s="30"/>
      <c r="R1297" s="30"/>
      <c r="S1297" s="30"/>
      <c r="T1297" s="30"/>
      <c r="U1297" s="30"/>
      <c r="V1297" s="30"/>
      <c r="W1297" s="30"/>
      <c r="X1297" s="30"/>
      <c r="Y1297" s="30"/>
      <c r="Z1297" s="30"/>
    </row>
    <row r="1298">
      <c r="A1298" s="30"/>
      <c r="B1298" s="30"/>
      <c r="C1298" s="30"/>
      <c r="D1298" s="30"/>
      <c r="E1298" s="30"/>
      <c r="F1298" s="30"/>
      <c r="G1298" s="30"/>
      <c r="H1298" s="30"/>
      <c r="I1298" s="30"/>
      <c r="J1298" s="30"/>
      <c r="K1298" s="30"/>
      <c r="L1298" s="30"/>
      <c r="M1298" s="30"/>
      <c r="N1298" s="30"/>
      <c r="O1298" s="30"/>
      <c r="P1298" s="30"/>
      <c r="Q1298" s="30"/>
      <c r="R1298" s="30"/>
      <c r="S1298" s="30"/>
      <c r="T1298" s="30"/>
      <c r="U1298" s="30"/>
      <c r="V1298" s="30"/>
      <c r="W1298" s="30"/>
      <c r="X1298" s="30"/>
      <c r="Y1298" s="30"/>
      <c r="Z1298" s="30"/>
    </row>
    <row r="1299">
      <c r="A1299" s="30"/>
      <c r="B1299" s="30"/>
      <c r="C1299" s="30"/>
      <c r="D1299" s="30"/>
      <c r="E1299" s="30"/>
      <c r="F1299" s="30"/>
      <c r="G1299" s="30"/>
      <c r="H1299" s="30"/>
      <c r="I1299" s="30"/>
      <c r="J1299" s="30"/>
      <c r="K1299" s="30"/>
      <c r="L1299" s="30"/>
      <c r="M1299" s="30"/>
      <c r="N1299" s="30"/>
      <c r="O1299" s="30"/>
      <c r="P1299" s="30"/>
      <c r="Q1299" s="30"/>
      <c r="R1299" s="30"/>
      <c r="S1299" s="30"/>
      <c r="T1299" s="30"/>
      <c r="U1299" s="30"/>
      <c r="V1299" s="30"/>
      <c r="W1299" s="30"/>
      <c r="X1299" s="30"/>
      <c r="Y1299" s="30"/>
      <c r="Z1299" s="30"/>
    </row>
    <row r="1300">
      <c r="A1300" s="30"/>
      <c r="B1300" s="30"/>
      <c r="C1300" s="30"/>
      <c r="D1300" s="30"/>
      <c r="E1300" s="30"/>
      <c r="F1300" s="30"/>
      <c r="G1300" s="30"/>
      <c r="H1300" s="30"/>
      <c r="I1300" s="30"/>
      <c r="J1300" s="30"/>
      <c r="K1300" s="30"/>
      <c r="L1300" s="30"/>
      <c r="M1300" s="30"/>
      <c r="N1300" s="30"/>
      <c r="O1300" s="30"/>
      <c r="P1300" s="30"/>
      <c r="Q1300" s="30"/>
      <c r="R1300" s="30"/>
      <c r="S1300" s="30"/>
      <c r="T1300" s="30"/>
      <c r="U1300" s="30"/>
      <c r="V1300" s="30"/>
      <c r="W1300" s="30"/>
      <c r="X1300" s="30"/>
      <c r="Y1300" s="30"/>
      <c r="Z1300" s="30"/>
    </row>
    <row r="1301">
      <c r="A1301" s="30"/>
      <c r="B1301" s="30"/>
      <c r="C1301" s="30"/>
      <c r="D1301" s="30"/>
      <c r="E1301" s="30"/>
      <c r="F1301" s="30"/>
      <c r="G1301" s="30"/>
      <c r="H1301" s="30"/>
      <c r="I1301" s="30"/>
      <c r="J1301" s="30"/>
      <c r="K1301" s="30"/>
      <c r="L1301" s="30"/>
      <c r="M1301" s="30"/>
      <c r="N1301" s="30"/>
      <c r="O1301" s="30"/>
      <c r="P1301" s="30"/>
      <c r="Q1301" s="30"/>
      <c r="R1301" s="30"/>
      <c r="S1301" s="30"/>
      <c r="T1301" s="30"/>
      <c r="U1301" s="30"/>
      <c r="V1301" s="30"/>
      <c r="W1301" s="30"/>
      <c r="X1301" s="30"/>
      <c r="Y1301" s="30"/>
      <c r="Z1301" s="30"/>
    </row>
    <row r="1302">
      <c r="A1302" s="30"/>
      <c r="B1302" s="30"/>
      <c r="C1302" s="30"/>
      <c r="D1302" s="30"/>
      <c r="E1302" s="30"/>
      <c r="F1302" s="30"/>
      <c r="G1302" s="30"/>
      <c r="H1302" s="30"/>
      <c r="I1302" s="30"/>
      <c r="J1302" s="30"/>
      <c r="K1302" s="30"/>
      <c r="L1302" s="30"/>
      <c r="M1302" s="30"/>
      <c r="N1302" s="30"/>
      <c r="O1302" s="30"/>
      <c r="P1302" s="30"/>
      <c r="Q1302" s="30"/>
      <c r="R1302" s="30"/>
      <c r="S1302" s="30"/>
      <c r="T1302" s="30"/>
      <c r="U1302" s="30"/>
      <c r="V1302" s="30"/>
      <c r="W1302" s="30"/>
      <c r="X1302" s="30"/>
      <c r="Y1302" s="30"/>
      <c r="Z1302" s="30"/>
    </row>
    <row r="1303">
      <c r="A1303" s="30"/>
      <c r="B1303" s="30"/>
      <c r="C1303" s="30"/>
      <c r="D1303" s="30"/>
      <c r="E1303" s="30"/>
      <c r="F1303" s="30"/>
      <c r="G1303" s="30"/>
      <c r="H1303" s="30"/>
      <c r="I1303" s="30"/>
      <c r="J1303" s="30"/>
      <c r="K1303" s="30"/>
      <c r="L1303" s="30"/>
      <c r="M1303" s="30"/>
      <c r="N1303" s="30"/>
      <c r="O1303" s="30"/>
      <c r="P1303" s="30"/>
      <c r="Q1303" s="30"/>
      <c r="R1303" s="30"/>
      <c r="S1303" s="30"/>
      <c r="T1303" s="30"/>
      <c r="U1303" s="30"/>
      <c r="V1303" s="30"/>
      <c r="W1303" s="30"/>
      <c r="X1303" s="30"/>
      <c r="Y1303" s="30"/>
      <c r="Z1303" s="30"/>
    </row>
    <row r="1304">
      <c r="A1304" s="30"/>
      <c r="B1304" s="30"/>
      <c r="C1304" s="30"/>
      <c r="D1304" s="30"/>
      <c r="E1304" s="30"/>
      <c r="F1304" s="30"/>
      <c r="G1304" s="30"/>
      <c r="H1304" s="30"/>
      <c r="I1304" s="30"/>
      <c r="J1304" s="30"/>
      <c r="K1304" s="30"/>
      <c r="L1304" s="30"/>
      <c r="M1304" s="30"/>
      <c r="N1304" s="30"/>
      <c r="O1304" s="30"/>
      <c r="P1304" s="30"/>
      <c r="Q1304" s="30"/>
      <c r="R1304" s="30"/>
      <c r="S1304" s="30"/>
      <c r="T1304" s="30"/>
      <c r="U1304" s="30"/>
      <c r="V1304" s="30"/>
      <c r="W1304" s="30"/>
      <c r="X1304" s="30"/>
      <c r="Y1304" s="30"/>
      <c r="Z1304" s="30"/>
    </row>
    <row r="1305">
      <c r="A1305" s="30"/>
      <c r="B1305" s="30"/>
      <c r="C1305" s="30"/>
      <c r="D1305" s="30"/>
      <c r="E1305" s="30"/>
      <c r="F1305" s="30"/>
      <c r="G1305" s="30"/>
      <c r="H1305" s="30"/>
      <c r="I1305" s="30"/>
      <c r="J1305" s="30"/>
      <c r="K1305" s="30"/>
      <c r="L1305" s="30"/>
      <c r="M1305" s="30"/>
      <c r="N1305" s="30"/>
      <c r="O1305" s="30"/>
      <c r="P1305" s="30"/>
      <c r="Q1305" s="30"/>
      <c r="R1305" s="30"/>
      <c r="S1305" s="30"/>
      <c r="T1305" s="30"/>
      <c r="U1305" s="30"/>
      <c r="V1305" s="30"/>
      <c r="W1305" s="30"/>
      <c r="X1305" s="30"/>
      <c r="Y1305" s="30"/>
      <c r="Z1305" s="30"/>
    </row>
    <row r="1306">
      <c r="A1306" s="30"/>
      <c r="B1306" s="30"/>
      <c r="C1306" s="30"/>
      <c r="D1306" s="30"/>
      <c r="E1306" s="30"/>
      <c r="F1306" s="30"/>
      <c r="G1306" s="30"/>
      <c r="H1306" s="30"/>
      <c r="I1306" s="30"/>
      <c r="J1306" s="30"/>
      <c r="K1306" s="30"/>
      <c r="L1306" s="30"/>
      <c r="M1306" s="30"/>
      <c r="N1306" s="30"/>
      <c r="O1306" s="30"/>
      <c r="P1306" s="30"/>
      <c r="Q1306" s="30"/>
      <c r="R1306" s="30"/>
      <c r="S1306" s="30"/>
      <c r="T1306" s="30"/>
      <c r="U1306" s="30"/>
      <c r="V1306" s="30"/>
      <c r="W1306" s="30"/>
      <c r="X1306" s="30"/>
      <c r="Y1306" s="30"/>
      <c r="Z1306" s="30"/>
    </row>
    <row r="1307">
      <c r="A1307" s="30"/>
      <c r="B1307" s="30"/>
      <c r="C1307" s="30"/>
      <c r="D1307" s="30"/>
      <c r="E1307" s="30"/>
      <c r="F1307" s="30"/>
      <c r="G1307" s="30"/>
      <c r="H1307" s="30"/>
      <c r="I1307" s="30"/>
      <c r="J1307" s="30"/>
      <c r="K1307" s="30"/>
      <c r="L1307" s="30"/>
      <c r="M1307" s="30"/>
      <c r="N1307" s="30"/>
      <c r="O1307" s="30"/>
      <c r="P1307" s="30"/>
      <c r="Q1307" s="30"/>
      <c r="R1307" s="30"/>
      <c r="S1307" s="30"/>
      <c r="T1307" s="30"/>
      <c r="U1307" s="30"/>
      <c r="V1307" s="30"/>
      <c r="W1307" s="30"/>
      <c r="X1307" s="30"/>
      <c r="Y1307" s="30"/>
      <c r="Z1307" s="30"/>
    </row>
    <row r="1308">
      <c r="A1308" s="30"/>
      <c r="B1308" s="30"/>
      <c r="C1308" s="30"/>
      <c r="D1308" s="30"/>
      <c r="E1308" s="30"/>
      <c r="F1308" s="30"/>
      <c r="G1308" s="30"/>
      <c r="H1308" s="30"/>
      <c r="I1308" s="30"/>
      <c r="J1308" s="30"/>
      <c r="K1308" s="30"/>
      <c r="L1308" s="30"/>
      <c r="M1308" s="30"/>
      <c r="N1308" s="30"/>
      <c r="O1308" s="30"/>
      <c r="P1308" s="30"/>
      <c r="Q1308" s="30"/>
      <c r="R1308" s="30"/>
      <c r="S1308" s="30"/>
      <c r="T1308" s="30"/>
      <c r="U1308" s="30"/>
      <c r="V1308" s="30"/>
      <c r="W1308" s="30"/>
      <c r="X1308" s="30"/>
      <c r="Y1308" s="30"/>
      <c r="Z1308" s="30"/>
    </row>
    <row r="1309">
      <c r="A1309" s="30"/>
      <c r="B1309" s="30"/>
      <c r="C1309" s="30"/>
      <c r="D1309" s="30"/>
      <c r="E1309" s="30"/>
      <c r="F1309" s="30"/>
      <c r="G1309" s="30"/>
      <c r="H1309" s="30"/>
      <c r="I1309" s="30"/>
      <c r="J1309" s="30"/>
      <c r="K1309" s="30"/>
      <c r="L1309" s="30"/>
      <c r="M1309" s="30"/>
      <c r="N1309" s="30"/>
      <c r="O1309" s="30"/>
      <c r="P1309" s="30"/>
      <c r="Q1309" s="30"/>
      <c r="R1309" s="30"/>
      <c r="S1309" s="30"/>
      <c r="T1309" s="30"/>
      <c r="U1309" s="30"/>
      <c r="V1309" s="30"/>
      <c r="W1309" s="30"/>
      <c r="X1309" s="30"/>
      <c r="Y1309" s="30"/>
      <c r="Z1309" s="30"/>
    </row>
    <row r="1310">
      <c r="A1310" s="30"/>
      <c r="B1310" s="30"/>
      <c r="C1310" s="30"/>
      <c r="D1310" s="30"/>
      <c r="E1310" s="30"/>
      <c r="F1310" s="30"/>
      <c r="G1310" s="30"/>
      <c r="H1310" s="30"/>
      <c r="I1310" s="30"/>
      <c r="J1310" s="30"/>
      <c r="K1310" s="30"/>
      <c r="L1310" s="30"/>
      <c r="M1310" s="30"/>
      <c r="N1310" s="30"/>
      <c r="O1310" s="30"/>
      <c r="P1310" s="30"/>
      <c r="Q1310" s="30"/>
      <c r="R1310" s="30"/>
      <c r="S1310" s="30"/>
      <c r="T1310" s="30"/>
      <c r="U1310" s="30"/>
      <c r="V1310" s="30"/>
      <c r="W1310" s="30"/>
      <c r="X1310" s="30"/>
      <c r="Y1310" s="30"/>
      <c r="Z1310" s="30"/>
    </row>
    <row r="1311">
      <c r="A1311" s="30"/>
      <c r="B1311" s="30"/>
      <c r="C1311" s="30"/>
      <c r="D1311" s="30"/>
      <c r="E1311" s="30"/>
      <c r="F1311" s="30"/>
      <c r="G1311" s="30"/>
      <c r="H1311" s="30"/>
      <c r="I1311" s="30"/>
      <c r="J1311" s="30"/>
      <c r="K1311" s="30"/>
      <c r="L1311" s="30"/>
      <c r="M1311" s="30"/>
      <c r="N1311" s="30"/>
      <c r="O1311" s="30"/>
      <c r="P1311" s="30"/>
      <c r="Q1311" s="30"/>
      <c r="R1311" s="30"/>
      <c r="S1311" s="30"/>
      <c r="T1311" s="30"/>
      <c r="U1311" s="30"/>
      <c r="V1311" s="30"/>
      <c r="W1311" s="30"/>
      <c r="X1311" s="30"/>
      <c r="Y1311" s="30"/>
      <c r="Z1311" s="30"/>
    </row>
    <row r="1312">
      <c r="A1312" s="30"/>
      <c r="B1312" s="30"/>
      <c r="C1312" s="30"/>
      <c r="D1312" s="30"/>
      <c r="E1312" s="30"/>
      <c r="F1312" s="30"/>
      <c r="G1312" s="30"/>
      <c r="H1312" s="30"/>
      <c r="I1312" s="30"/>
      <c r="J1312" s="30"/>
      <c r="K1312" s="30"/>
      <c r="L1312" s="30"/>
      <c r="M1312" s="30"/>
      <c r="N1312" s="30"/>
      <c r="O1312" s="30"/>
      <c r="P1312" s="30"/>
      <c r="Q1312" s="30"/>
      <c r="R1312" s="30"/>
      <c r="S1312" s="30"/>
      <c r="T1312" s="30"/>
      <c r="U1312" s="30"/>
      <c r="V1312" s="30"/>
      <c r="W1312" s="30"/>
      <c r="X1312" s="30"/>
      <c r="Y1312" s="30"/>
      <c r="Z1312" s="30"/>
    </row>
    <row r="1313">
      <c r="A1313" s="30"/>
      <c r="B1313" s="30"/>
      <c r="C1313" s="30"/>
      <c r="D1313" s="30"/>
      <c r="E1313" s="30"/>
      <c r="F1313" s="30"/>
      <c r="G1313" s="30"/>
      <c r="H1313" s="30"/>
      <c r="I1313" s="30"/>
      <c r="J1313" s="30"/>
      <c r="K1313" s="30"/>
      <c r="L1313" s="30"/>
      <c r="M1313" s="30"/>
      <c r="N1313" s="30"/>
      <c r="O1313" s="30"/>
      <c r="P1313" s="30"/>
      <c r="Q1313" s="30"/>
      <c r="R1313" s="30"/>
      <c r="S1313" s="30"/>
      <c r="T1313" s="30"/>
      <c r="U1313" s="30"/>
      <c r="V1313" s="30"/>
      <c r="W1313" s="30"/>
      <c r="X1313" s="30"/>
      <c r="Y1313" s="30"/>
      <c r="Z1313" s="30"/>
    </row>
    <row r="1314">
      <c r="A1314" s="30"/>
      <c r="B1314" s="30"/>
      <c r="C1314" s="30"/>
      <c r="D1314" s="30"/>
      <c r="E1314" s="30"/>
      <c r="F1314" s="30"/>
      <c r="G1314" s="30"/>
      <c r="H1314" s="30"/>
      <c r="I1314" s="30"/>
      <c r="J1314" s="30"/>
      <c r="K1314" s="30"/>
      <c r="L1314" s="30"/>
      <c r="M1314" s="30"/>
      <c r="N1314" s="30"/>
      <c r="O1314" s="30"/>
      <c r="P1314" s="30"/>
      <c r="Q1314" s="30"/>
      <c r="R1314" s="30"/>
      <c r="S1314" s="30"/>
      <c r="T1314" s="30"/>
      <c r="U1314" s="30"/>
      <c r="V1314" s="30"/>
      <c r="W1314" s="30"/>
      <c r="X1314" s="30"/>
      <c r="Y1314" s="30"/>
      <c r="Z1314" s="30"/>
    </row>
    <row r="1315">
      <c r="A1315" s="30"/>
      <c r="B1315" s="30"/>
      <c r="C1315" s="30"/>
      <c r="D1315" s="30"/>
      <c r="E1315" s="30"/>
      <c r="F1315" s="30"/>
      <c r="G1315" s="30"/>
      <c r="H1315" s="30"/>
      <c r="I1315" s="30"/>
      <c r="J1315" s="30"/>
      <c r="K1315" s="30"/>
      <c r="L1315" s="30"/>
      <c r="M1315" s="30"/>
      <c r="N1315" s="30"/>
      <c r="O1315" s="30"/>
      <c r="P1315" s="30"/>
      <c r="Q1315" s="30"/>
      <c r="R1315" s="30"/>
      <c r="S1315" s="30"/>
      <c r="T1315" s="30"/>
      <c r="U1315" s="30"/>
      <c r="V1315" s="30"/>
      <c r="W1315" s="30"/>
      <c r="X1315" s="30"/>
      <c r="Y1315" s="30"/>
      <c r="Z1315" s="30"/>
    </row>
    <row r="1316">
      <c r="A1316" s="30"/>
      <c r="B1316" s="30"/>
      <c r="C1316" s="30"/>
      <c r="D1316" s="30"/>
      <c r="E1316" s="30"/>
      <c r="F1316" s="30"/>
      <c r="G1316" s="30"/>
      <c r="H1316" s="30"/>
      <c r="I1316" s="30"/>
      <c r="J1316" s="30"/>
      <c r="K1316" s="30"/>
      <c r="L1316" s="30"/>
      <c r="M1316" s="30"/>
      <c r="N1316" s="30"/>
      <c r="O1316" s="30"/>
      <c r="P1316" s="30"/>
      <c r="Q1316" s="30"/>
      <c r="R1316" s="30"/>
      <c r="S1316" s="30"/>
      <c r="T1316" s="30"/>
      <c r="U1316" s="30"/>
      <c r="V1316" s="30"/>
      <c r="W1316" s="30"/>
      <c r="X1316" s="30"/>
      <c r="Y1316" s="30"/>
      <c r="Z1316" s="30"/>
    </row>
    <row r="1317">
      <c r="A1317" s="30"/>
      <c r="B1317" s="30"/>
      <c r="C1317" s="30"/>
      <c r="D1317" s="30"/>
      <c r="E1317" s="30"/>
      <c r="F1317" s="30"/>
      <c r="G1317" s="30"/>
      <c r="H1317" s="30"/>
      <c r="I1317" s="30"/>
      <c r="J1317" s="30"/>
      <c r="K1317" s="30"/>
      <c r="L1317" s="30"/>
      <c r="M1317" s="30"/>
      <c r="N1317" s="30"/>
      <c r="O1317" s="30"/>
      <c r="P1317" s="30"/>
      <c r="Q1317" s="30"/>
      <c r="R1317" s="30"/>
      <c r="S1317" s="30"/>
      <c r="T1317" s="30"/>
      <c r="U1317" s="30"/>
      <c r="V1317" s="30"/>
      <c r="W1317" s="30"/>
      <c r="X1317" s="30"/>
      <c r="Y1317" s="30"/>
      <c r="Z1317" s="30"/>
    </row>
    <row r="1318">
      <c r="A1318" s="30"/>
      <c r="B1318" s="30"/>
      <c r="C1318" s="30"/>
      <c r="D1318" s="30"/>
      <c r="E1318" s="30"/>
      <c r="F1318" s="30"/>
      <c r="G1318" s="30"/>
      <c r="H1318" s="30"/>
      <c r="I1318" s="30"/>
      <c r="J1318" s="30"/>
      <c r="K1318" s="30"/>
      <c r="L1318" s="30"/>
      <c r="M1318" s="30"/>
      <c r="N1318" s="30"/>
      <c r="O1318" s="30"/>
      <c r="P1318" s="30"/>
      <c r="Q1318" s="30"/>
      <c r="R1318" s="30"/>
      <c r="S1318" s="30"/>
      <c r="T1318" s="30"/>
      <c r="U1318" s="30"/>
      <c r="V1318" s="30"/>
      <c r="W1318" s="30"/>
      <c r="X1318" s="30"/>
      <c r="Y1318" s="30"/>
      <c r="Z1318" s="30"/>
    </row>
    <row r="1319">
      <c r="A1319" s="30"/>
      <c r="B1319" s="30"/>
      <c r="C1319" s="30"/>
      <c r="D1319" s="30"/>
      <c r="E1319" s="30"/>
      <c r="F1319" s="30"/>
      <c r="G1319" s="30"/>
      <c r="H1319" s="30"/>
      <c r="I1319" s="30"/>
      <c r="J1319" s="30"/>
      <c r="K1319" s="30"/>
      <c r="L1319" s="30"/>
      <c r="M1319" s="30"/>
      <c r="N1319" s="30"/>
      <c r="O1319" s="30"/>
      <c r="P1319" s="30"/>
      <c r="Q1319" s="30"/>
      <c r="R1319" s="30"/>
      <c r="S1319" s="30"/>
      <c r="T1319" s="30"/>
      <c r="U1319" s="30"/>
      <c r="V1319" s="30"/>
      <c r="W1319" s="30"/>
      <c r="X1319" s="30"/>
      <c r="Y1319" s="30"/>
      <c r="Z1319" s="30"/>
    </row>
    <row r="1320">
      <c r="A1320" s="30"/>
      <c r="B1320" s="30"/>
      <c r="C1320" s="30"/>
      <c r="D1320" s="30"/>
      <c r="E1320" s="30"/>
      <c r="F1320" s="30"/>
      <c r="G1320" s="30"/>
      <c r="H1320" s="30"/>
      <c r="I1320" s="30"/>
      <c r="J1320" s="30"/>
      <c r="K1320" s="30"/>
      <c r="L1320" s="30"/>
      <c r="M1320" s="30"/>
      <c r="N1320" s="30"/>
      <c r="O1320" s="30"/>
      <c r="P1320" s="30"/>
      <c r="Q1320" s="30"/>
      <c r="R1320" s="30"/>
      <c r="S1320" s="30"/>
      <c r="T1320" s="30"/>
      <c r="U1320" s="30"/>
      <c r="V1320" s="30"/>
      <c r="W1320" s="30"/>
      <c r="X1320" s="30"/>
      <c r="Y1320" s="30"/>
      <c r="Z1320" s="30"/>
    </row>
    <row r="1321">
      <c r="A1321" s="30"/>
      <c r="B1321" s="30"/>
      <c r="C1321" s="30"/>
      <c r="D1321" s="30"/>
      <c r="E1321" s="30"/>
      <c r="F1321" s="30"/>
      <c r="G1321" s="30"/>
      <c r="H1321" s="30"/>
      <c r="I1321" s="30"/>
      <c r="J1321" s="30"/>
      <c r="K1321" s="30"/>
      <c r="L1321" s="30"/>
      <c r="M1321" s="30"/>
      <c r="N1321" s="30"/>
      <c r="O1321" s="30"/>
      <c r="P1321" s="30"/>
      <c r="Q1321" s="30"/>
      <c r="R1321" s="30"/>
      <c r="S1321" s="30"/>
      <c r="T1321" s="30"/>
      <c r="U1321" s="30"/>
      <c r="V1321" s="30"/>
      <c r="W1321" s="30"/>
      <c r="X1321" s="30"/>
      <c r="Y1321" s="30"/>
      <c r="Z1321" s="30"/>
    </row>
    <row r="1322">
      <c r="A1322" s="30"/>
      <c r="B1322" s="30"/>
      <c r="C1322" s="30"/>
      <c r="D1322" s="30"/>
      <c r="E1322" s="30"/>
      <c r="F1322" s="30"/>
      <c r="G1322" s="30"/>
      <c r="H1322" s="30"/>
      <c r="I1322" s="30"/>
      <c r="J1322" s="30"/>
      <c r="K1322" s="30"/>
      <c r="L1322" s="30"/>
      <c r="M1322" s="30"/>
      <c r="N1322" s="30"/>
      <c r="O1322" s="30"/>
      <c r="P1322" s="30"/>
      <c r="Q1322" s="30"/>
      <c r="R1322" s="30"/>
      <c r="S1322" s="30"/>
      <c r="T1322" s="30"/>
      <c r="U1322" s="30"/>
      <c r="V1322" s="30"/>
      <c r="W1322" s="30"/>
      <c r="X1322" s="30"/>
      <c r="Y1322" s="30"/>
      <c r="Z1322" s="30"/>
    </row>
    <row r="1323">
      <c r="A1323" s="30"/>
      <c r="B1323" s="30"/>
      <c r="C1323" s="30"/>
      <c r="D1323" s="30"/>
      <c r="E1323" s="30"/>
      <c r="F1323" s="30"/>
      <c r="G1323" s="30"/>
      <c r="H1323" s="30"/>
      <c r="I1323" s="30"/>
      <c r="J1323" s="30"/>
      <c r="K1323" s="30"/>
      <c r="L1323" s="30"/>
      <c r="M1323" s="30"/>
      <c r="N1323" s="30"/>
      <c r="O1323" s="30"/>
      <c r="P1323" s="30"/>
      <c r="Q1323" s="30"/>
      <c r="R1323" s="30"/>
      <c r="S1323" s="30"/>
      <c r="T1323" s="30"/>
      <c r="U1323" s="30"/>
      <c r="V1323" s="30"/>
      <c r="W1323" s="30"/>
      <c r="X1323" s="30"/>
      <c r="Y1323" s="30"/>
      <c r="Z1323" s="30"/>
    </row>
    <row r="1324">
      <c r="A1324" s="30"/>
      <c r="B1324" s="30"/>
      <c r="C1324" s="30"/>
      <c r="D1324" s="30"/>
      <c r="E1324" s="30"/>
      <c r="F1324" s="30"/>
      <c r="G1324" s="30"/>
      <c r="H1324" s="30"/>
      <c r="I1324" s="30"/>
      <c r="J1324" s="30"/>
      <c r="K1324" s="30"/>
      <c r="L1324" s="30"/>
      <c r="M1324" s="30"/>
      <c r="N1324" s="30"/>
      <c r="O1324" s="30"/>
      <c r="P1324" s="30"/>
      <c r="Q1324" s="30"/>
      <c r="R1324" s="30"/>
      <c r="S1324" s="30"/>
      <c r="T1324" s="30"/>
      <c r="U1324" s="30"/>
      <c r="V1324" s="30"/>
      <c r="W1324" s="30"/>
      <c r="X1324" s="30"/>
      <c r="Y1324" s="30"/>
      <c r="Z1324" s="30"/>
    </row>
    <row r="1325">
      <c r="A1325" s="30"/>
      <c r="B1325" s="30"/>
      <c r="C1325" s="30"/>
      <c r="D1325" s="30"/>
      <c r="E1325" s="30"/>
      <c r="F1325" s="30"/>
      <c r="G1325" s="30"/>
      <c r="H1325" s="30"/>
      <c r="I1325" s="30"/>
      <c r="J1325" s="30"/>
      <c r="K1325" s="30"/>
      <c r="L1325" s="30"/>
      <c r="M1325" s="30"/>
      <c r="N1325" s="30"/>
      <c r="O1325" s="30"/>
      <c r="P1325" s="30"/>
      <c r="Q1325" s="30"/>
      <c r="R1325" s="30"/>
      <c r="S1325" s="30"/>
      <c r="T1325" s="30"/>
      <c r="U1325" s="30"/>
      <c r="V1325" s="30"/>
      <c r="W1325" s="30"/>
      <c r="X1325" s="30"/>
      <c r="Y1325" s="30"/>
      <c r="Z1325" s="30"/>
    </row>
    <row r="1326">
      <c r="A1326" s="30"/>
      <c r="B1326" s="30"/>
      <c r="C1326" s="30"/>
      <c r="D1326" s="30"/>
      <c r="E1326" s="30"/>
      <c r="F1326" s="30"/>
      <c r="G1326" s="30"/>
      <c r="H1326" s="30"/>
      <c r="I1326" s="30"/>
      <c r="J1326" s="30"/>
      <c r="K1326" s="30"/>
      <c r="L1326" s="30"/>
      <c r="M1326" s="30"/>
      <c r="N1326" s="30"/>
      <c r="O1326" s="30"/>
      <c r="P1326" s="30"/>
      <c r="Q1326" s="30"/>
      <c r="R1326" s="30"/>
      <c r="S1326" s="30"/>
      <c r="T1326" s="30"/>
      <c r="U1326" s="30"/>
      <c r="V1326" s="30"/>
      <c r="W1326" s="30"/>
      <c r="X1326" s="30"/>
      <c r="Y1326" s="30"/>
      <c r="Z1326" s="30"/>
    </row>
    <row r="1327">
      <c r="A1327" s="30"/>
      <c r="B1327" s="30"/>
      <c r="C1327" s="30"/>
      <c r="D1327" s="30"/>
      <c r="E1327" s="30"/>
      <c r="F1327" s="30"/>
      <c r="G1327" s="30"/>
      <c r="H1327" s="30"/>
      <c r="I1327" s="30"/>
      <c r="J1327" s="30"/>
      <c r="K1327" s="30"/>
      <c r="L1327" s="30"/>
      <c r="M1327" s="30"/>
      <c r="N1327" s="30"/>
      <c r="O1327" s="30"/>
      <c r="P1327" s="30"/>
      <c r="Q1327" s="30"/>
      <c r="R1327" s="30"/>
      <c r="S1327" s="30"/>
      <c r="T1327" s="30"/>
      <c r="U1327" s="30"/>
      <c r="V1327" s="30"/>
      <c r="W1327" s="30"/>
      <c r="X1327" s="30"/>
      <c r="Y1327" s="30"/>
      <c r="Z1327" s="30"/>
    </row>
    <row r="1328">
      <c r="A1328" s="30"/>
      <c r="B1328" s="30"/>
      <c r="C1328" s="30"/>
      <c r="D1328" s="30"/>
      <c r="E1328" s="30"/>
      <c r="F1328" s="30"/>
      <c r="G1328" s="30"/>
      <c r="H1328" s="30"/>
      <c r="I1328" s="30"/>
      <c r="J1328" s="30"/>
      <c r="K1328" s="30"/>
      <c r="L1328" s="30"/>
      <c r="M1328" s="30"/>
      <c r="N1328" s="30"/>
      <c r="O1328" s="30"/>
      <c r="P1328" s="30"/>
      <c r="Q1328" s="30"/>
      <c r="R1328" s="30"/>
      <c r="S1328" s="30"/>
      <c r="T1328" s="30"/>
      <c r="U1328" s="30"/>
      <c r="V1328" s="30"/>
      <c r="W1328" s="30"/>
      <c r="X1328" s="30"/>
      <c r="Y1328" s="30"/>
      <c r="Z1328" s="30"/>
    </row>
    <row r="1329">
      <c r="A1329" s="30"/>
      <c r="B1329" s="30"/>
      <c r="C1329" s="30"/>
      <c r="D1329" s="30"/>
      <c r="E1329" s="30"/>
      <c r="F1329" s="30"/>
      <c r="G1329" s="30"/>
      <c r="H1329" s="30"/>
      <c r="I1329" s="30"/>
      <c r="J1329" s="30"/>
      <c r="K1329" s="30"/>
      <c r="L1329" s="30"/>
      <c r="M1329" s="30"/>
      <c r="N1329" s="30"/>
      <c r="O1329" s="30"/>
      <c r="P1329" s="30"/>
      <c r="Q1329" s="30"/>
      <c r="R1329" s="30"/>
      <c r="S1329" s="30"/>
      <c r="T1329" s="30"/>
      <c r="U1329" s="30"/>
      <c r="V1329" s="30"/>
      <c r="W1329" s="30"/>
      <c r="X1329" s="30"/>
      <c r="Y1329" s="30"/>
      <c r="Z1329" s="30"/>
    </row>
    <row r="1330">
      <c r="A1330" s="30"/>
      <c r="B1330" s="30"/>
      <c r="C1330" s="30"/>
      <c r="D1330" s="30"/>
      <c r="E1330" s="30"/>
      <c r="F1330" s="30"/>
      <c r="G1330" s="30"/>
      <c r="H1330" s="30"/>
      <c r="I1330" s="30"/>
      <c r="J1330" s="30"/>
      <c r="K1330" s="30"/>
      <c r="L1330" s="30"/>
      <c r="M1330" s="30"/>
      <c r="N1330" s="30"/>
      <c r="O1330" s="30"/>
      <c r="P1330" s="30"/>
      <c r="Q1330" s="30"/>
      <c r="R1330" s="30"/>
      <c r="S1330" s="30"/>
      <c r="T1330" s="30"/>
      <c r="U1330" s="30"/>
      <c r="V1330" s="30"/>
      <c r="W1330" s="30"/>
      <c r="X1330" s="30"/>
      <c r="Y1330" s="30"/>
      <c r="Z1330" s="30"/>
    </row>
    <row r="1331">
      <c r="A1331" s="30"/>
      <c r="B1331" s="30"/>
      <c r="C1331" s="30"/>
      <c r="D1331" s="30"/>
      <c r="E1331" s="30"/>
      <c r="F1331" s="30"/>
      <c r="G1331" s="30"/>
      <c r="H1331" s="30"/>
      <c r="I1331" s="30"/>
      <c r="J1331" s="30"/>
      <c r="K1331" s="30"/>
      <c r="L1331" s="30"/>
      <c r="M1331" s="30"/>
      <c r="N1331" s="30"/>
      <c r="O1331" s="30"/>
      <c r="P1331" s="30"/>
      <c r="Q1331" s="30"/>
      <c r="R1331" s="30"/>
      <c r="S1331" s="30"/>
      <c r="T1331" s="30"/>
      <c r="U1331" s="30"/>
      <c r="V1331" s="30"/>
      <c r="W1331" s="30"/>
      <c r="X1331" s="30"/>
      <c r="Y1331" s="30"/>
      <c r="Z1331" s="30"/>
    </row>
    <row r="1332">
      <c r="A1332" s="30"/>
      <c r="B1332" s="30"/>
      <c r="C1332" s="30"/>
      <c r="D1332" s="30"/>
      <c r="E1332" s="30"/>
      <c r="F1332" s="30"/>
      <c r="G1332" s="30"/>
      <c r="H1332" s="30"/>
      <c r="I1332" s="30"/>
      <c r="J1332" s="30"/>
      <c r="K1332" s="30"/>
      <c r="L1332" s="30"/>
      <c r="M1332" s="30"/>
      <c r="N1332" s="30"/>
      <c r="O1332" s="30"/>
      <c r="P1332" s="30"/>
      <c r="Q1332" s="30"/>
      <c r="R1332" s="30"/>
      <c r="S1332" s="30"/>
      <c r="T1332" s="30"/>
      <c r="U1332" s="30"/>
      <c r="V1332" s="30"/>
      <c r="W1332" s="30"/>
      <c r="X1332" s="30"/>
      <c r="Y1332" s="30"/>
      <c r="Z1332" s="30"/>
    </row>
    <row r="1333">
      <c r="A1333" s="30"/>
      <c r="B1333" s="30"/>
      <c r="C1333" s="30"/>
      <c r="D1333" s="30"/>
      <c r="E1333" s="30"/>
      <c r="F1333" s="30"/>
      <c r="G1333" s="30"/>
      <c r="H1333" s="30"/>
      <c r="I1333" s="30"/>
      <c r="J1333" s="30"/>
      <c r="K1333" s="30"/>
      <c r="L1333" s="30"/>
      <c r="M1333" s="30"/>
      <c r="N1333" s="30"/>
      <c r="O1333" s="30"/>
      <c r="P1333" s="30"/>
      <c r="Q1333" s="30"/>
      <c r="R1333" s="30"/>
      <c r="S1333" s="30"/>
      <c r="T1333" s="30"/>
      <c r="U1333" s="30"/>
      <c r="V1333" s="30"/>
      <c r="W1333" s="30"/>
      <c r="X1333" s="30"/>
      <c r="Y1333" s="30"/>
      <c r="Z1333" s="30"/>
    </row>
    <row r="1334">
      <c r="A1334" s="30"/>
      <c r="B1334" s="30"/>
      <c r="C1334" s="30"/>
      <c r="D1334" s="30"/>
      <c r="E1334" s="30"/>
      <c r="F1334" s="30"/>
      <c r="G1334" s="30"/>
      <c r="H1334" s="30"/>
      <c r="I1334" s="30"/>
      <c r="J1334" s="30"/>
      <c r="K1334" s="30"/>
      <c r="L1334" s="30"/>
      <c r="M1334" s="30"/>
      <c r="N1334" s="30"/>
      <c r="O1334" s="30"/>
      <c r="P1334" s="30"/>
      <c r="Q1334" s="30"/>
      <c r="R1334" s="30"/>
      <c r="S1334" s="30"/>
      <c r="T1334" s="30"/>
      <c r="U1334" s="30"/>
      <c r="V1334" s="30"/>
      <c r="W1334" s="30"/>
      <c r="X1334" s="30"/>
      <c r="Y1334" s="30"/>
      <c r="Z1334" s="30"/>
    </row>
    <row r="1335">
      <c r="A1335" s="30"/>
      <c r="B1335" s="30"/>
      <c r="C1335" s="30"/>
      <c r="D1335" s="30"/>
      <c r="E1335" s="30"/>
      <c r="F1335" s="30"/>
      <c r="G1335" s="30"/>
      <c r="H1335" s="30"/>
      <c r="I1335" s="30"/>
      <c r="J1335" s="30"/>
      <c r="K1335" s="30"/>
      <c r="L1335" s="30"/>
      <c r="M1335" s="30"/>
      <c r="N1335" s="30"/>
      <c r="O1335" s="30"/>
      <c r="P1335" s="30"/>
      <c r="Q1335" s="30"/>
      <c r="R1335" s="30"/>
      <c r="S1335" s="30"/>
      <c r="T1335" s="30"/>
      <c r="U1335" s="30"/>
      <c r="V1335" s="30"/>
      <c r="W1335" s="30"/>
      <c r="X1335" s="30"/>
      <c r="Y1335" s="30"/>
      <c r="Z1335" s="30"/>
    </row>
    <row r="1336">
      <c r="A1336" s="30"/>
      <c r="B1336" s="30"/>
      <c r="C1336" s="30"/>
      <c r="D1336" s="30"/>
      <c r="E1336" s="30"/>
      <c r="F1336" s="30"/>
      <c r="G1336" s="30"/>
      <c r="H1336" s="30"/>
      <c r="I1336" s="30"/>
      <c r="J1336" s="30"/>
      <c r="K1336" s="30"/>
      <c r="L1336" s="30"/>
      <c r="M1336" s="30"/>
      <c r="N1336" s="30"/>
      <c r="O1336" s="30"/>
      <c r="P1336" s="30"/>
      <c r="Q1336" s="30"/>
      <c r="R1336" s="30"/>
      <c r="S1336" s="30"/>
      <c r="T1336" s="30"/>
      <c r="U1336" s="30"/>
      <c r="V1336" s="30"/>
      <c r="W1336" s="30"/>
      <c r="X1336" s="30"/>
      <c r="Y1336" s="30"/>
      <c r="Z1336" s="30"/>
    </row>
    <row r="1337">
      <c r="A1337" s="30"/>
      <c r="B1337" s="30"/>
      <c r="C1337" s="30"/>
      <c r="D1337" s="30"/>
      <c r="E1337" s="30"/>
      <c r="F1337" s="30"/>
      <c r="G1337" s="30"/>
      <c r="H1337" s="30"/>
      <c r="I1337" s="30"/>
      <c r="J1337" s="30"/>
      <c r="K1337" s="30"/>
      <c r="L1337" s="30"/>
      <c r="M1337" s="30"/>
      <c r="N1337" s="30"/>
      <c r="O1337" s="30"/>
      <c r="P1337" s="30"/>
      <c r="Q1337" s="30"/>
      <c r="R1337" s="30"/>
      <c r="S1337" s="30"/>
      <c r="T1337" s="30"/>
      <c r="U1337" s="30"/>
      <c r="V1337" s="30"/>
      <c r="W1337" s="30"/>
      <c r="X1337" s="30"/>
      <c r="Y1337" s="30"/>
      <c r="Z1337" s="30"/>
    </row>
    <row r="1338">
      <c r="A1338" s="30"/>
      <c r="B1338" s="30"/>
      <c r="C1338" s="30"/>
      <c r="D1338" s="30"/>
      <c r="E1338" s="30"/>
      <c r="F1338" s="30"/>
      <c r="G1338" s="30"/>
      <c r="H1338" s="30"/>
      <c r="I1338" s="30"/>
      <c r="J1338" s="30"/>
      <c r="K1338" s="30"/>
      <c r="L1338" s="30"/>
      <c r="M1338" s="30"/>
      <c r="N1338" s="30"/>
      <c r="O1338" s="30"/>
      <c r="P1338" s="30"/>
      <c r="Q1338" s="30"/>
      <c r="R1338" s="30"/>
      <c r="S1338" s="30"/>
      <c r="T1338" s="30"/>
      <c r="U1338" s="30"/>
      <c r="V1338" s="30"/>
      <c r="W1338" s="30"/>
      <c r="X1338" s="30"/>
      <c r="Y1338" s="30"/>
      <c r="Z1338" s="30"/>
    </row>
    <row r="1339">
      <c r="A1339" s="30"/>
      <c r="B1339" s="30"/>
      <c r="C1339" s="30"/>
      <c r="D1339" s="30"/>
      <c r="E1339" s="30"/>
      <c r="F1339" s="30"/>
      <c r="G1339" s="30"/>
      <c r="H1339" s="30"/>
      <c r="I1339" s="30"/>
      <c r="J1339" s="30"/>
      <c r="K1339" s="30"/>
      <c r="L1339" s="30"/>
      <c r="M1339" s="30"/>
      <c r="N1339" s="30"/>
      <c r="O1339" s="30"/>
      <c r="P1339" s="30"/>
      <c r="Q1339" s="30"/>
      <c r="R1339" s="30"/>
      <c r="S1339" s="30"/>
      <c r="T1339" s="30"/>
      <c r="U1339" s="30"/>
      <c r="V1339" s="30"/>
      <c r="W1339" s="30"/>
      <c r="X1339" s="30"/>
      <c r="Y1339" s="30"/>
      <c r="Z1339" s="30"/>
    </row>
    <row r="1340">
      <c r="A1340" s="30"/>
      <c r="B1340" s="30"/>
      <c r="C1340" s="30"/>
      <c r="D1340" s="30"/>
      <c r="E1340" s="30"/>
      <c r="F1340" s="30"/>
      <c r="G1340" s="30"/>
      <c r="H1340" s="30"/>
      <c r="I1340" s="30"/>
      <c r="J1340" s="30"/>
      <c r="K1340" s="30"/>
      <c r="L1340" s="30"/>
      <c r="M1340" s="30"/>
      <c r="N1340" s="30"/>
      <c r="O1340" s="30"/>
      <c r="P1340" s="30"/>
      <c r="Q1340" s="30"/>
      <c r="R1340" s="30"/>
      <c r="S1340" s="30"/>
      <c r="T1340" s="30"/>
      <c r="U1340" s="30"/>
      <c r="V1340" s="30"/>
      <c r="W1340" s="30"/>
      <c r="X1340" s="30"/>
      <c r="Y1340" s="30"/>
      <c r="Z1340" s="30"/>
    </row>
    <row r="1341">
      <c r="A1341" s="30"/>
      <c r="B1341" s="30"/>
      <c r="C1341" s="30"/>
      <c r="D1341" s="30"/>
      <c r="E1341" s="30"/>
      <c r="F1341" s="30"/>
      <c r="G1341" s="30"/>
      <c r="H1341" s="30"/>
      <c r="I1341" s="30"/>
      <c r="J1341" s="30"/>
      <c r="K1341" s="30"/>
      <c r="L1341" s="30"/>
      <c r="M1341" s="30"/>
      <c r="N1341" s="30"/>
      <c r="O1341" s="30"/>
      <c r="P1341" s="30"/>
      <c r="Q1341" s="30"/>
      <c r="R1341" s="30"/>
      <c r="S1341" s="30"/>
      <c r="T1341" s="30"/>
      <c r="U1341" s="30"/>
      <c r="V1341" s="30"/>
      <c r="W1341" s="30"/>
      <c r="X1341" s="30"/>
      <c r="Y1341" s="30"/>
      <c r="Z1341" s="30"/>
    </row>
    <row r="1342">
      <c r="A1342" s="30"/>
      <c r="B1342" s="30"/>
      <c r="C1342" s="30"/>
      <c r="D1342" s="30"/>
      <c r="E1342" s="30"/>
      <c r="F1342" s="30"/>
      <c r="G1342" s="30"/>
      <c r="H1342" s="30"/>
      <c r="I1342" s="30"/>
      <c r="J1342" s="30"/>
      <c r="K1342" s="30"/>
      <c r="L1342" s="30"/>
      <c r="M1342" s="30"/>
      <c r="N1342" s="30"/>
      <c r="O1342" s="30"/>
      <c r="P1342" s="30"/>
      <c r="Q1342" s="30"/>
      <c r="R1342" s="30"/>
      <c r="S1342" s="30"/>
      <c r="T1342" s="30"/>
      <c r="U1342" s="30"/>
      <c r="V1342" s="30"/>
      <c r="W1342" s="30"/>
      <c r="X1342" s="30"/>
      <c r="Y1342" s="30"/>
      <c r="Z1342" s="30"/>
    </row>
    <row r="1343">
      <c r="A1343" s="30"/>
      <c r="B1343" s="30"/>
      <c r="C1343" s="30"/>
      <c r="D1343" s="30"/>
      <c r="E1343" s="30"/>
      <c r="F1343" s="30"/>
      <c r="G1343" s="30"/>
      <c r="H1343" s="30"/>
      <c r="I1343" s="30"/>
      <c r="J1343" s="30"/>
      <c r="K1343" s="30"/>
      <c r="L1343" s="30"/>
      <c r="M1343" s="30"/>
      <c r="N1343" s="30"/>
      <c r="O1343" s="30"/>
      <c r="P1343" s="30"/>
      <c r="Q1343" s="30"/>
      <c r="R1343" s="30"/>
      <c r="S1343" s="30"/>
      <c r="T1343" s="30"/>
      <c r="U1343" s="30"/>
      <c r="V1343" s="30"/>
      <c r="W1343" s="30"/>
      <c r="X1343" s="30"/>
      <c r="Y1343" s="30"/>
      <c r="Z1343" s="30"/>
    </row>
    <row r="1344">
      <c r="A1344" s="30"/>
      <c r="B1344" s="30"/>
      <c r="C1344" s="30"/>
      <c r="D1344" s="30"/>
      <c r="E1344" s="30"/>
      <c r="F1344" s="30"/>
      <c r="G1344" s="30"/>
      <c r="H1344" s="30"/>
      <c r="I1344" s="30"/>
      <c r="J1344" s="30"/>
      <c r="K1344" s="30"/>
      <c r="L1344" s="30"/>
      <c r="M1344" s="30"/>
      <c r="N1344" s="30"/>
      <c r="O1344" s="30"/>
      <c r="P1344" s="30"/>
      <c r="Q1344" s="30"/>
      <c r="R1344" s="30"/>
      <c r="S1344" s="30"/>
      <c r="T1344" s="30"/>
      <c r="U1344" s="30"/>
      <c r="V1344" s="30"/>
      <c r="W1344" s="30"/>
      <c r="X1344" s="30"/>
      <c r="Y1344" s="30"/>
      <c r="Z1344" s="30"/>
    </row>
    <row r="1345">
      <c r="A1345" s="30"/>
      <c r="B1345" s="30"/>
      <c r="C1345" s="30"/>
      <c r="D1345" s="30"/>
      <c r="E1345" s="30"/>
      <c r="F1345" s="30"/>
      <c r="G1345" s="30"/>
      <c r="H1345" s="30"/>
      <c r="I1345" s="30"/>
      <c r="J1345" s="30"/>
      <c r="K1345" s="30"/>
      <c r="L1345" s="30"/>
      <c r="M1345" s="30"/>
      <c r="N1345" s="30"/>
      <c r="O1345" s="30"/>
      <c r="P1345" s="30"/>
      <c r="Q1345" s="30"/>
      <c r="R1345" s="30"/>
      <c r="S1345" s="30"/>
      <c r="T1345" s="30"/>
      <c r="U1345" s="30"/>
      <c r="V1345" s="30"/>
      <c r="W1345" s="30"/>
      <c r="X1345" s="30"/>
      <c r="Y1345" s="30"/>
      <c r="Z1345" s="30"/>
    </row>
    <row r="1346">
      <c r="A1346" s="30"/>
      <c r="B1346" s="30"/>
      <c r="C1346" s="30"/>
      <c r="D1346" s="30"/>
      <c r="E1346" s="30"/>
      <c r="F1346" s="30"/>
      <c r="G1346" s="30"/>
      <c r="H1346" s="30"/>
      <c r="I1346" s="30"/>
      <c r="J1346" s="30"/>
      <c r="K1346" s="30"/>
      <c r="L1346" s="30"/>
      <c r="M1346" s="30"/>
      <c r="N1346" s="30"/>
      <c r="O1346" s="30"/>
      <c r="P1346" s="30"/>
      <c r="Q1346" s="30"/>
      <c r="R1346" s="30"/>
      <c r="S1346" s="30"/>
      <c r="T1346" s="30"/>
      <c r="U1346" s="30"/>
      <c r="V1346" s="30"/>
      <c r="W1346" s="30"/>
      <c r="X1346" s="30"/>
      <c r="Y1346" s="30"/>
      <c r="Z1346" s="30"/>
    </row>
    <row r="1347">
      <c r="A1347" s="30"/>
      <c r="B1347" s="30"/>
      <c r="C1347" s="30"/>
      <c r="D1347" s="30"/>
      <c r="E1347" s="30"/>
      <c r="F1347" s="30"/>
      <c r="G1347" s="30"/>
      <c r="H1347" s="30"/>
      <c r="I1347" s="30"/>
      <c r="J1347" s="30"/>
      <c r="K1347" s="30"/>
      <c r="L1347" s="30"/>
      <c r="M1347" s="30"/>
      <c r="N1347" s="30"/>
      <c r="O1347" s="30"/>
      <c r="P1347" s="30"/>
      <c r="Q1347" s="30"/>
      <c r="R1347" s="30"/>
      <c r="S1347" s="30"/>
      <c r="T1347" s="30"/>
      <c r="U1347" s="30"/>
      <c r="V1347" s="30"/>
      <c r="W1347" s="30"/>
      <c r="X1347" s="30"/>
      <c r="Y1347" s="30"/>
      <c r="Z1347" s="30"/>
    </row>
    <row r="1348">
      <c r="A1348" s="30"/>
      <c r="B1348" s="30"/>
      <c r="C1348" s="30"/>
      <c r="D1348" s="30"/>
      <c r="E1348" s="30"/>
      <c r="F1348" s="30"/>
      <c r="G1348" s="30"/>
      <c r="H1348" s="30"/>
      <c r="I1348" s="30"/>
      <c r="J1348" s="30"/>
      <c r="K1348" s="30"/>
      <c r="L1348" s="30"/>
      <c r="M1348" s="30"/>
      <c r="N1348" s="30"/>
      <c r="O1348" s="30"/>
      <c r="P1348" s="30"/>
      <c r="Q1348" s="30"/>
      <c r="R1348" s="30"/>
      <c r="S1348" s="30"/>
      <c r="T1348" s="30"/>
      <c r="U1348" s="30"/>
      <c r="V1348" s="30"/>
      <c r="W1348" s="30"/>
      <c r="X1348" s="30"/>
      <c r="Y1348" s="30"/>
      <c r="Z1348" s="30"/>
    </row>
    <row r="1349">
      <c r="A1349" s="30"/>
      <c r="B1349" s="30"/>
      <c r="C1349" s="30"/>
      <c r="D1349" s="30"/>
      <c r="E1349" s="30"/>
      <c r="F1349" s="30"/>
      <c r="G1349" s="30"/>
      <c r="H1349" s="30"/>
      <c r="I1349" s="30"/>
      <c r="J1349" s="30"/>
      <c r="K1349" s="30"/>
      <c r="L1349" s="30"/>
      <c r="M1349" s="30"/>
      <c r="N1349" s="30"/>
      <c r="O1349" s="30"/>
      <c r="P1349" s="30"/>
      <c r="Q1349" s="30"/>
      <c r="R1349" s="30"/>
      <c r="S1349" s="30"/>
      <c r="T1349" s="30"/>
      <c r="U1349" s="30"/>
      <c r="V1349" s="30"/>
      <c r="W1349" s="30"/>
      <c r="X1349" s="30"/>
      <c r="Y1349" s="30"/>
      <c r="Z1349" s="30"/>
    </row>
    <row r="1350">
      <c r="A1350" s="30"/>
      <c r="B1350" s="30"/>
      <c r="C1350" s="30"/>
      <c r="D1350" s="30"/>
      <c r="E1350" s="30"/>
      <c r="F1350" s="30"/>
      <c r="G1350" s="30"/>
      <c r="H1350" s="30"/>
      <c r="I1350" s="30"/>
      <c r="J1350" s="30"/>
      <c r="K1350" s="30"/>
      <c r="L1350" s="30"/>
      <c r="M1350" s="30"/>
      <c r="N1350" s="30"/>
      <c r="O1350" s="30"/>
      <c r="P1350" s="30"/>
      <c r="Q1350" s="30"/>
      <c r="R1350" s="30"/>
      <c r="S1350" s="30"/>
      <c r="T1350" s="30"/>
      <c r="U1350" s="30"/>
      <c r="V1350" s="30"/>
      <c r="W1350" s="30"/>
      <c r="X1350" s="30"/>
      <c r="Y1350" s="30"/>
      <c r="Z1350" s="30"/>
    </row>
    <row r="1351">
      <c r="A1351" s="30"/>
      <c r="B1351" s="30"/>
      <c r="C1351" s="30"/>
      <c r="D1351" s="30"/>
      <c r="E1351" s="30"/>
      <c r="F1351" s="30"/>
      <c r="G1351" s="30"/>
      <c r="H1351" s="30"/>
      <c r="I1351" s="30"/>
      <c r="J1351" s="30"/>
      <c r="K1351" s="30"/>
      <c r="L1351" s="30"/>
      <c r="M1351" s="30"/>
      <c r="N1351" s="30"/>
      <c r="O1351" s="30"/>
      <c r="P1351" s="30"/>
      <c r="Q1351" s="30"/>
      <c r="R1351" s="30"/>
      <c r="S1351" s="30"/>
      <c r="T1351" s="30"/>
      <c r="U1351" s="30"/>
      <c r="V1351" s="30"/>
      <c r="W1351" s="30"/>
      <c r="X1351" s="30"/>
      <c r="Y1351" s="30"/>
      <c r="Z1351" s="30"/>
    </row>
    <row r="1352">
      <c r="A1352" s="30"/>
      <c r="B1352" s="30"/>
      <c r="C1352" s="30"/>
      <c r="D1352" s="30"/>
      <c r="E1352" s="30"/>
      <c r="F1352" s="30"/>
      <c r="G1352" s="30"/>
      <c r="H1352" s="30"/>
      <c r="I1352" s="30"/>
      <c r="J1352" s="30"/>
      <c r="K1352" s="30"/>
      <c r="L1352" s="30"/>
      <c r="M1352" s="30"/>
      <c r="N1352" s="30"/>
      <c r="O1352" s="30"/>
      <c r="P1352" s="30"/>
      <c r="Q1352" s="30"/>
      <c r="R1352" s="30"/>
      <c r="S1352" s="30"/>
      <c r="T1352" s="30"/>
      <c r="U1352" s="30"/>
      <c r="V1352" s="30"/>
      <c r="W1352" s="30"/>
      <c r="X1352" s="30"/>
      <c r="Y1352" s="30"/>
      <c r="Z1352" s="30"/>
    </row>
    <row r="1353">
      <c r="A1353" s="30"/>
      <c r="B1353" s="30"/>
      <c r="C1353" s="30"/>
      <c r="D1353" s="30"/>
      <c r="E1353" s="30"/>
      <c r="F1353" s="30"/>
      <c r="G1353" s="30"/>
      <c r="H1353" s="30"/>
      <c r="I1353" s="30"/>
      <c r="J1353" s="30"/>
      <c r="K1353" s="30"/>
      <c r="L1353" s="30"/>
      <c r="M1353" s="30"/>
      <c r="N1353" s="30"/>
      <c r="O1353" s="30"/>
      <c r="P1353" s="30"/>
      <c r="Q1353" s="30"/>
      <c r="R1353" s="30"/>
      <c r="S1353" s="30"/>
      <c r="T1353" s="30"/>
      <c r="U1353" s="30"/>
      <c r="V1353" s="30"/>
      <c r="W1353" s="30"/>
      <c r="X1353" s="30"/>
      <c r="Y1353" s="30"/>
      <c r="Z1353" s="30"/>
    </row>
    <row r="1354">
      <c r="A1354" s="30"/>
      <c r="B1354" s="30"/>
      <c r="C1354" s="30"/>
      <c r="D1354" s="30"/>
      <c r="E1354" s="30"/>
      <c r="F1354" s="30"/>
      <c r="G1354" s="30"/>
      <c r="H1354" s="30"/>
      <c r="I1354" s="30"/>
      <c r="J1354" s="30"/>
      <c r="K1354" s="30"/>
      <c r="L1354" s="30"/>
      <c r="M1354" s="30"/>
      <c r="N1354" s="30"/>
      <c r="O1354" s="30"/>
      <c r="P1354" s="30"/>
      <c r="Q1354" s="30"/>
      <c r="R1354" s="30"/>
      <c r="S1354" s="30"/>
      <c r="T1354" s="30"/>
      <c r="U1354" s="30"/>
      <c r="V1354" s="30"/>
      <c r="W1354" s="30"/>
      <c r="X1354" s="30"/>
      <c r="Y1354" s="30"/>
      <c r="Z1354" s="30"/>
    </row>
    <row r="1355">
      <c r="A1355" s="30"/>
      <c r="B1355" s="30"/>
      <c r="C1355" s="30"/>
      <c r="D1355" s="30"/>
      <c r="E1355" s="30"/>
      <c r="F1355" s="30"/>
      <c r="G1355" s="30"/>
      <c r="H1355" s="30"/>
      <c r="I1355" s="30"/>
      <c r="J1355" s="30"/>
      <c r="K1355" s="30"/>
      <c r="L1355" s="30"/>
      <c r="M1355" s="30"/>
      <c r="N1355" s="30"/>
      <c r="O1355" s="30"/>
      <c r="P1355" s="30"/>
      <c r="Q1355" s="30"/>
      <c r="R1355" s="30"/>
      <c r="S1355" s="30"/>
      <c r="T1355" s="30"/>
      <c r="U1355" s="30"/>
      <c r="V1355" s="30"/>
      <c r="W1355" s="30"/>
      <c r="X1355" s="30"/>
      <c r="Y1355" s="30"/>
      <c r="Z1355" s="30"/>
    </row>
    <row r="1356">
      <c r="A1356" s="30"/>
      <c r="B1356" s="30"/>
      <c r="C1356" s="30"/>
      <c r="D1356" s="30"/>
      <c r="E1356" s="30"/>
      <c r="F1356" s="30"/>
      <c r="G1356" s="30"/>
      <c r="H1356" s="30"/>
      <c r="I1356" s="30"/>
      <c r="J1356" s="30"/>
      <c r="K1356" s="30"/>
      <c r="L1356" s="30"/>
      <c r="M1356" s="30"/>
      <c r="N1356" s="30"/>
      <c r="O1356" s="30"/>
      <c r="P1356" s="30"/>
      <c r="Q1356" s="30"/>
      <c r="R1356" s="30"/>
      <c r="S1356" s="30"/>
      <c r="T1356" s="30"/>
      <c r="U1356" s="30"/>
      <c r="V1356" s="30"/>
      <c r="W1356" s="30"/>
      <c r="X1356" s="30"/>
      <c r="Y1356" s="30"/>
      <c r="Z1356" s="30"/>
    </row>
    <row r="1357">
      <c r="A1357" s="30"/>
      <c r="B1357" s="30"/>
      <c r="C1357" s="30"/>
      <c r="D1357" s="30"/>
      <c r="E1357" s="30"/>
      <c r="F1357" s="30"/>
      <c r="G1357" s="30"/>
      <c r="H1357" s="30"/>
      <c r="I1357" s="30"/>
      <c r="J1357" s="30"/>
      <c r="K1357" s="30"/>
      <c r="L1357" s="30"/>
      <c r="M1357" s="30"/>
      <c r="N1357" s="30"/>
      <c r="O1357" s="30"/>
      <c r="P1357" s="30"/>
      <c r="Q1357" s="30"/>
      <c r="R1357" s="30"/>
      <c r="S1357" s="30"/>
      <c r="T1357" s="30"/>
      <c r="U1357" s="30"/>
      <c r="V1357" s="30"/>
      <c r="W1357" s="30"/>
      <c r="X1357" s="30"/>
      <c r="Y1357" s="30"/>
      <c r="Z1357" s="30"/>
    </row>
    <row r="1358">
      <c r="A1358" s="30"/>
      <c r="B1358" s="30"/>
      <c r="C1358" s="30"/>
      <c r="D1358" s="30"/>
      <c r="E1358" s="30"/>
      <c r="F1358" s="30"/>
      <c r="G1358" s="30"/>
      <c r="H1358" s="30"/>
      <c r="I1358" s="30"/>
      <c r="J1358" s="30"/>
      <c r="K1358" s="30"/>
      <c r="L1358" s="30"/>
      <c r="M1358" s="30"/>
      <c r="N1358" s="30"/>
      <c r="O1358" s="30"/>
      <c r="P1358" s="30"/>
      <c r="Q1358" s="30"/>
      <c r="R1358" s="30"/>
      <c r="S1358" s="30"/>
      <c r="T1358" s="30"/>
      <c r="U1358" s="30"/>
      <c r="V1358" s="30"/>
      <c r="W1358" s="30"/>
      <c r="X1358" s="30"/>
      <c r="Y1358" s="30"/>
      <c r="Z1358" s="30"/>
    </row>
    <row r="1359">
      <c r="A1359" s="30"/>
      <c r="B1359" s="30"/>
      <c r="C1359" s="30"/>
      <c r="D1359" s="30"/>
      <c r="E1359" s="30"/>
      <c r="F1359" s="30"/>
      <c r="G1359" s="30"/>
      <c r="H1359" s="30"/>
      <c r="I1359" s="30"/>
      <c r="J1359" s="30"/>
      <c r="K1359" s="30"/>
      <c r="L1359" s="30"/>
      <c r="M1359" s="30"/>
      <c r="N1359" s="30"/>
      <c r="O1359" s="30"/>
      <c r="P1359" s="30"/>
      <c r="Q1359" s="30"/>
      <c r="R1359" s="30"/>
      <c r="S1359" s="30"/>
      <c r="T1359" s="30"/>
      <c r="U1359" s="30"/>
      <c r="V1359" s="30"/>
      <c r="W1359" s="30"/>
      <c r="X1359" s="30"/>
      <c r="Y1359" s="30"/>
      <c r="Z1359" s="30"/>
    </row>
    <row r="1360">
      <c r="A1360" s="30"/>
      <c r="B1360" s="30"/>
      <c r="C1360" s="30"/>
      <c r="D1360" s="30"/>
      <c r="E1360" s="30"/>
      <c r="F1360" s="30"/>
      <c r="G1360" s="30"/>
      <c r="H1360" s="30"/>
      <c r="I1360" s="30"/>
      <c r="J1360" s="30"/>
      <c r="K1360" s="30"/>
      <c r="L1360" s="30"/>
      <c r="M1360" s="30"/>
      <c r="N1360" s="30"/>
      <c r="O1360" s="30"/>
      <c r="P1360" s="30"/>
      <c r="Q1360" s="30"/>
      <c r="R1360" s="30"/>
      <c r="S1360" s="30"/>
      <c r="T1360" s="30"/>
      <c r="U1360" s="30"/>
      <c r="V1360" s="30"/>
      <c r="W1360" s="30"/>
      <c r="X1360" s="30"/>
      <c r="Y1360" s="30"/>
      <c r="Z1360" s="30"/>
    </row>
    <row r="1361">
      <c r="A1361" s="30"/>
      <c r="B1361" s="30"/>
      <c r="C1361" s="30"/>
      <c r="D1361" s="30"/>
      <c r="E1361" s="30"/>
      <c r="F1361" s="30"/>
      <c r="G1361" s="30"/>
      <c r="H1361" s="30"/>
      <c r="I1361" s="30"/>
      <c r="J1361" s="30"/>
      <c r="K1361" s="30"/>
      <c r="L1361" s="30"/>
      <c r="M1361" s="30"/>
      <c r="N1361" s="30"/>
      <c r="O1361" s="30"/>
      <c r="P1361" s="30"/>
      <c r="Q1361" s="30"/>
      <c r="R1361" s="30"/>
      <c r="S1361" s="30"/>
      <c r="T1361" s="30"/>
      <c r="U1361" s="30"/>
      <c r="V1361" s="30"/>
      <c r="W1361" s="30"/>
      <c r="X1361" s="30"/>
      <c r="Y1361" s="30"/>
      <c r="Z1361" s="30"/>
    </row>
    <row r="1362">
      <c r="A1362" s="30"/>
      <c r="B1362" s="30"/>
      <c r="C1362" s="30"/>
      <c r="D1362" s="30"/>
      <c r="E1362" s="30"/>
      <c r="F1362" s="30"/>
      <c r="G1362" s="30"/>
      <c r="H1362" s="30"/>
      <c r="I1362" s="30"/>
      <c r="J1362" s="30"/>
      <c r="K1362" s="30"/>
      <c r="L1362" s="30"/>
      <c r="M1362" s="30"/>
      <c r="N1362" s="30"/>
      <c r="O1362" s="30"/>
      <c r="P1362" s="30"/>
      <c r="Q1362" s="30"/>
      <c r="R1362" s="30"/>
      <c r="S1362" s="30"/>
      <c r="T1362" s="30"/>
      <c r="U1362" s="30"/>
      <c r="V1362" s="30"/>
      <c r="W1362" s="30"/>
      <c r="X1362" s="30"/>
      <c r="Y1362" s="30"/>
      <c r="Z1362" s="30"/>
    </row>
    <row r="1363">
      <c r="A1363" s="30"/>
      <c r="B1363" s="30"/>
      <c r="C1363" s="30"/>
      <c r="D1363" s="30"/>
      <c r="E1363" s="30"/>
      <c r="F1363" s="30"/>
      <c r="G1363" s="30"/>
      <c r="H1363" s="30"/>
      <c r="I1363" s="30"/>
      <c r="J1363" s="30"/>
      <c r="K1363" s="30"/>
      <c r="L1363" s="30"/>
      <c r="M1363" s="30"/>
      <c r="N1363" s="30"/>
      <c r="O1363" s="30"/>
      <c r="P1363" s="30"/>
      <c r="Q1363" s="30"/>
      <c r="R1363" s="30"/>
      <c r="S1363" s="30"/>
      <c r="T1363" s="30"/>
      <c r="U1363" s="30"/>
      <c r="V1363" s="30"/>
      <c r="W1363" s="30"/>
      <c r="X1363" s="30"/>
      <c r="Y1363" s="30"/>
      <c r="Z1363" s="30"/>
    </row>
    <row r="1364">
      <c r="A1364" s="30"/>
      <c r="B1364" s="30"/>
      <c r="C1364" s="30"/>
      <c r="D1364" s="30"/>
      <c r="E1364" s="30"/>
      <c r="F1364" s="30"/>
      <c r="G1364" s="30"/>
      <c r="H1364" s="30"/>
      <c r="I1364" s="30"/>
      <c r="J1364" s="30"/>
      <c r="K1364" s="30"/>
      <c r="L1364" s="30"/>
      <c r="M1364" s="30"/>
      <c r="N1364" s="30"/>
      <c r="O1364" s="30"/>
      <c r="P1364" s="30"/>
      <c r="Q1364" s="30"/>
      <c r="R1364" s="30"/>
      <c r="S1364" s="30"/>
      <c r="T1364" s="30"/>
      <c r="U1364" s="30"/>
      <c r="V1364" s="30"/>
      <c r="W1364" s="30"/>
      <c r="X1364" s="30"/>
      <c r="Y1364" s="30"/>
      <c r="Z1364" s="30"/>
    </row>
    <row r="1365">
      <c r="A1365" s="30"/>
      <c r="B1365" s="30"/>
      <c r="C1365" s="30"/>
      <c r="D1365" s="30"/>
      <c r="E1365" s="30"/>
      <c r="F1365" s="30"/>
      <c r="G1365" s="30"/>
      <c r="H1365" s="30"/>
      <c r="I1365" s="30"/>
      <c r="J1365" s="30"/>
      <c r="K1365" s="30"/>
      <c r="L1365" s="30"/>
      <c r="M1365" s="30"/>
      <c r="N1365" s="30"/>
      <c r="O1365" s="30"/>
      <c r="P1365" s="30"/>
      <c r="Q1365" s="30"/>
      <c r="R1365" s="30"/>
      <c r="S1365" s="30"/>
      <c r="T1365" s="30"/>
      <c r="U1365" s="30"/>
      <c r="V1365" s="30"/>
      <c r="W1365" s="30"/>
      <c r="X1365" s="30"/>
      <c r="Y1365" s="30"/>
      <c r="Z1365" s="30"/>
    </row>
    <row r="1366">
      <c r="A1366" s="30"/>
      <c r="B1366" s="30"/>
      <c r="C1366" s="30"/>
      <c r="D1366" s="30"/>
      <c r="E1366" s="30"/>
      <c r="F1366" s="30"/>
      <c r="G1366" s="30"/>
      <c r="H1366" s="30"/>
      <c r="I1366" s="30"/>
      <c r="J1366" s="30"/>
      <c r="K1366" s="30"/>
      <c r="L1366" s="30"/>
      <c r="M1366" s="30"/>
      <c r="N1366" s="30"/>
      <c r="O1366" s="30"/>
      <c r="P1366" s="30"/>
      <c r="Q1366" s="30"/>
      <c r="R1366" s="30"/>
      <c r="S1366" s="30"/>
      <c r="T1366" s="30"/>
      <c r="U1366" s="30"/>
      <c r="V1366" s="30"/>
      <c r="W1366" s="30"/>
      <c r="X1366" s="30"/>
      <c r="Y1366" s="30"/>
      <c r="Z1366" s="30"/>
    </row>
    <row r="1367">
      <c r="A1367" s="30"/>
      <c r="B1367" s="30"/>
      <c r="C1367" s="30"/>
      <c r="D1367" s="30"/>
      <c r="E1367" s="30"/>
      <c r="F1367" s="30"/>
      <c r="G1367" s="30"/>
      <c r="H1367" s="30"/>
      <c r="I1367" s="30"/>
      <c r="J1367" s="30"/>
      <c r="K1367" s="30"/>
      <c r="L1367" s="30"/>
      <c r="M1367" s="30"/>
      <c r="N1367" s="30"/>
      <c r="O1367" s="30"/>
      <c r="P1367" s="30"/>
      <c r="Q1367" s="30"/>
      <c r="R1367" s="30"/>
      <c r="S1367" s="30"/>
      <c r="T1367" s="30"/>
      <c r="U1367" s="30"/>
      <c r="V1367" s="30"/>
      <c r="W1367" s="30"/>
      <c r="X1367" s="30"/>
      <c r="Y1367" s="30"/>
      <c r="Z1367" s="30"/>
    </row>
    <row r="1368">
      <c r="A1368" s="30"/>
      <c r="B1368" s="30"/>
      <c r="C1368" s="30"/>
      <c r="D1368" s="30"/>
      <c r="E1368" s="30"/>
      <c r="F1368" s="30"/>
      <c r="G1368" s="30"/>
      <c r="H1368" s="30"/>
      <c r="I1368" s="30"/>
      <c r="J1368" s="30"/>
      <c r="K1368" s="30"/>
      <c r="L1368" s="30"/>
      <c r="M1368" s="30"/>
      <c r="N1368" s="30"/>
      <c r="O1368" s="30"/>
      <c r="P1368" s="30"/>
      <c r="Q1368" s="30"/>
      <c r="R1368" s="30"/>
      <c r="S1368" s="30"/>
      <c r="T1368" s="30"/>
      <c r="U1368" s="30"/>
      <c r="V1368" s="30"/>
      <c r="W1368" s="30"/>
      <c r="X1368" s="30"/>
      <c r="Y1368" s="30"/>
      <c r="Z1368" s="30"/>
    </row>
    <row r="1369">
      <c r="A1369" s="30"/>
      <c r="B1369" s="30"/>
      <c r="C1369" s="30"/>
      <c r="D1369" s="30"/>
      <c r="E1369" s="30"/>
      <c r="F1369" s="30"/>
      <c r="G1369" s="30"/>
      <c r="H1369" s="30"/>
      <c r="I1369" s="30"/>
      <c r="J1369" s="30"/>
      <c r="K1369" s="30"/>
      <c r="L1369" s="30"/>
      <c r="M1369" s="30"/>
      <c r="N1369" s="30"/>
      <c r="O1369" s="30"/>
      <c r="P1369" s="30"/>
      <c r="Q1369" s="30"/>
      <c r="R1369" s="30"/>
      <c r="S1369" s="30"/>
      <c r="T1369" s="30"/>
      <c r="U1369" s="30"/>
      <c r="V1369" s="30"/>
      <c r="W1369" s="30"/>
      <c r="X1369" s="30"/>
      <c r="Y1369" s="30"/>
      <c r="Z1369" s="30"/>
    </row>
    <row r="1370">
      <c r="A1370" s="30"/>
      <c r="B1370" s="30"/>
      <c r="C1370" s="30"/>
      <c r="D1370" s="30"/>
      <c r="E1370" s="30"/>
      <c r="F1370" s="30"/>
      <c r="G1370" s="30"/>
      <c r="H1370" s="30"/>
      <c r="I1370" s="30"/>
      <c r="J1370" s="30"/>
      <c r="K1370" s="30"/>
      <c r="L1370" s="30"/>
      <c r="M1370" s="30"/>
      <c r="N1370" s="30"/>
      <c r="O1370" s="30"/>
      <c r="P1370" s="30"/>
      <c r="Q1370" s="30"/>
      <c r="R1370" s="30"/>
      <c r="S1370" s="30"/>
      <c r="T1370" s="30"/>
      <c r="U1370" s="30"/>
      <c r="V1370" s="30"/>
      <c r="W1370" s="30"/>
      <c r="X1370" s="30"/>
      <c r="Y1370" s="30"/>
      <c r="Z1370" s="30"/>
    </row>
    <row r="1371">
      <c r="A1371" s="30"/>
      <c r="B1371" s="30"/>
      <c r="C1371" s="30"/>
      <c r="D1371" s="30"/>
      <c r="E1371" s="30"/>
      <c r="F1371" s="30"/>
      <c r="G1371" s="30"/>
      <c r="H1371" s="30"/>
      <c r="I1371" s="30"/>
      <c r="J1371" s="30"/>
      <c r="K1371" s="30"/>
      <c r="L1371" s="30"/>
      <c r="M1371" s="30"/>
      <c r="N1371" s="30"/>
      <c r="O1371" s="30"/>
      <c r="P1371" s="30"/>
      <c r="Q1371" s="30"/>
      <c r="R1371" s="30"/>
      <c r="S1371" s="30"/>
      <c r="T1371" s="30"/>
      <c r="U1371" s="30"/>
      <c r="V1371" s="30"/>
      <c r="W1371" s="30"/>
      <c r="X1371" s="30"/>
      <c r="Y1371" s="30"/>
      <c r="Z1371" s="30"/>
    </row>
    <row r="1372">
      <c r="A1372" s="30"/>
      <c r="B1372" s="30"/>
      <c r="C1372" s="30"/>
      <c r="D1372" s="30"/>
      <c r="E1372" s="30"/>
      <c r="F1372" s="30"/>
      <c r="G1372" s="30"/>
      <c r="H1372" s="30"/>
      <c r="I1372" s="30"/>
      <c r="J1372" s="30"/>
      <c r="K1372" s="30"/>
      <c r="L1372" s="30"/>
      <c r="M1372" s="30"/>
      <c r="N1372" s="30"/>
      <c r="O1372" s="30"/>
      <c r="P1372" s="30"/>
      <c r="Q1372" s="30"/>
      <c r="R1372" s="30"/>
      <c r="S1372" s="30"/>
      <c r="T1372" s="30"/>
      <c r="U1372" s="30"/>
      <c r="V1372" s="30"/>
      <c r="W1372" s="30"/>
      <c r="X1372" s="30"/>
      <c r="Y1372" s="30"/>
      <c r="Z1372" s="30"/>
    </row>
    <row r="1373">
      <c r="A1373" s="30"/>
      <c r="B1373" s="30"/>
      <c r="C1373" s="30"/>
      <c r="D1373" s="30"/>
      <c r="E1373" s="30"/>
      <c r="F1373" s="30"/>
      <c r="G1373" s="30"/>
      <c r="H1373" s="30"/>
      <c r="I1373" s="30"/>
      <c r="J1373" s="30"/>
      <c r="K1373" s="30"/>
      <c r="L1373" s="30"/>
      <c r="M1373" s="30"/>
      <c r="N1373" s="30"/>
      <c r="O1373" s="30"/>
      <c r="P1373" s="30"/>
      <c r="Q1373" s="30"/>
      <c r="R1373" s="30"/>
      <c r="S1373" s="30"/>
      <c r="T1373" s="30"/>
      <c r="U1373" s="30"/>
      <c r="V1373" s="30"/>
      <c r="W1373" s="30"/>
      <c r="X1373" s="30"/>
      <c r="Y1373" s="30"/>
      <c r="Z1373" s="30"/>
    </row>
    <row r="1374">
      <c r="A1374" s="30"/>
      <c r="B1374" s="30"/>
      <c r="C1374" s="30"/>
      <c r="D1374" s="30"/>
      <c r="E1374" s="30"/>
      <c r="F1374" s="30"/>
      <c r="G1374" s="30"/>
      <c r="H1374" s="30"/>
      <c r="I1374" s="30"/>
      <c r="J1374" s="30"/>
      <c r="K1374" s="30"/>
      <c r="L1374" s="30"/>
      <c r="M1374" s="30"/>
      <c r="N1374" s="30"/>
      <c r="O1374" s="30"/>
      <c r="P1374" s="30"/>
      <c r="Q1374" s="30"/>
      <c r="R1374" s="30"/>
      <c r="S1374" s="30"/>
      <c r="T1374" s="30"/>
      <c r="U1374" s="30"/>
      <c r="V1374" s="30"/>
      <c r="W1374" s="30"/>
      <c r="X1374" s="30"/>
      <c r="Y1374" s="30"/>
      <c r="Z1374" s="30"/>
    </row>
    <row r="1375">
      <c r="A1375" s="30"/>
      <c r="B1375" s="30"/>
      <c r="C1375" s="30"/>
      <c r="D1375" s="30"/>
      <c r="E1375" s="30"/>
      <c r="F1375" s="30"/>
      <c r="G1375" s="30"/>
      <c r="H1375" s="30"/>
      <c r="I1375" s="30"/>
      <c r="J1375" s="30"/>
      <c r="K1375" s="30"/>
      <c r="L1375" s="30"/>
      <c r="M1375" s="30"/>
      <c r="N1375" s="30"/>
      <c r="O1375" s="30"/>
      <c r="P1375" s="30"/>
      <c r="Q1375" s="30"/>
      <c r="R1375" s="30"/>
      <c r="S1375" s="30"/>
      <c r="T1375" s="30"/>
      <c r="U1375" s="30"/>
      <c r="V1375" s="30"/>
      <c r="W1375" s="30"/>
      <c r="X1375" s="30"/>
      <c r="Y1375" s="30"/>
      <c r="Z1375" s="30"/>
    </row>
    <row r="1376">
      <c r="A1376" s="30"/>
      <c r="B1376" s="30"/>
      <c r="C1376" s="30"/>
      <c r="D1376" s="30"/>
      <c r="E1376" s="30"/>
      <c r="F1376" s="30"/>
      <c r="G1376" s="30"/>
      <c r="H1376" s="30"/>
      <c r="I1376" s="30"/>
      <c r="J1376" s="30"/>
      <c r="K1376" s="30"/>
      <c r="L1376" s="30"/>
      <c r="M1376" s="30"/>
      <c r="N1376" s="30"/>
      <c r="O1376" s="30"/>
      <c r="P1376" s="30"/>
      <c r="Q1376" s="30"/>
      <c r="R1376" s="30"/>
      <c r="S1376" s="30"/>
      <c r="T1376" s="30"/>
      <c r="U1376" s="30"/>
      <c r="V1376" s="30"/>
      <c r="W1376" s="30"/>
      <c r="X1376" s="30"/>
      <c r="Y1376" s="30"/>
      <c r="Z1376" s="30"/>
    </row>
    <row r="1377">
      <c r="A1377" s="30"/>
      <c r="B1377" s="30"/>
      <c r="C1377" s="30"/>
      <c r="D1377" s="30"/>
      <c r="E1377" s="30"/>
      <c r="F1377" s="30"/>
      <c r="G1377" s="30"/>
      <c r="H1377" s="30"/>
      <c r="I1377" s="30"/>
      <c r="J1377" s="30"/>
      <c r="K1377" s="30"/>
      <c r="L1377" s="30"/>
      <c r="M1377" s="30"/>
      <c r="N1377" s="30"/>
      <c r="O1377" s="30"/>
      <c r="P1377" s="30"/>
      <c r="Q1377" s="30"/>
      <c r="R1377" s="30"/>
      <c r="S1377" s="30"/>
      <c r="T1377" s="30"/>
      <c r="U1377" s="30"/>
      <c r="V1377" s="30"/>
      <c r="W1377" s="30"/>
      <c r="X1377" s="30"/>
      <c r="Y1377" s="30"/>
      <c r="Z1377" s="30"/>
    </row>
    <row r="1378">
      <c r="A1378" s="30"/>
      <c r="B1378" s="30"/>
      <c r="C1378" s="30"/>
      <c r="D1378" s="30"/>
      <c r="E1378" s="30"/>
      <c r="F1378" s="30"/>
      <c r="G1378" s="30"/>
      <c r="H1378" s="30"/>
      <c r="I1378" s="30"/>
      <c r="J1378" s="30"/>
      <c r="K1378" s="30"/>
      <c r="L1378" s="30"/>
      <c r="M1378" s="30"/>
      <c r="N1378" s="30"/>
      <c r="O1378" s="30"/>
      <c r="P1378" s="30"/>
      <c r="Q1378" s="30"/>
      <c r="R1378" s="30"/>
      <c r="S1378" s="30"/>
      <c r="T1378" s="30"/>
      <c r="U1378" s="30"/>
      <c r="V1378" s="30"/>
      <c r="W1378" s="30"/>
      <c r="X1378" s="30"/>
      <c r="Y1378" s="30"/>
      <c r="Z1378" s="30"/>
    </row>
    <row r="1379">
      <c r="A1379" s="30"/>
      <c r="B1379" s="30"/>
      <c r="C1379" s="30"/>
      <c r="D1379" s="30"/>
      <c r="E1379" s="30"/>
      <c r="F1379" s="30"/>
      <c r="G1379" s="30"/>
      <c r="H1379" s="30"/>
      <c r="I1379" s="30"/>
      <c r="J1379" s="30"/>
      <c r="K1379" s="30"/>
      <c r="L1379" s="30"/>
      <c r="M1379" s="30"/>
      <c r="N1379" s="30"/>
      <c r="O1379" s="30"/>
      <c r="P1379" s="30"/>
      <c r="Q1379" s="30"/>
      <c r="R1379" s="30"/>
      <c r="S1379" s="30"/>
      <c r="T1379" s="30"/>
      <c r="U1379" s="30"/>
      <c r="V1379" s="30"/>
      <c r="W1379" s="30"/>
      <c r="X1379" s="30"/>
      <c r="Y1379" s="30"/>
      <c r="Z1379" s="30"/>
    </row>
    <row r="1380">
      <c r="A1380" s="30"/>
      <c r="B1380" s="30"/>
      <c r="C1380" s="30"/>
      <c r="D1380" s="30"/>
      <c r="E1380" s="30"/>
      <c r="F1380" s="30"/>
      <c r="G1380" s="30"/>
      <c r="H1380" s="30"/>
      <c r="I1380" s="30"/>
      <c r="J1380" s="30"/>
      <c r="K1380" s="30"/>
      <c r="L1380" s="30"/>
      <c r="M1380" s="30"/>
      <c r="N1380" s="30"/>
      <c r="O1380" s="30"/>
      <c r="P1380" s="30"/>
      <c r="Q1380" s="30"/>
      <c r="R1380" s="30"/>
      <c r="S1380" s="30"/>
      <c r="T1380" s="30"/>
      <c r="U1380" s="30"/>
      <c r="V1380" s="30"/>
      <c r="W1380" s="30"/>
      <c r="X1380" s="30"/>
      <c r="Y1380" s="30"/>
      <c r="Z1380" s="30"/>
    </row>
    <row r="1381">
      <c r="A1381" s="30"/>
      <c r="B1381" s="30"/>
      <c r="C1381" s="30"/>
      <c r="D1381" s="30"/>
      <c r="E1381" s="30"/>
      <c r="F1381" s="30"/>
      <c r="G1381" s="30"/>
      <c r="H1381" s="30"/>
      <c r="I1381" s="30"/>
      <c r="J1381" s="30"/>
      <c r="K1381" s="30"/>
      <c r="L1381" s="30"/>
      <c r="M1381" s="30"/>
      <c r="N1381" s="30"/>
      <c r="O1381" s="30"/>
      <c r="P1381" s="30"/>
      <c r="Q1381" s="30"/>
      <c r="R1381" s="30"/>
      <c r="S1381" s="30"/>
      <c r="T1381" s="30"/>
      <c r="U1381" s="30"/>
      <c r="V1381" s="30"/>
      <c r="W1381" s="30"/>
      <c r="X1381" s="30"/>
      <c r="Y1381" s="30"/>
      <c r="Z1381" s="30"/>
    </row>
    <row r="1382">
      <c r="A1382" s="30"/>
      <c r="B1382" s="30"/>
      <c r="C1382" s="30"/>
      <c r="D1382" s="30"/>
      <c r="E1382" s="30"/>
      <c r="F1382" s="30"/>
      <c r="G1382" s="30"/>
      <c r="H1382" s="30"/>
      <c r="I1382" s="30"/>
      <c r="J1382" s="30"/>
      <c r="K1382" s="30"/>
      <c r="L1382" s="30"/>
      <c r="M1382" s="30"/>
      <c r="N1382" s="30"/>
      <c r="O1382" s="30"/>
      <c r="P1382" s="30"/>
      <c r="Q1382" s="30"/>
      <c r="R1382" s="30"/>
      <c r="S1382" s="30"/>
      <c r="T1382" s="30"/>
      <c r="U1382" s="30"/>
      <c r="V1382" s="30"/>
      <c r="W1382" s="30"/>
      <c r="X1382" s="30"/>
      <c r="Y1382" s="30"/>
      <c r="Z1382" s="30"/>
    </row>
    <row r="1383">
      <c r="A1383" s="30"/>
      <c r="B1383" s="30"/>
      <c r="C1383" s="30"/>
      <c r="D1383" s="30"/>
      <c r="E1383" s="30"/>
      <c r="F1383" s="30"/>
      <c r="G1383" s="30"/>
      <c r="H1383" s="30"/>
      <c r="I1383" s="30"/>
      <c r="J1383" s="30"/>
      <c r="K1383" s="30"/>
      <c r="L1383" s="30"/>
      <c r="M1383" s="30"/>
      <c r="N1383" s="30"/>
      <c r="O1383" s="30"/>
      <c r="P1383" s="30"/>
      <c r="Q1383" s="30"/>
      <c r="R1383" s="30"/>
      <c r="S1383" s="30"/>
      <c r="T1383" s="30"/>
      <c r="U1383" s="30"/>
      <c r="V1383" s="30"/>
      <c r="W1383" s="30"/>
      <c r="X1383" s="30"/>
      <c r="Y1383" s="30"/>
      <c r="Z1383" s="30"/>
    </row>
    <row r="1384">
      <c r="A1384" s="30"/>
      <c r="B1384" s="30"/>
      <c r="C1384" s="30"/>
      <c r="D1384" s="30"/>
      <c r="E1384" s="30"/>
      <c r="F1384" s="30"/>
      <c r="G1384" s="30"/>
      <c r="H1384" s="30"/>
      <c r="I1384" s="30"/>
      <c r="J1384" s="30"/>
      <c r="K1384" s="30"/>
      <c r="L1384" s="30"/>
      <c r="M1384" s="30"/>
      <c r="N1384" s="30"/>
      <c r="O1384" s="30"/>
      <c r="P1384" s="30"/>
      <c r="Q1384" s="30"/>
      <c r="R1384" s="30"/>
      <c r="S1384" s="30"/>
      <c r="T1384" s="30"/>
      <c r="U1384" s="30"/>
      <c r="V1384" s="30"/>
      <c r="W1384" s="30"/>
      <c r="X1384" s="30"/>
      <c r="Y1384" s="30"/>
      <c r="Z1384" s="30"/>
    </row>
    <row r="1385">
      <c r="A1385" s="30"/>
      <c r="B1385" s="30"/>
      <c r="C1385" s="30"/>
      <c r="D1385" s="30"/>
      <c r="E1385" s="30"/>
      <c r="F1385" s="30"/>
      <c r="G1385" s="30"/>
      <c r="H1385" s="30"/>
      <c r="I1385" s="30"/>
      <c r="J1385" s="30"/>
      <c r="K1385" s="30"/>
      <c r="L1385" s="30"/>
      <c r="M1385" s="30"/>
      <c r="N1385" s="30"/>
      <c r="O1385" s="30"/>
      <c r="P1385" s="30"/>
      <c r="Q1385" s="30"/>
      <c r="R1385" s="30"/>
      <c r="S1385" s="30"/>
      <c r="T1385" s="30"/>
      <c r="U1385" s="30"/>
      <c r="V1385" s="30"/>
      <c r="W1385" s="30"/>
      <c r="X1385" s="30"/>
      <c r="Y1385" s="30"/>
      <c r="Z1385" s="30"/>
    </row>
    <row r="1386">
      <c r="A1386" s="30"/>
      <c r="B1386" s="30"/>
      <c r="C1386" s="30"/>
      <c r="D1386" s="30"/>
      <c r="E1386" s="30"/>
      <c r="F1386" s="30"/>
      <c r="G1386" s="30"/>
      <c r="H1386" s="30"/>
      <c r="I1386" s="30"/>
      <c r="J1386" s="30"/>
      <c r="K1386" s="30"/>
      <c r="L1386" s="30"/>
      <c r="M1386" s="30"/>
      <c r="N1386" s="30"/>
      <c r="O1386" s="30"/>
      <c r="P1386" s="30"/>
      <c r="Q1386" s="30"/>
      <c r="R1386" s="30"/>
      <c r="S1386" s="30"/>
      <c r="T1386" s="30"/>
      <c r="U1386" s="30"/>
      <c r="V1386" s="30"/>
      <c r="W1386" s="30"/>
      <c r="X1386" s="30"/>
      <c r="Y1386" s="30"/>
      <c r="Z1386" s="30"/>
    </row>
    <row r="1387">
      <c r="A1387" s="30"/>
      <c r="B1387" s="30"/>
      <c r="C1387" s="30"/>
      <c r="D1387" s="30"/>
      <c r="E1387" s="30"/>
      <c r="F1387" s="30"/>
      <c r="G1387" s="30"/>
      <c r="H1387" s="30"/>
      <c r="I1387" s="30"/>
      <c r="J1387" s="30"/>
      <c r="K1387" s="30"/>
      <c r="L1387" s="30"/>
      <c r="M1387" s="30"/>
      <c r="N1387" s="30"/>
      <c r="O1387" s="30"/>
      <c r="P1387" s="30"/>
      <c r="Q1387" s="30"/>
      <c r="R1387" s="30"/>
      <c r="S1387" s="30"/>
      <c r="T1387" s="30"/>
      <c r="U1387" s="30"/>
      <c r="V1387" s="30"/>
      <c r="W1387" s="30"/>
      <c r="X1387" s="30"/>
      <c r="Y1387" s="30"/>
      <c r="Z1387" s="30"/>
    </row>
    <row r="1388">
      <c r="A1388" s="30"/>
      <c r="B1388" s="30"/>
      <c r="C1388" s="30"/>
      <c r="D1388" s="30"/>
      <c r="E1388" s="30"/>
      <c r="F1388" s="30"/>
      <c r="G1388" s="30"/>
      <c r="H1388" s="30"/>
      <c r="I1388" s="30"/>
      <c r="J1388" s="30"/>
      <c r="K1388" s="30"/>
      <c r="L1388" s="30"/>
      <c r="M1388" s="30"/>
      <c r="N1388" s="30"/>
      <c r="O1388" s="30"/>
      <c r="P1388" s="30"/>
      <c r="Q1388" s="30"/>
      <c r="R1388" s="30"/>
      <c r="S1388" s="30"/>
      <c r="T1388" s="30"/>
      <c r="U1388" s="30"/>
      <c r="V1388" s="30"/>
      <c r="W1388" s="30"/>
      <c r="X1388" s="30"/>
      <c r="Y1388" s="30"/>
      <c r="Z1388" s="30"/>
    </row>
    <row r="1389">
      <c r="A1389" s="30"/>
      <c r="B1389" s="30"/>
      <c r="C1389" s="30"/>
      <c r="D1389" s="30"/>
      <c r="E1389" s="30"/>
      <c r="F1389" s="30"/>
      <c r="G1389" s="30"/>
      <c r="H1389" s="30"/>
      <c r="I1389" s="30"/>
      <c r="J1389" s="30"/>
      <c r="K1389" s="30"/>
      <c r="L1389" s="30"/>
      <c r="M1389" s="30"/>
      <c r="N1389" s="30"/>
      <c r="O1389" s="30"/>
      <c r="P1389" s="30"/>
      <c r="Q1389" s="30"/>
      <c r="R1389" s="30"/>
      <c r="S1389" s="30"/>
      <c r="T1389" s="30"/>
      <c r="U1389" s="30"/>
      <c r="V1389" s="30"/>
      <c r="W1389" s="30"/>
      <c r="X1389" s="30"/>
      <c r="Y1389" s="30"/>
      <c r="Z1389" s="30"/>
    </row>
    <row r="1390">
      <c r="A1390" s="30"/>
      <c r="B1390" s="30"/>
      <c r="C1390" s="30"/>
      <c r="D1390" s="30"/>
      <c r="E1390" s="30"/>
      <c r="F1390" s="30"/>
      <c r="G1390" s="30"/>
      <c r="H1390" s="30"/>
      <c r="I1390" s="30"/>
      <c r="J1390" s="30"/>
      <c r="K1390" s="30"/>
      <c r="L1390" s="30"/>
      <c r="M1390" s="30"/>
      <c r="N1390" s="30"/>
      <c r="O1390" s="30"/>
      <c r="P1390" s="30"/>
      <c r="Q1390" s="30"/>
      <c r="R1390" s="30"/>
      <c r="S1390" s="30"/>
      <c r="T1390" s="30"/>
      <c r="U1390" s="30"/>
      <c r="V1390" s="30"/>
      <c r="W1390" s="30"/>
      <c r="X1390" s="30"/>
      <c r="Y1390" s="30"/>
      <c r="Z1390" s="30"/>
    </row>
    <row r="1391">
      <c r="A1391" s="30"/>
      <c r="B1391" s="30"/>
      <c r="C1391" s="30"/>
      <c r="D1391" s="30"/>
      <c r="E1391" s="30"/>
      <c r="F1391" s="30"/>
      <c r="G1391" s="30"/>
      <c r="H1391" s="30"/>
      <c r="I1391" s="30"/>
      <c r="J1391" s="30"/>
      <c r="K1391" s="30"/>
      <c r="L1391" s="30"/>
      <c r="M1391" s="30"/>
      <c r="N1391" s="30"/>
      <c r="O1391" s="30"/>
      <c r="P1391" s="30"/>
      <c r="Q1391" s="30"/>
      <c r="R1391" s="30"/>
      <c r="S1391" s="30"/>
      <c r="T1391" s="30"/>
      <c r="U1391" s="30"/>
      <c r="V1391" s="30"/>
      <c r="W1391" s="30"/>
      <c r="X1391" s="30"/>
      <c r="Y1391" s="30"/>
      <c r="Z1391" s="30"/>
    </row>
    <row r="1392">
      <c r="A1392" s="30"/>
      <c r="B1392" s="30"/>
      <c r="C1392" s="30"/>
      <c r="D1392" s="30"/>
      <c r="E1392" s="30"/>
      <c r="F1392" s="30"/>
      <c r="G1392" s="30"/>
      <c r="H1392" s="30"/>
      <c r="I1392" s="30"/>
      <c r="J1392" s="30"/>
      <c r="K1392" s="30"/>
      <c r="L1392" s="30"/>
      <c r="M1392" s="30"/>
      <c r="N1392" s="30"/>
      <c r="O1392" s="30"/>
      <c r="P1392" s="30"/>
      <c r="Q1392" s="30"/>
      <c r="R1392" s="30"/>
      <c r="S1392" s="30"/>
      <c r="T1392" s="30"/>
      <c r="U1392" s="30"/>
      <c r="V1392" s="30"/>
      <c r="W1392" s="30"/>
      <c r="X1392" s="30"/>
      <c r="Y1392" s="30"/>
      <c r="Z1392" s="30"/>
    </row>
    <row r="1393">
      <c r="A1393" s="30"/>
      <c r="B1393" s="30"/>
      <c r="C1393" s="30"/>
      <c r="D1393" s="30"/>
      <c r="E1393" s="30"/>
      <c r="F1393" s="30"/>
      <c r="G1393" s="30"/>
      <c r="H1393" s="30"/>
      <c r="I1393" s="30"/>
      <c r="J1393" s="30"/>
      <c r="K1393" s="30"/>
      <c r="L1393" s="30"/>
      <c r="M1393" s="30"/>
      <c r="N1393" s="30"/>
      <c r="O1393" s="30"/>
      <c r="P1393" s="30"/>
      <c r="Q1393" s="30"/>
      <c r="R1393" s="30"/>
      <c r="S1393" s="30"/>
      <c r="T1393" s="30"/>
      <c r="U1393" s="30"/>
      <c r="V1393" s="30"/>
      <c r="W1393" s="30"/>
      <c r="X1393" s="30"/>
      <c r="Y1393" s="30"/>
      <c r="Z1393" s="30"/>
    </row>
    <row r="1394">
      <c r="A1394" s="30"/>
      <c r="B1394" s="30"/>
      <c r="C1394" s="30"/>
      <c r="D1394" s="30"/>
      <c r="E1394" s="30"/>
      <c r="F1394" s="30"/>
      <c r="G1394" s="30"/>
      <c r="H1394" s="30"/>
      <c r="I1394" s="30"/>
      <c r="J1394" s="30"/>
      <c r="K1394" s="30"/>
      <c r="L1394" s="30"/>
      <c r="M1394" s="30"/>
      <c r="N1394" s="30"/>
      <c r="O1394" s="30"/>
      <c r="P1394" s="30"/>
      <c r="Q1394" s="30"/>
      <c r="R1394" s="30"/>
      <c r="S1394" s="30"/>
      <c r="T1394" s="30"/>
      <c r="U1394" s="30"/>
      <c r="V1394" s="30"/>
      <c r="W1394" s="30"/>
      <c r="X1394" s="30"/>
      <c r="Y1394" s="30"/>
      <c r="Z1394" s="30"/>
    </row>
    <row r="1395">
      <c r="A1395" s="30"/>
      <c r="B1395" s="30"/>
      <c r="C1395" s="30"/>
      <c r="D1395" s="30"/>
      <c r="E1395" s="30"/>
      <c r="F1395" s="30"/>
      <c r="G1395" s="30"/>
      <c r="H1395" s="30"/>
      <c r="I1395" s="30"/>
      <c r="J1395" s="30"/>
      <c r="K1395" s="30"/>
      <c r="L1395" s="30"/>
      <c r="M1395" s="30"/>
      <c r="N1395" s="30"/>
      <c r="O1395" s="30"/>
      <c r="P1395" s="30"/>
      <c r="Q1395" s="30"/>
      <c r="R1395" s="30"/>
      <c r="S1395" s="30"/>
      <c r="T1395" s="30"/>
      <c r="U1395" s="30"/>
      <c r="V1395" s="30"/>
      <c r="W1395" s="30"/>
      <c r="X1395" s="30"/>
      <c r="Y1395" s="30"/>
      <c r="Z1395" s="30"/>
    </row>
    <row r="1396">
      <c r="A1396" s="30"/>
      <c r="B1396" s="30"/>
      <c r="C1396" s="30"/>
      <c r="D1396" s="30"/>
      <c r="E1396" s="30"/>
      <c r="F1396" s="30"/>
      <c r="G1396" s="30"/>
      <c r="H1396" s="30"/>
      <c r="I1396" s="30"/>
      <c r="J1396" s="30"/>
      <c r="K1396" s="30"/>
      <c r="L1396" s="30"/>
      <c r="M1396" s="30"/>
      <c r="N1396" s="30"/>
      <c r="O1396" s="30"/>
      <c r="P1396" s="30"/>
      <c r="Q1396" s="30"/>
      <c r="R1396" s="30"/>
      <c r="S1396" s="30"/>
      <c r="T1396" s="30"/>
      <c r="U1396" s="30"/>
      <c r="V1396" s="30"/>
      <c r="W1396" s="30"/>
      <c r="X1396" s="30"/>
      <c r="Y1396" s="30"/>
      <c r="Z1396" s="30"/>
    </row>
    <row r="1397">
      <c r="A1397" s="30"/>
      <c r="B1397" s="30"/>
      <c r="C1397" s="30"/>
      <c r="D1397" s="30"/>
      <c r="E1397" s="30"/>
      <c r="F1397" s="30"/>
      <c r="G1397" s="30"/>
      <c r="H1397" s="30"/>
      <c r="I1397" s="30"/>
      <c r="J1397" s="30"/>
      <c r="K1397" s="30"/>
      <c r="L1397" s="30"/>
      <c r="M1397" s="30"/>
      <c r="N1397" s="30"/>
      <c r="O1397" s="30"/>
      <c r="P1397" s="30"/>
      <c r="Q1397" s="30"/>
      <c r="R1397" s="30"/>
      <c r="S1397" s="30"/>
      <c r="T1397" s="30"/>
      <c r="U1397" s="30"/>
      <c r="V1397" s="30"/>
      <c r="W1397" s="30"/>
      <c r="X1397" s="30"/>
      <c r="Y1397" s="30"/>
      <c r="Z1397" s="30"/>
    </row>
    <row r="1398">
      <c r="A1398" s="30"/>
      <c r="B1398" s="30"/>
      <c r="C1398" s="30"/>
      <c r="D1398" s="30"/>
      <c r="E1398" s="30"/>
      <c r="F1398" s="30"/>
      <c r="G1398" s="30"/>
      <c r="H1398" s="30"/>
      <c r="I1398" s="30"/>
      <c r="J1398" s="30"/>
      <c r="K1398" s="30"/>
      <c r="L1398" s="30"/>
      <c r="M1398" s="30"/>
      <c r="N1398" s="30"/>
      <c r="O1398" s="30"/>
      <c r="P1398" s="30"/>
      <c r="Q1398" s="30"/>
      <c r="R1398" s="30"/>
      <c r="S1398" s="30"/>
      <c r="T1398" s="30"/>
      <c r="U1398" s="30"/>
      <c r="V1398" s="30"/>
      <c r="W1398" s="30"/>
      <c r="X1398" s="30"/>
      <c r="Y1398" s="30"/>
      <c r="Z1398" s="30"/>
    </row>
    <row r="1399">
      <c r="A1399" s="30"/>
      <c r="B1399" s="30"/>
      <c r="C1399" s="30"/>
      <c r="D1399" s="30"/>
      <c r="E1399" s="30"/>
      <c r="F1399" s="30"/>
      <c r="G1399" s="30"/>
      <c r="H1399" s="30"/>
      <c r="I1399" s="30"/>
      <c r="J1399" s="30"/>
      <c r="K1399" s="30"/>
      <c r="L1399" s="30"/>
      <c r="M1399" s="30"/>
      <c r="N1399" s="30"/>
      <c r="O1399" s="30"/>
      <c r="P1399" s="30"/>
      <c r="Q1399" s="30"/>
      <c r="R1399" s="30"/>
      <c r="S1399" s="30"/>
      <c r="T1399" s="30"/>
      <c r="U1399" s="30"/>
      <c r="V1399" s="30"/>
      <c r="W1399" s="30"/>
      <c r="X1399" s="30"/>
      <c r="Y1399" s="30"/>
      <c r="Z1399" s="30"/>
    </row>
    <row r="1400">
      <c r="A1400" s="30"/>
      <c r="B1400" s="30"/>
      <c r="C1400" s="30"/>
      <c r="D1400" s="30"/>
      <c r="E1400" s="30"/>
      <c r="F1400" s="30"/>
      <c r="G1400" s="30"/>
      <c r="H1400" s="30"/>
      <c r="I1400" s="30"/>
      <c r="J1400" s="30"/>
      <c r="K1400" s="30"/>
      <c r="L1400" s="30"/>
      <c r="M1400" s="30"/>
      <c r="N1400" s="30"/>
      <c r="O1400" s="30"/>
      <c r="P1400" s="30"/>
      <c r="Q1400" s="30"/>
      <c r="R1400" s="30"/>
      <c r="S1400" s="30"/>
      <c r="T1400" s="30"/>
      <c r="U1400" s="30"/>
      <c r="V1400" s="30"/>
      <c r="W1400" s="30"/>
      <c r="X1400" s="30"/>
      <c r="Y1400" s="30"/>
      <c r="Z1400" s="30"/>
    </row>
    <row r="1401">
      <c r="A1401" s="30"/>
      <c r="B1401" s="30"/>
      <c r="C1401" s="30"/>
      <c r="D1401" s="30"/>
      <c r="E1401" s="30"/>
      <c r="F1401" s="30"/>
      <c r="G1401" s="30"/>
      <c r="H1401" s="30"/>
      <c r="I1401" s="30"/>
      <c r="J1401" s="30"/>
      <c r="K1401" s="30"/>
      <c r="L1401" s="30"/>
      <c r="M1401" s="30"/>
      <c r="N1401" s="30"/>
      <c r="O1401" s="30"/>
      <c r="P1401" s="30"/>
      <c r="Q1401" s="30"/>
      <c r="R1401" s="30"/>
      <c r="S1401" s="30"/>
      <c r="T1401" s="30"/>
      <c r="U1401" s="30"/>
      <c r="V1401" s="30"/>
      <c r="W1401" s="30"/>
      <c r="X1401" s="30"/>
      <c r="Y1401" s="30"/>
      <c r="Z1401" s="30"/>
    </row>
    <row r="1402">
      <c r="A1402" s="30"/>
      <c r="B1402" s="30"/>
      <c r="C1402" s="30"/>
      <c r="D1402" s="30"/>
      <c r="E1402" s="30"/>
      <c r="F1402" s="30"/>
      <c r="G1402" s="30"/>
      <c r="H1402" s="30"/>
      <c r="I1402" s="30"/>
      <c r="J1402" s="30"/>
      <c r="K1402" s="30"/>
      <c r="L1402" s="30"/>
      <c r="M1402" s="30"/>
      <c r="N1402" s="30"/>
      <c r="O1402" s="30"/>
      <c r="P1402" s="30"/>
      <c r="Q1402" s="30"/>
      <c r="R1402" s="30"/>
      <c r="S1402" s="30"/>
      <c r="T1402" s="30"/>
      <c r="U1402" s="30"/>
      <c r="V1402" s="30"/>
      <c r="W1402" s="30"/>
      <c r="X1402" s="30"/>
      <c r="Y1402" s="30"/>
      <c r="Z1402" s="30"/>
    </row>
    <row r="1403">
      <c r="A1403" s="30"/>
      <c r="B1403" s="30"/>
      <c r="C1403" s="30"/>
      <c r="D1403" s="30"/>
      <c r="E1403" s="30"/>
      <c r="F1403" s="30"/>
      <c r="G1403" s="30"/>
      <c r="H1403" s="30"/>
      <c r="I1403" s="30"/>
      <c r="J1403" s="30"/>
      <c r="K1403" s="30"/>
      <c r="L1403" s="30"/>
      <c r="M1403" s="30"/>
      <c r="N1403" s="30"/>
      <c r="O1403" s="30"/>
      <c r="P1403" s="30"/>
      <c r="Q1403" s="30"/>
      <c r="R1403" s="30"/>
      <c r="S1403" s="30"/>
      <c r="T1403" s="30"/>
      <c r="U1403" s="30"/>
      <c r="V1403" s="30"/>
      <c r="W1403" s="30"/>
      <c r="X1403" s="30"/>
      <c r="Y1403" s="30"/>
      <c r="Z1403" s="30"/>
    </row>
    <row r="1404">
      <c r="A1404" s="30"/>
      <c r="B1404" s="30"/>
      <c r="C1404" s="30"/>
      <c r="D1404" s="30"/>
      <c r="E1404" s="30"/>
      <c r="F1404" s="30"/>
      <c r="G1404" s="30"/>
      <c r="H1404" s="30"/>
      <c r="I1404" s="30"/>
      <c r="J1404" s="30"/>
      <c r="K1404" s="30"/>
      <c r="L1404" s="30"/>
      <c r="M1404" s="30"/>
      <c r="N1404" s="30"/>
      <c r="O1404" s="30"/>
      <c r="P1404" s="30"/>
      <c r="Q1404" s="30"/>
      <c r="R1404" s="30"/>
      <c r="S1404" s="30"/>
      <c r="T1404" s="30"/>
      <c r="U1404" s="30"/>
      <c r="V1404" s="30"/>
      <c r="W1404" s="30"/>
      <c r="X1404" s="30"/>
      <c r="Y1404" s="30"/>
      <c r="Z1404" s="30"/>
    </row>
    <row r="1405">
      <c r="A1405" s="30"/>
      <c r="B1405" s="30"/>
      <c r="C1405" s="30"/>
      <c r="D1405" s="30"/>
      <c r="E1405" s="30"/>
      <c r="F1405" s="30"/>
      <c r="G1405" s="30"/>
      <c r="H1405" s="30"/>
      <c r="I1405" s="30"/>
      <c r="J1405" s="30"/>
      <c r="K1405" s="30"/>
      <c r="L1405" s="30"/>
      <c r="M1405" s="30"/>
      <c r="N1405" s="30"/>
      <c r="O1405" s="30"/>
      <c r="P1405" s="30"/>
      <c r="Q1405" s="30"/>
      <c r="R1405" s="30"/>
      <c r="S1405" s="30"/>
      <c r="T1405" s="30"/>
      <c r="U1405" s="30"/>
      <c r="V1405" s="30"/>
      <c r="W1405" s="30"/>
      <c r="X1405" s="30"/>
      <c r="Y1405" s="30"/>
      <c r="Z1405" s="30"/>
    </row>
    <row r="1406">
      <c r="A1406" s="30"/>
      <c r="B1406" s="30"/>
      <c r="C1406" s="30"/>
      <c r="D1406" s="30"/>
      <c r="E1406" s="30"/>
      <c r="F1406" s="30"/>
      <c r="G1406" s="30"/>
      <c r="H1406" s="30"/>
      <c r="I1406" s="30"/>
      <c r="J1406" s="30"/>
      <c r="K1406" s="30"/>
      <c r="L1406" s="30"/>
      <c r="M1406" s="30"/>
      <c r="N1406" s="30"/>
      <c r="O1406" s="30"/>
      <c r="P1406" s="30"/>
      <c r="Q1406" s="30"/>
      <c r="R1406" s="30"/>
      <c r="S1406" s="30"/>
      <c r="T1406" s="30"/>
      <c r="U1406" s="30"/>
      <c r="V1406" s="30"/>
      <c r="W1406" s="30"/>
      <c r="X1406" s="30"/>
      <c r="Y1406" s="30"/>
      <c r="Z1406" s="30"/>
    </row>
    <row r="1407">
      <c r="A1407" s="30"/>
      <c r="B1407" s="30"/>
      <c r="C1407" s="30"/>
      <c r="D1407" s="30"/>
      <c r="E1407" s="30"/>
      <c r="F1407" s="30"/>
      <c r="G1407" s="30"/>
      <c r="H1407" s="30"/>
      <c r="I1407" s="30"/>
      <c r="J1407" s="30"/>
      <c r="K1407" s="30"/>
      <c r="L1407" s="30"/>
      <c r="M1407" s="30"/>
      <c r="N1407" s="30"/>
      <c r="O1407" s="30"/>
      <c r="P1407" s="30"/>
      <c r="Q1407" s="30"/>
      <c r="R1407" s="30"/>
      <c r="S1407" s="30"/>
      <c r="T1407" s="30"/>
      <c r="U1407" s="30"/>
      <c r="V1407" s="30"/>
      <c r="W1407" s="30"/>
      <c r="X1407" s="30"/>
      <c r="Y1407" s="30"/>
      <c r="Z1407" s="30"/>
    </row>
    <row r="1408">
      <c r="A1408" s="30"/>
      <c r="B1408" s="30"/>
      <c r="C1408" s="30"/>
      <c r="D1408" s="30"/>
      <c r="E1408" s="30"/>
      <c r="F1408" s="30"/>
      <c r="G1408" s="30"/>
      <c r="H1408" s="30"/>
      <c r="I1408" s="30"/>
      <c r="J1408" s="30"/>
      <c r="K1408" s="30"/>
      <c r="L1408" s="30"/>
      <c r="M1408" s="30"/>
      <c r="N1408" s="30"/>
      <c r="O1408" s="30"/>
      <c r="P1408" s="30"/>
      <c r="Q1408" s="30"/>
      <c r="R1408" s="30"/>
      <c r="S1408" s="30"/>
      <c r="T1408" s="30"/>
      <c r="U1408" s="30"/>
      <c r="V1408" s="30"/>
      <c r="W1408" s="30"/>
      <c r="X1408" s="30"/>
      <c r="Y1408" s="30"/>
      <c r="Z1408" s="30"/>
    </row>
    <row r="1409">
      <c r="A1409" s="30"/>
      <c r="B1409" s="30"/>
      <c r="C1409" s="30"/>
      <c r="D1409" s="30"/>
      <c r="E1409" s="30"/>
      <c r="F1409" s="30"/>
      <c r="G1409" s="30"/>
      <c r="H1409" s="30"/>
      <c r="I1409" s="30"/>
      <c r="J1409" s="30"/>
      <c r="K1409" s="30"/>
      <c r="L1409" s="30"/>
      <c r="M1409" s="30"/>
      <c r="N1409" s="30"/>
      <c r="O1409" s="30"/>
      <c r="P1409" s="30"/>
      <c r="Q1409" s="30"/>
      <c r="R1409" s="30"/>
      <c r="S1409" s="30"/>
      <c r="T1409" s="30"/>
      <c r="U1409" s="30"/>
      <c r="V1409" s="30"/>
      <c r="W1409" s="30"/>
      <c r="X1409" s="30"/>
      <c r="Y1409" s="30"/>
      <c r="Z1409" s="30"/>
    </row>
    <row r="1410">
      <c r="A1410" s="30"/>
      <c r="B1410" s="30"/>
      <c r="C1410" s="30"/>
      <c r="D1410" s="30"/>
      <c r="E1410" s="30"/>
      <c r="F1410" s="30"/>
      <c r="G1410" s="30"/>
      <c r="H1410" s="30"/>
      <c r="I1410" s="30"/>
      <c r="J1410" s="30"/>
      <c r="K1410" s="30"/>
      <c r="L1410" s="30"/>
      <c r="M1410" s="30"/>
      <c r="N1410" s="30"/>
      <c r="O1410" s="30"/>
      <c r="P1410" s="30"/>
      <c r="Q1410" s="30"/>
      <c r="R1410" s="30"/>
      <c r="S1410" s="30"/>
      <c r="T1410" s="30"/>
      <c r="U1410" s="30"/>
      <c r="V1410" s="30"/>
      <c r="W1410" s="30"/>
      <c r="X1410" s="30"/>
      <c r="Y1410" s="30"/>
      <c r="Z1410" s="30"/>
    </row>
    <row r="1411">
      <c r="A1411" s="30"/>
      <c r="B1411" s="30"/>
      <c r="C1411" s="30"/>
      <c r="D1411" s="30"/>
      <c r="E1411" s="30"/>
      <c r="F1411" s="30"/>
      <c r="G1411" s="30"/>
      <c r="H1411" s="30"/>
      <c r="I1411" s="30"/>
      <c r="J1411" s="30"/>
      <c r="K1411" s="30"/>
      <c r="L1411" s="30"/>
      <c r="M1411" s="30"/>
      <c r="N1411" s="30"/>
      <c r="O1411" s="30"/>
      <c r="P1411" s="30"/>
      <c r="Q1411" s="30"/>
      <c r="R1411" s="30"/>
      <c r="S1411" s="30"/>
      <c r="T1411" s="30"/>
      <c r="U1411" s="30"/>
      <c r="V1411" s="30"/>
      <c r="W1411" s="30"/>
      <c r="X1411" s="30"/>
      <c r="Y1411" s="30"/>
      <c r="Z1411" s="30"/>
    </row>
    <row r="1412">
      <c r="A1412" s="30"/>
      <c r="B1412" s="30"/>
      <c r="C1412" s="30"/>
      <c r="D1412" s="30"/>
      <c r="E1412" s="30"/>
      <c r="F1412" s="30"/>
      <c r="G1412" s="30"/>
      <c r="H1412" s="30"/>
      <c r="I1412" s="30"/>
      <c r="J1412" s="30"/>
      <c r="K1412" s="30"/>
      <c r="L1412" s="30"/>
      <c r="M1412" s="30"/>
      <c r="N1412" s="30"/>
      <c r="O1412" s="30"/>
      <c r="P1412" s="30"/>
      <c r="Q1412" s="30"/>
      <c r="R1412" s="30"/>
      <c r="S1412" s="30"/>
      <c r="T1412" s="30"/>
      <c r="U1412" s="30"/>
      <c r="V1412" s="30"/>
      <c r="W1412" s="30"/>
      <c r="X1412" s="30"/>
      <c r="Y1412" s="30"/>
      <c r="Z1412" s="30"/>
    </row>
    <row r="1413">
      <c r="A1413" s="30"/>
      <c r="B1413" s="30"/>
      <c r="C1413" s="30"/>
      <c r="D1413" s="30"/>
      <c r="E1413" s="30"/>
      <c r="F1413" s="30"/>
      <c r="G1413" s="30"/>
      <c r="H1413" s="30"/>
      <c r="I1413" s="30"/>
      <c r="J1413" s="30"/>
      <c r="K1413" s="30"/>
      <c r="L1413" s="30"/>
      <c r="M1413" s="30"/>
      <c r="N1413" s="30"/>
      <c r="O1413" s="30"/>
      <c r="P1413" s="30"/>
      <c r="Q1413" s="30"/>
      <c r="R1413" s="30"/>
      <c r="S1413" s="30"/>
      <c r="T1413" s="30"/>
      <c r="U1413" s="30"/>
      <c r="V1413" s="30"/>
      <c r="W1413" s="30"/>
      <c r="X1413" s="30"/>
      <c r="Y1413" s="30"/>
      <c r="Z1413" s="30"/>
    </row>
    <row r="1414">
      <c r="A1414" s="30"/>
      <c r="B1414" s="30"/>
      <c r="C1414" s="30"/>
      <c r="D1414" s="30"/>
      <c r="E1414" s="30"/>
      <c r="F1414" s="30"/>
      <c r="G1414" s="30"/>
      <c r="H1414" s="30"/>
      <c r="I1414" s="30"/>
      <c r="J1414" s="30"/>
      <c r="K1414" s="30"/>
      <c r="L1414" s="30"/>
      <c r="M1414" s="30"/>
      <c r="N1414" s="30"/>
      <c r="O1414" s="30"/>
      <c r="P1414" s="30"/>
      <c r="Q1414" s="30"/>
      <c r="R1414" s="30"/>
      <c r="S1414" s="30"/>
      <c r="T1414" s="30"/>
      <c r="U1414" s="30"/>
      <c r="V1414" s="30"/>
      <c r="W1414" s="30"/>
      <c r="X1414" s="30"/>
      <c r="Y1414" s="30"/>
      <c r="Z1414" s="30"/>
    </row>
    <row r="1415">
      <c r="A1415" s="30"/>
      <c r="B1415" s="30"/>
      <c r="C1415" s="30"/>
      <c r="D1415" s="30"/>
      <c r="E1415" s="30"/>
      <c r="F1415" s="30"/>
      <c r="G1415" s="30"/>
      <c r="H1415" s="30"/>
      <c r="I1415" s="30"/>
      <c r="J1415" s="30"/>
      <c r="K1415" s="30"/>
      <c r="L1415" s="30"/>
      <c r="M1415" s="30"/>
      <c r="N1415" s="30"/>
      <c r="O1415" s="30"/>
      <c r="P1415" s="30"/>
      <c r="Q1415" s="30"/>
      <c r="R1415" s="30"/>
      <c r="S1415" s="30"/>
      <c r="T1415" s="30"/>
      <c r="U1415" s="30"/>
      <c r="V1415" s="30"/>
      <c r="W1415" s="30"/>
      <c r="X1415" s="30"/>
      <c r="Y1415" s="30"/>
      <c r="Z1415" s="30"/>
    </row>
    <row r="1416">
      <c r="A1416" s="30"/>
      <c r="B1416" s="30"/>
      <c r="C1416" s="30"/>
      <c r="D1416" s="30"/>
      <c r="E1416" s="30"/>
      <c r="F1416" s="30"/>
      <c r="G1416" s="30"/>
      <c r="H1416" s="30"/>
      <c r="I1416" s="30"/>
      <c r="J1416" s="30"/>
      <c r="K1416" s="30"/>
      <c r="L1416" s="30"/>
      <c r="M1416" s="30"/>
      <c r="N1416" s="30"/>
      <c r="O1416" s="30"/>
      <c r="P1416" s="30"/>
      <c r="Q1416" s="30"/>
      <c r="R1416" s="30"/>
      <c r="S1416" s="30"/>
      <c r="T1416" s="30"/>
      <c r="U1416" s="30"/>
      <c r="V1416" s="30"/>
      <c r="W1416" s="30"/>
      <c r="X1416" s="30"/>
      <c r="Y1416" s="30"/>
      <c r="Z1416" s="30"/>
    </row>
    <row r="1417">
      <c r="A1417" s="30"/>
      <c r="B1417" s="30"/>
      <c r="C1417" s="30"/>
      <c r="D1417" s="30"/>
      <c r="E1417" s="30"/>
      <c r="F1417" s="30"/>
      <c r="G1417" s="30"/>
      <c r="H1417" s="30"/>
      <c r="I1417" s="30"/>
      <c r="J1417" s="30"/>
      <c r="K1417" s="30"/>
      <c r="L1417" s="30"/>
      <c r="M1417" s="30"/>
      <c r="N1417" s="30"/>
      <c r="O1417" s="30"/>
      <c r="P1417" s="30"/>
      <c r="Q1417" s="30"/>
      <c r="R1417" s="30"/>
      <c r="S1417" s="30"/>
      <c r="T1417" s="30"/>
      <c r="U1417" s="30"/>
      <c r="V1417" s="30"/>
      <c r="W1417" s="30"/>
      <c r="X1417" s="30"/>
      <c r="Y1417" s="30"/>
      <c r="Z1417" s="30"/>
    </row>
    <row r="1418">
      <c r="A1418" s="30"/>
      <c r="B1418" s="30"/>
      <c r="C1418" s="30"/>
      <c r="D1418" s="30"/>
      <c r="E1418" s="30"/>
      <c r="F1418" s="30"/>
      <c r="G1418" s="30"/>
      <c r="H1418" s="30"/>
      <c r="I1418" s="30"/>
      <c r="J1418" s="30"/>
      <c r="K1418" s="30"/>
      <c r="L1418" s="30"/>
      <c r="M1418" s="30"/>
      <c r="N1418" s="30"/>
      <c r="O1418" s="30"/>
      <c r="P1418" s="30"/>
      <c r="Q1418" s="30"/>
      <c r="R1418" s="30"/>
      <c r="S1418" s="30"/>
      <c r="T1418" s="30"/>
      <c r="U1418" s="30"/>
      <c r="V1418" s="30"/>
      <c r="W1418" s="30"/>
      <c r="X1418" s="30"/>
      <c r="Y1418" s="30"/>
      <c r="Z1418" s="30"/>
    </row>
    <row r="1419">
      <c r="A1419" s="30"/>
      <c r="B1419" s="30"/>
      <c r="C1419" s="30"/>
      <c r="D1419" s="30"/>
      <c r="E1419" s="30"/>
      <c r="F1419" s="30"/>
      <c r="G1419" s="30"/>
      <c r="H1419" s="30"/>
      <c r="I1419" s="30"/>
      <c r="J1419" s="30"/>
      <c r="K1419" s="30"/>
      <c r="L1419" s="30"/>
      <c r="M1419" s="30"/>
      <c r="N1419" s="30"/>
      <c r="O1419" s="30"/>
      <c r="P1419" s="30"/>
      <c r="Q1419" s="30"/>
      <c r="R1419" s="30"/>
      <c r="S1419" s="30"/>
      <c r="T1419" s="30"/>
      <c r="U1419" s="30"/>
      <c r="V1419" s="30"/>
      <c r="W1419" s="30"/>
      <c r="X1419" s="30"/>
      <c r="Y1419" s="30"/>
      <c r="Z1419" s="30"/>
    </row>
    <row r="1420">
      <c r="A1420" s="30"/>
      <c r="B1420" s="30"/>
      <c r="C1420" s="30"/>
      <c r="D1420" s="30"/>
      <c r="E1420" s="30"/>
      <c r="F1420" s="30"/>
      <c r="G1420" s="30"/>
      <c r="H1420" s="30"/>
      <c r="I1420" s="30"/>
      <c r="J1420" s="30"/>
      <c r="K1420" s="30"/>
      <c r="L1420" s="30"/>
      <c r="M1420" s="30"/>
      <c r="N1420" s="30"/>
      <c r="O1420" s="30"/>
      <c r="P1420" s="30"/>
      <c r="Q1420" s="30"/>
      <c r="R1420" s="30"/>
      <c r="S1420" s="30"/>
      <c r="T1420" s="30"/>
      <c r="U1420" s="30"/>
      <c r="V1420" s="30"/>
      <c r="W1420" s="30"/>
      <c r="X1420" s="30"/>
      <c r="Y1420" s="30"/>
      <c r="Z1420" s="30"/>
    </row>
    <row r="1421">
      <c r="A1421" s="30"/>
      <c r="B1421" s="30"/>
      <c r="C1421" s="30"/>
      <c r="D1421" s="30"/>
      <c r="E1421" s="30"/>
      <c r="F1421" s="30"/>
      <c r="G1421" s="30"/>
      <c r="H1421" s="30"/>
      <c r="I1421" s="30"/>
      <c r="J1421" s="30"/>
      <c r="K1421" s="30"/>
      <c r="L1421" s="30"/>
      <c r="M1421" s="30"/>
      <c r="N1421" s="30"/>
      <c r="O1421" s="30"/>
      <c r="P1421" s="30"/>
      <c r="Q1421" s="30"/>
      <c r="R1421" s="30"/>
      <c r="S1421" s="30"/>
      <c r="T1421" s="30"/>
      <c r="U1421" s="30"/>
      <c r="V1421" s="30"/>
      <c r="W1421" s="30"/>
      <c r="X1421" s="30"/>
      <c r="Y1421" s="30"/>
      <c r="Z1421" s="30"/>
    </row>
    <row r="1422">
      <c r="A1422" s="30"/>
      <c r="B1422" s="30"/>
      <c r="C1422" s="30"/>
      <c r="D1422" s="30"/>
      <c r="E1422" s="30"/>
      <c r="F1422" s="30"/>
      <c r="G1422" s="30"/>
      <c r="H1422" s="30"/>
      <c r="I1422" s="30"/>
      <c r="J1422" s="30"/>
      <c r="K1422" s="30"/>
      <c r="L1422" s="30"/>
      <c r="M1422" s="30"/>
      <c r="N1422" s="30"/>
      <c r="O1422" s="30"/>
      <c r="P1422" s="30"/>
      <c r="Q1422" s="30"/>
      <c r="R1422" s="30"/>
      <c r="S1422" s="30"/>
      <c r="T1422" s="30"/>
      <c r="U1422" s="30"/>
      <c r="V1422" s="30"/>
      <c r="W1422" s="30"/>
      <c r="X1422" s="30"/>
      <c r="Y1422" s="30"/>
      <c r="Z1422" s="30"/>
    </row>
    <row r="1423">
      <c r="A1423" s="30"/>
      <c r="B1423" s="30"/>
      <c r="C1423" s="30"/>
      <c r="D1423" s="30"/>
      <c r="E1423" s="30"/>
      <c r="F1423" s="30"/>
      <c r="G1423" s="30"/>
      <c r="H1423" s="30"/>
      <c r="I1423" s="30"/>
      <c r="J1423" s="30"/>
      <c r="K1423" s="30"/>
      <c r="L1423" s="30"/>
      <c r="M1423" s="30"/>
      <c r="N1423" s="30"/>
      <c r="O1423" s="30"/>
      <c r="P1423" s="30"/>
      <c r="Q1423" s="30"/>
      <c r="R1423" s="30"/>
      <c r="S1423" s="30"/>
      <c r="T1423" s="30"/>
      <c r="U1423" s="30"/>
      <c r="V1423" s="30"/>
      <c r="W1423" s="30"/>
      <c r="X1423" s="30"/>
      <c r="Y1423" s="30"/>
      <c r="Z1423" s="30"/>
    </row>
    <row r="1424">
      <c r="A1424" s="30"/>
      <c r="B1424" s="30"/>
      <c r="C1424" s="30"/>
      <c r="D1424" s="30"/>
      <c r="E1424" s="30"/>
      <c r="F1424" s="30"/>
      <c r="G1424" s="30"/>
      <c r="H1424" s="30"/>
      <c r="I1424" s="30"/>
      <c r="J1424" s="30"/>
      <c r="K1424" s="30"/>
      <c r="L1424" s="30"/>
      <c r="M1424" s="30"/>
      <c r="N1424" s="30"/>
      <c r="O1424" s="30"/>
      <c r="P1424" s="30"/>
      <c r="Q1424" s="30"/>
      <c r="R1424" s="30"/>
      <c r="S1424" s="30"/>
      <c r="T1424" s="30"/>
      <c r="U1424" s="30"/>
      <c r="V1424" s="30"/>
      <c r="W1424" s="30"/>
      <c r="X1424" s="30"/>
      <c r="Y1424" s="30"/>
      <c r="Z1424" s="30"/>
    </row>
    <row r="1425">
      <c r="A1425" s="30"/>
      <c r="B1425" s="30"/>
      <c r="C1425" s="30"/>
      <c r="D1425" s="30"/>
      <c r="E1425" s="30"/>
      <c r="F1425" s="30"/>
      <c r="G1425" s="30"/>
      <c r="H1425" s="30"/>
      <c r="I1425" s="30"/>
      <c r="J1425" s="30"/>
      <c r="K1425" s="30"/>
      <c r="L1425" s="30"/>
      <c r="M1425" s="30"/>
      <c r="N1425" s="30"/>
      <c r="O1425" s="30"/>
      <c r="P1425" s="30"/>
      <c r="Q1425" s="30"/>
      <c r="R1425" s="30"/>
      <c r="S1425" s="30"/>
      <c r="T1425" s="30"/>
      <c r="U1425" s="30"/>
      <c r="V1425" s="30"/>
      <c r="W1425" s="30"/>
      <c r="X1425" s="30"/>
      <c r="Y1425" s="30"/>
      <c r="Z1425" s="30"/>
    </row>
    <row r="1426">
      <c r="A1426" s="30"/>
      <c r="B1426" s="30"/>
      <c r="C1426" s="30"/>
      <c r="D1426" s="30"/>
      <c r="E1426" s="30"/>
      <c r="F1426" s="30"/>
      <c r="G1426" s="30"/>
      <c r="H1426" s="30"/>
      <c r="I1426" s="30"/>
      <c r="J1426" s="30"/>
      <c r="K1426" s="30"/>
      <c r="L1426" s="30"/>
      <c r="M1426" s="30"/>
      <c r="N1426" s="30"/>
      <c r="O1426" s="30"/>
      <c r="P1426" s="30"/>
      <c r="Q1426" s="30"/>
      <c r="R1426" s="30"/>
      <c r="S1426" s="30"/>
      <c r="T1426" s="30"/>
      <c r="U1426" s="30"/>
      <c r="V1426" s="30"/>
      <c r="W1426" s="30"/>
      <c r="X1426" s="30"/>
      <c r="Y1426" s="30"/>
      <c r="Z1426" s="30"/>
    </row>
    <row r="1427">
      <c r="A1427" s="30"/>
      <c r="B1427" s="30"/>
      <c r="C1427" s="30"/>
      <c r="D1427" s="30"/>
      <c r="E1427" s="30"/>
      <c r="F1427" s="30"/>
      <c r="G1427" s="30"/>
      <c r="H1427" s="30"/>
      <c r="I1427" s="30"/>
      <c r="J1427" s="30"/>
      <c r="K1427" s="30"/>
      <c r="L1427" s="30"/>
      <c r="M1427" s="30"/>
      <c r="N1427" s="30"/>
      <c r="O1427" s="30"/>
      <c r="P1427" s="30"/>
      <c r="Q1427" s="30"/>
      <c r="R1427" s="30"/>
      <c r="S1427" s="30"/>
      <c r="T1427" s="30"/>
      <c r="U1427" s="30"/>
      <c r="V1427" s="30"/>
      <c r="W1427" s="30"/>
      <c r="X1427" s="30"/>
      <c r="Y1427" s="30"/>
      <c r="Z1427" s="30"/>
    </row>
    <row r="1428">
      <c r="A1428" s="30"/>
      <c r="B1428" s="30"/>
      <c r="C1428" s="30"/>
      <c r="D1428" s="30"/>
      <c r="E1428" s="30"/>
      <c r="F1428" s="30"/>
      <c r="G1428" s="30"/>
      <c r="H1428" s="30"/>
      <c r="I1428" s="30"/>
      <c r="J1428" s="30"/>
      <c r="K1428" s="30"/>
      <c r="L1428" s="30"/>
      <c r="M1428" s="30"/>
      <c r="N1428" s="30"/>
      <c r="O1428" s="30"/>
      <c r="P1428" s="30"/>
      <c r="Q1428" s="30"/>
      <c r="R1428" s="30"/>
      <c r="S1428" s="30"/>
      <c r="T1428" s="30"/>
      <c r="U1428" s="30"/>
      <c r="V1428" s="30"/>
      <c r="W1428" s="30"/>
      <c r="X1428" s="30"/>
      <c r="Y1428" s="30"/>
      <c r="Z1428" s="30"/>
    </row>
    <row r="1429">
      <c r="A1429" s="30"/>
      <c r="B1429" s="30"/>
      <c r="C1429" s="30"/>
      <c r="D1429" s="30"/>
      <c r="E1429" s="30"/>
      <c r="F1429" s="30"/>
      <c r="G1429" s="30"/>
      <c r="H1429" s="30"/>
      <c r="I1429" s="30"/>
      <c r="J1429" s="30"/>
      <c r="K1429" s="30"/>
      <c r="L1429" s="30"/>
      <c r="M1429" s="30"/>
      <c r="N1429" s="30"/>
      <c r="O1429" s="30"/>
      <c r="P1429" s="30"/>
      <c r="Q1429" s="30"/>
      <c r="R1429" s="30"/>
      <c r="S1429" s="30"/>
      <c r="T1429" s="30"/>
      <c r="U1429" s="30"/>
      <c r="V1429" s="30"/>
      <c r="W1429" s="30"/>
      <c r="X1429" s="30"/>
      <c r="Y1429" s="30"/>
      <c r="Z1429" s="30"/>
    </row>
    <row r="1430">
      <c r="A1430" s="30"/>
      <c r="B1430" s="30"/>
      <c r="C1430" s="30"/>
      <c r="D1430" s="30"/>
      <c r="E1430" s="30"/>
      <c r="F1430" s="30"/>
      <c r="G1430" s="30"/>
      <c r="H1430" s="30"/>
      <c r="I1430" s="30"/>
      <c r="J1430" s="30"/>
      <c r="K1430" s="30"/>
      <c r="L1430" s="30"/>
      <c r="M1430" s="30"/>
      <c r="N1430" s="30"/>
      <c r="O1430" s="30"/>
      <c r="P1430" s="30"/>
      <c r="Q1430" s="30"/>
      <c r="R1430" s="30"/>
      <c r="S1430" s="30"/>
      <c r="T1430" s="30"/>
      <c r="U1430" s="30"/>
      <c r="V1430" s="30"/>
      <c r="W1430" s="30"/>
      <c r="X1430" s="30"/>
      <c r="Y1430" s="30"/>
      <c r="Z1430" s="30"/>
    </row>
    <row r="1431">
      <c r="A1431" s="30"/>
      <c r="B1431" s="30"/>
      <c r="C1431" s="30"/>
      <c r="D1431" s="30"/>
      <c r="E1431" s="30"/>
      <c r="F1431" s="30"/>
      <c r="G1431" s="30"/>
      <c r="H1431" s="30"/>
      <c r="I1431" s="30"/>
      <c r="J1431" s="30"/>
      <c r="K1431" s="30"/>
      <c r="L1431" s="30"/>
      <c r="M1431" s="30"/>
      <c r="N1431" s="30"/>
      <c r="O1431" s="30"/>
      <c r="P1431" s="30"/>
      <c r="Q1431" s="30"/>
      <c r="R1431" s="30"/>
      <c r="S1431" s="30"/>
      <c r="T1431" s="30"/>
      <c r="U1431" s="30"/>
      <c r="V1431" s="30"/>
      <c r="W1431" s="30"/>
      <c r="X1431" s="30"/>
      <c r="Y1431" s="30"/>
      <c r="Z1431" s="30"/>
    </row>
    <row r="1432">
      <c r="A1432" s="30"/>
      <c r="B1432" s="30"/>
      <c r="C1432" s="30"/>
      <c r="D1432" s="30"/>
      <c r="E1432" s="30"/>
      <c r="F1432" s="30"/>
      <c r="G1432" s="30"/>
      <c r="H1432" s="30"/>
      <c r="I1432" s="30"/>
      <c r="J1432" s="30"/>
      <c r="K1432" s="30"/>
      <c r="L1432" s="30"/>
      <c r="M1432" s="30"/>
      <c r="N1432" s="30"/>
      <c r="O1432" s="30"/>
      <c r="P1432" s="30"/>
      <c r="Q1432" s="30"/>
      <c r="R1432" s="30"/>
      <c r="S1432" s="30"/>
      <c r="T1432" s="30"/>
      <c r="U1432" s="30"/>
      <c r="V1432" s="30"/>
      <c r="W1432" s="30"/>
      <c r="X1432" s="30"/>
      <c r="Y1432" s="30"/>
      <c r="Z1432" s="30"/>
    </row>
    <row r="1433">
      <c r="A1433" s="30"/>
      <c r="B1433" s="30"/>
      <c r="C1433" s="30"/>
      <c r="D1433" s="30"/>
      <c r="E1433" s="30"/>
      <c r="F1433" s="30"/>
      <c r="G1433" s="30"/>
      <c r="H1433" s="30"/>
      <c r="I1433" s="30"/>
      <c r="J1433" s="30"/>
      <c r="K1433" s="30"/>
      <c r="L1433" s="30"/>
      <c r="M1433" s="30"/>
      <c r="N1433" s="30"/>
      <c r="O1433" s="30"/>
      <c r="P1433" s="30"/>
      <c r="Q1433" s="30"/>
      <c r="R1433" s="30"/>
      <c r="S1433" s="30"/>
      <c r="T1433" s="30"/>
      <c r="U1433" s="30"/>
      <c r="V1433" s="30"/>
      <c r="W1433" s="30"/>
      <c r="X1433" s="30"/>
      <c r="Y1433" s="30"/>
      <c r="Z1433" s="30"/>
    </row>
    <row r="1434">
      <c r="A1434" s="30"/>
      <c r="B1434" s="30"/>
      <c r="C1434" s="30"/>
      <c r="D1434" s="30"/>
      <c r="E1434" s="30"/>
      <c r="F1434" s="30"/>
      <c r="G1434" s="30"/>
      <c r="H1434" s="30"/>
      <c r="I1434" s="30"/>
      <c r="J1434" s="30"/>
      <c r="K1434" s="30"/>
      <c r="L1434" s="30"/>
      <c r="M1434" s="30"/>
      <c r="N1434" s="30"/>
      <c r="O1434" s="30"/>
      <c r="P1434" s="30"/>
      <c r="Q1434" s="30"/>
      <c r="R1434" s="30"/>
      <c r="S1434" s="30"/>
      <c r="T1434" s="30"/>
      <c r="U1434" s="30"/>
      <c r="V1434" s="30"/>
      <c r="W1434" s="30"/>
      <c r="X1434" s="30"/>
      <c r="Y1434" s="30"/>
      <c r="Z1434" s="30"/>
    </row>
    <row r="1435">
      <c r="A1435" s="30"/>
      <c r="B1435" s="30"/>
      <c r="C1435" s="30"/>
      <c r="D1435" s="30"/>
      <c r="E1435" s="30"/>
      <c r="F1435" s="30"/>
      <c r="G1435" s="30"/>
      <c r="H1435" s="30"/>
      <c r="I1435" s="30"/>
      <c r="J1435" s="30"/>
      <c r="K1435" s="30"/>
      <c r="L1435" s="30"/>
      <c r="M1435" s="30"/>
      <c r="N1435" s="30"/>
      <c r="O1435" s="30"/>
      <c r="P1435" s="30"/>
      <c r="Q1435" s="30"/>
      <c r="R1435" s="30"/>
      <c r="S1435" s="30"/>
      <c r="T1435" s="30"/>
      <c r="U1435" s="30"/>
      <c r="V1435" s="30"/>
      <c r="W1435" s="30"/>
      <c r="X1435" s="30"/>
      <c r="Y1435" s="30"/>
      <c r="Z1435" s="30"/>
    </row>
    <row r="1436">
      <c r="A1436" s="30"/>
      <c r="B1436" s="30"/>
      <c r="C1436" s="30"/>
      <c r="D1436" s="30"/>
      <c r="E1436" s="30"/>
      <c r="F1436" s="30"/>
      <c r="G1436" s="30"/>
      <c r="H1436" s="30"/>
      <c r="I1436" s="30"/>
      <c r="J1436" s="30"/>
      <c r="K1436" s="30"/>
      <c r="L1436" s="30"/>
      <c r="M1436" s="30"/>
      <c r="N1436" s="30"/>
      <c r="O1436" s="30"/>
      <c r="P1436" s="30"/>
      <c r="Q1436" s="30"/>
      <c r="R1436" s="30"/>
      <c r="S1436" s="30"/>
      <c r="T1436" s="30"/>
      <c r="U1436" s="30"/>
      <c r="V1436" s="30"/>
      <c r="W1436" s="30"/>
      <c r="X1436" s="30"/>
      <c r="Y1436" s="30"/>
      <c r="Z1436" s="30"/>
    </row>
    <row r="1437">
      <c r="A1437" s="30"/>
      <c r="B1437" s="30"/>
      <c r="C1437" s="30"/>
      <c r="D1437" s="30"/>
      <c r="E1437" s="30"/>
      <c r="F1437" s="30"/>
      <c r="G1437" s="30"/>
      <c r="H1437" s="30"/>
      <c r="I1437" s="30"/>
      <c r="J1437" s="30"/>
      <c r="K1437" s="30"/>
      <c r="L1437" s="30"/>
      <c r="M1437" s="30"/>
      <c r="N1437" s="30"/>
      <c r="O1437" s="30"/>
      <c r="P1437" s="30"/>
      <c r="Q1437" s="30"/>
      <c r="R1437" s="30"/>
      <c r="S1437" s="30"/>
      <c r="T1437" s="30"/>
      <c r="U1437" s="30"/>
      <c r="V1437" s="30"/>
      <c r="W1437" s="30"/>
      <c r="X1437" s="30"/>
      <c r="Y1437" s="30"/>
      <c r="Z1437" s="30"/>
    </row>
    <row r="1438">
      <c r="A1438" s="30"/>
      <c r="B1438" s="30"/>
      <c r="C1438" s="30"/>
      <c r="D1438" s="30"/>
      <c r="E1438" s="30"/>
      <c r="F1438" s="30"/>
      <c r="G1438" s="30"/>
      <c r="H1438" s="30"/>
      <c r="I1438" s="30"/>
      <c r="J1438" s="30"/>
      <c r="K1438" s="30"/>
      <c r="L1438" s="30"/>
      <c r="M1438" s="30"/>
      <c r="N1438" s="30"/>
      <c r="O1438" s="30"/>
      <c r="P1438" s="30"/>
      <c r="Q1438" s="30"/>
      <c r="R1438" s="30"/>
      <c r="S1438" s="30"/>
      <c r="T1438" s="30"/>
      <c r="U1438" s="30"/>
      <c r="V1438" s="30"/>
      <c r="W1438" s="30"/>
      <c r="X1438" s="30"/>
      <c r="Y1438" s="30"/>
      <c r="Z1438" s="30"/>
    </row>
    <row r="1439">
      <c r="A1439" s="30"/>
      <c r="B1439" s="30"/>
      <c r="C1439" s="30"/>
      <c r="D1439" s="30"/>
      <c r="E1439" s="30"/>
      <c r="F1439" s="30"/>
      <c r="G1439" s="30"/>
      <c r="H1439" s="30"/>
      <c r="I1439" s="30"/>
      <c r="J1439" s="30"/>
      <c r="K1439" s="30"/>
      <c r="L1439" s="30"/>
      <c r="M1439" s="30"/>
      <c r="N1439" s="30"/>
      <c r="O1439" s="30"/>
      <c r="P1439" s="30"/>
      <c r="Q1439" s="30"/>
      <c r="R1439" s="30"/>
      <c r="S1439" s="30"/>
      <c r="T1439" s="30"/>
      <c r="U1439" s="30"/>
      <c r="V1439" s="30"/>
      <c r="W1439" s="30"/>
      <c r="X1439" s="30"/>
      <c r="Y1439" s="30"/>
      <c r="Z1439" s="30"/>
    </row>
    <row r="1440">
      <c r="A1440" s="30"/>
      <c r="B1440" s="30"/>
      <c r="C1440" s="30"/>
      <c r="D1440" s="30"/>
      <c r="E1440" s="30"/>
      <c r="F1440" s="30"/>
      <c r="G1440" s="30"/>
      <c r="H1440" s="30"/>
      <c r="I1440" s="30"/>
      <c r="J1440" s="30"/>
      <c r="K1440" s="30"/>
      <c r="L1440" s="30"/>
      <c r="M1440" s="30"/>
      <c r="N1440" s="30"/>
      <c r="O1440" s="30"/>
      <c r="P1440" s="30"/>
      <c r="Q1440" s="30"/>
      <c r="R1440" s="30"/>
      <c r="S1440" s="30"/>
      <c r="T1440" s="30"/>
      <c r="U1440" s="30"/>
      <c r="V1440" s="30"/>
      <c r="W1440" s="30"/>
      <c r="X1440" s="30"/>
      <c r="Y1440" s="30"/>
      <c r="Z1440" s="30"/>
    </row>
    <row r="1441">
      <c r="A1441" s="30"/>
      <c r="B1441" s="30"/>
      <c r="C1441" s="30"/>
      <c r="D1441" s="30"/>
      <c r="E1441" s="30"/>
      <c r="F1441" s="30"/>
      <c r="G1441" s="30"/>
      <c r="H1441" s="30"/>
      <c r="I1441" s="30"/>
      <c r="J1441" s="30"/>
      <c r="K1441" s="30"/>
      <c r="L1441" s="30"/>
      <c r="M1441" s="30"/>
      <c r="N1441" s="30"/>
      <c r="O1441" s="30"/>
      <c r="P1441" s="30"/>
      <c r="Q1441" s="30"/>
      <c r="R1441" s="30"/>
      <c r="S1441" s="30"/>
      <c r="T1441" s="30"/>
      <c r="U1441" s="30"/>
      <c r="V1441" s="30"/>
      <c r="W1441" s="30"/>
      <c r="X1441" s="30"/>
      <c r="Y1441" s="30"/>
      <c r="Z1441" s="30"/>
    </row>
    <row r="1442">
      <c r="A1442" s="30"/>
      <c r="B1442" s="30"/>
      <c r="C1442" s="30"/>
      <c r="D1442" s="30"/>
      <c r="E1442" s="30"/>
      <c r="F1442" s="30"/>
      <c r="G1442" s="30"/>
      <c r="H1442" s="30"/>
      <c r="I1442" s="30"/>
      <c r="J1442" s="30"/>
      <c r="K1442" s="30"/>
      <c r="L1442" s="30"/>
      <c r="M1442" s="30"/>
      <c r="N1442" s="30"/>
      <c r="O1442" s="30"/>
      <c r="P1442" s="30"/>
      <c r="Q1442" s="30"/>
      <c r="R1442" s="30"/>
      <c r="S1442" s="30"/>
      <c r="T1442" s="30"/>
      <c r="U1442" s="30"/>
      <c r="V1442" s="30"/>
      <c r="W1442" s="30"/>
      <c r="X1442" s="30"/>
      <c r="Y1442" s="30"/>
      <c r="Z1442" s="30"/>
    </row>
    <row r="1443">
      <c r="A1443" s="30"/>
      <c r="B1443" s="30"/>
      <c r="C1443" s="30"/>
      <c r="D1443" s="30"/>
      <c r="E1443" s="30"/>
      <c r="F1443" s="30"/>
      <c r="G1443" s="30"/>
      <c r="H1443" s="30"/>
      <c r="I1443" s="30"/>
      <c r="J1443" s="30"/>
      <c r="K1443" s="30"/>
      <c r="L1443" s="30"/>
      <c r="M1443" s="30"/>
      <c r="N1443" s="30"/>
      <c r="O1443" s="30"/>
      <c r="P1443" s="30"/>
      <c r="Q1443" s="30"/>
      <c r="R1443" s="30"/>
      <c r="S1443" s="30"/>
      <c r="T1443" s="30"/>
      <c r="U1443" s="30"/>
      <c r="V1443" s="30"/>
      <c r="W1443" s="30"/>
      <c r="X1443" s="30"/>
      <c r="Y1443" s="30"/>
      <c r="Z1443" s="30"/>
    </row>
    <row r="1444">
      <c r="A1444" s="30"/>
      <c r="B1444" s="30"/>
      <c r="C1444" s="30"/>
      <c r="D1444" s="30"/>
      <c r="E1444" s="30"/>
      <c r="F1444" s="30"/>
      <c r="G1444" s="30"/>
      <c r="H1444" s="30"/>
      <c r="I1444" s="30"/>
      <c r="J1444" s="30"/>
      <c r="K1444" s="30"/>
      <c r="L1444" s="30"/>
      <c r="M1444" s="30"/>
      <c r="N1444" s="30"/>
      <c r="O1444" s="30"/>
      <c r="P1444" s="30"/>
      <c r="Q1444" s="30"/>
      <c r="R1444" s="30"/>
      <c r="S1444" s="30"/>
      <c r="T1444" s="30"/>
      <c r="U1444" s="30"/>
      <c r="V1444" s="30"/>
      <c r="W1444" s="30"/>
      <c r="X1444" s="30"/>
      <c r="Y1444" s="30"/>
      <c r="Z1444" s="30"/>
    </row>
    <row r="1445">
      <c r="A1445" s="30"/>
      <c r="B1445" s="30"/>
      <c r="C1445" s="30"/>
      <c r="D1445" s="30"/>
      <c r="E1445" s="30"/>
      <c r="F1445" s="30"/>
      <c r="G1445" s="30"/>
      <c r="H1445" s="30"/>
      <c r="I1445" s="30"/>
      <c r="J1445" s="30"/>
      <c r="K1445" s="30"/>
      <c r="L1445" s="30"/>
      <c r="M1445" s="30"/>
      <c r="N1445" s="30"/>
      <c r="O1445" s="30"/>
      <c r="P1445" s="30"/>
      <c r="Q1445" s="30"/>
      <c r="R1445" s="30"/>
      <c r="S1445" s="30"/>
      <c r="T1445" s="30"/>
      <c r="U1445" s="30"/>
      <c r="V1445" s="30"/>
      <c r="W1445" s="30"/>
      <c r="X1445" s="30"/>
      <c r="Y1445" s="30"/>
      <c r="Z1445" s="30"/>
    </row>
    <row r="1446">
      <c r="A1446" s="30"/>
      <c r="B1446" s="30"/>
      <c r="C1446" s="30"/>
      <c r="D1446" s="30"/>
      <c r="E1446" s="30"/>
      <c r="F1446" s="30"/>
      <c r="G1446" s="30"/>
      <c r="H1446" s="30"/>
      <c r="I1446" s="30"/>
      <c r="J1446" s="30"/>
      <c r="K1446" s="30"/>
      <c r="L1446" s="30"/>
      <c r="M1446" s="30"/>
      <c r="N1446" s="30"/>
      <c r="O1446" s="30"/>
      <c r="P1446" s="30"/>
      <c r="Q1446" s="30"/>
      <c r="R1446" s="30"/>
      <c r="S1446" s="30"/>
      <c r="T1446" s="30"/>
      <c r="U1446" s="30"/>
      <c r="V1446" s="30"/>
      <c r="W1446" s="30"/>
      <c r="X1446" s="30"/>
      <c r="Y1446" s="30"/>
      <c r="Z1446" s="30"/>
    </row>
    <row r="1447">
      <c r="A1447" s="30"/>
      <c r="B1447" s="30"/>
      <c r="C1447" s="30"/>
      <c r="D1447" s="30"/>
      <c r="E1447" s="30"/>
      <c r="F1447" s="30"/>
      <c r="G1447" s="30"/>
      <c r="H1447" s="30"/>
      <c r="I1447" s="30"/>
      <c r="J1447" s="30"/>
      <c r="K1447" s="30"/>
      <c r="L1447" s="30"/>
      <c r="M1447" s="30"/>
      <c r="N1447" s="30"/>
      <c r="O1447" s="30"/>
      <c r="P1447" s="30"/>
      <c r="Q1447" s="30"/>
      <c r="R1447" s="30"/>
      <c r="S1447" s="30"/>
      <c r="T1447" s="30"/>
      <c r="U1447" s="30"/>
      <c r="V1447" s="30"/>
      <c r="W1447" s="30"/>
      <c r="X1447" s="30"/>
      <c r="Y1447" s="30"/>
      <c r="Z1447" s="30"/>
    </row>
    <row r="1448">
      <c r="A1448" s="30"/>
      <c r="B1448" s="30"/>
      <c r="C1448" s="30"/>
      <c r="D1448" s="30"/>
      <c r="E1448" s="30"/>
      <c r="F1448" s="30"/>
      <c r="G1448" s="30"/>
      <c r="H1448" s="30"/>
      <c r="I1448" s="30"/>
      <c r="J1448" s="30"/>
      <c r="K1448" s="30"/>
      <c r="L1448" s="30"/>
      <c r="M1448" s="30"/>
      <c r="N1448" s="30"/>
      <c r="O1448" s="30"/>
      <c r="P1448" s="30"/>
      <c r="Q1448" s="30"/>
      <c r="R1448" s="30"/>
      <c r="S1448" s="30"/>
      <c r="T1448" s="30"/>
      <c r="U1448" s="30"/>
      <c r="V1448" s="30"/>
      <c r="W1448" s="30"/>
      <c r="X1448" s="30"/>
      <c r="Y1448" s="30"/>
      <c r="Z1448" s="30"/>
    </row>
    <row r="1449">
      <c r="A1449" s="30"/>
      <c r="B1449" s="30"/>
      <c r="C1449" s="30"/>
      <c r="D1449" s="30"/>
      <c r="E1449" s="30"/>
      <c r="F1449" s="30"/>
      <c r="G1449" s="30"/>
      <c r="H1449" s="30"/>
      <c r="I1449" s="30"/>
      <c r="J1449" s="30"/>
      <c r="K1449" s="30"/>
      <c r="L1449" s="30"/>
      <c r="M1449" s="30"/>
      <c r="N1449" s="30"/>
      <c r="O1449" s="30"/>
      <c r="P1449" s="30"/>
      <c r="Q1449" s="30"/>
      <c r="R1449" s="30"/>
      <c r="S1449" s="30"/>
      <c r="T1449" s="30"/>
      <c r="U1449" s="30"/>
      <c r="V1449" s="30"/>
      <c r="W1449" s="30"/>
      <c r="X1449" s="30"/>
      <c r="Y1449" s="30"/>
      <c r="Z1449" s="30"/>
    </row>
    <row r="1450">
      <c r="A1450" s="30"/>
      <c r="B1450" s="30"/>
      <c r="C1450" s="30"/>
      <c r="D1450" s="30"/>
      <c r="E1450" s="30"/>
      <c r="F1450" s="30"/>
      <c r="G1450" s="30"/>
      <c r="H1450" s="30"/>
      <c r="I1450" s="30"/>
      <c r="J1450" s="30"/>
      <c r="K1450" s="30"/>
      <c r="L1450" s="30"/>
      <c r="M1450" s="30"/>
      <c r="N1450" s="30"/>
      <c r="O1450" s="30"/>
      <c r="P1450" s="30"/>
      <c r="Q1450" s="30"/>
      <c r="R1450" s="30"/>
      <c r="S1450" s="30"/>
      <c r="T1450" s="30"/>
      <c r="U1450" s="30"/>
      <c r="V1450" s="30"/>
      <c r="W1450" s="30"/>
      <c r="X1450" s="30"/>
      <c r="Y1450" s="30"/>
      <c r="Z1450" s="30"/>
    </row>
    <row r="1451">
      <c r="A1451" s="30"/>
      <c r="B1451" s="30"/>
      <c r="C1451" s="30"/>
      <c r="D1451" s="30"/>
      <c r="E1451" s="30"/>
      <c r="F1451" s="30"/>
      <c r="G1451" s="30"/>
      <c r="H1451" s="30"/>
      <c r="I1451" s="30"/>
      <c r="J1451" s="30"/>
      <c r="K1451" s="30"/>
      <c r="L1451" s="30"/>
      <c r="M1451" s="30"/>
      <c r="N1451" s="30"/>
      <c r="O1451" s="30"/>
      <c r="P1451" s="30"/>
      <c r="Q1451" s="30"/>
      <c r="R1451" s="30"/>
      <c r="S1451" s="30"/>
      <c r="T1451" s="30"/>
      <c r="U1451" s="30"/>
      <c r="V1451" s="30"/>
      <c r="W1451" s="30"/>
      <c r="X1451" s="30"/>
      <c r="Y1451" s="30"/>
      <c r="Z1451" s="30"/>
    </row>
    <row r="1452">
      <c r="A1452" s="30"/>
      <c r="B1452" s="30"/>
      <c r="C1452" s="30"/>
      <c r="D1452" s="30"/>
      <c r="E1452" s="30"/>
      <c r="F1452" s="30"/>
      <c r="G1452" s="30"/>
      <c r="H1452" s="30"/>
      <c r="I1452" s="30"/>
      <c r="J1452" s="30"/>
      <c r="K1452" s="30"/>
      <c r="L1452" s="30"/>
      <c r="M1452" s="30"/>
      <c r="N1452" s="30"/>
      <c r="O1452" s="30"/>
      <c r="P1452" s="30"/>
      <c r="Q1452" s="30"/>
      <c r="R1452" s="30"/>
      <c r="S1452" s="30"/>
      <c r="T1452" s="30"/>
      <c r="U1452" s="30"/>
      <c r="V1452" s="30"/>
      <c r="W1452" s="30"/>
      <c r="X1452" s="30"/>
      <c r="Y1452" s="30"/>
      <c r="Z1452" s="30"/>
    </row>
    <row r="1453">
      <c r="A1453" s="30"/>
      <c r="B1453" s="30"/>
      <c r="C1453" s="30"/>
      <c r="D1453" s="30"/>
      <c r="E1453" s="30"/>
      <c r="F1453" s="30"/>
      <c r="G1453" s="30"/>
      <c r="H1453" s="30"/>
      <c r="I1453" s="30"/>
      <c r="J1453" s="30"/>
      <c r="K1453" s="30"/>
      <c r="L1453" s="30"/>
      <c r="M1453" s="30"/>
      <c r="N1453" s="30"/>
      <c r="O1453" s="30"/>
      <c r="P1453" s="30"/>
      <c r="Q1453" s="30"/>
      <c r="R1453" s="30"/>
      <c r="S1453" s="30"/>
      <c r="T1453" s="30"/>
      <c r="U1453" s="30"/>
      <c r="V1453" s="30"/>
      <c r="W1453" s="30"/>
      <c r="X1453" s="30"/>
      <c r="Y1453" s="30"/>
      <c r="Z1453" s="30"/>
    </row>
    <row r="1454">
      <c r="A1454" s="30"/>
      <c r="B1454" s="30"/>
      <c r="C1454" s="30"/>
      <c r="D1454" s="30"/>
      <c r="E1454" s="30"/>
      <c r="F1454" s="30"/>
      <c r="G1454" s="30"/>
      <c r="H1454" s="30"/>
      <c r="I1454" s="30"/>
      <c r="J1454" s="30"/>
      <c r="K1454" s="30"/>
      <c r="L1454" s="30"/>
      <c r="M1454" s="30"/>
      <c r="N1454" s="30"/>
      <c r="O1454" s="30"/>
      <c r="P1454" s="30"/>
      <c r="Q1454" s="30"/>
      <c r="R1454" s="30"/>
      <c r="S1454" s="30"/>
      <c r="T1454" s="30"/>
      <c r="U1454" s="30"/>
      <c r="V1454" s="30"/>
      <c r="W1454" s="30"/>
      <c r="X1454" s="30"/>
      <c r="Y1454" s="30"/>
      <c r="Z1454" s="30"/>
    </row>
    <row r="1455">
      <c r="A1455" s="30"/>
      <c r="B1455" s="30"/>
      <c r="C1455" s="30"/>
      <c r="D1455" s="30"/>
      <c r="E1455" s="30"/>
      <c r="F1455" s="30"/>
      <c r="G1455" s="30"/>
      <c r="H1455" s="30"/>
      <c r="I1455" s="30"/>
      <c r="J1455" s="30"/>
      <c r="K1455" s="30"/>
      <c r="L1455" s="30"/>
      <c r="M1455" s="30"/>
      <c r="N1455" s="30"/>
      <c r="O1455" s="30"/>
      <c r="P1455" s="30"/>
      <c r="Q1455" s="30"/>
      <c r="R1455" s="30"/>
      <c r="S1455" s="30"/>
      <c r="T1455" s="30"/>
      <c r="U1455" s="30"/>
      <c r="V1455" s="30"/>
      <c r="W1455" s="30"/>
      <c r="X1455" s="30"/>
      <c r="Y1455" s="30"/>
      <c r="Z1455" s="30"/>
    </row>
    <row r="1456">
      <c r="A1456" s="30"/>
      <c r="B1456" s="30"/>
      <c r="C1456" s="30"/>
      <c r="D1456" s="30"/>
      <c r="E1456" s="30"/>
      <c r="F1456" s="30"/>
      <c r="G1456" s="30"/>
      <c r="H1456" s="30"/>
      <c r="I1456" s="30"/>
      <c r="J1456" s="30"/>
      <c r="K1456" s="30"/>
      <c r="L1456" s="30"/>
      <c r="M1456" s="30"/>
      <c r="N1456" s="30"/>
      <c r="O1456" s="30"/>
      <c r="P1456" s="30"/>
      <c r="Q1456" s="30"/>
      <c r="R1456" s="30"/>
      <c r="S1456" s="30"/>
      <c r="T1456" s="30"/>
      <c r="U1456" s="30"/>
      <c r="V1456" s="30"/>
      <c r="W1456" s="30"/>
      <c r="X1456" s="30"/>
      <c r="Y1456" s="30"/>
      <c r="Z1456" s="30"/>
    </row>
    <row r="1457">
      <c r="A1457" s="30"/>
      <c r="B1457" s="30"/>
      <c r="C1457" s="30"/>
      <c r="D1457" s="30"/>
      <c r="E1457" s="30"/>
      <c r="F1457" s="30"/>
      <c r="G1457" s="30"/>
      <c r="H1457" s="30"/>
      <c r="I1457" s="30"/>
      <c r="J1457" s="30"/>
      <c r="K1457" s="30"/>
      <c r="L1457" s="30"/>
      <c r="M1457" s="30"/>
      <c r="N1457" s="30"/>
      <c r="O1457" s="30"/>
      <c r="P1457" s="30"/>
      <c r="Q1457" s="30"/>
      <c r="R1457" s="30"/>
      <c r="S1457" s="30"/>
      <c r="T1457" s="30"/>
      <c r="U1457" s="30"/>
      <c r="V1457" s="30"/>
      <c r="W1457" s="30"/>
      <c r="X1457" s="30"/>
      <c r="Y1457" s="30"/>
      <c r="Z1457" s="30"/>
    </row>
    <row r="1458">
      <c r="A1458" s="30"/>
      <c r="B1458" s="30"/>
      <c r="C1458" s="30"/>
      <c r="D1458" s="30"/>
      <c r="E1458" s="30"/>
      <c r="F1458" s="30"/>
      <c r="G1458" s="30"/>
      <c r="H1458" s="30"/>
      <c r="I1458" s="30"/>
      <c r="J1458" s="30"/>
      <c r="K1458" s="30"/>
      <c r="L1458" s="30"/>
      <c r="M1458" s="30"/>
      <c r="N1458" s="30"/>
      <c r="O1458" s="30"/>
      <c r="P1458" s="30"/>
      <c r="Q1458" s="30"/>
      <c r="R1458" s="30"/>
      <c r="S1458" s="30"/>
      <c r="T1458" s="30"/>
      <c r="U1458" s="30"/>
      <c r="V1458" s="30"/>
      <c r="W1458" s="30"/>
      <c r="X1458" s="30"/>
      <c r="Y1458" s="30"/>
      <c r="Z1458" s="30"/>
    </row>
    <row r="1459">
      <c r="A1459" s="30"/>
      <c r="B1459" s="30"/>
      <c r="C1459" s="30"/>
      <c r="D1459" s="30"/>
      <c r="E1459" s="30"/>
      <c r="F1459" s="30"/>
      <c r="G1459" s="30"/>
      <c r="H1459" s="30"/>
      <c r="I1459" s="30"/>
      <c r="J1459" s="30"/>
      <c r="K1459" s="30"/>
      <c r="L1459" s="30"/>
      <c r="M1459" s="30"/>
      <c r="N1459" s="30"/>
      <c r="O1459" s="30"/>
      <c r="P1459" s="30"/>
      <c r="Q1459" s="30"/>
      <c r="R1459" s="30"/>
      <c r="S1459" s="30"/>
      <c r="T1459" s="30"/>
      <c r="U1459" s="30"/>
      <c r="V1459" s="30"/>
      <c r="W1459" s="30"/>
      <c r="X1459" s="30"/>
      <c r="Y1459" s="30"/>
      <c r="Z1459" s="30"/>
    </row>
    <row r="1460">
      <c r="A1460" s="30"/>
      <c r="B1460" s="30"/>
      <c r="C1460" s="30"/>
      <c r="D1460" s="30"/>
      <c r="E1460" s="30"/>
      <c r="F1460" s="30"/>
      <c r="G1460" s="30"/>
      <c r="H1460" s="30"/>
      <c r="I1460" s="30"/>
      <c r="J1460" s="30"/>
      <c r="K1460" s="30"/>
      <c r="L1460" s="30"/>
      <c r="M1460" s="30"/>
      <c r="N1460" s="30"/>
      <c r="O1460" s="30"/>
      <c r="P1460" s="30"/>
      <c r="Q1460" s="30"/>
      <c r="R1460" s="30"/>
      <c r="S1460" s="30"/>
      <c r="T1460" s="30"/>
      <c r="U1460" s="30"/>
      <c r="V1460" s="30"/>
      <c r="W1460" s="30"/>
      <c r="X1460" s="30"/>
      <c r="Y1460" s="30"/>
      <c r="Z1460" s="30"/>
    </row>
    <row r="1461">
      <c r="A1461" s="30"/>
      <c r="B1461" s="30"/>
      <c r="C1461" s="30"/>
      <c r="D1461" s="30"/>
      <c r="E1461" s="30"/>
      <c r="F1461" s="30"/>
      <c r="G1461" s="30"/>
      <c r="H1461" s="30"/>
      <c r="I1461" s="30"/>
      <c r="J1461" s="30"/>
      <c r="K1461" s="30"/>
      <c r="L1461" s="30"/>
      <c r="M1461" s="30"/>
      <c r="N1461" s="30"/>
      <c r="O1461" s="30"/>
      <c r="P1461" s="30"/>
      <c r="Q1461" s="30"/>
      <c r="R1461" s="30"/>
      <c r="S1461" s="30"/>
      <c r="T1461" s="30"/>
      <c r="U1461" s="30"/>
      <c r="V1461" s="30"/>
      <c r="W1461" s="30"/>
      <c r="X1461" s="30"/>
      <c r="Y1461" s="30"/>
      <c r="Z1461" s="30"/>
    </row>
    <row r="1462">
      <c r="A1462" s="30"/>
      <c r="B1462" s="30"/>
      <c r="C1462" s="30"/>
      <c r="D1462" s="30"/>
      <c r="E1462" s="30"/>
      <c r="F1462" s="30"/>
      <c r="G1462" s="30"/>
      <c r="H1462" s="30"/>
      <c r="I1462" s="30"/>
      <c r="J1462" s="30"/>
      <c r="K1462" s="30"/>
      <c r="L1462" s="30"/>
      <c r="M1462" s="30"/>
      <c r="N1462" s="30"/>
      <c r="O1462" s="30"/>
      <c r="P1462" s="30"/>
      <c r="Q1462" s="30"/>
      <c r="R1462" s="30"/>
      <c r="S1462" s="30"/>
      <c r="T1462" s="30"/>
      <c r="U1462" s="30"/>
      <c r="V1462" s="30"/>
      <c r="W1462" s="30"/>
      <c r="X1462" s="30"/>
      <c r="Y1462" s="30"/>
      <c r="Z1462" s="30"/>
    </row>
    <row r="1463">
      <c r="A1463" s="30"/>
      <c r="B1463" s="30"/>
      <c r="C1463" s="30"/>
      <c r="D1463" s="30"/>
      <c r="E1463" s="30"/>
      <c r="F1463" s="30"/>
      <c r="G1463" s="30"/>
      <c r="H1463" s="30"/>
      <c r="I1463" s="30"/>
      <c r="J1463" s="30"/>
      <c r="K1463" s="30"/>
      <c r="L1463" s="30"/>
      <c r="M1463" s="30"/>
      <c r="N1463" s="30"/>
      <c r="O1463" s="30"/>
      <c r="P1463" s="30"/>
      <c r="Q1463" s="30"/>
      <c r="R1463" s="30"/>
      <c r="S1463" s="30"/>
      <c r="T1463" s="30"/>
      <c r="U1463" s="30"/>
      <c r="V1463" s="30"/>
      <c r="W1463" s="30"/>
      <c r="X1463" s="30"/>
      <c r="Y1463" s="30"/>
      <c r="Z1463" s="30"/>
    </row>
    <row r="1464">
      <c r="A1464" s="30"/>
      <c r="B1464" s="30"/>
      <c r="C1464" s="30"/>
      <c r="D1464" s="30"/>
      <c r="E1464" s="30"/>
      <c r="F1464" s="30"/>
      <c r="G1464" s="30"/>
      <c r="H1464" s="30"/>
      <c r="I1464" s="30"/>
      <c r="J1464" s="30"/>
      <c r="K1464" s="30"/>
      <c r="L1464" s="30"/>
      <c r="M1464" s="30"/>
      <c r="N1464" s="30"/>
      <c r="O1464" s="30"/>
      <c r="P1464" s="30"/>
      <c r="Q1464" s="30"/>
      <c r="R1464" s="30"/>
      <c r="S1464" s="30"/>
      <c r="T1464" s="30"/>
      <c r="U1464" s="30"/>
      <c r="V1464" s="30"/>
      <c r="W1464" s="30"/>
      <c r="X1464" s="30"/>
      <c r="Y1464" s="30"/>
      <c r="Z1464" s="30"/>
    </row>
    <row r="1465">
      <c r="A1465" s="30"/>
      <c r="B1465" s="30"/>
      <c r="C1465" s="30"/>
      <c r="D1465" s="30"/>
      <c r="E1465" s="30"/>
      <c r="F1465" s="30"/>
      <c r="G1465" s="30"/>
      <c r="H1465" s="30"/>
      <c r="I1465" s="30"/>
      <c r="J1465" s="30"/>
      <c r="K1465" s="30"/>
      <c r="L1465" s="30"/>
      <c r="M1465" s="30"/>
      <c r="N1465" s="30"/>
      <c r="O1465" s="30"/>
      <c r="P1465" s="30"/>
      <c r="Q1465" s="30"/>
      <c r="R1465" s="30"/>
      <c r="S1465" s="30"/>
      <c r="T1465" s="30"/>
      <c r="U1465" s="30"/>
      <c r="V1465" s="30"/>
      <c r="W1465" s="30"/>
      <c r="X1465" s="30"/>
      <c r="Y1465" s="30"/>
      <c r="Z1465" s="30"/>
    </row>
    <row r="1466">
      <c r="A1466" s="30"/>
      <c r="B1466" s="30"/>
      <c r="C1466" s="30"/>
      <c r="D1466" s="30"/>
      <c r="E1466" s="30"/>
      <c r="F1466" s="30"/>
      <c r="G1466" s="30"/>
      <c r="H1466" s="30"/>
      <c r="I1466" s="30"/>
      <c r="J1466" s="30"/>
      <c r="K1466" s="30"/>
      <c r="L1466" s="30"/>
      <c r="M1466" s="30"/>
      <c r="N1466" s="30"/>
      <c r="O1466" s="30"/>
      <c r="P1466" s="30"/>
      <c r="Q1466" s="30"/>
      <c r="R1466" s="30"/>
      <c r="S1466" s="30"/>
      <c r="T1466" s="30"/>
      <c r="U1466" s="30"/>
      <c r="V1466" s="30"/>
      <c r="W1466" s="30"/>
      <c r="X1466" s="30"/>
      <c r="Y1466" s="30"/>
      <c r="Z1466" s="30"/>
    </row>
    <row r="1467">
      <c r="A1467" s="30"/>
      <c r="B1467" s="30"/>
      <c r="C1467" s="30"/>
      <c r="D1467" s="30"/>
      <c r="E1467" s="30"/>
      <c r="F1467" s="30"/>
      <c r="G1467" s="30"/>
      <c r="H1467" s="30"/>
      <c r="I1467" s="30"/>
      <c r="J1467" s="30"/>
      <c r="K1467" s="30"/>
      <c r="L1467" s="30"/>
      <c r="M1467" s="30"/>
      <c r="N1467" s="30"/>
      <c r="O1467" s="30"/>
      <c r="P1467" s="30"/>
      <c r="Q1467" s="30"/>
      <c r="R1467" s="30"/>
      <c r="S1467" s="30"/>
      <c r="T1467" s="30"/>
      <c r="U1467" s="30"/>
      <c r="V1467" s="30"/>
      <c r="W1467" s="30"/>
      <c r="X1467" s="30"/>
      <c r="Y1467" s="30"/>
      <c r="Z1467" s="30"/>
    </row>
    <row r="1468">
      <c r="A1468" s="30"/>
      <c r="B1468" s="30"/>
      <c r="C1468" s="30"/>
      <c r="D1468" s="30"/>
      <c r="E1468" s="30"/>
      <c r="F1468" s="30"/>
      <c r="G1468" s="30"/>
      <c r="H1468" s="30"/>
      <c r="I1468" s="30"/>
      <c r="J1468" s="30"/>
      <c r="K1468" s="30"/>
      <c r="L1468" s="30"/>
      <c r="M1468" s="30"/>
      <c r="N1468" s="30"/>
      <c r="O1468" s="30"/>
      <c r="P1468" s="30"/>
      <c r="Q1468" s="30"/>
      <c r="R1468" s="30"/>
      <c r="S1468" s="30"/>
      <c r="T1468" s="30"/>
      <c r="U1468" s="30"/>
      <c r="V1468" s="30"/>
      <c r="W1468" s="30"/>
      <c r="X1468" s="30"/>
      <c r="Y1468" s="30"/>
      <c r="Z1468" s="30"/>
    </row>
    <row r="1469">
      <c r="A1469" s="30"/>
      <c r="B1469" s="30"/>
      <c r="C1469" s="30"/>
      <c r="D1469" s="30"/>
      <c r="E1469" s="30"/>
      <c r="F1469" s="30"/>
      <c r="G1469" s="30"/>
      <c r="H1469" s="30"/>
      <c r="I1469" s="30"/>
      <c r="J1469" s="30"/>
      <c r="K1469" s="30"/>
      <c r="L1469" s="30"/>
      <c r="M1469" s="30"/>
      <c r="N1469" s="30"/>
      <c r="O1469" s="30"/>
      <c r="P1469" s="30"/>
      <c r="Q1469" s="30"/>
      <c r="R1469" s="30"/>
      <c r="S1469" s="30"/>
      <c r="T1469" s="30"/>
      <c r="U1469" s="30"/>
      <c r="V1469" s="30"/>
      <c r="W1469" s="30"/>
      <c r="X1469" s="30"/>
      <c r="Y1469" s="30"/>
      <c r="Z1469" s="30"/>
    </row>
    <row r="1470">
      <c r="A1470" s="30"/>
      <c r="B1470" s="30"/>
      <c r="C1470" s="30"/>
      <c r="D1470" s="30"/>
      <c r="E1470" s="30"/>
      <c r="F1470" s="30"/>
      <c r="G1470" s="30"/>
      <c r="H1470" s="30"/>
      <c r="I1470" s="30"/>
      <c r="J1470" s="30"/>
      <c r="K1470" s="30"/>
      <c r="L1470" s="30"/>
      <c r="M1470" s="30"/>
      <c r="N1470" s="30"/>
      <c r="O1470" s="30"/>
      <c r="P1470" s="30"/>
      <c r="Q1470" s="30"/>
      <c r="R1470" s="30"/>
      <c r="S1470" s="30"/>
      <c r="T1470" s="30"/>
      <c r="U1470" s="30"/>
      <c r="V1470" s="30"/>
      <c r="W1470" s="30"/>
      <c r="X1470" s="30"/>
      <c r="Y1470" s="30"/>
      <c r="Z1470" s="30"/>
    </row>
    <row r="1471">
      <c r="A1471" s="30"/>
      <c r="B1471" s="30"/>
      <c r="C1471" s="30"/>
      <c r="D1471" s="30"/>
      <c r="E1471" s="30"/>
      <c r="F1471" s="30"/>
      <c r="G1471" s="30"/>
      <c r="H1471" s="30"/>
      <c r="I1471" s="30"/>
      <c r="J1471" s="30"/>
      <c r="K1471" s="30"/>
      <c r="L1471" s="30"/>
      <c r="M1471" s="30"/>
      <c r="N1471" s="30"/>
      <c r="O1471" s="30"/>
      <c r="P1471" s="30"/>
      <c r="Q1471" s="30"/>
      <c r="R1471" s="30"/>
      <c r="S1471" s="30"/>
      <c r="T1471" s="30"/>
      <c r="U1471" s="30"/>
      <c r="V1471" s="30"/>
      <c r="W1471" s="30"/>
      <c r="X1471" s="30"/>
      <c r="Y1471" s="30"/>
      <c r="Z1471" s="30"/>
    </row>
    <row r="1472">
      <c r="A1472" s="30"/>
      <c r="B1472" s="30"/>
      <c r="C1472" s="30"/>
      <c r="D1472" s="30"/>
      <c r="E1472" s="30"/>
      <c r="F1472" s="30"/>
      <c r="G1472" s="30"/>
      <c r="H1472" s="30"/>
      <c r="I1472" s="30"/>
      <c r="J1472" s="30"/>
      <c r="K1472" s="30"/>
      <c r="L1472" s="30"/>
      <c r="M1472" s="30"/>
      <c r="N1472" s="30"/>
      <c r="O1472" s="30"/>
      <c r="P1472" s="30"/>
      <c r="Q1472" s="30"/>
      <c r="R1472" s="30"/>
      <c r="S1472" s="30"/>
      <c r="T1472" s="30"/>
      <c r="U1472" s="30"/>
      <c r="V1472" s="30"/>
      <c r="W1472" s="30"/>
      <c r="X1472" s="30"/>
      <c r="Y1472" s="30"/>
      <c r="Z1472" s="30"/>
    </row>
    <row r="1473">
      <c r="A1473" s="30"/>
      <c r="B1473" s="30"/>
      <c r="C1473" s="30"/>
      <c r="D1473" s="30"/>
      <c r="E1473" s="30"/>
      <c r="F1473" s="30"/>
      <c r="G1473" s="30"/>
      <c r="H1473" s="30"/>
      <c r="I1473" s="30"/>
      <c r="J1473" s="30"/>
      <c r="K1473" s="30"/>
      <c r="L1473" s="30"/>
      <c r="M1473" s="30"/>
      <c r="N1473" s="30"/>
      <c r="O1473" s="30"/>
      <c r="P1473" s="30"/>
      <c r="Q1473" s="30"/>
      <c r="R1473" s="30"/>
      <c r="S1473" s="30"/>
      <c r="T1473" s="30"/>
      <c r="U1473" s="30"/>
      <c r="V1473" s="30"/>
      <c r="W1473" s="30"/>
      <c r="X1473" s="30"/>
      <c r="Y1473" s="30"/>
      <c r="Z1473" s="30"/>
    </row>
    <row r="1474">
      <c r="A1474" s="30"/>
      <c r="B1474" s="30"/>
      <c r="C1474" s="30"/>
      <c r="D1474" s="30"/>
      <c r="E1474" s="30"/>
      <c r="F1474" s="30"/>
      <c r="G1474" s="30"/>
      <c r="H1474" s="30"/>
      <c r="I1474" s="30"/>
      <c r="J1474" s="30"/>
      <c r="K1474" s="30"/>
      <c r="L1474" s="30"/>
      <c r="M1474" s="30"/>
      <c r="N1474" s="30"/>
      <c r="O1474" s="30"/>
      <c r="P1474" s="30"/>
      <c r="Q1474" s="30"/>
      <c r="R1474" s="30"/>
      <c r="S1474" s="30"/>
      <c r="T1474" s="30"/>
      <c r="U1474" s="30"/>
      <c r="V1474" s="30"/>
      <c r="W1474" s="30"/>
      <c r="X1474" s="30"/>
      <c r="Y1474" s="30"/>
      <c r="Z1474" s="30"/>
    </row>
    <row r="1475">
      <c r="A1475" s="30"/>
      <c r="B1475" s="30"/>
      <c r="C1475" s="30"/>
      <c r="D1475" s="30"/>
      <c r="E1475" s="30"/>
      <c r="F1475" s="30"/>
      <c r="G1475" s="30"/>
      <c r="H1475" s="30"/>
      <c r="I1475" s="30"/>
      <c r="J1475" s="30"/>
      <c r="K1475" s="30"/>
      <c r="L1475" s="30"/>
      <c r="M1475" s="30"/>
      <c r="N1475" s="30"/>
      <c r="O1475" s="30"/>
      <c r="P1475" s="30"/>
      <c r="Q1475" s="30"/>
      <c r="R1475" s="30"/>
      <c r="S1475" s="30"/>
      <c r="T1475" s="30"/>
      <c r="U1475" s="30"/>
      <c r="V1475" s="30"/>
      <c r="W1475" s="30"/>
      <c r="X1475" s="30"/>
      <c r="Y1475" s="30"/>
      <c r="Z1475" s="30"/>
    </row>
    <row r="1476">
      <c r="A1476" s="30"/>
      <c r="B1476" s="30"/>
      <c r="C1476" s="30"/>
      <c r="D1476" s="30"/>
      <c r="E1476" s="30"/>
      <c r="F1476" s="30"/>
      <c r="G1476" s="30"/>
      <c r="H1476" s="30"/>
      <c r="I1476" s="30"/>
      <c r="J1476" s="30"/>
      <c r="K1476" s="30"/>
      <c r="L1476" s="30"/>
      <c r="M1476" s="30"/>
      <c r="N1476" s="30"/>
      <c r="O1476" s="30"/>
      <c r="P1476" s="30"/>
      <c r="Q1476" s="30"/>
      <c r="R1476" s="30"/>
      <c r="S1476" s="30"/>
      <c r="T1476" s="30"/>
      <c r="U1476" s="30"/>
      <c r="V1476" s="30"/>
      <c r="W1476" s="30"/>
      <c r="X1476" s="30"/>
      <c r="Y1476" s="30"/>
      <c r="Z1476" s="30"/>
    </row>
    <row r="1477">
      <c r="A1477" s="30"/>
      <c r="B1477" s="30"/>
      <c r="C1477" s="30"/>
      <c r="D1477" s="30"/>
      <c r="E1477" s="30"/>
      <c r="F1477" s="30"/>
      <c r="G1477" s="30"/>
      <c r="H1477" s="30"/>
      <c r="I1477" s="30"/>
      <c r="J1477" s="30"/>
      <c r="K1477" s="30"/>
      <c r="L1477" s="30"/>
      <c r="M1477" s="30"/>
      <c r="N1477" s="30"/>
      <c r="O1477" s="30"/>
      <c r="P1477" s="30"/>
      <c r="Q1477" s="30"/>
      <c r="R1477" s="30"/>
      <c r="S1477" s="30"/>
      <c r="T1477" s="30"/>
      <c r="U1477" s="30"/>
      <c r="V1477" s="30"/>
      <c r="W1477" s="30"/>
      <c r="X1477" s="30"/>
      <c r="Y1477" s="30"/>
      <c r="Z1477" s="30"/>
    </row>
    <row r="1478">
      <c r="A1478" s="30"/>
      <c r="B1478" s="30"/>
      <c r="C1478" s="30"/>
      <c r="D1478" s="30"/>
      <c r="E1478" s="30"/>
      <c r="F1478" s="30"/>
      <c r="G1478" s="30"/>
      <c r="H1478" s="30"/>
      <c r="I1478" s="30"/>
      <c r="J1478" s="30"/>
      <c r="K1478" s="30"/>
      <c r="L1478" s="30"/>
      <c r="M1478" s="30"/>
      <c r="N1478" s="30"/>
      <c r="O1478" s="30"/>
      <c r="P1478" s="30"/>
      <c r="Q1478" s="30"/>
      <c r="R1478" s="30"/>
      <c r="S1478" s="30"/>
      <c r="T1478" s="30"/>
      <c r="U1478" s="30"/>
      <c r="V1478" s="30"/>
      <c r="W1478" s="30"/>
      <c r="X1478" s="30"/>
      <c r="Y1478" s="30"/>
      <c r="Z1478" s="30"/>
    </row>
    <row r="1479">
      <c r="A1479" s="30"/>
      <c r="B1479" s="30"/>
      <c r="C1479" s="30"/>
      <c r="D1479" s="30"/>
      <c r="E1479" s="30"/>
      <c r="F1479" s="30"/>
      <c r="G1479" s="30"/>
      <c r="H1479" s="30"/>
      <c r="I1479" s="30"/>
      <c r="J1479" s="30"/>
      <c r="K1479" s="30"/>
      <c r="L1479" s="30"/>
      <c r="M1479" s="30"/>
      <c r="N1479" s="30"/>
      <c r="O1479" s="30"/>
      <c r="P1479" s="30"/>
      <c r="Q1479" s="30"/>
      <c r="R1479" s="30"/>
      <c r="S1479" s="30"/>
      <c r="T1479" s="30"/>
      <c r="U1479" s="30"/>
      <c r="V1479" s="30"/>
      <c r="W1479" s="30"/>
      <c r="X1479" s="30"/>
      <c r="Y1479" s="30"/>
      <c r="Z1479" s="30"/>
    </row>
    <row r="1480">
      <c r="A1480" s="30"/>
      <c r="B1480" s="30"/>
      <c r="C1480" s="30"/>
      <c r="D1480" s="30"/>
      <c r="E1480" s="30"/>
      <c r="F1480" s="30"/>
      <c r="G1480" s="30"/>
      <c r="H1480" s="30"/>
      <c r="I1480" s="30"/>
      <c r="J1480" s="30"/>
      <c r="K1480" s="30"/>
      <c r="L1480" s="30"/>
      <c r="M1480" s="30"/>
      <c r="N1480" s="30"/>
      <c r="O1480" s="30"/>
      <c r="P1480" s="30"/>
      <c r="Q1480" s="30"/>
      <c r="R1480" s="30"/>
      <c r="S1480" s="30"/>
      <c r="T1480" s="30"/>
      <c r="U1480" s="30"/>
      <c r="V1480" s="30"/>
      <c r="W1480" s="30"/>
      <c r="X1480" s="30"/>
      <c r="Y1480" s="30"/>
      <c r="Z1480" s="30"/>
    </row>
    <row r="1481">
      <c r="A1481" s="30"/>
      <c r="B1481" s="30"/>
      <c r="C1481" s="30"/>
      <c r="D1481" s="30"/>
      <c r="E1481" s="30"/>
      <c r="F1481" s="30"/>
      <c r="G1481" s="30"/>
      <c r="H1481" s="30"/>
      <c r="I1481" s="30"/>
      <c r="J1481" s="30"/>
      <c r="K1481" s="30"/>
      <c r="L1481" s="30"/>
      <c r="M1481" s="30"/>
      <c r="N1481" s="30"/>
      <c r="O1481" s="30"/>
      <c r="P1481" s="30"/>
      <c r="Q1481" s="30"/>
      <c r="R1481" s="30"/>
      <c r="S1481" s="30"/>
      <c r="T1481" s="30"/>
      <c r="U1481" s="30"/>
      <c r="V1481" s="30"/>
      <c r="W1481" s="30"/>
      <c r="X1481" s="30"/>
      <c r="Y1481" s="30"/>
      <c r="Z1481" s="30"/>
    </row>
    <row r="1482">
      <c r="A1482" s="30"/>
      <c r="B1482" s="30"/>
      <c r="C1482" s="30"/>
      <c r="D1482" s="30"/>
      <c r="E1482" s="30"/>
      <c r="F1482" s="30"/>
      <c r="G1482" s="30"/>
      <c r="H1482" s="30"/>
      <c r="I1482" s="30"/>
      <c r="J1482" s="30"/>
      <c r="K1482" s="30"/>
      <c r="L1482" s="30"/>
      <c r="M1482" s="30"/>
      <c r="N1482" s="30"/>
      <c r="O1482" s="30"/>
      <c r="P1482" s="30"/>
      <c r="Q1482" s="30"/>
      <c r="R1482" s="30"/>
      <c r="S1482" s="30"/>
      <c r="T1482" s="30"/>
      <c r="U1482" s="30"/>
      <c r="V1482" s="30"/>
      <c r="W1482" s="30"/>
      <c r="X1482" s="30"/>
      <c r="Y1482" s="30"/>
      <c r="Z1482" s="30"/>
    </row>
    <row r="1483">
      <c r="A1483" s="30"/>
      <c r="B1483" s="30"/>
      <c r="C1483" s="30"/>
      <c r="D1483" s="30"/>
      <c r="E1483" s="30"/>
      <c r="F1483" s="30"/>
      <c r="G1483" s="30"/>
      <c r="H1483" s="30"/>
      <c r="I1483" s="30"/>
      <c r="J1483" s="30"/>
      <c r="K1483" s="30"/>
      <c r="L1483" s="30"/>
      <c r="M1483" s="30"/>
      <c r="N1483" s="30"/>
      <c r="O1483" s="30"/>
      <c r="P1483" s="30"/>
      <c r="Q1483" s="30"/>
      <c r="R1483" s="30"/>
      <c r="S1483" s="30"/>
      <c r="T1483" s="30"/>
      <c r="U1483" s="30"/>
      <c r="V1483" s="30"/>
      <c r="W1483" s="30"/>
      <c r="X1483" s="30"/>
      <c r="Y1483" s="30"/>
      <c r="Z1483" s="30"/>
    </row>
    <row r="1484">
      <c r="A1484" s="30"/>
      <c r="B1484" s="30"/>
      <c r="C1484" s="30"/>
      <c r="D1484" s="30"/>
      <c r="E1484" s="30"/>
      <c r="F1484" s="30"/>
      <c r="G1484" s="30"/>
      <c r="H1484" s="30"/>
      <c r="I1484" s="30"/>
      <c r="J1484" s="30"/>
      <c r="K1484" s="30"/>
      <c r="L1484" s="30"/>
      <c r="M1484" s="30"/>
      <c r="N1484" s="30"/>
      <c r="O1484" s="30"/>
      <c r="P1484" s="30"/>
      <c r="Q1484" s="30"/>
      <c r="R1484" s="30"/>
      <c r="S1484" s="30"/>
      <c r="T1484" s="30"/>
      <c r="U1484" s="30"/>
      <c r="V1484" s="30"/>
      <c r="W1484" s="30"/>
      <c r="X1484" s="30"/>
      <c r="Y1484" s="30"/>
      <c r="Z1484" s="30"/>
    </row>
    <row r="1485">
      <c r="A1485" s="30"/>
      <c r="B1485" s="30"/>
      <c r="C1485" s="30"/>
      <c r="D1485" s="30"/>
      <c r="E1485" s="30"/>
      <c r="F1485" s="30"/>
      <c r="G1485" s="30"/>
      <c r="H1485" s="30"/>
      <c r="I1485" s="30"/>
      <c r="J1485" s="30"/>
      <c r="K1485" s="30"/>
      <c r="L1485" s="30"/>
      <c r="M1485" s="30"/>
      <c r="N1485" s="30"/>
      <c r="O1485" s="30"/>
      <c r="P1485" s="30"/>
      <c r="Q1485" s="30"/>
      <c r="R1485" s="30"/>
      <c r="S1485" s="30"/>
      <c r="T1485" s="30"/>
      <c r="U1485" s="30"/>
      <c r="V1485" s="30"/>
      <c r="W1485" s="30"/>
      <c r="X1485" s="30"/>
      <c r="Y1485" s="30"/>
      <c r="Z1485" s="30"/>
    </row>
    <row r="1486">
      <c r="A1486" s="30"/>
      <c r="B1486" s="30"/>
      <c r="C1486" s="30"/>
      <c r="D1486" s="30"/>
      <c r="E1486" s="30"/>
      <c r="F1486" s="30"/>
      <c r="G1486" s="30"/>
      <c r="H1486" s="30"/>
      <c r="I1486" s="30"/>
      <c r="J1486" s="30"/>
      <c r="K1486" s="30"/>
      <c r="L1486" s="30"/>
      <c r="M1486" s="30"/>
      <c r="N1486" s="30"/>
      <c r="O1486" s="30"/>
      <c r="P1486" s="30"/>
      <c r="Q1486" s="30"/>
      <c r="R1486" s="30"/>
      <c r="S1486" s="30"/>
      <c r="T1486" s="30"/>
      <c r="U1486" s="30"/>
      <c r="V1486" s="30"/>
      <c r="W1486" s="30"/>
      <c r="X1486" s="30"/>
      <c r="Y1486" s="30"/>
      <c r="Z1486" s="30"/>
    </row>
    <row r="1487">
      <c r="A1487" s="30"/>
      <c r="B1487" s="30"/>
      <c r="C1487" s="30"/>
      <c r="D1487" s="30"/>
      <c r="E1487" s="30"/>
      <c r="F1487" s="30"/>
      <c r="G1487" s="30"/>
      <c r="H1487" s="30"/>
      <c r="I1487" s="30"/>
      <c r="J1487" s="30"/>
      <c r="K1487" s="30"/>
      <c r="L1487" s="30"/>
      <c r="M1487" s="30"/>
      <c r="N1487" s="30"/>
      <c r="O1487" s="30"/>
      <c r="P1487" s="30"/>
      <c r="Q1487" s="30"/>
      <c r="R1487" s="30"/>
      <c r="S1487" s="30"/>
      <c r="T1487" s="30"/>
      <c r="U1487" s="30"/>
      <c r="V1487" s="30"/>
      <c r="W1487" s="30"/>
      <c r="X1487" s="30"/>
      <c r="Y1487" s="30"/>
      <c r="Z1487" s="30"/>
    </row>
    <row r="1488">
      <c r="A1488" s="30"/>
      <c r="B1488" s="30"/>
      <c r="C1488" s="30"/>
      <c r="D1488" s="30"/>
      <c r="E1488" s="30"/>
      <c r="F1488" s="30"/>
      <c r="G1488" s="30"/>
      <c r="H1488" s="30"/>
      <c r="I1488" s="30"/>
      <c r="J1488" s="30"/>
      <c r="K1488" s="30"/>
      <c r="L1488" s="30"/>
      <c r="M1488" s="30"/>
      <c r="N1488" s="30"/>
      <c r="O1488" s="30"/>
      <c r="P1488" s="30"/>
      <c r="Q1488" s="30"/>
      <c r="R1488" s="30"/>
      <c r="S1488" s="30"/>
      <c r="T1488" s="30"/>
      <c r="U1488" s="30"/>
      <c r="V1488" s="30"/>
      <c r="W1488" s="30"/>
      <c r="X1488" s="30"/>
      <c r="Y1488" s="30"/>
      <c r="Z1488" s="30"/>
    </row>
    <row r="1489">
      <c r="A1489" s="30"/>
      <c r="B1489" s="30"/>
      <c r="C1489" s="30"/>
      <c r="D1489" s="30"/>
      <c r="E1489" s="30"/>
      <c r="F1489" s="30"/>
      <c r="G1489" s="30"/>
      <c r="H1489" s="30"/>
      <c r="I1489" s="30"/>
      <c r="J1489" s="30"/>
      <c r="K1489" s="30"/>
      <c r="L1489" s="30"/>
      <c r="M1489" s="30"/>
      <c r="N1489" s="30"/>
      <c r="O1489" s="30"/>
      <c r="P1489" s="30"/>
      <c r="Q1489" s="30"/>
      <c r="R1489" s="30"/>
      <c r="S1489" s="30"/>
      <c r="T1489" s="30"/>
      <c r="U1489" s="30"/>
      <c r="V1489" s="30"/>
      <c r="W1489" s="30"/>
      <c r="X1489" s="30"/>
      <c r="Y1489" s="30"/>
      <c r="Z1489" s="30"/>
    </row>
    <row r="1490">
      <c r="A1490" s="30"/>
      <c r="B1490" s="30"/>
      <c r="C1490" s="30"/>
      <c r="D1490" s="30"/>
      <c r="E1490" s="30"/>
      <c r="F1490" s="30"/>
      <c r="G1490" s="30"/>
      <c r="H1490" s="30"/>
      <c r="I1490" s="30"/>
      <c r="J1490" s="30"/>
      <c r="K1490" s="30"/>
      <c r="L1490" s="30"/>
      <c r="M1490" s="30"/>
      <c r="N1490" s="30"/>
      <c r="O1490" s="30"/>
      <c r="P1490" s="30"/>
      <c r="Q1490" s="30"/>
      <c r="R1490" s="30"/>
      <c r="S1490" s="30"/>
      <c r="T1490" s="30"/>
      <c r="U1490" s="30"/>
      <c r="V1490" s="30"/>
      <c r="W1490" s="30"/>
      <c r="X1490" s="30"/>
      <c r="Y1490" s="30"/>
      <c r="Z1490" s="30"/>
    </row>
    <row r="1491">
      <c r="A1491" s="30"/>
      <c r="B1491" s="30"/>
      <c r="C1491" s="30"/>
      <c r="D1491" s="30"/>
      <c r="E1491" s="30"/>
      <c r="F1491" s="30"/>
      <c r="G1491" s="30"/>
      <c r="H1491" s="30"/>
      <c r="I1491" s="30"/>
      <c r="J1491" s="30"/>
      <c r="K1491" s="30"/>
      <c r="L1491" s="30"/>
      <c r="M1491" s="30"/>
      <c r="N1491" s="30"/>
      <c r="O1491" s="30"/>
      <c r="P1491" s="30"/>
      <c r="Q1491" s="30"/>
      <c r="R1491" s="30"/>
      <c r="S1491" s="30"/>
      <c r="T1491" s="30"/>
      <c r="U1491" s="30"/>
      <c r="V1491" s="30"/>
      <c r="W1491" s="30"/>
      <c r="X1491" s="30"/>
      <c r="Y1491" s="30"/>
      <c r="Z1491" s="30"/>
    </row>
    <row r="1492">
      <c r="A1492" s="30"/>
      <c r="B1492" s="30"/>
      <c r="C1492" s="30"/>
      <c r="D1492" s="30"/>
      <c r="E1492" s="30"/>
      <c r="F1492" s="30"/>
      <c r="G1492" s="30"/>
      <c r="H1492" s="30"/>
      <c r="I1492" s="30"/>
      <c r="J1492" s="30"/>
      <c r="K1492" s="30"/>
      <c r="L1492" s="30"/>
      <c r="M1492" s="30"/>
      <c r="N1492" s="30"/>
      <c r="O1492" s="30"/>
      <c r="P1492" s="30"/>
      <c r="Q1492" s="30"/>
      <c r="R1492" s="30"/>
      <c r="S1492" s="30"/>
      <c r="T1492" s="30"/>
      <c r="U1492" s="30"/>
      <c r="V1492" s="30"/>
      <c r="W1492" s="30"/>
      <c r="X1492" s="30"/>
      <c r="Y1492" s="30"/>
      <c r="Z1492" s="30"/>
    </row>
    <row r="1493">
      <c r="A1493" s="30"/>
      <c r="B1493" s="30"/>
      <c r="C1493" s="30"/>
      <c r="D1493" s="30"/>
      <c r="E1493" s="30"/>
      <c r="F1493" s="30"/>
      <c r="G1493" s="30"/>
      <c r="H1493" s="30"/>
      <c r="I1493" s="30"/>
      <c r="J1493" s="30"/>
      <c r="K1493" s="30"/>
      <c r="L1493" s="30"/>
      <c r="M1493" s="30"/>
      <c r="N1493" s="30"/>
      <c r="O1493" s="30"/>
      <c r="P1493" s="30"/>
      <c r="Q1493" s="30"/>
      <c r="R1493" s="30"/>
      <c r="S1493" s="30"/>
      <c r="T1493" s="30"/>
      <c r="U1493" s="30"/>
      <c r="V1493" s="30"/>
      <c r="W1493" s="30"/>
      <c r="X1493" s="30"/>
      <c r="Y1493" s="30"/>
      <c r="Z1493" s="30"/>
    </row>
    <row r="1494">
      <c r="A1494" s="30"/>
      <c r="B1494" s="30"/>
      <c r="C1494" s="30"/>
      <c r="D1494" s="30"/>
      <c r="E1494" s="30"/>
      <c r="F1494" s="30"/>
      <c r="G1494" s="30"/>
      <c r="H1494" s="30"/>
      <c r="I1494" s="30"/>
      <c r="J1494" s="30"/>
      <c r="K1494" s="30"/>
      <c r="L1494" s="30"/>
      <c r="M1494" s="30"/>
      <c r="N1494" s="30"/>
      <c r="O1494" s="30"/>
      <c r="P1494" s="30"/>
      <c r="Q1494" s="30"/>
      <c r="R1494" s="30"/>
      <c r="S1494" s="30"/>
      <c r="T1494" s="30"/>
      <c r="U1494" s="30"/>
      <c r="V1494" s="30"/>
      <c r="W1494" s="30"/>
      <c r="X1494" s="30"/>
      <c r="Y1494" s="30"/>
      <c r="Z1494" s="30"/>
    </row>
    <row r="1495">
      <c r="A1495" s="30"/>
      <c r="B1495" s="30"/>
      <c r="C1495" s="30"/>
      <c r="D1495" s="30"/>
      <c r="E1495" s="30"/>
      <c r="F1495" s="30"/>
      <c r="G1495" s="30"/>
      <c r="H1495" s="30"/>
      <c r="I1495" s="30"/>
      <c r="J1495" s="30"/>
      <c r="K1495" s="30"/>
      <c r="L1495" s="30"/>
      <c r="M1495" s="30"/>
      <c r="N1495" s="30"/>
      <c r="O1495" s="30"/>
      <c r="P1495" s="30"/>
      <c r="Q1495" s="30"/>
      <c r="R1495" s="30"/>
      <c r="S1495" s="30"/>
      <c r="T1495" s="30"/>
      <c r="U1495" s="30"/>
      <c r="V1495" s="30"/>
      <c r="W1495" s="30"/>
      <c r="X1495" s="30"/>
      <c r="Y1495" s="30"/>
      <c r="Z1495" s="30"/>
    </row>
    <row r="1496">
      <c r="A1496" s="30"/>
      <c r="B1496" s="30"/>
      <c r="C1496" s="30"/>
      <c r="D1496" s="30"/>
      <c r="E1496" s="30"/>
      <c r="F1496" s="30"/>
      <c r="G1496" s="30"/>
      <c r="H1496" s="30"/>
      <c r="I1496" s="30"/>
      <c r="J1496" s="30"/>
      <c r="K1496" s="30"/>
      <c r="L1496" s="30"/>
      <c r="M1496" s="30"/>
      <c r="N1496" s="30"/>
      <c r="O1496" s="30"/>
      <c r="P1496" s="30"/>
      <c r="Q1496" s="30"/>
      <c r="R1496" s="30"/>
      <c r="S1496" s="30"/>
      <c r="T1496" s="30"/>
      <c r="U1496" s="30"/>
      <c r="V1496" s="30"/>
      <c r="W1496" s="30"/>
      <c r="X1496" s="30"/>
      <c r="Y1496" s="30"/>
      <c r="Z1496" s="30"/>
    </row>
    <row r="1497">
      <c r="A1497" s="30"/>
      <c r="B1497" s="30"/>
      <c r="C1497" s="30"/>
      <c r="D1497" s="30"/>
      <c r="E1497" s="30"/>
      <c r="F1497" s="30"/>
      <c r="G1497" s="30"/>
      <c r="H1497" s="30"/>
      <c r="I1497" s="30"/>
      <c r="J1497" s="30"/>
      <c r="K1497" s="30"/>
      <c r="L1497" s="30"/>
      <c r="M1497" s="30"/>
      <c r="N1497" s="30"/>
      <c r="O1497" s="30"/>
      <c r="P1497" s="30"/>
      <c r="Q1497" s="30"/>
      <c r="R1497" s="30"/>
      <c r="S1497" s="30"/>
      <c r="T1497" s="30"/>
      <c r="U1497" s="30"/>
      <c r="V1497" s="30"/>
      <c r="W1497" s="30"/>
      <c r="X1497" s="30"/>
      <c r="Y1497" s="30"/>
      <c r="Z1497" s="30"/>
    </row>
    <row r="1498">
      <c r="A1498" s="30"/>
      <c r="B1498" s="30"/>
      <c r="C1498" s="30"/>
      <c r="D1498" s="30"/>
      <c r="E1498" s="30"/>
      <c r="F1498" s="30"/>
      <c r="G1498" s="30"/>
      <c r="H1498" s="30"/>
      <c r="I1498" s="30"/>
      <c r="J1498" s="30"/>
      <c r="K1498" s="30"/>
      <c r="L1498" s="30"/>
      <c r="M1498" s="30"/>
      <c r="N1498" s="30"/>
      <c r="O1498" s="30"/>
      <c r="P1498" s="30"/>
      <c r="Q1498" s="30"/>
      <c r="R1498" s="30"/>
      <c r="S1498" s="30"/>
      <c r="T1498" s="30"/>
      <c r="U1498" s="30"/>
      <c r="V1498" s="30"/>
      <c r="W1498" s="30"/>
      <c r="X1498" s="30"/>
      <c r="Y1498" s="30"/>
      <c r="Z1498" s="30"/>
    </row>
    <row r="1499">
      <c r="A1499" s="30"/>
      <c r="B1499" s="30"/>
      <c r="C1499" s="30"/>
      <c r="D1499" s="30"/>
      <c r="E1499" s="30"/>
      <c r="F1499" s="30"/>
      <c r="G1499" s="30"/>
      <c r="H1499" s="30"/>
      <c r="I1499" s="30"/>
      <c r="J1499" s="30"/>
      <c r="K1499" s="30"/>
      <c r="L1499" s="30"/>
      <c r="M1499" s="30"/>
      <c r="N1499" s="30"/>
      <c r="O1499" s="30"/>
      <c r="P1499" s="30"/>
      <c r="Q1499" s="30"/>
      <c r="R1499" s="30"/>
      <c r="S1499" s="30"/>
      <c r="T1499" s="30"/>
      <c r="U1499" s="30"/>
      <c r="V1499" s="30"/>
      <c r="W1499" s="30"/>
      <c r="X1499" s="30"/>
      <c r="Y1499" s="30"/>
      <c r="Z1499" s="30"/>
    </row>
    <row r="1500">
      <c r="A1500" s="30"/>
      <c r="B1500" s="30"/>
      <c r="C1500" s="30"/>
      <c r="D1500" s="30"/>
      <c r="E1500" s="30"/>
      <c r="F1500" s="30"/>
      <c r="G1500" s="30"/>
      <c r="H1500" s="30"/>
      <c r="I1500" s="30"/>
      <c r="J1500" s="30"/>
      <c r="K1500" s="30"/>
      <c r="L1500" s="30"/>
      <c r="M1500" s="30"/>
      <c r="N1500" s="30"/>
      <c r="O1500" s="30"/>
      <c r="P1500" s="30"/>
      <c r="Q1500" s="30"/>
      <c r="R1500" s="30"/>
      <c r="S1500" s="30"/>
      <c r="T1500" s="30"/>
      <c r="U1500" s="30"/>
      <c r="V1500" s="30"/>
      <c r="W1500" s="30"/>
      <c r="X1500" s="30"/>
      <c r="Y1500" s="30"/>
      <c r="Z1500" s="30"/>
    </row>
    <row r="1501">
      <c r="A1501" s="30"/>
      <c r="B1501" s="30"/>
      <c r="C1501" s="30"/>
      <c r="D1501" s="30"/>
      <c r="E1501" s="30"/>
      <c r="F1501" s="30"/>
      <c r="G1501" s="30"/>
      <c r="H1501" s="30"/>
      <c r="I1501" s="30"/>
      <c r="J1501" s="30"/>
      <c r="K1501" s="30"/>
      <c r="L1501" s="30"/>
      <c r="M1501" s="30"/>
      <c r="N1501" s="30"/>
      <c r="O1501" s="30"/>
      <c r="P1501" s="30"/>
      <c r="Q1501" s="30"/>
      <c r="R1501" s="30"/>
      <c r="S1501" s="30"/>
      <c r="T1501" s="30"/>
      <c r="U1501" s="30"/>
      <c r="V1501" s="30"/>
      <c r="W1501" s="30"/>
      <c r="X1501" s="30"/>
      <c r="Y1501" s="30"/>
      <c r="Z1501" s="30"/>
    </row>
    <row r="1502">
      <c r="A1502" s="30"/>
      <c r="B1502" s="30"/>
      <c r="C1502" s="30"/>
      <c r="D1502" s="30"/>
      <c r="E1502" s="30"/>
      <c r="F1502" s="30"/>
      <c r="G1502" s="30"/>
      <c r="H1502" s="30"/>
      <c r="I1502" s="30"/>
      <c r="J1502" s="30"/>
      <c r="K1502" s="30"/>
      <c r="L1502" s="30"/>
      <c r="M1502" s="30"/>
      <c r="N1502" s="30"/>
      <c r="O1502" s="30"/>
      <c r="P1502" s="30"/>
      <c r="Q1502" s="30"/>
      <c r="R1502" s="30"/>
      <c r="S1502" s="30"/>
      <c r="T1502" s="30"/>
      <c r="U1502" s="30"/>
      <c r="V1502" s="30"/>
      <c r="W1502" s="30"/>
      <c r="X1502" s="30"/>
      <c r="Y1502" s="30"/>
      <c r="Z1502" s="30"/>
    </row>
    <row r="1503">
      <c r="A1503" s="30"/>
      <c r="B1503" s="30"/>
      <c r="C1503" s="30"/>
      <c r="D1503" s="30"/>
      <c r="E1503" s="30"/>
      <c r="F1503" s="30"/>
      <c r="G1503" s="30"/>
      <c r="H1503" s="30"/>
      <c r="I1503" s="30"/>
      <c r="J1503" s="30"/>
      <c r="K1503" s="30"/>
      <c r="L1503" s="30"/>
      <c r="M1503" s="30"/>
      <c r="N1503" s="30"/>
      <c r="O1503" s="30"/>
      <c r="P1503" s="30"/>
      <c r="Q1503" s="30"/>
      <c r="R1503" s="30"/>
      <c r="S1503" s="30"/>
      <c r="T1503" s="30"/>
      <c r="U1503" s="30"/>
      <c r="V1503" s="30"/>
      <c r="W1503" s="30"/>
      <c r="X1503" s="30"/>
      <c r="Y1503" s="30"/>
      <c r="Z1503" s="30"/>
    </row>
  </sheetData>
  <conditionalFormatting sqref="N1">
    <cfRule type="expression" dxfId="5" priority="1">
      <formula>" =CONTAR.SI(M:M,M2)&gt;1"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4.22"/>
    <col customWidth="1" min="2" max="2" width="39.89"/>
    <col customWidth="1" min="3" max="3" width="22.56"/>
    <col customWidth="1" hidden="1" min="4" max="4" width="39.89"/>
    <col customWidth="1" min="5" max="5" width="35.89"/>
    <col customWidth="1" min="6" max="6" width="28.0"/>
    <col customWidth="1" min="7" max="7" width="45.22"/>
  </cols>
  <sheetData>
    <row r="1">
      <c r="A1" s="68" t="s">
        <v>138</v>
      </c>
      <c r="B1" s="68" t="s">
        <v>10</v>
      </c>
      <c r="C1" s="69" t="s">
        <v>8</v>
      </c>
      <c r="D1" s="68" t="s">
        <v>23</v>
      </c>
      <c r="E1" s="70" t="s">
        <v>33</v>
      </c>
      <c r="F1" s="68" t="s">
        <v>16</v>
      </c>
      <c r="G1" s="68" t="s">
        <v>140</v>
      </c>
      <c r="H1" s="71"/>
      <c r="I1" s="71"/>
      <c r="J1" s="71"/>
      <c r="K1" s="71"/>
      <c r="L1" s="71"/>
      <c r="M1" s="71"/>
      <c r="N1" s="71"/>
      <c r="O1" s="71"/>
      <c r="P1" s="71"/>
      <c r="Q1" s="71"/>
      <c r="R1" s="71"/>
      <c r="S1" s="71"/>
      <c r="T1" s="71"/>
      <c r="U1" s="71"/>
      <c r="V1" s="71"/>
      <c r="W1" s="71"/>
      <c r="X1" s="71"/>
      <c r="Y1" s="71"/>
      <c r="Z1" s="71"/>
      <c r="AA1" s="71"/>
    </row>
    <row r="2">
      <c r="A2" s="30" t="s">
        <v>148</v>
      </c>
      <c r="B2" s="30" t="str">
        <f>IFERROR(__xludf.DUMMYFUNCTION("IFERROR(
  INDEX(
    IMPORTRANGE(""13G8fPsBFu2GexfFEa1WV07s1XBlkJUT6lht1aLlmcKg"", ""api-register-id!B:B""),
    MATCH(E2, IMPORTRANGE(""13G8fPsBFu2GexfFEa1WV07s1XBlkJUT6lht1aLlmcKg"", ""api-register-id!J:J""), 0)
  ),
  ""Not Found API Name""
)"),"Not Found API Name")</f>
        <v>Not Found API Name</v>
      </c>
      <c r="C2" s="30" t="str">
        <f>IFERROR(__xludf.DUMMYFUNCTION("IFERROR(
  INDEX(
    IMPORTRANGE(""13G8fPsBFu2GexfFEa1WV07s1XBlkJUT6lht1aLlmcKg"", ""api-register-id!D:D""),
    MATCH(E2, IMPORTRANGE(""13G8fPsBFu2GexfFEa1WV07s1XBlkJUT6lht1aLlmcKg"", ""api-register-id!J:J""), 0)
  ),
  ""Not Found API Name""
)"),"Not Found API Name")</f>
        <v>Not Found API Name</v>
      </c>
      <c r="D2" s="30" t="str">
        <f>IFERROR(__xludf.DUMMYFUNCTION("IFERROR(
  INDEX(
    IMPORTRANGE(""13G8fPsBFu2GexfFEa1WV07s1XBlkJUT6lht1aLlmcKg"", ""api-register-id!E:E""),
    MATCH(E2, IMPORTRANGE(""13G8fPsBFu2GexfFEa1WV07s1XBlkJUT6lht1aLlmcKg"", ""api-register-id!J:J""), 0)
  ),
  ""Not Found API Name""
)"),"Not Found API Name")</f>
        <v>Not Found API Name</v>
      </c>
      <c r="E2" s="72" t="s">
        <v>151</v>
      </c>
      <c r="F2" s="73">
        <v>0.0</v>
      </c>
      <c r="G2" s="72" t="s">
        <v>152</v>
      </c>
      <c r="H2" s="30"/>
      <c r="I2" s="30"/>
      <c r="J2" s="30"/>
      <c r="K2" s="30"/>
      <c r="L2" s="30"/>
      <c r="M2" s="30"/>
      <c r="N2" s="30"/>
      <c r="O2" s="30"/>
      <c r="P2" s="30"/>
      <c r="Q2" s="30"/>
      <c r="R2" s="30"/>
      <c r="S2" s="30"/>
      <c r="T2" s="30"/>
      <c r="U2" s="30"/>
      <c r="V2" s="30"/>
      <c r="W2" s="30"/>
      <c r="X2" s="30"/>
      <c r="Y2" s="30"/>
      <c r="Z2" s="30"/>
      <c r="AA2" s="30"/>
    </row>
    <row r="3">
      <c r="A3" s="30" t="s">
        <v>155</v>
      </c>
      <c r="B3" s="30" t="str">
        <f>IFERROR(__xludf.DUMMYFUNCTION("IFERROR(
  INDEX(
    IMPORTRANGE(""13G8fPsBFu2GexfFEa1WV07s1XBlkJUT6lht1aLlmcKg"", ""api-register-id!B:B""),
    MATCH(E3, IMPORTRANGE(""13G8fPsBFu2GexfFEa1WV07s1XBlkJUT6lht1aLlmcKg"", ""api-register-id!J:J""), 0)
  ),
  ""Not Found API Name""
)"),"Not Found API Name")</f>
        <v>Not Found API Name</v>
      </c>
      <c r="C3" s="30" t="str">
        <f>IFERROR(__xludf.DUMMYFUNCTION("IFERROR(
  INDEX(
    IMPORTRANGE(""13G8fPsBFu2GexfFEa1WV07s1XBlkJUT6lht1aLlmcKg"", ""api-register-id!D:D""),
    MATCH(E3, IMPORTRANGE(""13G8fPsBFu2GexfFEa1WV07s1XBlkJUT6lht1aLlmcKg"", ""api-register-id!J:J""), 0)
  ),
  ""Not Found API Name""
)"),"Not Found API Name")</f>
        <v>Not Found API Name</v>
      </c>
      <c r="D3" s="30" t="str">
        <f>IFERROR(__xludf.DUMMYFUNCTION("IFERROR(
  INDEX(
    IMPORTRANGE(""13G8fPsBFu2GexfFEa1WV07s1XBlkJUT6lht1aLlmcKg"", ""api-register-id!E:E""),
    MATCH(E3, IMPORTRANGE(""13G8fPsBFu2GexfFEa1WV07s1XBlkJUT6lht1aLlmcKg"", ""api-register-id!J:J""), 0)
  ),
  ""Not Found API Name""
)"),"Not Found API Name")</f>
        <v>Not Found API Name</v>
      </c>
      <c r="E3" s="30" t="str">
        <f t="shared" ref="E3:E74" si="1">SUBSTITUTE(A3,"https://github.com/SF-Bancoppel/", "")</f>
        <v>mx-ms-bc-br-customer-product-and-service-eligibility-apigee</v>
      </c>
      <c r="F3" s="74" t="str">
        <f>IFERROR(__xludf.DUMMYFUNCTION("IFERROR(
  INDEX(
    IMPORTRANGE(""13G8fPsBFu2GexfFEa1WV07s1XBlkJUT6lht1aLlmcKg"", ""api-register-id!C:C""),
    MATCH(E3, IMPORTRANGE(""13G8fPsBFu2GexfFEa1WV07s1XBlkJUT6lht1aLlmcKg"", ""api-register-id!J:J""), 0)
  ),
  ""Not Found API Name""
)"),"Not Found API Name")</f>
        <v>Not Found API Name</v>
      </c>
      <c r="G3" s="30"/>
      <c r="H3" s="30"/>
      <c r="I3" s="30"/>
      <c r="J3" s="30"/>
      <c r="K3" s="30"/>
      <c r="L3" s="30"/>
      <c r="M3" s="30"/>
      <c r="N3" s="30"/>
      <c r="O3" s="30"/>
      <c r="P3" s="30"/>
      <c r="Q3" s="30"/>
      <c r="R3" s="30"/>
      <c r="S3" s="30"/>
      <c r="T3" s="30"/>
      <c r="U3" s="30"/>
      <c r="V3" s="30"/>
      <c r="W3" s="30"/>
      <c r="X3" s="30"/>
      <c r="Y3" s="30"/>
      <c r="Z3" s="30"/>
      <c r="AA3" s="30"/>
    </row>
    <row r="4">
      <c r="A4" s="30" t="s">
        <v>161</v>
      </c>
      <c r="B4" s="30" t="str">
        <f>IFERROR(__xludf.DUMMYFUNCTION("IFERROR(
  INDEX(
    IMPORTRANGE(""13G8fPsBFu2GexfFEa1WV07s1XBlkJUT6lht1aLlmcKg"", ""api-register-id!B:B""),
    MATCH(E4, IMPORTRANGE(""13G8fPsBFu2GexfFEa1WV07s1XBlkJUT6lht1aLlmcKg"", ""api-register-id!J:J""), 0)
  ),
  ""Not Found API Name""
)"),"Not Found API Name")</f>
        <v>Not Found API Name</v>
      </c>
      <c r="C4" s="30" t="str">
        <f>IFERROR(__xludf.DUMMYFUNCTION("IFERROR(
  INDEX(
    IMPORTRANGE(""13G8fPsBFu2GexfFEa1WV07s1XBlkJUT6lht1aLlmcKg"", ""api-register-id!D:D""),
    MATCH(E4, IMPORTRANGE(""13G8fPsBFu2GexfFEa1WV07s1XBlkJUT6lht1aLlmcKg"", ""api-register-id!J:J""), 0)
  ),
  ""Not Found API Name""
)"),"Not Found API Name")</f>
        <v>Not Found API Name</v>
      </c>
      <c r="D4" s="30" t="str">
        <f>IFERROR(__xludf.DUMMYFUNCTION("IFERROR(
  INDEX(
    IMPORTRANGE(""13G8fPsBFu2GexfFEa1WV07s1XBlkJUT6lht1aLlmcKg"", ""api-register-id!E:E""),
    MATCH(E4, IMPORTRANGE(""13G8fPsBFu2GexfFEa1WV07s1XBlkJUT6lht1aLlmcKg"", ""api-register-id!J:J""), 0)
  ),
  ""Not Found API Name""
)"),"Not Found API Name")</f>
        <v>Not Found API Name</v>
      </c>
      <c r="E4" s="30" t="str">
        <f t="shared" si="1"/>
        <v>mx-ms-bc-bus-business-support-mule</v>
      </c>
      <c r="F4" s="74" t="str">
        <f>IFERROR(__xludf.DUMMYFUNCTION("IFERROR(
  INDEX(
    IMPORTRANGE(""13G8fPsBFu2GexfFEa1WV07s1XBlkJUT6lht1aLlmcKg"", ""api-register-id!C:C""),
    MATCH(E4, IMPORTRANGE(""13G8fPsBFu2GexfFEa1WV07s1XBlkJUT6lht1aLlmcKg"", ""api-register-id!J:J""), 0)
  ),
  ""Not Found API Name""
)"),"Not Found API Name")</f>
        <v>Not Found API Name</v>
      </c>
      <c r="G4" s="30"/>
      <c r="H4" s="30"/>
      <c r="I4" s="30"/>
      <c r="J4" s="30"/>
      <c r="K4" s="30"/>
      <c r="L4" s="30"/>
      <c r="M4" s="30"/>
      <c r="N4" s="30"/>
      <c r="O4" s="30"/>
      <c r="P4" s="30"/>
      <c r="Q4" s="30"/>
      <c r="R4" s="30"/>
      <c r="S4" s="30"/>
      <c r="T4" s="30"/>
      <c r="U4" s="30"/>
      <c r="V4" s="30"/>
      <c r="W4" s="30"/>
      <c r="X4" s="30"/>
      <c r="Y4" s="30"/>
      <c r="Z4" s="30"/>
      <c r="AA4" s="30"/>
    </row>
    <row r="5">
      <c r="A5" s="30" t="s">
        <v>166</v>
      </c>
      <c r="B5" s="30" t="str">
        <f>IFERROR(__xludf.DUMMYFUNCTION("IFERROR(
  INDEX(
    IMPORTRANGE(""13G8fPsBFu2GexfFEa1WV07s1XBlkJUT6lht1aLlmcKg"", ""api-register-id!B:B""),
    MATCH(E5, IMPORTRANGE(""13G8fPsBFu2GexfFEa1WV07s1XBlkJUT6lht1aLlmcKg"", ""api-register-id!J:J""), 0)
  ),
  ""Not Found API Name""
)"),"Not Found API Name")</f>
        <v>Not Found API Name</v>
      </c>
      <c r="C5" s="30" t="str">
        <f>IFERROR(__xludf.DUMMYFUNCTION("IFERROR(
  INDEX(
    IMPORTRANGE(""13G8fPsBFu2GexfFEa1WV07s1XBlkJUT6lht1aLlmcKg"", ""api-register-id!D:D""),
    MATCH(E5, IMPORTRANGE(""13G8fPsBFu2GexfFEa1WV07s1XBlkJUT6lht1aLlmcKg"", ""api-register-id!J:J""), 0)
  ),
  ""Not Found API Name""
)"),"Not Found API Name")</f>
        <v>Not Found API Name</v>
      </c>
      <c r="D5" s="30" t="str">
        <f>IFERROR(__xludf.DUMMYFUNCTION("IFERROR(
  INDEX(
    IMPORTRANGE(""13G8fPsBFu2GexfFEa1WV07s1XBlkJUT6lht1aLlmcKg"", ""api-register-id!E:E""),
    MATCH(E5, IMPORTRANGE(""13G8fPsBFu2GexfFEa1WV07s1XBlkJUT6lht1aLlmcKg"", ""api-register-id!J:J""), 0)
  ),
  ""Not Found API Name""
)"),"Not Found API Name")</f>
        <v>Not Found API Name</v>
      </c>
      <c r="E5" s="30" t="str">
        <f t="shared" si="1"/>
        <v>mx-ms-bc-bus-cards-mule</v>
      </c>
      <c r="F5" s="74" t="str">
        <f>IFERROR(__xludf.DUMMYFUNCTION("IFERROR(
  INDEX(
    IMPORTRANGE(""13G8fPsBFu2GexfFEa1WV07s1XBlkJUT6lht1aLlmcKg"", ""api-register-id!C:C""),
    MATCH(E5, IMPORTRANGE(""13G8fPsBFu2GexfFEa1WV07s1XBlkJUT6lht1aLlmcKg"", ""api-register-id!J:J""), 0)
  ),
  ""Not Found API Name""
)"),"Not Found API Name")</f>
        <v>Not Found API Name</v>
      </c>
      <c r="G5" s="30"/>
      <c r="H5" s="30"/>
      <c r="I5" s="30"/>
      <c r="J5" s="30"/>
      <c r="K5" s="30"/>
      <c r="L5" s="30"/>
      <c r="M5" s="30"/>
      <c r="N5" s="30"/>
      <c r="O5" s="30"/>
      <c r="P5" s="30"/>
      <c r="Q5" s="30"/>
      <c r="R5" s="30"/>
      <c r="S5" s="30"/>
      <c r="T5" s="30"/>
      <c r="U5" s="30"/>
      <c r="V5" s="30"/>
      <c r="W5" s="30"/>
      <c r="X5" s="30"/>
      <c r="Y5" s="30"/>
      <c r="Z5" s="30"/>
      <c r="AA5" s="30"/>
    </row>
    <row r="6">
      <c r="A6" s="30" t="s">
        <v>167</v>
      </c>
      <c r="B6" s="30" t="str">
        <f>IFERROR(__xludf.DUMMYFUNCTION("IFERROR(
  INDEX(
    IMPORTRANGE(""13G8fPsBFu2GexfFEa1WV07s1XBlkJUT6lht1aLlmcKg"", ""api-register-id!B:B""),
    MATCH(E6, IMPORTRANGE(""13G8fPsBFu2GexfFEa1WV07s1XBlkJUT6lht1aLlmcKg"", ""api-register-id!J:J""), 0)
  ),
  ""Not Found API Name""
)"),"Not Found API Name")</f>
        <v>Not Found API Name</v>
      </c>
      <c r="C6" s="30" t="str">
        <f>IFERROR(__xludf.DUMMYFUNCTION("IFERROR(
  INDEX(
    IMPORTRANGE(""13G8fPsBFu2GexfFEa1WV07s1XBlkJUT6lht1aLlmcKg"", ""api-register-id!D:D""),
    MATCH(E6, IMPORTRANGE(""13G8fPsBFu2GexfFEa1WV07s1XBlkJUT6lht1aLlmcKg"", ""api-register-id!J:J""), 0)
  ),
  ""Not Found API Name""
)"),"Not Found API Name")</f>
        <v>Not Found API Name</v>
      </c>
      <c r="D6" s="30" t="str">
        <f>IFERROR(__xludf.DUMMYFUNCTION("IFERROR(
  INDEX(
    IMPORTRANGE(""13G8fPsBFu2GexfFEa1WV07s1XBlkJUT6lht1aLlmcKg"", ""api-register-id!E:E""),
    MATCH(E6, IMPORTRANGE(""13G8fPsBFu2GexfFEa1WV07s1XBlkJUT6lht1aLlmcKg"", ""api-register-id!J:J""), 0)
  ),
  ""Not Found API Name""
)"),"Not Found API Name")</f>
        <v>Not Found API Name</v>
      </c>
      <c r="E6" s="30" t="str">
        <f t="shared" si="1"/>
        <v>mx-ms-bc-bus-channel-specific-mule</v>
      </c>
      <c r="F6" s="74" t="str">
        <f>IFERROR(__xludf.DUMMYFUNCTION("IFERROR(
  INDEX(
    IMPORTRANGE(""13G8fPsBFu2GexfFEa1WV07s1XBlkJUT6lht1aLlmcKg"", ""api-register-id!C:C""),
    MATCH(E6, IMPORTRANGE(""13G8fPsBFu2GexfFEa1WV07s1XBlkJUT6lht1aLlmcKg"", ""api-register-id!J:J""), 0)
  ),
  ""Not Found API Name""
)"),"Not Found API Name")</f>
        <v>Not Found API Name</v>
      </c>
      <c r="G6" s="30"/>
      <c r="H6" s="30"/>
      <c r="I6" s="30"/>
      <c r="J6" s="30"/>
      <c r="K6" s="30"/>
      <c r="L6" s="30"/>
      <c r="M6" s="30"/>
      <c r="N6" s="30"/>
      <c r="O6" s="30"/>
      <c r="P6" s="30"/>
      <c r="Q6" s="30"/>
      <c r="R6" s="30"/>
      <c r="S6" s="30"/>
      <c r="T6" s="30"/>
      <c r="U6" s="30"/>
      <c r="V6" s="30"/>
      <c r="W6" s="30"/>
      <c r="X6" s="30"/>
      <c r="Y6" s="30"/>
      <c r="Z6" s="30"/>
      <c r="AA6" s="30"/>
    </row>
    <row r="7">
      <c r="A7" s="30" t="s">
        <v>170</v>
      </c>
      <c r="B7" s="30" t="str">
        <f>IFERROR(__xludf.DUMMYFUNCTION("IFERROR(
  INDEX(
    IMPORTRANGE(""13G8fPsBFu2GexfFEa1WV07s1XBlkJUT6lht1aLlmcKg"", ""api-register-id!B:B""),
    MATCH(E7, IMPORTRANGE(""13G8fPsBFu2GexfFEa1WV07s1XBlkJUT6lht1aLlmcKg"", ""api-register-id!J:J""), 0)
  ),
  ""Not Found API Name""
)"),"Not Found API Name")</f>
        <v>Not Found API Name</v>
      </c>
      <c r="C7" s="30" t="str">
        <f>IFERROR(__xludf.DUMMYFUNCTION("IFERROR(
  INDEX(
    IMPORTRANGE(""13G8fPsBFu2GexfFEa1WV07s1XBlkJUT6lht1aLlmcKg"", ""api-register-id!D:D""),
    MATCH(E7, IMPORTRANGE(""13G8fPsBFu2GexfFEa1WV07s1XBlkJUT6lht1aLlmcKg"", ""api-register-id!J:J""), 0)
  ),
  ""Not Found API Name""
)"),"Not Found API Name")</f>
        <v>Not Found API Name</v>
      </c>
      <c r="D7" s="30" t="str">
        <f>IFERROR(__xludf.DUMMYFUNCTION("IFERROR(
  INDEX(
    IMPORTRANGE(""13G8fPsBFu2GexfFEa1WV07s1XBlkJUT6lht1aLlmcKg"", ""api-register-id!E:E""),
    MATCH(E7, IMPORTRANGE(""13G8fPsBFu2GexfFEa1WV07s1XBlkJUT6lht1aLlmcKg"", ""api-register-id!J:J""), 0)
  ),
  ""Not Found API Name""
)"),"Not Found API Name")</f>
        <v>Not Found API Name</v>
      </c>
      <c r="E7" s="30" t="str">
        <f t="shared" si="1"/>
        <v>mx-ms-bc-bus-cross-product-operations-mule</v>
      </c>
      <c r="F7" s="74" t="str">
        <f>IFERROR(__xludf.DUMMYFUNCTION("IFERROR(
  INDEX(
    IMPORTRANGE(""13G8fPsBFu2GexfFEa1WV07s1XBlkJUT6lht1aLlmcKg"", ""api-register-id!C:C""),
    MATCH(E7, IMPORTRANGE(""13G8fPsBFu2GexfFEa1WV07s1XBlkJUT6lht1aLlmcKg"", ""api-register-id!J:J""), 0)
  ),
  ""Not Found API Name""
)"),"Not Found API Name")</f>
        <v>Not Found API Name</v>
      </c>
      <c r="G7" s="30"/>
      <c r="H7" s="30"/>
      <c r="I7" s="30"/>
      <c r="J7" s="30"/>
      <c r="K7" s="30"/>
      <c r="L7" s="30"/>
      <c r="M7" s="30"/>
      <c r="N7" s="30"/>
      <c r="O7" s="30"/>
      <c r="P7" s="30"/>
      <c r="Q7" s="30"/>
      <c r="R7" s="30"/>
      <c r="S7" s="30"/>
      <c r="T7" s="30"/>
      <c r="U7" s="30"/>
      <c r="V7" s="30"/>
      <c r="W7" s="30"/>
      <c r="X7" s="30"/>
      <c r="Y7" s="30"/>
      <c r="Z7" s="30"/>
      <c r="AA7" s="30"/>
    </row>
    <row r="8">
      <c r="A8" s="30" t="s">
        <v>173</v>
      </c>
      <c r="B8" s="30" t="str">
        <f>IFERROR(__xludf.DUMMYFUNCTION("IFERROR(
  INDEX(
    IMPORTRANGE(""13G8fPsBFu2GexfFEa1WV07s1XBlkJUT6lht1aLlmcKg"", ""api-register-id!B:B""),
    MATCH(E8, IMPORTRANGE(""13G8fPsBFu2GexfFEa1WV07s1XBlkJUT6lht1aLlmcKg"", ""api-register-id!J:J""), 0)
  ),
  ""Not Found API Name""
)"),"Not Found API Name")</f>
        <v>Not Found API Name</v>
      </c>
      <c r="C8" s="30" t="str">
        <f>IFERROR(__xludf.DUMMYFUNCTION("IFERROR(
  INDEX(
    IMPORTRANGE(""13G8fPsBFu2GexfFEa1WV07s1XBlkJUT6lht1aLlmcKg"", ""api-register-id!D:D""),
    MATCH(E8, IMPORTRANGE(""13G8fPsBFu2GexfFEa1WV07s1XBlkJUT6lht1aLlmcKg"", ""api-register-id!J:J""), 0)
  ),
  ""Not Found API Name""
)"),"Not Found API Name")</f>
        <v>Not Found API Name</v>
      </c>
      <c r="D8" s="30" t="str">
        <f>IFERROR(__xludf.DUMMYFUNCTION("IFERROR(
  INDEX(
    IMPORTRANGE(""13G8fPsBFu2GexfFEa1WV07s1XBlkJUT6lht1aLlmcKg"", ""api-register-id!E:E""),
    MATCH(E8, IMPORTRANGE(""13G8fPsBFu2GexfFEa1WV07s1XBlkJUT6lht1aLlmcKg"", ""api-register-id!J:J""), 0)
  ),
  ""Not Found API Name""
)"),"Not Found API Name")</f>
        <v>Not Found API Name</v>
      </c>
      <c r="E8" s="30" t="str">
        <f t="shared" si="1"/>
        <v>mx-ms-bc-bus-customer-management-mule</v>
      </c>
      <c r="F8" s="74" t="str">
        <f>IFERROR(__xludf.DUMMYFUNCTION("IFERROR(
  INDEX(
    IMPORTRANGE(""13G8fPsBFu2GexfFEa1WV07s1XBlkJUT6lht1aLlmcKg"", ""api-register-id!C:C""),
    MATCH(E8, IMPORTRANGE(""13G8fPsBFu2GexfFEa1WV07s1XBlkJUT6lht1aLlmcKg"", ""api-register-id!J:J""), 0)
  ),
  ""Not Found API Name""
)"),"Not Found API Name")</f>
        <v>Not Found API Name</v>
      </c>
      <c r="G8" s="30"/>
      <c r="H8" s="30"/>
      <c r="I8" s="30"/>
      <c r="J8" s="30"/>
      <c r="K8" s="30"/>
      <c r="L8" s="30"/>
      <c r="M8" s="30"/>
      <c r="N8" s="30"/>
      <c r="O8" s="30"/>
      <c r="P8" s="30"/>
      <c r="Q8" s="30"/>
      <c r="R8" s="30"/>
      <c r="S8" s="30"/>
      <c r="T8" s="30"/>
      <c r="U8" s="30"/>
      <c r="V8" s="30"/>
      <c r="W8" s="30"/>
      <c r="X8" s="30"/>
      <c r="Y8" s="30"/>
      <c r="Z8" s="30"/>
      <c r="AA8" s="30"/>
    </row>
    <row r="9">
      <c r="A9" s="30" t="s">
        <v>177</v>
      </c>
      <c r="B9" s="30" t="str">
        <f>IFERROR(__xludf.DUMMYFUNCTION("IFERROR(
  INDEX(
    IMPORTRANGE(""13G8fPsBFu2GexfFEa1WV07s1XBlkJUT6lht1aLlmcKg"", ""api-register-id!B:B""),
    MATCH(E9, IMPORTRANGE(""13G8fPsBFu2GexfFEa1WV07s1XBlkJUT6lht1aLlmcKg"", ""api-register-id!J:J""), 0)
  ),
  ""Not Found API Name""
)"),"Not Found API Name")</f>
        <v>Not Found API Name</v>
      </c>
      <c r="C9" s="30" t="str">
        <f>IFERROR(__xludf.DUMMYFUNCTION("IFERROR(
  INDEX(
    IMPORTRANGE(""13G8fPsBFu2GexfFEa1WV07s1XBlkJUT6lht1aLlmcKg"", ""api-register-id!D:D""),
    MATCH(E9, IMPORTRANGE(""13G8fPsBFu2GexfFEa1WV07s1XBlkJUT6lht1aLlmcKg"", ""api-register-id!J:J""), 0)
  ),
  ""Not Found API Name""
)"),"Not Found API Name")</f>
        <v>Not Found API Name</v>
      </c>
      <c r="D9" s="30" t="str">
        <f>IFERROR(__xludf.DUMMYFUNCTION("IFERROR(
  INDEX(
    IMPORTRANGE(""13G8fPsBFu2GexfFEa1WV07s1XBlkJUT6lht1aLlmcKg"", ""api-register-id!E:E""),
    MATCH(E9, IMPORTRANGE(""13G8fPsBFu2GexfFEa1WV07s1XBlkJUT6lht1aLlmcKg"", ""api-register-id!J:J""), 0)
  ),
  ""Not Found API Name""
)"),"Not Found API Name")</f>
        <v>Not Found API Name</v>
      </c>
      <c r="E9" s="30" t="str">
        <f t="shared" si="1"/>
        <v>mx-ms-bc-bus-operational-services-mule</v>
      </c>
      <c r="F9" s="74" t="str">
        <f>IFERROR(__xludf.DUMMYFUNCTION("IFERROR(
  INDEX(
    IMPORTRANGE(""13G8fPsBFu2GexfFEa1WV07s1XBlkJUT6lht1aLlmcKg"", ""api-register-id!C:C""),
    MATCH(E9, IMPORTRANGE(""13G8fPsBFu2GexfFEa1WV07s1XBlkJUT6lht1aLlmcKg"", ""api-register-id!J:J""), 0)
  ),
  ""Not Found API Name""
)"),"Not Found API Name")</f>
        <v>Not Found API Name</v>
      </c>
      <c r="G9" s="30"/>
      <c r="H9" s="30"/>
      <c r="I9" s="30"/>
      <c r="J9" s="30"/>
      <c r="K9" s="30"/>
      <c r="L9" s="30"/>
      <c r="M9" s="30"/>
      <c r="N9" s="30"/>
      <c r="O9" s="30"/>
      <c r="P9" s="30"/>
      <c r="Q9" s="30"/>
      <c r="R9" s="30"/>
      <c r="S9" s="30"/>
      <c r="T9" s="30"/>
      <c r="U9" s="30"/>
      <c r="V9" s="30"/>
      <c r="W9" s="30"/>
      <c r="X9" s="30"/>
      <c r="Y9" s="30"/>
      <c r="Z9" s="30"/>
      <c r="AA9" s="30"/>
    </row>
    <row r="10">
      <c r="A10" s="30" t="s">
        <v>181</v>
      </c>
      <c r="B10" s="30" t="str">
        <f>IFERROR(__xludf.DUMMYFUNCTION("IFERROR(
  INDEX(
    IMPORTRANGE(""13G8fPsBFu2GexfFEa1WV07s1XBlkJUT6lht1aLlmcKg"", ""api-register-id!B:B""),
    MATCH(E10, IMPORTRANGE(""13G8fPsBFu2GexfFEa1WV07s1XBlkJUT6lht1aLlmcKg"", ""api-register-id!J:J""), 0)
  ),
  ""Not Found API Name""
)"),"Not Found API Name")</f>
        <v>Not Found API Name</v>
      </c>
      <c r="C10" s="30" t="str">
        <f>IFERROR(__xludf.DUMMYFUNCTION("IFERROR(
  INDEX(
    IMPORTRANGE(""13G8fPsBFu2GexfFEa1WV07s1XBlkJUT6lht1aLlmcKg"", ""api-register-id!D:D""),
    MATCH(E10, IMPORTRANGE(""13G8fPsBFu2GexfFEa1WV07s1XBlkJUT6lht1aLlmcKg"", ""api-register-id!J:J""), 0)
  ),
  ""Not Found API Name""
)"),"Not Found API Name")</f>
        <v>Not Found API Name</v>
      </c>
      <c r="D10" s="30" t="str">
        <f>IFERROR(__xludf.DUMMYFUNCTION("IFERROR(
  INDEX(
    IMPORTRANGE(""13G8fPsBFu2GexfFEa1WV07s1XBlkJUT6lht1aLlmcKg"", ""api-register-id!E:E""),
    MATCH(E10, IMPORTRANGE(""13G8fPsBFu2GexfFEa1WV07s1XBlkJUT6lht1aLlmcKg"", ""api-register-id!J:J""), 0)
  ),
  ""Not Found API Name""
)"),"Not Found API Name")</f>
        <v>Not Found API Name</v>
      </c>
      <c r="E10" s="30" t="str">
        <f t="shared" si="1"/>
        <v>mx-ms-bc-bus-operations-and-execution-mule</v>
      </c>
      <c r="F10" s="74" t="str">
        <f>IFERROR(__xludf.DUMMYFUNCTION("IFERROR(
  INDEX(
    IMPORTRANGE(""13G8fPsBFu2GexfFEa1WV07s1XBlkJUT6lht1aLlmcKg"", ""api-register-id!C:C""),
    MATCH(E10, IMPORTRANGE(""13G8fPsBFu2GexfFEa1WV07s1XBlkJUT6lht1aLlmcKg"", ""api-register-id!J:J""), 0)
  ),
  ""Not Found API Name""
)"),"Not Found API Name")</f>
        <v>Not Found API Name</v>
      </c>
      <c r="G10" s="30"/>
      <c r="H10" s="30"/>
      <c r="I10" s="30"/>
      <c r="J10" s="30"/>
      <c r="K10" s="30"/>
      <c r="L10" s="30"/>
      <c r="M10" s="30"/>
      <c r="N10" s="30"/>
      <c r="O10" s="30"/>
      <c r="P10" s="30"/>
      <c r="Q10" s="30"/>
      <c r="R10" s="30"/>
      <c r="S10" s="30"/>
      <c r="T10" s="30"/>
      <c r="U10" s="30"/>
      <c r="V10" s="30"/>
      <c r="W10" s="30"/>
      <c r="X10" s="30"/>
      <c r="Y10" s="30"/>
      <c r="Z10" s="30"/>
      <c r="AA10" s="30"/>
    </row>
    <row r="11">
      <c r="A11" s="30" t="s">
        <v>184</v>
      </c>
      <c r="B11" s="30" t="str">
        <f>IFERROR(__xludf.DUMMYFUNCTION("IFERROR(
  INDEX(
    IMPORTRANGE(""13G8fPsBFu2GexfFEa1WV07s1XBlkJUT6lht1aLlmcKg"", ""api-register-id!B:B""),
    MATCH(E11, IMPORTRANGE(""13G8fPsBFu2GexfFEa1WV07s1XBlkJUT6lht1aLlmcKg"", ""api-register-id!J:J""), 0)
  ),
  ""Not Found API Name""
)"),"Not Found API Name")</f>
        <v>Not Found API Name</v>
      </c>
      <c r="C11" s="30" t="str">
        <f>IFERROR(__xludf.DUMMYFUNCTION("IFERROR(
  INDEX(
    IMPORTRANGE(""13G8fPsBFu2GexfFEa1WV07s1XBlkJUT6lht1aLlmcKg"", ""api-register-id!D:D""),
    MATCH(E11, IMPORTRANGE(""13G8fPsBFu2GexfFEa1WV07s1XBlkJUT6lht1aLlmcKg"", ""api-register-id!J:J""), 0)
  ),
  ""Not Found API Name""
)"),"Not Found API Name")</f>
        <v>Not Found API Name</v>
      </c>
      <c r="D11" s="30" t="str">
        <f>IFERROR(__xludf.DUMMYFUNCTION("IFERROR(
  INDEX(
    IMPORTRANGE(""13G8fPsBFu2GexfFEa1WV07s1XBlkJUT6lht1aLlmcKg"", ""api-register-id!E:E""),
    MATCH(E11, IMPORTRANGE(""13G8fPsBFu2GexfFEa1WV07s1XBlkJUT6lht1aLlmcKg"", ""api-register-id!J:J""), 0)
  ),
  ""Not Found API Name""
)"),"Not Found API Name")</f>
        <v>Not Found API Name</v>
      </c>
      <c r="E11" s="30" t="str">
        <f t="shared" si="1"/>
        <v>mx-ms-bc-bus-payments-mule</v>
      </c>
      <c r="F11" s="74" t="str">
        <f>IFERROR(__xludf.DUMMYFUNCTION("IFERROR(
  INDEX(
    IMPORTRANGE(""13G8fPsBFu2GexfFEa1WV07s1XBlkJUT6lht1aLlmcKg"", ""api-register-id!C:C""),
    MATCH(E11, IMPORTRANGE(""13G8fPsBFu2GexfFEa1WV07s1XBlkJUT6lht1aLlmcKg"", ""api-register-id!J:J""), 0)
  ),
  ""Not Found API Name""
)"),"Not Found API Name")</f>
        <v>Not Found API Name</v>
      </c>
      <c r="G11" s="30"/>
      <c r="H11" s="30"/>
      <c r="I11" s="30"/>
      <c r="J11" s="30"/>
      <c r="K11" s="30"/>
      <c r="L11" s="30"/>
      <c r="M11" s="30"/>
      <c r="N11" s="30"/>
      <c r="O11" s="30"/>
      <c r="P11" s="30"/>
      <c r="Q11" s="30"/>
      <c r="R11" s="30"/>
      <c r="S11" s="30"/>
      <c r="T11" s="30"/>
      <c r="U11" s="30"/>
      <c r="V11" s="30"/>
      <c r="W11" s="30"/>
      <c r="X11" s="30"/>
      <c r="Y11" s="30"/>
      <c r="Z11" s="30"/>
      <c r="AA11" s="30"/>
    </row>
    <row r="12">
      <c r="A12" s="30" t="s">
        <v>185</v>
      </c>
      <c r="B12" s="30" t="str">
        <f>IFERROR(__xludf.DUMMYFUNCTION("IFERROR(
  INDEX(
    IMPORTRANGE(""13G8fPsBFu2GexfFEa1WV07s1XBlkJUT6lht1aLlmcKg"", ""api-register-id!B:B""),
    MATCH(E12, IMPORTRANGE(""13G8fPsBFu2GexfFEa1WV07s1XBlkJUT6lht1aLlmcKg"", ""api-register-id!J:J""), 0)
  ),
  ""Not Found API Name""
)"),"Not Found API Name")</f>
        <v>Not Found API Name</v>
      </c>
      <c r="C12" s="30" t="str">
        <f>IFERROR(__xludf.DUMMYFUNCTION("IFERROR(
  INDEX(
    IMPORTRANGE(""13G8fPsBFu2GexfFEa1WV07s1XBlkJUT6lht1aLlmcKg"", ""api-register-id!D:D""),
    MATCH(E12, IMPORTRANGE(""13G8fPsBFu2GexfFEa1WV07s1XBlkJUT6lht1aLlmcKg"", ""api-register-id!J:J""), 0)
  ),
  ""Not Found API Name""
)"),"Not Found API Name")</f>
        <v>Not Found API Name</v>
      </c>
      <c r="D12" s="30" t="str">
        <f>IFERROR(__xludf.DUMMYFUNCTION("IFERROR(
  INDEX(
    IMPORTRANGE(""13G8fPsBFu2GexfFEa1WV07s1XBlkJUT6lht1aLlmcKg"", ""api-register-id!E:E""),
    MATCH(E12, IMPORTRANGE(""13G8fPsBFu2GexfFEa1WV07s1XBlkJUT6lht1aLlmcKg"", ""api-register-id!J:J""), 0)
  ),
  ""Not Found API Name""
)"),"Not Found API Name")</f>
        <v>Not Found API Name</v>
      </c>
      <c r="E12" s="30" t="str">
        <f t="shared" si="1"/>
        <v>mx-ms-bc-bus-product-specific-fulfillment-mule</v>
      </c>
      <c r="F12" s="74" t="str">
        <f>IFERROR(__xludf.DUMMYFUNCTION("IFERROR(
  INDEX(
    IMPORTRANGE(""13G8fPsBFu2GexfFEa1WV07s1XBlkJUT6lht1aLlmcKg"", ""api-register-id!C:C""),
    MATCH(E12, IMPORTRANGE(""13G8fPsBFu2GexfFEa1WV07s1XBlkJUT6lht1aLlmcKg"", ""api-register-id!J:J""), 0)
  ),
  ""Not Found API Name""
)"),"Not Found API Name")</f>
        <v>Not Found API Name</v>
      </c>
      <c r="G12" s="30"/>
      <c r="H12" s="30"/>
      <c r="I12" s="30"/>
      <c r="J12" s="30"/>
      <c r="K12" s="30"/>
      <c r="L12" s="30"/>
      <c r="M12" s="30"/>
      <c r="N12" s="30"/>
      <c r="O12" s="30"/>
      <c r="P12" s="30"/>
      <c r="Q12" s="30"/>
      <c r="R12" s="30"/>
      <c r="S12" s="30"/>
      <c r="T12" s="30"/>
      <c r="U12" s="30"/>
      <c r="V12" s="30"/>
      <c r="W12" s="30"/>
      <c r="X12" s="30"/>
      <c r="Y12" s="30"/>
      <c r="Z12" s="30"/>
      <c r="AA12" s="30"/>
    </row>
    <row r="13">
      <c r="A13" s="30" t="s">
        <v>189</v>
      </c>
      <c r="B13" s="30" t="str">
        <f>IFERROR(__xludf.DUMMYFUNCTION("IFERROR(
  INDEX(
    IMPORTRANGE(""13G8fPsBFu2GexfFEa1WV07s1XBlkJUT6lht1aLlmcKg"", ""api-register-id!B:B""),
    MATCH(E13, IMPORTRANGE(""13G8fPsBFu2GexfFEa1WV07s1XBlkJUT6lht1aLlmcKg"", ""api-register-id!J:J""), 0)
  ),
  ""Not Found API Name""
)"),"Not Found API Name")</f>
        <v>Not Found API Name</v>
      </c>
      <c r="C13" s="30" t="str">
        <f>IFERROR(__xludf.DUMMYFUNCTION("IFERROR(
  INDEX(
    IMPORTRANGE(""13G8fPsBFu2GexfFEa1WV07s1XBlkJUT6lht1aLlmcKg"", ""api-register-id!D:D""),
    MATCH(E13, IMPORTRANGE(""13G8fPsBFu2GexfFEa1WV07s1XBlkJUT6lht1aLlmcKg"", ""api-register-id!J:J""), 0)
  ),
  ""Not Found API Name""
)"),"Not Found API Name")</f>
        <v>Not Found API Name</v>
      </c>
      <c r="D13" s="30" t="str">
        <f>IFERROR(__xludf.DUMMYFUNCTION("IFERROR(
  INDEX(
    IMPORTRANGE(""13G8fPsBFu2GexfFEa1WV07s1XBlkJUT6lht1aLlmcKg"", ""api-register-id!E:E""),
    MATCH(E13, IMPORTRANGE(""13G8fPsBFu2GexfFEa1WV07s1XBlkJUT6lht1aLlmcKg"", ""api-register-id!J:J""), 0)
  ),
  ""Not Found API Name""
)"),"Not Found API Name")</f>
        <v>Not Found API Name</v>
      </c>
      <c r="E13" s="30" t="str">
        <f t="shared" si="1"/>
        <v>mx-ms-bc-bus-reference-data-mule</v>
      </c>
      <c r="F13" s="74" t="str">
        <f>IFERROR(__xludf.DUMMYFUNCTION("IFERROR(
  INDEX(
    IMPORTRANGE(""13G8fPsBFu2GexfFEa1WV07s1XBlkJUT6lht1aLlmcKg"", ""api-register-id!C:C""),
    MATCH(E13, IMPORTRANGE(""13G8fPsBFu2GexfFEa1WV07s1XBlkJUT6lht1aLlmcKg"", ""api-register-id!J:J""), 0)
  ),
  ""Not Found API Name""
)"),"Not Found API Name")</f>
        <v>Not Found API Name</v>
      </c>
      <c r="G13" s="30"/>
      <c r="H13" s="30"/>
      <c r="I13" s="30"/>
      <c r="J13" s="30"/>
      <c r="K13" s="30"/>
      <c r="L13" s="30"/>
      <c r="M13" s="30"/>
      <c r="N13" s="30"/>
      <c r="O13" s="30"/>
      <c r="P13" s="30"/>
      <c r="Q13" s="30"/>
      <c r="R13" s="30"/>
      <c r="S13" s="30"/>
      <c r="T13" s="30"/>
      <c r="U13" s="30"/>
      <c r="V13" s="30"/>
      <c r="W13" s="30"/>
      <c r="X13" s="30"/>
      <c r="Y13" s="30"/>
      <c r="Z13" s="30"/>
      <c r="AA13" s="30"/>
    </row>
    <row r="14">
      <c r="A14" s="75" t="s">
        <v>194</v>
      </c>
      <c r="B14" s="30" t="str">
        <f>IFERROR(__xludf.DUMMYFUNCTION("IFERROR(
  INDEX(
    IMPORTRANGE(""13G8fPsBFu2GexfFEa1WV07s1XBlkJUT6lht1aLlmcKg"", ""api-register-id!B:B""),
    MATCH(E14, IMPORTRANGE(""13G8fPsBFu2GexfFEa1WV07s1XBlkJUT6lht1aLlmcKg"", ""api-register-id!J:J""), 0)
  ),
  ""Not Found API Name""
)"),"Not Found API Name")</f>
        <v>Not Found API Name</v>
      </c>
      <c r="C14" s="30" t="str">
        <f>IFERROR(__xludf.DUMMYFUNCTION("IFERROR(
  INDEX(
    IMPORTRANGE(""13G8fPsBFu2GexfFEa1WV07s1XBlkJUT6lht1aLlmcKg"", ""api-register-id!D:D""),
    MATCH(E14, IMPORTRANGE(""13G8fPsBFu2GexfFEa1WV07s1XBlkJUT6lht1aLlmcKg"", ""api-register-id!J:J""), 0)
  ),
  ""Not Found API Name""
)"),"Not Found API Name")</f>
        <v>Not Found API Name</v>
      </c>
      <c r="D14" s="30" t="str">
        <f>IFERROR(__xludf.DUMMYFUNCTION("IFERROR(
  INDEX(
    IMPORTRANGE(""13G8fPsBFu2GexfFEa1WV07s1XBlkJUT6lht1aLlmcKg"", ""api-register-id!E:E""),
    MATCH(E14, IMPORTRANGE(""13G8fPsBFu2GexfFEa1WV07s1XBlkJUT6lht1aLlmcKg"", ""api-register-id!J:J""), 0)
  ),
  ""Not Found API Name""
)"),"Not Found API Name")</f>
        <v>Not Found API Name</v>
      </c>
      <c r="E14" s="30" t="str">
        <f t="shared" si="1"/>
        <v>mx-ms-bc-bus-sales-and-service-mule</v>
      </c>
      <c r="F14" s="74" t="str">
        <f>IFERROR(__xludf.DUMMYFUNCTION("IFERROR(
  INDEX(
    IMPORTRANGE(""13G8fPsBFu2GexfFEa1WV07s1XBlkJUT6lht1aLlmcKg"", ""api-register-id!C:C""),
    MATCH(E14, IMPORTRANGE(""13G8fPsBFu2GexfFEa1WV07s1XBlkJUT6lht1aLlmcKg"", ""api-register-id!J:J""), 0)
  ),
  ""Not Found API Name""
)"),"Not Found API Name")</f>
        <v>Not Found API Name</v>
      </c>
      <c r="G14" s="30"/>
      <c r="H14" s="30"/>
      <c r="I14" s="30"/>
      <c r="J14" s="30"/>
      <c r="K14" s="30"/>
      <c r="L14" s="30"/>
      <c r="M14" s="30"/>
      <c r="N14" s="30"/>
      <c r="O14" s="30"/>
      <c r="P14" s="30"/>
      <c r="Q14" s="30"/>
      <c r="R14" s="30"/>
      <c r="S14" s="30"/>
      <c r="T14" s="30"/>
      <c r="U14" s="30"/>
      <c r="V14" s="30"/>
      <c r="W14" s="30"/>
      <c r="X14" s="30"/>
      <c r="Y14" s="30"/>
      <c r="Z14" s="30"/>
      <c r="AA14" s="30"/>
    </row>
    <row r="15">
      <c r="A15" s="75" t="s">
        <v>195</v>
      </c>
      <c r="B15" s="30" t="str">
        <f>IFERROR(__xludf.DUMMYFUNCTION("IFERROR(
  INDEX(
    IMPORTRANGE(""13G8fPsBFu2GexfFEa1WV07s1XBlkJUT6lht1aLlmcKg"", ""api-register-id!B:B""),
    MATCH(E15, IMPORTRANGE(""13G8fPsBFu2GexfFEa1WV07s1XBlkJUT6lht1aLlmcKg"", ""api-register-id!J:J""), 0)
  ),
  ""Not Found API Name""
)"),"Not Found API Name")</f>
        <v>Not Found API Name</v>
      </c>
      <c r="C15" s="30" t="str">
        <f>IFERROR(__xludf.DUMMYFUNCTION("IFERROR(
  INDEX(
    IMPORTRANGE(""13G8fPsBFu2GexfFEa1WV07s1XBlkJUT6lht1aLlmcKg"", ""api-register-id!D:D""),
    MATCH(E15, IMPORTRANGE(""13G8fPsBFu2GexfFEa1WV07s1XBlkJUT6lht1aLlmcKg"", ""api-register-id!J:J""), 0)
  ),
  ""Not Found API Name""
)"),"Not Found API Name")</f>
        <v>Not Found API Name</v>
      </c>
      <c r="D15" s="30" t="str">
        <f>IFERROR(__xludf.DUMMYFUNCTION("IFERROR(
  INDEX(
    IMPORTRANGE(""13G8fPsBFu2GexfFEa1WV07s1XBlkJUT6lht1aLlmcKg"", ""api-register-id!E:E""),
    MATCH(E15, IMPORTRANGE(""13G8fPsBFu2GexfFEa1WV07s1XBlkJUT6lht1aLlmcKg"", ""api-register-id!J:J""), 0)
  ),
  ""Not Found API Name""
)"),"Not Found API Name")</f>
        <v>Not Found API Name</v>
      </c>
      <c r="E15" s="30" t="str">
        <f t="shared" si="1"/>
        <v>mx-ms-bc-bus-servicing-mule</v>
      </c>
      <c r="F15" s="74" t="str">
        <f>IFERROR(__xludf.DUMMYFUNCTION("IFERROR(
  INDEX(
    IMPORTRANGE(""13G8fPsBFu2GexfFEa1WV07s1XBlkJUT6lht1aLlmcKg"", ""api-register-id!C:C""),
    MATCH(E15, IMPORTRANGE(""13G8fPsBFu2GexfFEa1WV07s1XBlkJUT6lht1aLlmcKg"", ""api-register-id!J:J""), 0)
  ),
  ""Not Found API Name""
)"),"Not Found API Name")</f>
        <v>Not Found API Name</v>
      </c>
      <c r="G15" s="30"/>
      <c r="H15" s="30"/>
      <c r="I15" s="30"/>
      <c r="J15" s="30"/>
      <c r="K15" s="30"/>
      <c r="L15" s="30"/>
      <c r="M15" s="30"/>
      <c r="N15" s="30"/>
      <c r="O15" s="30"/>
      <c r="P15" s="30"/>
      <c r="Q15" s="30"/>
      <c r="R15" s="30"/>
      <c r="S15" s="30"/>
      <c r="T15" s="30"/>
      <c r="U15" s="30"/>
      <c r="V15" s="30"/>
      <c r="W15" s="30"/>
      <c r="X15" s="30"/>
      <c r="Y15" s="30"/>
      <c r="Z15" s="30"/>
      <c r="AA15" s="30"/>
    </row>
    <row r="16">
      <c r="A16" s="75" t="s">
        <v>198</v>
      </c>
      <c r="B16" s="30" t="str">
        <f>IFERROR(__xludf.DUMMYFUNCTION("IFERROR(
  INDEX(
    IMPORTRANGE(""13G8fPsBFu2GexfFEa1WV07s1XBlkJUT6lht1aLlmcKg"", ""api-register-id!B:B""),
    MATCH(E16, IMPORTRANGE(""13G8fPsBFu2GexfFEa1WV07s1XBlkJUT6lht1aLlmcKg"", ""api-register-id!J:J""), 0)
  ),
  ""Not Found API Name""
)"),"Not Found API Name")</f>
        <v>Not Found API Name</v>
      </c>
      <c r="C16" s="30" t="str">
        <f>IFERROR(__xludf.DUMMYFUNCTION("IFERROR(
  INDEX(
    IMPORTRANGE(""13G8fPsBFu2GexfFEa1WV07s1XBlkJUT6lht1aLlmcKg"", ""api-register-id!D:D""),
    MATCH(E16, IMPORTRANGE(""13G8fPsBFu2GexfFEa1WV07s1XBlkJUT6lht1aLlmcKg"", ""api-register-id!J:J""), 0)
  ),
  ""Not Found API Name""
)"),"Not Found API Name")</f>
        <v>Not Found API Name</v>
      </c>
      <c r="D16" s="30" t="str">
        <f>IFERROR(__xludf.DUMMYFUNCTION("IFERROR(
  INDEX(
    IMPORTRANGE(""13G8fPsBFu2GexfFEa1WV07s1XBlkJUT6lht1aLlmcKg"", ""api-register-id!E:E""),
    MATCH(E16, IMPORTRANGE(""13G8fPsBFu2GexfFEa1WV07s1XBlkJUT6lht1aLlmcKg"", ""api-register-id!J:J""), 0)
  ),
  ""Not Found API Name""
)"),"Not Found API Name")</f>
        <v>Not Found API Name</v>
      </c>
      <c r="E16" s="30" t="str">
        <f t="shared" si="1"/>
        <v>mx-ms-bc-dom-branch-location-operations-mule</v>
      </c>
      <c r="F16" s="74" t="str">
        <f>IFERROR(__xludf.DUMMYFUNCTION("IFERROR(
  INDEX(
    IMPORTRANGE(""13G8fPsBFu2GexfFEa1WV07s1XBlkJUT6lht1aLlmcKg"", ""api-register-id!C:C""),
    MATCH(E16, IMPORTRANGE(""13G8fPsBFu2GexfFEa1WV07s1XBlkJUT6lht1aLlmcKg"", ""api-register-id!J:J""), 0)
  ),
  ""Not Found API Name""
)"),"Not Found API Name")</f>
        <v>Not Found API Name</v>
      </c>
      <c r="G16" s="30"/>
      <c r="H16" s="30"/>
      <c r="I16" s="30"/>
      <c r="J16" s="30"/>
      <c r="K16" s="30"/>
      <c r="L16" s="30"/>
      <c r="M16" s="30"/>
      <c r="N16" s="30"/>
      <c r="O16" s="30"/>
      <c r="P16" s="30"/>
      <c r="Q16" s="30"/>
      <c r="R16" s="30"/>
      <c r="S16" s="30"/>
      <c r="T16" s="30"/>
      <c r="U16" s="30"/>
      <c r="V16" s="30"/>
      <c r="W16" s="30"/>
      <c r="X16" s="30"/>
      <c r="Y16" s="30"/>
      <c r="Z16" s="30"/>
      <c r="AA16" s="30"/>
    </row>
    <row r="17">
      <c r="A17" s="75" t="s">
        <v>201</v>
      </c>
      <c r="B17" s="30" t="str">
        <f>IFERROR(__xludf.DUMMYFUNCTION("IFERROR(
  INDEX(
    IMPORTRANGE(""13G8fPsBFu2GexfFEa1WV07s1XBlkJUT6lht1aLlmcKg"", ""api-register-id!B:B""),
    MATCH(E17, IMPORTRANGE(""13G8fPsBFu2GexfFEa1WV07s1XBlkJUT6lht1aLlmcKg"", ""api-register-id!J:J""), 0)
  ),
  ""Not Found API Name""
)"),"Not Found API Name")</f>
        <v>Not Found API Name</v>
      </c>
      <c r="C17" s="30" t="str">
        <f>IFERROR(__xludf.DUMMYFUNCTION("IFERROR(
  INDEX(
    IMPORTRANGE(""13G8fPsBFu2GexfFEa1WV07s1XBlkJUT6lht1aLlmcKg"", ""api-register-id!D:D""),
    MATCH(E17, IMPORTRANGE(""13G8fPsBFu2GexfFEa1WV07s1XBlkJUT6lht1aLlmcKg"", ""api-register-id!J:J""), 0)
  ),
  ""Not Found API Name""
)"),"Not Found API Name")</f>
        <v>Not Found API Name</v>
      </c>
      <c r="D17" s="30" t="str">
        <f>IFERROR(__xludf.DUMMYFUNCTION("IFERROR(
  INDEX(
    IMPORTRANGE(""13G8fPsBFu2GexfFEa1WV07s1XBlkJUT6lht1aLlmcKg"", ""api-register-id!E:E""),
    MATCH(E17, IMPORTRANGE(""13G8fPsBFu2GexfFEa1WV07s1XBlkJUT6lht1aLlmcKg"", ""api-register-id!J:J""), 0)
  ),
  ""Not Found API Name""
)"),"Not Found API Name")</f>
        <v>Not Found API Name</v>
      </c>
      <c r="E17" s="30" t="str">
        <f t="shared" si="1"/>
        <v>mx-ms-bc-dom-branch-network-management-mule</v>
      </c>
      <c r="F17" s="74" t="str">
        <f>IFERROR(__xludf.DUMMYFUNCTION("IFERROR(
  INDEX(
    IMPORTRANGE(""13G8fPsBFu2GexfFEa1WV07s1XBlkJUT6lht1aLlmcKg"", ""api-register-id!C:C""),
    MATCH(E17, IMPORTRANGE(""13G8fPsBFu2GexfFEa1WV07s1XBlkJUT6lht1aLlmcKg"", ""api-register-id!J:J""), 0)
  ),
  ""Not Found API Name""
)"),"Not Found API Name")</f>
        <v>Not Found API Name</v>
      </c>
      <c r="G17" s="30"/>
      <c r="H17" s="30"/>
      <c r="I17" s="30"/>
      <c r="J17" s="30"/>
      <c r="K17" s="30"/>
      <c r="L17" s="30"/>
      <c r="M17" s="30"/>
      <c r="N17" s="30"/>
      <c r="O17" s="30"/>
      <c r="P17" s="30"/>
      <c r="Q17" s="30"/>
      <c r="R17" s="30"/>
      <c r="S17" s="30"/>
      <c r="T17" s="30"/>
      <c r="U17" s="30"/>
      <c r="V17" s="30"/>
      <c r="W17" s="30"/>
      <c r="X17" s="30"/>
      <c r="Y17" s="30"/>
      <c r="Z17" s="30"/>
      <c r="AA17" s="30"/>
    </row>
    <row r="18">
      <c r="A18" s="75" t="s">
        <v>203</v>
      </c>
      <c r="B18" s="30" t="str">
        <f>IFERROR(__xludf.DUMMYFUNCTION("IFERROR(
  INDEX(
    IMPORTRANGE(""13G8fPsBFu2GexfFEa1WV07s1XBlkJUT6lht1aLlmcKg"", ""api-register-id!B:B""),
    MATCH(E18, IMPORTRANGE(""13G8fPsBFu2GexfFEa1WV07s1XBlkJUT6lht1aLlmcKg"", ""api-register-id!J:J""), 0)
  ),
  ""Not Found API Name""
)"),"Not Found API Name")</f>
        <v>Not Found API Name</v>
      </c>
      <c r="C18" s="30" t="str">
        <f>IFERROR(__xludf.DUMMYFUNCTION("IFERROR(
  INDEX(
    IMPORTRANGE(""13G8fPsBFu2GexfFEa1WV07s1XBlkJUT6lht1aLlmcKg"", ""api-register-id!D:D""),
    MATCH(E18, IMPORTRANGE(""13G8fPsBFu2GexfFEa1WV07s1XBlkJUT6lht1aLlmcKg"", ""api-register-id!J:J""), 0)
  ),
  ""Not Found API Name""
)"),"Not Found API Name")</f>
        <v>Not Found API Name</v>
      </c>
      <c r="D18" s="30" t="str">
        <f>IFERROR(__xludf.DUMMYFUNCTION("IFERROR(
  INDEX(
    IMPORTRANGE(""13G8fPsBFu2GexfFEa1WV07s1XBlkJUT6lht1aLlmcKg"", ""api-register-id!E:E""),
    MATCH(E18, IMPORTRANGE(""13G8fPsBFu2GexfFEa1WV07s1XBlkJUT6lht1aLlmcKg"", ""api-register-id!J:J""), 0)
  ),
  ""Not Found API Name""
)"),"Not Found API Name")</f>
        <v>Not Found API Name</v>
      </c>
      <c r="E18" s="30" t="str">
        <f t="shared" si="1"/>
        <v>mx-ms-bc-dom-card-ecommerce-gateway-mule</v>
      </c>
      <c r="F18" s="74" t="str">
        <f>IFERROR(__xludf.DUMMYFUNCTION("IFERROR(
  INDEX(
    IMPORTRANGE(""13G8fPsBFu2GexfFEa1WV07s1XBlkJUT6lht1aLlmcKg"", ""api-register-id!C:C""),
    MATCH(E18, IMPORTRANGE(""13G8fPsBFu2GexfFEa1WV07s1XBlkJUT6lht1aLlmcKg"", ""api-register-id!J:J""), 0)
  ),
  ""Not Found API Name""
)"),"Not Found API Name")</f>
        <v>Not Found API Name</v>
      </c>
      <c r="G18" s="30"/>
      <c r="H18" s="30"/>
      <c r="I18" s="30"/>
      <c r="J18" s="30"/>
      <c r="K18" s="30"/>
      <c r="L18" s="30"/>
      <c r="M18" s="30"/>
      <c r="N18" s="30"/>
      <c r="O18" s="30"/>
      <c r="P18" s="30"/>
      <c r="Q18" s="30"/>
      <c r="R18" s="30"/>
      <c r="S18" s="30"/>
      <c r="T18" s="30"/>
      <c r="U18" s="30"/>
      <c r="V18" s="30"/>
      <c r="W18" s="30"/>
      <c r="X18" s="30"/>
      <c r="Y18" s="30"/>
      <c r="Z18" s="30"/>
      <c r="AA18" s="30"/>
    </row>
    <row r="19">
      <c r="A19" s="75" t="s">
        <v>208</v>
      </c>
      <c r="B19" s="30" t="str">
        <f>IFERROR(__xludf.DUMMYFUNCTION("IFERROR(
  INDEX(
    IMPORTRANGE(""13G8fPsBFu2GexfFEa1WV07s1XBlkJUT6lht1aLlmcKg"", ""api-register-id!B:B""),
    MATCH(E19, IMPORTRANGE(""13G8fPsBFu2GexfFEa1WV07s1XBlkJUT6lht1aLlmcKg"", ""api-register-id!J:J""), 0)
  ),
  ""Not Found API Name""
)"),"Not Found API Name")</f>
        <v>Not Found API Name</v>
      </c>
      <c r="C19" s="30" t="str">
        <f>IFERROR(__xludf.DUMMYFUNCTION("IFERROR(
  INDEX(
    IMPORTRANGE(""13G8fPsBFu2GexfFEa1WV07s1XBlkJUT6lht1aLlmcKg"", ""api-register-id!D:D""),
    MATCH(E19, IMPORTRANGE(""13G8fPsBFu2GexfFEa1WV07s1XBlkJUT6lht1aLlmcKg"", ""api-register-id!J:J""), 0)
  ),
  ""Not Found API Name""
)"),"Not Found API Name")</f>
        <v>Not Found API Name</v>
      </c>
      <c r="D19" s="30" t="str">
        <f>IFERROR(__xludf.DUMMYFUNCTION("IFERROR(
  INDEX(
    IMPORTRANGE(""13G8fPsBFu2GexfFEa1WV07s1XBlkJUT6lht1aLlmcKg"", ""api-register-id!E:E""),
    MATCH(E19, IMPORTRANGE(""13G8fPsBFu2GexfFEa1WV07s1XBlkJUT6lht1aLlmcKg"", ""api-register-id!J:J""), 0)
  ),
  ""Not Found API Name""
)"),"Not Found API Name")</f>
        <v>Not Found API Name</v>
      </c>
      <c r="E19" s="30" t="str">
        <f t="shared" si="1"/>
        <v>mx-ms-bc-dom-card-transaction-switch-mule</v>
      </c>
      <c r="F19" s="74" t="str">
        <f>IFERROR(__xludf.DUMMYFUNCTION("IFERROR(
  INDEX(
    IMPORTRANGE(""13G8fPsBFu2GexfFEa1WV07s1XBlkJUT6lht1aLlmcKg"", ""api-register-id!C:C""),
    MATCH(E19, IMPORTRANGE(""13G8fPsBFu2GexfFEa1WV07s1XBlkJUT6lht1aLlmcKg"", ""api-register-id!J:J""), 0)
  ),
  ""Not Found API Name""
)"),"Not Found API Name")</f>
        <v>Not Found API Name</v>
      </c>
      <c r="G19" s="30"/>
      <c r="H19" s="30"/>
      <c r="I19" s="30"/>
      <c r="J19" s="30"/>
      <c r="K19" s="30"/>
      <c r="L19" s="30"/>
      <c r="M19" s="30"/>
      <c r="N19" s="30"/>
      <c r="O19" s="30"/>
      <c r="P19" s="30"/>
      <c r="Q19" s="30"/>
      <c r="R19" s="30"/>
      <c r="S19" s="30"/>
      <c r="T19" s="30"/>
      <c r="U19" s="30"/>
      <c r="V19" s="30"/>
      <c r="W19" s="30"/>
      <c r="X19" s="30"/>
      <c r="Y19" s="30"/>
      <c r="Z19" s="30"/>
      <c r="AA19" s="30"/>
    </row>
    <row r="20">
      <c r="A20" s="75" t="s">
        <v>211</v>
      </c>
      <c r="B20" s="30" t="str">
        <f>IFERROR(__xludf.DUMMYFUNCTION("IFERROR(
  INDEX(
    IMPORTRANGE(""13G8fPsBFu2GexfFEa1WV07s1XBlkJUT6lht1aLlmcKg"", ""api-register-id!B:B""),
    MATCH(E20, IMPORTRANGE(""13G8fPsBFu2GexfFEa1WV07s1XBlkJUT6lht1aLlmcKg"", ""api-register-id!J:J""), 0)
  ),
  ""Not Found API Name""
)"),"Not Found API Name")</f>
        <v>Not Found API Name</v>
      </c>
      <c r="C20" s="30" t="str">
        <f>IFERROR(__xludf.DUMMYFUNCTION("IFERROR(
  INDEX(
    IMPORTRANGE(""13G8fPsBFu2GexfFEa1WV07s1XBlkJUT6lht1aLlmcKg"", ""api-register-id!D:D""),
    MATCH(E20, IMPORTRANGE(""13G8fPsBFu2GexfFEa1WV07s1XBlkJUT6lht1aLlmcKg"", ""api-register-id!J:J""), 0)
  ),
  ""Not Found API Name""
)"),"Not Found API Name")</f>
        <v>Not Found API Name</v>
      </c>
      <c r="D20" s="30" t="str">
        <f>IFERROR(__xludf.DUMMYFUNCTION("IFERROR(
  INDEX(
    IMPORTRANGE(""13G8fPsBFu2GexfFEa1WV07s1XBlkJUT6lht1aLlmcKg"", ""api-register-id!E:E""),
    MATCH(E20, IMPORTRANGE(""13G8fPsBFu2GexfFEa1WV07s1XBlkJUT6lht1aLlmcKg"", ""api-register-id!J:J""), 0)
  ),
  ""Not Found API Name""
)"),"Not Found API Name")</f>
        <v>Not Found API Name</v>
      </c>
      <c r="E20" s="30" t="str">
        <f t="shared" si="1"/>
        <v>mx-ms-bc-dom-correspondence-mule</v>
      </c>
      <c r="F20" s="74" t="str">
        <f>IFERROR(__xludf.DUMMYFUNCTION("IFERROR(
  INDEX(
    IMPORTRANGE(""13G8fPsBFu2GexfFEa1WV07s1XBlkJUT6lht1aLlmcKg"", ""api-register-id!C:C""),
    MATCH(E20, IMPORTRANGE(""13G8fPsBFu2GexfFEa1WV07s1XBlkJUT6lht1aLlmcKg"", ""api-register-id!J:J""), 0)
  ),
  ""Not Found API Name""
)"),"Not Found API Name")</f>
        <v>Not Found API Name</v>
      </c>
      <c r="G20" s="30"/>
      <c r="H20" s="30"/>
      <c r="I20" s="30"/>
      <c r="J20" s="30"/>
      <c r="K20" s="30"/>
      <c r="L20" s="30"/>
      <c r="M20" s="30"/>
      <c r="N20" s="30"/>
      <c r="O20" s="30"/>
      <c r="P20" s="30"/>
      <c r="Q20" s="30"/>
      <c r="R20" s="30"/>
      <c r="S20" s="30"/>
      <c r="T20" s="30"/>
      <c r="U20" s="30"/>
      <c r="V20" s="30"/>
      <c r="W20" s="30"/>
      <c r="X20" s="30"/>
      <c r="Y20" s="30"/>
      <c r="Z20" s="30"/>
      <c r="AA20" s="30"/>
    </row>
    <row r="21">
      <c r="A21" s="75" t="s">
        <v>212</v>
      </c>
      <c r="B21" s="30" t="str">
        <f>IFERROR(__xludf.DUMMYFUNCTION("IFERROR(
  INDEX(
    IMPORTRANGE(""13G8fPsBFu2GexfFEa1WV07s1XBlkJUT6lht1aLlmcKg"", ""api-register-id!B:B""),
    MATCH(E21, IMPORTRANGE(""13G8fPsBFu2GexfFEa1WV07s1XBlkJUT6lht1aLlmcKg"", ""api-register-id!J:J""), 0)
  ),
  ""Not Found API Name""
)"),"Not Found API Name")</f>
        <v>Not Found API Name</v>
      </c>
      <c r="C21" s="30" t="str">
        <f>IFERROR(__xludf.DUMMYFUNCTION("IFERROR(
  INDEX(
    IMPORTRANGE(""13G8fPsBFu2GexfFEa1WV07s1XBlkJUT6lht1aLlmcKg"", ""api-register-id!D:D""),
    MATCH(E21, IMPORTRANGE(""13G8fPsBFu2GexfFEa1WV07s1XBlkJUT6lht1aLlmcKg"", ""api-register-id!J:J""), 0)
  ),
  ""Not Found API Name""
)"),"Not Found API Name")</f>
        <v>Not Found API Name</v>
      </c>
      <c r="D21" s="30" t="str">
        <f>IFERROR(__xludf.DUMMYFUNCTION("IFERROR(
  INDEX(
    IMPORTRANGE(""13G8fPsBFu2GexfFEa1WV07s1XBlkJUT6lht1aLlmcKg"", ""api-register-id!E:E""),
    MATCH(E21, IMPORTRANGE(""13G8fPsBFu2GexfFEa1WV07s1XBlkJUT6lht1aLlmcKg"", ""api-register-id!J:J""), 0)
  ),
  ""Not Found API Name""
)"),"Not Found API Name")</f>
        <v>Not Found API Name</v>
      </c>
      <c r="E21" s="30" t="str">
        <f t="shared" si="1"/>
        <v>mx-ms-bc-dom-counterparty-risk-mule</v>
      </c>
      <c r="F21" s="74" t="str">
        <f>IFERROR(__xludf.DUMMYFUNCTION("IFERROR(
  INDEX(
    IMPORTRANGE(""13G8fPsBFu2GexfFEa1WV07s1XBlkJUT6lht1aLlmcKg"", ""api-register-id!C:C""),
    MATCH(E21, IMPORTRANGE(""13G8fPsBFu2GexfFEa1WV07s1XBlkJUT6lht1aLlmcKg"", ""api-register-id!J:J""), 0)
  ),
  ""Not Found API Name""
)"),"Not Found API Name")</f>
        <v>Not Found API Name</v>
      </c>
      <c r="G21" s="30"/>
      <c r="H21" s="30"/>
      <c r="I21" s="30"/>
      <c r="J21" s="30"/>
      <c r="K21" s="30"/>
      <c r="L21" s="30"/>
      <c r="M21" s="30"/>
      <c r="N21" s="30"/>
      <c r="O21" s="30"/>
      <c r="P21" s="30"/>
      <c r="Q21" s="30"/>
      <c r="R21" s="30"/>
      <c r="S21" s="30"/>
      <c r="T21" s="30"/>
      <c r="U21" s="30"/>
      <c r="V21" s="30"/>
      <c r="W21" s="30"/>
      <c r="X21" s="30"/>
      <c r="Y21" s="30"/>
      <c r="Z21" s="30"/>
      <c r="AA21" s="30"/>
    </row>
    <row r="22">
      <c r="A22" s="75" t="s">
        <v>217</v>
      </c>
      <c r="B22" s="30" t="str">
        <f>IFERROR(__xludf.DUMMYFUNCTION("IFERROR(
  INDEX(
    IMPORTRANGE(""13G8fPsBFu2GexfFEa1WV07s1XBlkJUT6lht1aLlmcKg"", ""api-register-id!B:B""),
    MATCH(E22, IMPORTRANGE(""13G8fPsBFu2GexfFEa1WV07s1XBlkJUT6lht1aLlmcKg"", ""api-register-id!J:J""), 0)
  ),
  ""Not Found API Name""
)"),"Not Found API Name")</f>
        <v>Not Found API Name</v>
      </c>
      <c r="C22" s="30" t="str">
        <f>IFERROR(__xludf.DUMMYFUNCTION("IFERROR(
  INDEX(
    IMPORTRANGE(""13G8fPsBFu2GexfFEa1WV07s1XBlkJUT6lht1aLlmcKg"", ""api-register-id!D:D""),
    MATCH(E22, IMPORTRANGE(""13G8fPsBFu2GexfFEa1WV07s1XBlkJUT6lht1aLlmcKg"", ""api-register-id!J:J""), 0)
  ),
  ""Not Found API Name""
)"),"Not Found API Name")</f>
        <v>Not Found API Name</v>
      </c>
      <c r="D22" s="30" t="str">
        <f>IFERROR(__xludf.DUMMYFUNCTION("IFERROR(
  INDEX(
    IMPORTRANGE(""13G8fPsBFu2GexfFEa1WV07s1XBlkJUT6lht1aLlmcKg"", ""api-register-id!E:E""),
    MATCH(E22, IMPORTRANGE(""13G8fPsBFu2GexfFEa1WV07s1XBlkJUT6lht1aLlmcKg"", ""api-register-id!J:J""), 0)
  ),
  ""Not Found API Name""
)"),"Not Found API Name")</f>
        <v>Not Found API Name</v>
      </c>
      <c r="E22" s="30" t="str">
        <f t="shared" si="1"/>
        <v>mx-ms-bc-dom-credit-card-mule</v>
      </c>
      <c r="F22" s="74" t="str">
        <f>IFERROR(__xludf.DUMMYFUNCTION("IFERROR(
  INDEX(
    IMPORTRANGE(""13G8fPsBFu2GexfFEa1WV07s1XBlkJUT6lht1aLlmcKg"", ""api-register-id!C:C""),
    MATCH(E22, IMPORTRANGE(""13G8fPsBFu2GexfFEa1WV07s1XBlkJUT6lht1aLlmcKg"", ""api-register-id!J:J""), 0)
  ),
  ""Not Found API Name""
)"),"Not Found API Name")</f>
        <v>Not Found API Name</v>
      </c>
      <c r="G22" s="30"/>
      <c r="H22" s="30"/>
      <c r="I22" s="30"/>
      <c r="J22" s="30"/>
      <c r="K22" s="30"/>
      <c r="L22" s="30"/>
      <c r="M22" s="30"/>
      <c r="N22" s="30"/>
      <c r="O22" s="30"/>
      <c r="P22" s="30"/>
      <c r="Q22" s="30"/>
      <c r="R22" s="30"/>
      <c r="S22" s="30"/>
      <c r="T22" s="30"/>
      <c r="U22" s="30"/>
      <c r="V22" s="30"/>
      <c r="W22" s="30"/>
      <c r="X22" s="30"/>
      <c r="Y22" s="30"/>
      <c r="Z22" s="30"/>
      <c r="AA22" s="30"/>
    </row>
    <row r="23">
      <c r="A23" s="75" t="s">
        <v>219</v>
      </c>
      <c r="B23" s="30" t="str">
        <f>IFERROR(__xludf.DUMMYFUNCTION("IFERROR(
  INDEX(
    IMPORTRANGE(""13G8fPsBFu2GexfFEa1WV07s1XBlkJUT6lht1aLlmcKg"", ""api-register-id!B:B""),
    MATCH(E23, IMPORTRANGE(""13G8fPsBFu2GexfFEa1WV07s1XBlkJUT6lht1aLlmcKg"", ""api-register-id!J:J""), 0)
  ),
  ""Not Found API Name""
)"),"Not Found API Name")</f>
        <v>Not Found API Name</v>
      </c>
      <c r="C23" s="30" t="str">
        <f>IFERROR(__xludf.DUMMYFUNCTION("IFERROR(
  INDEX(
    IMPORTRANGE(""13G8fPsBFu2GexfFEa1WV07s1XBlkJUT6lht1aLlmcKg"", ""api-register-id!D:D""),
    MATCH(E23, IMPORTRANGE(""13G8fPsBFu2GexfFEa1WV07s1XBlkJUT6lht1aLlmcKg"", ""api-register-id!J:J""), 0)
  ),
  ""Not Found API Name""
)"),"Not Found API Name")</f>
        <v>Not Found API Name</v>
      </c>
      <c r="D23" s="30" t="str">
        <f>IFERROR(__xludf.DUMMYFUNCTION("IFERROR(
  INDEX(
    IMPORTRANGE(""13G8fPsBFu2GexfFEa1WV07s1XBlkJUT6lht1aLlmcKg"", ""api-register-id!E:E""),
    MATCH(E23, IMPORTRANGE(""13G8fPsBFu2GexfFEa1WV07s1XBlkJUT6lht1aLlmcKg"", ""api-register-id!J:J""), 0)
  ),
  ""Not Found API Name""
)"),"Not Found API Name")</f>
        <v>Not Found API Name</v>
      </c>
      <c r="E23" s="30" t="str">
        <f t="shared" si="1"/>
        <v>mx-ms-bc-dom-credit-card-position-keeping-mule</v>
      </c>
      <c r="F23" s="74" t="str">
        <f>IFERROR(__xludf.DUMMYFUNCTION("IFERROR(
  INDEX(
    IMPORTRANGE(""13G8fPsBFu2GexfFEa1WV07s1XBlkJUT6lht1aLlmcKg"", ""api-register-id!C:C""),
    MATCH(E23, IMPORTRANGE(""13G8fPsBFu2GexfFEa1WV07s1XBlkJUT6lht1aLlmcKg"", ""api-register-id!J:J""), 0)
  ),
  ""Not Found API Name""
)"),"Not Found API Name")</f>
        <v>Not Found API Name</v>
      </c>
      <c r="G23" s="30"/>
      <c r="H23" s="30"/>
      <c r="I23" s="30"/>
      <c r="J23" s="30"/>
      <c r="K23" s="30"/>
      <c r="L23" s="30"/>
      <c r="M23" s="30"/>
      <c r="N23" s="30"/>
      <c r="O23" s="30"/>
      <c r="P23" s="30"/>
      <c r="Q23" s="30"/>
      <c r="R23" s="30"/>
      <c r="S23" s="30"/>
      <c r="T23" s="30"/>
      <c r="U23" s="30"/>
      <c r="V23" s="30"/>
      <c r="W23" s="30"/>
      <c r="X23" s="30"/>
      <c r="Y23" s="30"/>
      <c r="Z23" s="30"/>
      <c r="AA23" s="30"/>
    </row>
    <row r="24">
      <c r="A24" s="75" t="s">
        <v>222</v>
      </c>
      <c r="B24" s="30" t="str">
        <f>IFERROR(__xludf.DUMMYFUNCTION("IFERROR(
  INDEX(
    IMPORTRANGE(""13G8fPsBFu2GexfFEa1WV07s1XBlkJUT6lht1aLlmcKg"", ""api-register-id!B:B""),
    MATCH(E24, IMPORTRANGE(""13G8fPsBFu2GexfFEa1WV07s1XBlkJUT6lht1aLlmcKg"", ""api-register-id!J:J""), 0)
  ),
  ""Not Found API Name""
)"),"Not Found API Name")</f>
        <v>Not Found API Name</v>
      </c>
      <c r="C24" s="30" t="str">
        <f>IFERROR(__xludf.DUMMYFUNCTION("IFERROR(
  INDEX(
    IMPORTRANGE(""13G8fPsBFu2GexfFEa1WV07s1XBlkJUT6lht1aLlmcKg"", ""api-register-id!D:D""),
    MATCH(E24, IMPORTRANGE(""13G8fPsBFu2GexfFEa1WV07s1XBlkJUT6lht1aLlmcKg"", ""api-register-id!J:J""), 0)
  ),
  ""Not Found API Name""
)"),"Not Found API Name")</f>
        <v>Not Found API Name</v>
      </c>
      <c r="D24" s="30" t="str">
        <f>IFERROR(__xludf.DUMMYFUNCTION("IFERROR(
  INDEX(
    IMPORTRANGE(""13G8fPsBFu2GexfFEa1WV07s1XBlkJUT6lht1aLlmcKg"", ""api-register-id!E:E""),
    MATCH(E24, IMPORTRANGE(""13G8fPsBFu2GexfFEa1WV07s1XBlkJUT6lht1aLlmcKg"", ""api-register-id!J:J""), 0)
  ),
  ""Not Found API Name""
)"),"Not Found API Name")</f>
        <v>Not Found API Name</v>
      </c>
      <c r="E24" s="30" t="str">
        <f t="shared" si="1"/>
        <v>mx-ms-bc-dom-credit-facility-mule</v>
      </c>
      <c r="F24" s="74" t="str">
        <f>IFERROR(__xludf.DUMMYFUNCTION("IFERROR(
  INDEX(
    IMPORTRANGE(""13G8fPsBFu2GexfFEa1WV07s1XBlkJUT6lht1aLlmcKg"", ""api-register-id!C:C""),
    MATCH(E24, IMPORTRANGE(""13G8fPsBFu2GexfFEa1WV07s1XBlkJUT6lht1aLlmcKg"", ""api-register-id!J:J""), 0)
  ),
  ""Not Found API Name""
)"),"Not Found API Name")</f>
        <v>Not Found API Name</v>
      </c>
      <c r="G24" s="30"/>
      <c r="H24" s="30"/>
      <c r="I24" s="30"/>
      <c r="J24" s="30"/>
      <c r="K24" s="30"/>
      <c r="L24" s="30"/>
      <c r="M24" s="30"/>
      <c r="N24" s="30"/>
      <c r="O24" s="30"/>
      <c r="P24" s="30"/>
      <c r="Q24" s="30"/>
      <c r="R24" s="30"/>
      <c r="S24" s="30"/>
      <c r="T24" s="30"/>
      <c r="U24" s="30"/>
      <c r="V24" s="30"/>
      <c r="W24" s="30"/>
      <c r="X24" s="30"/>
      <c r="Y24" s="30"/>
      <c r="Z24" s="30"/>
      <c r="AA24" s="30"/>
    </row>
    <row r="25">
      <c r="A25" s="75" t="s">
        <v>230</v>
      </c>
      <c r="B25" s="30" t="str">
        <f>IFERROR(__xludf.DUMMYFUNCTION("IFERROR(
  INDEX(
    IMPORTRANGE(""13G8fPsBFu2GexfFEa1WV07s1XBlkJUT6lht1aLlmcKg"", ""api-register-id!B:B""),
    MATCH(E25, IMPORTRANGE(""13G8fPsBFu2GexfFEa1WV07s1XBlkJUT6lht1aLlmcKg"", ""api-register-id!J:J""), 0)
  ),
  ""Not Found API Name""
)"),"Not Found API Name")</f>
        <v>Not Found API Name</v>
      </c>
      <c r="C25" s="30" t="str">
        <f>IFERROR(__xludf.DUMMYFUNCTION("IFERROR(
  INDEX(
    IMPORTRANGE(""13G8fPsBFu2GexfFEa1WV07s1XBlkJUT6lht1aLlmcKg"", ""api-register-id!D:D""),
    MATCH(E25, IMPORTRANGE(""13G8fPsBFu2GexfFEa1WV07s1XBlkJUT6lht1aLlmcKg"", ""api-register-id!J:J""), 0)
  ),
  ""Not Found API Name""
)"),"Not Found API Name")</f>
        <v>Not Found API Name</v>
      </c>
      <c r="D25" s="30" t="str">
        <f>IFERROR(__xludf.DUMMYFUNCTION("IFERROR(
  INDEX(
    IMPORTRANGE(""13G8fPsBFu2GexfFEa1WV07s1XBlkJUT6lht1aLlmcKg"", ""api-register-id!E:E""),
    MATCH(E25, IMPORTRANGE(""13G8fPsBFu2GexfFEa1WV07s1XBlkJUT6lht1aLlmcKg"", ""api-register-id!J:J""), 0)
  ),
  ""Not Found API Name""
)"),"Not Found API Name")</f>
        <v>Not Found API Name</v>
      </c>
      <c r="E25" s="30" t="str">
        <f t="shared" si="1"/>
        <v>mx-ms-bc-dom-customer-access-entitlement-mule</v>
      </c>
      <c r="F25" s="74" t="str">
        <f>IFERROR(__xludf.DUMMYFUNCTION("IFERROR(
  INDEX(
    IMPORTRANGE(""13G8fPsBFu2GexfFEa1WV07s1XBlkJUT6lht1aLlmcKg"", ""api-register-id!C:C""),
    MATCH(E25, IMPORTRANGE(""13G8fPsBFu2GexfFEa1WV07s1XBlkJUT6lht1aLlmcKg"", ""api-register-id!J:J""), 0)
  ),
  ""Not Found API Name""
)"),"Not Found API Name")</f>
        <v>Not Found API Name</v>
      </c>
      <c r="G25" s="30"/>
      <c r="H25" s="30"/>
      <c r="I25" s="30"/>
      <c r="J25" s="30"/>
      <c r="K25" s="30"/>
      <c r="L25" s="30"/>
      <c r="M25" s="30"/>
      <c r="N25" s="30"/>
      <c r="O25" s="30"/>
      <c r="P25" s="30"/>
      <c r="Q25" s="30"/>
      <c r="R25" s="30"/>
      <c r="S25" s="30"/>
      <c r="T25" s="30"/>
      <c r="U25" s="30"/>
      <c r="V25" s="30"/>
      <c r="W25" s="30"/>
      <c r="X25" s="30"/>
      <c r="Y25" s="30"/>
      <c r="Z25" s="30"/>
      <c r="AA25" s="30"/>
    </row>
    <row r="26">
      <c r="A26" s="75" t="s">
        <v>231</v>
      </c>
      <c r="B26" s="30" t="str">
        <f>IFERROR(__xludf.DUMMYFUNCTION("IFERROR(
  INDEX(
    IMPORTRANGE(""13G8fPsBFu2GexfFEa1WV07s1XBlkJUT6lht1aLlmcKg"", ""api-register-id!B:B""),
    MATCH(E26, IMPORTRANGE(""13G8fPsBFu2GexfFEa1WV07s1XBlkJUT6lht1aLlmcKg"", ""api-register-id!J:J""), 0)
  ),
  ""Not Found API Name""
)"),"Not Found API Name")</f>
        <v>Not Found API Name</v>
      </c>
      <c r="C26" s="30" t="str">
        <f>IFERROR(__xludf.DUMMYFUNCTION("IFERROR(
  INDEX(
    IMPORTRANGE(""13G8fPsBFu2GexfFEa1WV07s1XBlkJUT6lht1aLlmcKg"", ""api-register-id!D:D""),
    MATCH(E26, IMPORTRANGE(""13G8fPsBFu2GexfFEa1WV07s1XBlkJUT6lht1aLlmcKg"", ""api-register-id!J:J""), 0)
  ),
  ""Not Found API Name""
)"),"Not Found API Name")</f>
        <v>Not Found API Name</v>
      </c>
      <c r="D26" s="30" t="str">
        <f>IFERROR(__xludf.DUMMYFUNCTION("IFERROR(
  INDEX(
    IMPORTRANGE(""13G8fPsBFu2GexfFEa1WV07s1XBlkJUT6lht1aLlmcKg"", ""api-register-id!E:E""),
    MATCH(E26, IMPORTRANGE(""13G8fPsBFu2GexfFEa1WV07s1XBlkJUT6lht1aLlmcKg"", ""api-register-id!J:J""), 0)
  ),
  ""Not Found API Name""
)"),"Not Found API Name")</f>
        <v>Not Found API Name</v>
      </c>
      <c r="E26" s="30" t="str">
        <f t="shared" si="1"/>
        <v>mx-ms-bc-dom-customer-agreement-mule</v>
      </c>
      <c r="F26" s="74" t="str">
        <f>IFERROR(__xludf.DUMMYFUNCTION("IFERROR(
  INDEX(
    IMPORTRANGE(""13G8fPsBFu2GexfFEa1WV07s1XBlkJUT6lht1aLlmcKg"", ""api-register-id!C:C""),
    MATCH(E26, IMPORTRANGE(""13G8fPsBFu2GexfFEa1WV07s1XBlkJUT6lht1aLlmcKg"", ""api-register-id!J:J""), 0)
  ),
  ""Not Found API Name""
)"),"Not Found API Name")</f>
        <v>Not Found API Name</v>
      </c>
      <c r="G26" s="30"/>
      <c r="H26" s="30"/>
      <c r="I26" s="30"/>
      <c r="J26" s="30"/>
      <c r="K26" s="30"/>
      <c r="L26" s="30"/>
      <c r="M26" s="30"/>
      <c r="N26" s="30"/>
      <c r="O26" s="30"/>
      <c r="P26" s="30"/>
      <c r="Q26" s="30"/>
      <c r="R26" s="30"/>
      <c r="S26" s="30"/>
      <c r="T26" s="30"/>
      <c r="U26" s="30"/>
      <c r="V26" s="30"/>
      <c r="W26" s="30"/>
      <c r="X26" s="30"/>
      <c r="Y26" s="30"/>
      <c r="Z26" s="30"/>
      <c r="AA26" s="30"/>
    </row>
    <row r="27">
      <c r="A27" s="75" t="s">
        <v>236</v>
      </c>
      <c r="B27" s="30" t="str">
        <f>IFERROR(__xludf.DUMMYFUNCTION("IFERROR(
  INDEX(
    IMPORTRANGE(""13G8fPsBFu2GexfFEa1WV07s1XBlkJUT6lht1aLlmcKg"", ""api-register-id!B:B""),
    MATCH(E27, IMPORTRANGE(""13G8fPsBFu2GexfFEa1WV07s1XBlkJUT6lht1aLlmcKg"", ""api-register-id!J:J""), 0)
  ),
  ""Not Found API Name""
)"),"Not Found API Name")</f>
        <v>Not Found API Name</v>
      </c>
      <c r="C27" s="30" t="str">
        <f>IFERROR(__xludf.DUMMYFUNCTION("IFERROR(
  INDEX(
    IMPORTRANGE(""13G8fPsBFu2GexfFEa1WV07s1XBlkJUT6lht1aLlmcKg"", ""api-register-id!D:D""),
    MATCH(E27, IMPORTRANGE(""13G8fPsBFu2GexfFEa1WV07s1XBlkJUT6lht1aLlmcKg"", ""api-register-id!J:J""), 0)
  ),
  ""Not Found API Name""
)"),"Not Found API Name")</f>
        <v>Not Found API Name</v>
      </c>
      <c r="D27" s="30" t="str">
        <f>IFERROR(__xludf.DUMMYFUNCTION("IFERROR(
  INDEX(
    IMPORTRANGE(""13G8fPsBFu2GexfFEa1WV07s1XBlkJUT6lht1aLlmcKg"", ""api-register-id!E:E""),
    MATCH(E27, IMPORTRANGE(""13G8fPsBFu2GexfFEa1WV07s1XBlkJUT6lht1aLlmcKg"", ""api-register-id!J:J""), 0)
  ),
  ""Not Found API Name""
)"),"Not Found API Name")</f>
        <v>Not Found API Name</v>
      </c>
      <c r="E27" s="30" t="str">
        <f t="shared" si="1"/>
        <v>mx-ms-bc-dom-customer-credit-rating-mule</v>
      </c>
      <c r="F27" s="74" t="str">
        <f>IFERROR(__xludf.DUMMYFUNCTION("IFERROR(
  INDEX(
    IMPORTRANGE(""13G8fPsBFu2GexfFEa1WV07s1XBlkJUT6lht1aLlmcKg"", ""api-register-id!C:C""),
    MATCH(E27, IMPORTRANGE(""13G8fPsBFu2GexfFEa1WV07s1XBlkJUT6lht1aLlmcKg"", ""api-register-id!J:J""), 0)
  ),
  ""Not Found API Name""
)"),"Not Found API Name")</f>
        <v>Not Found API Name</v>
      </c>
      <c r="G27" s="30"/>
      <c r="H27" s="30"/>
      <c r="I27" s="30"/>
      <c r="J27" s="30"/>
      <c r="K27" s="30"/>
      <c r="L27" s="30"/>
      <c r="M27" s="30"/>
      <c r="N27" s="30"/>
      <c r="O27" s="30"/>
      <c r="P27" s="30"/>
      <c r="Q27" s="30"/>
      <c r="R27" s="30"/>
      <c r="S27" s="30"/>
      <c r="T27" s="30"/>
      <c r="U27" s="30"/>
      <c r="V27" s="30"/>
      <c r="W27" s="30"/>
      <c r="X27" s="30"/>
      <c r="Y27" s="30"/>
      <c r="Z27" s="30"/>
      <c r="AA27" s="30"/>
    </row>
    <row r="28">
      <c r="A28" s="75" t="s">
        <v>238</v>
      </c>
      <c r="B28" s="30" t="str">
        <f>IFERROR(__xludf.DUMMYFUNCTION("IFERROR(
  INDEX(
    IMPORTRANGE(""13G8fPsBFu2GexfFEa1WV07s1XBlkJUT6lht1aLlmcKg"", ""api-register-id!B:B""),
    MATCH(E28, IMPORTRANGE(""13G8fPsBFu2GexfFEa1WV07s1XBlkJUT6lht1aLlmcKg"", ""api-register-id!J:J""), 0)
  ),
  ""Not Found API Name""
)"),"Not Found API Name")</f>
        <v>Not Found API Name</v>
      </c>
      <c r="C28" s="30" t="str">
        <f>IFERROR(__xludf.DUMMYFUNCTION("IFERROR(
  INDEX(
    IMPORTRANGE(""13G8fPsBFu2GexfFEa1WV07s1XBlkJUT6lht1aLlmcKg"", ""api-register-id!D:D""),
    MATCH(E28, IMPORTRANGE(""13G8fPsBFu2GexfFEa1WV07s1XBlkJUT6lht1aLlmcKg"", ""api-register-id!J:J""), 0)
  ),
  ""Not Found API Name""
)"),"Not Found API Name")</f>
        <v>Not Found API Name</v>
      </c>
      <c r="D28" s="30" t="str">
        <f>IFERROR(__xludf.DUMMYFUNCTION("IFERROR(
  INDEX(
    IMPORTRANGE(""13G8fPsBFu2GexfFEa1WV07s1XBlkJUT6lht1aLlmcKg"", ""api-register-id!E:E""),
    MATCH(E28, IMPORTRANGE(""13G8fPsBFu2GexfFEa1WV07s1XBlkJUT6lht1aLlmcKg"", ""api-register-id!J:J""), 0)
  ),
  ""Not Found API Name""
)"),"Not Found API Name")</f>
        <v>Not Found API Name</v>
      </c>
      <c r="E28" s="30" t="str">
        <f t="shared" si="1"/>
        <v>mx-ms-bc-dom-customer-position-mule</v>
      </c>
      <c r="F28" s="74" t="str">
        <f>IFERROR(__xludf.DUMMYFUNCTION("IFERROR(
  INDEX(
    IMPORTRANGE(""13G8fPsBFu2GexfFEa1WV07s1XBlkJUT6lht1aLlmcKg"", ""api-register-id!C:C""),
    MATCH(E28, IMPORTRANGE(""13G8fPsBFu2GexfFEa1WV07s1XBlkJUT6lht1aLlmcKg"", ""api-register-id!J:J""), 0)
  ),
  ""Not Found API Name""
)"),"Not Found API Name")</f>
        <v>Not Found API Name</v>
      </c>
      <c r="G28" s="30"/>
      <c r="H28" s="30"/>
      <c r="I28" s="30"/>
      <c r="J28" s="30"/>
      <c r="K28" s="30"/>
      <c r="L28" s="30"/>
      <c r="M28" s="30"/>
      <c r="N28" s="30"/>
      <c r="O28" s="30"/>
      <c r="P28" s="30"/>
      <c r="Q28" s="30"/>
      <c r="R28" s="30"/>
      <c r="S28" s="30"/>
      <c r="T28" s="30"/>
      <c r="U28" s="30"/>
      <c r="V28" s="30"/>
      <c r="W28" s="30"/>
      <c r="X28" s="30"/>
      <c r="Y28" s="30"/>
      <c r="Z28" s="30"/>
      <c r="AA28" s="30"/>
    </row>
    <row r="29">
      <c r="A29" s="75" t="s">
        <v>242</v>
      </c>
      <c r="B29" s="30" t="str">
        <f>IFERROR(__xludf.DUMMYFUNCTION("IFERROR(
  INDEX(
    IMPORTRANGE(""13G8fPsBFu2GexfFEa1WV07s1XBlkJUT6lht1aLlmcKg"", ""api-register-id!B:B""),
    MATCH(E29, IMPORTRANGE(""13G8fPsBFu2GexfFEa1WV07s1XBlkJUT6lht1aLlmcKg"", ""api-register-id!J:J""), 0)
  ),
  ""Not Found API Name""
)"),"Not Found API Name")</f>
        <v>Not Found API Name</v>
      </c>
      <c r="C29" s="30" t="str">
        <f>IFERROR(__xludf.DUMMYFUNCTION("IFERROR(
  INDEX(
    IMPORTRANGE(""13G8fPsBFu2GexfFEa1WV07s1XBlkJUT6lht1aLlmcKg"", ""api-register-id!D:D""),
    MATCH(E29, IMPORTRANGE(""13G8fPsBFu2GexfFEa1WV07s1XBlkJUT6lht1aLlmcKg"", ""api-register-id!J:J""), 0)
  ),
  ""Not Found API Name""
)"),"Not Found API Name")</f>
        <v>Not Found API Name</v>
      </c>
      <c r="D29" s="30" t="str">
        <f>IFERROR(__xludf.DUMMYFUNCTION("IFERROR(
  INDEX(
    IMPORTRANGE(""13G8fPsBFu2GexfFEa1WV07s1XBlkJUT6lht1aLlmcKg"", ""api-register-id!E:E""),
    MATCH(E29, IMPORTRANGE(""13G8fPsBFu2GexfFEa1WV07s1XBlkJUT6lht1aLlmcKg"", ""api-register-id!J:J""), 0)
  ),
  ""Not Found API Name""
)"),"Not Found API Name")</f>
        <v>Not Found API Name</v>
      </c>
      <c r="E29" s="30" t="str">
        <f t="shared" si="1"/>
        <v>mx-ms-bc-dom-customer-products-and-services-mule</v>
      </c>
      <c r="F29" s="74" t="str">
        <f>IFERROR(__xludf.DUMMYFUNCTION("IFERROR(
  INDEX(
    IMPORTRANGE(""13G8fPsBFu2GexfFEa1WV07s1XBlkJUT6lht1aLlmcKg"", ""api-register-id!C:C""),
    MATCH(E29, IMPORTRANGE(""13G8fPsBFu2GexfFEa1WV07s1XBlkJUT6lht1aLlmcKg"", ""api-register-id!J:J""), 0)
  ),
  ""Not Found API Name""
)"),"Not Found API Name")</f>
        <v>Not Found API Name</v>
      </c>
      <c r="G29" s="30"/>
      <c r="H29" s="30"/>
      <c r="I29" s="30"/>
      <c r="J29" s="30"/>
      <c r="K29" s="30"/>
      <c r="L29" s="30"/>
      <c r="M29" s="30"/>
      <c r="N29" s="30"/>
      <c r="O29" s="30"/>
      <c r="P29" s="30"/>
      <c r="Q29" s="30"/>
      <c r="R29" s="30"/>
      <c r="S29" s="30"/>
      <c r="T29" s="30"/>
      <c r="U29" s="30"/>
      <c r="V29" s="30"/>
      <c r="W29" s="30"/>
      <c r="X29" s="30"/>
      <c r="Y29" s="30"/>
      <c r="Z29" s="30"/>
      <c r="AA29" s="30"/>
    </row>
    <row r="30">
      <c r="A30" s="75" t="s">
        <v>247</v>
      </c>
      <c r="B30" s="30" t="str">
        <f>IFERROR(__xludf.DUMMYFUNCTION("IFERROR(
  INDEX(
    IMPORTRANGE(""13G8fPsBFu2GexfFEa1WV07s1XBlkJUT6lht1aLlmcKg"", ""api-register-id!B:B""),
    MATCH(E30, IMPORTRANGE(""13G8fPsBFu2GexfFEa1WV07s1XBlkJUT6lht1aLlmcKg"", ""api-register-id!J:J""), 0)
  ),
  ""Not Found API Name""
)"),"Not Found API Name")</f>
        <v>Not Found API Name</v>
      </c>
      <c r="C30" s="30" t="str">
        <f>IFERROR(__xludf.DUMMYFUNCTION("IFERROR(
  INDEX(
    IMPORTRANGE(""13G8fPsBFu2GexfFEa1WV07s1XBlkJUT6lht1aLlmcKg"", ""api-register-id!D:D""),
    MATCH(E30, IMPORTRANGE(""13G8fPsBFu2GexfFEa1WV07s1XBlkJUT6lht1aLlmcKg"", ""api-register-id!J:J""), 0)
  ),
  ""Not Found API Name""
)"),"Not Found API Name")</f>
        <v>Not Found API Name</v>
      </c>
      <c r="D30" s="30" t="str">
        <f>IFERROR(__xludf.DUMMYFUNCTION("IFERROR(
  INDEX(
    IMPORTRANGE(""13G8fPsBFu2GexfFEa1WV07s1XBlkJUT6lht1aLlmcKg"", ""api-register-id!E:E""),
    MATCH(E30, IMPORTRANGE(""13G8fPsBFu2GexfFEa1WV07s1XBlkJUT6lht1aLlmcKg"", ""api-register-id!J:J""), 0)
  ),
  ""Not Found API Name""
)"),"Not Found API Name")</f>
        <v>Not Found API Name</v>
      </c>
      <c r="E30" s="30" t="str">
        <f t="shared" si="1"/>
        <v>mx-ms-bc-dom-customer-relationship-management-mule</v>
      </c>
      <c r="F30" s="74" t="str">
        <f>IFERROR(__xludf.DUMMYFUNCTION("IFERROR(
  INDEX(
    IMPORTRANGE(""13G8fPsBFu2GexfFEa1WV07s1XBlkJUT6lht1aLlmcKg"", ""api-register-id!C:C""),
    MATCH(E30, IMPORTRANGE(""13G8fPsBFu2GexfFEa1WV07s1XBlkJUT6lht1aLlmcKg"", ""api-register-id!J:J""), 0)
  ),
  ""Not Found API Name""
)"),"Not Found API Name")</f>
        <v>Not Found API Name</v>
      </c>
      <c r="G30" s="30"/>
      <c r="H30" s="30"/>
      <c r="I30" s="30"/>
      <c r="J30" s="30"/>
      <c r="K30" s="30"/>
      <c r="L30" s="30"/>
      <c r="M30" s="30"/>
      <c r="N30" s="30"/>
      <c r="O30" s="30"/>
      <c r="P30" s="30"/>
      <c r="Q30" s="30"/>
      <c r="R30" s="30"/>
      <c r="S30" s="30"/>
      <c r="T30" s="30"/>
      <c r="U30" s="30"/>
      <c r="V30" s="30"/>
      <c r="W30" s="30"/>
      <c r="X30" s="30"/>
      <c r="Y30" s="30"/>
      <c r="Z30" s="30"/>
      <c r="AA30" s="30"/>
    </row>
    <row r="31">
      <c r="A31" s="75" t="s">
        <v>249</v>
      </c>
      <c r="B31" s="30" t="str">
        <f>IFERROR(__xludf.DUMMYFUNCTION("IFERROR(
  INDEX(
    IMPORTRANGE(""13G8fPsBFu2GexfFEa1WV07s1XBlkJUT6lht1aLlmcKg"", ""api-register-id!B:B""),
    MATCH(E31, IMPORTRANGE(""13G8fPsBFu2GexfFEa1WV07s1XBlkJUT6lht1aLlmcKg"", ""api-register-id!J:J""), 0)
  ),
  ""Not Found API Name""
)"),"Not Found API Name")</f>
        <v>Not Found API Name</v>
      </c>
      <c r="C31" s="30" t="str">
        <f>IFERROR(__xludf.DUMMYFUNCTION("IFERROR(
  INDEX(
    IMPORTRANGE(""13G8fPsBFu2GexfFEa1WV07s1XBlkJUT6lht1aLlmcKg"", ""api-register-id!D:D""),
    MATCH(E31, IMPORTRANGE(""13G8fPsBFu2GexfFEa1WV07s1XBlkJUT6lht1aLlmcKg"", ""api-register-id!J:J""), 0)
  ),
  ""Not Found API Name""
)"),"Not Found API Name")</f>
        <v>Not Found API Name</v>
      </c>
      <c r="D31" s="30" t="str">
        <f>IFERROR(__xludf.DUMMYFUNCTION("IFERROR(
  INDEX(
    IMPORTRANGE(""13G8fPsBFu2GexfFEa1WV07s1XBlkJUT6lht1aLlmcKg"", ""api-register-id!E:E""),
    MATCH(E31, IMPORTRANGE(""13G8fPsBFu2GexfFEa1WV07s1XBlkJUT6lht1aLlmcKg"", ""api-register-id!J:J""), 0)
  ),
  ""Not Found API Name""
)"),"Not Found API Name")</f>
        <v>Not Found API Name</v>
      </c>
      <c r="E31" s="30" t="str">
        <f t="shared" si="1"/>
        <v>mx-ms-bc-dom-document-services-mule</v>
      </c>
      <c r="F31" s="74" t="str">
        <f>IFERROR(__xludf.DUMMYFUNCTION("IFERROR(
  INDEX(
    IMPORTRANGE(""13G8fPsBFu2GexfFEa1WV07s1XBlkJUT6lht1aLlmcKg"", ""api-register-id!C:C""),
    MATCH(E31, IMPORTRANGE(""13G8fPsBFu2GexfFEa1WV07s1XBlkJUT6lht1aLlmcKg"", ""api-register-id!J:J""), 0)
  ),
  ""Not Found API Name""
)"),"Not Found API Name")</f>
        <v>Not Found API Name</v>
      </c>
      <c r="G31" s="30"/>
      <c r="H31" s="30"/>
      <c r="I31" s="30"/>
      <c r="J31" s="30"/>
      <c r="K31" s="30"/>
      <c r="L31" s="30"/>
      <c r="M31" s="30"/>
      <c r="N31" s="30"/>
      <c r="O31" s="30"/>
      <c r="P31" s="30"/>
      <c r="Q31" s="30"/>
      <c r="R31" s="30"/>
      <c r="S31" s="30"/>
      <c r="T31" s="30"/>
      <c r="U31" s="30"/>
      <c r="V31" s="30"/>
      <c r="W31" s="30"/>
      <c r="X31" s="30"/>
      <c r="Y31" s="30"/>
      <c r="Z31" s="30"/>
      <c r="AA31" s="30"/>
    </row>
    <row r="32">
      <c r="A32" s="75" t="s">
        <v>257</v>
      </c>
      <c r="B32" s="30" t="str">
        <f>IFERROR(__xludf.DUMMYFUNCTION("IFERROR(
  INDEX(
    IMPORTRANGE(""13G8fPsBFu2GexfFEa1WV07s1XBlkJUT6lht1aLlmcKg"", ""api-register-id!B:B""),
    MATCH(E32, IMPORTRANGE(""13G8fPsBFu2GexfFEa1WV07s1XBlkJUT6lht1aLlmcKg"", ""api-register-id!J:J""), 0)
  ),
  ""Not Found API Name""
)"),"Not Found API Name")</f>
        <v>Not Found API Name</v>
      </c>
      <c r="C32" s="30" t="str">
        <f>IFERROR(__xludf.DUMMYFUNCTION("IFERROR(
  INDEX(
    IMPORTRANGE(""13G8fPsBFu2GexfFEa1WV07s1XBlkJUT6lht1aLlmcKg"", ""api-register-id!D:D""),
    MATCH(E32, IMPORTRANGE(""13G8fPsBFu2GexfFEa1WV07s1XBlkJUT6lht1aLlmcKg"", ""api-register-id!J:J""), 0)
  ),
  ""Not Found API Name""
)"),"Not Found API Name")</f>
        <v>Not Found API Name</v>
      </c>
      <c r="D32" s="30" t="str">
        <f>IFERROR(__xludf.DUMMYFUNCTION("IFERROR(
  INDEX(
    IMPORTRANGE(""13G8fPsBFu2GexfFEa1WV07s1XBlkJUT6lht1aLlmcKg"", ""api-register-id!E:E""),
    MATCH(E32, IMPORTRANGE(""13G8fPsBFu2GexfFEa1WV07s1XBlkJUT6lht1aLlmcKg"", ""api-register-id!J:J""), 0)
  ),
  ""Not Found API Name""
)"),"Not Found API Name")</f>
        <v>Not Found API Name</v>
      </c>
      <c r="E32" s="30" t="str">
        <f t="shared" si="1"/>
        <v>mx-ms-bc-dom-investment-account-mule</v>
      </c>
      <c r="F32" s="74" t="str">
        <f>IFERROR(__xludf.DUMMYFUNCTION("IFERROR(
  INDEX(
    IMPORTRANGE(""13G8fPsBFu2GexfFEa1WV07s1XBlkJUT6lht1aLlmcKg"", ""api-register-id!C:C""),
    MATCH(E32, IMPORTRANGE(""13G8fPsBFu2GexfFEa1WV07s1XBlkJUT6lht1aLlmcKg"", ""api-register-id!J:J""), 0)
  ),
  ""Not Found API Name""
)"),"Not Found API Name")</f>
        <v>Not Found API Name</v>
      </c>
      <c r="G32" s="30"/>
      <c r="H32" s="30"/>
      <c r="I32" s="30"/>
      <c r="J32" s="30"/>
      <c r="K32" s="30"/>
      <c r="L32" s="30"/>
      <c r="M32" s="30"/>
      <c r="N32" s="30"/>
      <c r="O32" s="30"/>
      <c r="P32" s="30"/>
      <c r="Q32" s="30"/>
      <c r="R32" s="30"/>
      <c r="S32" s="30"/>
      <c r="T32" s="30"/>
      <c r="U32" s="30"/>
      <c r="V32" s="30"/>
      <c r="W32" s="30"/>
      <c r="X32" s="30"/>
      <c r="Y32" s="30"/>
      <c r="Z32" s="30"/>
      <c r="AA32" s="30"/>
    </row>
    <row r="33">
      <c r="A33" s="75" t="s">
        <v>259</v>
      </c>
      <c r="B33" s="30" t="str">
        <f>IFERROR(__xludf.DUMMYFUNCTION("IFERROR(
  INDEX(
    IMPORTRANGE(""13G8fPsBFu2GexfFEa1WV07s1XBlkJUT6lht1aLlmcKg"", ""api-register-id!B:B""),
    MATCH(E33, IMPORTRANGE(""13G8fPsBFu2GexfFEa1WV07s1XBlkJUT6lht1aLlmcKg"", ""api-register-id!J:J""), 0)
  ),
  ""Not Found API Name""
)"),"Not Found API Name")</f>
        <v>Not Found API Name</v>
      </c>
      <c r="C33" s="30" t="str">
        <f>IFERROR(__xludf.DUMMYFUNCTION("IFERROR(
  INDEX(
    IMPORTRANGE(""13G8fPsBFu2GexfFEa1WV07s1XBlkJUT6lht1aLlmcKg"", ""api-register-id!D:D""),
    MATCH(E33, IMPORTRANGE(""13G8fPsBFu2GexfFEa1WV07s1XBlkJUT6lht1aLlmcKg"", ""api-register-id!J:J""), 0)
  ),
  ""Not Found API Name""
)"),"Not Found API Name")</f>
        <v>Not Found API Name</v>
      </c>
      <c r="D33" s="30" t="str">
        <f>IFERROR(__xludf.DUMMYFUNCTION("IFERROR(
  INDEX(
    IMPORTRANGE(""13G8fPsBFu2GexfFEa1WV07s1XBlkJUT6lht1aLlmcKg"", ""api-register-id!E:E""),
    MATCH(E33, IMPORTRANGE(""13G8fPsBFu2GexfFEa1WV07s1XBlkJUT6lht1aLlmcKg"", ""api-register-id!J:J""), 0)
  ),
  ""Not Found API Name""
)"),"Not Found API Name")</f>
        <v>Not Found API Name</v>
      </c>
      <c r="E33" s="30" t="str">
        <f t="shared" si="1"/>
        <v>mx-ms-bc-dom-issued-device-administration-mule</v>
      </c>
      <c r="F33" s="74" t="str">
        <f>IFERROR(__xludf.DUMMYFUNCTION("IFERROR(
  INDEX(
    IMPORTRANGE(""13G8fPsBFu2GexfFEa1WV07s1XBlkJUT6lht1aLlmcKg"", ""api-register-id!C:C""),
    MATCH(E33, IMPORTRANGE(""13G8fPsBFu2GexfFEa1WV07s1XBlkJUT6lht1aLlmcKg"", ""api-register-id!J:J""), 0)
  ),
  ""Not Found API Name""
)"),"Not Found API Name")</f>
        <v>Not Found API Name</v>
      </c>
      <c r="G33" s="30"/>
      <c r="H33" s="30"/>
      <c r="I33" s="30"/>
      <c r="J33" s="30"/>
      <c r="K33" s="30"/>
      <c r="L33" s="30"/>
      <c r="M33" s="30"/>
      <c r="N33" s="30"/>
      <c r="O33" s="30"/>
      <c r="P33" s="30"/>
      <c r="Q33" s="30"/>
      <c r="R33" s="30"/>
      <c r="S33" s="30"/>
      <c r="T33" s="30"/>
      <c r="U33" s="30"/>
      <c r="V33" s="30"/>
      <c r="W33" s="30"/>
      <c r="X33" s="30"/>
      <c r="Y33" s="30"/>
      <c r="Z33" s="30"/>
      <c r="AA33" s="30"/>
    </row>
    <row r="34">
      <c r="A34" s="75" t="s">
        <v>260</v>
      </c>
      <c r="B34" s="30" t="str">
        <f>IFERROR(__xludf.DUMMYFUNCTION("IFERROR(
  INDEX(
    IMPORTRANGE(""13G8fPsBFu2GexfFEa1WV07s1XBlkJUT6lht1aLlmcKg"", ""api-register-id!B:B""),
    MATCH(E34, IMPORTRANGE(""13G8fPsBFu2GexfFEa1WV07s1XBlkJUT6lht1aLlmcKg"", ""api-register-id!J:J""), 0)
  ),
  ""Not Found API Name""
)"),"Not Found API Name")</f>
        <v>Not Found API Name</v>
      </c>
      <c r="C34" s="30" t="str">
        <f>IFERROR(__xludf.DUMMYFUNCTION("IFERROR(
  INDEX(
    IMPORTRANGE(""13G8fPsBFu2GexfFEa1WV07s1XBlkJUT6lht1aLlmcKg"", ""api-register-id!D:D""),
    MATCH(E34, IMPORTRANGE(""13G8fPsBFu2GexfFEa1WV07s1XBlkJUT6lht1aLlmcKg"", ""api-register-id!J:J""), 0)
  ),
  ""Not Found API Name""
)"),"Not Found API Name")</f>
        <v>Not Found API Name</v>
      </c>
      <c r="D34" s="30" t="str">
        <f>IFERROR(__xludf.DUMMYFUNCTION("IFERROR(
  INDEX(
    IMPORTRANGE(""13G8fPsBFu2GexfFEa1WV07s1XBlkJUT6lht1aLlmcKg"", ""api-register-id!E:E""),
    MATCH(E34, IMPORTRANGE(""13G8fPsBFu2GexfFEa1WV07s1XBlkJUT6lht1aLlmcKg"", ""api-register-id!J:J""), 0)
  ),
  ""Not Found API Name""
)"),"Not Found API Name")</f>
        <v>Not Found API Name</v>
      </c>
      <c r="E34" s="30" t="str">
        <f t="shared" si="1"/>
        <v>mx-ms-bc-dom-issued-device-tracking-mule</v>
      </c>
      <c r="F34" s="74" t="str">
        <f>IFERROR(__xludf.DUMMYFUNCTION("IFERROR(
  INDEX(
    IMPORTRANGE(""13G8fPsBFu2GexfFEa1WV07s1XBlkJUT6lht1aLlmcKg"", ""api-register-id!C:C""),
    MATCH(E34, IMPORTRANGE(""13G8fPsBFu2GexfFEa1WV07s1XBlkJUT6lht1aLlmcKg"", ""api-register-id!J:J""), 0)
  ),
  ""Not Found API Name""
)"),"Not Found API Name")</f>
        <v>Not Found API Name</v>
      </c>
      <c r="G34" s="30"/>
      <c r="H34" s="30"/>
      <c r="I34" s="30"/>
      <c r="J34" s="30"/>
      <c r="K34" s="30"/>
      <c r="L34" s="30"/>
      <c r="M34" s="30"/>
      <c r="N34" s="30"/>
      <c r="O34" s="30"/>
      <c r="P34" s="30"/>
      <c r="Q34" s="30"/>
      <c r="R34" s="30"/>
      <c r="S34" s="30"/>
      <c r="T34" s="30"/>
      <c r="U34" s="30"/>
      <c r="V34" s="30"/>
      <c r="W34" s="30"/>
      <c r="X34" s="30"/>
      <c r="Y34" s="30"/>
      <c r="Z34" s="30"/>
      <c r="AA34" s="30"/>
    </row>
    <row r="35">
      <c r="A35" s="75" t="s">
        <v>265</v>
      </c>
      <c r="B35" s="30" t="str">
        <f>IFERROR(__xludf.DUMMYFUNCTION("IFERROR(
  INDEX(
    IMPORTRANGE(""13G8fPsBFu2GexfFEa1WV07s1XBlkJUT6lht1aLlmcKg"", ""api-register-id!B:B""),
    MATCH(E35, IMPORTRANGE(""13G8fPsBFu2GexfFEa1WV07s1XBlkJUT6lht1aLlmcKg"", ""api-register-id!J:J""), 0)
  ),
  ""Not Found API Name""
)"),"Not Found API Name")</f>
        <v>Not Found API Name</v>
      </c>
      <c r="C35" s="30" t="str">
        <f>IFERROR(__xludf.DUMMYFUNCTION("IFERROR(
  INDEX(
    IMPORTRANGE(""13G8fPsBFu2GexfFEa1WV07s1XBlkJUT6lht1aLlmcKg"", ""api-register-id!D:D""),
    MATCH(E35, IMPORTRANGE(""13G8fPsBFu2GexfFEa1WV07s1XBlkJUT6lht1aLlmcKg"", ""api-register-id!J:J""), 0)
  ),
  ""Not Found API Name""
)"),"Not Found API Name")</f>
        <v>Not Found API Name</v>
      </c>
      <c r="D35" s="30" t="str">
        <f>IFERROR(__xludf.DUMMYFUNCTION("IFERROR(
  INDEX(
    IMPORTRANGE(""13G8fPsBFu2GexfFEa1WV07s1XBlkJUT6lht1aLlmcKg"", ""api-register-id!E:E""),
    MATCH(E35, IMPORTRANGE(""13G8fPsBFu2GexfFEa1WV07s1XBlkJUT6lht1aLlmcKg"", ""api-register-id!J:J""), 0)
  ),
  ""Not Found API Name""
)"),"Not Found API Name")</f>
        <v>Not Found API Name</v>
      </c>
      <c r="E35" s="30" t="str">
        <f t="shared" si="1"/>
        <v>mx-ms-bc-dom-loan-mule</v>
      </c>
      <c r="F35" s="74" t="str">
        <f>IFERROR(__xludf.DUMMYFUNCTION("IFERROR(
  INDEX(
    IMPORTRANGE(""13G8fPsBFu2GexfFEa1WV07s1XBlkJUT6lht1aLlmcKg"", ""api-register-id!C:C""),
    MATCH(E35, IMPORTRANGE(""13G8fPsBFu2GexfFEa1WV07s1XBlkJUT6lht1aLlmcKg"", ""api-register-id!J:J""), 0)
  ),
  ""Not Found API Name""
)"),"Not Found API Name")</f>
        <v>Not Found API Name</v>
      </c>
      <c r="G35" s="30"/>
      <c r="H35" s="30"/>
      <c r="I35" s="30"/>
      <c r="J35" s="30"/>
      <c r="K35" s="30"/>
      <c r="L35" s="30"/>
      <c r="M35" s="30"/>
      <c r="N35" s="30"/>
      <c r="O35" s="30"/>
      <c r="P35" s="30"/>
      <c r="Q35" s="30"/>
      <c r="R35" s="30"/>
      <c r="S35" s="30"/>
      <c r="T35" s="30"/>
      <c r="U35" s="30"/>
      <c r="V35" s="30"/>
      <c r="W35" s="30"/>
      <c r="X35" s="30"/>
      <c r="Y35" s="30"/>
      <c r="Z35" s="30"/>
      <c r="AA35" s="30"/>
    </row>
    <row r="36">
      <c r="A36" s="75" t="s">
        <v>270</v>
      </c>
      <c r="B36" s="30" t="str">
        <f>IFERROR(__xludf.DUMMYFUNCTION("IFERROR(
  INDEX(
    IMPORTRANGE(""13G8fPsBFu2GexfFEa1WV07s1XBlkJUT6lht1aLlmcKg"", ""api-register-id!B:B""),
    MATCH(E36, IMPORTRANGE(""13G8fPsBFu2GexfFEa1WV07s1XBlkJUT6lht1aLlmcKg"", ""api-register-id!J:J""), 0)
  ),
  ""Not Found API Name""
)"),"Not Found API Name")</f>
        <v>Not Found API Name</v>
      </c>
      <c r="C36" s="30" t="str">
        <f>IFERROR(__xludf.DUMMYFUNCTION("IFERROR(
  INDEX(
    IMPORTRANGE(""13G8fPsBFu2GexfFEa1WV07s1XBlkJUT6lht1aLlmcKg"", ""api-register-id!D:D""),
    MATCH(E36, IMPORTRANGE(""13G8fPsBFu2GexfFEa1WV07s1XBlkJUT6lht1aLlmcKg"", ""api-register-id!J:J""), 0)
  ),
  ""Not Found API Name""
)"),"Not Found API Name")</f>
        <v>Not Found API Name</v>
      </c>
      <c r="D36" s="30" t="str">
        <f>IFERROR(__xludf.DUMMYFUNCTION("IFERROR(
  INDEX(
    IMPORTRANGE(""13G8fPsBFu2GexfFEa1WV07s1XBlkJUT6lht1aLlmcKg"", ""api-register-id!E:E""),
    MATCH(E36, IMPORTRANGE(""13G8fPsBFu2GexfFEa1WV07s1XBlkJUT6lht1aLlmcKg"", ""api-register-id!J:J""), 0)
  ),
  ""Not Found API Name""
)"),"Not Found API Name")</f>
        <v>Not Found API Name</v>
      </c>
      <c r="E36" s="30" t="str">
        <f t="shared" si="1"/>
        <v>mx-ms-bc-dom-location-data-management-mule</v>
      </c>
      <c r="F36" s="74" t="str">
        <f>IFERROR(__xludf.DUMMYFUNCTION("IFERROR(
  INDEX(
    IMPORTRANGE(""13G8fPsBFu2GexfFEa1WV07s1XBlkJUT6lht1aLlmcKg"", ""api-register-id!C:C""),
    MATCH(E36, IMPORTRANGE(""13G8fPsBFu2GexfFEa1WV07s1XBlkJUT6lht1aLlmcKg"", ""api-register-id!J:J""), 0)
  ),
  ""Not Found API Name""
)"),"Not Found API Name")</f>
        <v>Not Found API Name</v>
      </c>
      <c r="G36" s="30"/>
      <c r="H36" s="30"/>
      <c r="I36" s="30"/>
      <c r="J36" s="30"/>
      <c r="K36" s="30"/>
      <c r="L36" s="30"/>
      <c r="M36" s="30"/>
      <c r="N36" s="30"/>
      <c r="O36" s="30"/>
      <c r="P36" s="30"/>
      <c r="Q36" s="30"/>
      <c r="R36" s="30"/>
      <c r="S36" s="30"/>
      <c r="T36" s="30"/>
      <c r="U36" s="30"/>
      <c r="V36" s="30"/>
      <c r="W36" s="30"/>
      <c r="X36" s="30"/>
      <c r="Y36" s="30"/>
      <c r="Z36" s="30"/>
      <c r="AA36" s="30"/>
    </row>
    <row r="37">
      <c r="A37" s="75" t="s">
        <v>271</v>
      </c>
      <c r="B37" s="30" t="str">
        <f>IFERROR(__xludf.DUMMYFUNCTION("IFERROR(
  INDEX(
    IMPORTRANGE(""13G8fPsBFu2GexfFEa1WV07s1XBlkJUT6lht1aLlmcKg"", ""api-register-id!B:B""),
    MATCH(E37, IMPORTRANGE(""13G8fPsBFu2GexfFEa1WV07s1XBlkJUT6lht1aLlmcKg"", ""api-register-id!J:J""), 0)
  ),
  ""Not Found API Name""
)"),"Not Found API Name")</f>
        <v>Not Found API Name</v>
      </c>
      <c r="C37" s="30" t="str">
        <f>IFERROR(__xludf.DUMMYFUNCTION("IFERROR(
  INDEX(
    IMPORTRANGE(""13G8fPsBFu2GexfFEa1WV07s1XBlkJUT6lht1aLlmcKg"", ""api-register-id!D:D""),
    MATCH(E37, IMPORTRANGE(""13G8fPsBFu2GexfFEa1WV07s1XBlkJUT6lht1aLlmcKg"", ""api-register-id!J:J""), 0)
  ),
  ""Not Found API Name""
)"),"Not Found API Name")</f>
        <v>Not Found API Name</v>
      </c>
      <c r="D37" s="30" t="str">
        <f>IFERROR(__xludf.DUMMYFUNCTION("IFERROR(
  INDEX(
    IMPORTRANGE(""13G8fPsBFu2GexfFEa1WV07s1XBlkJUT6lht1aLlmcKg"", ""api-register-id!E:E""),
    MATCH(E37, IMPORTRANGE(""13G8fPsBFu2GexfFEa1WV07s1XBlkJUT6lht1aLlmcKg"", ""api-register-id!J:J""), 0)
  ),
  ""Not Found API Name""
)"),"Not Found API Name")</f>
        <v>Not Found API Name</v>
      </c>
      <c r="E37" s="30" t="str">
        <f t="shared" si="1"/>
        <v>mx-ms-bc-dom-party-authentication-mule</v>
      </c>
      <c r="F37" s="74" t="str">
        <f>IFERROR(__xludf.DUMMYFUNCTION("IFERROR(
  INDEX(
    IMPORTRANGE(""13G8fPsBFu2GexfFEa1WV07s1XBlkJUT6lht1aLlmcKg"", ""api-register-id!C:C""),
    MATCH(E37, IMPORTRANGE(""13G8fPsBFu2GexfFEa1WV07s1XBlkJUT6lht1aLlmcKg"", ""api-register-id!J:J""), 0)
  ),
  ""Not Found API Name""
)"),"Not Found API Name")</f>
        <v>Not Found API Name</v>
      </c>
      <c r="G37" s="30"/>
      <c r="H37" s="30"/>
      <c r="I37" s="30"/>
      <c r="J37" s="30"/>
      <c r="K37" s="30"/>
      <c r="L37" s="30"/>
      <c r="M37" s="30"/>
      <c r="N37" s="30"/>
      <c r="O37" s="30"/>
      <c r="P37" s="30"/>
      <c r="Q37" s="30"/>
      <c r="R37" s="30"/>
      <c r="S37" s="30"/>
      <c r="T37" s="30"/>
      <c r="U37" s="30"/>
      <c r="V37" s="30"/>
      <c r="W37" s="30"/>
      <c r="X37" s="30"/>
      <c r="Y37" s="30"/>
      <c r="Z37" s="30"/>
      <c r="AA37" s="30"/>
    </row>
    <row r="38">
      <c r="A38" s="75" t="s">
        <v>276</v>
      </c>
      <c r="B38" s="30" t="str">
        <f>IFERROR(__xludf.DUMMYFUNCTION("IFERROR(
  INDEX(
    IMPORTRANGE(""13G8fPsBFu2GexfFEa1WV07s1XBlkJUT6lht1aLlmcKg"", ""api-register-id!B:B""),
    MATCH(E38, IMPORTRANGE(""13G8fPsBFu2GexfFEa1WV07s1XBlkJUT6lht1aLlmcKg"", ""api-register-id!J:J""), 0)
  ),
  ""Not Found API Name""
)"),"Not Found API Name")</f>
        <v>Not Found API Name</v>
      </c>
      <c r="C38" s="30" t="str">
        <f>IFERROR(__xludf.DUMMYFUNCTION("IFERROR(
  INDEX(
    IMPORTRANGE(""13G8fPsBFu2GexfFEa1WV07s1XBlkJUT6lht1aLlmcKg"", ""api-register-id!D:D""),
    MATCH(E38, IMPORTRANGE(""13G8fPsBFu2GexfFEa1WV07s1XBlkJUT6lht1aLlmcKg"", ""api-register-id!J:J""), 0)
  ),
  ""Not Found API Name""
)"),"Not Found API Name")</f>
        <v>Not Found API Name</v>
      </c>
      <c r="D38" s="30" t="str">
        <f>IFERROR(__xludf.DUMMYFUNCTION("IFERROR(
  INDEX(
    IMPORTRANGE(""13G8fPsBFu2GexfFEa1WV07s1XBlkJUT6lht1aLlmcKg"", ""api-register-id!E:E""),
    MATCH(E38, IMPORTRANGE(""13G8fPsBFu2GexfFEa1WV07s1XBlkJUT6lht1aLlmcKg"", ""api-register-id!J:J""), 0)
  ),
  ""Not Found API Name""
)"),"Not Found API Name")</f>
        <v>Not Found API Name</v>
      </c>
      <c r="E38" s="30" t="str">
        <f t="shared" si="1"/>
        <v>mx-ms-bc-dom-party-lifecycle-management-mule</v>
      </c>
      <c r="F38" s="74" t="str">
        <f>IFERROR(__xludf.DUMMYFUNCTION("IFERROR(
  INDEX(
    IMPORTRANGE(""13G8fPsBFu2GexfFEa1WV07s1XBlkJUT6lht1aLlmcKg"", ""api-register-id!C:C""),
    MATCH(E38, IMPORTRANGE(""13G8fPsBFu2GexfFEa1WV07s1XBlkJUT6lht1aLlmcKg"", ""api-register-id!J:J""), 0)
  ),
  ""Not Found API Name""
)"),"Not Found API Name")</f>
        <v>Not Found API Name</v>
      </c>
      <c r="G38" s="30"/>
      <c r="H38" s="30"/>
      <c r="I38" s="30"/>
      <c r="J38" s="30"/>
      <c r="K38" s="30"/>
      <c r="L38" s="30"/>
      <c r="M38" s="30"/>
      <c r="N38" s="30"/>
      <c r="O38" s="30"/>
      <c r="P38" s="30"/>
      <c r="Q38" s="30"/>
      <c r="R38" s="30"/>
      <c r="S38" s="30"/>
      <c r="T38" s="30"/>
      <c r="U38" s="30"/>
      <c r="V38" s="30"/>
      <c r="W38" s="30"/>
      <c r="X38" s="30"/>
      <c r="Y38" s="30"/>
      <c r="Z38" s="30"/>
      <c r="AA38" s="30"/>
    </row>
    <row r="39">
      <c r="A39" s="75" t="s">
        <v>281</v>
      </c>
      <c r="B39" s="30" t="str">
        <f>IFERROR(__xludf.DUMMYFUNCTION("IFERROR(
  INDEX(
    IMPORTRANGE(""13G8fPsBFu2GexfFEa1WV07s1XBlkJUT6lht1aLlmcKg"", ""api-register-id!B:B""),
    MATCH(E39, IMPORTRANGE(""13G8fPsBFu2GexfFEa1WV07s1XBlkJUT6lht1aLlmcKg"", ""api-register-id!J:J""), 0)
  ),
  ""Not Found API Name""
)"),"Not Found API Name")</f>
        <v>Not Found API Name</v>
      </c>
      <c r="C39" s="30" t="str">
        <f>IFERROR(__xludf.DUMMYFUNCTION("IFERROR(
  INDEX(
    IMPORTRANGE(""13G8fPsBFu2GexfFEa1WV07s1XBlkJUT6lht1aLlmcKg"", ""api-register-id!D:D""),
    MATCH(E39, IMPORTRANGE(""13G8fPsBFu2GexfFEa1WV07s1XBlkJUT6lht1aLlmcKg"", ""api-register-id!J:J""), 0)
  ),
  ""Not Found API Name""
)"),"Not Found API Name")</f>
        <v>Not Found API Name</v>
      </c>
      <c r="D39" s="30" t="str">
        <f>IFERROR(__xludf.DUMMYFUNCTION("IFERROR(
  INDEX(
    IMPORTRANGE(""13G8fPsBFu2GexfFEa1WV07s1XBlkJUT6lht1aLlmcKg"", ""api-register-id!E:E""),
    MATCH(E39, IMPORTRANGE(""13G8fPsBFu2GexfFEa1WV07s1XBlkJUT6lht1aLlmcKg"", ""api-register-id!J:J""), 0)
  ),
  ""Not Found API Name""
)"),"Not Found API Name")</f>
        <v>Not Found API Name</v>
      </c>
      <c r="E39" s="30" t="str">
        <f t="shared" si="1"/>
        <v>mx-ms-bc-dom-party-reference-data-directory-mule</v>
      </c>
      <c r="F39" s="74" t="str">
        <f>IFERROR(__xludf.DUMMYFUNCTION("IFERROR(
  INDEX(
    IMPORTRANGE(""13G8fPsBFu2GexfFEa1WV07s1XBlkJUT6lht1aLlmcKg"", ""api-register-id!C:C""),
    MATCH(E39, IMPORTRANGE(""13G8fPsBFu2GexfFEa1WV07s1XBlkJUT6lht1aLlmcKg"", ""api-register-id!J:J""), 0)
  ),
  ""Not Found API Name""
)"),"Not Found API Name")</f>
        <v>Not Found API Name</v>
      </c>
      <c r="G39" s="30"/>
      <c r="H39" s="30"/>
      <c r="I39" s="30"/>
      <c r="J39" s="30"/>
      <c r="K39" s="30"/>
      <c r="L39" s="30"/>
      <c r="M39" s="30"/>
      <c r="N39" s="30"/>
      <c r="O39" s="30"/>
      <c r="P39" s="30"/>
      <c r="Q39" s="30"/>
      <c r="R39" s="30"/>
      <c r="S39" s="30"/>
      <c r="T39" s="30"/>
      <c r="U39" s="30"/>
      <c r="V39" s="30"/>
      <c r="W39" s="30"/>
      <c r="X39" s="30"/>
      <c r="Y39" s="30"/>
      <c r="Z39" s="30"/>
      <c r="AA39" s="30"/>
    </row>
    <row r="40">
      <c r="A40" s="75" t="s">
        <v>285</v>
      </c>
      <c r="B40" s="30" t="str">
        <f>IFERROR(__xludf.DUMMYFUNCTION("IFERROR(
  INDEX(
    IMPORTRANGE(""13G8fPsBFu2GexfFEa1WV07s1XBlkJUT6lht1aLlmcKg"", ""api-register-id!B:B""),
    MATCH(E40, IMPORTRANGE(""13G8fPsBFu2GexfFEa1WV07s1XBlkJUT6lht1aLlmcKg"", ""api-register-id!J:J""), 0)
  ),
  ""Not Found API Name""
)"),"Not Found API Name")</f>
        <v>Not Found API Name</v>
      </c>
      <c r="C40" s="30" t="str">
        <f>IFERROR(__xludf.DUMMYFUNCTION("IFERROR(
  INDEX(
    IMPORTRANGE(""13G8fPsBFu2GexfFEa1WV07s1XBlkJUT6lht1aLlmcKg"", ""api-register-id!D:D""),
    MATCH(E40, IMPORTRANGE(""13G8fPsBFu2GexfFEa1WV07s1XBlkJUT6lht1aLlmcKg"", ""api-register-id!J:J""), 0)
  ),
  ""Not Found API Name""
)"),"Not Found API Name")</f>
        <v>Not Found API Name</v>
      </c>
      <c r="D40" s="30" t="str">
        <f>IFERROR(__xludf.DUMMYFUNCTION("IFERROR(
  INDEX(
    IMPORTRANGE(""13G8fPsBFu2GexfFEa1WV07s1XBlkJUT6lht1aLlmcKg"", ""api-register-id!E:E""),
    MATCH(E40, IMPORTRANGE(""13G8fPsBFu2GexfFEa1WV07s1XBlkJUT6lht1aLlmcKg"", ""api-register-id!J:J""), 0)
  ),
  ""Not Found API Name""
)"),"Not Found API Name")</f>
        <v>Not Found API Name</v>
      </c>
      <c r="E40" s="30" t="str">
        <f t="shared" si="1"/>
        <v>mx-ms-bc-dom-payment-execution-mule</v>
      </c>
      <c r="F40" s="74" t="str">
        <f>IFERROR(__xludf.DUMMYFUNCTION("IFERROR(
  INDEX(
    IMPORTRANGE(""13G8fPsBFu2GexfFEa1WV07s1XBlkJUT6lht1aLlmcKg"", ""api-register-id!C:C""),
    MATCH(E40, IMPORTRANGE(""13G8fPsBFu2GexfFEa1WV07s1XBlkJUT6lht1aLlmcKg"", ""api-register-id!J:J""), 0)
  ),
  ""Not Found API Name""
)"),"Not Found API Name")</f>
        <v>Not Found API Name</v>
      </c>
      <c r="G40" s="30"/>
      <c r="H40" s="30"/>
      <c r="I40" s="30"/>
      <c r="J40" s="30"/>
      <c r="K40" s="30"/>
      <c r="L40" s="30"/>
      <c r="M40" s="30"/>
      <c r="N40" s="30"/>
      <c r="O40" s="30"/>
      <c r="P40" s="30"/>
      <c r="Q40" s="30"/>
      <c r="R40" s="30"/>
      <c r="S40" s="30"/>
      <c r="T40" s="30"/>
      <c r="U40" s="30"/>
      <c r="V40" s="30"/>
      <c r="W40" s="30"/>
      <c r="X40" s="30"/>
      <c r="Y40" s="30"/>
      <c r="Z40" s="30"/>
      <c r="AA40" s="30"/>
    </row>
    <row r="41">
      <c r="A41" s="75" t="s">
        <v>288</v>
      </c>
      <c r="B41" s="30" t="str">
        <f>IFERROR(__xludf.DUMMYFUNCTION("IFERROR(
  INDEX(
    IMPORTRANGE(""13G8fPsBFu2GexfFEa1WV07s1XBlkJUT6lht1aLlmcKg"", ""api-register-id!B:B""),
    MATCH(E41, IMPORTRANGE(""13G8fPsBFu2GexfFEa1WV07s1XBlkJUT6lht1aLlmcKg"", ""api-register-id!J:J""), 0)
  ),
  ""Not Found API Name""
)"),"Not Found API Name")</f>
        <v>Not Found API Name</v>
      </c>
      <c r="C41" s="30" t="str">
        <f>IFERROR(__xludf.DUMMYFUNCTION("IFERROR(
  INDEX(
    IMPORTRANGE(""13G8fPsBFu2GexfFEa1WV07s1XBlkJUT6lht1aLlmcKg"", ""api-register-id!D:D""),
    MATCH(E41, IMPORTRANGE(""13G8fPsBFu2GexfFEa1WV07s1XBlkJUT6lht1aLlmcKg"", ""api-register-id!J:J""), 0)
  ),
  ""Not Found API Name""
)"),"Not Found API Name")</f>
        <v>Not Found API Name</v>
      </c>
      <c r="D41" s="30" t="str">
        <f>IFERROR(__xludf.DUMMYFUNCTION("IFERROR(
  INDEX(
    IMPORTRANGE(""13G8fPsBFu2GexfFEa1WV07s1XBlkJUT6lht1aLlmcKg"", ""api-register-id!E:E""),
    MATCH(E41, IMPORTRANGE(""13G8fPsBFu2GexfFEa1WV07s1XBlkJUT6lht1aLlmcKg"", ""api-register-id!J:J""), 0)
  ),
  ""Not Found API Name""
)"),"Not Found API Name")</f>
        <v>Not Found API Name</v>
      </c>
      <c r="E41" s="30" t="str">
        <f t="shared" si="1"/>
        <v>mx-ms-bc-dom-payment-order-mule</v>
      </c>
      <c r="F41" s="74" t="str">
        <f>IFERROR(__xludf.DUMMYFUNCTION("IFERROR(
  INDEX(
    IMPORTRANGE(""13G8fPsBFu2GexfFEa1WV07s1XBlkJUT6lht1aLlmcKg"", ""api-register-id!C:C""),
    MATCH(E41, IMPORTRANGE(""13G8fPsBFu2GexfFEa1WV07s1XBlkJUT6lht1aLlmcKg"", ""api-register-id!J:J""), 0)
  ),
  ""Not Found API Name""
)"),"Not Found API Name")</f>
        <v>Not Found API Name</v>
      </c>
      <c r="G41" s="30"/>
      <c r="H41" s="30"/>
      <c r="I41" s="30"/>
      <c r="J41" s="30"/>
      <c r="K41" s="30"/>
      <c r="L41" s="30"/>
      <c r="M41" s="30"/>
      <c r="N41" s="30"/>
      <c r="O41" s="30"/>
      <c r="P41" s="30"/>
      <c r="Q41" s="30"/>
      <c r="R41" s="30"/>
      <c r="S41" s="30"/>
      <c r="T41" s="30"/>
      <c r="U41" s="30"/>
      <c r="V41" s="30"/>
      <c r="W41" s="30"/>
      <c r="X41" s="30"/>
      <c r="Y41" s="30"/>
      <c r="Z41" s="30"/>
      <c r="AA41" s="30"/>
    </row>
    <row r="42">
      <c r="A42" s="75" t="s">
        <v>291</v>
      </c>
      <c r="B42" s="30" t="str">
        <f>IFERROR(__xludf.DUMMYFUNCTION("IFERROR(
  INDEX(
    IMPORTRANGE(""13G8fPsBFu2GexfFEa1WV07s1XBlkJUT6lht1aLlmcKg"", ""api-register-id!B:B""),
    MATCH(E42, IMPORTRANGE(""13G8fPsBFu2GexfFEa1WV07s1XBlkJUT6lht1aLlmcKg"", ""api-register-id!J:J""), 0)
  ),
  ""Not Found API Name""
)"),"Not Found API Name")</f>
        <v>Not Found API Name</v>
      </c>
      <c r="C42" s="30" t="str">
        <f>IFERROR(__xludf.DUMMYFUNCTION("IFERROR(
  INDEX(
    IMPORTRANGE(""13G8fPsBFu2GexfFEa1WV07s1XBlkJUT6lht1aLlmcKg"", ""api-register-id!D:D""),
    MATCH(E42, IMPORTRANGE(""13G8fPsBFu2GexfFEa1WV07s1XBlkJUT6lht1aLlmcKg"", ""api-register-id!J:J""), 0)
  ),
  ""Not Found API Name""
)"),"Not Found API Name")</f>
        <v>Not Found API Name</v>
      </c>
      <c r="D42" s="30" t="str">
        <f>IFERROR(__xludf.DUMMYFUNCTION("IFERROR(
  INDEX(
    IMPORTRANGE(""13G8fPsBFu2GexfFEa1WV07s1XBlkJUT6lht1aLlmcKg"", ""api-register-id!E:E""),
    MATCH(E42, IMPORTRANGE(""13G8fPsBFu2GexfFEa1WV07s1XBlkJUT6lht1aLlmcKg"", ""api-register-id!J:J""), 0)
  ),
  ""Not Found API Name""
)"),"Not Found API Name")</f>
        <v>Not Found API Name</v>
      </c>
      <c r="E42" s="30" t="str">
        <f t="shared" si="1"/>
        <v>mx-ms-bc-dom-platform-operations-mule</v>
      </c>
      <c r="F42" s="74" t="str">
        <f>IFERROR(__xludf.DUMMYFUNCTION("IFERROR(
  INDEX(
    IMPORTRANGE(""13G8fPsBFu2GexfFEa1WV07s1XBlkJUT6lht1aLlmcKg"", ""api-register-id!C:C""),
    MATCH(E42, IMPORTRANGE(""13G8fPsBFu2GexfFEa1WV07s1XBlkJUT6lht1aLlmcKg"", ""api-register-id!J:J""), 0)
  ),
  ""Not Found API Name""
)"),"Not Found API Name")</f>
        <v>Not Found API Name</v>
      </c>
      <c r="G42" s="30"/>
      <c r="H42" s="30"/>
      <c r="I42" s="30"/>
      <c r="J42" s="30"/>
      <c r="K42" s="30"/>
      <c r="L42" s="30"/>
      <c r="M42" s="30"/>
      <c r="N42" s="30"/>
      <c r="O42" s="30"/>
      <c r="P42" s="30"/>
      <c r="Q42" s="30"/>
      <c r="R42" s="30"/>
      <c r="S42" s="30"/>
      <c r="T42" s="30"/>
      <c r="U42" s="30"/>
      <c r="V42" s="30"/>
      <c r="W42" s="30"/>
      <c r="X42" s="30"/>
      <c r="Y42" s="30"/>
      <c r="Z42" s="30"/>
      <c r="AA42" s="30"/>
    </row>
    <row r="43">
      <c r="A43" s="75" t="s">
        <v>295</v>
      </c>
      <c r="B43" s="30" t="str">
        <f>IFERROR(__xludf.DUMMYFUNCTION("IFERROR(
  INDEX(
    IMPORTRANGE(""13G8fPsBFu2GexfFEa1WV07s1XBlkJUT6lht1aLlmcKg"", ""api-register-id!B:B""),
    MATCH(E43, IMPORTRANGE(""13G8fPsBFu2GexfFEa1WV07s1XBlkJUT6lht1aLlmcKg"", ""api-register-id!J:J""), 0)
  ),
  ""Not Found API Name""
)"),"Not Found API Name")</f>
        <v>Not Found API Name</v>
      </c>
      <c r="C43" s="30" t="str">
        <f>IFERROR(__xludf.DUMMYFUNCTION("IFERROR(
  INDEX(
    IMPORTRANGE(""13G8fPsBFu2GexfFEa1WV07s1XBlkJUT6lht1aLlmcKg"", ""api-register-id!D:D""),
    MATCH(E43, IMPORTRANGE(""13G8fPsBFu2GexfFEa1WV07s1XBlkJUT6lht1aLlmcKg"", ""api-register-id!J:J""), 0)
  ),
  ""Not Found API Name""
)"),"Not Found API Name")</f>
        <v>Not Found API Name</v>
      </c>
      <c r="D43" s="30" t="str">
        <f>IFERROR(__xludf.DUMMYFUNCTION("IFERROR(
  INDEX(
    IMPORTRANGE(""13G8fPsBFu2GexfFEa1WV07s1XBlkJUT6lht1aLlmcKg"", ""api-register-id!E:E""),
    MATCH(E43, IMPORTRANGE(""13G8fPsBFu2GexfFEa1WV07s1XBlkJUT6lht1aLlmcKg"", ""api-register-id!J:J""), 0)
  ),
  ""Not Found API Name""
)"),"Not Found API Name")</f>
        <v>Not Found API Name</v>
      </c>
      <c r="E43" s="30" t="str">
        <f t="shared" si="1"/>
        <v>mx-ms-bc-dom-position-keeping-mule</v>
      </c>
      <c r="F43" s="74" t="str">
        <f>IFERROR(__xludf.DUMMYFUNCTION("IFERROR(
  INDEX(
    IMPORTRANGE(""13G8fPsBFu2GexfFEa1WV07s1XBlkJUT6lht1aLlmcKg"", ""api-register-id!C:C""),
    MATCH(E43, IMPORTRANGE(""13G8fPsBFu2GexfFEa1WV07s1XBlkJUT6lht1aLlmcKg"", ""api-register-id!J:J""), 0)
  ),
  ""Not Found API Name""
)"),"Not Found API Name")</f>
        <v>Not Found API Name</v>
      </c>
      <c r="G43" s="30"/>
      <c r="H43" s="30"/>
      <c r="I43" s="30"/>
      <c r="J43" s="30"/>
      <c r="K43" s="30"/>
      <c r="L43" s="30"/>
      <c r="M43" s="30"/>
      <c r="N43" s="30"/>
      <c r="O43" s="30"/>
      <c r="P43" s="30"/>
      <c r="Q43" s="30"/>
      <c r="R43" s="30"/>
      <c r="S43" s="30"/>
      <c r="T43" s="30"/>
      <c r="U43" s="30"/>
      <c r="V43" s="30"/>
      <c r="W43" s="30"/>
      <c r="X43" s="30"/>
      <c r="Y43" s="30"/>
      <c r="Z43" s="30"/>
      <c r="AA43" s="30"/>
    </row>
    <row r="44">
      <c r="A44" s="75" t="s">
        <v>301</v>
      </c>
      <c r="B44" s="30" t="str">
        <f>IFERROR(__xludf.DUMMYFUNCTION("IFERROR(
  INDEX(
    IMPORTRANGE(""13G8fPsBFu2GexfFEa1WV07s1XBlkJUT6lht1aLlmcKg"", ""api-register-id!B:B""),
    MATCH(E44, IMPORTRANGE(""13G8fPsBFu2GexfFEa1WV07s1XBlkJUT6lht1aLlmcKg"", ""api-register-id!J:J""), 0)
  ),
  ""Not Found API Name""
)"),"Not Found API Name")</f>
        <v>Not Found API Name</v>
      </c>
      <c r="C44" s="30" t="str">
        <f>IFERROR(__xludf.DUMMYFUNCTION("IFERROR(
  INDEX(
    IMPORTRANGE(""13G8fPsBFu2GexfFEa1WV07s1XBlkJUT6lht1aLlmcKg"", ""api-register-id!D:D""),
    MATCH(E44, IMPORTRANGE(""13G8fPsBFu2GexfFEa1WV07s1XBlkJUT6lht1aLlmcKg"", ""api-register-id!J:J""), 0)
  ),
  ""Not Found API Name""
)"),"Not Found API Name")</f>
        <v>Not Found API Name</v>
      </c>
      <c r="D44" s="30" t="str">
        <f>IFERROR(__xludf.DUMMYFUNCTION("IFERROR(
  INDEX(
    IMPORTRANGE(""13G8fPsBFu2GexfFEa1WV07s1XBlkJUT6lht1aLlmcKg"", ""api-register-id!E:E""),
    MATCH(E44, IMPORTRANGE(""13G8fPsBFu2GexfFEa1WV07s1XBlkJUT6lht1aLlmcKg"", ""api-register-id!J:J""), 0)
  ),
  ""Not Found API Name""
)"),"Not Found API Name")</f>
        <v>Not Found API Name</v>
      </c>
      <c r="E44" s="30" t="str">
        <f t="shared" si="1"/>
        <v>mx-ms-bc-dom-product-directory-mule</v>
      </c>
      <c r="F44" s="74" t="str">
        <f>IFERROR(__xludf.DUMMYFUNCTION("IFERROR(
  INDEX(
    IMPORTRANGE(""13G8fPsBFu2GexfFEa1WV07s1XBlkJUT6lht1aLlmcKg"", ""api-register-id!C:C""),
    MATCH(E44, IMPORTRANGE(""13G8fPsBFu2GexfFEa1WV07s1XBlkJUT6lht1aLlmcKg"", ""api-register-id!J:J""), 0)
  ),
  ""Not Found API Name""
)"),"Not Found API Name")</f>
        <v>Not Found API Name</v>
      </c>
      <c r="G44" s="30"/>
      <c r="H44" s="30"/>
      <c r="I44" s="30"/>
      <c r="J44" s="30"/>
      <c r="K44" s="30"/>
      <c r="L44" s="30"/>
      <c r="M44" s="30"/>
      <c r="N44" s="30"/>
      <c r="O44" s="30"/>
      <c r="P44" s="30"/>
      <c r="Q44" s="30"/>
      <c r="R44" s="30"/>
      <c r="S44" s="30"/>
      <c r="T44" s="30"/>
      <c r="U44" s="30"/>
      <c r="V44" s="30"/>
      <c r="W44" s="30"/>
      <c r="X44" s="30"/>
      <c r="Y44" s="30"/>
      <c r="Z44" s="30"/>
      <c r="AA44" s="30"/>
    </row>
    <row r="45">
      <c r="A45" s="75" t="s">
        <v>304</v>
      </c>
      <c r="B45" s="30" t="str">
        <f>IFERROR(__xludf.DUMMYFUNCTION("IFERROR(
  INDEX(
    IMPORTRANGE(""13G8fPsBFu2GexfFEa1WV07s1XBlkJUT6lht1aLlmcKg"", ""api-register-id!B:B""),
    MATCH(E45, IMPORTRANGE(""13G8fPsBFu2GexfFEa1WV07s1XBlkJUT6lht1aLlmcKg"", ""api-register-id!J:J""), 0)
  ),
  ""Not Found API Name""
)"),"Not Found API Name")</f>
        <v>Not Found API Name</v>
      </c>
      <c r="C45" s="30" t="str">
        <f>IFERROR(__xludf.DUMMYFUNCTION("IFERROR(
  INDEX(
    IMPORTRANGE(""13G8fPsBFu2GexfFEa1WV07s1XBlkJUT6lht1aLlmcKg"", ""api-register-id!D:D""),
    MATCH(E45, IMPORTRANGE(""13G8fPsBFu2GexfFEa1WV07s1XBlkJUT6lht1aLlmcKg"", ""api-register-id!J:J""), 0)
  ),
  ""Not Found API Name""
)"),"Not Found API Name")</f>
        <v>Not Found API Name</v>
      </c>
      <c r="D45" s="30" t="str">
        <f>IFERROR(__xludf.DUMMYFUNCTION("IFERROR(
  INDEX(
    IMPORTRANGE(""13G8fPsBFu2GexfFEa1WV07s1XBlkJUT6lht1aLlmcKg"", ""api-register-id!E:E""),
    MATCH(E45, IMPORTRANGE(""13G8fPsBFu2GexfFEa1WV07s1XBlkJUT6lht1aLlmcKg"", ""api-register-id!J:J""), 0)
  ),
  ""Not Found API Name""
)"),"Not Found API Name")</f>
        <v>Not Found API Name</v>
      </c>
      <c r="E45" s="30" t="str">
        <f t="shared" si="1"/>
        <v>mx-ms-bc-dom-session-dialogue-mule</v>
      </c>
      <c r="F45" s="74" t="str">
        <f>IFERROR(__xludf.DUMMYFUNCTION("IFERROR(
  INDEX(
    IMPORTRANGE(""13G8fPsBFu2GexfFEa1WV07s1XBlkJUT6lht1aLlmcKg"", ""api-register-id!C:C""),
    MATCH(E45, IMPORTRANGE(""13G8fPsBFu2GexfFEa1WV07s1XBlkJUT6lht1aLlmcKg"", ""api-register-id!J:J""), 0)
  ),
  ""Not Found API Name""
)"),"Not Found API Name")</f>
        <v>Not Found API Name</v>
      </c>
      <c r="G45" s="30"/>
      <c r="H45" s="30"/>
      <c r="I45" s="30"/>
      <c r="J45" s="30"/>
      <c r="K45" s="30"/>
      <c r="L45" s="30"/>
      <c r="M45" s="30"/>
      <c r="N45" s="30"/>
      <c r="O45" s="30"/>
      <c r="P45" s="30"/>
      <c r="Q45" s="30"/>
      <c r="R45" s="30"/>
      <c r="S45" s="30"/>
      <c r="T45" s="30"/>
      <c r="U45" s="30"/>
      <c r="V45" s="30"/>
      <c r="W45" s="30"/>
      <c r="X45" s="30"/>
      <c r="Y45" s="30"/>
      <c r="Z45" s="30"/>
      <c r="AA45" s="30"/>
    </row>
    <row r="46">
      <c r="A46" s="75" t="s">
        <v>307</v>
      </c>
      <c r="B46" s="30" t="str">
        <f>IFERROR(__xludf.DUMMYFUNCTION("IFERROR(
  INDEX(
    IMPORTRANGE(""13G8fPsBFu2GexfFEa1WV07s1XBlkJUT6lht1aLlmcKg"", ""api-register-id!B:B""),
    MATCH(E46, IMPORTRANGE(""13G8fPsBFu2GexfFEa1WV07s1XBlkJUT6lht1aLlmcKg"", ""api-register-id!J:J""), 0)
  ),
  ""Not Found API Name""
)"),"Not Found API Name")</f>
        <v>Not Found API Name</v>
      </c>
      <c r="C46" s="30" t="str">
        <f>IFERROR(__xludf.DUMMYFUNCTION("IFERROR(
  INDEX(
    IMPORTRANGE(""13G8fPsBFu2GexfFEa1WV07s1XBlkJUT6lht1aLlmcKg"", ""api-register-id!D:D""),
    MATCH(E46, IMPORTRANGE(""13G8fPsBFu2GexfFEa1WV07s1XBlkJUT6lht1aLlmcKg"", ""api-register-id!J:J""), 0)
  ),
  ""Not Found API Name""
)"),"Not Found API Name")</f>
        <v>Not Found API Name</v>
      </c>
      <c r="D46" s="30" t="str">
        <f>IFERROR(__xludf.DUMMYFUNCTION("IFERROR(
  INDEX(
    IMPORTRANGE(""13G8fPsBFu2GexfFEa1WV07s1XBlkJUT6lht1aLlmcKg"", ""api-register-id!E:E""),
    MATCH(E46, IMPORTRANGE(""13G8fPsBFu2GexfFEa1WV07s1XBlkJUT6lht1aLlmcKg"", ""api-register-id!J:J""), 0)
  ),
  ""Not Found API Name""
)"),"Not Found API Name")</f>
        <v>Not Found API Name</v>
      </c>
      <c r="E46" s="30" t="str">
        <f t="shared" si="1"/>
        <v>mx-ms-bc-dom-transaction-engine-mule</v>
      </c>
      <c r="F46" s="74" t="str">
        <f>IFERROR(__xludf.DUMMYFUNCTION("IFERROR(
  INDEX(
    IMPORTRANGE(""13G8fPsBFu2GexfFEa1WV07s1XBlkJUT6lht1aLlmcKg"", ""api-register-id!C:C""),
    MATCH(E46, IMPORTRANGE(""13G8fPsBFu2GexfFEa1WV07s1XBlkJUT6lht1aLlmcKg"", ""api-register-id!J:J""), 0)
  ),
  ""Not Found API Name""
)"),"Not Found API Name")</f>
        <v>Not Found API Name</v>
      </c>
      <c r="G46" s="30"/>
      <c r="H46" s="30"/>
      <c r="I46" s="30"/>
      <c r="J46" s="30"/>
      <c r="K46" s="30"/>
      <c r="L46" s="30"/>
      <c r="M46" s="30"/>
      <c r="N46" s="30"/>
      <c r="O46" s="30"/>
      <c r="P46" s="30"/>
      <c r="Q46" s="30"/>
      <c r="R46" s="30"/>
      <c r="S46" s="30"/>
      <c r="T46" s="30"/>
      <c r="U46" s="30"/>
      <c r="V46" s="30"/>
      <c r="W46" s="30"/>
      <c r="X46" s="30"/>
      <c r="Y46" s="30"/>
      <c r="Z46" s="30"/>
      <c r="AA46" s="30"/>
    </row>
    <row r="47">
      <c r="A47" s="75" t="s">
        <v>313</v>
      </c>
      <c r="B47" s="30" t="str">
        <f>IFERROR(__xludf.DUMMYFUNCTION("IFERROR(
  INDEX(
    IMPORTRANGE(""13G8fPsBFu2GexfFEa1WV07s1XBlkJUT6lht1aLlmcKg"", ""api-register-id!B:B""),
    MATCH(E47, IMPORTRANGE(""13G8fPsBFu2GexfFEa1WV07s1XBlkJUT6lht1aLlmcKg"", ""api-register-id!J:J""), 0)
  ),
  ""Not Found API Name""
)"),"Not Found API Name")</f>
        <v>Not Found API Name</v>
      </c>
      <c r="C47" s="30" t="str">
        <f>IFERROR(__xludf.DUMMYFUNCTION("IFERROR(
  INDEX(
    IMPORTRANGE(""13G8fPsBFu2GexfFEa1WV07s1XBlkJUT6lht1aLlmcKg"", ""api-register-id!D:D""),
    MATCH(E47, IMPORTRANGE(""13G8fPsBFu2GexfFEa1WV07s1XBlkJUT6lht1aLlmcKg"", ""api-register-id!J:J""), 0)
  ),
  ""Not Found API Name""
)"),"Not Found API Name")</f>
        <v>Not Found API Name</v>
      </c>
      <c r="D47" s="30" t="str">
        <f>IFERROR(__xludf.DUMMYFUNCTION("IFERROR(
  INDEX(
    IMPORTRANGE(""13G8fPsBFu2GexfFEa1WV07s1XBlkJUT6lht1aLlmcKg"", ""api-register-id!E:E""),
    MATCH(E47, IMPORTRANGE(""13G8fPsBFu2GexfFEa1WV07s1XBlkJUT6lht1aLlmcKg"", ""api-register-id!J:J""), 0)
  ),
  ""Not Found API Name""
)"),"Not Found API Name")</f>
        <v>Not Found API Name</v>
      </c>
      <c r="E47" s="30" t="str">
        <f t="shared" si="1"/>
        <v>mx-ms-bc-dom-utility-mule</v>
      </c>
      <c r="F47" s="74" t="str">
        <f>IFERROR(__xludf.DUMMYFUNCTION("IFERROR(
  INDEX(
    IMPORTRANGE(""13G8fPsBFu2GexfFEa1WV07s1XBlkJUT6lht1aLlmcKg"", ""api-register-id!C:C""),
    MATCH(E47, IMPORTRANGE(""13G8fPsBFu2GexfFEa1WV07s1XBlkJUT6lht1aLlmcKg"", ""api-register-id!J:J""), 0)
  ),
  ""Not Found API Name""
)"),"Not Found API Name")</f>
        <v>Not Found API Name</v>
      </c>
      <c r="G47" s="30"/>
      <c r="H47" s="30"/>
      <c r="I47" s="30"/>
      <c r="J47" s="30"/>
      <c r="K47" s="30"/>
      <c r="L47" s="30"/>
      <c r="M47" s="30"/>
      <c r="N47" s="30"/>
      <c r="O47" s="30"/>
      <c r="P47" s="30"/>
      <c r="Q47" s="30"/>
      <c r="R47" s="30"/>
      <c r="S47" s="30"/>
      <c r="T47" s="30"/>
      <c r="U47" s="30"/>
      <c r="V47" s="30"/>
      <c r="W47" s="30"/>
      <c r="X47" s="30"/>
      <c r="Y47" s="30"/>
      <c r="Z47" s="30"/>
      <c r="AA47" s="30"/>
    </row>
    <row r="48">
      <c r="A48" s="75" t="s">
        <v>318</v>
      </c>
      <c r="B48" s="30" t="str">
        <f>IFERROR(__xludf.DUMMYFUNCTION("IFERROR(
  INDEX(
    IMPORTRANGE(""13G8fPsBFu2GexfFEa1WV07s1XBlkJUT6lht1aLlmcKg"", ""api-register-id!B:B""),
    MATCH(E48, IMPORTRANGE(""13G8fPsBFu2GexfFEa1WV07s1XBlkJUT6lht1aLlmcKg"", ""api-register-id!J:J""), 0)
  ),
  ""Not Found API Name""
)"),"Not Found API Name")</f>
        <v>Not Found API Name</v>
      </c>
      <c r="C48" s="30" t="str">
        <f>IFERROR(__xludf.DUMMYFUNCTION("IFERROR(
  INDEX(
    IMPORTRANGE(""13G8fPsBFu2GexfFEa1WV07s1XBlkJUT6lht1aLlmcKg"", ""api-register-id!D:D""),
    MATCH(E48, IMPORTRANGE(""13G8fPsBFu2GexfFEa1WV07s1XBlkJUT6lht1aLlmcKg"", ""api-register-id!J:J""), 0)
  ),
  ""Not Found API Name""
)"),"Not Found API Name")</f>
        <v>Not Found API Name</v>
      </c>
      <c r="D48" s="30" t="str">
        <f>IFERROR(__xludf.DUMMYFUNCTION("IFERROR(
  INDEX(
    IMPORTRANGE(""13G8fPsBFu2GexfFEa1WV07s1XBlkJUT6lht1aLlmcKg"", ""api-register-id!E:E""),
    MATCH(E48, IMPORTRANGE(""13G8fPsBFu2GexfFEa1WV07s1XBlkJUT6lht1aLlmcKg"", ""api-register-id!J:J""), 0)
  ),
  ""Not Found API Name""
)"),"Not Found API Name")</f>
        <v>Not Found API Name</v>
      </c>
      <c r="E48" s="30" t="str">
        <f t="shared" si="1"/>
        <v>mx-ms-bc-int-p-current-account</v>
      </c>
      <c r="F48" s="73">
        <v>0.0</v>
      </c>
      <c r="G48" s="72" t="s">
        <v>152</v>
      </c>
      <c r="H48" s="30"/>
      <c r="I48" s="30"/>
      <c r="J48" s="30"/>
      <c r="K48" s="30"/>
      <c r="L48" s="30"/>
      <c r="M48" s="30"/>
      <c r="N48" s="30"/>
      <c r="O48" s="30"/>
      <c r="P48" s="30"/>
      <c r="Q48" s="30"/>
      <c r="R48" s="30"/>
      <c r="S48" s="30"/>
      <c r="T48" s="30"/>
      <c r="U48" s="30"/>
      <c r="V48" s="30"/>
      <c r="W48" s="30"/>
      <c r="X48" s="30"/>
      <c r="Y48" s="30"/>
      <c r="Z48" s="30"/>
      <c r="AA48" s="30"/>
    </row>
    <row r="49">
      <c r="A49" s="75" t="s">
        <v>322</v>
      </c>
      <c r="B49" s="30" t="str">
        <f>IFERROR(__xludf.DUMMYFUNCTION("IFERROR(
  INDEX(
    IMPORTRANGE(""13G8fPsBFu2GexfFEa1WV07s1XBlkJUT6lht1aLlmcKg"", ""api-register-id!B:B""),
    MATCH(E49, IMPORTRANGE(""13G8fPsBFu2GexfFEa1WV07s1XBlkJUT6lht1aLlmcKg"", ""api-register-id!J:J""), 0)
  ),
  ""Not Found API Name""
)"),"Not Found API Name")</f>
        <v>Not Found API Name</v>
      </c>
      <c r="C49" s="30" t="str">
        <f>IFERROR(__xludf.DUMMYFUNCTION("IFERROR(
  INDEX(
    IMPORTRANGE(""13G8fPsBFu2GexfFEa1WV07s1XBlkJUT6lht1aLlmcKg"", ""api-register-id!D:D""),
    MATCH(E49, IMPORTRANGE(""13G8fPsBFu2GexfFEa1WV07s1XBlkJUT6lht1aLlmcKg"", ""api-register-id!J:J""), 0)
  ),
  ""Not Found API Name""
)"),"Not Found API Name")</f>
        <v>Not Found API Name</v>
      </c>
      <c r="D49" s="30" t="str">
        <f>IFERROR(__xludf.DUMMYFUNCTION("IFERROR(
  INDEX(
    IMPORTRANGE(""13G8fPsBFu2GexfFEa1WV07s1XBlkJUT6lht1aLlmcKg"", ""api-register-id!E:E""),
    MATCH(E49, IMPORTRANGE(""13G8fPsBFu2GexfFEa1WV07s1XBlkJUT6lht1aLlmcKg"", ""api-register-id!J:J""), 0)
  ),
  ""Not Found API Name""
)"),"Not Found API Name")</f>
        <v>Not Found API Name</v>
      </c>
      <c r="E49" s="30" t="str">
        <f t="shared" si="1"/>
        <v>mx-ms-bc-int-r-current-account</v>
      </c>
      <c r="F49" s="73">
        <v>0.0</v>
      </c>
      <c r="G49" s="72" t="s">
        <v>152</v>
      </c>
      <c r="H49" s="30"/>
      <c r="I49" s="30"/>
      <c r="J49" s="30"/>
      <c r="K49" s="30"/>
      <c r="L49" s="30"/>
      <c r="M49" s="30"/>
      <c r="N49" s="30"/>
      <c r="O49" s="30"/>
      <c r="P49" s="30"/>
      <c r="Q49" s="30"/>
      <c r="R49" s="30"/>
      <c r="S49" s="30"/>
      <c r="T49" s="30"/>
      <c r="U49" s="30"/>
      <c r="V49" s="30"/>
      <c r="W49" s="30"/>
      <c r="X49" s="30"/>
      <c r="Y49" s="30"/>
      <c r="Z49" s="30"/>
      <c r="AA49" s="30"/>
    </row>
    <row r="50">
      <c r="A50" s="75" t="s">
        <v>323</v>
      </c>
      <c r="B50" s="30" t="str">
        <f>IFERROR(__xludf.DUMMYFUNCTION("IFERROR(
  INDEX(
    IMPORTRANGE(""13G8fPsBFu2GexfFEa1WV07s1XBlkJUT6lht1aLlmcKg"", ""api-register-id!B:B""),
    MATCH(E50, IMPORTRANGE(""13G8fPsBFu2GexfFEa1WV07s1XBlkJUT6lht1aLlmcKg"", ""api-register-id!J:J""), 0)
  ),
  ""Not Found API Name""
)"),"Not Found API Name")</f>
        <v>Not Found API Name</v>
      </c>
      <c r="C50" s="30" t="str">
        <f>IFERROR(__xludf.DUMMYFUNCTION("IFERROR(
  INDEX(
    IMPORTRANGE(""13G8fPsBFu2GexfFEa1WV07s1XBlkJUT6lht1aLlmcKg"", ""api-register-id!D:D""),
    MATCH(E50, IMPORTRANGE(""13G8fPsBFu2GexfFEa1WV07s1XBlkJUT6lht1aLlmcKg"", ""api-register-id!J:J""), 0)
  ),
  ""Not Found API Name""
)"),"Not Found API Name")</f>
        <v>Not Found API Name</v>
      </c>
      <c r="D50" s="30" t="str">
        <f>IFERROR(__xludf.DUMMYFUNCTION("IFERROR(
  INDEX(
    IMPORTRANGE(""13G8fPsBFu2GexfFEa1WV07s1XBlkJUT6lht1aLlmcKg"", ""api-register-id!E:E""),
    MATCH(E50, IMPORTRANGE(""13G8fPsBFu2GexfFEa1WV07s1XBlkJUT6lht1aLlmcKg"", ""api-register-id!J:J""), 0)
  ),
  ""Not Found API Name""
)"),"Not Found API Name")</f>
        <v>Not Found API Name</v>
      </c>
      <c r="E50" s="30" t="str">
        <f t="shared" si="1"/>
        <v>mx-ms-bc-pro-branch-location-operations</v>
      </c>
      <c r="F50" s="74" t="str">
        <f>IFERROR(__xludf.DUMMYFUNCTION("IFERROR(
  INDEX(
    IMPORTRANGE(""13G8fPsBFu2GexfFEa1WV07s1XBlkJUT6lht1aLlmcKg"", ""api-register-id!C:C""),
    MATCH(E50, IMPORTRANGE(""13G8fPsBFu2GexfFEa1WV07s1XBlkJUT6lht1aLlmcKg"", ""api-register-id!J:J""), 0)
  ),
  ""Not Found API Name""
)"),"Not Found API Name")</f>
        <v>Not Found API Name</v>
      </c>
      <c r="G50" s="30"/>
      <c r="H50" s="30"/>
      <c r="I50" s="30"/>
      <c r="J50" s="30"/>
      <c r="K50" s="30"/>
      <c r="L50" s="30"/>
      <c r="M50" s="30"/>
      <c r="N50" s="30"/>
      <c r="O50" s="30"/>
      <c r="P50" s="30"/>
      <c r="Q50" s="30"/>
      <c r="R50" s="30"/>
      <c r="S50" s="30"/>
      <c r="T50" s="30"/>
      <c r="U50" s="30"/>
      <c r="V50" s="30"/>
      <c r="W50" s="30"/>
      <c r="X50" s="30"/>
      <c r="Y50" s="30"/>
      <c r="Z50" s="30"/>
      <c r="AA50" s="30"/>
    </row>
    <row r="51">
      <c r="A51" s="75" t="s">
        <v>332</v>
      </c>
      <c r="B51" s="30" t="str">
        <f>IFERROR(__xludf.DUMMYFUNCTION("IFERROR(
  INDEX(
    IMPORTRANGE(""13G8fPsBFu2GexfFEa1WV07s1XBlkJUT6lht1aLlmcKg"", ""api-register-id!B:B""),
    MATCH(E51, IMPORTRANGE(""13G8fPsBFu2GexfFEa1WV07s1XBlkJUT6lht1aLlmcKg"", ""api-register-id!J:J""), 0)
  ),
  ""Not Found API Name""
)"),"Not Found API Name")</f>
        <v>Not Found API Name</v>
      </c>
      <c r="C51" s="30" t="str">
        <f>IFERROR(__xludf.DUMMYFUNCTION("IFERROR(
  INDEX(
    IMPORTRANGE(""13G8fPsBFu2GexfFEa1WV07s1XBlkJUT6lht1aLlmcKg"", ""api-register-id!D:D""),
    MATCH(E51, IMPORTRANGE(""13G8fPsBFu2GexfFEa1WV07s1XBlkJUT6lht1aLlmcKg"", ""api-register-id!J:J""), 0)
  ),
  ""Not Found API Name""
)"),"Not Found API Name")</f>
        <v>Not Found API Name</v>
      </c>
      <c r="D51" s="30" t="str">
        <f>IFERROR(__xludf.DUMMYFUNCTION("IFERROR(
  INDEX(
    IMPORTRANGE(""13G8fPsBFu2GexfFEa1WV07s1XBlkJUT6lht1aLlmcKg"", ""api-register-id!E:E""),
    MATCH(E51, IMPORTRANGE(""13G8fPsBFu2GexfFEa1WV07s1XBlkJUT6lht1aLlmcKg"", ""api-register-id!J:J""), 0)
  ),
  ""Not Found API Name""
)"),"Not Found API Name")</f>
        <v>Not Found API Name</v>
      </c>
      <c r="E51" s="30" t="str">
        <f t="shared" si="1"/>
        <v>mx-ms-bc-pro-branch-network-management</v>
      </c>
      <c r="F51" s="74" t="str">
        <f>IFERROR(__xludf.DUMMYFUNCTION("IFERROR(
  INDEX(
    IMPORTRANGE(""13G8fPsBFu2GexfFEa1WV07s1XBlkJUT6lht1aLlmcKg"", ""api-register-id!C:C""),
    MATCH(E51, IMPORTRANGE(""13G8fPsBFu2GexfFEa1WV07s1XBlkJUT6lht1aLlmcKg"", ""api-register-id!J:J""), 0)
  ),
  ""Not Found API Name""
)"),"Not Found API Name")</f>
        <v>Not Found API Name</v>
      </c>
      <c r="G51" s="30"/>
      <c r="H51" s="30"/>
      <c r="I51" s="30"/>
      <c r="J51" s="30"/>
      <c r="K51" s="30"/>
      <c r="L51" s="30"/>
      <c r="M51" s="30"/>
      <c r="N51" s="30"/>
      <c r="O51" s="30"/>
      <c r="P51" s="30"/>
      <c r="Q51" s="30"/>
      <c r="R51" s="30"/>
      <c r="S51" s="30"/>
      <c r="T51" s="30"/>
      <c r="U51" s="30"/>
      <c r="V51" s="30"/>
      <c r="W51" s="30"/>
      <c r="X51" s="30"/>
      <c r="Y51" s="30"/>
      <c r="Z51" s="30"/>
      <c r="AA51" s="30"/>
    </row>
    <row r="52">
      <c r="A52" s="75" t="s">
        <v>334</v>
      </c>
      <c r="B52" s="30" t="str">
        <f>IFERROR(__xludf.DUMMYFUNCTION("IFERROR(
  INDEX(
    IMPORTRANGE(""13G8fPsBFu2GexfFEa1WV07s1XBlkJUT6lht1aLlmcKg"", ""api-register-id!B:B""),
    MATCH(E52, IMPORTRANGE(""13G8fPsBFu2GexfFEa1WV07s1XBlkJUT6lht1aLlmcKg"", ""api-register-id!J:J""), 0)
  ),
  ""Not Found API Name""
)"),"Not Found API Name")</f>
        <v>Not Found API Name</v>
      </c>
      <c r="C52" s="30" t="str">
        <f>IFERROR(__xludf.DUMMYFUNCTION("IFERROR(
  INDEX(
    IMPORTRANGE(""13G8fPsBFu2GexfFEa1WV07s1XBlkJUT6lht1aLlmcKg"", ""api-register-id!D:D""),
    MATCH(E52, IMPORTRANGE(""13G8fPsBFu2GexfFEa1WV07s1XBlkJUT6lht1aLlmcKg"", ""api-register-id!J:J""), 0)
  ),
  ""Not Found API Name""
)"),"Not Found API Name")</f>
        <v>Not Found API Name</v>
      </c>
      <c r="D52" s="30" t="str">
        <f>IFERROR(__xludf.DUMMYFUNCTION("IFERROR(
  INDEX(
    IMPORTRANGE(""13G8fPsBFu2GexfFEa1WV07s1XBlkJUT6lht1aLlmcKg"", ""api-register-id!E:E""),
    MATCH(E52, IMPORTRANGE(""13G8fPsBFu2GexfFEa1WV07s1XBlkJUT6lht1aLlmcKg"", ""api-register-id!J:J""), 0)
  ),
  ""Not Found API Name""
)"),"Not Found API Name")</f>
        <v>Not Found API Name</v>
      </c>
      <c r="E52" s="30" t="str">
        <f t="shared" si="1"/>
        <v>mx-ms-bc-pro-card-ecommerce-gateway</v>
      </c>
      <c r="F52" s="74" t="str">
        <f>IFERROR(__xludf.DUMMYFUNCTION("IFERROR(
  INDEX(
    IMPORTRANGE(""13G8fPsBFu2GexfFEa1WV07s1XBlkJUT6lht1aLlmcKg"", ""api-register-id!C:C""),
    MATCH(E52, IMPORTRANGE(""13G8fPsBFu2GexfFEa1WV07s1XBlkJUT6lht1aLlmcKg"", ""api-register-id!J:J""), 0)
  ),
  ""Not Found API Name""
)"),"Not Found API Name")</f>
        <v>Not Found API Name</v>
      </c>
      <c r="G52" s="30"/>
      <c r="H52" s="30"/>
      <c r="I52" s="30"/>
      <c r="J52" s="30"/>
      <c r="K52" s="30"/>
      <c r="L52" s="30"/>
      <c r="M52" s="30"/>
      <c r="N52" s="30"/>
      <c r="O52" s="30"/>
      <c r="P52" s="30"/>
      <c r="Q52" s="30"/>
      <c r="R52" s="30"/>
      <c r="S52" s="30"/>
      <c r="T52" s="30"/>
      <c r="U52" s="30"/>
      <c r="V52" s="30"/>
      <c r="W52" s="30"/>
      <c r="X52" s="30"/>
      <c r="Y52" s="30"/>
      <c r="Z52" s="30"/>
      <c r="AA52" s="30"/>
    </row>
    <row r="53">
      <c r="A53" s="75" t="s">
        <v>339</v>
      </c>
      <c r="B53" s="30" t="str">
        <f>IFERROR(__xludf.DUMMYFUNCTION("IFERROR(
  INDEX(
    IMPORTRANGE(""13G8fPsBFu2GexfFEa1WV07s1XBlkJUT6lht1aLlmcKg"", ""api-register-id!B:B""),
    MATCH(E53, IMPORTRANGE(""13G8fPsBFu2GexfFEa1WV07s1XBlkJUT6lht1aLlmcKg"", ""api-register-id!J:J""), 0)
  ),
  ""Not Found API Name""
)"),"Not Found API Name")</f>
        <v>Not Found API Name</v>
      </c>
      <c r="C53" s="30" t="str">
        <f>IFERROR(__xludf.DUMMYFUNCTION("IFERROR(
  INDEX(
    IMPORTRANGE(""13G8fPsBFu2GexfFEa1WV07s1XBlkJUT6lht1aLlmcKg"", ""api-register-id!D:D""),
    MATCH(E53, IMPORTRANGE(""13G8fPsBFu2GexfFEa1WV07s1XBlkJUT6lht1aLlmcKg"", ""api-register-id!J:J""), 0)
  ),
  ""Not Found API Name""
)"),"Not Found API Name")</f>
        <v>Not Found API Name</v>
      </c>
      <c r="D53" s="30" t="str">
        <f>IFERROR(__xludf.DUMMYFUNCTION("IFERROR(
  INDEX(
    IMPORTRANGE(""13G8fPsBFu2GexfFEa1WV07s1XBlkJUT6lht1aLlmcKg"", ""api-register-id!E:E""),
    MATCH(E53, IMPORTRANGE(""13G8fPsBFu2GexfFEa1WV07s1XBlkJUT6lht1aLlmcKg"", ""api-register-id!J:J""), 0)
  ),
  ""Not Found API Name""
)"),"Not Found API Name")</f>
        <v>Not Found API Name</v>
      </c>
      <c r="E53" s="30" t="str">
        <f t="shared" si="1"/>
        <v>mx-ms-bc-pro-card-transaction-switch</v>
      </c>
      <c r="F53" s="74" t="str">
        <f>IFERROR(__xludf.DUMMYFUNCTION("IFERROR(
  INDEX(
    IMPORTRANGE(""13G8fPsBFu2GexfFEa1WV07s1XBlkJUT6lht1aLlmcKg"", ""api-register-id!C:C""),
    MATCH(E53, IMPORTRANGE(""13G8fPsBFu2GexfFEa1WV07s1XBlkJUT6lht1aLlmcKg"", ""api-register-id!J:J""), 0)
  ),
  ""Not Found API Name""
)"),"Not Found API Name")</f>
        <v>Not Found API Name</v>
      </c>
      <c r="G53" s="30"/>
      <c r="H53" s="30"/>
      <c r="I53" s="30"/>
      <c r="J53" s="30"/>
      <c r="K53" s="30"/>
      <c r="L53" s="30"/>
      <c r="M53" s="30"/>
      <c r="N53" s="30"/>
      <c r="O53" s="30"/>
      <c r="P53" s="30"/>
      <c r="Q53" s="30"/>
      <c r="R53" s="30"/>
      <c r="S53" s="30"/>
      <c r="T53" s="30"/>
      <c r="U53" s="30"/>
      <c r="V53" s="30"/>
      <c r="W53" s="30"/>
      <c r="X53" s="30"/>
      <c r="Y53" s="30"/>
      <c r="Z53" s="30"/>
      <c r="AA53" s="30"/>
    </row>
    <row r="54">
      <c r="A54" s="75" t="s">
        <v>341</v>
      </c>
      <c r="B54" s="30" t="str">
        <f>IFERROR(__xludf.DUMMYFUNCTION("IFERROR(
  INDEX(
    IMPORTRANGE(""13G8fPsBFu2GexfFEa1WV07s1XBlkJUT6lht1aLlmcKg"", ""api-register-id!B:B""),
    MATCH(E54, IMPORTRANGE(""13G8fPsBFu2GexfFEa1WV07s1XBlkJUT6lht1aLlmcKg"", ""api-register-id!J:J""), 0)
  ),
  ""Not Found API Name""
)"),"Not Found API Name")</f>
        <v>Not Found API Name</v>
      </c>
      <c r="C54" s="30" t="str">
        <f>IFERROR(__xludf.DUMMYFUNCTION("IFERROR(
  INDEX(
    IMPORTRANGE(""13G8fPsBFu2GexfFEa1WV07s1XBlkJUT6lht1aLlmcKg"", ""api-register-id!D:D""),
    MATCH(E54, IMPORTRANGE(""13G8fPsBFu2GexfFEa1WV07s1XBlkJUT6lht1aLlmcKg"", ""api-register-id!J:J""), 0)
  ),
  ""Not Found API Name""
)"),"Not Found API Name")</f>
        <v>Not Found API Name</v>
      </c>
      <c r="D54" s="30" t="str">
        <f>IFERROR(__xludf.DUMMYFUNCTION("IFERROR(
  INDEX(
    IMPORTRANGE(""13G8fPsBFu2GexfFEa1WV07s1XBlkJUT6lht1aLlmcKg"", ""api-register-id!E:E""),
    MATCH(E54, IMPORTRANGE(""13G8fPsBFu2GexfFEa1WV07s1XBlkJUT6lht1aLlmcKg"", ""api-register-id!J:J""), 0)
  ),
  ""Not Found API Name""
)"),"Not Found API Name")</f>
        <v>Not Found API Name</v>
      </c>
      <c r="E54" s="30" t="str">
        <f t="shared" si="1"/>
        <v>mx-ms-bc-pro-correspondence</v>
      </c>
      <c r="F54" s="74" t="str">
        <f>IFERROR(__xludf.DUMMYFUNCTION("IFERROR(
  INDEX(
    IMPORTRANGE(""13G8fPsBFu2GexfFEa1WV07s1XBlkJUT6lht1aLlmcKg"", ""api-register-id!C:C""),
    MATCH(E54, IMPORTRANGE(""13G8fPsBFu2GexfFEa1WV07s1XBlkJUT6lht1aLlmcKg"", ""api-register-id!J:J""), 0)
  ),
  ""Not Found API Name""
)"),"Not Found API Name")</f>
        <v>Not Found API Name</v>
      </c>
      <c r="G54" s="30"/>
      <c r="H54" s="30"/>
      <c r="I54" s="30"/>
      <c r="J54" s="30"/>
      <c r="K54" s="30"/>
      <c r="L54" s="30"/>
      <c r="M54" s="30"/>
      <c r="N54" s="30"/>
      <c r="O54" s="30"/>
      <c r="P54" s="30"/>
      <c r="Q54" s="30"/>
      <c r="R54" s="30"/>
      <c r="S54" s="30"/>
      <c r="T54" s="30"/>
      <c r="U54" s="30"/>
      <c r="V54" s="30"/>
      <c r="W54" s="30"/>
      <c r="X54" s="30"/>
      <c r="Y54" s="30"/>
      <c r="Z54" s="30"/>
      <c r="AA54" s="30"/>
    </row>
    <row r="55">
      <c r="A55" s="75" t="s">
        <v>347</v>
      </c>
      <c r="B55" s="30" t="str">
        <f>IFERROR(__xludf.DUMMYFUNCTION("IFERROR(
  INDEX(
    IMPORTRANGE(""13G8fPsBFu2GexfFEa1WV07s1XBlkJUT6lht1aLlmcKg"", ""api-register-id!B:B""),
    MATCH(E55, IMPORTRANGE(""13G8fPsBFu2GexfFEa1WV07s1XBlkJUT6lht1aLlmcKg"", ""api-register-id!J:J""), 0)
  ),
  ""Not Found API Name""
)"),"Not Found API Name")</f>
        <v>Not Found API Name</v>
      </c>
      <c r="C55" s="30" t="str">
        <f>IFERROR(__xludf.DUMMYFUNCTION("IFERROR(
  INDEX(
    IMPORTRANGE(""13G8fPsBFu2GexfFEa1WV07s1XBlkJUT6lht1aLlmcKg"", ""api-register-id!D:D""),
    MATCH(E55, IMPORTRANGE(""13G8fPsBFu2GexfFEa1WV07s1XBlkJUT6lht1aLlmcKg"", ""api-register-id!J:J""), 0)
  ),
  ""Not Found API Name""
)"),"Not Found API Name")</f>
        <v>Not Found API Name</v>
      </c>
      <c r="D55" s="30" t="str">
        <f>IFERROR(__xludf.DUMMYFUNCTION("IFERROR(
  INDEX(
    IMPORTRANGE(""13G8fPsBFu2GexfFEa1WV07s1XBlkJUT6lht1aLlmcKg"", ""api-register-id!E:E""),
    MATCH(E55, IMPORTRANGE(""13G8fPsBFu2GexfFEa1WV07s1XBlkJUT6lht1aLlmcKg"", ""api-register-id!J:J""), 0)
  ),
  ""Not Found API Name""
)"),"Not Found API Name")</f>
        <v>Not Found API Name</v>
      </c>
      <c r="E55" s="30" t="str">
        <f t="shared" si="1"/>
        <v>mx-ms-bc-pro-counterparty-risk</v>
      </c>
      <c r="F55" s="74" t="str">
        <f>IFERROR(__xludf.DUMMYFUNCTION("IFERROR(
  INDEX(
    IMPORTRANGE(""13G8fPsBFu2GexfFEa1WV07s1XBlkJUT6lht1aLlmcKg"", ""api-register-id!C:C""),
    MATCH(E55, IMPORTRANGE(""13G8fPsBFu2GexfFEa1WV07s1XBlkJUT6lht1aLlmcKg"", ""api-register-id!J:J""), 0)
  ),
  ""Not Found API Name""
)"),"Not Found API Name")</f>
        <v>Not Found API Name</v>
      </c>
      <c r="G55" s="30"/>
      <c r="H55" s="30"/>
      <c r="I55" s="30"/>
      <c r="J55" s="30"/>
      <c r="K55" s="30"/>
      <c r="L55" s="30"/>
      <c r="M55" s="30"/>
      <c r="N55" s="30"/>
      <c r="O55" s="30"/>
      <c r="P55" s="30"/>
      <c r="Q55" s="30"/>
      <c r="R55" s="30"/>
      <c r="S55" s="30"/>
      <c r="T55" s="30"/>
      <c r="U55" s="30"/>
      <c r="V55" s="30"/>
      <c r="W55" s="30"/>
      <c r="X55" s="30"/>
      <c r="Y55" s="30"/>
      <c r="Z55" s="30"/>
      <c r="AA55" s="30"/>
    </row>
    <row r="56">
      <c r="A56" s="75" t="s">
        <v>349</v>
      </c>
      <c r="B56" s="30" t="str">
        <f>IFERROR(__xludf.DUMMYFUNCTION("IFERROR(
  INDEX(
    IMPORTRANGE(""13G8fPsBFu2GexfFEa1WV07s1XBlkJUT6lht1aLlmcKg"", ""api-register-id!B:B""),
    MATCH(E56, IMPORTRANGE(""13G8fPsBFu2GexfFEa1WV07s1XBlkJUT6lht1aLlmcKg"", ""api-register-id!J:J""), 0)
  ),
  ""Not Found API Name""
)"),"Not Found API Name")</f>
        <v>Not Found API Name</v>
      </c>
      <c r="C56" s="30" t="str">
        <f>IFERROR(__xludf.DUMMYFUNCTION("IFERROR(
  INDEX(
    IMPORTRANGE(""13G8fPsBFu2GexfFEa1WV07s1XBlkJUT6lht1aLlmcKg"", ""api-register-id!D:D""),
    MATCH(E56, IMPORTRANGE(""13G8fPsBFu2GexfFEa1WV07s1XBlkJUT6lht1aLlmcKg"", ""api-register-id!J:J""), 0)
  ),
  ""Not Found API Name""
)"),"Not Found API Name")</f>
        <v>Not Found API Name</v>
      </c>
      <c r="D56" s="30" t="str">
        <f>IFERROR(__xludf.DUMMYFUNCTION("IFERROR(
  INDEX(
    IMPORTRANGE(""13G8fPsBFu2GexfFEa1WV07s1XBlkJUT6lht1aLlmcKg"", ""api-register-id!E:E""),
    MATCH(E56, IMPORTRANGE(""13G8fPsBFu2GexfFEa1WV07s1XBlkJUT6lht1aLlmcKg"", ""api-register-id!J:J""), 0)
  ),
  ""Not Found API Name""
)"),"Not Found API Name")</f>
        <v>Not Found API Name</v>
      </c>
      <c r="E56" s="30" t="str">
        <f t="shared" si="1"/>
        <v>mx-ms-bc-pro-credit-card</v>
      </c>
      <c r="F56" s="74" t="str">
        <f>IFERROR(__xludf.DUMMYFUNCTION("IFERROR(
  INDEX(
    IMPORTRANGE(""13G8fPsBFu2GexfFEa1WV07s1XBlkJUT6lht1aLlmcKg"", ""api-register-id!C:C""),
    MATCH(E56, IMPORTRANGE(""13G8fPsBFu2GexfFEa1WV07s1XBlkJUT6lht1aLlmcKg"", ""api-register-id!J:J""), 0)
  ),
  ""Not Found API Name""
)"),"Not Found API Name")</f>
        <v>Not Found API Name</v>
      </c>
      <c r="G56" s="30"/>
      <c r="H56" s="30"/>
      <c r="I56" s="30"/>
      <c r="J56" s="30"/>
      <c r="K56" s="30"/>
      <c r="L56" s="30"/>
      <c r="M56" s="30"/>
      <c r="N56" s="30"/>
      <c r="O56" s="30"/>
      <c r="P56" s="30"/>
      <c r="Q56" s="30"/>
      <c r="R56" s="30"/>
      <c r="S56" s="30"/>
      <c r="T56" s="30"/>
      <c r="U56" s="30"/>
      <c r="V56" s="30"/>
      <c r="W56" s="30"/>
      <c r="X56" s="30"/>
      <c r="Y56" s="30"/>
      <c r="Z56" s="30"/>
      <c r="AA56" s="30"/>
    </row>
    <row r="57">
      <c r="A57" s="75" t="s">
        <v>354</v>
      </c>
      <c r="B57" s="30" t="str">
        <f>IFERROR(__xludf.DUMMYFUNCTION("IFERROR(
  INDEX(
    IMPORTRANGE(""13G8fPsBFu2GexfFEa1WV07s1XBlkJUT6lht1aLlmcKg"", ""api-register-id!B:B""),
    MATCH(E57, IMPORTRANGE(""13G8fPsBFu2GexfFEa1WV07s1XBlkJUT6lht1aLlmcKg"", ""api-register-id!J:J""), 0)
  ),
  ""Not Found API Name""
)"),"Not Found API Name")</f>
        <v>Not Found API Name</v>
      </c>
      <c r="C57" s="30" t="str">
        <f>IFERROR(__xludf.DUMMYFUNCTION("IFERROR(
  INDEX(
    IMPORTRANGE(""13G8fPsBFu2GexfFEa1WV07s1XBlkJUT6lht1aLlmcKg"", ""api-register-id!D:D""),
    MATCH(E57, IMPORTRANGE(""13G8fPsBFu2GexfFEa1WV07s1XBlkJUT6lht1aLlmcKg"", ""api-register-id!J:J""), 0)
  ),
  ""Not Found API Name""
)"),"Not Found API Name")</f>
        <v>Not Found API Name</v>
      </c>
      <c r="D57" s="30" t="str">
        <f>IFERROR(__xludf.DUMMYFUNCTION("IFERROR(
  INDEX(
    IMPORTRANGE(""13G8fPsBFu2GexfFEa1WV07s1XBlkJUT6lht1aLlmcKg"", ""api-register-id!E:E""),
    MATCH(E57, IMPORTRANGE(""13G8fPsBFu2GexfFEa1WV07s1XBlkJUT6lht1aLlmcKg"", ""api-register-id!J:J""), 0)
  ),
  ""Not Found API Name""
)"),"Not Found API Name")</f>
        <v>Not Found API Name</v>
      </c>
      <c r="E57" s="30" t="str">
        <f t="shared" si="1"/>
        <v>mx-ms-bc-pro-credit-card-position-keeping</v>
      </c>
      <c r="F57" s="74" t="str">
        <f>IFERROR(__xludf.DUMMYFUNCTION("IFERROR(
  INDEX(
    IMPORTRANGE(""13G8fPsBFu2GexfFEa1WV07s1XBlkJUT6lht1aLlmcKg"", ""api-register-id!C:C""),
    MATCH(E57, IMPORTRANGE(""13G8fPsBFu2GexfFEa1WV07s1XBlkJUT6lht1aLlmcKg"", ""api-register-id!J:J""), 0)
  ),
  ""Not Found API Name""
)"),"Not Found API Name")</f>
        <v>Not Found API Name</v>
      </c>
      <c r="G57" s="30"/>
      <c r="H57" s="30"/>
      <c r="I57" s="30"/>
      <c r="J57" s="30"/>
      <c r="K57" s="30"/>
      <c r="L57" s="30"/>
      <c r="M57" s="30"/>
      <c r="N57" s="30"/>
      <c r="O57" s="30"/>
      <c r="P57" s="30"/>
      <c r="Q57" s="30"/>
      <c r="R57" s="30"/>
      <c r="S57" s="30"/>
      <c r="T57" s="30"/>
      <c r="U57" s="30"/>
      <c r="V57" s="30"/>
      <c r="W57" s="30"/>
      <c r="X57" s="30"/>
      <c r="Y57" s="30"/>
      <c r="Z57" s="30"/>
      <c r="AA57" s="30"/>
    </row>
    <row r="58">
      <c r="A58" s="75" t="s">
        <v>357</v>
      </c>
      <c r="B58" s="30" t="str">
        <f>IFERROR(__xludf.DUMMYFUNCTION("IFERROR(
  INDEX(
    IMPORTRANGE(""13G8fPsBFu2GexfFEa1WV07s1XBlkJUT6lht1aLlmcKg"", ""api-register-id!B:B""),
    MATCH(E58, IMPORTRANGE(""13G8fPsBFu2GexfFEa1WV07s1XBlkJUT6lht1aLlmcKg"", ""api-register-id!J:J""), 0)
  ),
  ""Not Found API Name""
)"),"Not Found API Name")</f>
        <v>Not Found API Name</v>
      </c>
      <c r="C58" s="30" t="str">
        <f>IFERROR(__xludf.DUMMYFUNCTION("IFERROR(
  INDEX(
    IMPORTRANGE(""13G8fPsBFu2GexfFEa1WV07s1XBlkJUT6lht1aLlmcKg"", ""api-register-id!D:D""),
    MATCH(E58, IMPORTRANGE(""13G8fPsBFu2GexfFEa1WV07s1XBlkJUT6lht1aLlmcKg"", ""api-register-id!J:J""), 0)
  ),
  ""Not Found API Name""
)"),"Not Found API Name")</f>
        <v>Not Found API Name</v>
      </c>
      <c r="D58" s="30" t="str">
        <f>IFERROR(__xludf.DUMMYFUNCTION("IFERROR(
  INDEX(
    IMPORTRANGE(""13G8fPsBFu2GexfFEa1WV07s1XBlkJUT6lht1aLlmcKg"", ""api-register-id!E:E""),
    MATCH(E58, IMPORTRANGE(""13G8fPsBFu2GexfFEa1WV07s1XBlkJUT6lht1aLlmcKg"", ""api-register-id!J:J""), 0)
  ),
  ""Not Found API Name""
)"),"Not Found API Name")</f>
        <v>Not Found API Name</v>
      </c>
      <c r="E58" s="30" t="str">
        <f t="shared" si="1"/>
        <v>mx-ms-bc-pro-credit-facility</v>
      </c>
      <c r="F58" s="74" t="str">
        <f>IFERROR(__xludf.DUMMYFUNCTION("IFERROR(
  INDEX(
    IMPORTRANGE(""13G8fPsBFu2GexfFEa1WV07s1XBlkJUT6lht1aLlmcKg"", ""api-register-id!C:C""),
    MATCH(E58, IMPORTRANGE(""13G8fPsBFu2GexfFEa1WV07s1XBlkJUT6lht1aLlmcKg"", ""api-register-id!J:J""), 0)
  ),
  ""Not Found API Name""
)"),"Not Found API Name")</f>
        <v>Not Found API Name</v>
      </c>
      <c r="G58" s="30"/>
      <c r="H58" s="30"/>
      <c r="I58" s="30"/>
      <c r="J58" s="30"/>
      <c r="K58" s="30"/>
      <c r="L58" s="30"/>
      <c r="M58" s="30"/>
      <c r="N58" s="30"/>
      <c r="O58" s="30"/>
      <c r="P58" s="30"/>
      <c r="Q58" s="30"/>
      <c r="R58" s="30"/>
      <c r="S58" s="30"/>
      <c r="T58" s="30"/>
      <c r="U58" s="30"/>
      <c r="V58" s="30"/>
      <c r="W58" s="30"/>
      <c r="X58" s="30"/>
      <c r="Y58" s="30"/>
      <c r="Z58" s="30"/>
      <c r="AA58" s="30"/>
    </row>
    <row r="59">
      <c r="A59" s="75" t="s">
        <v>361</v>
      </c>
      <c r="B59" s="30" t="str">
        <f>IFERROR(__xludf.DUMMYFUNCTION("IFERROR(
  INDEX(
    IMPORTRANGE(""13G8fPsBFu2GexfFEa1WV07s1XBlkJUT6lht1aLlmcKg"", ""api-register-id!B:B""),
    MATCH(E59, IMPORTRANGE(""13G8fPsBFu2GexfFEa1WV07s1XBlkJUT6lht1aLlmcKg"", ""api-register-id!J:J""), 0)
  ),
  ""Not Found API Name""
)"),"Not Found API Name")</f>
        <v>Not Found API Name</v>
      </c>
      <c r="C59" s="30" t="str">
        <f>IFERROR(__xludf.DUMMYFUNCTION("IFERROR(
  INDEX(
    IMPORTRANGE(""13G8fPsBFu2GexfFEa1WV07s1XBlkJUT6lht1aLlmcKg"", ""api-register-id!D:D""),
    MATCH(E59, IMPORTRANGE(""13G8fPsBFu2GexfFEa1WV07s1XBlkJUT6lht1aLlmcKg"", ""api-register-id!J:J""), 0)
  ),
  ""Not Found API Name""
)"),"Not Found API Name")</f>
        <v>Not Found API Name</v>
      </c>
      <c r="D59" s="30" t="str">
        <f>IFERROR(__xludf.DUMMYFUNCTION("IFERROR(
  INDEX(
    IMPORTRANGE(""13G8fPsBFu2GexfFEa1WV07s1XBlkJUT6lht1aLlmcKg"", ""api-register-id!E:E""),
    MATCH(E59, IMPORTRANGE(""13G8fPsBFu2GexfFEa1WV07s1XBlkJUT6lht1aLlmcKg"", ""api-register-id!J:J""), 0)
  ),
  ""Not Found API Name""
)"),"Not Found API Name")</f>
        <v>Not Found API Name</v>
      </c>
      <c r="E59" s="30" t="str">
        <f t="shared" si="1"/>
        <v>mx-ms-bc-pro-customer-access-entitlement</v>
      </c>
      <c r="F59" s="74" t="str">
        <f>IFERROR(__xludf.DUMMYFUNCTION("IFERROR(
  INDEX(
    IMPORTRANGE(""13G8fPsBFu2GexfFEa1WV07s1XBlkJUT6lht1aLlmcKg"", ""api-register-id!C:C""),
    MATCH(E59, IMPORTRANGE(""13G8fPsBFu2GexfFEa1WV07s1XBlkJUT6lht1aLlmcKg"", ""api-register-id!J:J""), 0)
  ),
  ""Not Found API Name""
)"),"Not Found API Name")</f>
        <v>Not Found API Name</v>
      </c>
      <c r="G59" s="30"/>
      <c r="H59" s="30"/>
      <c r="I59" s="30"/>
      <c r="J59" s="30"/>
      <c r="K59" s="30"/>
      <c r="L59" s="30"/>
      <c r="M59" s="30"/>
      <c r="N59" s="30"/>
      <c r="O59" s="30"/>
      <c r="P59" s="30"/>
      <c r="Q59" s="30"/>
      <c r="R59" s="30"/>
      <c r="S59" s="30"/>
      <c r="T59" s="30"/>
      <c r="U59" s="30"/>
      <c r="V59" s="30"/>
      <c r="W59" s="30"/>
      <c r="X59" s="30"/>
      <c r="Y59" s="30"/>
      <c r="Z59" s="30"/>
      <c r="AA59" s="30"/>
    </row>
    <row r="60">
      <c r="A60" s="75" t="s">
        <v>368</v>
      </c>
      <c r="B60" s="30" t="str">
        <f>IFERROR(__xludf.DUMMYFUNCTION("IFERROR(
  INDEX(
    IMPORTRANGE(""13G8fPsBFu2GexfFEa1WV07s1XBlkJUT6lht1aLlmcKg"", ""api-register-id!B:B""),
    MATCH(E60, IMPORTRANGE(""13G8fPsBFu2GexfFEa1WV07s1XBlkJUT6lht1aLlmcKg"", ""api-register-id!J:J""), 0)
  ),
  ""Not Found API Name""
)"),"Not Found API Name")</f>
        <v>Not Found API Name</v>
      </c>
      <c r="C60" s="30" t="str">
        <f>IFERROR(__xludf.DUMMYFUNCTION("IFERROR(
  INDEX(
    IMPORTRANGE(""13G8fPsBFu2GexfFEa1WV07s1XBlkJUT6lht1aLlmcKg"", ""api-register-id!D:D""),
    MATCH(E60, IMPORTRANGE(""13G8fPsBFu2GexfFEa1WV07s1XBlkJUT6lht1aLlmcKg"", ""api-register-id!J:J""), 0)
  ),
  ""Not Found API Name""
)"),"Not Found API Name")</f>
        <v>Not Found API Name</v>
      </c>
      <c r="D60" s="30" t="str">
        <f>IFERROR(__xludf.DUMMYFUNCTION("IFERROR(
  INDEX(
    IMPORTRANGE(""13G8fPsBFu2GexfFEa1WV07s1XBlkJUT6lht1aLlmcKg"", ""api-register-id!E:E""),
    MATCH(E60, IMPORTRANGE(""13G8fPsBFu2GexfFEa1WV07s1XBlkJUT6lht1aLlmcKg"", ""api-register-id!J:J""), 0)
  ),
  ""Not Found API Name""
)"),"Not Found API Name")</f>
        <v>Not Found API Name</v>
      </c>
      <c r="E60" s="30" t="str">
        <f t="shared" si="1"/>
        <v>mx-ms-bc-pro-customer-agreement</v>
      </c>
      <c r="F60" s="74" t="str">
        <f>IFERROR(__xludf.DUMMYFUNCTION("IFERROR(
  INDEX(
    IMPORTRANGE(""13G8fPsBFu2GexfFEa1WV07s1XBlkJUT6lht1aLlmcKg"", ""api-register-id!C:C""),
    MATCH(E60, IMPORTRANGE(""13G8fPsBFu2GexfFEa1WV07s1XBlkJUT6lht1aLlmcKg"", ""api-register-id!J:J""), 0)
  ),
  ""Not Found API Name""
)"),"Not Found API Name")</f>
        <v>Not Found API Name</v>
      </c>
      <c r="G60" s="30"/>
      <c r="H60" s="30"/>
      <c r="I60" s="30"/>
      <c r="J60" s="30"/>
      <c r="K60" s="30"/>
      <c r="L60" s="30"/>
      <c r="M60" s="30"/>
      <c r="N60" s="30"/>
      <c r="O60" s="30"/>
      <c r="P60" s="30"/>
      <c r="Q60" s="30"/>
      <c r="R60" s="30"/>
      <c r="S60" s="30"/>
      <c r="T60" s="30"/>
      <c r="U60" s="30"/>
      <c r="V60" s="30"/>
      <c r="W60" s="30"/>
      <c r="X60" s="30"/>
      <c r="Y60" s="30"/>
      <c r="Z60" s="30"/>
      <c r="AA60" s="30"/>
    </row>
    <row r="61">
      <c r="A61" s="75" t="s">
        <v>371</v>
      </c>
      <c r="B61" s="30" t="str">
        <f>IFERROR(__xludf.DUMMYFUNCTION("IFERROR(
  INDEX(
    IMPORTRANGE(""13G8fPsBFu2GexfFEa1WV07s1XBlkJUT6lht1aLlmcKg"", ""api-register-id!B:B""),
    MATCH(E61, IMPORTRANGE(""13G8fPsBFu2GexfFEa1WV07s1XBlkJUT6lht1aLlmcKg"", ""api-register-id!J:J""), 0)
  ),
  ""Not Found API Name""
)"),"Not Found API Name")</f>
        <v>Not Found API Name</v>
      </c>
      <c r="C61" s="30" t="str">
        <f>IFERROR(__xludf.DUMMYFUNCTION("IFERROR(
  INDEX(
    IMPORTRANGE(""13G8fPsBFu2GexfFEa1WV07s1XBlkJUT6lht1aLlmcKg"", ""api-register-id!D:D""),
    MATCH(E61, IMPORTRANGE(""13G8fPsBFu2GexfFEa1WV07s1XBlkJUT6lht1aLlmcKg"", ""api-register-id!J:J""), 0)
  ),
  ""Not Found API Name""
)"),"Not Found API Name")</f>
        <v>Not Found API Name</v>
      </c>
      <c r="D61" s="30" t="str">
        <f>IFERROR(__xludf.DUMMYFUNCTION("IFERROR(
  INDEX(
    IMPORTRANGE(""13G8fPsBFu2GexfFEa1WV07s1XBlkJUT6lht1aLlmcKg"", ""api-register-id!E:E""),
    MATCH(E61, IMPORTRANGE(""13G8fPsBFu2GexfFEa1WV07s1XBlkJUT6lht1aLlmcKg"", ""api-register-id!J:J""), 0)
  ),
  ""Not Found API Name""
)"),"Not Found API Name")</f>
        <v>Not Found API Name</v>
      </c>
      <c r="E61" s="30" t="str">
        <f t="shared" si="1"/>
        <v>mx-ms-bc-pro-customer-credit-rating</v>
      </c>
      <c r="F61" s="74" t="str">
        <f>IFERROR(__xludf.DUMMYFUNCTION("IFERROR(
  INDEX(
    IMPORTRANGE(""13G8fPsBFu2GexfFEa1WV07s1XBlkJUT6lht1aLlmcKg"", ""api-register-id!C:C""),
    MATCH(E61, IMPORTRANGE(""13G8fPsBFu2GexfFEa1WV07s1XBlkJUT6lht1aLlmcKg"", ""api-register-id!J:J""), 0)
  ),
  ""Not Found API Name""
)"),"Not Found API Name")</f>
        <v>Not Found API Name</v>
      </c>
      <c r="G61" s="30"/>
      <c r="H61" s="30"/>
      <c r="I61" s="30"/>
      <c r="J61" s="30"/>
      <c r="K61" s="30"/>
      <c r="L61" s="30"/>
      <c r="M61" s="30"/>
      <c r="N61" s="30"/>
      <c r="O61" s="30"/>
      <c r="P61" s="30"/>
      <c r="Q61" s="30"/>
      <c r="R61" s="30"/>
      <c r="S61" s="30"/>
      <c r="T61" s="30"/>
      <c r="U61" s="30"/>
      <c r="V61" s="30"/>
      <c r="W61" s="30"/>
      <c r="X61" s="30"/>
      <c r="Y61" s="30"/>
      <c r="Z61" s="30"/>
      <c r="AA61" s="30"/>
    </row>
    <row r="62">
      <c r="A62" s="75" t="s">
        <v>376</v>
      </c>
      <c r="B62" s="30" t="str">
        <f>IFERROR(__xludf.DUMMYFUNCTION("IFERROR(
  INDEX(
    IMPORTRANGE(""13G8fPsBFu2GexfFEa1WV07s1XBlkJUT6lht1aLlmcKg"", ""api-register-id!B:B""),
    MATCH(E62, IMPORTRANGE(""13G8fPsBFu2GexfFEa1WV07s1XBlkJUT6lht1aLlmcKg"", ""api-register-id!J:J""), 0)
  ),
  ""Not Found API Name""
)"),"Not Found API Name")</f>
        <v>Not Found API Name</v>
      </c>
      <c r="C62" s="30" t="str">
        <f>IFERROR(__xludf.DUMMYFUNCTION("IFERROR(
  INDEX(
    IMPORTRANGE(""13G8fPsBFu2GexfFEa1WV07s1XBlkJUT6lht1aLlmcKg"", ""api-register-id!D:D""),
    MATCH(E62, IMPORTRANGE(""13G8fPsBFu2GexfFEa1WV07s1XBlkJUT6lht1aLlmcKg"", ""api-register-id!J:J""), 0)
  ),
  ""Not Found API Name""
)"),"Not Found API Name")</f>
        <v>Not Found API Name</v>
      </c>
      <c r="D62" s="30" t="str">
        <f>IFERROR(__xludf.DUMMYFUNCTION("IFERROR(
  INDEX(
    IMPORTRANGE(""13G8fPsBFu2GexfFEa1WV07s1XBlkJUT6lht1aLlmcKg"", ""api-register-id!E:E""),
    MATCH(E62, IMPORTRANGE(""13G8fPsBFu2GexfFEa1WV07s1XBlkJUT6lht1aLlmcKg"", ""api-register-id!J:J""), 0)
  ),
  ""Not Found API Name""
)"),"Not Found API Name")</f>
        <v>Not Found API Name</v>
      </c>
      <c r="E62" s="30" t="str">
        <f t="shared" si="1"/>
        <v>mx-ms-bc-pro-customer-position</v>
      </c>
      <c r="F62" s="74" t="str">
        <f>IFERROR(__xludf.DUMMYFUNCTION("IFERROR(
  INDEX(
    IMPORTRANGE(""13G8fPsBFu2GexfFEa1WV07s1XBlkJUT6lht1aLlmcKg"", ""api-register-id!C:C""),
    MATCH(E62, IMPORTRANGE(""13G8fPsBFu2GexfFEa1WV07s1XBlkJUT6lht1aLlmcKg"", ""api-register-id!J:J""), 0)
  ),
  ""Not Found API Name""
)"),"Not Found API Name")</f>
        <v>Not Found API Name</v>
      </c>
      <c r="G62" s="30"/>
      <c r="H62" s="30"/>
      <c r="I62" s="30"/>
      <c r="J62" s="30"/>
      <c r="K62" s="30"/>
      <c r="L62" s="30"/>
      <c r="M62" s="30"/>
      <c r="N62" s="30"/>
      <c r="O62" s="30"/>
      <c r="P62" s="30"/>
      <c r="Q62" s="30"/>
      <c r="R62" s="30"/>
      <c r="S62" s="30"/>
      <c r="T62" s="30"/>
      <c r="U62" s="30"/>
      <c r="V62" s="30"/>
      <c r="W62" s="30"/>
      <c r="X62" s="30"/>
      <c r="Y62" s="30"/>
      <c r="Z62" s="30"/>
      <c r="AA62" s="30"/>
    </row>
    <row r="63">
      <c r="A63" s="75" t="s">
        <v>379</v>
      </c>
      <c r="B63" s="30" t="str">
        <f>IFERROR(__xludf.DUMMYFUNCTION("IFERROR(
  INDEX(
    IMPORTRANGE(""13G8fPsBFu2GexfFEa1WV07s1XBlkJUT6lht1aLlmcKg"", ""api-register-id!B:B""),
    MATCH(E63, IMPORTRANGE(""13G8fPsBFu2GexfFEa1WV07s1XBlkJUT6lht1aLlmcKg"", ""api-register-id!J:J""), 0)
  ),
  ""Not Found API Name""
)"),"Not Found API Name")</f>
        <v>Not Found API Name</v>
      </c>
      <c r="C63" s="30" t="str">
        <f>IFERROR(__xludf.DUMMYFUNCTION("IFERROR(
  INDEX(
    IMPORTRANGE(""13G8fPsBFu2GexfFEa1WV07s1XBlkJUT6lht1aLlmcKg"", ""api-register-id!D:D""),
    MATCH(E63, IMPORTRANGE(""13G8fPsBFu2GexfFEa1WV07s1XBlkJUT6lht1aLlmcKg"", ""api-register-id!J:J""), 0)
  ),
  ""Not Found API Name""
)"),"Not Found API Name")</f>
        <v>Not Found API Name</v>
      </c>
      <c r="D63" s="30" t="str">
        <f>IFERROR(__xludf.DUMMYFUNCTION("IFERROR(
  INDEX(
    IMPORTRANGE(""13G8fPsBFu2GexfFEa1WV07s1XBlkJUT6lht1aLlmcKg"", ""api-register-id!E:E""),
    MATCH(E63, IMPORTRANGE(""13G8fPsBFu2GexfFEa1WV07s1XBlkJUT6lht1aLlmcKg"", ""api-register-id!J:J""), 0)
  ),
  ""Not Found API Name""
)"),"Not Found API Name")</f>
        <v>Not Found API Name</v>
      </c>
      <c r="E63" s="30" t="str">
        <f t="shared" si="1"/>
        <v>mx-ms-bc-pro-customer-product-and-service-eligibility</v>
      </c>
      <c r="F63" s="74" t="str">
        <f>IFERROR(__xludf.DUMMYFUNCTION("IFERROR(
  INDEX(
    IMPORTRANGE(""13G8fPsBFu2GexfFEa1WV07s1XBlkJUT6lht1aLlmcKg"", ""api-register-id!C:C""),
    MATCH(E63, IMPORTRANGE(""13G8fPsBFu2GexfFEa1WV07s1XBlkJUT6lht1aLlmcKg"", ""api-register-id!J:J""), 0)
  ),
  ""Not Found API Name""
)"),"Not Found API Name")</f>
        <v>Not Found API Name</v>
      </c>
      <c r="G63" s="30"/>
      <c r="H63" s="30"/>
      <c r="I63" s="30"/>
      <c r="J63" s="30"/>
      <c r="K63" s="30"/>
      <c r="L63" s="30"/>
      <c r="M63" s="30"/>
      <c r="N63" s="30"/>
      <c r="O63" s="30"/>
      <c r="P63" s="30"/>
      <c r="Q63" s="30"/>
      <c r="R63" s="30"/>
      <c r="S63" s="30"/>
      <c r="T63" s="30"/>
      <c r="U63" s="30"/>
      <c r="V63" s="30"/>
      <c r="W63" s="30"/>
      <c r="X63" s="30"/>
      <c r="Y63" s="30"/>
      <c r="Z63" s="30"/>
      <c r="AA63" s="30"/>
    </row>
    <row r="64">
      <c r="A64" s="75" t="s">
        <v>383</v>
      </c>
      <c r="B64" s="30" t="str">
        <f>IFERROR(__xludf.DUMMYFUNCTION("IFERROR(
  INDEX(
    IMPORTRANGE(""13G8fPsBFu2GexfFEa1WV07s1XBlkJUT6lht1aLlmcKg"", ""api-register-id!B:B""),
    MATCH(E64, IMPORTRANGE(""13G8fPsBFu2GexfFEa1WV07s1XBlkJUT6lht1aLlmcKg"", ""api-register-id!J:J""), 0)
  ),
  ""Not Found API Name""
)"),"Not Found API Name")</f>
        <v>Not Found API Name</v>
      </c>
      <c r="C64" s="30" t="str">
        <f>IFERROR(__xludf.DUMMYFUNCTION("IFERROR(
  INDEX(
    IMPORTRANGE(""13G8fPsBFu2GexfFEa1WV07s1XBlkJUT6lht1aLlmcKg"", ""api-register-id!D:D""),
    MATCH(E64, IMPORTRANGE(""13G8fPsBFu2GexfFEa1WV07s1XBlkJUT6lht1aLlmcKg"", ""api-register-id!J:J""), 0)
  ),
  ""Not Found API Name""
)"),"Not Found API Name")</f>
        <v>Not Found API Name</v>
      </c>
      <c r="D64" s="30" t="str">
        <f>IFERROR(__xludf.DUMMYFUNCTION("IFERROR(
  INDEX(
    IMPORTRANGE(""13G8fPsBFu2GexfFEa1WV07s1XBlkJUT6lht1aLlmcKg"", ""api-register-id!E:E""),
    MATCH(E64, IMPORTRANGE(""13G8fPsBFu2GexfFEa1WV07s1XBlkJUT6lht1aLlmcKg"", ""api-register-id!J:J""), 0)
  ),
  ""Not Found API Name""
)"),"Not Found API Name")</f>
        <v>Not Found API Name</v>
      </c>
      <c r="E64" s="30" t="str">
        <f t="shared" si="1"/>
        <v>mx-ms-bc-pro-customer-products-and-services</v>
      </c>
      <c r="F64" s="74" t="str">
        <f>IFERROR(__xludf.DUMMYFUNCTION("IFERROR(
  INDEX(
    IMPORTRANGE(""13G8fPsBFu2GexfFEa1WV07s1XBlkJUT6lht1aLlmcKg"", ""api-register-id!C:C""),
    MATCH(E64, IMPORTRANGE(""13G8fPsBFu2GexfFEa1WV07s1XBlkJUT6lht1aLlmcKg"", ""api-register-id!J:J""), 0)
  ),
  ""Not Found API Name""
)"),"Not Found API Name")</f>
        <v>Not Found API Name</v>
      </c>
      <c r="G64" s="30"/>
      <c r="H64" s="30"/>
      <c r="I64" s="30"/>
      <c r="J64" s="30"/>
      <c r="K64" s="30"/>
      <c r="L64" s="30"/>
      <c r="M64" s="30"/>
      <c r="N64" s="30"/>
      <c r="O64" s="30"/>
      <c r="P64" s="30"/>
      <c r="Q64" s="30"/>
      <c r="R64" s="30"/>
      <c r="S64" s="30"/>
      <c r="T64" s="30"/>
      <c r="U64" s="30"/>
      <c r="V64" s="30"/>
      <c r="W64" s="30"/>
      <c r="X64" s="30"/>
      <c r="Y64" s="30"/>
      <c r="Z64" s="30"/>
      <c r="AA64" s="30"/>
    </row>
    <row r="65">
      <c r="A65" s="75" t="s">
        <v>387</v>
      </c>
      <c r="B65" s="30" t="str">
        <f>IFERROR(__xludf.DUMMYFUNCTION("IFERROR(
  INDEX(
    IMPORTRANGE(""13G8fPsBFu2GexfFEa1WV07s1XBlkJUT6lht1aLlmcKg"", ""api-register-id!B:B""),
    MATCH(E65, IMPORTRANGE(""13G8fPsBFu2GexfFEa1WV07s1XBlkJUT6lht1aLlmcKg"", ""api-register-id!J:J""), 0)
  ),
  ""Not Found API Name""
)"),"Not Found API Name")</f>
        <v>Not Found API Name</v>
      </c>
      <c r="C65" s="30" t="str">
        <f>IFERROR(__xludf.DUMMYFUNCTION("IFERROR(
  INDEX(
    IMPORTRANGE(""13G8fPsBFu2GexfFEa1WV07s1XBlkJUT6lht1aLlmcKg"", ""api-register-id!D:D""),
    MATCH(E65, IMPORTRANGE(""13G8fPsBFu2GexfFEa1WV07s1XBlkJUT6lht1aLlmcKg"", ""api-register-id!J:J""), 0)
  ),
  ""Not Found API Name""
)"),"Not Found API Name")</f>
        <v>Not Found API Name</v>
      </c>
      <c r="D65" s="30" t="str">
        <f>IFERROR(__xludf.DUMMYFUNCTION("IFERROR(
  INDEX(
    IMPORTRANGE(""13G8fPsBFu2GexfFEa1WV07s1XBlkJUT6lht1aLlmcKg"", ""api-register-id!E:E""),
    MATCH(E65, IMPORTRANGE(""13G8fPsBFu2GexfFEa1WV07s1XBlkJUT6lht1aLlmcKg"", ""api-register-id!J:J""), 0)
  ),
  ""Not Found API Name""
)"),"Not Found API Name")</f>
        <v>Not Found API Name</v>
      </c>
      <c r="E65" s="30" t="str">
        <f t="shared" si="1"/>
        <v>mx-ms-bc-pro-customer-relationship-management</v>
      </c>
      <c r="F65" s="74" t="str">
        <f>IFERROR(__xludf.DUMMYFUNCTION("IFERROR(
  INDEX(
    IMPORTRANGE(""13G8fPsBFu2GexfFEa1WV07s1XBlkJUT6lht1aLlmcKg"", ""api-register-id!C:C""),
    MATCH(E65, IMPORTRANGE(""13G8fPsBFu2GexfFEa1WV07s1XBlkJUT6lht1aLlmcKg"", ""api-register-id!J:J""), 0)
  ),
  ""Not Found API Name""
)"),"Not Found API Name")</f>
        <v>Not Found API Name</v>
      </c>
      <c r="G65" s="30"/>
      <c r="H65" s="30"/>
      <c r="I65" s="30"/>
      <c r="J65" s="30"/>
      <c r="K65" s="30"/>
      <c r="L65" s="30"/>
      <c r="M65" s="30"/>
      <c r="N65" s="30"/>
      <c r="O65" s="30"/>
      <c r="P65" s="30"/>
      <c r="Q65" s="30"/>
      <c r="R65" s="30"/>
      <c r="S65" s="30"/>
      <c r="T65" s="30"/>
      <c r="U65" s="30"/>
      <c r="V65" s="30"/>
      <c r="W65" s="30"/>
      <c r="X65" s="30"/>
      <c r="Y65" s="30"/>
      <c r="Z65" s="30"/>
      <c r="AA65" s="30"/>
    </row>
    <row r="66">
      <c r="A66" s="75" t="s">
        <v>390</v>
      </c>
      <c r="B66" s="30" t="str">
        <f>IFERROR(__xludf.DUMMYFUNCTION("IFERROR(
  INDEX(
    IMPORTRANGE(""13G8fPsBFu2GexfFEa1WV07s1XBlkJUT6lht1aLlmcKg"", ""api-register-id!B:B""),
    MATCH(E66, IMPORTRANGE(""13G8fPsBFu2GexfFEa1WV07s1XBlkJUT6lht1aLlmcKg"", ""api-register-id!J:J""), 0)
  ),
  ""Not Found API Name""
)"),"Not Found API Name")</f>
        <v>Not Found API Name</v>
      </c>
      <c r="C66" s="30" t="str">
        <f>IFERROR(__xludf.DUMMYFUNCTION("IFERROR(
  INDEX(
    IMPORTRANGE(""13G8fPsBFu2GexfFEa1WV07s1XBlkJUT6lht1aLlmcKg"", ""api-register-id!D:D""),
    MATCH(E66, IMPORTRANGE(""13G8fPsBFu2GexfFEa1WV07s1XBlkJUT6lht1aLlmcKg"", ""api-register-id!J:J""), 0)
  ),
  ""Not Found API Name""
)"),"Not Found API Name")</f>
        <v>Not Found API Name</v>
      </c>
      <c r="D66" s="30" t="str">
        <f>IFERROR(__xludf.DUMMYFUNCTION("IFERROR(
  INDEX(
    IMPORTRANGE(""13G8fPsBFu2GexfFEa1WV07s1XBlkJUT6lht1aLlmcKg"", ""api-register-id!E:E""),
    MATCH(E66, IMPORTRANGE(""13G8fPsBFu2GexfFEa1WV07s1XBlkJUT6lht1aLlmcKg"", ""api-register-id!J:J""), 0)
  ),
  ""Not Found API Name""
)"),"Not Found API Name")</f>
        <v>Not Found API Name</v>
      </c>
      <c r="E66" s="30" t="str">
        <f t="shared" si="1"/>
        <v>mx-ms-bc-pro-document-services</v>
      </c>
      <c r="F66" s="74" t="str">
        <f>IFERROR(__xludf.DUMMYFUNCTION("IFERROR(
  INDEX(
    IMPORTRANGE(""13G8fPsBFu2GexfFEa1WV07s1XBlkJUT6lht1aLlmcKg"", ""api-register-id!C:C""),
    MATCH(E66, IMPORTRANGE(""13G8fPsBFu2GexfFEa1WV07s1XBlkJUT6lht1aLlmcKg"", ""api-register-id!J:J""), 0)
  ),
  ""Not Found API Name""
)"),"Not Found API Name")</f>
        <v>Not Found API Name</v>
      </c>
      <c r="G66" s="30"/>
      <c r="H66" s="30"/>
      <c r="I66" s="30"/>
      <c r="J66" s="30"/>
      <c r="K66" s="30"/>
      <c r="L66" s="30"/>
      <c r="M66" s="30"/>
      <c r="N66" s="30"/>
      <c r="O66" s="30"/>
      <c r="P66" s="30"/>
      <c r="Q66" s="30"/>
      <c r="R66" s="30"/>
      <c r="S66" s="30"/>
      <c r="T66" s="30"/>
      <c r="U66" s="30"/>
      <c r="V66" s="30"/>
      <c r="W66" s="30"/>
      <c r="X66" s="30"/>
      <c r="Y66" s="30"/>
      <c r="Z66" s="30"/>
      <c r="AA66" s="30"/>
    </row>
    <row r="67">
      <c r="A67" s="75" t="s">
        <v>395</v>
      </c>
      <c r="B67" s="30" t="str">
        <f>IFERROR(__xludf.DUMMYFUNCTION("IFERROR(
  INDEX(
    IMPORTRANGE(""13G8fPsBFu2GexfFEa1WV07s1XBlkJUT6lht1aLlmcKg"", ""api-register-id!B:B""),
    MATCH(E67, IMPORTRANGE(""13G8fPsBFu2GexfFEa1WV07s1XBlkJUT6lht1aLlmcKg"", ""api-register-id!J:J""), 0)
  ),
  ""Not Found API Name""
)"),"Not Found API Name")</f>
        <v>Not Found API Name</v>
      </c>
      <c r="C67" s="30" t="str">
        <f>IFERROR(__xludf.DUMMYFUNCTION("IFERROR(
  INDEX(
    IMPORTRANGE(""13G8fPsBFu2GexfFEa1WV07s1XBlkJUT6lht1aLlmcKg"", ""api-register-id!D:D""),
    MATCH(E67, IMPORTRANGE(""13G8fPsBFu2GexfFEa1WV07s1XBlkJUT6lht1aLlmcKg"", ""api-register-id!J:J""), 0)
  ),
  ""Not Found API Name""
)"),"Not Found API Name")</f>
        <v>Not Found API Name</v>
      </c>
      <c r="D67" s="30" t="str">
        <f>IFERROR(__xludf.DUMMYFUNCTION("IFERROR(
  INDEX(
    IMPORTRANGE(""13G8fPsBFu2GexfFEa1WV07s1XBlkJUT6lht1aLlmcKg"", ""api-register-id!E:E""),
    MATCH(E67, IMPORTRANGE(""13G8fPsBFu2GexfFEa1WV07s1XBlkJUT6lht1aLlmcKg"", ""api-register-id!J:J""), 0)
  ),
  ""Not Found API Name""
)"),"Not Found API Name")</f>
        <v>Not Found API Name</v>
      </c>
      <c r="E67" s="30" t="str">
        <f t="shared" si="1"/>
        <v>mx-ms-bc-pro-investment-account</v>
      </c>
      <c r="F67" s="74" t="str">
        <f>IFERROR(__xludf.DUMMYFUNCTION("IFERROR(
  INDEX(
    IMPORTRANGE(""13G8fPsBFu2GexfFEa1WV07s1XBlkJUT6lht1aLlmcKg"", ""api-register-id!C:C""),
    MATCH(E67, IMPORTRANGE(""13G8fPsBFu2GexfFEa1WV07s1XBlkJUT6lht1aLlmcKg"", ""api-register-id!J:J""), 0)
  ),
  ""Not Found API Name""
)"),"Not Found API Name")</f>
        <v>Not Found API Name</v>
      </c>
      <c r="G67" s="30"/>
      <c r="H67" s="30"/>
      <c r="I67" s="30"/>
      <c r="J67" s="30"/>
      <c r="K67" s="30"/>
      <c r="L67" s="30"/>
      <c r="M67" s="30"/>
      <c r="N67" s="30"/>
      <c r="O67" s="30"/>
      <c r="P67" s="30"/>
      <c r="Q67" s="30"/>
      <c r="R67" s="30"/>
      <c r="S67" s="30"/>
      <c r="T67" s="30"/>
      <c r="U67" s="30"/>
      <c r="V67" s="30"/>
      <c r="W67" s="30"/>
      <c r="X67" s="30"/>
      <c r="Y67" s="30"/>
      <c r="Z67" s="30"/>
      <c r="AA67" s="30"/>
    </row>
    <row r="68">
      <c r="A68" s="75" t="s">
        <v>399</v>
      </c>
      <c r="B68" s="30" t="str">
        <f>IFERROR(__xludf.DUMMYFUNCTION("IFERROR(
  INDEX(
    IMPORTRANGE(""13G8fPsBFu2GexfFEa1WV07s1XBlkJUT6lht1aLlmcKg"", ""api-register-id!B:B""),
    MATCH(E68, IMPORTRANGE(""13G8fPsBFu2GexfFEa1WV07s1XBlkJUT6lht1aLlmcKg"", ""api-register-id!J:J""), 0)
  ),
  ""Not Found API Name""
)"),"Not Found API Name")</f>
        <v>Not Found API Name</v>
      </c>
      <c r="C68" s="30" t="str">
        <f>IFERROR(__xludf.DUMMYFUNCTION("IFERROR(
  INDEX(
    IMPORTRANGE(""13G8fPsBFu2GexfFEa1WV07s1XBlkJUT6lht1aLlmcKg"", ""api-register-id!D:D""),
    MATCH(E68, IMPORTRANGE(""13G8fPsBFu2GexfFEa1WV07s1XBlkJUT6lht1aLlmcKg"", ""api-register-id!J:J""), 0)
  ),
  ""Not Found API Name""
)"),"Not Found API Name")</f>
        <v>Not Found API Name</v>
      </c>
      <c r="D68" s="30" t="str">
        <f>IFERROR(__xludf.DUMMYFUNCTION("IFERROR(
  INDEX(
    IMPORTRANGE(""13G8fPsBFu2GexfFEa1WV07s1XBlkJUT6lht1aLlmcKg"", ""api-register-id!E:E""),
    MATCH(E68, IMPORTRANGE(""13G8fPsBFu2GexfFEa1WV07s1XBlkJUT6lht1aLlmcKg"", ""api-register-id!J:J""), 0)
  ),
  ""Not Found API Name""
)"),"Not Found API Name")</f>
        <v>Not Found API Name</v>
      </c>
      <c r="E68" s="30" t="str">
        <f t="shared" si="1"/>
        <v>mx-ms-bc-pro-issued-device-administration</v>
      </c>
      <c r="F68" s="74" t="str">
        <f>IFERROR(__xludf.DUMMYFUNCTION("IFERROR(
  INDEX(
    IMPORTRANGE(""13G8fPsBFu2GexfFEa1WV07s1XBlkJUT6lht1aLlmcKg"", ""api-register-id!C:C""),
    MATCH(E68, IMPORTRANGE(""13G8fPsBFu2GexfFEa1WV07s1XBlkJUT6lht1aLlmcKg"", ""api-register-id!J:J""), 0)
  ),
  ""Not Found API Name""
)"),"Not Found API Name")</f>
        <v>Not Found API Name</v>
      </c>
      <c r="G68" s="30"/>
      <c r="H68" s="30"/>
      <c r="I68" s="30"/>
      <c r="J68" s="30"/>
      <c r="K68" s="30"/>
      <c r="L68" s="30"/>
      <c r="M68" s="30"/>
      <c r="N68" s="30"/>
      <c r="O68" s="30"/>
      <c r="P68" s="30"/>
      <c r="Q68" s="30"/>
      <c r="R68" s="30"/>
      <c r="S68" s="30"/>
      <c r="T68" s="30"/>
      <c r="U68" s="30"/>
      <c r="V68" s="30"/>
      <c r="W68" s="30"/>
      <c r="X68" s="30"/>
      <c r="Y68" s="30"/>
      <c r="Z68" s="30"/>
      <c r="AA68" s="30"/>
    </row>
    <row r="69">
      <c r="A69" s="75" t="s">
        <v>400</v>
      </c>
      <c r="B69" s="30" t="str">
        <f>IFERROR(__xludf.DUMMYFUNCTION("IFERROR(
  INDEX(
    IMPORTRANGE(""13G8fPsBFu2GexfFEa1WV07s1XBlkJUT6lht1aLlmcKg"", ""api-register-id!B:B""),
    MATCH(E69, IMPORTRANGE(""13G8fPsBFu2GexfFEa1WV07s1XBlkJUT6lht1aLlmcKg"", ""api-register-id!J:J""), 0)
  ),
  ""Not Found API Name""
)"),"Not Found API Name")</f>
        <v>Not Found API Name</v>
      </c>
      <c r="C69" s="30" t="str">
        <f>IFERROR(__xludf.DUMMYFUNCTION("IFERROR(
  INDEX(
    IMPORTRANGE(""13G8fPsBFu2GexfFEa1WV07s1XBlkJUT6lht1aLlmcKg"", ""api-register-id!D:D""),
    MATCH(E69, IMPORTRANGE(""13G8fPsBFu2GexfFEa1WV07s1XBlkJUT6lht1aLlmcKg"", ""api-register-id!J:J""), 0)
  ),
  ""Not Found API Name""
)"),"Not Found API Name")</f>
        <v>Not Found API Name</v>
      </c>
      <c r="D69" s="30" t="str">
        <f>IFERROR(__xludf.DUMMYFUNCTION("IFERROR(
  INDEX(
    IMPORTRANGE(""13G8fPsBFu2GexfFEa1WV07s1XBlkJUT6lht1aLlmcKg"", ""api-register-id!E:E""),
    MATCH(E69, IMPORTRANGE(""13G8fPsBFu2GexfFEa1WV07s1XBlkJUT6lht1aLlmcKg"", ""api-register-id!J:J""), 0)
  ),
  ""Not Found API Name""
)"),"Not Found API Name")</f>
        <v>Not Found API Name</v>
      </c>
      <c r="E69" s="30" t="str">
        <f t="shared" si="1"/>
        <v>mx-ms-bc-pro-issued-device-tracking</v>
      </c>
      <c r="F69" s="74" t="str">
        <f>IFERROR(__xludf.DUMMYFUNCTION("IFERROR(
  INDEX(
    IMPORTRANGE(""13G8fPsBFu2GexfFEa1WV07s1XBlkJUT6lht1aLlmcKg"", ""api-register-id!C:C""),
    MATCH(E69, IMPORTRANGE(""13G8fPsBFu2GexfFEa1WV07s1XBlkJUT6lht1aLlmcKg"", ""api-register-id!J:J""), 0)
  ),
  ""Not Found API Name""
)"),"Not Found API Name")</f>
        <v>Not Found API Name</v>
      </c>
      <c r="G69" s="30"/>
      <c r="H69" s="30"/>
      <c r="I69" s="30"/>
      <c r="J69" s="30"/>
      <c r="K69" s="30"/>
      <c r="L69" s="30"/>
      <c r="M69" s="30"/>
      <c r="N69" s="30"/>
      <c r="O69" s="30"/>
      <c r="P69" s="30"/>
      <c r="Q69" s="30"/>
      <c r="R69" s="30"/>
      <c r="S69" s="30"/>
      <c r="T69" s="30"/>
      <c r="U69" s="30"/>
      <c r="V69" s="30"/>
      <c r="W69" s="30"/>
      <c r="X69" s="30"/>
      <c r="Y69" s="30"/>
      <c r="Z69" s="30"/>
      <c r="AA69" s="30"/>
    </row>
    <row r="70">
      <c r="A70" s="75" t="s">
        <v>405</v>
      </c>
      <c r="B70" s="30" t="str">
        <f>IFERROR(__xludf.DUMMYFUNCTION("IFERROR(
  INDEX(
    IMPORTRANGE(""13G8fPsBFu2GexfFEa1WV07s1XBlkJUT6lht1aLlmcKg"", ""api-register-id!B:B""),
    MATCH(E70, IMPORTRANGE(""13G8fPsBFu2GexfFEa1WV07s1XBlkJUT6lht1aLlmcKg"", ""api-register-id!J:J""), 0)
  ),
  ""Not Found API Name""
)"),"Not Found API Name")</f>
        <v>Not Found API Name</v>
      </c>
      <c r="C70" s="30" t="str">
        <f>IFERROR(__xludf.DUMMYFUNCTION("IFERROR(
  INDEX(
    IMPORTRANGE(""13G8fPsBFu2GexfFEa1WV07s1XBlkJUT6lht1aLlmcKg"", ""api-register-id!D:D""),
    MATCH(E70, IMPORTRANGE(""13G8fPsBFu2GexfFEa1WV07s1XBlkJUT6lht1aLlmcKg"", ""api-register-id!J:J""), 0)
  ),
  ""Not Found API Name""
)"),"Not Found API Name")</f>
        <v>Not Found API Name</v>
      </c>
      <c r="D70" s="30" t="str">
        <f>IFERROR(__xludf.DUMMYFUNCTION("IFERROR(
  INDEX(
    IMPORTRANGE(""13G8fPsBFu2GexfFEa1WV07s1XBlkJUT6lht1aLlmcKg"", ""api-register-id!E:E""),
    MATCH(E70, IMPORTRANGE(""13G8fPsBFu2GexfFEa1WV07s1XBlkJUT6lht1aLlmcKg"", ""api-register-id!J:J""), 0)
  ),
  ""Not Found API Name""
)"),"Not Found API Name")</f>
        <v>Not Found API Name</v>
      </c>
      <c r="E70" s="30" t="str">
        <f t="shared" si="1"/>
        <v>mx-ms-bc-pro-loan</v>
      </c>
      <c r="F70" s="74" t="str">
        <f>IFERROR(__xludf.DUMMYFUNCTION("IFERROR(
  INDEX(
    IMPORTRANGE(""13G8fPsBFu2GexfFEa1WV07s1XBlkJUT6lht1aLlmcKg"", ""api-register-id!C:C""),
    MATCH(E70, IMPORTRANGE(""13G8fPsBFu2GexfFEa1WV07s1XBlkJUT6lht1aLlmcKg"", ""api-register-id!J:J""), 0)
  ),
  ""Not Found API Name""
)"),"Not Found API Name")</f>
        <v>Not Found API Name</v>
      </c>
      <c r="G70" s="30"/>
      <c r="H70" s="30"/>
      <c r="I70" s="30"/>
      <c r="J70" s="30"/>
      <c r="K70" s="30"/>
      <c r="L70" s="30"/>
      <c r="M70" s="30"/>
      <c r="N70" s="30"/>
      <c r="O70" s="30"/>
      <c r="P70" s="30"/>
      <c r="Q70" s="30"/>
      <c r="R70" s="30"/>
      <c r="S70" s="30"/>
      <c r="T70" s="30"/>
      <c r="U70" s="30"/>
      <c r="V70" s="30"/>
      <c r="W70" s="30"/>
      <c r="X70" s="30"/>
      <c r="Y70" s="30"/>
      <c r="Z70" s="30"/>
      <c r="AA70" s="30"/>
    </row>
    <row r="71">
      <c r="A71" s="75" t="s">
        <v>410</v>
      </c>
      <c r="B71" s="30" t="str">
        <f>IFERROR(__xludf.DUMMYFUNCTION("IFERROR(
  INDEX(
    IMPORTRANGE(""13G8fPsBFu2GexfFEa1WV07s1XBlkJUT6lht1aLlmcKg"", ""api-register-id!B:B""),
    MATCH(E71, IMPORTRANGE(""13G8fPsBFu2GexfFEa1WV07s1XBlkJUT6lht1aLlmcKg"", ""api-register-id!J:J""), 0)
  ),
  ""Not Found API Name""
)"),"Not Found API Name")</f>
        <v>Not Found API Name</v>
      </c>
      <c r="C71" s="30" t="str">
        <f>IFERROR(__xludf.DUMMYFUNCTION("IFERROR(
  INDEX(
    IMPORTRANGE(""13G8fPsBFu2GexfFEa1WV07s1XBlkJUT6lht1aLlmcKg"", ""api-register-id!D:D""),
    MATCH(E71, IMPORTRANGE(""13G8fPsBFu2GexfFEa1WV07s1XBlkJUT6lht1aLlmcKg"", ""api-register-id!J:J""), 0)
  ),
  ""Not Found API Name""
)"),"Not Found API Name")</f>
        <v>Not Found API Name</v>
      </c>
      <c r="D71" s="30" t="str">
        <f>IFERROR(__xludf.DUMMYFUNCTION("IFERROR(
  INDEX(
    IMPORTRANGE(""13G8fPsBFu2GexfFEa1WV07s1XBlkJUT6lht1aLlmcKg"", ""api-register-id!E:E""),
    MATCH(E71, IMPORTRANGE(""13G8fPsBFu2GexfFEa1WV07s1XBlkJUT6lht1aLlmcKg"", ""api-register-id!J:J""), 0)
  ),
  ""Not Found API Name""
)"),"Not Found API Name")</f>
        <v>Not Found API Name</v>
      </c>
      <c r="E71" s="30" t="str">
        <f t="shared" si="1"/>
        <v>mx-ms-bc-pro-location-data-management</v>
      </c>
      <c r="F71" s="74" t="str">
        <f>IFERROR(__xludf.DUMMYFUNCTION("IFERROR(
  INDEX(
    IMPORTRANGE(""13G8fPsBFu2GexfFEa1WV07s1XBlkJUT6lht1aLlmcKg"", ""api-register-id!C:C""),
    MATCH(E71, IMPORTRANGE(""13G8fPsBFu2GexfFEa1WV07s1XBlkJUT6lht1aLlmcKg"", ""api-register-id!J:J""), 0)
  ),
  ""Not Found API Name""
)"),"Not Found API Name")</f>
        <v>Not Found API Name</v>
      </c>
      <c r="G71" s="30"/>
      <c r="H71" s="30"/>
      <c r="I71" s="30"/>
      <c r="J71" s="30"/>
      <c r="K71" s="30"/>
      <c r="L71" s="30"/>
      <c r="M71" s="30"/>
      <c r="N71" s="30"/>
      <c r="O71" s="30"/>
      <c r="P71" s="30"/>
      <c r="Q71" s="30"/>
      <c r="R71" s="30"/>
      <c r="S71" s="30"/>
      <c r="T71" s="30"/>
      <c r="U71" s="30"/>
      <c r="V71" s="30"/>
      <c r="W71" s="30"/>
      <c r="X71" s="30"/>
      <c r="Y71" s="30"/>
      <c r="Z71" s="30"/>
      <c r="AA71" s="30"/>
    </row>
    <row r="72">
      <c r="A72" s="75" t="s">
        <v>411</v>
      </c>
      <c r="B72" s="30" t="str">
        <f>IFERROR(__xludf.DUMMYFUNCTION("IFERROR(
  INDEX(
    IMPORTRANGE(""13G8fPsBFu2GexfFEa1WV07s1XBlkJUT6lht1aLlmcKg"", ""api-register-id!B:B""),
    MATCH(E72, IMPORTRANGE(""13G8fPsBFu2GexfFEa1WV07s1XBlkJUT6lht1aLlmcKg"", ""api-register-id!J:J""), 0)
  ),
  ""Not Found API Name""
)"),"Not Found API Name")</f>
        <v>Not Found API Name</v>
      </c>
      <c r="C72" s="30" t="str">
        <f>IFERROR(__xludf.DUMMYFUNCTION("IFERROR(
  INDEX(
    IMPORTRANGE(""13G8fPsBFu2GexfFEa1WV07s1XBlkJUT6lht1aLlmcKg"", ""api-register-id!D:D""),
    MATCH(E72, IMPORTRANGE(""13G8fPsBFu2GexfFEa1WV07s1XBlkJUT6lht1aLlmcKg"", ""api-register-id!J:J""), 0)
  ),
  ""Not Found API Name""
)"),"Not Found API Name")</f>
        <v>Not Found API Name</v>
      </c>
      <c r="D72" s="30" t="str">
        <f>IFERROR(__xludf.DUMMYFUNCTION("IFERROR(
  INDEX(
    IMPORTRANGE(""13G8fPsBFu2GexfFEa1WV07s1XBlkJUT6lht1aLlmcKg"", ""api-register-id!E:E""),
    MATCH(E72, IMPORTRANGE(""13G8fPsBFu2GexfFEa1WV07s1XBlkJUT6lht1aLlmcKg"", ""api-register-id!J:J""), 0)
  ),
  ""Not Found API Name""
)"),"Not Found API Name")</f>
        <v>Not Found API Name</v>
      </c>
      <c r="E72" s="30" t="str">
        <f t="shared" si="1"/>
        <v>mx-ms-bc-pro-party-authentication</v>
      </c>
      <c r="F72" s="74" t="str">
        <f>IFERROR(__xludf.DUMMYFUNCTION("IFERROR(
  INDEX(
    IMPORTRANGE(""13G8fPsBFu2GexfFEa1WV07s1XBlkJUT6lht1aLlmcKg"", ""api-register-id!C:C""),
    MATCH(E72, IMPORTRANGE(""13G8fPsBFu2GexfFEa1WV07s1XBlkJUT6lht1aLlmcKg"", ""api-register-id!J:J""), 0)
  ),
  ""Not Found API Name""
)"),"Not Found API Name")</f>
        <v>Not Found API Name</v>
      </c>
      <c r="G72" s="30"/>
      <c r="H72" s="30"/>
      <c r="I72" s="30"/>
      <c r="J72" s="30"/>
      <c r="K72" s="30"/>
      <c r="L72" s="30"/>
      <c r="M72" s="30"/>
      <c r="N72" s="30"/>
      <c r="O72" s="30"/>
      <c r="P72" s="30"/>
      <c r="Q72" s="30"/>
      <c r="R72" s="30"/>
      <c r="S72" s="30"/>
      <c r="T72" s="30"/>
      <c r="U72" s="30"/>
      <c r="V72" s="30"/>
      <c r="W72" s="30"/>
      <c r="X72" s="30"/>
      <c r="Y72" s="30"/>
      <c r="Z72" s="30"/>
      <c r="AA72" s="30"/>
    </row>
    <row r="73">
      <c r="A73" s="75" t="s">
        <v>414</v>
      </c>
      <c r="B73" s="30" t="str">
        <f>IFERROR(__xludf.DUMMYFUNCTION("IFERROR(
  INDEX(
    IMPORTRANGE(""13G8fPsBFu2GexfFEa1WV07s1XBlkJUT6lht1aLlmcKg"", ""api-register-id!B:B""),
    MATCH(E73, IMPORTRANGE(""13G8fPsBFu2GexfFEa1WV07s1XBlkJUT6lht1aLlmcKg"", ""api-register-id!J:J""), 0)
  ),
  ""Not Found API Name""
)"),"Not Found API Name")</f>
        <v>Not Found API Name</v>
      </c>
      <c r="C73" s="30" t="str">
        <f>IFERROR(__xludf.DUMMYFUNCTION("IFERROR(
  INDEX(
    IMPORTRANGE(""13G8fPsBFu2GexfFEa1WV07s1XBlkJUT6lht1aLlmcKg"", ""api-register-id!D:D""),
    MATCH(E73, IMPORTRANGE(""13G8fPsBFu2GexfFEa1WV07s1XBlkJUT6lht1aLlmcKg"", ""api-register-id!J:J""), 0)
  ),
  ""Not Found API Name""
)"),"Not Found API Name")</f>
        <v>Not Found API Name</v>
      </c>
      <c r="D73" s="30" t="str">
        <f>IFERROR(__xludf.DUMMYFUNCTION("IFERROR(
  INDEX(
    IMPORTRANGE(""13G8fPsBFu2GexfFEa1WV07s1XBlkJUT6lht1aLlmcKg"", ""api-register-id!E:E""),
    MATCH(E73, IMPORTRANGE(""13G8fPsBFu2GexfFEa1WV07s1XBlkJUT6lht1aLlmcKg"", ""api-register-id!J:J""), 0)
  ),
  ""Not Found API Name""
)"),"Not Found API Name")</f>
        <v>Not Found API Name</v>
      </c>
      <c r="E73" s="30" t="str">
        <f t="shared" si="1"/>
        <v>mx-ms-bc-pro-party-lifecycle-management</v>
      </c>
      <c r="F73" s="74" t="str">
        <f>IFERROR(__xludf.DUMMYFUNCTION("IFERROR(
  INDEX(
    IMPORTRANGE(""13G8fPsBFu2GexfFEa1WV07s1XBlkJUT6lht1aLlmcKg"", ""api-register-id!C:C""),
    MATCH(E73, IMPORTRANGE(""13G8fPsBFu2GexfFEa1WV07s1XBlkJUT6lht1aLlmcKg"", ""api-register-id!J:J""), 0)
  ),
  ""Not Found API Name""
)"),"Not Found API Name")</f>
        <v>Not Found API Name</v>
      </c>
      <c r="G73" s="30"/>
      <c r="H73" s="30"/>
      <c r="I73" s="30"/>
      <c r="J73" s="30"/>
      <c r="K73" s="30"/>
      <c r="L73" s="30"/>
      <c r="M73" s="30"/>
      <c r="N73" s="30"/>
      <c r="O73" s="30"/>
      <c r="P73" s="30"/>
      <c r="Q73" s="30"/>
      <c r="R73" s="30"/>
      <c r="S73" s="30"/>
      <c r="T73" s="30"/>
      <c r="U73" s="30"/>
      <c r="V73" s="30"/>
      <c r="W73" s="30"/>
      <c r="X73" s="30"/>
      <c r="Y73" s="30"/>
      <c r="Z73" s="30"/>
      <c r="AA73" s="30"/>
    </row>
    <row r="74">
      <c r="A74" s="75" t="s">
        <v>420</v>
      </c>
      <c r="B74" s="30" t="str">
        <f>IFERROR(__xludf.DUMMYFUNCTION("IFERROR(
  INDEX(
    IMPORTRANGE(""13G8fPsBFu2GexfFEa1WV07s1XBlkJUT6lht1aLlmcKg"", ""api-register-id!B:B""),
    MATCH(E74, IMPORTRANGE(""13G8fPsBFu2GexfFEa1WV07s1XBlkJUT6lht1aLlmcKg"", ""api-register-id!J:J""), 0)
  ),
  ""Not Found API Name""
)"),"Not Found API Name")</f>
        <v>Not Found API Name</v>
      </c>
      <c r="C74" s="30" t="str">
        <f>IFERROR(__xludf.DUMMYFUNCTION("IFERROR(
  INDEX(
    IMPORTRANGE(""13G8fPsBFu2GexfFEa1WV07s1XBlkJUT6lht1aLlmcKg"", ""api-register-id!D:D""),
    MATCH(E74, IMPORTRANGE(""13G8fPsBFu2GexfFEa1WV07s1XBlkJUT6lht1aLlmcKg"", ""api-register-id!J:J""), 0)
  ),
  ""Not Found API Name""
)"),"Not Found API Name")</f>
        <v>Not Found API Name</v>
      </c>
      <c r="D74" s="30" t="str">
        <f>IFERROR(__xludf.DUMMYFUNCTION("IFERROR(
  INDEX(
    IMPORTRANGE(""13G8fPsBFu2GexfFEa1WV07s1XBlkJUT6lht1aLlmcKg"", ""api-register-id!E:E""),
    MATCH(E74, IMPORTRANGE(""13G8fPsBFu2GexfFEa1WV07s1XBlkJUT6lht1aLlmcKg"", ""api-register-id!J:J""), 0)
  ),
  ""Not Found API Name""
)"),"Not Found API Name")</f>
        <v>Not Found API Name</v>
      </c>
      <c r="E74" s="30" t="str">
        <f t="shared" si="1"/>
        <v>mx-ms-bc-pro-party-reference-data-directory</v>
      </c>
      <c r="F74" s="74" t="str">
        <f>IFERROR(__xludf.DUMMYFUNCTION("IFERROR(
  INDEX(
    IMPORTRANGE(""13G8fPsBFu2GexfFEa1WV07s1XBlkJUT6lht1aLlmcKg"", ""api-register-id!C:C""),
    MATCH(E74, IMPORTRANGE(""13G8fPsBFu2GexfFEa1WV07s1XBlkJUT6lht1aLlmcKg"", ""api-register-id!J:J""), 0)
  ),
  ""Not Found API Name""
)"),"Not Found API Name")</f>
        <v>Not Found API Name</v>
      </c>
      <c r="G74" s="30"/>
      <c r="H74" s="30"/>
      <c r="I74" s="30"/>
      <c r="J74" s="30"/>
      <c r="K74" s="30"/>
      <c r="L74" s="30"/>
      <c r="M74" s="30"/>
      <c r="N74" s="30"/>
      <c r="O74" s="30"/>
      <c r="P74" s="30"/>
      <c r="Q74" s="30"/>
      <c r="R74" s="30"/>
      <c r="S74" s="30"/>
      <c r="T74" s="30"/>
      <c r="U74" s="30"/>
      <c r="V74" s="30"/>
      <c r="W74" s="30"/>
      <c r="X74" s="30"/>
      <c r="Y74" s="30"/>
      <c r="Z74" s="30"/>
      <c r="AA74" s="30"/>
    </row>
    <row r="75">
      <c r="A75" s="75" t="s">
        <v>422</v>
      </c>
      <c r="B75" s="30" t="str">
        <f>IFERROR(__xludf.DUMMYFUNCTION("IFERROR(
  INDEX(
    IMPORTRANGE(""13G8fPsBFu2GexfFEa1WV07s1XBlkJUT6lht1aLlmcKg"", ""api-register-id!B:B""),
    MATCH(E75, IMPORTRANGE(""13G8fPsBFu2GexfFEa1WV07s1XBlkJUT6lht1aLlmcKg"", ""api-register-id!J:J""), 0)
  ),
  ""Not Found API Name""
)"),"Not Found API Name")</f>
        <v>Not Found API Name</v>
      </c>
      <c r="C75" s="30" t="str">
        <f>IFERROR(__xludf.DUMMYFUNCTION("IFERROR(
  INDEX(
    IMPORTRANGE(""13G8fPsBFu2GexfFEa1WV07s1XBlkJUT6lht1aLlmcKg"", ""api-register-id!D:D""),
    MATCH(E75, IMPORTRANGE(""13G8fPsBFu2GexfFEa1WV07s1XBlkJUT6lht1aLlmcKg"", ""api-register-id!J:J""), 0)
  ),
  ""Not Found API Name""
)"),"Not Found API Name")</f>
        <v>Not Found API Name</v>
      </c>
      <c r="D75" s="30" t="str">
        <f>IFERROR(__xludf.DUMMYFUNCTION("IFERROR(
  INDEX(
    IMPORTRANGE(""13G8fPsBFu2GexfFEa1WV07s1XBlkJUT6lht1aLlmcKg"", ""api-register-id!E:E""),
    MATCH(E75, IMPORTRANGE(""13G8fPsBFu2GexfFEa1WV07s1XBlkJUT6lht1aLlmcKg"", ""api-register-id!J:J""), 0)
  ),
  ""Not Found API Name""
)"),"Not Found API Name")</f>
        <v>Not Found API Name</v>
      </c>
      <c r="E75" s="72" t="s">
        <v>424</v>
      </c>
      <c r="F75" s="74" t="str">
        <f>IFERROR(__xludf.DUMMYFUNCTION("IFERROR(
  INDEX(
    IMPORTRANGE(""13G8fPsBFu2GexfFEa1WV07s1XBlkJUT6lht1aLlmcKg"", ""api-register-id!C:C""),
    MATCH(E75, IMPORTRANGE(""13G8fPsBFu2GexfFEa1WV07s1XBlkJUT6lht1aLlmcKg"", ""api-register-id!J:J""), 0)
  ),
  ""Not Found API Name""
)"),"Not Found API Name")</f>
        <v>Not Found API Name</v>
      </c>
      <c r="G75" s="30"/>
      <c r="H75" s="30"/>
      <c r="I75" s="30"/>
      <c r="J75" s="30"/>
      <c r="K75" s="30"/>
      <c r="L75" s="30"/>
      <c r="M75" s="30"/>
      <c r="N75" s="30"/>
      <c r="O75" s="30"/>
      <c r="P75" s="30"/>
      <c r="Q75" s="30"/>
      <c r="R75" s="30"/>
      <c r="S75" s="30"/>
      <c r="T75" s="30"/>
      <c r="U75" s="30"/>
      <c r="V75" s="30"/>
      <c r="W75" s="30"/>
      <c r="X75" s="30"/>
      <c r="Y75" s="30"/>
      <c r="Z75" s="30"/>
      <c r="AA75" s="30"/>
    </row>
    <row r="76">
      <c r="A76" s="75" t="s">
        <v>427</v>
      </c>
      <c r="B76" s="30" t="str">
        <f>IFERROR(__xludf.DUMMYFUNCTION("IFERROR(
  INDEX(
    IMPORTRANGE(""13G8fPsBFu2GexfFEa1WV07s1XBlkJUT6lht1aLlmcKg"", ""api-register-id!B:B""),
    MATCH(E76, IMPORTRANGE(""13G8fPsBFu2GexfFEa1WV07s1XBlkJUT6lht1aLlmcKg"", ""api-register-id!J:J""), 0)
  ),
  ""Not Found API Name""
)"),"Not Found API Name")</f>
        <v>Not Found API Name</v>
      </c>
      <c r="C76" s="30" t="str">
        <f>IFERROR(__xludf.DUMMYFUNCTION("IFERROR(
  INDEX(
    IMPORTRANGE(""13G8fPsBFu2GexfFEa1WV07s1XBlkJUT6lht1aLlmcKg"", ""api-register-id!D:D""),
    MATCH(E76, IMPORTRANGE(""13G8fPsBFu2GexfFEa1WV07s1XBlkJUT6lht1aLlmcKg"", ""api-register-id!J:J""), 0)
  ),
  ""Not Found API Name""
)"),"Not Found API Name")</f>
        <v>Not Found API Name</v>
      </c>
      <c r="D76" s="30" t="str">
        <f>IFERROR(__xludf.DUMMYFUNCTION("IFERROR(
  INDEX(
    IMPORTRANGE(""13G8fPsBFu2GexfFEa1WV07s1XBlkJUT6lht1aLlmcKg"", ""api-register-id!E:E""),
    MATCH(E76, IMPORTRANGE(""13G8fPsBFu2GexfFEa1WV07s1XBlkJUT6lht1aLlmcKg"", ""api-register-id!J:J""), 0)
  ),
  ""Not Found API Name""
)"),"Not Found API Name")</f>
        <v>Not Found API Name</v>
      </c>
      <c r="E76" s="30" t="str">
        <f t="shared" ref="E76:E109" si="2">SUBSTITUTE(A76,"https://github.com/SF-Bancoppel/", "")</f>
        <v>mx-ms-bc-pro-payment-execution</v>
      </c>
      <c r="F76" s="74" t="str">
        <f>IFERROR(__xludf.DUMMYFUNCTION("IFERROR(
  INDEX(
    IMPORTRANGE(""13G8fPsBFu2GexfFEa1WV07s1XBlkJUT6lht1aLlmcKg"", ""api-register-id!C:C""),
    MATCH(E76, IMPORTRANGE(""13G8fPsBFu2GexfFEa1WV07s1XBlkJUT6lht1aLlmcKg"", ""api-register-id!J:J""), 0)
  ),
  ""Not Found API Name""
)"),"Not Found API Name")</f>
        <v>Not Found API Name</v>
      </c>
      <c r="G76" s="30"/>
      <c r="H76" s="30"/>
      <c r="I76" s="30"/>
      <c r="J76" s="30"/>
      <c r="K76" s="30"/>
      <c r="L76" s="30"/>
      <c r="M76" s="30"/>
      <c r="N76" s="30"/>
      <c r="O76" s="30"/>
      <c r="P76" s="30"/>
      <c r="Q76" s="30"/>
      <c r="R76" s="30"/>
      <c r="S76" s="30"/>
      <c r="T76" s="30"/>
      <c r="U76" s="30"/>
      <c r="V76" s="30"/>
      <c r="W76" s="30"/>
      <c r="X76" s="30"/>
      <c r="Y76" s="30"/>
      <c r="Z76" s="30"/>
      <c r="AA76" s="30"/>
    </row>
    <row r="77">
      <c r="A77" s="75" t="s">
        <v>432</v>
      </c>
      <c r="B77" s="30" t="str">
        <f>IFERROR(__xludf.DUMMYFUNCTION("IFERROR(
  INDEX(
    IMPORTRANGE(""13G8fPsBFu2GexfFEa1WV07s1XBlkJUT6lht1aLlmcKg"", ""api-register-id!B:B""),
    MATCH(E77, IMPORTRANGE(""13G8fPsBFu2GexfFEa1WV07s1XBlkJUT6lht1aLlmcKg"", ""api-register-id!J:J""), 0)
  ),
  ""Not Found API Name""
)"),"Not Found API Name")</f>
        <v>Not Found API Name</v>
      </c>
      <c r="C77" s="30" t="str">
        <f>IFERROR(__xludf.DUMMYFUNCTION("IFERROR(
  INDEX(
    IMPORTRANGE(""13G8fPsBFu2GexfFEa1WV07s1XBlkJUT6lht1aLlmcKg"", ""api-register-id!D:D""),
    MATCH(E77, IMPORTRANGE(""13G8fPsBFu2GexfFEa1WV07s1XBlkJUT6lht1aLlmcKg"", ""api-register-id!J:J""), 0)
  ),
  ""Not Found API Name""
)"),"Not Found API Name")</f>
        <v>Not Found API Name</v>
      </c>
      <c r="D77" s="30" t="str">
        <f>IFERROR(__xludf.DUMMYFUNCTION("IFERROR(
  INDEX(
    IMPORTRANGE(""13G8fPsBFu2GexfFEa1WV07s1XBlkJUT6lht1aLlmcKg"", ""api-register-id!E:E""),
    MATCH(E77, IMPORTRANGE(""13G8fPsBFu2GexfFEa1WV07s1XBlkJUT6lht1aLlmcKg"", ""api-register-id!J:J""), 0)
  ),
  ""Not Found API Name""
)"),"Not Found API Name")</f>
        <v>Not Found API Name</v>
      </c>
      <c r="E77" s="30" t="str">
        <f t="shared" si="2"/>
        <v>mx-ms-bc-pro-payment-order</v>
      </c>
      <c r="F77" s="74" t="str">
        <f>IFERROR(__xludf.DUMMYFUNCTION("IFERROR(
  INDEX(
    IMPORTRANGE(""13G8fPsBFu2GexfFEa1WV07s1XBlkJUT6lht1aLlmcKg"", ""api-register-id!C:C""),
    MATCH(E77, IMPORTRANGE(""13G8fPsBFu2GexfFEa1WV07s1XBlkJUT6lht1aLlmcKg"", ""api-register-id!J:J""), 0)
  ),
  ""Not Found API Name""
)"),"Not Found API Name")</f>
        <v>Not Found API Name</v>
      </c>
      <c r="G77" s="30"/>
      <c r="H77" s="30"/>
      <c r="I77" s="30"/>
      <c r="J77" s="30"/>
      <c r="K77" s="30"/>
      <c r="L77" s="30"/>
      <c r="M77" s="30"/>
      <c r="N77" s="30"/>
      <c r="O77" s="30"/>
      <c r="P77" s="30"/>
      <c r="Q77" s="30"/>
      <c r="R77" s="30"/>
      <c r="S77" s="30"/>
      <c r="T77" s="30"/>
      <c r="U77" s="30"/>
      <c r="V77" s="30"/>
      <c r="W77" s="30"/>
      <c r="X77" s="30"/>
      <c r="Y77" s="30"/>
      <c r="Z77" s="30"/>
      <c r="AA77" s="30"/>
    </row>
    <row r="78">
      <c r="A78" s="75" t="s">
        <v>435</v>
      </c>
      <c r="B78" s="30" t="str">
        <f>IFERROR(__xludf.DUMMYFUNCTION("IFERROR(
  INDEX(
    IMPORTRANGE(""13G8fPsBFu2GexfFEa1WV07s1XBlkJUT6lht1aLlmcKg"", ""api-register-id!B:B""),
    MATCH(E78, IMPORTRANGE(""13G8fPsBFu2GexfFEa1WV07s1XBlkJUT6lht1aLlmcKg"", ""api-register-id!J:J""), 0)
  ),
  ""Not Found API Name""
)"),"Not Found API Name")</f>
        <v>Not Found API Name</v>
      </c>
      <c r="C78" s="30" t="str">
        <f>IFERROR(__xludf.DUMMYFUNCTION("IFERROR(
  INDEX(
    IMPORTRANGE(""13G8fPsBFu2GexfFEa1WV07s1XBlkJUT6lht1aLlmcKg"", ""api-register-id!D:D""),
    MATCH(E78, IMPORTRANGE(""13G8fPsBFu2GexfFEa1WV07s1XBlkJUT6lht1aLlmcKg"", ""api-register-id!J:J""), 0)
  ),
  ""Not Found API Name""
)"),"Not Found API Name")</f>
        <v>Not Found API Name</v>
      </c>
      <c r="D78" s="30" t="str">
        <f>IFERROR(__xludf.DUMMYFUNCTION("IFERROR(
  INDEX(
    IMPORTRANGE(""13G8fPsBFu2GexfFEa1WV07s1XBlkJUT6lht1aLlmcKg"", ""api-register-id!E:E""),
    MATCH(E78, IMPORTRANGE(""13G8fPsBFu2GexfFEa1WV07s1XBlkJUT6lht1aLlmcKg"", ""api-register-id!J:J""), 0)
  ),
  ""Not Found API Name""
)"),"Not Found API Name")</f>
        <v>Not Found API Name</v>
      </c>
      <c r="E78" s="30" t="str">
        <f t="shared" si="2"/>
        <v>mx-ms-bc-pro-platform-operations</v>
      </c>
      <c r="F78" s="74" t="str">
        <f>IFERROR(__xludf.DUMMYFUNCTION("IFERROR(
  INDEX(
    IMPORTRANGE(""13G8fPsBFu2GexfFEa1WV07s1XBlkJUT6lht1aLlmcKg"", ""api-register-id!C:C""),
    MATCH(E78, IMPORTRANGE(""13G8fPsBFu2GexfFEa1WV07s1XBlkJUT6lht1aLlmcKg"", ""api-register-id!J:J""), 0)
  ),
  ""Not Found API Name""
)"),"Not Found API Name")</f>
        <v>Not Found API Name</v>
      </c>
      <c r="G78" s="30"/>
      <c r="H78" s="30"/>
      <c r="I78" s="30"/>
      <c r="J78" s="30"/>
      <c r="K78" s="30"/>
      <c r="L78" s="30"/>
      <c r="M78" s="30"/>
      <c r="N78" s="30"/>
      <c r="O78" s="30"/>
      <c r="P78" s="30"/>
      <c r="Q78" s="30"/>
      <c r="R78" s="30"/>
      <c r="S78" s="30"/>
      <c r="T78" s="30"/>
      <c r="U78" s="30"/>
      <c r="V78" s="30"/>
      <c r="W78" s="30"/>
      <c r="X78" s="30"/>
      <c r="Y78" s="30"/>
      <c r="Z78" s="30"/>
      <c r="AA78" s="30"/>
    </row>
    <row r="79">
      <c r="A79" s="75" t="s">
        <v>440</v>
      </c>
      <c r="B79" s="30" t="str">
        <f>IFERROR(__xludf.DUMMYFUNCTION("IFERROR(
  INDEX(
    IMPORTRANGE(""13G8fPsBFu2GexfFEa1WV07s1XBlkJUT6lht1aLlmcKg"", ""api-register-id!B:B""),
    MATCH(E79, IMPORTRANGE(""13G8fPsBFu2GexfFEa1WV07s1XBlkJUT6lht1aLlmcKg"", ""api-register-id!J:J""), 0)
  ),
  ""Not Found API Name""
)"),"Not Found API Name")</f>
        <v>Not Found API Name</v>
      </c>
      <c r="C79" s="30" t="str">
        <f>IFERROR(__xludf.DUMMYFUNCTION("IFERROR(
  INDEX(
    IMPORTRANGE(""13G8fPsBFu2GexfFEa1WV07s1XBlkJUT6lht1aLlmcKg"", ""api-register-id!D:D""),
    MATCH(E79, IMPORTRANGE(""13G8fPsBFu2GexfFEa1WV07s1XBlkJUT6lht1aLlmcKg"", ""api-register-id!J:J""), 0)
  ),
  ""Not Found API Name""
)"),"Not Found API Name")</f>
        <v>Not Found API Name</v>
      </c>
      <c r="D79" s="30" t="str">
        <f>IFERROR(__xludf.DUMMYFUNCTION("IFERROR(
  INDEX(
    IMPORTRANGE(""13G8fPsBFu2GexfFEa1WV07s1XBlkJUT6lht1aLlmcKg"", ""api-register-id!E:E""),
    MATCH(E79, IMPORTRANGE(""13G8fPsBFu2GexfFEa1WV07s1XBlkJUT6lht1aLlmcKg"", ""api-register-id!J:J""), 0)
  ),
  ""Not Found API Name""
)"),"Not Found API Name")</f>
        <v>Not Found API Name</v>
      </c>
      <c r="E79" s="30" t="str">
        <f t="shared" si="2"/>
        <v>mx-ms-bc-pro-position-keeping</v>
      </c>
      <c r="F79" s="74" t="str">
        <f>IFERROR(__xludf.DUMMYFUNCTION("IFERROR(
  INDEX(
    IMPORTRANGE(""13G8fPsBFu2GexfFEa1WV07s1XBlkJUT6lht1aLlmcKg"", ""api-register-id!C:C""),
    MATCH(E79, IMPORTRANGE(""13G8fPsBFu2GexfFEa1WV07s1XBlkJUT6lht1aLlmcKg"", ""api-register-id!J:J""), 0)
  ),
  ""Not Found API Name""
)"),"Not Found API Name")</f>
        <v>Not Found API Name</v>
      </c>
      <c r="G79" s="30"/>
      <c r="H79" s="30"/>
      <c r="I79" s="30"/>
      <c r="J79" s="30"/>
      <c r="K79" s="30"/>
      <c r="L79" s="30"/>
      <c r="M79" s="30"/>
      <c r="N79" s="30"/>
      <c r="O79" s="30"/>
      <c r="P79" s="30"/>
      <c r="Q79" s="30"/>
      <c r="R79" s="30"/>
      <c r="S79" s="30"/>
      <c r="T79" s="30"/>
      <c r="U79" s="30"/>
      <c r="V79" s="30"/>
      <c r="W79" s="30"/>
      <c r="X79" s="30"/>
      <c r="Y79" s="30"/>
      <c r="Z79" s="30"/>
      <c r="AA79" s="30"/>
    </row>
    <row r="80">
      <c r="A80" s="75" t="s">
        <v>443</v>
      </c>
      <c r="B80" s="30" t="str">
        <f>IFERROR(__xludf.DUMMYFUNCTION("IFERROR(
  INDEX(
    IMPORTRANGE(""13G8fPsBFu2GexfFEa1WV07s1XBlkJUT6lht1aLlmcKg"", ""api-register-id!B:B""),
    MATCH(E80, IMPORTRANGE(""13G8fPsBFu2GexfFEa1WV07s1XBlkJUT6lht1aLlmcKg"", ""api-register-id!J:J""), 0)
  ),
  ""Not Found API Name""
)"),"Not Found API Name")</f>
        <v>Not Found API Name</v>
      </c>
      <c r="C80" s="30" t="str">
        <f>IFERROR(__xludf.DUMMYFUNCTION("IFERROR(
  INDEX(
    IMPORTRANGE(""13G8fPsBFu2GexfFEa1WV07s1XBlkJUT6lht1aLlmcKg"", ""api-register-id!D:D""),
    MATCH(E80, IMPORTRANGE(""13G8fPsBFu2GexfFEa1WV07s1XBlkJUT6lht1aLlmcKg"", ""api-register-id!J:J""), 0)
  ),
  ""Not Found API Name""
)"),"Not Found API Name")</f>
        <v>Not Found API Name</v>
      </c>
      <c r="D80" s="30" t="str">
        <f>IFERROR(__xludf.DUMMYFUNCTION("IFERROR(
  INDEX(
    IMPORTRANGE(""13G8fPsBFu2GexfFEa1WV07s1XBlkJUT6lht1aLlmcKg"", ""api-register-id!E:E""),
    MATCH(E80, IMPORTRANGE(""13G8fPsBFu2GexfFEa1WV07s1XBlkJUT6lht1aLlmcKg"", ""api-register-id!J:J""), 0)
  ),
  ""Not Found API Name""
)"),"Not Found API Name")</f>
        <v>Not Found API Name</v>
      </c>
      <c r="E80" s="30" t="str">
        <f t="shared" si="2"/>
        <v>mx-ms-bc-pro-product-directory</v>
      </c>
      <c r="F80" s="74" t="str">
        <f>IFERROR(__xludf.DUMMYFUNCTION("IFERROR(
  INDEX(
    IMPORTRANGE(""13G8fPsBFu2GexfFEa1WV07s1XBlkJUT6lht1aLlmcKg"", ""api-register-id!C:C""),
    MATCH(E80, IMPORTRANGE(""13G8fPsBFu2GexfFEa1WV07s1XBlkJUT6lht1aLlmcKg"", ""api-register-id!J:J""), 0)
  ),
  ""Not Found API Name""
)"),"Not Found API Name")</f>
        <v>Not Found API Name</v>
      </c>
      <c r="G80" s="30"/>
      <c r="H80" s="30"/>
      <c r="I80" s="30"/>
      <c r="J80" s="30"/>
      <c r="K80" s="30"/>
      <c r="L80" s="30"/>
      <c r="M80" s="30"/>
      <c r="N80" s="30"/>
      <c r="O80" s="30"/>
      <c r="P80" s="30"/>
      <c r="Q80" s="30"/>
      <c r="R80" s="30"/>
      <c r="S80" s="30"/>
      <c r="T80" s="30"/>
      <c r="U80" s="30"/>
      <c r="V80" s="30"/>
      <c r="W80" s="30"/>
      <c r="X80" s="30"/>
      <c r="Y80" s="30"/>
      <c r="Z80" s="30"/>
      <c r="AA80" s="30"/>
    </row>
    <row r="81">
      <c r="A81" s="75" t="s">
        <v>448</v>
      </c>
      <c r="B81" s="30" t="str">
        <f>IFERROR(__xludf.DUMMYFUNCTION("IFERROR(
  INDEX(
    IMPORTRANGE(""13G8fPsBFu2GexfFEa1WV07s1XBlkJUT6lht1aLlmcKg"", ""api-register-id!B:B""),
    MATCH(E81, IMPORTRANGE(""13G8fPsBFu2GexfFEa1WV07s1XBlkJUT6lht1aLlmcKg"", ""api-register-id!J:J""), 0)
  ),
  ""Not Found API Name""
)"),"Not Found API Name")</f>
        <v>Not Found API Name</v>
      </c>
      <c r="C81" s="30" t="str">
        <f>IFERROR(__xludf.DUMMYFUNCTION("IFERROR(
  INDEX(
    IMPORTRANGE(""13G8fPsBFu2GexfFEa1WV07s1XBlkJUT6lht1aLlmcKg"", ""api-register-id!D:D""),
    MATCH(E81, IMPORTRANGE(""13G8fPsBFu2GexfFEa1WV07s1XBlkJUT6lht1aLlmcKg"", ""api-register-id!J:J""), 0)
  ),
  ""Not Found API Name""
)"),"Not Found API Name")</f>
        <v>Not Found API Name</v>
      </c>
      <c r="D81" s="30" t="str">
        <f>IFERROR(__xludf.DUMMYFUNCTION("IFERROR(
  INDEX(
    IMPORTRANGE(""13G8fPsBFu2GexfFEa1WV07s1XBlkJUT6lht1aLlmcKg"", ""api-register-id!E:E""),
    MATCH(E81, IMPORTRANGE(""13G8fPsBFu2GexfFEa1WV07s1XBlkJUT6lht1aLlmcKg"", ""api-register-id!J:J""), 0)
  ),
  ""Not Found API Name""
)"),"Not Found API Name")</f>
        <v>Not Found API Name</v>
      </c>
      <c r="E81" s="30" t="str">
        <f t="shared" si="2"/>
        <v>mx-ms-bc-pro-session-dialogue</v>
      </c>
      <c r="F81" s="74" t="str">
        <f>IFERROR(__xludf.DUMMYFUNCTION("IFERROR(
  INDEX(
    IMPORTRANGE(""13G8fPsBFu2GexfFEa1WV07s1XBlkJUT6lht1aLlmcKg"", ""api-register-id!C:C""),
    MATCH(E81, IMPORTRANGE(""13G8fPsBFu2GexfFEa1WV07s1XBlkJUT6lht1aLlmcKg"", ""api-register-id!J:J""), 0)
  ),
  ""Not Found API Name""
)"),"Not Found API Name")</f>
        <v>Not Found API Name</v>
      </c>
      <c r="G81" s="30"/>
      <c r="H81" s="30"/>
      <c r="I81" s="30"/>
      <c r="J81" s="30"/>
      <c r="K81" s="30"/>
      <c r="L81" s="30"/>
      <c r="M81" s="30"/>
      <c r="N81" s="30"/>
      <c r="O81" s="30"/>
      <c r="P81" s="30"/>
      <c r="Q81" s="30"/>
      <c r="R81" s="30"/>
      <c r="S81" s="30"/>
      <c r="T81" s="30"/>
      <c r="U81" s="30"/>
      <c r="V81" s="30"/>
      <c r="W81" s="30"/>
      <c r="X81" s="30"/>
      <c r="Y81" s="30"/>
      <c r="Z81" s="30"/>
      <c r="AA81" s="30"/>
    </row>
    <row r="82">
      <c r="A82" s="75" t="s">
        <v>450</v>
      </c>
      <c r="B82" s="30" t="str">
        <f>IFERROR(__xludf.DUMMYFUNCTION("IFERROR(
  INDEX(
    IMPORTRANGE(""13G8fPsBFu2GexfFEa1WV07s1XBlkJUT6lht1aLlmcKg"", ""api-register-id!B:B""),
    MATCH(E82, IMPORTRANGE(""13G8fPsBFu2GexfFEa1WV07s1XBlkJUT6lht1aLlmcKg"", ""api-register-id!J:J""), 0)
  ),
  ""Not Found API Name""
)"),"Not Found API Name")</f>
        <v>Not Found API Name</v>
      </c>
      <c r="C82" s="30" t="str">
        <f>IFERROR(__xludf.DUMMYFUNCTION("IFERROR(
  INDEX(
    IMPORTRANGE(""13G8fPsBFu2GexfFEa1WV07s1XBlkJUT6lht1aLlmcKg"", ""api-register-id!D:D""),
    MATCH(E82, IMPORTRANGE(""13G8fPsBFu2GexfFEa1WV07s1XBlkJUT6lht1aLlmcKg"", ""api-register-id!J:J""), 0)
  ),
  ""Not Found API Name""
)"),"Not Found API Name")</f>
        <v>Not Found API Name</v>
      </c>
      <c r="D82" s="30" t="str">
        <f>IFERROR(__xludf.DUMMYFUNCTION("IFERROR(
  INDEX(
    IMPORTRANGE(""13G8fPsBFu2GexfFEa1WV07s1XBlkJUT6lht1aLlmcKg"", ""api-register-id!E:E""),
    MATCH(E82, IMPORTRANGE(""13G8fPsBFu2GexfFEa1WV07s1XBlkJUT6lht1aLlmcKg"", ""api-register-id!J:J""), 0)
  ),
  ""Not Found API Name""
)"),"Not Found API Name")</f>
        <v>Not Found API Name</v>
      </c>
      <c r="E82" s="30" t="str">
        <f t="shared" si="2"/>
        <v>mx-ms-bc-pro-transaction-engine</v>
      </c>
      <c r="F82" s="74" t="str">
        <f>IFERROR(__xludf.DUMMYFUNCTION("IFERROR(
  INDEX(
    IMPORTRANGE(""13G8fPsBFu2GexfFEa1WV07s1XBlkJUT6lht1aLlmcKg"", ""api-register-id!C:C""),
    MATCH(E82, IMPORTRANGE(""13G8fPsBFu2GexfFEa1WV07s1XBlkJUT6lht1aLlmcKg"", ""api-register-id!J:J""), 0)
  ),
  ""Not Found API Name""
)"),"Not Found API Name")</f>
        <v>Not Found API Name</v>
      </c>
      <c r="G82" s="30"/>
      <c r="H82" s="30"/>
      <c r="I82" s="30"/>
      <c r="J82" s="30"/>
      <c r="K82" s="30"/>
      <c r="L82" s="30"/>
      <c r="M82" s="30"/>
      <c r="N82" s="30"/>
      <c r="O82" s="30"/>
      <c r="P82" s="30"/>
      <c r="Q82" s="30"/>
      <c r="R82" s="30"/>
      <c r="S82" s="30"/>
      <c r="T82" s="30"/>
      <c r="U82" s="30"/>
      <c r="V82" s="30"/>
      <c r="W82" s="30"/>
      <c r="X82" s="30"/>
      <c r="Y82" s="30"/>
      <c r="Z82" s="30"/>
      <c r="AA82" s="30"/>
    </row>
    <row r="83">
      <c r="A83" s="75" t="s">
        <v>455</v>
      </c>
      <c r="B83" s="30" t="str">
        <f>IFERROR(__xludf.DUMMYFUNCTION("IFERROR(
  INDEX(
    IMPORTRANGE(""13G8fPsBFu2GexfFEa1WV07s1XBlkJUT6lht1aLlmcKg"", ""api-register-id!B:B""),
    MATCH(E83, IMPORTRANGE(""13G8fPsBFu2GexfFEa1WV07s1XBlkJUT6lht1aLlmcKg"", ""api-register-id!J:J""), 0)
  ),
  ""Not Found API Name""
)"),"Not Found API Name")</f>
        <v>Not Found API Name</v>
      </c>
      <c r="C83" s="30" t="str">
        <f>IFERROR(__xludf.DUMMYFUNCTION("IFERROR(
  INDEX(
    IMPORTRANGE(""13G8fPsBFu2GexfFEa1WV07s1XBlkJUT6lht1aLlmcKg"", ""api-register-id!D:D""),
    MATCH(E83, IMPORTRANGE(""13G8fPsBFu2GexfFEa1WV07s1XBlkJUT6lht1aLlmcKg"", ""api-register-id!J:J""), 0)
  ),
  ""Not Found API Name""
)"),"Not Found API Name")</f>
        <v>Not Found API Name</v>
      </c>
      <c r="D83" s="30" t="str">
        <f>IFERROR(__xludf.DUMMYFUNCTION("IFERROR(
  INDEX(
    IMPORTRANGE(""13G8fPsBFu2GexfFEa1WV07s1XBlkJUT6lht1aLlmcKg"", ""api-register-id!E:E""),
    MATCH(E83, IMPORTRANGE(""13G8fPsBFu2GexfFEa1WV07s1XBlkJUT6lht1aLlmcKg"", ""api-register-id!J:J""), 0)
  ),
  ""Not Found API Name""
)"),"Not Found API Name")</f>
        <v>Not Found API Name</v>
      </c>
      <c r="E83" s="30" t="str">
        <f t="shared" si="2"/>
        <v>mx-ms-bc-pro-utility</v>
      </c>
      <c r="F83" s="74" t="str">
        <f>IFERROR(__xludf.DUMMYFUNCTION("IFERROR(
  INDEX(
    IMPORTRANGE(""13G8fPsBFu2GexfFEa1WV07s1XBlkJUT6lht1aLlmcKg"", ""api-register-id!C:C""),
    MATCH(E83, IMPORTRANGE(""13G8fPsBFu2GexfFEa1WV07s1XBlkJUT6lht1aLlmcKg"", ""api-register-id!J:J""), 0)
  ),
  ""Not Found API Name""
)"),"Not Found API Name")</f>
        <v>Not Found API Name</v>
      </c>
      <c r="G83" s="30"/>
      <c r="H83" s="30"/>
      <c r="I83" s="30"/>
      <c r="J83" s="30"/>
      <c r="K83" s="30"/>
      <c r="L83" s="30"/>
      <c r="M83" s="30"/>
      <c r="N83" s="30"/>
      <c r="O83" s="30"/>
      <c r="P83" s="30"/>
      <c r="Q83" s="30"/>
      <c r="R83" s="30"/>
      <c r="S83" s="30"/>
      <c r="T83" s="30"/>
      <c r="U83" s="30"/>
      <c r="V83" s="30"/>
      <c r="W83" s="30"/>
      <c r="X83" s="30"/>
      <c r="Y83" s="30"/>
      <c r="Z83" s="30"/>
      <c r="AA83" s="30"/>
    </row>
    <row r="84">
      <c r="A84" s="75" t="s">
        <v>460</v>
      </c>
      <c r="B84" s="30" t="str">
        <f>IFERROR(__xludf.DUMMYFUNCTION("IFERROR(
  INDEX(
    IMPORTRANGE(""13G8fPsBFu2GexfFEa1WV07s1XBlkJUT6lht1aLlmcKg"", ""api-register-id!B:B""),
    MATCH(E84, IMPORTRANGE(""13G8fPsBFu2GexfFEa1WV07s1XBlkJUT6lht1aLlmcKg"", ""api-register-id!J:J""), 0)
  ),
  ""Not Found API Name""
)"),"Not Found API Name")</f>
        <v>Not Found API Name</v>
      </c>
      <c r="C84" s="30" t="str">
        <f>IFERROR(__xludf.DUMMYFUNCTION("IFERROR(
  INDEX(
    IMPORTRANGE(""13G8fPsBFu2GexfFEa1WV07s1XBlkJUT6lht1aLlmcKg"", ""api-register-id!D:D""),
    MATCH(E84, IMPORTRANGE(""13G8fPsBFu2GexfFEa1WV07s1XBlkJUT6lht1aLlmcKg"", ""api-register-id!J:J""), 0)
  ),
  ""Not Found API Name""
)"),"Not Found API Name")</f>
        <v>Not Found API Name</v>
      </c>
      <c r="D84" s="30" t="str">
        <f>IFERROR(__xludf.DUMMYFUNCTION("IFERROR(
  INDEX(
    IMPORTRANGE(""13G8fPsBFu2GexfFEa1WV07s1XBlkJUT6lht1aLlmcKg"", ""api-register-id!E:E""),
    MATCH(E84, IMPORTRANGE(""13G8fPsBFu2GexfFEa1WV07s1XBlkJUT6lht1aLlmcKg"", ""api-register-id!J:J""), 0)
  ),
  ""Not Found API Name""
)"),"Not Found API Name")</f>
        <v>Not Found API Name</v>
      </c>
      <c r="E84" s="30" t="str">
        <f t="shared" si="2"/>
        <v>mx-ms-bc-rec-business-support-apigee</v>
      </c>
      <c r="F84" s="74" t="str">
        <f>IFERROR(__xludf.DUMMYFUNCTION("IFERROR(
  INDEX(
    IMPORTRANGE(""13G8fPsBFu2GexfFEa1WV07s1XBlkJUT6lht1aLlmcKg"", ""api-register-id!C:C""),
    MATCH(E84, IMPORTRANGE(""13G8fPsBFu2GexfFEa1WV07s1XBlkJUT6lht1aLlmcKg"", ""api-register-id!J:J""), 0)
  ),
  ""Not Found API Name""
)"),"Not Found API Name")</f>
        <v>Not Found API Name</v>
      </c>
      <c r="G84" s="30"/>
      <c r="H84" s="30"/>
      <c r="I84" s="30"/>
      <c r="J84" s="30"/>
      <c r="K84" s="30"/>
      <c r="L84" s="30"/>
      <c r="M84" s="30"/>
      <c r="N84" s="30"/>
      <c r="O84" s="30"/>
      <c r="P84" s="30"/>
      <c r="Q84" s="30"/>
      <c r="R84" s="30"/>
      <c r="S84" s="30"/>
      <c r="T84" s="30"/>
      <c r="U84" s="30"/>
      <c r="V84" s="30"/>
      <c r="W84" s="30"/>
      <c r="X84" s="30"/>
      <c r="Y84" s="30"/>
      <c r="Z84" s="30"/>
      <c r="AA84" s="30"/>
    </row>
    <row r="85">
      <c r="A85" s="75" t="s">
        <v>461</v>
      </c>
      <c r="B85" s="30" t="str">
        <f>IFERROR(__xludf.DUMMYFUNCTION("IFERROR(
  INDEX(
    IMPORTRANGE(""13G8fPsBFu2GexfFEa1WV07s1XBlkJUT6lht1aLlmcKg"", ""api-register-id!B:B""),
    MATCH(E85, IMPORTRANGE(""13G8fPsBFu2GexfFEa1WV07s1XBlkJUT6lht1aLlmcKg"", ""api-register-id!J:J""), 0)
  ),
  ""Not Found API Name""
)"),"Not Found API Name")</f>
        <v>Not Found API Name</v>
      </c>
      <c r="C85" s="30" t="str">
        <f>IFERROR(__xludf.DUMMYFUNCTION("IFERROR(
  INDEX(
    IMPORTRANGE(""13G8fPsBFu2GexfFEa1WV07s1XBlkJUT6lht1aLlmcKg"", ""api-register-id!D:D""),
    MATCH(E85, IMPORTRANGE(""13G8fPsBFu2GexfFEa1WV07s1XBlkJUT6lht1aLlmcKg"", ""api-register-id!J:J""), 0)
  ),
  ""Not Found API Name""
)"),"Not Found API Name")</f>
        <v>Not Found API Name</v>
      </c>
      <c r="D85" s="30" t="str">
        <f>IFERROR(__xludf.DUMMYFUNCTION("IFERROR(
  INDEX(
    IMPORTRANGE(""13G8fPsBFu2GexfFEa1WV07s1XBlkJUT6lht1aLlmcKg"", ""api-register-id!E:E""),
    MATCH(E85, IMPORTRANGE(""13G8fPsBFu2GexfFEa1WV07s1XBlkJUT6lht1aLlmcKg"", ""api-register-id!J:J""), 0)
  ),
  ""Not Found API Name""
)"),"Not Found API Name")</f>
        <v>Not Found API Name</v>
      </c>
      <c r="E85" s="30" t="str">
        <f t="shared" si="2"/>
        <v>mx-ms-bc-rec-card-ecommerce-gateway-apigee</v>
      </c>
      <c r="F85" s="74" t="str">
        <f>IFERROR(__xludf.DUMMYFUNCTION("IFERROR(
  INDEX(
    IMPORTRANGE(""13G8fPsBFu2GexfFEa1WV07s1XBlkJUT6lht1aLlmcKg"", ""api-register-id!C:C""),
    MATCH(E85, IMPORTRANGE(""13G8fPsBFu2GexfFEa1WV07s1XBlkJUT6lht1aLlmcKg"", ""api-register-id!J:J""), 0)
  ),
  ""Not Found API Name""
)"),"Not Found API Name")</f>
        <v>Not Found API Name</v>
      </c>
      <c r="G85" s="30"/>
      <c r="H85" s="30"/>
      <c r="I85" s="30"/>
      <c r="J85" s="30"/>
      <c r="K85" s="30"/>
      <c r="L85" s="30"/>
      <c r="M85" s="30"/>
      <c r="N85" s="30"/>
      <c r="O85" s="30"/>
      <c r="P85" s="30"/>
      <c r="Q85" s="30"/>
      <c r="R85" s="30"/>
      <c r="S85" s="30"/>
      <c r="T85" s="30"/>
      <c r="U85" s="30"/>
      <c r="V85" s="30"/>
      <c r="W85" s="30"/>
      <c r="X85" s="30"/>
      <c r="Y85" s="30"/>
      <c r="Z85" s="30"/>
      <c r="AA85" s="30"/>
    </row>
    <row r="86">
      <c r="A86" s="75" t="s">
        <v>468</v>
      </c>
      <c r="B86" s="30" t="str">
        <f>IFERROR(__xludf.DUMMYFUNCTION("IFERROR(
  INDEX(
    IMPORTRANGE(""13G8fPsBFu2GexfFEa1WV07s1XBlkJUT6lht1aLlmcKg"", ""api-register-id!B:B""),
    MATCH(E86, IMPORTRANGE(""13G8fPsBFu2GexfFEa1WV07s1XBlkJUT6lht1aLlmcKg"", ""api-register-id!J:J""), 0)
  ),
  ""Not Found API Name""
)"),"Not Found API Name")</f>
        <v>Not Found API Name</v>
      </c>
      <c r="C86" s="30" t="str">
        <f>IFERROR(__xludf.DUMMYFUNCTION("IFERROR(
  INDEX(
    IMPORTRANGE(""13G8fPsBFu2GexfFEa1WV07s1XBlkJUT6lht1aLlmcKg"", ""api-register-id!D:D""),
    MATCH(E86, IMPORTRANGE(""13G8fPsBFu2GexfFEa1WV07s1XBlkJUT6lht1aLlmcKg"", ""api-register-id!J:J""), 0)
  ),
  ""Not Found API Name""
)"),"Not Found API Name")</f>
        <v>Not Found API Name</v>
      </c>
      <c r="D86" s="30" t="str">
        <f>IFERROR(__xludf.DUMMYFUNCTION("IFERROR(
  INDEX(
    IMPORTRANGE(""13G8fPsBFu2GexfFEa1WV07s1XBlkJUT6lht1aLlmcKg"", ""api-register-id!E:E""),
    MATCH(E86, IMPORTRANGE(""13G8fPsBFu2GexfFEa1WV07s1XBlkJUT6lht1aLlmcKg"", ""api-register-id!J:J""), 0)
  ),
  ""Not Found API Name""
)"),"Not Found API Name")</f>
        <v>Not Found API Name</v>
      </c>
      <c r="E86" s="30" t="str">
        <f t="shared" si="2"/>
        <v>mx-ms-bc-rec-cards-apigee</v>
      </c>
      <c r="F86" s="74" t="str">
        <f>IFERROR(__xludf.DUMMYFUNCTION("IFERROR(
  INDEX(
    IMPORTRANGE(""13G8fPsBFu2GexfFEa1WV07s1XBlkJUT6lht1aLlmcKg"", ""api-register-id!C:C""),
    MATCH(E86, IMPORTRANGE(""13G8fPsBFu2GexfFEa1WV07s1XBlkJUT6lht1aLlmcKg"", ""api-register-id!J:J""), 0)
  ),
  ""Not Found API Name""
)"),"Not Found API Name")</f>
        <v>Not Found API Name</v>
      </c>
      <c r="G86" s="30"/>
      <c r="H86" s="30"/>
      <c r="I86" s="30"/>
      <c r="J86" s="30"/>
      <c r="K86" s="30"/>
      <c r="L86" s="30"/>
      <c r="M86" s="30"/>
      <c r="N86" s="30"/>
      <c r="O86" s="30"/>
      <c r="P86" s="30"/>
      <c r="Q86" s="30"/>
      <c r="R86" s="30"/>
      <c r="S86" s="30"/>
      <c r="T86" s="30"/>
      <c r="U86" s="30"/>
      <c r="V86" s="30"/>
      <c r="W86" s="30"/>
      <c r="X86" s="30"/>
      <c r="Y86" s="30"/>
      <c r="Z86" s="30"/>
      <c r="AA86" s="30"/>
    </row>
    <row r="87">
      <c r="A87" s="75" t="s">
        <v>471</v>
      </c>
      <c r="B87" s="30" t="str">
        <f>IFERROR(__xludf.DUMMYFUNCTION("IFERROR(
  INDEX(
    IMPORTRANGE(""13G8fPsBFu2GexfFEa1WV07s1XBlkJUT6lht1aLlmcKg"", ""api-register-id!B:B""),
    MATCH(E87, IMPORTRANGE(""13G8fPsBFu2GexfFEa1WV07s1XBlkJUT6lht1aLlmcKg"", ""api-register-id!J:J""), 0)
  ),
  ""Not Found API Name""
)"),"Not Found API Name")</f>
        <v>Not Found API Name</v>
      </c>
      <c r="C87" s="30" t="str">
        <f>IFERROR(__xludf.DUMMYFUNCTION("IFERROR(
  INDEX(
    IMPORTRANGE(""13G8fPsBFu2GexfFEa1WV07s1XBlkJUT6lht1aLlmcKg"", ""api-register-id!D:D""),
    MATCH(E87, IMPORTRANGE(""13G8fPsBFu2GexfFEa1WV07s1XBlkJUT6lht1aLlmcKg"", ""api-register-id!J:J""), 0)
  ),
  ""Not Found API Name""
)"),"Not Found API Name")</f>
        <v>Not Found API Name</v>
      </c>
      <c r="D87" s="30" t="str">
        <f>IFERROR(__xludf.DUMMYFUNCTION("IFERROR(
  INDEX(
    IMPORTRANGE(""13G8fPsBFu2GexfFEa1WV07s1XBlkJUT6lht1aLlmcKg"", ""api-register-id!E:E""),
    MATCH(E87, IMPORTRANGE(""13G8fPsBFu2GexfFEa1WV07s1XBlkJUT6lht1aLlmcKg"", ""api-register-id!J:J""), 0)
  ),
  ""Not Found API Name""
)"),"Not Found API Name")</f>
        <v>Not Found API Name</v>
      </c>
      <c r="E87" s="30" t="str">
        <f t="shared" si="2"/>
        <v>mx-ms-bc-rec-channel-specific-apigee</v>
      </c>
      <c r="F87" s="74" t="str">
        <f>IFERROR(__xludf.DUMMYFUNCTION("IFERROR(
  INDEX(
    IMPORTRANGE(""13G8fPsBFu2GexfFEa1WV07s1XBlkJUT6lht1aLlmcKg"", ""api-register-id!C:C""),
    MATCH(E87, IMPORTRANGE(""13G8fPsBFu2GexfFEa1WV07s1XBlkJUT6lht1aLlmcKg"", ""api-register-id!J:J""), 0)
  ),
  ""Not Found API Name""
)"),"Not Found API Name")</f>
        <v>Not Found API Name</v>
      </c>
      <c r="G87" s="30"/>
      <c r="H87" s="30"/>
      <c r="I87" s="30"/>
      <c r="J87" s="30"/>
      <c r="K87" s="30"/>
      <c r="L87" s="30"/>
      <c r="M87" s="30"/>
      <c r="N87" s="30"/>
      <c r="O87" s="30"/>
      <c r="P87" s="30"/>
      <c r="Q87" s="30"/>
      <c r="R87" s="30"/>
      <c r="S87" s="30"/>
      <c r="T87" s="30"/>
      <c r="U87" s="30"/>
      <c r="V87" s="30"/>
      <c r="W87" s="30"/>
      <c r="X87" s="30"/>
      <c r="Y87" s="30"/>
      <c r="Z87" s="30"/>
      <c r="AA87" s="30"/>
    </row>
    <row r="88">
      <c r="A88" s="75" t="s">
        <v>477</v>
      </c>
      <c r="B88" s="30" t="str">
        <f>IFERROR(__xludf.DUMMYFUNCTION("IFERROR(
  INDEX(
    IMPORTRANGE(""13G8fPsBFu2GexfFEa1WV07s1XBlkJUT6lht1aLlmcKg"", ""api-register-id!B:B""),
    MATCH(E88, IMPORTRANGE(""13G8fPsBFu2GexfFEa1WV07s1XBlkJUT6lht1aLlmcKg"", ""api-register-id!J:J""), 0)
  ),
  ""Not Found API Name""
)"),"Not Found API Name")</f>
        <v>Not Found API Name</v>
      </c>
      <c r="C88" s="30" t="str">
        <f>IFERROR(__xludf.DUMMYFUNCTION("IFERROR(
  INDEX(
    IMPORTRANGE(""13G8fPsBFu2GexfFEa1WV07s1XBlkJUT6lht1aLlmcKg"", ""api-register-id!D:D""),
    MATCH(E88, IMPORTRANGE(""13G8fPsBFu2GexfFEa1WV07s1XBlkJUT6lht1aLlmcKg"", ""api-register-id!J:J""), 0)
  ),
  ""Not Found API Name""
)"),"Not Found API Name")</f>
        <v>Not Found API Name</v>
      </c>
      <c r="D88" s="30" t="str">
        <f>IFERROR(__xludf.DUMMYFUNCTION("IFERROR(
  INDEX(
    IMPORTRANGE(""13G8fPsBFu2GexfFEa1WV07s1XBlkJUT6lht1aLlmcKg"", ""api-register-id!E:E""),
    MATCH(E88, IMPORTRANGE(""13G8fPsBFu2GexfFEa1WV07s1XBlkJUT6lht1aLlmcKg"", ""api-register-id!J:J""), 0)
  ),
  ""Not Found API Name""
)"),"Not Found API Name")</f>
        <v>Not Found API Name</v>
      </c>
      <c r="E88" s="30" t="str">
        <f t="shared" si="2"/>
        <v>mx-ms-bc-rec-counterparty-risk-apigee</v>
      </c>
      <c r="F88" s="74" t="str">
        <f>IFERROR(__xludf.DUMMYFUNCTION("IFERROR(
  INDEX(
    IMPORTRANGE(""13G8fPsBFu2GexfFEa1WV07s1XBlkJUT6lht1aLlmcKg"", ""api-register-id!C:C""),
    MATCH(E88, IMPORTRANGE(""13G8fPsBFu2GexfFEa1WV07s1XBlkJUT6lht1aLlmcKg"", ""api-register-id!J:J""), 0)
  ),
  ""Not Found API Name""
)"),"Not Found API Name")</f>
        <v>Not Found API Name</v>
      </c>
      <c r="G88" s="30"/>
      <c r="H88" s="30"/>
      <c r="I88" s="30"/>
      <c r="J88" s="30"/>
      <c r="K88" s="30"/>
      <c r="L88" s="30"/>
      <c r="M88" s="30"/>
      <c r="N88" s="30"/>
      <c r="O88" s="30"/>
      <c r="P88" s="30"/>
      <c r="Q88" s="30"/>
      <c r="R88" s="30"/>
      <c r="S88" s="30"/>
      <c r="T88" s="30"/>
      <c r="U88" s="30"/>
      <c r="V88" s="30"/>
      <c r="W88" s="30"/>
      <c r="X88" s="30"/>
      <c r="Y88" s="30"/>
      <c r="Z88" s="30"/>
      <c r="AA88" s="30"/>
    </row>
    <row r="89">
      <c r="A89" s="75" t="s">
        <v>481</v>
      </c>
      <c r="B89" s="30" t="str">
        <f>IFERROR(__xludf.DUMMYFUNCTION("IFERROR(
  INDEX(
    IMPORTRANGE(""13G8fPsBFu2GexfFEa1WV07s1XBlkJUT6lht1aLlmcKg"", ""api-register-id!B:B""),
    MATCH(E89, IMPORTRANGE(""13G8fPsBFu2GexfFEa1WV07s1XBlkJUT6lht1aLlmcKg"", ""api-register-id!J:J""), 0)
  ),
  ""Not Found API Name""
)"),"Not Found API Name")</f>
        <v>Not Found API Name</v>
      </c>
      <c r="C89" s="30" t="str">
        <f>IFERROR(__xludf.DUMMYFUNCTION("IFERROR(
  INDEX(
    IMPORTRANGE(""13G8fPsBFu2GexfFEa1WV07s1XBlkJUT6lht1aLlmcKg"", ""api-register-id!D:D""),
    MATCH(E89, IMPORTRANGE(""13G8fPsBFu2GexfFEa1WV07s1XBlkJUT6lht1aLlmcKg"", ""api-register-id!J:J""), 0)
  ),
  ""Not Found API Name""
)"),"Not Found API Name")</f>
        <v>Not Found API Name</v>
      </c>
      <c r="D89" s="30" t="str">
        <f>IFERROR(__xludf.DUMMYFUNCTION("IFERROR(
  INDEX(
    IMPORTRANGE(""13G8fPsBFu2GexfFEa1WV07s1XBlkJUT6lht1aLlmcKg"", ""api-register-id!E:E""),
    MATCH(E89, IMPORTRANGE(""13G8fPsBFu2GexfFEa1WV07s1XBlkJUT6lht1aLlmcKg"", ""api-register-id!J:J""), 0)
  ),
  ""Not Found API Name""
)"),"Not Found API Name")</f>
        <v>Not Found API Name</v>
      </c>
      <c r="E89" s="30" t="str">
        <f t="shared" si="2"/>
        <v>mx-ms-bc-rec-credit-card-apigee</v>
      </c>
      <c r="F89" s="74" t="str">
        <f>IFERROR(__xludf.DUMMYFUNCTION("IFERROR(
  INDEX(
    IMPORTRANGE(""13G8fPsBFu2GexfFEa1WV07s1XBlkJUT6lht1aLlmcKg"", ""api-register-id!C:C""),
    MATCH(E89, IMPORTRANGE(""13G8fPsBFu2GexfFEa1WV07s1XBlkJUT6lht1aLlmcKg"", ""api-register-id!J:J""), 0)
  ),
  ""Not Found API Name""
)"),"Not Found API Name")</f>
        <v>Not Found API Name</v>
      </c>
      <c r="G89" s="30"/>
      <c r="H89" s="30"/>
      <c r="I89" s="30"/>
      <c r="J89" s="30"/>
      <c r="K89" s="30"/>
      <c r="L89" s="30"/>
      <c r="M89" s="30"/>
      <c r="N89" s="30"/>
      <c r="O89" s="30"/>
      <c r="P89" s="30"/>
      <c r="Q89" s="30"/>
      <c r="R89" s="30"/>
      <c r="S89" s="30"/>
      <c r="T89" s="30"/>
      <c r="U89" s="30"/>
      <c r="V89" s="30"/>
      <c r="W89" s="30"/>
      <c r="X89" s="30"/>
      <c r="Y89" s="30"/>
      <c r="Z89" s="30"/>
      <c r="AA89" s="30"/>
    </row>
    <row r="90">
      <c r="A90" s="75" t="s">
        <v>487</v>
      </c>
      <c r="B90" s="30" t="str">
        <f>IFERROR(__xludf.DUMMYFUNCTION("IFERROR(
  INDEX(
    IMPORTRANGE(""13G8fPsBFu2GexfFEa1WV07s1XBlkJUT6lht1aLlmcKg"", ""api-register-id!B:B""),
    MATCH(E90, IMPORTRANGE(""13G8fPsBFu2GexfFEa1WV07s1XBlkJUT6lht1aLlmcKg"", ""api-register-id!J:J""), 0)
  ),
  ""Not Found API Name""
)"),"Not Found API Name")</f>
        <v>Not Found API Name</v>
      </c>
      <c r="C90" s="30" t="str">
        <f>IFERROR(__xludf.DUMMYFUNCTION("IFERROR(
  INDEX(
    IMPORTRANGE(""13G8fPsBFu2GexfFEa1WV07s1XBlkJUT6lht1aLlmcKg"", ""api-register-id!D:D""),
    MATCH(E90, IMPORTRANGE(""13G8fPsBFu2GexfFEa1WV07s1XBlkJUT6lht1aLlmcKg"", ""api-register-id!J:J""), 0)
  ),
  ""Not Found API Name""
)"),"Not Found API Name")</f>
        <v>Not Found API Name</v>
      </c>
      <c r="D90" s="30" t="str">
        <f>IFERROR(__xludf.DUMMYFUNCTION("IFERROR(
  INDEX(
    IMPORTRANGE(""13G8fPsBFu2GexfFEa1WV07s1XBlkJUT6lht1aLlmcKg"", ""api-register-id!E:E""),
    MATCH(E90, IMPORTRANGE(""13G8fPsBFu2GexfFEa1WV07s1XBlkJUT6lht1aLlmcKg"", ""api-register-id!J:J""), 0)
  ),
  ""Not Found API Name""
)"),"Not Found API Name")</f>
        <v>Not Found API Name</v>
      </c>
      <c r="E90" s="30" t="str">
        <f t="shared" si="2"/>
        <v>mx-ms-bc-rec-cross-product-operations-apigee</v>
      </c>
      <c r="F90" s="74" t="str">
        <f>IFERROR(__xludf.DUMMYFUNCTION("IFERROR(
  INDEX(
    IMPORTRANGE(""13G8fPsBFu2GexfFEa1WV07s1XBlkJUT6lht1aLlmcKg"", ""api-register-id!C:C""),
    MATCH(E90, IMPORTRANGE(""13G8fPsBFu2GexfFEa1WV07s1XBlkJUT6lht1aLlmcKg"", ""api-register-id!J:J""), 0)
  ),
  ""Not Found API Name""
)"),"Not Found API Name")</f>
        <v>Not Found API Name</v>
      </c>
      <c r="G90" s="30"/>
      <c r="H90" s="30"/>
      <c r="I90" s="30"/>
      <c r="J90" s="30"/>
      <c r="K90" s="30"/>
      <c r="L90" s="30"/>
      <c r="M90" s="30"/>
      <c r="N90" s="30"/>
      <c r="O90" s="30"/>
      <c r="P90" s="30"/>
      <c r="Q90" s="30"/>
      <c r="R90" s="30"/>
      <c r="S90" s="30"/>
      <c r="T90" s="30"/>
      <c r="U90" s="30"/>
      <c r="V90" s="30"/>
      <c r="W90" s="30"/>
      <c r="X90" s="30"/>
      <c r="Y90" s="30"/>
      <c r="Z90" s="30"/>
      <c r="AA90" s="30"/>
    </row>
    <row r="91">
      <c r="A91" s="75" t="s">
        <v>490</v>
      </c>
      <c r="B91" s="30" t="str">
        <f>IFERROR(__xludf.DUMMYFUNCTION("IFERROR(
  INDEX(
    IMPORTRANGE(""13G8fPsBFu2GexfFEa1WV07s1XBlkJUT6lht1aLlmcKg"", ""api-register-id!B:B""),
    MATCH(E91, IMPORTRANGE(""13G8fPsBFu2GexfFEa1WV07s1XBlkJUT6lht1aLlmcKg"", ""api-register-id!J:J""), 0)
  ),
  ""Not Found API Name""
)"),"Not Found API Name")</f>
        <v>Not Found API Name</v>
      </c>
      <c r="C91" s="30" t="str">
        <f>IFERROR(__xludf.DUMMYFUNCTION("IFERROR(
  INDEX(
    IMPORTRANGE(""13G8fPsBFu2GexfFEa1WV07s1XBlkJUT6lht1aLlmcKg"", ""api-register-id!D:D""),
    MATCH(E91, IMPORTRANGE(""13G8fPsBFu2GexfFEa1WV07s1XBlkJUT6lht1aLlmcKg"", ""api-register-id!J:J""), 0)
  ),
  ""Not Found API Name""
)"),"Not Found API Name")</f>
        <v>Not Found API Name</v>
      </c>
      <c r="D91" s="30" t="str">
        <f>IFERROR(__xludf.DUMMYFUNCTION("IFERROR(
  INDEX(
    IMPORTRANGE(""13G8fPsBFu2GexfFEa1WV07s1XBlkJUT6lht1aLlmcKg"", ""api-register-id!E:E""),
    MATCH(E91, IMPORTRANGE(""13G8fPsBFu2GexfFEa1WV07s1XBlkJUT6lht1aLlmcKg"", ""api-register-id!J:J""), 0)
  ),
  ""Not Found API Name""
)"),"Not Found API Name")</f>
        <v>Not Found API Name</v>
      </c>
      <c r="E91" s="30" t="str">
        <f t="shared" si="2"/>
        <v>mx-ms-bc-rec-customer-agreement-apigee</v>
      </c>
      <c r="F91" s="74" t="str">
        <f>IFERROR(__xludf.DUMMYFUNCTION("IFERROR(
  INDEX(
    IMPORTRANGE(""13G8fPsBFu2GexfFEa1WV07s1XBlkJUT6lht1aLlmcKg"", ""api-register-id!C:C""),
    MATCH(E91, IMPORTRANGE(""13G8fPsBFu2GexfFEa1WV07s1XBlkJUT6lht1aLlmcKg"", ""api-register-id!J:J""), 0)
  ),
  ""Not Found API Name""
)"),"Not Found API Name")</f>
        <v>Not Found API Name</v>
      </c>
      <c r="G91" s="30"/>
      <c r="H91" s="30"/>
      <c r="I91" s="30"/>
      <c r="J91" s="30"/>
      <c r="K91" s="30"/>
      <c r="L91" s="30"/>
      <c r="M91" s="30"/>
      <c r="N91" s="30"/>
      <c r="O91" s="30"/>
      <c r="P91" s="30"/>
      <c r="Q91" s="30"/>
      <c r="R91" s="30"/>
      <c r="S91" s="30"/>
      <c r="T91" s="30"/>
      <c r="U91" s="30"/>
      <c r="V91" s="30"/>
      <c r="W91" s="30"/>
      <c r="X91" s="30"/>
      <c r="Y91" s="30"/>
      <c r="Z91" s="30"/>
      <c r="AA91" s="30"/>
    </row>
    <row r="92">
      <c r="A92" s="75" t="s">
        <v>495</v>
      </c>
      <c r="B92" s="30" t="str">
        <f>IFERROR(__xludf.DUMMYFUNCTION("IFERROR(
  INDEX(
    IMPORTRANGE(""13G8fPsBFu2GexfFEa1WV07s1XBlkJUT6lht1aLlmcKg"", ""api-register-id!B:B""),
    MATCH(E92, IMPORTRANGE(""13G8fPsBFu2GexfFEa1WV07s1XBlkJUT6lht1aLlmcKg"", ""api-register-id!J:J""), 0)
  ),
  ""Not Found API Name""
)"),"Not Found API Name")</f>
        <v>Not Found API Name</v>
      </c>
      <c r="C92" s="30" t="str">
        <f>IFERROR(__xludf.DUMMYFUNCTION("IFERROR(
  INDEX(
    IMPORTRANGE(""13G8fPsBFu2GexfFEa1WV07s1XBlkJUT6lht1aLlmcKg"", ""api-register-id!D:D""),
    MATCH(E92, IMPORTRANGE(""13G8fPsBFu2GexfFEa1WV07s1XBlkJUT6lht1aLlmcKg"", ""api-register-id!J:J""), 0)
  ),
  ""Not Found API Name""
)"),"Not Found API Name")</f>
        <v>Not Found API Name</v>
      </c>
      <c r="D92" s="30" t="str">
        <f>IFERROR(__xludf.DUMMYFUNCTION("IFERROR(
  INDEX(
    IMPORTRANGE(""13G8fPsBFu2GexfFEa1WV07s1XBlkJUT6lht1aLlmcKg"", ""api-register-id!E:E""),
    MATCH(E92, IMPORTRANGE(""13G8fPsBFu2GexfFEa1WV07s1XBlkJUT6lht1aLlmcKg"", ""api-register-id!J:J""), 0)
  ),
  ""Not Found API Name""
)"),"Not Found API Name")</f>
        <v>Not Found API Name</v>
      </c>
      <c r="E92" s="30" t="str">
        <f t="shared" si="2"/>
        <v>mx-ms-bc-rec-customer-management-apigee</v>
      </c>
      <c r="F92" s="74" t="str">
        <f>IFERROR(__xludf.DUMMYFUNCTION("IFERROR(
  INDEX(
    IMPORTRANGE(""13G8fPsBFu2GexfFEa1WV07s1XBlkJUT6lht1aLlmcKg"", ""api-register-id!C:C""),
    MATCH(E92, IMPORTRANGE(""13G8fPsBFu2GexfFEa1WV07s1XBlkJUT6lht1aLlmcKg"", ""api-register-id!J:J""), 0)
  ),
  ""Not Found API Name""
)"),"Not Found API Name")</f>
        <v>Not Found API Name</v>
      </c>
      <c r="G92" s="30"/>
      <c r="H92" s="30"/>
      <c r="I92" s="30"/>
      <c r="J92" s="30"/>
      <c r="K92" s="30"/>
      <c r="L92" s="30"/>
      <c r="M92" s="30"/>
      <c r="N92" s="30"/>
      <c r="O92" s="30"/>
      <c r="P92" s="30"/>
      <c r="Q92" s="30"/>
      <c r="R92" s="30"/>
      <c r="S92" s="30"/>
      <c r="T92" s="30"/>
      <c r="U92" s="30"/>
      <c r="V92" s="30"/>
      <c r="W92" s="30"/>
      <c r="X92" s="30"/>
      <c r="Y92" s="30"/>
      <c r="Z92" s="30"/>
      <c r="AA92" s="30"/>
    </row>
    <row r="93">
      <c r="A93" s="75" t="s">
        <v>498</v>
      </c>
      <c r="B93" s="30" t="str">
        <f>IFERROR(__xludf.DUMMYFUNCTION("IFERROR(
  INDEX(
    IMPORTRANGE(""13G8fPsBFu2GexfFEa1WV07s1XBlkJUT6lht1aLlmcKg"", ""api-register-id!B:B""),
    MATCH(E93, IMPORTRANGE(""13G8fPsBFu2GexfFEa1WV07s1XBlkJUT6lht1aLlmcKg"", ""api-register-id!J:J""), 0)
  ),
  ""Not Found API Name""
)"),"Not Found API Name")</f>
        <v>Not Found API Name</v>
      </c>
      <c r="C93" s="30" t="str">
        <f>IFERROR(__xludf.DUMMYFUNCTION("IFERROR(
  INDEX(
    IMPORTRANGE(""13G8fPsBFu2GexfFEa1WV07s1XBlkJUT6lht1aLlmcKg"", ""api-register-id!D:D""),
    MATCH(E93, IMPORTRANGE(""13G8fPsBFu2GexfFEa1WV07s1XBlkJUT6lht1aLlmcKg"", ""api-register-id!J:J""), 0)
  ),
  ""Not Found API Name""
)"),"Not Found API Name")</f>
        <v>Not Found API Name</v>
      </c>
      <c r="D93" s="30" t="str">
        <f>IFERROR(__xludf.DUMMYFUNCTION("IFERROR(
  INDEX(
    IMPORTRANGE(""13G8fPsBFu2GexfFEa1WV07s1XBlkJUT6lht1aLlmcKg"", ""api-register-id!E:E""),
    MATCH(E93, IMPORTRANGE(""13G8fPsBFu2GexfFEa1WV07s1XBlkJUT6lht1aLlmcKg"", ""api-register-id!J:J""), 0)
  ),
  ""Not Found API Name""
)"),"Not Found API Name")</f>
        <v>Not Found API Name</v>
      </c>
      <c r="E93" s="30" t="str">
        <f t="shared" si="2"/>
        <v>mx-ms-bc-rec-document-services-apigee</v>
      </c>
      <c r="F93" s="74" t="str">
        <f>IFERROR(__xludf.DUMMYFUNCTION("IFERROR(
  INDEX(
    IMPORTRANGE(""13G8fPsBFu2GexfFEa1WV07s1XBlkJUT6lht1aLlmcKg"", ""api-register-id!C:C""),
    MATCH(E93, IMPORTRANGE(""13G8fPsBFu2GexfFEa1WV07s1XBlkJUT6lht1aLlmcKg"", ""api-register-id!J:J""), 0)
  ),
  ""Not Found API Name""
)"),"Not Found API Name")</f>
        <v>Not Found API Name</v>
      </c>
      <c r="G93" s="30"/>
      <c r="H93" s="30"/>
      <c r="I93" s="30"/>
      <c r="J93" s="30"/>
      <c r="K93" s="30"/>
      <c r="L93" s="30"/>
      <c r="M93" s="30"/>
      <c r="N93" s="30"/>
      <c r="O93" s="30"/>
      <c r="P93" s="30"/>
      <c r="Q93" s="30"/>
      <c r="R93" s="30"/>
      <c r="S93" s="30"/>
      <c r="T93" s="30"/>
      <c r="U93" s="30"/>
      <c r="V93" s="30"/>
      <c r="W93" s="30"/>
      <c r="X93" s="30"/>
      <c r="Y93" s="30"/>
      <c r="Z93" s="30"/>
      <c r="AA93" s="30"/>
    </row>
    <row r="94">
      <c r="A94" s="75" t="s">
        <v>505</v>
      </c>
      <c r="B94" s="30" t="str">
        <f>IFERROR(__xludf.DUMMYFUNCTION("IFERROR(
  INDEX(
    IMPORTRANGE(""13G8fPsBFu2GexfFEa1WV07s1XBlkJUT6lht1aLlmcKg"", ""api-register-id!B:B""),
    MATCH(E94, IMPORTRANGE(""13G8fPsBFu2GexfFEa1WV07s1XBlkJUT6lht1aLlmcKg"", ""api-register-id!J:J""), 0)
  ),
  ""Not Found API Name""
)"),"Not Found API Name")</f>
        <v>Not Found API Name</v>
      </c>
      <c r="C94" s="30" t="str">
        <f>IFERROR(__xludf.DUMMYFUNCTION("IFERROR(
  INDEX(
    IMPORTRANGE(""13G8fPsBFu2GexfFEa1WV07s1XBlkJUT6lht1aLlmcKg"", ""api-register-id!D:D""),
    MATCH(E94, IMPORTRANGE(""13G8fPsBFu2GexfFEa1WV07s1XBlkJUT6lht1aLlmcKg"", ""api-register-id!J:J""), 0)
  ),
  ""Not Found API Name""
)"),"Not Found API Name")</f>
        <v>Not Found API Name</v>
      </c>
      <c r="D94" s="30" t="str">
        <f>IFERROR(__xludf.DUMMYFUNCTION("IFERROR(
  INDEX(
    IMPORTRANGE(""13G8fPsBFu2GexfFEa1WV07s1XBlkJUT6lht1aLlmcKg"", ""api-register-id!E:E""),
    MATCH(E94, IMPORTRANGE(""13G8fPsBFu2GexfFEa1WV07s1XBlkJUT6lht1aLlmcKg"", ""api-register-id!J:J""), 0)
  ),
  ""Not Found API Name""
)"),"Not Found API Name")</f>
        <v>Not Found API Name</v>
      </c>
      <c r="E94" s="30" t="str">
        <f t="shared" si="2"/>
        <v>mx-ms-bc-rec-issued-device-administration-apigee</v>
      </c>
      <c r="F94" s="74" t="str">
        <f>IFERROR(__xludf.DUMMYFUNCTION("IFERROR(
  INDEX(
    IMPORTRANGE(""13G8fPsBFu2GexfFEa1WV07s1XBlkJUT6lht1aLlmcKg"", ""api-register-id!C:C""),
    MATCH(E94, IMPORTRANGE(""13G8fPsBFu2GexfFEa1WV07s1XBlkJUT6lht1aLlmcKg"", ""api-register-id!J:J""), 0)
  ),
  ""Not Found API Name""
)"),"Not Found API Name")</f>
        <v>Not Found API Name</v>
      </c>
      <c r="G94" s="30"/>
      <c r="H94" s="30"/>
      <c r="I94" s="30"/>
      <c r="J94" s="30"/>
      <c r="K94" s="30"/>
      <c r="L94" s="30"/>
      <c r="M94" s="30"/>
      <c r="N94" s="30"/>
      <c r="O94" s="30"/>
      <c r="P94" s="30"/>
      <c r="Q94" s="30"/>
      <c r="R94" s="30"/>
      <c r="S94" s="30"/>
      <c r="T94" s="30"/>
      <c r="U94" s="30"/>
      <c r="V94" s="30"/>
      <c r="W94" s="30"/>
      <c r="X94" s="30"/>
      <c r="Y94" s="30"/>
      <c r="Z94" s="30"/>
      <c r="AA94" s="30"/>
    </row>
    <row r="95">
      <c r="A95" s="75" t="s">
        <v>506</v>
      </c>
      <c r="B95" s="30" t="str">
        <f>IFERROR(__xludf.DUMMYFUNCTION("IFERROR(
  INDEX(
    IMPORTRANGE(""13G8fPsBFu2GexfFEa1WV07s1XBlkJUT6lht1aLlmcKg"", ""api-register-id!B:B""),
    MATCH(E95, IMPORTRANGE(""13G8fPsBFu2GexfFEa1WV07s1XBlkJUT6lht1aLlmcKg"", ""api-register-id!J:J""), 0)
  ),
  ""Not Found API Name""
)"),"Not Found API Name")</f>
        <v>Not Found API Name</v>
      </c>
      <c r="C95" s="30" t="str">
        <f>IFERROR(__xludf.DUMMYFUNCTION("IFERROR(
  INDEX(
    IMPORTRANGE(""13G8fPsBFu2GexfFEa1WV07s1XBlkJUT6lht1aLlmcKg"", ""api-register-id!D:D""),
    MATCH(E95, IMPORTRANGE(""13G8fPsBFu2GexfFEa1WV07s1XBlkJUT6lht1aLlmcKg"", ""api-register-id!J:J""), 0)
  ),
  ""Not Found API Name""
)"),"Not Found API Name")</f>
        <v>Not Found API Name</v>
      </c>
      <c r="D95" s="30" t="str">
        <f>IFERROR(__xludf.DUMMYFUNCTION("IFERROR(
  INDEX(
    IMPORTRANGE(""13G8fPsBFu2GexfFEa1WV07s1XBlkJUT6lht1aLlmcKg"", ""api-register-id!E:E""),
    MATCH(E95, IMPORTRANGE(""13G8fPsBFu2GexfFEa1WV07s1XBlkJUT6lht1aLlmcKg"", ""api-register-id!J:J""), 0)
  ),
  ""Not Found API Name""
)"),"Not Found API Name")</f>
        <v>Not Found API Name</v>
      </c>
      <c r="E95" s="30" t="str">
        <f t="shared" si="2"/>
        <v>mx-ms-bc-rec-location-data-management-apigee</v>
      </c>
      <c r="F95" s="74" t="str">
        <f>IFERROR(__xludf.DUMMYFUNCTION("IFERROR(
  INDEX(
    IMPORTRANGE(""13G8fPsBFu2GexfFEa1WV07s1XBlkJUT6lht1aLlmcKg"", ""api-register-id!C:C""),
    MATCH(E95, IMPORTRANGE(""13G8fPsBFu2GexfFEa1WV07s1XBlkJUT6lht1aLlmcKg"", ""api-register-id!J:J""), 0)
  ),
  ""Not Found API Name""
)"),"Not Found API Name")</f>
        <v>Not Found API Name</v>
      </c>
      <c r="G95" s="30"/>
      <c r="H95" s="30"/>
      <c r="I95" s="30"/>
      <c r="J95" s="30"/>
      <c r="K95" s="30"/>
      <c r="L95" s="30"/>
      <c r="M95" s="30"/>
      <c r="N95" s="30"/>
      <c r="O95" s="30"/>
      <c r="P95" s="30"/>
      <c r="Q95" s="30"/>
      <c r="R95" s="30"/>
      <c r="S95" s="30"/>
      <c r="T95" s="30"/>
      <c r="U95" s="30"/>
      <c r="V95" s="30"/>
      <c r="W95" s="30"/>
      <c r="X95" s="30"/>
      <c r="Y95" s="30"/>
      <c r="Z95" s="30"/>
      <c r="AA95" s="30"/>
    </row>
    <row r="96">
      <c r="A96" s="75" t="s">
        <v>511</v>
      </c>
      <c r="B96" s="30" t="str">
        <f>IFERROR(__xludf.DUMMYFUNCTION("IFERROR(
  INDEX(
    IMPORTRANGE(""13G8fPsBFu2GexfFEa1WV07s1XBlkJUT6lht1aLlmcKg"", ""api-register-id!B:B""),
    MATCH(E96, IMPORTRANGE(""13G8fPsBFu2GexfFEa1WV07s1XBlkJUT6lht1aLlmcKg"", ""api-register-id!J:J""), 0)
  ),
  ""Not Found API Name""
)"),"Not Found API Name")</f>
        <v>Not Found API Name</v>
      </c>
      <c r="C96" s="30" t="str">
        <f>IFERROR(__xludf.DUMMYFUNCTION("IFERROR(
  INDEX(
    IMPORTRANGE(""13G8fPsBFu2GexfFEa1WV07s1XBlkJUT6lht1aLlmcKg"", ""api-register-id!D:D""),
    MATCH(E96, IMPORTRANGE(""13G8fPsBFu2GexfFEa1WV07s1XBlkJUT6lht1aLlmcKg"", ""api-register-id!J:J""), 0)
  ),
  ""Not Found API Name""
)"),"Not Found API Name")</f>
        <v>Not Found API Name</v>
      </c>
      <c r="D96" s="30" t="str">
        <f>IFERROR(__xludf.DUMMYFUNCTION("IFERROR(
  INDEX(
    IMPORTRANGE(""13G8fPsBFu2GexfFEa1WV07s1XBlkJUT6lht1aLlmcKg"", ""api-register-id!E:E""),
    MATCH(E96, IMPORTRANGE(""13G8fPsBFu2GexfFEa1WV07s1XBlkJUT6lht1aLlmcKg"", ""api-register-id!J:J""), 0)
  ),
  ""Not Found API Name""
)"),"Not Found API Name")</f>
        <v>Not Found API Name</v>
      </c>
      <c r="E96" s="30" t="str">
        <f t="shared" si="2"/>
        <v>mx-ms-bc-rec-operational-services-apigee</v>
      </c>
      <c r="F96" s="74" t="str">
        <f>IFERROR(__xludf.DUMMYFUNCTION("IFERROR(
  INDEX(
    IMPORTRANGE(""13G8fPsBFu2GexfFEa1WV07s1XBlkJUT6lht1aLlmcKg"", ""api-register-id!C:C""),
    MATCH(E96, IMPORTRANGE(""13G8fPsBFu2GexfFEa1WV07s1XBlkJUT6lht1aLlmcKg"", ""api-register-id!J:J""), 0)
  ),
  ""Not Found API Name""
)"),"Not Found API Name")</f>
        <v>Not Found API Name</v>
      </c>
      <c r="G96" s="30"/>
      <c r="H96" s="30"/>
      <c r="I96" s="30"/>
      <c r="J96" s="30"/>
      <c r="K96" s="30"/>
      <c r="L96" s="30"/>
      <c r="M96" s="30"/>
      <c r="N96" s="30"/>
      <c r="O96" s="30"/>
      <c r="P96" s="30"/>
      <c r="Q96" s="30"/>
      <c r="R96" s="30"/>
      <c r="S96" s="30"/>
      <c r="T96" s="30"/>
      <c r="U96" s="30"/>
      <c r="V96" s="30"/>
      <c r="W96" s="30"/>
      <c r="X96" s="30"/>
      <c r="Y96" s="30"/>
      <c r="Z96" s="30"/>
      <c r="AA96" s="30"/>
    </row>
    <row r="97">
      <c r="A97" s="75" t="s">
        <v>516</v>
      </c>
      <c r="B97" s="30" t="str">
        <f>IFERROR(__xludf.DUMMYFUNCTION("IFERROR(
  INDEX(
    IMPORTRANGE(""13G8fPsBFu2GexfFEa1WV07s1XBlkJUT6lht1aLlmcKg"", ""api-register-id!B:B""),
    MATCH(E97, IMPORTRANGE(""13G8fPsBFu2GexfFEa1WV07s1XBlkJUT6lht1aLlmcKg"", ""api-register-id!J:J""), 0)
  ),
  ""Not Found API Name""
)"),"Not Found API Name")</f>
        <v>Not Found API Name</v>
      </c>
      <c r="C97" s="30" t="str">
        <f>IFERROR(__xludf.DUMMYFUNCTION("IFERROR(
  INDEX(
    IMPORTRANGE(""13G8fPsBFu2GexfFEa1WV07s1XBlkJUT6lht1aLlmcKg"", ""api-register-id!D:D""),
    MATCH(E97, IMPORTRANGE(""13G8fPsBFu2GexfFEa1WV07s1XBlkJUT6lht1aLlmcKg"", ""api-register-id!J:J""), 0)
  ),
  ""Not Found API Name""
)"),"Not Found API Name")</f>
        <v>Not Found API Name</v>
      </c>
      <c r="D97" s="30" t="str">
        <f>IFERROR(__xludf.DUMMYFUNCTION("IFERROR(
  INDEX(
    IMPORTRANGE(""13G8fPsBFu2GexfFEa1WV07s1XBlkJUT6lht1aLlmcKg"", ""api-register-id!E:E""),
    MATCH(E97, IMPORTRANGE(""13G8fPsBFu2GexfFEa1WV07s1XBlkJUT6lht1aLlmcKg"", ""api-register-id!J:J""), 0)
  ),
  ""Not Found API Name""
)"),"Not Found API Name")</f>
        <v>Not Found API Name</v>
      </c>
      <c r="E97" s="30" t="str">
        <f t="shared" si="2"/>
        <v>mx-ms-bc-rec-operations-and-execution-apigee</v>
      </c>
      <c r="F97" s="74" t="str">
        <f>IFERROR(__xludf.DUMMYFUNCTION("IFERROR(
  INDEX(
    IMPORTRANGE(""13G8fPsBFu2GexfFEa1WV07s1XBlkJUT6lht1aLlmcKg"", ""api-register-id!C:C""),
    MATCH(E97, IMPORTRANGE(""13G8fPsBFu2GexfFEa1WV07s1XBlkJUT6lht1aLlmcKg"", ""api-register-id!J:J""), 0)
  ),
  ""Not Found API Name""
)"),"Not Found API Name")</f>
        <v>Not Found API Name</v>
      </c>
      <c r="G97" s="30"/>
      <c r="H97" s="30"/>
      <c r="I97" s="30"/>
      <c r="J97" s="30"/>
      <c r="K97" s="30"/>
      <c r="L97" s="30"/>
      <c r="M97" s="30"/>
      <c r="N97" s="30"/>
      <c r="O97" s="30"/>
      <c r="P97" s="30"/>
      <c r="Q97" s="30"/>
      <c r="R97" s="30"/>
      <c r="S97" s="30"/>
      <c r="T97" s="30"/>
      <c r="U97" s="30"/>
      <c r="V97" s="30"/>
      <c r="W97" s="30"/>
      <c r="X97" s="30"/>
      <c r="Y97" s="30"/>
      <c r="Z97" s="30"/>
      <c r="AA97" s="30"/>
    </row>
    <row r="98">
      <c r="A98" s="75" t="s">
        <v>517</v>
      </c>
      <c r="B98" s="30" t="str">
        <f>IFERROR(__xludf.DUMMYFUNCTION("IFERROR(
  INDEX(
    IMPORTRANGE(""13G8fPsBFu2GexfFEa1WV07s1XBlkJUT6lht1aLlmcKg"", ""api-register-id!B:B""),
    MATCH(E98, IMPORTRANGE(""13G8fPsBFu2GexfFEa1WV07s1XBlkJUT6lht1aLlmcKg"", ""api-register-id!J:J""), 0)
  ),
  ""Not Found API Name""
)"),"Not Found API Name")</f>
        <v>Not Found API Name</v>
      </c>
      <c r="C98" s="30" t="str">
        <f>IFERROR(__xludf.DUMMYFUNCTION("IFERROR(
  INDEX(
    IMPORTRANGE(""13G8fPsBFu2GexfFEa1WV07s1XBlkJUT6lht1aLlmcKg"", ""api-register-id!D:D""),
    MATCH(E98, IMPORTRANGE(""13G8fPsBFu2GexfFEa1WV07s1XBlkJUT6lht1aLlmcKg"", ""api-register-id!J:J""), 0)
  ),
  ""Not Found API Name""
)"),"Not Found API Name")</f>
        <v>Not Found API Name</v>
      </c>
      <c r="D98" s="30" t="str">
        <f>IFERROR(__xludf.DUMMYFUNCTION("IFERROR(
  INDEX(
    IMPORTRANGE(""13G8fPsBFu2GexfFEa1WV07s1XBlkJUT6lht1aLlmcKg"", ""api-register-id!E:E""),
    MATCH(E98, IMPORTRANGE(""13G8fPsBFu2GexfFEa1WV07s1XBlkJUT6lht1aLlmcKg"", ""api-register-id!J:J""), 0)
  ),
  ""Not Found API Name""
)"),"Not Found API Name")</f>
        <v>Not Found API Name</v>
      </c>
      <c r="E98" s="30" t="str">
        <f t="shared" si="2"/>
        <v>mx-ms-bc-rec-party-authentication-apigee</v>
      </c>
      <c r="F98" s="74" t="str">
        <f>IFERROR(__xludf.DUMMYFUNCTION("IFERROR(
  INDEX(
    IMPORTRANGE(""13G8fPsBFu2GexfFEa1WV07s1XBlkJUT6lht1aLlmcKg"", ""api-register-id!C:C""),
    MATCH(E98, IMPORTRANGE(""13G8fPsBFu2GexfFEa1WV07s1XBlkJUT6lht1aLlmcKg"", ""api-register-id!J:J""), 0)
  ),
  ""Not Found API Name""
)"),"Not Found API Name")</f>
        <v>Not Found API Name</v>
      </c>
      <c r="G98" s="30"/>
      <c r="H98" s="30"/>
      <c r="I98" s="30"/>
      <c r="J98" s="30"/>
      <c r="K98" s="30"/>
      <c r="L98" s="30"/>
      <c r="M98" s="30"/>
      <c r="N98" s="30"/>
      <c r="O98" s="30"/>
      <c r="P98" s="30"/>
      <c r="Q98" s="30"/>
      <c r="R98" s="30"/>
      <c r="S98" s="30"/>
      <c r="T98" s="30"/>
      <c r="U98" s="30"/>
      <c r="V98" s="30"/>
      <c r="W98" s="30"/>
      <c r="X98" s="30"/>
      <c r="Y98" s="30"/>
      <c r="Z98" s="30"/>
      <c r="AA98" s="30"/>
    </row>
    <row r="99">
      <c r="A99" s="75" t="s">
        <v>525</v>
      </c>
      <c r="B99" s="30" t="str">
        <f>IFERROR(__xludf.DUMMYFUNCTION("IFERROR(
  INDEX(
    IMPORTRANGE(""13G8fPsBFu2GexfFEa1WV07s1XBlkJUT6lht1aLlmcKg"", ""api-register-id!B:B""),
    MATCH(E99, IMPORTRANGE(""13G8fPsBFu2GexfFEa1WV07s1XBlkJUT6lht1aLlmcKg"", ""api-register-id!J:J""), 0)
  ),
  ""Not Found API Name""
)"),"Not Found API Name")</f>
        <v>Not Found API Name</v>
      </c>
      <c r="C99" s="30" t="str">
        <f>IFERROR(__xludf.DUMMYFUNCTION("IFERROR(
  INDEX(
    IMPORTRANGE(""13G8fPsBFu2GexfFEa1WV07s1XBlkJUT6lht1aLlmcKg"", ""api-register-id!D:D""),
    MATCH(E99, IMPORTRANGE(""13G8fPsBFu2GexfFEa1WV07s1XBlkJUT6lht1aLlmcKg"", ""api-register-id!J:J""), 0)
  ),
  ""Not Found API Name""
)"),"Not Found API Name")</f>
        <v>Not Found API Name</v>
      </c>
      <c r="D99" s="30" t="str">
        <f>IFERROR(__xludf.DUMMYFUNCTION("IFERROR(
  INDEX(
    IMPORTRANGE(""13G8fPsBFu2GexfFEa1WV07s1XBlkJUT6lht1aLlmcKg"", ""api-register-id!E:E""),
    MATCH(E99, IMPORTRANGE(""13G8fPsBFu2GexfFEa1WV07s1XBlkJUT6lht1aLlmcKg"", ""api-register-id!J:J""), 0)
  ),
  ""Not Found API Name""
)"),"Not Found API Name")</f>
        <v>Not Found API Name</v>
      </c>
      <c r="E99" s="30" t="str">
        <f t="shared" si="2"/>
        <v>mx-ms-bc-rec-party-lifecycle-management-apigee</v>
      </c>
      <c r="F99" s="74" t="str">
        <f>IFERROR(__xludf.DUMMYFUNCTION("IFERROR(
  INDEX(
    IMPORTRANGE(""13G8fPsBFu2GexfFEa1WV07s1XBlkJUT6lht1aLlmcKg"", ""api-register-id!C:C""),
    MATCH(E99, IMPORTRANGE(""13G8fPsBFu2GexfFEa1WV07s1XBlkJUT6lht1aLlmcKg"", ""api-register-id!J:J""), 0)
  ),
  ""Not Found API Name""
)"),"Not Found API Name")</f>
        <v>Not Found API Name</v>
      </c>
      <c r="G99" s="30"/>
      <c r="H99" s="30"/>
      <c r="I99" s="30"/>
      <c r="J99" s="30"/>
      <c r="K99" s="30"/>
      <c r="L99" s="30"/>
      <c r="M99" s="30"/>
      <c r="N99" s="30"/>
      <c r="O99" s="30"/>
      <c r="P99" s="30"/>
      <c r="Q99" s="30"/>
      <c r="R99" s="30"/>
      <c r="S99" s="30"/>
      <c r="T99" s="30"/>
      <c r="U99" s="30"/>
      <c r="V99" s="30"/>
      <c r="W99" s="30"/>
      <c r="X99" s="30"/>
      <c r="Y99" s="30"/>
      <c r="Z99" s="30"/>
      <c r="AA99" s="30"/>
    </row>
    <row r="100">
      <c r="A100" s="75" t="s">
        <v>528</v>
      </c>
      <c r="B100" s="30" t="str">
        <f>IFERROR(__xludf.DUMMYFUNCTION("IFERROR(
  INDEX(
    IMPORTRANGE(""13G8fPsBFu2GexfFEa1WV07s1XBlkJUT6lht1aLlmcKg"", ""api-register-id!B:B""),
    MATCH(E100, IMPORTRANGE(""13G8fPsBFu2GexfFEa1WV07s1XBlkJUT6lht1aLlmcKg"", ""api-register-id!J:J""), 0)
  ),
  ""Not Found API Name""
)"),"Not Found API Name")</f>
        <v>Not Found API Name</v>
      </c>
      <c r="C100" s="30" t="str">
        <f>IFERROR(__xludf.DUMMYFUNCTION("IFERROR(
  INDEX(
    IMPORTRANGE(""13G8fPsBFu2GexfFEa1WV07s1XBlkJUT6lht1aLlmcKg"", ""api-register-id!D:D""),
    MATCH(E100, IMPORTRANGE(""13G8fPsBFu2GexfFEa1WV07s1XBlkJUT6lht1aLlmcKg"", ""api-register-id!J:J""), 0)
  ),
  ""Not Found API Name""
)"),"Not Found API Name")</f>
        <v>Not Found API Name</v>
      </c>
      <c r="D100" s="30" t="str">
        <f>IFERROR(__xludf.DUMMYFUNCTION("IFERROR(
  INDEX(
    IMPORTRANGE(""13G8fPsBFu2GexfFEa1WV07s1XBlkJUT6lht1aLlmcKg"", ""api-register-id!E:E""),
    MATCH(E100, IMPORTRANGE(""13G8fPsBFu2GexfFEa1WV07s1XBlkJUT6lht1aLlmcKg"", ""api-register-id!J:J""), 0)
  ),
  ""Not Found API Name""
)"),"Not Found API Name")</f>
        <v>Not Found API Name</v>
      </c>
      <c r="E100" s="30" t="str">
        <f t="shared" si="2"/>
        <v>mx-ms-bc-rec-party-reference-data-directory-apigee</v>
      </c>
      <c r="F100" s="74" t="str">
        <f>IFERROR(__xludf.DUMMYFUNCTION("IFERROR(
  INDEX(
    IMPORTRANGE(""13G8fPsBFu2GexfFEa1WV07s1XBlkJUT6lht1aLlmcKg"", ""api-register-id!C:C""),
    MATCH(E100, IMPORTRANGE(""13G8fPsBFu2GexfFEa1WV07s1XBlkJUT6lht1aLlmcKg"", ""api-register-id!J:J""), 0)
  ),
  ""Not Found API Name""
)"),"Not Found API Name")</f>
        <v>Not Found API Name</v>
      </c>
      <c r="G100" s="30"/>
      <c r="H100" s="30"/>
      <c r="I100" s="30"/>
      <c r="J100" s="30"/>
      <c r="K100" s="30"/>
      <c r="L100" s="30"/>
      <c r="M100" s="30"/>
      <c r="N100" s="30"/>
      <c r="O100" s="30"/>
      <c r="P100" s="30"/>
      <c r="Q100" s="30"/>
      <c r="R100" s="30"/>
      <c r="S100" s="30"/>
      <c r="T100" s="30"/>
      <c r="U100" s="30"/>
      <c r="V100" s="30"/>
      <c r="W100" s="30"/>
      <c r="X100" s="30"/>
      <c r="Y100" s="30"/>
      <c r="Z100" s="30"/>
      <c r="AA100" s="30"/>
    </row>
    <row r="101">
      <c r="A101" s="75" t="s">
        <v>532</v>
      </c>
      <c r="B101" s="30" t="str">
        <f>IFERROR(__xludf.DUMMYFUNCTION("IFERROR(
  INDEX(
    IMPORTRANGE(""13G8fPsBFu2GexfFEa1WV07s1XBlkJUT6lht1aLlmcKg"", ""api-register-id!B:B""),
    MATCH(E101, IMPORTRANGE(""13G8fPsBFu2GexfFEa1WV07s1XBlkJUT6lht1aLlmcKg"", ""api-register-id!J:J""), 0)
  ),
  ""Not Found API Name""
)"),"Not Found API Name")</f>
        <v>Not Found API Name</v>
      </c>
      <c r="C101" s="30" t="str">
        <f>IFERROR(__xludf.DUMMYFUNCTION("IFERROR(
  INDEX(
    IMPORTRANGE(""13G8fPsBFu2GexfFEa1WV07s1XBlkJUT6lht1aLlmcKg"", ""api-register-id!D:D""),
    MATCH(E101, IMPORTRANGE(""13G8fPsBFu2GexfFEa1WV07s1XBlkJUT6lht1aLlmcKg"", ""api-register-id!J:J""), 0)
  ),
  ""Not Found API Name""
)"),"Not Found API Name")</f>
        <v>Not Found API Name</v>
      </c>
      <c r="D101" s="30" t="str">
        <f>IFERROR(__xludf.DUMMYFUNCTION("IFERROR(
  INDEX(
    IMPORTRANGE(""13G8fPsBFu2GexfFEa1WV07s1XBlkJUT6lht1aLlmcKg"", ""api-register-id!E:E""),
    MATCH(E101, IMPORTRANGE(""13G8fPsBFu2GexfFEa1WV07s1XBlkJUT6lht1aLlmcKg"", ""api-register-id!J:J""), 0)
  ),
  ""Not Found API Name""
)"),"Not Found API Name")</f>
        <v>Not Found API Name</v>
      </c>
      <c r="E101" s="30" t="str">
        <f t="shared" si="2"/>
        <v>mx-ms-bc-rec-payment-execution-apigee</v>
      </c>
      <c r="F101" s="74" t="str">
        <f>IFERROR(__xludf.DUMMYFUNCTION("IFERROR(
  INDEX(
    IMPORTRANGE(""13G8fPsBFu2GexfFEa1WV07s1XBlkJUT6lht1aLlmcKg"", ""api-register-id!C:C""),
    MATCH(E101, IMPORTRANGE(""13G8fPsBFu2GexfFEa1WV07s1XBlkJUT6lht1aLlmcKg"", ""api-register-id!J:J""), 0)
  ),
  ""Not Found API Name""
)"),"Not Found API Name")</f>
        <v>Not Found API Name</v>
      </c>
      <c r="G101" s="30"/>
      <c r="H101" s="30"/>
      <c r="I101" s="30"/>
      <c r="J101" s="30"/>
      <c r="K101" s="30"/>
      <c r="L101" s="30"/>
      <c r="M101" s="30"/>
      <c r="N101" s="30"/>
      <c r="O101" s="30"/>
      <c r="P101" s="30"/>
      <c r="Q101" s="30"/>
      <c r="R101" s="30"/>
      <c r="S101" s="30"/>
      <c r="T101" s="30"/>
      <c r="U101" s="30"/>
      <c r="V101" s="30"/>
      <c r="W101" s="30"/>
      <c r="X101" s="30"/>
      <c r="Y101" s="30"/>
      <c r="Z101" s="30"/>
      <c r="AA101" s="30"/>
    </row>
    <row r="102">
      <c r="A102" s="75" t="s">
        <v>535</v>
      </c>
      <c r="B102" s="30" t="str">
        <f>IFERROR(__xludf.DUMMYFUNCTION("IFERROR(
  INDEX(
    IMPORTRANGE(""13G8fPsBFu2GexfFEa1WV07s1XBlkJUT6lht1aLlmcKg"", ""api-register-id!B:B""),
    MATCH(E102, IMPORTRANGE(""13G8fPsBFu2GexfFEa1WV07s1XBlkJUT6lht1aLlmcKg"", ""api-register-id!J:J""), 0)
  ),
  ""Not Found API Name""
)"),"Not Found API Name")</f>
        <v>Not Found API Name</v>
      </c>
      <c r="C102" s="30" t="str">
        <f>IFERROR(__xludf.DUMMYFUNCTION("IFERROR(
  INDEX(
    IMPORTRANGE(""13G8fPsBFu2GexfFEa1WV07s1XBlkJUT6lht1aLlmcKg"", ""api-register-id!D:D""),
    MATCH(E102, IMPORTRANGE(""13G8fPsBFu2GexfFEa1WV07s1XBlkJUT6lht1aLlmcKg"", ""api-register-id!J:J""), 0)
  ),
  ""Not Found API Name""
)"),"Not Found API Name")</f>
        <v>Not Found API Name</v>
      </c>
      <c r="D102" s="30" t="str">
        <f>IFERROR(__xludf.DUMMYFUNCTION("IFERROR(
  INDEX(
    IMPORTRANGE(""13G8fPsBFu2GexfFEa1WV07s1XBlkJUT6lht1aLlmcKg"", ""api-register-id!E:E""),
    MATCH(E102, IMPORTRANGE(""13G8fPsBFu2GexfFEa1WV07s1XBlkJUT6lht1aLlmcKg"", ""api-register-id!J:J""), 0)
  ),
  ""Not Found API Name""
)"),"Not Found API Name")</f>
        <v>Not Found API Name</v>
      </c>
      <c r="E102" s="30" t="str">
        <f t="shared" si="2"/>
        <v>mx-ms-bc-rec-payments-apigee</v>
      </c>
      <c r="F102" s="74" t="str">
        <f>IFERROR(__xludf.DUMMYFUNCTION("IFERROR(
  INDEX(
    IMPORTRANGE(""13G8fPsBFu2GexfFEa1WV07s1XBlkJUT6lht1aLlmcKg"", ""api-register-id!C:C""),
    MATCH(E102, IMPORTRANGE(""13G8fPsBFu2GexfFEa1WV07s1XBlkJUT6lht1aLlmcKg"", ""api-register-id!J:J""), 0)
  ),
  ""Not Found API Name""
)"),"Not Found API Name")</f>
        <v>Not Found API Name</v>
      </c>
      <c r="G102" s="30"/>
      <c r="H102" s="30"/>
      <c r="I102" s="30"/>
      <c r="J102" s="30"/>
      <c r="K102" s="30"/>
      <c r="L102" s="30"/>
      <c r="M102" s="30"/>
      <c r="N102" s="30"/>
      <c r="O102" s="30"/>
      <c r="P102" s="30"/>
      <c r="Q102" s="30"/>
      <c r="R102" s="30"/>
      <c r="S102" s="30"/>
      <c r="T102" s="30"/>
      <c r="U102" s="30"/>
      <c r="V102" s="30"/>
      <c r="W102" s="30"/>
      <c r="X102" s="30"/>
      <c r="Y102" s="30"/>
      <c r="Z102" s="30"/>
      <c r="AA102" s="30"/>
    </row>
    <row r="103">
      <c r="A103" s="75" t="s">
        <v>544</v>
      </c>
      <c r="B103" s="30" t="str">
        <f>IFERROR(__xludf.DUMMYFUNCTION("IFERROR(
  INDEX(
    IMPORTRANGE(""13G8fPsBFu2GexfFEa1WV07s1XBlkJUT6lht1aLlmcKg"", ""api-register-id!B:B""),
    MATCH(E103, IMPORTRANGE(""13G8fPsBFu2GexfFEa1WV07s1XBlkJUT6lht1aLlmcKg"", ""api-register-id!J:J""), 0)
  ),
  ""Not Found API Name""
)"),"Not Found API Name")</f>
        <v>Not Found API Name</v>
      </c>
      <c r="C103" s="30" t="str">
        <f>IFERROR(__xludf.DUMMYFUNCTION("IFERROR(
  INDEX(
    IMPORTRANGE(""13G8fPsBFu2GexfFEa1WV07s1XBlkJUT6lht1aLlmcKg"", ""api-register-id!D:D""),
    MATCH(E103, IMPORTRANGE(""13G8fPsBFu2GexfFEa1WV07s1XBlkJUT6lht1aLlmcKg"", ""api-register-id!J:J""), 0)
  ),
  ""Not Found API Name""
)"),"Not Found API Name")</f>
        <v>Not Found API Name</v>
      </c>
      <c r="D103" s="30" t="str">
        <f>IFERROR(__xludf.DUMMYFUNCTION("IFERROR(
  INDEX(
    IMPORTRANGE(""13G8fPsBFu2GexfFEa1WV07s1XBlkJUT6lht1aLlmcKg"", ""api-register-id!E:E""),
    MATCH(E103, IMPORTRANGE(""13G8fPsBFu2GexfFEa1WV07s1XBlkJUT6lht1aLlmcKg"", ""api-register-id!J:J""), 0)
  ),
  ""Not Found API Name""
)"),"Not Found API Name")</f>
        <v>Not Found API Name</v>
      </c>
      <c r="E103" s="30" t="str">
        <f t="shared" si="2"/>
        <v>mx-ms-bc-rec-product-directory-apigee</v>
      </c>
      <c r="F103" s="74" t="str">
        <f>IFERROR(__xludf.DUMMYFUNCTION("IFERROR(
  INDEX(
    IMPORTRANGE(""13G8fPsBFu2GexfFEa1WV07s1XBlkJUT6lht1aLlmcKg"", ""api-register-id!C:C""),
    MATCH(E103, IMPORTRANGE(""13G8fPsBFu2GexfFEa1WV07s1XBlkJUT6lht1aLlmcKg"", ""api-register-id!J:J""), 0)
  ),
  ""Not Found API Name""
)"),"Not Found API Name")</f>
        <v>Not Found API Name</v>
      </c>
      <c r="G103" s="30"/>
      <c r="H103" s="30"/>
      <c r="I103" s="30"/>
      <c r="J103" s="30"/>
      <c r="K103" s="30"/>
      <c r="L103" s="30"/>
      <c r="M103" s="30"/>
      <c r="N103" s="30"/>
      <c r="O103" s="30"/>
      <c r="P103" s="30"/>
      <c r="Q103" s="30"/>
      <c r="R103" s="30"/>
      <c r="S103" s="30"/>
      <c r="T103" s="30"/>
      <c r="U103" s="30"/>
      <c r="V103" s="30"/>
      <c r="W103" s="30"/>
      <c r="X103" s="30"/>
      <c r="Y103" s="30"/>
      <c r="Z103" s="30"/>
      <c r="AA103" s="30"/>
    </row>
    <row r="104">
      <c r="A104" s="75" t="s">
        <v>545</v>
      </c>
      <c r="B104" s="30" t="str">
        <f>IFERROR(__xludf.DUMMYFUNCTION("IFERROR(
  INDEX(
    IMPORTRANGE(""13G8fPsBFu2GexfFEa1WV07s1XBlkJUT6lht1aLlmcKg"", ""api-register-id!B:B""),
    MATCH(E104, IMPORTRANGE(""13G8fPsBFu2GexfFEa1WV07s1XBlkJUT6lht1aLlmcKg"", ""api-register-id!J:J""), 0)
  ),
  ""Not Found API Name""
)"),"Not Found API Name")</f>
        <v>Not Found API Name</v>
      </c>
      <c r="C104" s="30" t="str">
        <f>IFERROR(__xludf.DUMMYFUNCTION("IFERROR(
  INDEX(
    IMPORTRANGE(""13G8fPsBFu2GexfFEa1WV07s1XBlkJUT6lht1aLlmcKg"", ""api-register-id!D:D""),
    MATCH(E104, IMPORTRANGE(""13G8fPsBFu2GexfFEa1WV07s1XBlkJUT6lht1aLlmcKg"", ""api-register-id!J:J""), 0)
  ),
  ""Not Found API Name""
)"),"Not Found API Name")</f>
        <v>Not Found API Name</v>
      </c>
      <c r="D104" s="30" t="str">
        <f>IFERROR(__xludf.DUMMYFUNCTION("IFERROR(
  INDEX(
    IMPORTRANGE(""13G8fPsBFu2GexfFEa1WV07s1XBlkJUT6lht1aLlmcKg"", ""api-register-id!E:E""),
    MATCH(E104, IMPORTRANGE(""13G8fPsBFu2GexfFEa1WV07s1XBlkJUT6lht1aLlmcKg"", ""api-register-id!J:J""), 0)
  ),
  ""Not Found API Name""
)"),"Not Found API Name")</f>
        <v>Not Found API Name</v>
      </c>
      <c r="E104" s="30" t="str">
        <f t="shared" si="2"/>
        <v>mx-ms-bc-rec-product-specific-fulfillment-apigee</v>
      </c>
      <c r="F104" s="74" t="str">
        <f>IFERROR(__xludf.DUMMYFUNCTION("IFERROR(
  INDEX(
    IMPORTRANGE(""13G8fPsBFu2GexfFEa1WV07s1XBlkJUT6lht1aLlmcKg"", ""api-register-id!C:C""),
    MATCH(E104, IMPORTRANGE(""13G8fPsBFu2GexfFEa1WV07s1XBlkJUT6lht1aLlmcKg"", ""api-register-id!J:J""), 0)
  ),
  ""Not Found API Name""
)"),"Not Found API Name")</f>
        <v>Not Found API Name</v>
      </c>
      <c r="G104" s="30"/>
      <c r="H104" s="30"/>
      <c r="I104" s="30"/>
      <c r="J104" s="30"/>
      <c r="K104" s="30"/>
      <c r="L104" s="30"/>
      <c r="M104" s="30"/>
      <c r="N104" s="30"/>
      <c r="O104" s="30"/>
      <c r="P104" s="30"/>
      <c r="Q104" s="30"/>
      <c r="R104" s="30"/>
      <c r="S104" s="30"/>
      <c r="T104" s="30"/>
      <c r="U104" s="30"/>
      <c r="V104" s="30"/>
      <c r="W104" s="30"/>
      <c r="X104" s="30"/>
      <c r="Y104" s="30"/>
      <c r="Z104" s="30"/>
      <c r="AA104" s="30"/>
    </row>
    <row r="105">
      <c r="A105" s="75" t="s">
        <v>548</v>
      </c>
      <c r="B105" s="30" t="str">
        <f>IFERROR(__xludf.DUMMYFUNCTION("IFERROR(
  INDEX(
    IMPORTRANGE(""13G8fPsBFu2GexfFEa1WV07s1XBlkJUT6lht1aLlmcKg"", ""api-register-id!B:B""),
    MATCH(E105, IMPORTRANGE(""13G8fPsBFu2GexfFEa1WV07s1XBlkJUT6lht1aLlmcKg"", ""api-register-id!J:J""), 0)
  ),
  ""Not Found API Name""
)"),"Not Found API Name")</f>
        <v>Not Found API Name</v>
      </c>
      <c r="C105" s="30" t="str">
        <f>IFERROR(__xludf.DUMMYFUNCTION("IFERROR(
  INDEX(
    IMPORTRANGE(""13G8fPsBFu2GexfFEa1WV07s1XBlkJUT6lht1aLlmcKg"", ""api-register-id!D:D""),
    MATCH(E105, IMPORTRANGE(""13G8fPsBFu2GexfFEa1WV07s1XBlkJUT6lht1aLlmcKg"", ""api-register-id!J:J""), 0)
  ),
  ""Not Found API Name""
)"),"Not Found API Name")</f>
        <v>Not Found API Name</v>
      </c>
      <c r="D105" s="30" t="str">
        <f>IFERROR(__xludf.DUMMYFUNCTION("IFERROR(
  INDEX(
    IMPORTRANGE(""13G8fPsBFu2GexfFEa1WV07s1XBlkJUT6lht1aLlmcKg"", ""api-register-id!E:E""),
    MATCH(E105, IMPORTRANGE(""13G8fPsBFu2GexfFEa1WV07s1XBlkJUT6lht1aLlmcKg"", ""api-register-id!J:J""), 0)
  ),
  ""Not Found API Name""
)"),"Not Found API Name")</f>
        <v>Not Found API Name</v>
      </c>
      <c r="E105" s="30" t="str">
        <f t="shared" si="2"/>
        <v>mx-ms-bc-rec-reference-data-apigee</v>
      </c>
      <c r="F105" s="74" t="str">
        <f>IFERROR(__xludf.DUMMYFUNCTION("IFERROR(
  INDEX(
    IMPORTRANGE(""13G8fPsBFu2GexfFEa1WV07s1XBlkJUT6lht1aLlmcKg"", ""api-register-id!C:C""),
    MATCH(E105, IMPORTRANGE(""13G8fPsBFu2GexfFEa1WV07s1XBlkJUT6lht1aLlmcKg"", ""api-register-id!J:J""), 0)
  ),
  ""Not Found API Name""
)"),"Not Found API Name")</f>
        <v>Not Found API Name</v>
      </c>
      <c r="G105" s="30"/>
      <c r="H105" s="30"/>
      <c r="I105" s="30"/>
      <c r="J105" s="30"/>
      <c r="K105" s="30"/>
      <c r="L105" s="30"/>
      <c r="M105" s="30"/>
      <c r="N105" s="30"/>
      <c r="O105" s="30"/>
      <c r="P105" s="30"/>
      <c r="Q105" s="30"/>
      <c r="R105" s="30"/>
      <c r="S105" s="30"/>
      <c r="T105" s="30"/>
      <c r="U105" s="30"/>
      <c r="V105" s="30"/>
      <c r="W105" s="30"/>
      <c r="X105" s="30"/>
      <c r="Y105" s="30"/>
      <c r="Z105" s="30"/>
      <c r="AA105" s="30"/>
    </row>
    <row r="106">
      <c r="A106" s="75" t="s">
        <v>552</v>
      </c>
      <c r="B106" s="30" t="str">
        <f>IFERROR(__xludf.DUMMYFUNCTION("IFERROR(
  INDEX(
    IMPORTRANGE(""13G8fPsBFu2GexfFEa1WV07s1XBlkJUT6lht1aLlmcKg"", ""api-register-id!B:B""),
    MATCH(E106, IMPORTRANGE(""13G8fPsBFu2GexfFEa1WV07s1XBlkJUT6lht1aLlmcKg"", ""api-register-id!J:J""), 0)
  ),
  ""Not Found API Name""
)"),"Not Found API Name")</f>
        <v>Not Found API Name</v>
      </c>
      <c r="C106" s="30" t="str">
        <f>IFERROR(__xludf.DUMMYFUNCTION("IFERROR(
  INDEX(
    IMPORTRANGE(""13G8fPsBFu2GexfFEa1WV07s1XBlkJUT6lht1aLlmcKg"", ""api-register-id!D:D""),
    MATCH(E106, IMPORTRANGE(""13G8fPsBFu2GexfFEa1WV07s1XBlkJUT6lht1aLlmcKg"", ""api-register-id!J:J""), 0)
  ),
  ""Not Found API Name""
)"),"Not Found API Name")</f>
        <v>Not Found API Name</v>
      </c>
      <c r="D106" s="30" t="str">
        <f>IFERROR(__xludf.DUMMYFUNCTION("IFERROR(
  INDEX(
    IMPORTRANGE(""13G8fPsBFu2GexfFEa1WV07s1XBlkJUT6lht1aLlmcKg"", ""api-register-id!E:E""),
    MATCH(E106, IMPORTRANGE(""13G8fPsBFu2GexfFEa1WV07s1XBlkJUT6lht1aLlmcKg"", ""api-register-id!J:J""), 0)
  ),
  ""Not Found API Name""
)"),"Not Found API Name")</f>
        <v>Not Found API Name</v>
      </c>
      <c r="E106" s="30" t="str">
        <f t="shared" si="2"/>
        <v>mx-ms-bc-rec-sales-and-service-apigee</v>
      </c>
      <c r="F106" s="74" t="str">
        <f>IFERROR(__xludf.DUMMYFUNCTION("IFERROR(
  INDEX(
    IMPORTRANGE(""13G8fPsBFu2GexfFEa1WV07s1XBlkJUT6lht1aLlmcKg"", ""api-register-id!C:C""),
    MATCH(E106, IMPORTRANGE(""13G8fPsBFu2GexfFEa1WV07s1XBlkJUT6lht1aLlmcKg"", ""api-register-id!J:J""), 0)
  ),
  ""Not Found API Name""
)"),"Not Found API Name")</f>
        <v>Not Found API Name</v>
      </c>
      <c r="G106" s="30"/>
      <c r="H106" s="30"/>
      <c r="I106" s="30"/>
      <c r="J106" s="30"/>
      <c r="K106" s="30"/>
      <c r="L106" s="30"/>
      <c r="M106" s="30"/>
      <c r="N106" s="30"/>
      <c r="O106" s="30"/>
      <c r="P106" s="30"/>
      <c r="Q106" s="30"/>
      <c r="R106" s="30"/>
      <c r="S106" s="30"/>
      <c r="T106" s="30"/>
      <c r="U106" s="30"/>
      <c r="V106" s="30"/>
      <c r="W106" s="30"/>
      <c r="X106" s="30"/>
      <c r="Y106" s="30"/>
      <c r="Z106" s="30"/>
      <c r="AA106" s="30"/>
    </row>
    <row r="107">
      <c r="A107" s="75" t="s">
        <v>555</v>
      </c>
      <c r="B107" s="30" t="str">
        <f>IFERROR(__xludf.DUMMYFUNCTION("IFERROR(
  INDEX(
    IMPORTRANGE(""13G8fPsBFu2GexfFEa1WV07s1XBlkJUT6lht1aLlmcKg"", ""api-register-id!B:B""),
    MATCH(E107, IMPORTRANGE(""13G8fPsBFu2GexfFEa1WV07s1XBlkJUT6lht1aLlmcKg"", ""api-register-id!J:J""), 0)
  ),
  ""Not Found API Name""
)"),"Not Found API Name")</f>
        <v>Not Found API Name</v>
      </c>
      <c r="C107" s="30" t="str">
        <f>IFERROR(__xludf.DUMMYFUNCTION("IFERROR(
  INDEX(
    IMPORTRANGE(""13G8fPsBFu2GexfFEa1WV07s1XBlkJUT6lht1aLlmcKg"", ""api-register-id!D:D""),
    MATCH(E107, IMPORTRANGE(""13G8fPsBFu2GexfFEa1WV07s1XBlkJUT6lht1aLlmcKg"", ""api-register-id!J:J""), 0)
  ),
  ""Not Found API Name""
)"),"Not Found API Name")</f>
        <v>Not Found API Name</v>
      </c>
      <c r="D107" s="30" t="str">
        <f>IFERROR(__xludf.DUMMYFUNCTION("IFERROR(
  INDEX(
    IMPORTRANGE(""13G8fPsBFu2GexfFEa1WV07s1XBlkJUT6lht1aLlmcKg"", ""api-register-id!E:E""),
    MATCH(E107, IMPORTRANGE(""13G8fPsBFu2GexfFEa1WV07s1XBlkJUT6lht1aLlmcKg"", ""api-register-id!J:J""), 0)
  ),
  ""Not Found API Name""
)"),"Not Found API Name")</f>
        <v>Not Found API Name</v>
      </c>
      <c r="E107" s="30" t="str">
        <f t="shared" si="2"/>
        <v>mx-ms-bc-rec-servicing-apigee</v>
      </c>
      <c r="F107" s="74" t="str">
        <f>IFERROR(__xludf.DUMMYFUNCTION("IFERROR(
  INDEX(
    IMPORTRANGE(""13G8fPsBFu2GexfFEa1WV07s1XBlkJUT6lht1aLlmcKg"", ""api-register-id!C:C""),
    MATCH(E107, IMPORTRANGE(""13G8fPsBFu2GexfFEa1WV07s1XBlkJUT6lht1aLlmcKg"", ""api-register-id!J:J""), 0)
  ),
  ""Not Found API Name""
)"),"Not Found API Name")</f>
        <v>Not Found API Name</v>
      </c>
      <c r="G107" s="30"/>
      <c r="H107" s="30"/>
      <c r="I107" s="30"/>
      <c r="J107" s="30"/>
      <c r="K107" s="30"/>
      <c r="L107" s="30"/>
      <c r="M107" s="30"/>
      <c r="N107" s="30"/>
      <c r="O107" s="30"/>
      <c r="P107" s="30"/>
      <c r="Q107" s="30"/>
      <c r="R107" s="30"/>
      <c r="S107" s="30"/>
      <c r="T107" s="30"/>
      <c r="U107" s="30"/>
      <c r="V107" s="30"/>
      <c r="W107" s="30"/>
      <c r="X107" s="30"/>
      <c r="Y107" s="30"/>
      <c r="Z107" s="30"/>
      <c r="AA107" s="30"/>
    </row>
    <row r="108">
      <c r="A108" s="75" t="s">
        <v>559</v>
      </c>
      <c r="B108" s="30" t="str">
        <f>IFERROR(__xludf.DUMMYFUNCTION("IFERROR(
  INDEX(
    IMPORTRANGE(""13G8fPsBFu2GexfFEa1WV07s1XBlkJUT6lht1aLlmcKg"", ""api-register-id!B:B""),
    MATCH(E108, IMPORTRANGE(""13G8fPsBFu2GexfFEa1WV07s1XBlkJUT6lht1aLlmcKg"", ""api-register-id!J:J""), 0)
  ),
  ""Not Found API Name""
)"),"Not Found API Name")</f>
        <v>Not Found API Name</v>
      </c>
      <c r="C108" s="30" t="str">
        <f>IFERROR(__xludf.DUMMYFUNCTION("IFERROR(
  INDEX(
    IMPORTRANGE(""13G8fPsBFu2GexfFEa1WV07s1XBlkJUT6lht1aLlmcKg"", ""api-register-id!D:D""),
    MATCH(E108, IMPORTRANGE(""13G8fPsBFu2GexfFEa1WV07s1XBlkJUT6lht1aLlmcKg"", ""api-register-id!J:J""), 0)
  ),
  ""Not Found API Name""
)"),"Not Found API Name")</f>
        <v>Not Found API Name</v>
      </c>
      <c r="D108" s="30" t="str">
        <f>IFERROR(__xludf.DUMMYFUNCTION("IFERROR(
  INDEX(
    IMPORTRANGE(""13G8fPsBFu2GexfFEa1WV07s1XBlkJUT6lht1aLlmcKg"", ""api-register-id!E:E""),
    MATCH(E108, IMPORTRANGE(""13G8fPsBFu2GexfFEa1WV07s1XBlkJUT6lht1aLlmcKg"", ""api-register-id!J:J""), 0)
  ),
  ""Not Found API Name""
)"),"Not Found API Name")</f>
        <v>Not Found API Name</v>
      </c>
      <c r="E108" s="30" t="str">
        <f t="shared" si="2"/>
        <v>mx-ms-bc-rec-session-dialogue-apigee</v>
      </c>
      <c r="F108" s="74" t="str">
        <f>IFERROR(__xludf.DUMMYFUNCTION("IFERROR(
  INDEX(
    IMPORTRANGE(""13G8fPsBFu2GexfFEa1WV07s1XBlkJUT6lht1aLlmcKg"", ""api-register-id!C:C""),
    MATCH(E108, IMPORTRANGE(""13G8fPsBFu2GexfFEa1WV07s1XBlkJUT6lht1aLlmcKg"", ""api-register-id!J:J""), 0)
  ),
  ""Not Found API Name""
)"),"Not Found API Name")</f>
        <v>Not Found API Name</v>
      </c>
      <c r="G108" s="30"/>
      <c r="H108" s="30"/>
      <c r="I108" s="30"/>
      <c r="J108" s="30"/>
      <c r="K108" s="30"/>
      <c r="L108" s="30"/>
      <c r="M108" s="30"/>
      <c r="N108" s="30"/>
      <c r="O108" s="30"/>
      <c r="P108" s="30"/>
      <c r="Q108" s="30"/>
      <c r="R108" s="30"/>
      <c r="S108" s="30"/>
      <c r="T108" s="30"/>
      <c r="U108" s="30"/>
      <c r="V108" s="30"/>
      <c r="W108" s="30"/>
      <c r="X108" s="30"/>
      <c r="Y108" s="30"/>
      <c r="Z108" s="30"/>
      <c r="AA108" s="30"/>
    </row>
    <row r="109">
      <c r="A109" s="75" t="s">
        <v>564</v>
      </c>
      <c r="B109" s="30" t="str">
        <f>IFERROR(__xludf.DUMMYFUNCTION("IFERROR(
  INDEX(
    IMPORTRANGE(""13G8fPsBFu2GexfFEa1WV07s1XBlkJUT6lht1aLlmcKg"", ""api-register-id!B:B""),
    MATCH(E109, IMPORTRANGE(""13G8fPsBFu2GexfFEa1WV07s1XBlkJUT6lht1aLlmcKg"", ""api-register-id!J:J""), 0)
  ),
  ""Not Found API Name""
)"),"Not Found API Name")</f>
        <v>Not Found API Name</v>
      </c>
      <c r="C109" s="30" t="str">
        <f>IFERROR(__xludf.DUMMYFUNCTION("IFERROR(
  INDEX(
    IMPORTRANGE(""13G8fPsBFu2GexfFEa1WV07s1XBlkJUT6lht1aLlmcKg"", ""api-register-id!D:D""),
    MATCH(E109, IMPORTRANGE(""13G8fPsBFu2GexfFEa1WV07s1XBlkJUT6lht1aLlmcKg"", ""api-register-id!J:J""), 0)
  ),
  ""Not Found API Name""
)"),"Not Found API Name")</f>
        <v>Not Found API Name</v>
      </c>
      <c r="D109" s="30" t="str">
        <f>IFERROR(__xludf.DUMMYFUNCTION("IFERROR(
  INDEX(
    IMPORTRANGE(""13G8fPsBFu2GexfFEa1WV07s1XBlkJUT6lht1aLlmcKg"", ""api-register-id!E:E""),
    MATCH(E109, IMPORTRANGE(""13G8fPsBFu2GexfFEa1WV07s1XBlkJUT6lht1aLlmcKg"", ""api-register-id!J:J""), 0)
  ),
  ""Not Found API Name""
)"),"Not Found API Name")</f>
        <v>Not Found API Name</v>
      </c>
      <c r="E109" s="30" t="str">
        <f t="shared" si="2"/>
        <v>mx-ms-bc-rec-utility-apigee</v>
      </c>
      <c r="F109" s="74" t="str">
        <f>IFERROR(__xludf.DUMMYFUNCTION("IFERROR(
  INDEX(
    IMPORTRANGE(""13G8fPsBFu2GexfFEa1WV07s1XBlkJUT6lht1aLlmcKg"", ""api-register-id!C:C""),
    MATCH(E109, IMPORTRANGE(""13G8fPsBFu2GexfFEa1WV07s1XBlkJUT6lht1aLlmcKg"", ""api-register-id!J:J""), 0)
  ),
  ""Not Found API Name""
)"),"Not Found API Name")</f>
        <v>Not Found API Name</v>
      </c>
      <c r="G109" s="30"/>
      <c r="H109" s="30"/>
      <c r="I109" s="30"/>
      <c r="J109" s="30"/>
      <c r="K109" s="30"/>
      <c r="L109" s="30"/>
      <c r="M109" s="30"/>
      <c r="N109" s="30"/>
      <c r="O109" s="30"/>
      <c r="P109" s="30"/>
      <c r="Q109" s="30"/>
      <c r="R109" s="30"/>
      <c r="S109" s="30"/>
      <c r="T109" s="30"/>
      <c r="U109" s="30"/>
      <c r="V109" s="30"/>
      <c r="W109" s="30"/>
      <c r="X109" s="30"/>
      <c r="Y109" s="30"/>
      <c r="Z109" s="30"/>
      <c r="AA109" s="30"/>
    </row>
    <row r="110">
      <c r="A110" s="75" t="s">
        <v>566</v>
      </c>
      <c r="B110" s="30" t="str">
        <f>IFERROR(__xludf.DUMMYFUNCTION("IFERROR(
  INDEX(
    IMPORTRANGE(""13G8fPsBFu2GexfFEa1WV07s1XBlkJUT6lht1aLlmcKg"", ""api-register-id!B:B""),
    MATCH(E110, IMPORTRANGE(""13G8fPsBFu2GexfFEa1WV07s1XBlkJUT6lht1aLlmcKg"", ""api-register-id!J:J""), 0)
  ),
  ""Not Found API Name""
)"),"Not Found API Name")</f>
        <v>Not Found API Name</v>
      </c>
      <c r="C110" s="30" t="str">
        <f>IFERROR(__xludf.DUMMYFUNCTION("IFERROR(
  INDEX(
    IMPORTRANGE(""13G8fPsBFu2GexfFEa1WV07s1XBlkJUT6lht1aLlmcKg"", ""api-register-id!D:D""),
    MATCH(E110, IMPORTRANGE(""13G8fPsBFu2GexfFEa1WV07s1XBlkJUT6lht1aLlmcKg"", ""api-register-id!J:J""), 0)
  ),
  ""Not Found API Name""
)"),"Not Found API Name")</f>
        <v>Not Found API Name</v>
      </c>
      <c r="D110" s="30" t="str">
        <f>IFERROR(__xludf.DUMMYFUNCTION("IFERROR(
  INDEX(
    IMPORTRANGE(""13G8fPsBFu2GexfFEa1WV07s1XBlkJUT6lht1aLlmcKg"", ""api-register-id!E:E""),
    MATCH(E110, IMPORTRANGE(""13G8fPsBFu2GexfFEa1WV07s1XBlkJUT6lht1aLlmcKg"", ""api-register-id!J:J""), 0)
  ),
  ""Not Found API Name""
)"),"Not Found API Name")</f>
        <v>Not Found API Name</v>
      </c>
      <c r="E110" s="72" t="s">
        <v>571</v>
      </c>
      <c r="F110" s="74" t="str">
        <f>IFERROR(__xludf.DUMMYFUNCTION("IFERROR(
  INDEX(
    IMPORTRANGE(""13G8fPsBFu2GexfFEa1WV07s1XBlkJUT6lht1aLlmcKg"", ""api-register-id!C:C""),
    MATCH(E110, IMPORTRANGE(""13G8fPsBFu2GexfFEa1WV07s1XBlkJUT6lht1aLlmcKg"", ""api-register-id!J:J""), 0)
  ),
  ""Not Found API Name""
)"),"Not Found API Name")</f>
        <v>Not Found API Name</v>
      </c>
      <c r="G110" s="72" t="s">
        <v>572</v>
      </c>
      <c r="H110" s="30"/>
      <c r="I110" s="30"/>
      <c r="J110" s="30"/>
      <c r="K110" s="30"/>
      <c r="L110" s="30"/>
      <c r="M110" s="30"/>
      <c r="N110" s="30"/>
      <c r="O110" s="30"/>
      <c r="P110" s="30"/>
      <c r="Q110" s="30"/>
      <c r="R110" s="30"/>
      <c r="S110" s="30"/>
      <c r="T110" s="30"/>
      <c r="U110" s="30"/>
      <c r="V110" s="30"/>
      <c r="W110" s="30"/>
      <c r="X110" s="30"/>
      <c r="Y110" s="30"/>
      <c r="Z110" s="30"/>
      <c r="AA110" s="30"/>
    </row>
    <row r="111">
      <c r="A111" s="75" t="s">
        <v>576</v>
      </c>
      <c r="B111" s="30" t="str">
        <f>IFERROR(__xludf.DUMMYFUNCTION("IFERROR(
  INDEX(
    IMPORTRANGE(""13G8fPsBFu2GexfFEa1WV07s1XBlkJUT6lht1aLlmcKg"", ""api-register-id!B:B""),
    MATCH(E111, IMPORTRANGE(""13G8fPsBFu2GexfFEa1WV07s1XBlkJUT6lht1aLlmcKg"", ""api-register-id!J:J""), 0)
  ),
  ""Not Found API Name""
)"),"Not Found API Name")</f>
        <v>Not Found API Name</v>
      </c>
      <c r="C111" s="30" t="str">
        <f>IFERROR(__xludf.DUMMYFUNCTION("IFERROR(
  INDEX(
    IMPORTRANGE(""13G8fPsBFu2GexfFEa1WV07s1XBlkJUT6lht1aLlmcKg"", ""api-register-id!D:D""),
    MATCH(E111, IMPORTRANGE(""13G8fPsBFu2GexfFEa1WV07s1XBlkJUT6lht1aLlmcKg"", ""api-register-id!J:J""), 0)
  ),
  ""Not Found API Name""
)"),"Not Found API Name")</f>
        <v>Not Found API Name</v>
      </c>
      <c r="D111" s="30" t="str">
        <f>IFERROR(__xludf.DUMMYFUNCTION("IFERROR(
  INDEX(
    IMPORTRANGE(""13G8fPsBFu2GexfFEa1WV07s1XBlkJUT6lht1aLlmcKg"", ""api-register-id!E:E""),
    MATCH(E111, IMPORTRANGE(""13G8fPsBFu2GexfFEa1WV07s1XBlkJUT6lht1aLlmcKg"", ""api-register-id!J:J""), 0)
  ),
  ""Not Found API Name""
)"),"Not Found API Name")</f>
        <v>Not Found API Name</v>
      </c>
      <c r="E111" s="30" t="str">
        <f>SUBSTITUTE(A111,"https://github.com/SF-Bancoppel/", "")</f>
        <v>msamg-d-security-encryption</v>
      </c>
      <c r="F111" s="73">
        <v>0.0</v>
      </c>
      <c r="G111" s="72" t="s">
        <v>152</v>
      </c>
      <c r="H111" s="30"/>
      <c r="I111" s="30"/>
      <c r="J111" s="30"/>
      <c r="K111" s="30"/>
      <c r="L111" s="30"/>
      <c r="M111" s="30"/>
      <c r="N111" s="30"/>
      <c r="O111" s="30"/>
      <c r="P111" s="30"/>
      <c r="Q111" s="30"/>
      <c r="R111" s="30"/>
      <c r="S111" s="30"/>
      <c r="T111" s="30"/>
      <c r="U111" s="30"/>
      <c r="V111" s="30"/>
      <c r="W111" s="30"/>
      <c r="X111" s="30"/>
      <c r="Y111" s="30"/>
      <c r="Z111" s="30"/>
      <c r="AA111" s="30"/>
    </row>
    <row r="112">
      <c r="A112" s="30"/>
      <c r="B112" s="30"/>
      <c r="C112" s="30"/>
      <c r="D112" s="30"/>
      <c r="E112" s="74"/>
      <c r="F112" s="30">
        <f>SUM(F2:F111)</f>
        <v>0</v>
      </c>
      <c r="G112" s="30"/>
      <c r="H112" s="30"/>
      <c r="I112" s="30"/>
      <c r="J112" s="30"/>
      <c r="K112" s="30"/>
      <c r="L112" s="30"/>
      <c r="M112" s="30"/>
      <c r="N112" s="30"/>
      <c r="O112" s="30"/>
      <c r="P112" s="30"/>
      <c r="Q112" s="30"/>
      <c r="R112" s="30"/>
      <c r="S112" s="30"/>
      <c r="T112" s="30"/>
      <c r="U112" s="30"/>
      <c r="V112" s="30"/>
      <c r="W112" s="30"/>
      <c r="X112" s="30"/>
      <c r="Y112" s="30"/>
      <c r="Z112" s="30"/>
      <c r="AA112" s="30"/>
    </row>
    <row r="113">
      <c r="A113" s="30"/>
      <c r="B113" s="30"/>
      <c r="C113" s="30"/>
      <c r="D113" s="30"/>
      <c r="E113" s="74"/>
      <c r="F113" s="30"/>
      <c r="G113" s="30"/>
      <c r="H113" s="30"/>
      <c r="I113" s="30"/>
      <c r="J113" s="30"/>
      <c r="K113" s="30"/>
      <c r="L113" s="30"/>
      <c r="M113" s="30"/>
      <c r="N113" s="30"/>
      <c r="O113" s="30"/>
      <c r="P113" s="30"/>
      <c r="Q113" s="30"/>
      <c r="R113" s="30"/>
      <c r="S113" s="30"/>
      <c r="T113" s="30"/>
      <c r="U113" s="30"/>
      <c r="V113" s="30"/>
      <c r="W113" s="30"/>
      <c r="X113" s="30"/>
      <c r="Y113" s="30"/>
      <c r="Z113" s="30"/>
      <c r="AA113" s="30"/>
    </row>
    <row r="114">
      <c r="A114" s="30"/>
      <c r="B114" s="30"/>
      <c r="C114" s="30"/>
      <c r="D114" s="30"/>
      <c r="E114" s="74"/>
      <c r="F114" s="30"/>
      <c r="G114" s="30"/>
      <c r="H114" s="30"/>
      <c r="I114" s="30"/>
      <c r="J114" s="30"/>
      <c r="K114" s="30"/>
      <c r="L114" s="30"/>
      <c r="M114" s="30"/>
      <c r="N114" s="30"/>
      <c r="O114" s="30"/>
      <c r="P114" s="30"/>
      <c r="Q114" s="30"/>
      <c r="R114" s="30"/>
      <c r="S114" s="30"/>
      <c r="T114" s="30"/>
      <c r="U114" s="30"/>
      <c r="V114" s="30"/>
      <c r="W114" s="30"/>
      <c r="X114" s="30"/>
      <c r="Y114" s="30"/>
      <c r="Z114" s="30"/>
      <c r="AA114" s="30"/>
    </row>
    <row r="115">
      <c r="A115" s="30"/>
      <c r="B115" s="30"/>
      <c r="C115" s="30"/>
      <c r="D115" s="30"/>
      <c r="E115" s="74"/>
      <c r="F115" s="30"/>
      <c r="G115" s="30"/>
      <c r="H115" s="30"/>
      <c r="I115" s="30"/>
      <c r="J115" s="30"/>
      <c r="K115" s="30"/>
      <c r="L115" s="30"/>
      <c r="M115" s="30"/>
      <c r="N115" s="30"/>
      <c r="O115" s="30"/>
      <c r="P115" s="30"/>
      <c r="Q115" s="30"/>
      <c r="R115" s="30"/>
      <c r="S115" s="30"/>
      <c r="T115" s="30"/>
      <c r="U115" s="30"/>
      <c r="V115" s="30"/>
      <c r="W115" s="30"/>
      <c r="X115" s="30"/>
      <c r="Y115" s="30"/>
      <c r="Z115" s="30"/>
      <c r="AA115" s="30"/>
    </row>
    <row r="116">
      <c r="A116" s="30"/>
      <c r="B116" s="30"/>
      <c r="C116" s="30"/>
      <c r="D116" s="30"/>
      <c r="E116" s="74"/>
      <c r="F116" s="30"/>
      <c r="G116" s="30"/>
      <c r="H116" s="30"/>
      <c r="I116" s="30"/>
      <c r="J116" s="30"/>
      <c r="K116" s="30"/>
      <c r="L116" s="30"/>
      <c r="M116" s="30"/>
      <c r="N116" s="30"/>
      <c r="O116" s="30"/>
      <c r="P116" s="30"/>
      <c r="Q116" s="30"/>
      <c r="R116" s="30"/>
      <c r="S116" s="30"/>
      <c r="T116" s="30"/>
      <c r="U116" s="30"/>
      <c r="V116" s="30"/>
      <c r="W116" s="30"/>
      <c r="X116" s="30"/>
      <c r="Y116" s="30"/>
      <c r="Z116" s="30"/>
      <c r="AA116" s="30"/>
    </row>
    <row r="117">
      <c r="A117" s="30"/>
      <c r="B117" s="30"/>
      <c r="C117" s="30"/>
      <c r="D117" s="30"/>
      <c r="E117" s="74"/>
      <c r="F117" s="30"/>
      <c r="G117" s="30"/>
      <c r="H117" s="30"/>
      <c r="I117" s="30"/>
      <c r="J117" s="30"/>
      <c r="K117" s="30"/>
      <c r="L117" s="30"/>
      <c r="M117" s="30"/>
      <c r="N117" s="30"/>
      <c r="O117" s="30"/>
      <c r="P117" s="30"/>
      <c r="Q117" s="30"/>
      <c r="R117" s="30"/>
      <c r="S117" s="30"/>
      <c r="T117" s="30"/>
      <c r="U117" s="30"/>
      <c r="V117" s="30"/>
      <c r="W117" s="30"/>
      <c r="X117" s="30"/>
      <c r="Y117" s="30"/>
      <c r="Z117" s="30"/>
      <c r="AA117" s="30"/>
    </row>
    <row r="118">
      <c r="A118" s="30"/>
      <c r="B118" s="30"/>
      <c r="C118" s="30"/>
      <c r="D118" s="30"/>
      <c r="E118" s="74"/>
      <c r="F118" s="30"/>
      <c r="G118" s="30"/>
      <c r="H118" s="30"/>
      <c r="I118" s="30"/>
      <c r="J118" s="30"/>
      <c r="K118" s="30"/>
      <c r="L118" s="30"/>
      <c r="M118" s="30"/>
      <c r="N118" s="30"/>
      <c r="O118" s="30"/>
      <c r="P118" s="30"/>
      <c r="Q118" s="30"/>
      <c r="R118" s="30"/>
      <c r="S118" s="30"/>
      <c r="T118" s="30"/>
      <c r="U118" s="30"/>
      <c r="V118" s="30"/>
      <c r="W118" s="30"/>
      <c r="X118" s="30"/>
      <c r="Y118" s="30"/>
      <c r="Z118" s="30"/>
      <c r="AA118" s="30"/>
    </row>
    <row r="119">
      <c r="A119" s="30"/>
      <c r="B119" s="30"/>
      <c r="C119" s="30"/>
      <c r="D119" s="30"/>
      <c r="E119" s="74"/>
      <c r="F119" s="30"/>
      <c r="G119" s="30"/>
      <c r="H119" s="30"/>
      <c r="I119" s="30"/>
      <c r="J119" s="30"/>
      <c r="K119" s="30"/>
      <c r="L119" s="30"/>
      <c r="M119" s="30"/>
      <c r="N119" s="30"/>
      <c r="O119" s="30"/>
      <c r="P119" s="30"/>
      <c r="Q119" s="30"/>
      <c r="R119" s="30"/>
      <c r="S119" s="30"/>
      <c r="T119" s="30"/>
      <c r="U119" s="30"/>
      <c r="V119" s="30"/>
      <c r="W119" s="30"/>
      <c r="X119" s="30"/>
      <c r="Y119" s="30"/>
      <c r="Z119" s="30"/>
      <c r="AA119" s="30"/>
    </row>
    <row r="120">
      <c r="A120" s="30"/>
      <c r="B120" s="30"/>
      <c r="C120" s="30"/>
      <c r="D120" s="30"/>
      <c r="E120" s="74"/>
      <c r="F120" s="30"/>
      <c r="G120" s="30"/>
      <c r="H120" s="30"/>
      <c r="I120" s="30"/>
      <c r="J120" s="30"/>
      <c r="K120" s="30"/>
      <c r="L120" s="30"/>
      <c r="M120" s="30"/>
      <c r="N120" s="30"/>
      <c r="O120" s="30"/>
      <c r="P120" s="30"/>
      <c r="Q120" s="30"/>
      <c r="R120" s="30"/>
      <c r="S120" s="30"/>
      <c r="T120" s="30"/>
      <c r="U120" s="30"/>
      <c r="V120" s="30"/>
      <c r="W120" s="30"/>
      <c r="X120" s="30"/>
      <c r="Y120" s="30"/>
      <c r="Z120" s="30"/>
      <c r="AA120" s="30"/>
    </row>
    <row r="121">
      <c r="A121" s="30"/>
      <c r="B121" s="30"/>
      <c r="C121" s="30"/>
      <c r="D121" s="30"/>
      <c r="E121" s="74"/>
      <c r="F121" s="30"/>
      <c r="G121" s="30"/>
      <c r="H121" s="30"/>
      <c r="I121" s="30"/>
      <c r="J121" s="30"/>
      <c r="K121" s="30"/>
      <c r="L121" s="30"/>
      <c r="M121" s="30"/>
      <c r="N121" s="30"/>
      <c r="O121" s="30"/>
      <c r="P121" s="30"/>
      <c r="Q121" s="30"/>
      <c r="R121" s="30"/>
      <c r="S121" s="30"/>
      <c r="T121" s="30"/>
      <c r="U121" s="30"/>
      <c r="V121" s="30"/>
      <c r="W121" s="30"/>
      <c r="X121" s="30"/>
      <c r="Y121" s="30"/>
      <c r="Z121" s="30"/>
      <c r="AA121" s="30"/>
    </row>
    <row r="122">
      <c r="A122" s="30"/>
      <c r="B122" s="30"/>
      <c r="C122" s="30"/>
      <c r="D122" s="30"/>
      <c r="E122" s="74"/>
      <c r="F122" s="30"/>
      <c r="G122" s="30"/>
      <c r="H122" s="30"/>
      <c r="I122" s="30"/>
      <c r="J122" s="30"/>
      <c r="K122" s="30"/>
      <c r="L122" s="30"/>
      <c r="M122" s="30"/>
      <c r="N122" s="30"/>
      <c r="O122" s="30"/>
      <c r="P122" s="30"/>
      <c r="Q122" s="30"/>
      <c r="R122" s="30"/>
      <c r="S122" s="30"/>
      <c r="T122" s="30"/>
      <c r="U122" s="30"/>
      <c r="V122" s="30"/>
      <c r="W122" s="30"/>
      <c r="X122" s="30"/>
      <c r="Y122" s="30"/>
      <c r="Z122" s="30"/>
      <c r="AA122" s="30"/>
    </row>
    <row r="123">
      <c r="A123" s="30"/>
      <c r="B123" s="30"/>
      <c r="C123" s="30"/>
      <c r="D123" s="30"/>
      <c r="E123" s="74"/>
      <c r="F123" s="30"/>
      <c r="G123" s="30"/>
      <c r="H123" s="30"/>
      <c r="I123" s="30"/>
      <c r="J123" s="30"/>
      <c r="K123" s="30"/>
      <c r="L123" s="30"/>
      <c r="M123" s="30"/>
      <c r="N123" s="30"/>
      <c r="O123" s="30"/>
      <c r="P123" s="30"/>
      <c r="Q123" s="30"/>
      <c r="R123" s="30"/>
      <c r="S123" s="30"/>
      <c r="T123" s="30"/>
      <c r="U123" s="30"/>
      <c r="V123" s="30"/>
      <c r="W123" s="30"/>
      <c r="X123" s="30"/>
      <c r="Y123" s="30"/>
      <c r="Z123" s="30"/>
      <c r="AA123" s="30"/>
    </row>
    <row r="124">
      <c r="A124" s="30"/>
      <c r="B124" s="30"/>
      <c r="C124" s="30"/>
      <c r="D124" s="30"/>
      <c r="E124" s="74"/>
      <c r="F124" s="30"/>
      <c r="G124" s="30"/>
      <c r="H124" s="30"/>
      <c r="I124" s="30"/>
      <c r="J124" s="30"/>
      <c r="K124" s="30"/>
      <c r="L124" s="30"/>
      <c r="M124" s="30"/>
      <c r="N124" s="30"/>
      <c r="O124" s="30"/>
      <c r="P124" s="30"/>
      <c r="Q124" s="30"/>
      <c r="R124" s="30"/>
      <c r="S124" s="30"/>
      <c r="T124" s="30"/>
      <c r="U124" s="30"/>
      <c r="V124" s="30"/>
      <c r="W124" s="30"/>
      <c r="X124" s="30"/>
      <c r="Y124" s="30"/>
      <c r="Z124" s="30"/>
      <c r="AA124" s="30"/>
    </row>
    <row r="125">
      <c r="A125" s="30"/>
      <c r="B125" s="30"/>
      <c r="C125" s="30"/>
      <c r="D125" s="30"/>
      <c r="E125" s="74"/>
      <c r="F125" s="30"/>
      <c r="G125" s="30"/>
      <c r="H125" s="30"/>
      <c r="I125" s="30"/>
      <c r="J125" s="30"/>
      <c r="K125" s="30"/>
      <c r="L125" s="30"/>
      <c r="M125" s="30"/>
      <c r="N125" s="30"/>
      <c r="O125" s="30"/>
      <c r="P125" s="30"/>
      <c r="Q125" s="30"/>
      <c r="R125" s="30"/>
      <c r="S125" s="30"/>
      <c r="T125" s="30"/>
      <c r="U125" s="30"/>
      <c r="V125" s="30"/>
      <c r="W125" s="30"/>
      <c r="X125" s="30"/>
      <c r="Y125" s="30"/>
      <c r="Z125" s="30"/>
      <c r="AA125" s="30"/>
    </row>
    <row r="126">
      <c r="A126" s="30"/>
      <c r="B126" s="30"/>
      <c r="C126" s="30"/>
      <c r="D126" s="30"/>
      <c r="E126" s="74"/>
      <c r="F126" s="30"/>
      <c r="G126" s="30"/>
      <c r="H126" s="30"/>
      <c r="I126" s="30"/>
      <c r="J126" s="30"/>
      <c r="K126" s="30"/>
      <c r="L126" s="30"/>
      <c r="M126" s="30"/>
      <c r="N126" s="30"/>
      <c r="O126" s="30"/>
      <c r="P126" s="30"/>
      <c r="Q126" s="30"/>
      <c r="R126" s="30"/>
      <c r="S126" s="30"/>
      <c r="T126" s="30"/>
      <c r="U126" s="30"/>
      <c r="V126" s="30"/>
      <c r="W126" s="30"/>
      <c r="X126" s="30"/>
      <c r="Y126" s="30"/>
      <c r="Z126" s="30"/>
      <c r="AA126" s="30"/>
    </row>
    <row r="127">
      <c r="A127" s="30"/>
      <c r="B127" s="30"/>
      <c r="C127" s="30"/>
      <c r="D127" s="30"/>
      <c r="E127" s="74"/>
      <c r="F127" s="30"/>
      <c r="G127" s="30"/>
      <c r="H127" s="30"/>
      <c r="I127" s="30"/>
      <c r="J127" s="30"/>
      <c r="K127" s="30"/>
      <c r="L127" s="30"/>
      <c r="M127" s="30"/>
      <c r="N127" s="30"/>
      <c r="O127" s="30"/>
      <c r="P127" s="30"/>
      <c r="Q127" s="30"/>
      <c r="R127" s="30"/>
      <c r="S127" s="30"/>
      <c r="T127" s="30"/>
      <c r="U127" s="30"/>
      <c r="V127" s="30"/>
      <c r="W127" s="30"/>
      <c r="X127" s="30"/>
      <c r="Y127" s="30"/>
      <c r="Z127" s="30"/>
      <c r="AA127" s="30"/>
    </row>
    <row r="128">
      <c r="A128" s="30"/>
      <c r="B128" s="30"/>
      <c r="C128" s="30"/>
      <c r="D128" s="30"/>
      <c r="E128" s="74"/>
      <c r="F128" s="30"/>
      <c r="G128" s="30"/>
      <c r="H128" s="30"/>
      <c r="I128" s="30"/>
      <c r="J128" s="30"/>
      <c r="K128" s="30"/>
      <c r="L128" s="30"/>
      <c r="M128" s="30"/>
      <c r="N128" s="30"/>
      <c r="O128" s="30"/>
      <c r="P128" s="30"/>
      <c r="Q128" s="30"/>
      <c r="R128" s="30"/>
      <c r="S128" s="30"/>
      <c r="T128" s="30"/>
      <c r="U128" s="30"/>
      <c r="V128" s="30"/>
      <c r="W128" s="30"/>
      <c r="X128" s="30"/>
      <c r="Y128" s="30"/>
      <c r="Z128" s="30"/>
      <c r="AA128" s="30"/>
    </row>
    <row r="129">
      <c r="A129" s="30"/>
      <c r="B129" s="30"/>
      <c r="C129" s="30"/>
      <c r="D129" s="30"/>
      <c r="E129" s="74"/>
      <c r="F129" s="30"/>
      <c r="G129" s="30"/>
      <c r="H129" s="30"/>
      <c r="I129" s="30"/>
      <c r="J129" s="30"/>
      <c r="K129" s="30"/>
      <c r="L129" s="30"/>
      <c r="M129" s="30"/>
      <c r="N129" s="30"/>
      <c r="O129" s="30"/>
      <c r="P129" s="30"/>
      <c r="Q129" s="30"/>
      <c r="R129" s="30"/>
      <c r="S129" s="30"/>
      <c r="T129" s="30"/>
      <c r="U129" s="30"/>
      <c r="V129" s="30"/>
      <c r="W129" s="30"/>
      <c r="X129" s="30"/>
      <c r="Y129" s="30"/>
      <c r="Z129" s="30"/>
      <c r="AA129" s="30"/>
    </row>
    <row r="130">
      <c r="A130" s="30"/>
      <c r="B130" s="30"/>
      <c r="C130" s="30"/>
      <c r="D130" s="30"/>
      <c r="E130" s="74"/>
      <c r="F130" s="30"/>
      <c r="G130" s="30"/>
      <c r="H130" s="30"/>
      <c r="I130" s="30"/>
      <c r="J130" s="30"/>
      <c r="K130" s="30"/>
      <c r="L130" s="30"/>
      <c r="M130" s="30"/>
      <c r="N130" s="30"/>
      <c r="O130" s="30"/>
      <c r="P130" s="30"/>
      <c r="Q130" s="30"/>
      <c r="R130" s="30"/>
      <c r="S130" s="30"/>
      <c r="T130" s="30"/>
      <c r="U130" s="30"/>
      <c r="V130" s="30"/>
      <c r="W130" s="30"/>
      <c r="X130" s="30"/>
      <c r="Y130" s="30"/>
      <c r="Z130" s="30"/>
      <c r="AA130" s="30"/>
    </row>
    <row r="131">
      <c r="A131" s="30"/>
      <c r="B131" s="30"/>
      <c r="C131" s="30"/>
      <c r="D131" s="30"/>
      <c r="E131" s="74"/>
      <c r="F131" s="30"/>
      <c r="G131" s="30"/>
      <c r="H131" s="30"/>
      <c r="I131" s="30"/>
      <c r="J131" s="30"/>
      <c r="K131" s="30"/>
      <c r="L131" s="30"/>
      <c r="M131" s="30"/>
      <c r="N131" s="30"/>
      <c r="O131" s="30"/>
      <c r="P131" s="30"/>
      <c r="Q131" s="30"/>
      <c r="R131" s="30"/>
      <c r="S131" s="30"/>
      <c r="T131" s="30"/>
      <c r="U131" s="30"/>
      <c r="V131" s="30"/>
      <c r="W131" s="30"/>
      <c r="X131" s="30"/>
      <c r="Y131" s="30"/>
      <c r="Z131" s="30"/>
      <c r="AA131" s="30"/>
    </row>
    <row r="132">
      <c r="A132" s="30"/>
      <c r="B132" s="30"/>
      <c r="C132" s="30"/>
      <c r="D132" s="30"/>
      <c r="E132" s="74"/>
      <c r="F132" s="30"/>
      <c r="G132" s="30"/>
      <c r="H132" s="30"/>
      <c r="I132" s="30"/>
      <c r="J132" s="30"/>
      <c r="K132" s="30"/>
      <c r="L132" s="30"/>
      <c r="M132" s="30"/>
      <c r="N132" s="30"/>
      <c r="O132" s="30"/>
      <c r="P132" s="30"/>
      <c r="Q132" s="30"/>
      <c r="R132" s="30"/>
      <c r="S132" s="30"/>
      <c r="T132" s="30"/>
      <c r="U132" s="30"/>
      <c r="V132" s="30"/>
      <c r="W132" s="30"/>
      <c r="X132" s="30"/>
      <c r="Y132" s="30"/>
      <c r="Z132" s="30"/>
      <c r="AA132" s="30"/>
    </row>
    <row r="133">
      <c r="A133" s="30"/>
      <c r="B133" s="30"/>
      <c r="C133" s="30"/>
      <c r="D133" s="30"/>
      <c r="E133" s="74"/>
      <c r="F133" s="30"/>
      <c r="G133" s="30"/>
      <c r="H133" s="30"/>
      <c r="I133" s="30"/>
      <c r="J133" s="30"/>
      <c r="K133" s="30"/>
      <c r="L133" s="30"/>
      <c r="M133" s="30"/>
      <c r="N133" s="30"/>
      <c r="O133" s="30"/>
      <c r="P133" s="30"/>
      <c r="Q133" s="30"/>
      <c r="R133" s="30"/>
      <c r="S133" s="30"/>
      <c r="T133" s="30"/>
      <c r="U133" s="30"/>
      <c r="V133" s="30"/>
      <c r="W133" s="30"/>
      <c r="X133" s="30"/>
      <c r="Y133" s="30"/>
      <c r="Z133" s="30"/>
      <c r="AA133" s="30"/>
    </row>
    <row r="134">
      <c r="A134" s="30"/>
      <c r="B134" s="30"/>
      <c r="C134" s="30"/>
      <c r="D134" s="30"/>
      <c r="E134" s="74"/>
      <c r="F134" s="30"/>
      <c r="G134" s="30"/>
      <c r="H134" s="30"/>
      <c r="I134" s="30"/>
      <c r="J134" s="30"/>
      <c r="K134" s="30"/>
      <c r="L134" s="30"/>
      <c r="M134" s="30"/>
      <c r="N134" s="30"/>
      <c r="O134" s="30"/>
      <c r="P134" s="30"/>
      <c r="Q134" s="30"/>
      <c r="R134" s="30"/>
      <c r="S134" s="30"/>
      <c r="T134" s="30"/>
      <c r="U134" s="30"/>
      <c r="V134" s="30"/>
      <c r="W134" s="30"/>
      <c r="X134" s="30"/>
      <c r="Y134" s="30"/>
      <c r="Z134" s="30"/>
      <c r="AA134" s="30"/>
    </row>
    <row r="135">
      <c r="A135" s="30"/>
      <c r="B135" s="30"/>
      <c r="C135" s="30"/>
      <c r="D135" s="30"/>
      <c r="E135" s="74"/>
      <c r="F135" s="30"/>
      <c r="G135" s="30"/>
      <c r="H135" s="30"/>
      <c r="I135" s="30"/>
      <c r="J135" s="30"/>
      <c r="K135" s="30"/>
      <c r="L135" s="30"/>
      <c r="M135" s="30"/>
      <c r="N135" s="30"/>
      <c r="O135" s="30"/>
      <c r="P135" s="30"/>
      <c r="Q135" s="30"/>
      <c r="R135" s="30"/>
      <c r="S135" s="30"/>
      <c r="T135" s="30"/>
      <c r="U135" s="30"/>
      <c r="V135" s="30"/>
      <c r="W135" s="30"/>
      <c r="X135" s="30"/>
      <c r="Y135" s="30"/>
      <c r="Z135" s="30"/>
      <c r="AA135" s="30"/>
    </row>
    <row r="136">
      <c r="A136" s="30"/>
      <c r="B136" s="30"/>
      <c r="C136" s="30"/>
      <c r="D136" s="30"/>
      <c r="E136" s="74"/>
      <c r="F136" s="30"/>
      <c r="G136" s="30"/>
      <c r="H136" s="30"/>
      <c r="I136" s="30"/>
      <c r="J136" s="30"/>
      <c r="K136" s="30"/>
      <c r="L136" s="30"/>
      <c r="M136" s="30"/>
      <c r="N136" s="30"/>
      <c r="O136" s="30"/>
      <c r="P136" s="30"/>
      <c r="Q136" s="30"/>
      <c r="R136" s="30"/>
      <c r="S136" s="30"/>
      <c r="T136" s="30"/>
      <c r="U136" s="30"/>
      <c r="V136" s="30"/>
      <c r="W136" s="30"/>
      <c r="X136" s="30"/>
      <c r="Y136" s="30"/>
      <c r="Z136" s="30"/>
      <c r="AA136" s="30"/>
    </row>
    <row r="137">
      <c r="A137" s="30"/>
      <c r="B137" s="30"/>
      <c r="C137" s="30"/>
      <c r="D137" s="30"/>
      <c r="E137" s="74"/>
      <c r="F137" s="30"/>
      <c r="G137" s="30"/>
      <c r="H137" s="30"/>
      <c r="I137" s="30"/>
      <c r="J137" s="30"/>
      <c r="K137" s="30"/>
      <c r="L137" s="30"/>
      <c r="M137" s="30"/>
      <c r="N137" s="30"/>
      <c r="O137" s="30"/>
      <c r="P137" s="30"/>
      <c r="Q137" s="30"/>
      <c r="R137" s="30"/>
      <c r="S137" s="30"/>
      <c r="T137" s="30"/>
      <c r="U137" s="30"/>
      <c r="V137" s="30"/>
      <c r="W137" s="30"/>
      <c r="X137" s="30"/>
      <c r="Y137" s="30"/>
      <c r="Z137" s="30"/>
      <c r="AA137" s="30"/>
    </row>
    <row r="138">
      <c r="A138" s="30"/>
      <c r="B138" s="30"/>
      <c r="C138" s="30"/>
      <c r="D138" s="30"/>
      <c r="E138" s="74"/>
      <c r="F138" s="30"/>
      <c r="G138" s="30"/>
      <c r="H138" s="30"/>
      <c r="I138" s="30"/>
      <c r="J138" s="30"/>
      <c r="K138" s="30"/>
      <c r="L138" s="30"/>
      <c r="M138" s="30"/>
      <c r="N138" s="30"/>
      <c r="O138" s="30"/>
      <c r="P138" s="30"/>
      <c r="Q138" s="30"/>
      <c r="R138" s="30"/>
      <c r="S138" s="30"/>
      <c r="T138" s="30"/>
      <c r="U138" s="30"/>
      <c r="V138" s="30"/>
      <c r="W138" s="30"/>
      <c r="X138" s="30"/>
      <c r="Y138" s="30"/>
      <c r="Z138" s="30"/>
      <c r="AA138" s="30"/>
    </row>
    <row r="139">
      <c r="A139" s="30"/>
      <c r="B139" s="30"/>
      <c r="C139" s="30"/>
      <c r="D139" s="30"/>
      <c r="E139" s="74"/>
      <c r="F139" s="30"/>
      <c r="G139" s="30"/>
      <c r="H139" s="30"/>
      <c r="I139" s="30"/>
      <c r="J139" s="30"/>
      <c r="K139" s="30"/>
      <c r="L139" s="30"/>
      <c r="M139" s="30"/>
      <c r="N139" s="30"/>
      <c r="O139" s="30"/>
      <c r="P139" s="30"/>
      <c r="Q139" s="30"/>
      <c r="R139" s="30"/>
      <c r="S139" s="30"/>
      <c r="T139" s="30"/>
      <c r="U139" s="30"/>
      <c r="V139" s="30"/>
      <c r="W139" s="30"/>
      <c r="X139" s="30"/>
      <c r="Y139" s="30"/>
      <c r="Z139" s="30"/>
      <c r="AA139" s="30"/>
    </row>
    <row r="140">
      <c r="A140" s="30"/>
      <c r="B140" s="30"/>
      <c r="C140" s="30"/>
      <c r="D140" s="30"/>
      <c r="E140" s="74"/>
      <c r="F140" s="30"/>
      <c r="G140" s="30"/>
      <c r="H140" s="30"/>
      <c r="I140" s="30"/>
      <c r="J140" s="30"/>
      <c r="K140" s="30"/>
      <c r="L140" s="30"/>
      <c r="M140" s="30"/>
      <c r="N140" s="30"/>
      <c r="O140" s="30"/>
      <c r="P140" s="30"/>
      <c r="Q140" s="30"/>
      <c r="R140" s="30"/>
      <c r="S140" s="30"/>
      <c r="T140" s="30"/>
      <c r="U140" s="30"/>
      <c r="V140" s="30"/>
      <c r="W140" s="30"/>
      <c r="X140" s="30"/>
      <c r="Y140" s="30"/>
      <c r="Z140" s="30"/>
      <c r="AA140" s="30"/>
    </row>
    <row r="141">
      <c r="A141" s="30"/>
      <c r="B141" s="30"/>
      <c r="C141" s="30"/>
      <c r="D141" s="30"/>
      <c r="E141" s="74"/>
      <c r="F141" s="30"/>
      <c r="G141" s="30"/>
      <c r="H141" s="30"/>
      <c r="I141" s="30"/>
      <c r="J141" s="30"/>
      <c r="K141" s="30"/>
      <c r="L141" s="30"/>
      <c r="M141" s="30"/>
      <c r="N141" s="30"/>
      <c r="O141" s="30"/>
      <c r="P141" s="30"/>
      <c r="Q141" s="30"/>
      <c r="R141" s="30"/>
      <c r="S141" s="30"/>
      <c r="T141" s="30"/>
      <c r="U141" s="30"/>
      <c r="V141" s="30"/>
      <c r="W141" s="30"/>
      <c r="X141" s="30"/>
      <c r="Y141" s="30"/>
      <c r="Z141" s="30"/>
      <c r="AA141" s="30"/>
    </row>
    <row r="142">
      <c r="A142" s="30"/>
      <c r="B142" s="30"/>
      <c r="C142" s="30"/>
      <c r="D142" s="30"/>
      <c r="E142" s="74"/>
      <c r="F142" s="30"/>
      <c r="G142" s="30"/>
      <c r="H142" s="30"/>
      <c r="I142" s="30"/>
      <c r="J142" s="30"/>
      <c r="K142" s="30"/>
      <c r="L142" s="30"/>
      <c r="M142" s="30"/>
      <c r="N142" s="30"/>
      <c r="O142" s="30"/>
      <c r="P142" s="30"/>
      <c r="Q142" s="30"/>
      <c r="R142" s="30"/>
      <c r="S142" s="30"/>
      <c r="T142" s="30"/>
      <c r="U142" s="30"/>
      <c r="V142" s="30"/>
      <c r="W142" s="30"/>
      <c r="X142" s="30"/>
      <c r="Y142" s="30"/>
      <c r="Z142" s="30"/>
      <c r="AA142" s="30"/>
    </row>
    <row r="143">
      <c r="A143" s="30"/>
      <c r="B143" s="30"/>
      <c r="C143" s="30"/>
      <c r="D143" s="30"/>
      <c r="E143" s="74"/>
      <c r="F143" s="30"/>
      <c r="G143" s="30"/>
      <c r="H143" s="30"/>
      <c r="I143" s="30"/>
      <c r="J143" s="30"/>
      <c r="K143" s="30"/>
      <c r="L143" s="30"/>
      <c r="M143" s="30"/>
      <c r="N143" s="30"/>
      <c r="O143" s="30"/>
      <c r="P143" s="30"/>
      <c r="Q143" s="30"/>
      <c r="R143" s="30"/>
      <c r="S143" s="30"/>
      <c r="T143" s="30"/>
      <c r="U143" s="30"/>
      <c r="V143" s="30"/>
      <c r="W143" s="30"/>
      <c r="X143" s="30"/>
      <c r="Y143" s="30"/>
      <c r="Z143" s="30"/>
      <c r="AA143" s="30"/>
    </row>
    <row r="144">
      <c r="A144" s="30"/>
      <c r="B144" s="30"/>
      <c r="C144" s="30"/>
      <c r="D144" s="30"/>
      <c r="E144" s="74"/>
      <c r="F144" s="30"/>
      <c r="G144" s="30"/>
      <c r="H144" s="30"/>
      <c r="I144" s="30"/>
      <c r="J144" s="30"/>
      <c r="K144" s="30"/>
      <c r="L144" s="30"/>
      <c r="M144" s="30"/>
      <c r="N144" s="30"/>
      <c r="O144" s="30"/>
      <c r="P144" s="30"/>
      <c r="Q144" s="30"/>
      <c r="R144" s="30"/>
      <c r="S144" s="30"/>
      <c r="T144" s="30"/>
      <c r="U144" s="30"/>
      <c r="V144" s="30"/>
      <c r="W144" s="30"/>
      <c r="X144" s="30"/>
      <c r="Y144" s="30"/>
      <c r="Z144" s="30"/>
      <c r="AA144" s="30"/>
    </row>
    <row r="145">
      <c r="A145" s="30"/>
      <c r="B145" s="30"/>
      <c r="C145" s="30"/>
      <c r="D145" s="30"/>
      <c r="E145" s="74"/>
      <c r="F145" s="30"/>
      <c r="G145" s="30"/>
      <c r="H145" s="30"/>
      <c r="I145" s="30"/>
      <c r="J145" s="30"/>
      <c r="K145" s="30"/>
      <c r="L145" s="30"/>
      <c r="M145" s="30"/>
      <c r="N145" s="30"/>
      <c r="O145" s="30"/>
      <c r="P145" s="30"/>
      <c r="Q145" s="30"/>
      <c r="R145" s="30"/>
      <c r="S145" s="30"/>
      <c r="T145" s="30"/>
      <c r="U145" s="30"/>
      <c r="V145" s="30"/>
      <c r="W145" s="30"/>
      <c r="X145" s="30"/>
      <c r="Y145" s="30"/>
      <c r="Z145" s="30"/>
      <c r="AA145" s="30"/>
    </row>
    <row r="146">
      <c r="A146" s="30"/>
      <c r="B146" s="30"/>
      <c r="C146" s="30"/>
      <c r="D146" s="30"/>
      <c r="E146" s="74"/>
      <c r="F146" s="30"/>
      <c r="G146" s="30"/>
      <c r="H146" s="30"/>
      <c r="I146" s="30"/>
      <c r="J146" s="30"/>
      <c r="K146" s="30"/>
      <c r="L146" s="30"/>
      <c r="M146" s="30"/>
      <c r="N146" s="30"/>
      <c r="O146" s="30"/>
      <c r="P146" s="30"/>
      <c r="Q146" s="30"/>
      <c r="R146" s="30"/>
      <c r="S146" s="30"/>
      <c r="T146" s="30"/>
      <c r="U146" s="30"/>
      <c r="V146" s="30"/>
      <c r="W146" s="30"/>
      <c r="X146" s="30"/>
      <c r="Y146" s="30"/>
      <c r="Z146" s="30"/>
      <c r="AA146" s="30"/>
    </row>
    <row r="147">
      <c r="A147" s="30"/>
      <c r="B147" s="30"/>
      <c r="C147" s="30"/>
      <c r="D147" s="30"/>
      <c r="E147" s="74"/>
      <c r="F147" s="30"/>
      <c r="G147" s="30"/>
      <c r="H147" s="30"/>
      <c r="I147" s="30"/>
      <c r="J147" s="30"/>
      <c r="K147" s="30"/>
      <c r="L147" s="30"/>
      <c r="M147" s="30"/>
      <c r="N147" s="30"/>
      <c r="O147" s="30"/>
      <c r="P147" s="30"/>
      <c r="Q147" s="30"/>
      <c r="R147" s="30"/>
      <c r="S147" s="30"/>
      <c r="T147" s="30"/>
      <c r="U147" s="30"/>
      <c r="V147" s="30"/>
      <c r="W147" s="30"/>
      <c r="X147" s="30"/>
      <c r="Y147" s="30"/>
      <c r="Z147" s="30"/>
      <c r="AA147" s="30"/>
    </row>
    <row r="148">
      <c r="A148" s="30"/>
      <c r="B148" s="30"/>
      <c r="C148" s="30"/>
      <c r="D148" s="30"/>
      <c r="E148" s="74"/>
      <c r="F148" s="30"/>
      <c r="G148" s="30"/>
      <c r="H148" s="30"/>
      <c r="I148" s="30"/>
      <c r="J148" s="30"/>
      <c r="K148" s="30"/>
      <c r="L148" s="30"/>
      <c r="M148" s="30"/>
      <c r="N148" s="30"/>
      <c r="O148" s="30"/>
      <c r="P148" s="30"/>
      <c r="Q148" s="30"/>
      <c r="R148" s="30"/>
      <c r="S148" s="30"/>
      <c r="T148" s="30"/>
      <c r="U148" s="30"/>
      <c r="V148" s="30"/>
      <c r="W148" s="30"/>
      <c r="X148" s="30"/>
      <c r="Y148" s="30"/>
      <c r="Z148" s="30"/>
      <c r="AA148" s="30"/>
    </row>
    <row r="149">
      <c r="A149" s="30"/>
      <c r="B149" s="30"/>
      <c r="C149" s="30"/>
      <c r="D149" s="30"/>
      <c r="E149" s="74"/>
      <c r="F149" s="30"/>
      <c r="G149" s="30"/>
      <c r="H149" s="30"/>
      <c r="I149" s="30"/>
      <c r="J149" s="30"/>
      <c r="K149" s="30"/>
      <c r="L149" s="30"/>
      <c r="M149" s="30"/>
      <c r="N149" s="30"/>
      <c r="O149" s="30"/>
      <c r="P149" s="30"/>
      <c r="Q149" s="30"/>
      <c r="R149" s="30"/>
      <c r="S149" s="30"/>
      <c r="T149" s="30"/>
      <c r="U149" s="30"/>
      <c r="V149" s="30"/>
      <c r="W149" s="30"/>
      <c r="X149" s="30"/>
      <c r="Y149" s="30"/>
      <c r="Z149" s="30"/>
      <c r="AA149" s="30"/>
    </row>
    <row r="150">
      <c r="A150" s="30"/>
      <c r="B150" s="30"/>
      <c r="C150" s="30"/>
      <c r="D150" s="30"/>
      <c r="E150" s="74"/>
      <c r="F150" s="30"/>
      <c r="G150" s="30"/>
      <c r="H150" s="30"/>
      <c r="I150" s="30"/>
      <c r="J150" s="30"/>
      <c r="K150" s="30"/>
      <c r="L150" s="30"/>
      <c r="M150" s="30"/>
      <c r="N150" s="30"/>
      <c r="O150" s="30"/>
      <c r="P150" s="30"/>
      <c r="Q150" s="30"/>
      <c r="R150" s="30"/>
      <c r="S150" s="30"/>
      <c r="T150" s="30"/>
      <c r="U150" s="30"/>
      <c r="V150" s="30"/>
      <c r="W150" s="30"/>
      <c r="X150" s="30"/>
      <c r="Y150" s="30"/>
      <c r="Z150" s="30"/>
      <c r="AA150" s="30"/>
    </row>
    <row r="151">
      <c r="A151" s="30"/>
      <c r="B151" s="30"/>
      <c r="C151" s="30"/>
      <c r="D151" s="30"/>
      <c r="E151" s="74"/>
      <c r="F151" s="30"/>
      <c r="G151" s="30"/>
      <c r="H151" s="30"/>
      <c r="I151" s="30"/>
      <c r="J151" s="30"/>
      <c r="K151" s="30"/>
      <c r="L151" s="30"/>
      <c r="M151" s="30"/>
      <c r="N151" s="30"/>
      <c r="O151" s="30"/>
      <c r="P151" s="30"/>
      <c r="Q151" s="30"/>
      <c r="R151" s="30"/>
      <c r="S151" s="30"/>
      <c r="T151" s="30"/>
      <c r="U151" s="30"/>
      <c r="V151" s="30"/>
      <c r="W151" s="30"/>
      <c r="X151" s="30"/>
      <c r="Y151" s="30"/>
      <c r="Z151" s="30"/>
      <c r="AA151" s="30"/>
    </row>
    <row r="152">
      <c r="A152" s="30"/>
      <c r="B152" s="30"/>
      <c r="C152" s="30"/>
      <c r="D152" s="30"/>
      <c r="E152" s="74"/>
      <c r="F152" s="30"/>
      <c r="G152" s="30"/>
      <c r="H152" s="30"/>
      <c r="I152" s="30"/>
      <c r="J152" s="30"/>
      <c r="K152" s="30"/>
      <c r="L152" s="30"/>
      <c r="M152" s="30"/>
      <c r="N152" s="30"/>
      <c r="O152" s="30"/>
      <c r="P152" s="30"/>
      <c r="Q152" s="30"/>
      <c r="R152" s="30"/>
      <c r="S152" s="30"/>
      <c r="T152" s="30"/>
      <c r="U152" s="30"/>
      <c r="V152" s="30"/>
      <c r="W152" s="30"/>
      <c r="X152" s="30"/>
      <c r="Y152" s="30"/>
      <c r="Z152" s="30"/>
      <c r="AA152" s="30"/>
    </row>
    <row r="153">
      <c r="A153" s="30"/>
      <c r="B153" s="30"/>
      <c r="C153" s="30"/>
      <c r="D153" s="30"/>
      <c r="E153" s="74"/>
      <c r="F153" s="30"/>
      <c r="G153" s="30"/>
      <c r="H153" s="30"/>
      <c r="I153" s="30"/>
      <c r="J153" s="30"/>
      <c r="K153" s="30"/>
      <c r="L153" s="30"/>
      <c r="M153" s="30"/>
      <c r="N153" s="30"/>
      <c r="O153" s="30"/>
      <c r="P153" s="30"/>
      <c r="Q153" s="30"/>
      <c r="R153" s="30"/>
      <c r="S153" s="30"/>
      <c r="T153" s="30"/>
      <c r="U153" s="30"/>
      <c r="V153" s="30"/>
      <c r="W153" s="30"/>
      <c r="X153" s="30"/>
      <c r="Y153" s="30"/>
      <c r="Z153" s="30"/>
      <c r="AA153" s="30"/>
    </row>
    <row r="154">
      <c r="A154" s="30"/>
      <c r="B154" s="30"/>
      <c r="C154" s="30"/>
      <c r="D154" s="30"/>
      <c r="E154" s="74"/>
      <c r="F154" s="30"/>
      <c r="G154" s="30"/>
      <c r="H154" s="30"/>
      <c r="I154" s="30"/>
      <c r="J154" s="30"/>
      <c r="K154" s="30"/>
      <c r="L154" s="30"/>
      <c r="M154" s="30"/>
      <c r="N154" s="30"/>
      <c r="O154" s="30"/>
      <c r="P154" s="30"/>
      <c r="Q154" s="30"/>
      <c r="R154" s="30"/>
      <c r="S154" s="30"/>
      <c r="T154" s="30"/>
      <c r="U154" s="30"/>
      <c r="V154" s="30"/>
      <c r="W154" s="30"/>
      <c r="X154" s="30"/>
      <c r="Y154" s="30"/>
      <c r="Z154" s="30"/>
      <c r="AA154" s="30"/>
    </row>
    <row r="155">
      <c r="A155" s="30"/>
      <c r="B155" s="30"/>
      <c r="C155" s="30"/>
      <c r="D155" s="30"/>
      <c r="E155" s="74"/>
      <c r="F155" s="30"/>
      <c r="G155" s="30"/>
      <c r="H155" s="30"/>
      <c r="I155" s="30"/>
      <c r="J155" s="30"/>
      <c r="K155" s="30"/>
      <c r="L155" s="30"/>
      <c r="M155" s="30"/>
      <c r="N155" s="30"/>
      <c r="O155" s="30"/>
      <c r="P155" s="30"/>
      <c r="Q155" s="30"/>
      <c r="R155" s="30"/>
      <c r="S155" s="30"/>
      <c r="T155" s="30"/>
      <c r="U155" s="30"/>
      <c r="V155" s="30"/>
      <c r="W155" s="30"/>
      <c r="X155" s="30"/>
      <c r="Y155" s="30"/>
      <c r="Z155" s="30"/>
      <c r="AA155" s="30"/>
    </row>
    <row r="156">
      <c r="A156" s="30"/>
      <c r="B156" s="30"/>
      <c r="C156" s="30"/>
      <c r="D156" s="30"/>
      <c r="E156" s="74"/>
      <c r="F156" s="30"/>
      <c r="G156" s="30"/>
      <c r="H156" s="30"/>
      <c r="I156" s="30"/>
      <c r="J156" s="30"/>
      <c r="K156" s="30"/>
      <c r="L156" s="30"/>
      <c r="M156" s="30"/>
      <c r="N156" s="30"/>
      <c r="O156" s="30"/>
      <c r="P156" s="30"/>
      <c r="Q156" s="30"/>
      <c r="R156" s="30"/>
      <c r="S156" s="30"/>
      <c r="T156" s="30"/>
      <c r="U156" s="30"/>
      <c r="V156" s="30"/>
      <c r="W156" s="30"/>
      <c r="X156" s="30"/>
      <c r="Y156" s="30"/>
      <c r="Z156" s="30"/>
      <c r="AA156" s="30"/>
    </row>
    <row r="157">
      <c r="A157" s="30"/>
      <c r="B157" s="30"/>
      <c r="C157" s="30"/>
      <c r="D157" s="30"/>
      <c r="E157" s="74"/>
      <c r="F157" s="30"/>
      <c r="G157" s="30"/>
      <c r="H157" s="30"/>
      <c r="I157" s="30"/>
      <c r="J157" s="30"/>
      <c r="K157" s="30"/>
      <c r="L157" s="30"/>
      <c r="M157" s="30"/>
      <c r="N157" s="30"/>
      <c r="O157" s="30"/>
      <c r="P157" s="30"/>
      <c r="Q157" s="30"/>
      <c r="R157" s="30"/>
      <c r="S157" s="30"/>
      <c r="T157" s="30"/>
      <c r="U157" s="30"/>
      <c r="V157" s="30"/>
      <c r="W157" s="30"/>
      <c r="X157" s="30"/>
      <c r="Y157" s="30"/>
      <c r="Z157" s="30"/>
      <c r="AA157" s="30"/>
    </row>
    <row r="158">
      <c r="A158" s="30"/>
      <c r="B158" s="30"/>
      <c r="C158" s="30"/>
      <c r="D158" s="30"/>
      <c r="E158" s="74"/>
      <c r="F158" s="30"/>
      <c r="G158" s="30"/>
      <c r="H158" s="30"/>
      <c r="I158" s="30"/>
      <c r="J158" s="30"/>
      <c r="K158" s="30"/>
      <c r="L158" s="30"/>
      <c r="M158" s="30"/>
      <c r="N158" s="30"/>
      <c r="O158" s="30"/>
      <c r="P158" s="30"/>
      <c r="Q158" s="30"/>
      <c r="R158" s="30"/>
      <c r="S158" s="30"/>
      <c r="T158" s="30"/>
      <c r="U158" s="30"/>
      <c r="V158" s="30"/>
      <c r="W158" s="30"/>
      <c r="X158" s="30"/>
      <c r="Y158" s="30"/>
      <c r="Z158" s="30"/>
      <c r="AA158" s="30"/>
    </row>
    <row r="159">
      <c r="A159" s="30"/>
      <c r="B159" s="30"/>
      <c r="C159" s="30"/>
      <c r="D159" s="30"/>
      <c r="E159" s="74"/>
      <c r="F159" s="30"/>
      <c r="G159" s="30"/>
      <c r="H159" s="30"/>
      <c r="I159" s="30"/>
      <c r="J159" s="30"/>
      <c r="K159" s="30"/>
      <c r="L159" s="30"/>
      <c r="M159" s="30"/>
      <c r="N159" s="30"/>
      <c r="O159" s="30"/>
      <c r="P159" s="30"/>
      <c r="Q159" s="30"/>
      <c r="R159" s="30"/>
      <c r="S159" s="30"/>
      <c r="T159" s="30"/>
      <c r="U159" s="30"/>
      <c r="V159" s="30"/>
      <c r="W159" s="30"/>
      <c r="X159" s="30"/>
      <c r="Y159" s="30"/>
      <c r="Z159" s="30"/>
      <c r="AA159" s="30"/>
    </row>
    <row r="160">
      <c r="A160" s="30"/>
      <c r="B160" s="30"/>
      <c r="C160" s="30"/>
      <c r="D160" s="30"/>
      <c r="E160" s="74"/>
      <c r="F160" s="30"/>
      <c r="G160" s="30"/>
      <c r="H160" s="30"/>
      <c r="I160" s="30"/>
      <c r="J160" s="30"/>
      <c r="K160" s="30"/>
      <c r="L160" s="30"/>
      <c r="M160" s="30"/>
      <c r="N160" s="30"/>
      <c r="O160" s="30"/>
      <c r="P160" s="30"/>
      <c r="Q160" s="30"/>
      <c r="R160" s="30"/>
      <c r="S160" s="30"/>
      <c r="T160" s="30"/>
      <c r="U160" s="30"/>
      <c r="V160" s="30"/>
      <c r="W160" s="30"/>
      <c r="X160" s="30"/>
      <c r="Y160" s="30"/>
      <c r="Z160" s="30"/>
      <c r="AA160" s="30"/>
    </row>
    <row r="161">
      <c r="A161" s="30"/>
      <c r="B161" s="30"/>
      <c r="C161" s="30"/>
      <c r="D161" s="30"/>
      <c r="E161" s="74"/>
      <c r="F161" s="30"/>
      <c r="G161" s="30"/>
      <c r="H161" s="30"/>
      <c r="I161" s="30"/>
      <c r="J161" s="30"/>
      <c r="K161" s="30"/>
      <c r="L161" s="30"/>
      <c r="M161" s="30"/>
      <c r="N161" s="30"/>
      <c r="O161" s="30"/>
      <c r="P161" s="30"/>
      <c r="Q161" s="30"/>
      <c r="R161" s="30"/>
      <c r="S161" s="30"/>
      <c r="T161" s="30"/>
      <c r="U161" s="30"/>
      <c r="V161" s="30"/>
      <c r="W161" s="30"/>
      <c r="X161" s="30"/>
      <c r="Y161" s="30"/>
      <c r="Z161" s="30"/>
      <c r="AA161" s="30"/>
    </row>
    <row r="162">
      <c r="A162" s="30"/>
      <c r="B162" s="30"/>
      <c r="C162" s="30"/>
      <c r="D162" s="30"/>
      <c r="E162" s="74"/>
      <c r="F162" s="30"/>
      <c r="G162" s="30"/>
      <c r="H162" s="30"/>
      <c r="I162" s="30"/>
      <c r="J162" s="30"/>
      <c r="K162" s="30"/>
      <c r="L162" s="30"/>
      <c r="M162" s="30"/>
      <c r="N162" s="30"/>
      <c r="O162" s="30"/>
      <c r="P162" s="30"/>
      <c r="Q162" s="30"/>
      <c r="R162" s="30"/>
      <c r="S162" s="30"/>
      <c r="T162" s="30"/>
      <c r="U162" s="30"/>
      <c r="V162" s="30"/>
      <c r="W162" s="30"/>
      <c r="X162" s="30"/>
      <c r="Y162" s="30"/>
      <c r="Z162" s="30"/>
      <c r="AA162" s="30"/>
    </row>
    <row r="163">
      <c r="A163" s="30"/>
      <c r="B163" s="30"/>
      <c r="C163" s="30"/>
      <c r="D163" s="30"/>
      <c r="E163" s="74"/>
      <c r="F163" s="30"/>
      <c r="G163" s="30"/>
      <c r="H163" s="30"/>
      <c r="I163" s="30"/>
      <c r="J163" s="30"/>
      <c r="K163" s="30"/>
      <c r="L163" s="30"/>
      <c r="M163" s="30"/>
      <c r="N163" s="30"/>
      <c r="O163" s="30"/>
      <c r="P163" s="30"/>
      <c r="Q163" s="30"/>
      <c r="R163" s="30"/>
      <c r="S163" s="30"/>
      <c r="T163" s="30"/>
      <c r="U163" s="30"/>
      <c r="V163" s="30"/>
      <c r="W163" s="30"/>
      <c r="X163" s="30"/>
      <c r="Y163" s="30"/>
      <c r="Z163" s="30"/>
      <c r="AA163" s="30"/>
    </row>
    <row r="164">
      <c r="A164" s="30"/>
      <c r="B164" s="30"/>
      <c r="C164" s="30"/>
      <c r="D164" s="30"/>
      <c r="E164" s="74"/>
      <c r="F164" s="30"/>
      <c r="G164" s="30"/>
      <c r="H164" s="30"/>
      <c r="I164" s="30"/>
      <c r="J164" s="30"/>
      <c r="K164" s="30"/>
      <c r="L164" s="30"/>
      <c r="M164" s="30"/>
      <c r="N164" s="30"/>
      <c r="O164" s="30"/>
      <c r="P164" s="30"/>
      <c r="Q164" s="30"/>
      <c r="R164" s="30"/>
      <c r="S164" s="30"/>
      <c r="T164" s="30"/>
      <c r="U164" s="30"/>
      <c r="V164" s="30"/>
      <c r="W164" s="30"/>
      <c r="X164" s="30"/>
      <c r="Y164" s="30"/>
      <c r="Z164" s="30"/>
      <c r="AA164" s="30"/>
    </row>
    <row r="165">
      <c r="A165" s="30"/>
      <c r="B165" s="30"/>
      <c r="C165" s="30"/>
      <c r="D165" s="30"/>
      <c r="E165" s="74"/>
      <c r="F165" s="30"/>
      <c r="G165" s="30"/>
      <c r="H165" s="30"/>
      <c r="I165" s="30"/>
      <c r="J165" s="30"/>
      <c r="K165" s="30"/>
      <c r="L165" s="30"/>
      <c r="M165" s="30"/>
      <c r="N165" s="30"/>
      <c r="O165" s="30"/>
      <c r="P165" s="30"/>
      <c r="Q165" s="30"/>
      <c r="R165" s="30"/>
      <c r="S165" s="30"/>
      <c r="T165" s="30"/>
      <c r="U165" s="30"/>
      <c r="V165" s="30"/>
      <c r="W165" s="30"/>
      <c r="X165" s="30"/>
      <c r="Y165" s="30"/>
      <c r="Z165" s="30"/>
      <c r="AA165" s="30"/>
    </row>
    <row r="166">
      <c r="A166" s="30"/>
      <c r="B166" s="30"/>
      <c r="C166" s="30"/>
      <c r="D166" s="30"/>
      <c r="E166" s="74"/>
      <c r="F166" s="30"/>
      <c r="G166" s="30"/>
      <c r="H166" s="30"/>
      <c r="I166" s="30"/>
      <c r="J166" s="30"/>
      <c r="K166" s="30"/>
      <c r="L166" s="30"/>
      <c r="M166" s="30"/>
      <c r="N166" s="30"/>
      <c r="O166" s="30"/>
      <c r="P166" s="30"/>
      <c r="Q166" s="30"/>
      <c r="R166" s="30"/>
      <c r="S166" s="30"/>
      <c r="T166" s="30"/>
      <c r="U166" s="30"/>
      <c r="V166" s="30"/>
      <c r="W166" s="30"/>
      <c r="X166" s="30"/>
      <c r="Y166" s="30"/>
      <c r="Z166" s="30"/>
      <c r="AA166" s="30"/>
    </row>
    <row r="167">
      <c r="A167" s="30"/>
      <c r="B167" s="30"/>
      <c r="C167" s="30"/>
      <c r="D167" s="30"/>
      <c r="E167" s="74"/>
      <c r="F167" s="30"/>
      <c r="G167" s="30"/>
      <c r="H167" s="30"/>
      <c r="I167" s="30"/>
      <c r="J167" s="30"/>
      <c r="K167" s="30"/>
      <c r="L167" s="30"/>
      <c r="M167" s="30"/>
      <c r="N167" s="30"/>
      <c r="O167" s="30"/>
      <c r="P167" s="30"/>
      <c r="Q167" s="30"/>
      <c r="R167" s="30"/>
      <c r="S167" s="30"/>
      <c r="T167" s="30"/>
      <c r="U167" s="30"/>
      <c r="V167" s="30"/>
      <c r="W167" s="30"/>
      <c r="X167" s="30"/>
      <c r="Y167" s="30"/>
      <c r="Z167" s="30"/>
      <c r="AA167" s="30"/>
    </row>
    <row r="168">
      <c r="A168" s="30"/>
      <c r="B168" s="30"/>
      <c r="C168" s="30"/>
      <c r="D168" s="30"/>
      <c r="E168" s="74"/>
      <c r="F168" s="30"/>
      <c r="G168" s="30"/>
      <c r="H168" s="30"/>
      <c r="I168" s="30"/>
      <c r="J168" s="30"/>
      <c r="K168" s="30"/>
      <c r="L168" s="30"/>
      <c r="M168" s="30"/>
      <c r="N168" s="30"/>
      <c r="O168" s="30"/>
      <c r="P168" s="30"/>
      <c r="Q168" s="30"/>
      <c r="R168" s="30"/>
      <c r="S168" s="30"/>
      <c r="T168" s="30"/>
      <c r="U168" s="30"/>
      <c r="V168" s="30"/>
      <c r="W168" s="30"/>
      <c r="X168" s="30"/>
      <c r="Y168" s="30"/>
      <c r="Z168" s="30"/>
      <c r="AA168" s="30"/>
    </row>
    <row r="169">
      <c r="A169" s="30"/>
      <c r="B169" s="30"/>
      <c r="C169" s="30"/>
      <c r="D169" s="30"/>
      <c r="E169" s="74"/>
      <c r="F169" s="30"/>
      <c r="G169" s="30"/>
      <c r="H169" s="30"/>
      <c r="I169" s="30"/>
      <c r="J169" s="30"/>
      <c r="K169" s="30"/>
      <c r="L169" s="30"/>
      <c r="M169" s="30"/>
      <c r="N169" s="30"/>
      <c r="O169" s="30"/>
      <c r="P169" s="30"/>
      <c r="Q169" s="30"/>
      <c r="R169" s="30"/>
      <c r="S169" s="30"/>
      <c r="T169" s="30"/>
      <c r="U169" s="30"/>
      <c r="V169" s="30"/>
      <c r="W169" s="30"/>
      <c r="X169" s="30"/>
      <c r="Y169" s="30"/>
      <c r="Z169" s="30"/>
      <c r="AA169" s="30"/>
    </row>
    <row r="170">
      <c r="A170" s="30"/>
      <c r="B170" s="30"/>
      <c r="C170" s="30"/>
      <c r="D170" s="30"/>
      <c r="E170" s="74"/>
      <c r="F170" s="30"/>
      <c r="G170" s="30"/>
      <c r="H170" s="30"/>
      <c r="I170" s="30"/>
      <c r="J170" s="30"/>
      <c r="K170" s="30"/>
      <c r="L170" s="30"/>
      <c r="M170" s="30"/>
      <c r="N170" s="30"/>
      <c r="O170" s="30"/>
      <c r="P170" s="30"/>
      <c r="Q170" s="30"/>
      <c r="R170" s="30"/>
      <c r="S170" s="30"/>
      <c r="T170" s="30"/>
      <c r="U170" s="30"/>
      <c r="V170" s="30"/>
      <c r="W170" s="30"/>
      <c r="X170" s="30"/>
      <c r="Y170" s="30"/>
      <c r="Z170" s="30"/>
      <c r="AA170" s="30"/>
    </row>
    <row r="171">
      <c r="A171" s="30"/>
      <c r="B171" s="30"/>
      <c r="C171" s="30"/>
      <c r="D171" s="30"/>
      <c r="E171" s="74"/>
      <c r="F171" s="30"/>
      <c r="G171" s="30"/>
      <c r="H171" s="30"/>
      <c r="I171" s="30"/>
      <c r="J171" s="30"/>
      <c r="K171" s="30"/>
      <c r="L171" s="30"/>
      <c r="M171" s="30"/>
      <c r="N171" s="30"/>
      <c r="O171" s="30"/>
      <c r="P171" s="30"/>
      <c r="Q171" s="30"/>
      <c r="R171" s="30"/>
      <c r="S171" s="30"/>
      <c r="T171" s="30"/>
      <c r="U171" s="30"/>
      <c r="V171" s="30"/>
      <c r="W171" s="30"/>
      <c r="X171" s="30"/>
      <c r="Y171" s="30"/>
      <c r="Z171" s="30"/>
      <c r="AA171" s="30"/>
    </row>
    <row r="172">
      <c r="A172" s="30"/>
      <c r="B172" s="30"/>
      <c r="C172" s="30"/>
      <c r="D172" s="30"/>
      <c r="E172" s="74"/>
      <c r="F172" s="30"/>
      <c r="G172" s="30"/>
      <c r="H172" s="30"/>
      <c r="I172" s="30"/>
      <c r="J172" s="30"/>
      <c r="K172" s="30"/>
      <c r="L172" s="30"/>
      <c r="M172" s="30"/>
      <c r="N172" s="30"/>
      <c r="O172" s="30"/>
      <c r="P172" s="30"/>
      <c r="Q172" s="30"/>
      <c r="R172" s="30"/>
      <c r="S172" s="30"/>
      <c r="T172" s="30"/>
      <c r="U172" s="30"/>
      <c r="V172" s="30"/>
      <c r="W172" s="30"/>
      <c r="X172" s="30"/>
      <c r="Y172" s="30"/>
      <c r="Z172" s="30"/>
      <c r="AA172" s="30"/>
    </row>
    <row r="173">
      <c r="A173" s="30"/>
      <c r="B173" s="30"/>
      <c r="C173" s="30"/>
      <c r="D173" s="30"/>
      <c r="E173" s="74"/>
      <c r="F173" s="30"/>
      <c r="G173" s="30"/>
      <c r="H173" s="30"/>
      <c r="I173" s="30"/>
      <c r="J173" s="30"/>
      <c r="K173" s="30"/>
      <c r="L173" s="30"/>
      <c r="M173" s="30"/>
      <c r="N173" s="30"/>
      <c r="O173" s="30"/>
      <c r="P173" s="30"/>
      <c r="Q173" s="30"/>
      <c r="R173" s="30"/>
      <c r="S173" s="30"/>
      <c r="T173" s="30"/>
      <c r="U173" s="30"/>
      <c r="V173" s="30"/>
      <c r="W173" s="30"/>
      <c r="X173" s="30"/>
      <c r="Y173" s="30"/>
      <c r="Z173" s="30"/>
      <c r="AA173" s="30"/>
    </row>
    <row r="174">
      <c r="A174" s="30"/>
      <c r="B174" s="30"/>
      <c r="C174" s="30"/>
      <c r="D174" s="30"/>
      <c r="E174" s="74"/>
      <c r="F174" s="30"/>
      <c r="G174" s="30"/>
      <c r="H174" s="30"/>
      <c r="I174" s="30"/>
      <c r="J174" s="30"/>
      <c r="K174" s="30"/>
      <c r="L174" s="30"/>
      <c r="M174" s="30"/>
      <c r="N174" s="30"/>
      <c r="O174" s="30"/>
      <c r="P174" s="30"/>
      <c r="Q174" s="30"/>
      <c r="R174" s="30"/>
      <c r="S174" s="30"/>
      <c r="T174" s="30"/>
      <c r="U174" s="30"/>
      <c r="V174" s="30"/>
      <c r="W174" s="30"/>
      <c r="X174" s="30"/>
      <c r="Y174" s="30"/>
      <c r="Z174" s="30"/>
      <c r="AA174" s="30"/>
    </row>
    <row r="175">
      <c r="A175" s="30"/>
      <c r="B175" s="30"/>
      <c r="C175" s="30"/>
      <c r="D175" s="30"/>
      <c r="E175" s="74"/>
      <c r="F175" s="30"/>
      <c r="G175" s="30"/>
      <c r="H175" s="30"/>
      <c r="I175" s="30"/>
      <c r="J175" s="30"/>
      <c r="K175" s="30"/>
      <c r="L175" s="30"/>
      <c r="M175" s="30"/>
      <c r="N175" s="30"/>
      <c r="O175" s="30"/>
      <c r="P175" s="30"/>
      <c r="Q175" s="30"/>
      <c r="R175" s="30"/>
      <c r="S175" s="30"/>
      <c r="T175" s="30"/>
      <c r="U175" s="30"/>
      <c r="V175" s="30"/>
      <c r="W175" s="30"/>
      <c r="X175" s="30"/>
      <c r="Y175" s="30"/>
      <c r="Z175" s="30"/>
      <c r="AA175" s="30"/>
    </row>
    <row r="176">
      <c r="A176" s="30"/>
      <c r="B176" s="30"/>
      <c r="C176" s="30"/>
      <c r="D176" s="30"/>
      <c r="E176" s="74"/>
      <c r="F176" s="30"/>
      <c r="G176" s="30"/>
      <c r="H176" s="30"/>
      <c r="I176" s="30"/>
      <c r="J176" s="30"/>
      <c r="K176" s="30"/>
      <c r="L176" s="30"/>
      <c r="M176" s="30"/>
      <c r="N176" s="30"/>
      <c r="O176" s="30"/>
      <c r="P176" s="30"/>
      <c r="Q176" s="30"/>
      <c r="R176" s="30"/>
      <c r="S176" s="30"/>
      <c r="T176" s="30"/>
      <c r="U176" s="30"/>
      <c r="V176" s="30"/>
      <c r="W176" s="30"/>
      <c r="X176" s="30"/>
      <c r="Y176" s="30"/>
      <c r="Z176" s="30"/>
      <c r="AA176" s="30"/>
    </row>
    <row r="177">
      <c r="A177" s="30"/>
      <c r="B177" s="30"/>
      <c r="C177" s="30"/>
      <c r="D177" s="30"/>
      <c r="E177" s="74"/>
      <c r="F177" s="30"/>
      <c r="G177" s="30"/>
      <c r="H177" s="30"/>
      <c r="I177" s="30"/>
      <c r="J177" s="30"/>
      <c r="K177" s="30"/>
      <c r="L177" s="30"/>
      <c r="M177" s="30"/>
      <c r="N177" s="30"/>
      <c r="O177" s="30"/>
      <c r="P177" s="30"/>
      <c r="Q177" s="30"/>
      <c r="R177" s="30"/>
      <c r="S177" s="30"/>
      <c r="T177" s="30"/>
      <c r="U177" s="30"/>
      <c r="V177" s="30"/>
      <c r="W177" s="30"/>
      <c r="X177" s="30"/>
      <c r="Y177" s="30"/>
      <c r="Z177" s="30"/>
      <c r="AA177" s="30"/>
    </row>
    <row r="178">
      <c r="A178" s="30"/>
      <c r="B178" s="30"/>
      <c r="C178" s="30"/>
      <c r="D178" s="30"/>
      <c r="E178" s="74"/>
      <c r="F178" s="30"/>
      <c r="G178" s="30"/>
      <c r="H178" s="30"/>
      <c r="I178" s="30"/>
      <c r="J178" s="30"/>
      <c r="K178" s="30"/>
      <c r="L178" s="30"/>
      <c r="M178" s="30"/>
      <c r="N178" s="30"/>
      <c r="O178" s="30"/>
      <c r="P178" s="30"/>
      <c r="Q178" s="30"/>
      <c r="R178" s="30"/>
      <c r="S178" s="30"/>
      <c r="T178" s="30"/>
      <c r="U178" s="30"/>
      <c r="V178" s="30"/>
      <c r="W178" s="30"/>
      <c r="X178" s="30"/>
      <c r="Y178" s="30"/>
      <c r="Z178" s="30"/>
      <c r="AA178" s="30"/>
    </row>
    <row r="179">
      <c r="A179" s="30"/>
      <c r="B179" s="30"/>
      <c r="C179" s="30"/>
      <c r="D179" s="30"/>
      <c r="E179" s="74"/>
      <c r="F179" s="30"/>
      <c r="G179" s="30"/>
      <c r="H179" s="30"/>
      <c r="I179" s="30"/>
      <c r="J179" s="30"/>
      <c r="K179" s="30"/>
      <c r="L179" s="30"/>
      <c r="M179" s="30"/>
      <c r="N179" s="30"/>
      <c r="O179" s="30"/>
      <c r="P179" s="30"/>
      <c r="Q179" s="30"/>
      <c r="R179" s="30"/>
      <c r="S179" s="30"/>
      <c r="T179" s="30"/>
      <c r="U179" s="30"/>
      <c r="V179" s="30"/>
      <c r="W179" s="30"/>
      <c r="X179" s="30"/>
      <c r="Y179" s="30"/>
      <c r="Z179" s="30"/>
      <c r="AA179" s="30"/>
    </row>
    <row r="180">
      <c r="A180" s="30"/>
      <c r="B180" s="30"/>
      <c r="C180" s="30"/>
      <c r="D180" s="30"/>
      <c r="E180" s="74"/>
      <c r="F180" s="30"/>
      <c r="G180" s="30"/>
      <c r="H180" s="30"/>
      <c r="I180" s="30"/>
      <c r="J180" s="30"/>
      <c r="K180" s="30"/>
      <c r="L180" s="30"/>
      <c r="M180" s="30"/>
      <c r="N180" s="30"/>
      <c r="O180" s="30"/>
      <c r="P180" s="30"/>
      <c r="Q180" s="30"/>
      <c r="R180" s="30"/>
      <c r="S180" s="30"/>
      <c r="T180" s="30"/>
      <c r="U180" s="30"/>
      <c r="V180" s="30"/>
      <c r="W180" s="30"/>
      <c r="X180" s="30"/>
      <c r="Y180" s="30"/>
      <c r="Z180" s="30"/>
      <c r="AA180" s="30"/>
    </row>
    <row r="181">
      <c r="A181" s="30"/>
      <c r="B181" s="30"/>
      <c r="C181" s="30"/>
      <c r="D181" s="30"/>
      <c r="E181" s="74"/>
      <c r="F181" s="30"/>
      <c r="G181" s="30"/>
      <c r="H181" s="30"/>
      <c r="I181" s="30"/>
      <c r="J181" s="30"/>
      <c r="K181" s="30"/>
      <c r="L181" s="30"/>
      <c r="M181" s="30"/>
      <c r="N181" s="30"/>
      <c r="O181" s="30"/>
      <c r="P181" s="30"/>
      <c r="Q181" s="30"/>
      <c r="R181" s="30"/>
      <c r="S181" s="30"/>
      <c r="T181" s="30"/>
      <c r="U181" s="30"/>
      <c r="V181" s="30"/>
      <c r="W181" s="30"/>
      <c r="X181" s="30"/>
      <c r="Y181" s="30"/>
      <c r="Z181" s="30"/>
      <c r="AA181" s="30"/>
    </row>
    <row r="182">
      <c r="A182" s="30"/>
      <c r="B182" s="30"/>
      <c r="C182" s="30"/>
      <c r="D182" s="30"/>
      <c r="E182" s="74"/>
      <c r="F182" s="30"/>
      <c r="G182" s="30"/>
      <c r="H182" s="30"/>
      <c r="I182" s="30"/>
      <c r="J182" s="30"/>
      <c r="K182" s="30"/>
      <c r="L182" s="30"/>
      <c r="M182" s="30"/>
      <c r="N182" s="30"/>
      <c r="O182" s="30"/>
      <c r="P182" s="30"/>
      <c r="Q182" s="30"/>
      <c r="R182" s="30"/>
      <c r="S182" s="30"/>
      <c r="T182" s="30"/>
      <c r="U182" s="30"/>
      <c r="V182" s="30"/>
      <c r="W182" s="30"/>
      <c r="X182" s="30"/>
      <c r="Y182" s="30"/>
      <c r="Z182" s="30"/>
      <c r="AA182" s="30"/>
    </row>
    <row r="183">
      <c r="A183" s="30"/>
      <c r="B183" s="30"/>
      <c r="C183" s="30"/>
      <c r="D183" s="30"/>
      <c r="E183" s="74"/>
      <c r="F183" s="30"/>
      <c r="G183" s="30"/>
      <c r="H183" s="30"/>
      <c r="I183" s="30"/>
      <c r="J183" s="30"/>
      <c r="K183" s="30"/>
      <c r="L183" s="30"/>
      <c r="M183" s="30"/>
      <c r="N183" s="30"/>
      <c r="O183" s="30"/>
      <c r="P183" s="30"/>
      <c r="Q183" s="30"/>
      <c r="R183" s="30"/>
      <c r="S183" s="30"/>
      <c r="T183" s="30"/>
      <c r="U183" s="30"/>
      <c r="V183" s="30"/>
      <c r="W183" s="30"/>
      <c r="X183" s="30"/>
      <c r="Y183" s="30"/>
      <c r="Z183" s="30"/>
      <c r="AA183" s="30"/>
    </row>
    <row r="184">
      <c r="A184" s="30"/>
      <c r="B184" s="30"/>
      <c r="C184" s="30"/>
      <c r="D184" s="30"/>
      <c r="E184" s="74"/>
      <c r="F184" s="30"/>
      <c r="G184" s="30"/>
      <c r="H184" s="30"/>
      <c r="I184" s="30"/>
      <c r="J184" s="30"/>
      <c r="K184" s="30"/>
      <c r="L184" s="30"/>
      <c r="M184" s="30"/>
      <c r="N184" s="30"/>
      <c r="O184" s="30"/>
      <c r="P184" s="30"/>
      <c r="Q184" s="30"/>
      <c r="R184" s="30"/>
      <c r="S184" s="30"/>
      <c r="T184" s="30"/>
      <c r="U184" s="30"/>
      <c r="V184" s="30"/>
      <c r="W184" s="30"/>
      <c r="X184" s="30"/>
      <c r="Y184" s="30"/>
      <c r="Z184" s="30"/>
      <c r="AA184" s="30"/>
    </row>
    <row r="185">
      <c r="A185" s="30"/>
      <c r="B185" s="30"/>
      <c r="C185" s="30"/>
      <c r="D185" s="30"/>
      <c r="E185" s="74"/>
      <c r="F185" s="30"/>
      <c r="G185" s="30"/>
      <c r="H185" s="30"/>
      <c r="I185" s="30"/>
      <c r="J185" s="30"/>
      <c r="K185" s="30"/>
      <c r="L185" s="30"/>
      <c r="M185" s="30"/>
      <c r="N185" s="30"/>
      <c r="O185" s="30"/>
      <c r="P185" s="30"/>
      <c r="Q185" s="30"/>
      <c r="R185" s="30"/>
      <c r="S185" s="30"/>
      <c r="T185" s="30"/>
      <c r="U185" s="30"/>
      <c r="V185" s="30"/>
      <c r="W185" s="30"/>
      <c r="X185" s="30"/>
      <c r="Y185" s="30"/>
      <c r="Z185" s="30"/>
      <c r="AA185" s="30"/>
    </row>
    <row r="186">
      <c r="A186" s="30"/>
      <c r="B186" s="30"/>
      <c r="C186" s="30"/>
      <c r="D186" s="30"/>
      <c r="E186" s="74"/>
      <c r="F186" s="30"/>
      <c r="G186" s="30"/>
      <c r="H186" s="30"/>
      <c r="I186" s="30"/>
      <c r="J186" s="30"/>
      <c r="K186" s="30"/>
      <c r="L186" s="30"/>
      <c r="M186" s="30"/>
      <c r="N186" s="30"/>
      <c r="O186" s="30"/>
      <c r="P186" s="30"/>
      <c r="Q186" s="30"/>
      <c r="R186" s="30"/>
      <c r="S186" s="30"/>
      <c r="T186" s="30"/>
      <c r="U186" s="30"/>
      <c r="V186" s="30"/>
      <c r="W186" s="30"/>
      <c r="X186" s="30"/>
      <c r="Y186" s="30"/>
      <c r="Z186" s="30"/>
      <c r="AA186" s="30"/>
    </row>
    <row r="187">
      <c r="A187" s="30"/>
      <c r="B187" s="30"/>
      <c r="C187" s="30"/>
      <c r="D187" s="30"/>
      <c r="E187" s="74"/>
      <c r="F187" s="30"/>
      <c r="G187" s="30"/>
      <c r="H187" s="30"/>
      <c r="I187" s="30"/>
      <c r="J187" s="30"/>
      <c r="K187" s="30"/>
      <c r="L187" s="30"/>
      <c r="M187" s="30"/>
      <c r="N187" s="30"/>
      <c r="O187" s="30"/>
      <c r="P187" s="30"/>
      <c r="Q187" s="30"/>
      <c r="R187" s="30"/>
      <c r="S187" s="30"/>
      <c r="T187" s="30"/>
      <c r="U187" s="30"/>
      <c r="V187" s="30"/>
      <c r="W187" s="30"/>
      <c r="X187" s="30"/>
      <c r="Y187" s="30"/>
      <c r="Z187" s="30"/>
      <c r="AA187" s="30"/>
    </row>
    <row r="188">
      <c r="A188" s="30"/>
      <c r="B188" s="30"/>
      <c r="C188" s="30"/>
      <c r="D188" s="30"/>
      <c r="E188" s="74"/>
      <c r="F188" s="30"/>
      <c r="G188" s="30"/>
      <c r="H188" s="30"/>
      <c r="I188" s="30"/>
      <c r="J188" s="30"/>
      <c r="K188" s="30"/>
      <c r="L188" s="30"/>
      <c r="M188" s="30"/>
      <c r="N188" s="30"/>
      <c r="O188" s="30"/>
      <c r="P188" s="30"/>
      <c r="Q188" s="30"/>
      <c r="R188" s="30"/>
      <c r="S188" s="30"/>
      <c r="T188" s="30"/>
      <c r="U188" s="30"/>
      <c r="V188" s="30"/>
      <c r="W188" s="30"/>
      <c r="X188" s="30"/>
      <c r="Y188" s="30"/>
      <c r="Z188" s="30"/>
      <c r="AA188" s="30"/>
    </row>
    <row r="189">
      <c r="A189" s="30"/>
      <c r="B189" s="30"/>
      <c r="C189" s="30"/>
      <c r="D189" s="30"/>
      <c r="E189" s="74"/>
      <c r="F189" s="30"/>
      <c r="G189" s="30"/>
      <c r="H189" s="30"/>
      <c r="I189" s="30"/>
      <c r="J189" s="30"/>
      <c r="K189" s="30"/>
      <c r="L189" s="30"/>
      <c r="M189" s="30"/>
      <c r="N189" s="30"/>
      <c r="O189" s="30"/>
      <c r="P189" s="30"/>
      <c r="Q189" s="30"/>
      <c r="R189" s="30"/>
      <c r="S189" s="30"/>
      <c r="T189" s="30"/>
      <c r="U189" s="30"/>
      <c r="V189" s="30"/>
      <c r="W189" s="30"/>
      <c r="X189" s="30"/>
      <c r="Y189" s="30"/>
      <c r="Z189" s="30"/>
      <c r="AA189" s="30"/>
    </row>
    <row r="190">
      <c r="A190" s="30"/>
      <c r="B190" s="30"/>
      <c r="C190" s="30"/>
      <c r="D190" s="30"/>
      <c r="E190" s="74"/>
      <c r="F190" s="30"/>
      <c r="G190" s="30"/>
      <c r="H190" s="30"/>
      <c r="I190" s="30"/>
      <c r="J190" s="30"/>
      <c r="K190" s="30"/>
      <c r="L190" s="30"/>
      <c r="M190" s="30"/>
      <c r="N190" s="30"/>
      <c r="O190" s="30"/>
      <c r="P190" s="30"/>
      <c r="Q190" s="30"/>
      <c r="R190" s="30"/>
      <c r="S190" s="30"/>
      <c r="T190" s="30"/>
      <c r="U190" s="30"/>
      <c r="V190" s="30"/>
      <c r="W190" s="30"/>
      <c r="X190" s="30"/>
      <c r="Y190" s="30"/>
      <c r="Z190" s="30"/>
      <c r="AA190" s="30"/>
    </row>
    <row r="191">
      <c r="A191" s="30"/>
      <c r="B191" s="30"/>
      <c r="C191" s="30"/>
      <c r="D191" s="30"/>
      <c r="E191" s="74"/>
      <c r="F191" s="30"/>
      <c r="G191" s="30"/>
      <c r="H191" s="30"/>
      <c r="I191" s="30"/>
      <c r="J191" s="30"/>
      <c r="K191" s="30"/>
      <c r="L191" s="30"/>
      <c r="M191" s="30"/>
      <c r="N191" s="30"/>
      <c r="O191" s="30"/>
      <c r="P191" s="30"/>
      <c r="Q191" s="30"/>
      <c r="R191" s="30"/>
      <c r="S191" s="30"/>
      <c r="T191" s="30"/>
      <c r="U191" s="30"/>
      <c r="V191" s="30"/>
      <c r="W191" s="30"/>
      <c r="X191" s="30"/>
      <c r="Y191" s="30"/>
      <c r="Z191" s="30"/>
      <c r="AA191" s="30"/>
    </row>
    <row r="192">
      <c r="A192" s="30"/>
      <c r="B192" s="30"/>
      <c r="C192" s="30"/>
      <c r="D192" s="30"/>
      <c r="E192" s="74"/>
      <c r="F192" s="30"/>
      <c r="G192" s="30"/>
      <c r="H192" s="30"/>
      <c r="I192" s="30"/>
      <c r="J192" s="30"/>
      <c r="K192" s="30"/>
      <c r="L192" s="30"/>
      <c r="M192" s="30"/>
      <c r="N192" s="30"/>
      <c r="O192" s="30"/>
      <c r="P192" s="30"/>
      <c r="Q192" s="30"/>
      <c r="R192" s="30"/>
      <c r="S192" s="30"/>
      <c r="T192" s="30"/>
      <c r="U192" s="30"/>
      <c r="V192" s="30"/>
      <c r="W192" s="30"/>
      <c r="X192" s="30"/>
      <c r="Y192" s="30"/>
      <c r="Z192" s="30"/>
      <c r="AA192" s="30"/>
    </row>
    <row r="193">
      <c r="A193" s="30"/>
      <c r="B193" s="30"/>
      <c r="C193" s="30"/>
      <c r="D193" s="30"/>
      <c r="E193" s="74"/>
      <c r="F193" s="30"/>
      <c r="G193" s="30"/>
      <c r="H193" s="30"/>
      <c r="I193" s="30"/>
      <c r="J193" s="30"/>
      <c r="K193" s="30"/>
      <c r="L193" s="30"/>
      <c r="M193" s="30"/>
      <c r="N193" s="30"/>
      <c r="O193" s="30"/>
      <c r="P193" s="30"/>
      <c r="Q193" s="30"/>
      <c r="R193" s="30"/>
      <c r="S193" s="30"/>
      <c r="T193" s="30"/>
      <c r="U193" s="30"/>
      <c r="V193" s="30"/>
      <c r="W193" s="30"/>
      <c r="X193" s="30"/>
      <c r="Y193" s="30"/>
      <c r="Z193" s="30"/>
      <c r="AA193" s="30"/>
    </row>
    <row r="194">
      <c r="A194" s="30"/>
      <c r="B194" s="30"/>
      <c r="C194" s="30"/>
      <c r="D194" s="30"/>
      <c r="E194" s="74"/>
      <c r="F194" s="30"/>
      <c r="G194" s="30"/>
      <c r="H194" s="30"/>
      <c r="I194" s="30"/>
      <c r="J194" s="30"/>
      <c r="K194" s="30"/>
      <c r="L194" s="30"/>
      <c r="M194" s="30"/>
      <c r="N194" s="30"/>
      <c r="O194" s="30"/>
      <c r="P194" s="30"/>
      <c r="Q194" s="30"/>
      <c r="R194" s="30"/>
      <c r="S194" s="30"/>
      <c r="T194" s="30"/>
      <c r="U194" s="30"/>
      <c r="V194" s="30"/>
      <c r="W194" s="30"/>
      <c r="X194" s="30"/>
      <c r="Y194" s="30"/>
      <c r="Z194" s="30"/>
      <c r="AA194" s="30"/>
    </row>
    <row r="195">
      <c r="A195" s="30"/>
      <c r="B195" s="30"/>
      <c r="C195" s="30"/>
      <c r="D195" s="30"/>
      <c r="E195" s="74"/>
      <c r="F195" s="30"/>
      <c r="G195" s="30"/>
      <c r="H195" s="30"/>
      <c r="I195" s="30"/>
      <c r="J195" s="30"/>
      <c r="K195" s="30"/>
      <c r="L195" s="30"/>
      <c r="M195" s="30"/>
      <c r="N195" s="30"/>
      <c r="O195" s="30"/>
      <c r="P195" s="30"/>
      <c r="Q195" s="30"/>
      <c r="R195" s="30"/>
      <c r="S195" s="30"/>
      <c r="T195" s="30"/>
      <c r="U195" s="30"/>
      <c r="V195" s="30"/>
      <c r="W195" s="30"/>
      <c r="X195" s="30"/>
      <c r="Y195" s="30"/>
      <c r="Z195" s="30"/>
      <c r="AA195" s="30"/>
    </row>
    <row r="196">
      <c r="A196" s="30"/>
      <c r="B196" s="30"/>
      <c r="C196" s="30"/>
      <c r="D196" s="30"/>
      <c r="E196" s="74"/>
      <c r="F196" s="30"/>
      <c r="G196" s="30"/>
      <c r="H196" s="30"/>
      <c r="I196" s="30"/>
      <c r="J196" s="30"/>
      <c r="K196" s="30"/>
      <c r="L196" s="30"/>
      <c r="M196" s="30"/>
      <c r="N196" s="30"/>
      <c r="O196" s="30"/>
      <c r="P196" s="30"/>
      <c r="Q196" s="30"/>
      <c r="R196" s="30"/>
      <c r="S196" s="30"/>
      <c r="T196" s="30"/>
      <c r="U196" s="30"/>
      <c r="V196" s="30"/>
      <c r="W196" s="30"/>
      <c r="X196" s="30"/>
      <c r="Y196" s="30"/>
      <c r="Z196" s="30"/>
      <c r="AA196" s="30"/>
    </row>
    <row r="197">
      <c r="A197" s="30"/>
      <c r="B197" s="30"/>
      <c r="C197" s="30"/>
      <c r="D197" s="30"/>
      <c r="E197" s="74"/>
      <c r="F197" s="30"/>
      <c r="G197" s="30"/>
      <c r="H197" s="30"/>
      <c r="I197" s="30"/>
      <c r="J197" s="30"/>
      <c r="K197" s="30"/>
      <c r="L197" s="30"/>
      <c r="M197" s="30"/>
      <c r="N197" s="30"/>
      <c r="O197" s="30"/>
      <c r="P197" s="30"/>
      <c r="Q197" s="30"/>
      <c r="R197" s="30"/>
      <c r="S197" s="30"/>
      <c r="T197" s="30"/>
      <c r="U197" s="30"/>
      <c r="V197" s="30"/>
      <c r="W197" s="30"/>
      <c r="X197" s="30"/>
      <c r="Y197" s="30"/>
      <c r="Z197" s="30"/>
      <c r="AA197" s="30"/>
    </row>
    <row r="198">
      <c r="A198" s="30"/>
      <c r="B198" s="30"/>
      <c r="C198" s="30"/>
      <c r="D198" s="30"/>
      <c r="E198" s="74"/>
      <c r="F198" s="30"/>
      <c r="G198" s="30"/>
      <c r="H198" s="30"/>
      <c r="I198" s="30"/>
      <c r="J198" s="30"/>
      <c r="K198" s="30"/>
      <c r="L198" s="30"/>
      <c r="M198" s="30"/>
      <c r="N198" s="30"/>
      <c r="O198" s="30"/>
      <c r="P198" s="30"/>
      <c r="Q198" s="30"/>
      <c r="R198" s="30"/>
      <c r="S198" s="30"/>
      <c r="T198" s="30"/>
      <c r="U198" s="30"/>
      <c r="V198" s="30"/>
      <c r="W198" s="30"/>
      <c r="X198" s="30"/>
      <c r="Y198" s="30"/>
      <c r="Z198" s="30"/>
      <c r="AA198" s="30"/>
    </row>
    <row r="199">
      <c r="A199" s="30"/>
      <c r="B199" s="30"/>
      <c r="C199" s="30"/>
      <c r="D199" s="30"/>
      <c r="E199" s="74"/>
      <c r="F199" s="30"/>
      <c r="G199" s="30"/>
      <c r="H199" s="30"/>
      <c r="I199" s="30"/>
      <c r="J199" s="30"/>
      <c r="K199" s="30"/>
      <c r="L199" s="30"/>
      <c r="M199" s="30"/>
      <c r="N199" s="30"/>
      <c r="O199" s="30"/>
      <c r="P199" s="30"/>
      <c r="Q199" s="30"/>
      <c r="R199" s="30"/>
      <c r="S199" s="30"/>
      <c r="T199" s="30"/>
      <c r="U199" s="30"/>
      <c r="V199" s="30"/>
      <c r="W199" s="30"/>
      <c r="X199" s="30"/>
      <c r="Y199" s="30"/>
      <c r="Z199" s="30"/>
      <c r="AA199" s="30"/>
    </row>
    <row r="200">
      <c r="A200" s="30"/>
      <c r="B200" s="30"/>
      <c r="C200" s="30"/>
      <c r="D200" s="30"/>
      <c r="E200" s="74"/>
      <c r="F200" s="30"/>
      <c r="G200" s="30"/>
      <c r="H200" s="30"/>
      <c r="I200" s="30"/>
      <c r="J200" s="30"/>
      <c r="K200" s="30"/>
      <c r="L200" s="30"/>
      <c r="M200" s="30"/>
      <c r="N200" s="30"/>
      <c r="O200" s="30"/>
      <c r="P200" s="30"/>
      <c r="Q200" s="30"/>
      <c r="R200" s="30"/>
      <c r="S200" s="30"/>
      <c r="T200" s="30"/>
      <c r="U200" s="30"/>
      <c r="V200" s="30"/>
      <c r="W200" s="30"/>
      <c r="X200" s="30"/>
      <c r="Y200" s="30"/>
      <c r="Z200" s="30"/>
      <c r="AA200" s="30"/>
    </row>
    <row r="201">
      <c r="A201" s="30"/>
      <c r="B201" s="30"/>
      <c r="C201" s="30"/>
      <c r="D201" s="30"/>
      <c r="E201" s="74"/>
      <c r="F201" s="30"/>
      <c r="G201" s="30"/>
      <c r="H201" s="30"/>
      <c r="I201" s="30"/>
      <c r="J201" s="30"/>
      <c r="K201" s="30"/>
      <c r="L201" s="30"/>
      <c r="M201" s="30"/>
      <c r="N201" s="30"/>
      <c r="O201" s="30"/>
      <c r="P201" s="30"/>
      <c r="Q201" s="30"/>
      <c r="R201" s="30"/>
      <c r="S201" s="30"/>
      <c r="T201" s="30"/>
      <c r="U201" s="30"/>
      <c r="V201" s="30"/>
      <c r="W201" s="30"/>
      <c r="X201" s="30"/>
      <c r="Y201" s="30"/>
      <c r="Z201" s="30"/>
      <c r="AA201" s="30"/>
    </row>
    <row r="202">
      <c r="A202" s="30"/>
      <c r="B202" s="30"/>
      <c r="C202" s="30"/>
      <c r="D202" s="30"/>
      <c r="E202" s="74"/>
      <c r="F202" s="30"/>
      <c r="G202" s="30"/>
      <c r="H202" s="30"/>
      <c r="I202" s="30"/>
      <c r="J202" s="30"/>
      <c r="K202" s="30"/>
      <c r="L202" s="30"/>
      <c r="M202" s="30"/>
      <c r="N202" s="30"/>
      <c r="O202" s="30"/>
      <c r="P202" s="30"/>
      <c r="Q202" s="30"/>
      <c r="R202" s="30"/>
      <c r="S202" s="30"/>
      <c r="T202" s="30"/>
      <c r="U202" s="30"/>
      <c r="V202" s="30"/>
      <c r="W202" s="30"/>
      <c r="X202" s="30"/>
      <c r="Y202" s="30"/>
      <c r="Z202" s="30"/>
      <c r="AA202" s="30"/>
    </row>
    <row r="203">
      <c r="A203" s="30"/>
      <c r="B203" s="30"/>
      <c r="C203" s="30"/>
      <c r="D203" s="30"/>
      <c r="E203" s="74"/>
      <c r="F203" s="30"/>
      <c r="G203" s="30"/>
      <c r="H203" s="30"/>
      <c r="I203" s="30"/>
      <c r="J203" s="30"/>
      <c r="K203" s="30"/>
      <c r="L203" s="30"/>
      <c r="M203" s="30"/>
      <c r="N203" s="30"/>
      <c r="O203" s="30"/>
      <c r="P203" s="30"/>
      <c r="Q203" s="30"/>
      <c r="R203" s="30"/>
      <c r="S203" s="30"/>
      <c r="T203" s="30"/>
      <c r="U203" s="30"/>
      <c r="V203" s="30"/>
      <c r="W203" s="30"/>
      <c r="X203" s="30"/>
      <c r="Y203" s="30"/>
      <c r="Z203" s="30"/>
      <c r="AA203" s="30"/>
    </row>
    <row r="204">
      <c r="A204" s="30"/>
      <c r="B204" s="30"/>
      <c r="C204" s="30"/>
      <c r="D204" s="30"/>
      <c r="E204" s="74"/>
      <c r="F204" s="30"/>
      <c r="G204" s="30"/>
      <c r="H204" s="30"/>
      <c r="I204" s="30"/>
      <c r="J204" s="30"/>
      <c r="K204" s="30"/>
      <c r="L204" s="30"/>
      <c r="M204" s="30"/>
      <c r="N204" s="30"/>
      <c r="O204" s="30"/>
      <c r="P204" s="30"/>
      <c r="Q204" s="30"/>
      <c r="R204" s="30"/>
      <c r="S204" s="30"/>
      <c r="T204" s="30"/>
      <c r="U204" s="30"/>
      <c r="V204" s="30"/>
      <c r="W204" s="30"/>
      <c r="X204" s="30"/>
      <c r="Y204" s="30"/>
      <c r="Z204" s="30"/>
      <c r="AA204" s="30"/>
    </row>
    <row r="205">
      <c r="A205" s="30"/>
      <c r="B205" s="30"/>
      <c r="C205" s="30"/>
      <c r="D205" s="30"/>
      <c r="E205" s="74"/>
      <c r="F205" s="30"/>
      <c r="G205" s="30"/>
      <c r="H205" s="30"/>
      <c r="I205" s="30"/>
      <c r="J205" s="30"/>
      <c r="K205" s="30"/>
      <c r="L205" s="30"/>
      <c r="M205" s="30"/>
      <c r="N205" s="30"/>
      <c r="O205" s="30"/>
      <c r="P205" s="30"/>
      <c r="Q205" s="30"/>
      <c r="R205" s="30"/>
      <c r="S205" s="30"/>
      <c r="T205" s="30"/>
      <c r="U205" s="30"/>
      <c r="V205" s="30"/>
      <c r="W205" s="30"/>
      <c r="X205" s="30"/>
      <c r="Y205" s="30"/>
      <c r="Z205" s="30"/>
      <c r="AA205" s="30"/>
    </row>
    <row r="206">
      <c r="A206" s="30"/>
      <c r="B206" s="30"/>
      <c r="C206" s="30"/>
      <c r="D206" s="30"/>
      <c r="E206" s="74"/>
      <c r="F206" s="30"/>
      <c r="G206" s="30"/>
      <c r="H206" s="30"/>
      <c r="I206" s="30"/>
      <c r="J206" s="30"/>
      <c r="K206" s="30"/>
      <c r="L206" s="30"/>
      <c r="M206" s="30"/>
      <c r="N206" s="30"/>
      <c r="O206" s="30"/>
      <c r="P206" s="30"/>
      <c r="Q206" s="30"/>
      <c r="R206" s="30"/>
      <c r="S206" s="30"/>
      <c r="T206" s="30"/>
      <c r="U206" s="30"/>
      <c r="V206" s="30"/>
      <c r="W206" s="30"/>
      <c r="X206" s="30"/>
      <c r="Y206" s="30"/>
      <c r="Z206" s="30"/>
      <c r="AA206" s="30"/>
    </row>
    <row r="207">
      <c r="A207" s="30"/>
      <c r="B207" s="30"/>
      <c r="C207" s="30"/>
      <c r="D207" s="30"/>
      <c r="E207" s="74"/>
      <c r="F207" s="30"/>
      <c r="G207" s="30"/>
      <c r="H207" s="30"/>
      <c r="I207" s="30"/>
      <c r="J207" s="30"/>
      <c r="K207" s="30"/>
      <c r="L207" s="30"/>
      <c r="M207" s="30"/>
      <c r="N207" s="30"/>
      <c r="O207" s="30"/>
      <c r="P207" s="30"/>
      <c r="Q207" s="30"/>
      <c r="R207" s="30"/>
      <c r="S207" s="30"/>
      <c r="T207" s="30"/>
      <c r="U207" s="30"/>
      <c r="V207" s="30"/>
      <c r="W207" s="30"/>
      <c r="X207" s="30"/>
      <c r="Y207" s="30"/>
      <c r="Z207" s="30"/>
      <c r="AA207" s="30"/>
    </row>
    <row r="208">
      <c r="A208" s="30"/>
      <c r="B208" s="30"/>
      <c r="C208" s="30"/>
      <c r="D208" s="30"/>
      <c r="E208" s="74"/>
      <c r="F208" s="30"/>
      <c r="G208" s="30"/>
      <c r="H208" s="30"/>
      <c r="I208" s="30"/>
      <c r="J208" s="30"/>
      <c r="K208" s="30"/>
      <c r="L208" s="30"/>
      <c r="M208" s="30"/>
      <c r="N208" s="30"/>
      <c r="O208" s="30"/>
      <c r="P208" s="30"/>
      <c r="Q208" s="30"/>
      <c r="R208" s="30"/>
      <c r="S208" s="30"/>
      <c r="T208" s="30"/>
      <c r="U208" s="30"/>
      <c r="V208" s="30"/>
      <c r="W208" s="30"/>
      <c r="X208" s="30"/>
      <c r="Y208" s="30"/>
      <c r="Z208" s="30"/>
      <c r="AA208" s="30"/>
    </row>
    <row r="209">
      <c r="A209" s="30"/>
      <c r="B209" s="30"/>
      <c r="C209" s="30"/>
      <c r="D209" s="30"/>
      <c r="E209" s="74"/>
      <c r="F209" s="30"/>
      <c r="G209" s="30"/>
      <c r="H209" s="30"/>
      <c r="I209" s="30"/>
      <c r="J209" s="30"/>
      <c r="K209" s="30"/>
      <c r="L209" s="30"/>
      <c r="M209" s="30"/>
      <c r="N209" s="30"/>
      <c r="O209" s="30"/>
      <c r="P209" s="30"/>
      <c r="Q209" s="30"/>
      <c r="R209" s="30"/>
      <c r="S209" s="30"/>
      <c r="T209" s="30"/>
      <c r="U209" s="30"/>
      <c r="V209" s="30"/>
      <c r="W209" s="30"/>
      <c r="X209" s="30"/>
      <c r="Y209" s="30"/>
      <c r="Z209" s="30"/>
      <c r="AA209" s="30"/>
    </row>
    <row r="210">
      <c r="A210" s="30"/>
      <c r="B210" s="30"/>
      <c r="C210" s="30"/>
      <c r="D210" s="30"/>
      <c r="E210" s="74"/>
      <c r="F210" s="30"/>
      <c r="G210" s="30"/>
      <c r="H210" s="30"/>
      <c r="I210" s="30"/>
      <c r="J210" s="30"/>
      <c r="K210" s="30"/>
      <c r="L210" s="30"/>
      <c r="M210" s="30"/>
      <c r="N210" s="30"/>
      <c r="O210" s="30"/>
      <c r="P210" s="30"/>
      <c r="Q210" s="30"/>
      <c r="R210" s="30"/>
      <c r="S210" s="30"/>
      <c r="T210" s="30"/>
      <c r="U210" s="30"/>
      <c r="V210" s="30"/>
      <c r="W210" s="30"/>
      <c r="X210" s="30"/>
      <c r="Y210" s="30"/>
      <c r="Z210" s="30"/>
      <c r="AA210" s="30"/>
    </row>
    <row r="211">
      <c r="A211" s="30"/>
      <c r="B211" s="30"/>
      <c r="C211" s="30"/>
      <c r="D211" s="30"/>
      <c r="E211" s="74"/>
      <c r="F211" s="30"/>
      <c r="G211" s="30"/>
      <c r="H211" s="30"/>
      <c r="I211" s="30"/>
      <c r="J211" s="30"/>
      <c r="K211" s="30"/>
      <c r="L211" s="30"/>
      <c r="M211" s="30"/>
      <c r="N211" s="30"/>
      <c r="O211" s="30"/>
      <c r="P211" s="30"/>
      <c r="Q211" s="30"/>
      <c r="R211" s="30"/>
      <c r="S211" s="30"/>
      <c r="T211" s="30"/>
      <c r="U211" s="30"/>
      <c r="V211" s="30"/>
      <c r="W211" s="30"/>
      <c r="X211" s="30"/>
      <c r="Y211" s="30"/>
      <c r="Z211" s="30"/>
      <c r="AA211" s="30"/>
    </row>
    <row r="212">
      <c r="A212" s="30"/>
      <c r="B212" s="30"/>
      <c r="C212" s="30"/>
      <c r="D212" s="30"/>
      <c r="E212" s="74"/>
      <c r="F212" s="30"/>
      <c r="G212" s="30"/>
      <c r="H212" s="30"/>
      <c r="I212" s="30"/>
      <c r="J212" s="30"/>
      <c r="K212" s="30"/>
      <c r="L212" s="30"/>
      <c r="M212" s="30"/>
      <c r="N212" s="30"/>
      <c r="O212" s="30"/>
      <c r="P212" s="30"/>
      <c r="Q212" s="30"/>
      <c r="R212" s="30"/>
      <c r="S212" s="30"/>
      <c r="T212" s="30"/>
      <c r="U212" s="30"/>
      <c r="V212" s="30"/>
      <c r="W212" s="30"/>
      <c r="X212" s="30"/>
      <c r="Y212" s="30"/>
      <c r="Z212" s="30"/>
      <c r="AA212" s="30"/>
    </row>
    <row r="213">
      <c r="A213" s="30"/>
      <c r="B213" s="30"/>
      <c r="C213" s="30"/>
      <c r="D213" s="30"/>
      <c r="E213" s="74"/>
      <c r="F213" s="30"/>
      <c r="G213" s="30"/>
      <c r="H213" s="30"/>
      <c r="I213" s="30"/>
      <c r="J213" s="30"/>
      <c r="K213" s="30"/>
      <c r="L213" s="30"/>
      <c r="M213" s="30"/>
      <c r="N213" s="30"/>
      <c r="O213" s="30"/>
      <c r="P213" s="30"/>
      <c r="Q213" s="30"/>
      <c r="R213" s="30"/>
      <c r="S213" s="30"/>
      <c r="T213" s="30"/>
      <c r="U213" s="30"/>
      <c r="V213" s="30"/>
      <c r="W213" s="30"/>
      <c r="X213" s="30"/>
      <c r="Y213" s="30"/>
      <c r="Z213" s="30"/>
      <c r="AA213" s="30"/>
    </row>
    <row r="214">
      <c r="A214" s="30"/>
      <c r="B214" s="30"/>
      <c r="C214" s="30"/>
      <c r="D214" s="30"/>
      <c r="E214" s="74"/>
      <c r="F214" s="30"/>
      <c r="G214" s="30"/>
      <c r="H214" s="30"/>
      <c r="I214" s="30"/>
      <c r="J214" s="30"/>
      <c r="K214" s="30"/>
      <c r="L214" s="30"/>
      <c r="M214" s="30"/>
      <c r="N214" s="30"/>
      <c r="O214" s="30"/>
      <c r="P214" s="30"/>
      <c r="Q214" s="30"/>
      <c r="R214" s="30"/>
      <c r="S214" s="30"/>
      <c r="T214" s="30"/>
      <c r="U214" s="30"/>
      <c r="V214" s="30"/>
      <c r="W214" s="30"/>
      <c r="X214" s="30"/>
      <c r="Y214" s="30"/>
      <c r="Z214" s="30"/>
      <c r="AA214" s="30"/>
    </row>
    <row r="215">
      <c r="A215" s="30"/>
      <c r="B215" s="30"/>
      <c r="C215" s="30"/>
      <c r="D215" s="30"/>
      <c r="E215" s="74"/>
      <c r="F215" s="30"/>
      <c r="G215" s="30"/>
      <c r="H215" s="30"/>
      <c r="I215" s="30"/>
      <c r="J215" s="30"/>
      <c r="K215" s="30"/>
      <c r="L215" s="30"/>
      <c r="M215" s="30"/>
      <c r="N215" s="30"/>
      <c r="O215" s="30"/>
      <c r="P215" s="30"/>
      <c r="Q215" s="30"/>
      <c r="R215" s="30"/>
      <c r="S215" s="30"/>
      <c r="T215" s="30"/>
      <c r="U215" s="30"/>
      <c r="V215" s="30"/>
      <c r="W215" s="30"/>
      <c r="X215" s="30"/>
      <c r="Y215" s="30"/>
      <c r="Z215" s="30"/>
      <c r="AA215" s="30"/>
    </row>
    <row r="216">
      <c r="A216" s="30"/>
      <c r="B216" s="30"/>
      <c r="C216" s="30"/>
      <c r="D216" s="30"/>
      <c r="E216" s="74"/>
      <c r="F216" s="30"/>
      <c r="G216" s="30"/>
      <c r="H216" s="30"/>
      <c r="I216" s="30"/>
      <c r="J216" s="30"/>
      <c r="K216" s="30"/>
      <c r="L216" s="30"/>
      <c r="M216" s="30"/>
      <c r="N216" s="30"/>
      <c r="O216" s="30"/>
      <c r="P216" s="30"/>
      <c r="Q216" s="30"/>
      <c r="R216" s="30"/>
      <c r="S216" s="30"/>
      <c r="T216" s="30"/>
      <c r="U216" s="30"/>
      <c r="V216" s="30"/>
      <c r="W216" s="30"/>
      <c r="X216" s="30"/>
      <c r="Y216" s="30"/>
      <c r="Z216" s="30"/>
      <c r="AA216" s="30"/>
    </row>
    <row r="217">
      <c r="A217" s="30"/>
      <c r="B217" s="30"/>
      <c r="C217" s="30"/>
      <c r="D217" s="30"/>
      <c r="E217" s="74"/>
      <c r="F217" s="30"/>
      <c r="G217" s="30"/>
      <c r="H217" s="30"/>
      <c r="I217" s="30"/>
      <c r="J217" s="30"/>
      <c r="K217" s="30"/>
      <c r="L217" s="30"/>
      <c r="M217" s="30"/>
      <c r="N217" s="30"/>
      <c r="O217" s="30"/>
      <c r="P217" s="30"/>
      <c r="Q217" s="30"/>
      <c r="R217" s="30"/>
      <c r="S217" s="30"/>
      <c r="T217" s="30"/>
      <c r="U217" s="30"/>
      <c r="V217" s="30"/>
      <c r="W217" s="30"/>
      <c r="X217" s="30"/>
      <c r="Y217" s="30"/>
      <c r="Z217" s="30"/>
      <c r="AA217" s="30"/>
    </row>
    <row r="218">
      <c r="A218" s="30"/>
      <c r="B218" s="30"/>
      <c r="C218" s="30"/>
      <c r="D218" s="30"/>
      <c r="E218" s="74"/>
      <c r="F218" s="30"/>
      <c r="G218" s="30"/>
      <c r="H218" s="30"/>
      <c r="I218" s="30"/>
      <c r="J218" s="30"/>
      <c r="K218" s="30"/>
      <c r="L218" s="30"/>
      <c r="M218" s="30"/>
      <c r="N218" s="30"/>
      <c r="O218" s="30"/>
      <c r="P218" s="30"/>
      <c r="Q218" s="30"/>
      <c r="R218" s="30"/>
      <c r="S218" s="30"/>
      <c r="T218" s="30"/>
      <c r="U218" s="30"/>
      <c r="V218" s="30"/>
      <c r="W218" s="30"/>
      <c r="X218" s="30"/>
      <c r="Y218" s="30"/>
      <c r="Z218" s="30"/>
      <c r="AA218" s="30"/>
    </row>
    <row r="219">
      <c r="A219" s="30"/>
      <c r="B219" s="30"/>
      <c r="C219" s="30"/>
      <c r="D219" s="30"/>
      <c r="E219" s="74"/>
      <c r="F219" s="30"/>
      <c r="G219" s="30"/>
      <c r="H219" s="30"/>
      <c r="I219" s="30"/>
      <c r="J219" s="30"/>
      <c r="K219" s="30"/>
      <c r="L219" s="30"/>
      <c r="M219" s="30"/>
      <c r="N219" s="30"/>
      <c r="O219" s="30"/>
      <c r="P219" s="30"/>
      <c r="Q219" s="30"/>
      <c r="R219" s="30"/>
      <c r="S219" s="30"/>
      <c r="T219" s="30"/>
      <c r="U219" s="30"/>
      <c r="V219" s="30"/>
      <c r="W219" s="30"/>
      <c r="X219" s="30"/>
      <c r="Y219" s="30"/>
      <c r="Z219" s="30"/>
      <c r="AA219" s="30"/>
    </row>
    <row r="220">
      <c r="A220" s="30"/>
      <c r="B220" s="30"/>
      <c r="C220" s="30"/>
      <c r="D220" s="30"/>
      <c r="E220" s="74"/>
      <c r="F220" s="30"/>
      <c r="G220" s="30"/>
      <c r="H220" s="30"/>
      <c r="I220" s="30"/>
      <c r="J220" s="30"/>
      <c r="K220" s="30"/>
      <c r="L220" s="30"/>
      <c r="M220" s="30"/>
      <c r="N220" s="30"/>
      <c r="O220" s="30"/>
      <c r="P220" s="30"/>
      <c r="Q220" s="30"/>
      <c r="R220" s="30"/>
      <c r="S220" s="30"/>
      <c r="T220" s="30"/>
      <c r="U220" s="30"/>
      <c r="V220" s="30"/>
      <c r="W220" s="30"/>
      <c r="X220" s="30"/>
      <c r="Y220" s="30"/>
      <c r="Z220" s="30"/>
      <c r="AA220" s="30"/>
    </row>
    <row r="221">
      <c r="A221" s="30"/>
      <c r="B221" s="30"/>
      <c r="C221" s="30"/>
      <c r="D221" s="30"/>
      <c r="E221" s="74"/>
      <c r="F221" s="30"/>
      <c r="G221" s="30"/>
      <c r="H221" s="30"/>
      <c r="I221" s="30"/>
      <c r="J221" s="30"/>
      <c r="K221" s="30"/>
      <c r="L221" s="30"/>
      <c r="M221" s="30"/>
      <c r="N221" s="30"/>
      <c r="O221" s="30"/>
      <c r="P221" s="30"/>
      <c r="Q221" s="30"/>
      <c r="R221" s="30"/>
      <c r="S221" s="30"/>
      <c r="T221" s="30"/>
      <c r="U221" s="30"/>
      <c r="V221" s="30"/>
      <c r="W221" s="30"/>
      <c r="X221" s="30"/>
      <c r="Y221" s="30"/>
      <c r="Z221" s="30"/>
      <c r="AA221" s="30"/>
    </row>
    <row r="222">
      <c r="A222" s="30"/>
      <c r="B222" s="30"/>
      <c r="C222" s="30"/>
      <c r="D222" s="30"/>
      <c r="E222" s="74"/>
      <c r="F222" s="30"/>
      <c r="G222" s="30"/>
      <c r="H222" s="30"/>
      <c r="I222" s="30"/>
      <c r="J222" s="30"/>
      <c r="K222" s="30"/>
      <c r="L222" s="30"/>
      <c r="M222" s="30"/>
      <c r="N222" s="30"/>
      <c r="O222" s="30"/>
      <c r="P222" s="30"/>
      <c r="Q222" s="30"/>
      <c r="R222" s="30"/>
      <c r="S222" s="30"/>
      <c r="T222" s="30"/>
      <c r="U222" s="30"/>
      <c r="V222" s="30"/>
      <c r="W222" s="30"/>
      <c r="X222" s="30"/>
      <c r="Y222" s="30"/>
      <c r="Z222" s="30"/>
      <c r="AA222" s="30"/>
    </row>
    <row r="223">
      <c r="A223" s="30"/>
      <c r="B223" s="30"/>
      <c r="C223" s="30"/>
      <c r="D223" s="30"/>
      <c r="E223" s="74"/>
      <c r="F223" s="30"/>
      <c r="G223" s="30"/>
      <c r="H223" s="30"/>
      <c r="I223" s="30"/>
      <c r="J223" s="30"/>
      <c r="K223" s="30"/>
      <c r="L223" s="30"/>
      <c r="M223" s="30"/>
      <c r="N223" s="30"/>
      <c r="O223" s="30"/>
      <c r="P223" s="30"/>
      <c r="Q223" s="30"/>
      <c r="R223" s="30"/>
      <c r="S223" s="30"/>
      <c r="T223" s="30"/>
      <c r="U223" s="30"/>
      <c r="V223" s="30"/>
      <c r="W223" s="30"/>
      <c r="X223" s="30"/>
      <c r="Y223" s="30"/>
      <c r="Z223" s="30"/>
      <c r="AA223" s="30"/>
    </row>
    <row r="224">
      <c r="A224" s="30"/>
      <c r="B224" s="30"/>
      <c r="C224" s="30"/>
      <c r="D224" s="30"/>
      <c r="E224" s="74"/>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30"/>
      <c r="B225" s="30"/>
      <c r="C225" s="30"/>
      <c r="D225" s="30"/>
      <c r="E225" s="74"/>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30"/>
      <c r="B226" s="30"/>
      <c r="C226" s="30"/>
      <c r="D226" s="30"/>
      <c r="E226" s="74"/>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30"/>
      <c r="B227" s="30"/>
      <c r="C227" s="30"/>
      <c r="D227" s="30"/>
      <c r="E227" s="74"/>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30"/>
      <c r="B228" s="30"/>
      <c r="C228" s="30"/>
      <c r="D228" s="30"/>
      <c r="E228" s="74"/>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30"/>
      <c r="B229" s="30"/>
      <c r="C229" s="30"/>
      <c r="D229" s="30"/>
      <c r="E229" s="74"/>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30"/>
      <c r="B230" s="30"/>
      <c r="C230" s="30"/>
      <c r="D230" s="30"/>
      <c r="E230" s="74"/>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30"/>
      <c r="B231" s="30"/>
      <c r="C231" s="30"/>
      <c r="D231" s="30"/>
      <c r="E231" s="74"/>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30"/>
      <c r="B232" s="30"/>
      <c r="C232" s="30"/>
      <c r="D232" s="30"/>
      <c r="E232" s="74"/>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30"/>
      <c r="B233" s="30"/>
      <c r="C233" s="30"/>
      <c r="D233" s="30"/>
      <c r="E233" s="74"/>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30"/>
      <c r="B234" s="30"/>
      <c r="C234" s="30"/>
      <c r="D234" s="30"/>
      <c r="E234" s="74"/>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30"/>
      <c r="B235" s="30"/>
      <c r="C235" s="30"/>
      <c r="D235" s="30"/>
      <c r="E235" s="74"/>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30"/>
      <c r="B236" s="30"/>
      <c r="C236" s="30"/>
      <c r="D236" s="30"/>
      <c r="E236" s="74"/>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30"/>
      <c r="B237" s="30"/>
      <c r="C237" s="30"/>
      <c r="D237" s="30"/>
      <c r="E237" s="74"/>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30"/>
      <c r="B238" s="30"/>
      <c r="C238" s="30"/>
      <c r="D238" s="30"/>
      <c r="E238" s="74"/>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30"/>
      <c r="B239" s="30"/>
      <c r="C239" s="30"/>
      <c r="D239" s="30"/>
      <c r="E239" s="74"/>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30"/>
      <c r="B240" s="30"/>
      <c r="C240" s="30"/>
      <c r="D240" s="30"/>
      <c r="E240" s="74"/>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30"/>
      <c r="B241" s="30"/>
      <c r="C241" s="30"/>
      <c r="D241" s="30"/>
      <c r="E241" s="74"/>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30"/>
      <c r="B242" s="30"/>
      <c r="C242" s="30"/>
      <c r="D242" s="30"/>
      <c r="E242" s="74"/>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30"/>
      <c r="B243" s="30"/>
      <c r="C243" s="30"/>
      <c r="D243" s="30"/>
      <c r="E243" s="74"/>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30"/>
      <c r="B244" s="30"/>
      <c r="C244" s="30"/>
      <c r="D244" s="30"/>
      <c r="E244" s="74"/>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30"/>
      <c r="B245" s="30"/>
      <c r="C245" s="30"/>
      <c r="D245" s="30"/>
      <c r="E245" s="74"/>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30"/>
      <c r="B246" s="30"/>
      <c r="C246" s="30"/>
      <c r="D246" s="30"/>
      <c r="E246" s="74"/>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30"/>
      <c r="B247" s="30"/>
      <c r="C247" s="30"/>
      <c r="D247" s="30"/>
      <c r="E247" s="74"/>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30"/>
      <c r="B248" s="30"/>
      <c r="C248" s="30"/>
      <c r="D248" s="30"/>
      <c r="E248" s="74"/>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30"/>
      <c r="B249" s="30"/>
      <c r="C249" s="30"/>
      <c r="D249" s="30"/>
      <c r="E249" s="74"/>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30"/>
      <c r="B250" s="30"/>
      <c r="C250" s="30"/>
      <c r="D250" s="30"/>
      <c r="E250" s="74"/>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30"/>
      <c r="B251" s="30"/>
      <c r="C251" s="30"/>
      <c r="D251" s="30"/>
      <c r="E251" s="74"/>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30"/>
      <c r="B252" s="30"/>
      <c r="C252" s="30"/>
      <c r="D252" s="30"/>
      <c r="E252" s="74"/>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30"/>
      <c r="B253" s="30"/>
      <c r="C253" s="30"/>
      <c r="D253" s="30"/>
      <c r="E253" s="74"/>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30"/>
      <c r="B254" s="30"/>
      <c r="C254" s="30"/>
      <c r="D254" s="30"/>
      <c r="E254" s="74"/>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30"/>
      <c r="B255" s="30"/>
      <c r="C255" s="30"/>
      <c r="D255" s="30"/>
      <c r="E255" s="74"/>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30"/>
      <c r="B256" s="30"/>
      <c r="C256" s="30"/>
      <c r="D256" s="30"/>
      <c r="E256" s="74"/>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30"/>
      <c r="B257" s="30"/>
      <c r="C257" s="30"/>
      <c r="D257" s="30"/>
      <c r="E257" s="74"/>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30"/>
      <c r="B258" s="30"/>
      <c r="C258" s="30"/>
      <c r="D258" s="30"/>
      <c r="E258" s="74"/>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30"/>
      <c r="B259" s="30"/>
      <c r="C259" s="30"/>
      <c r="D259" s="30"/>
      <c r="E259" s="74"/>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30"/>
      <c r="B260" s="30"/>
      <c r="C260" s="30"/>
      <c r="D260" s="30"/>
      <c r="E260" s="74"/>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30"/>
      <c r="B261" s="30"/>
      <c r="C261" s="30"/>
      <c r="D261" s="30"/>
      <c r="E261" s="74"/>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30"/>
      <c r="B262" s="30"/>
      <c r="C262" s="30"/>
      <c r="D262" s="30"/>
      <c r="E262" s="74"/>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30"/>
      <c r="B263" s="30"/>
      <c r="C263" s="30"/>
      <c r="D263" s="30"/>
      <c r="E263" s="74"/>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30"/>
      <c r="B264" s="30"/>
      <c r="C264" s="30"/>
      <c r="D264" s="30"/>
      <c r="E264" s="74"/>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30"/>
      <c r="B265" s="30"/>
      <c r="C265" s="30"/>
      <c r="D265" s="30"/>
      <c r="E265" s="74"/>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30"/>
      <c r="B266" s="30"/>
      <c r="C266" s="30"/>
      <c r="D266" s="30"/>
      <c r="E266" s="74"/>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30"/>
      <c r="B267" s="30"/>
      <c r="C267" s="30"/>
      <c r="D267" s="30"/>
      <c r="E267" s="74"/>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30"/>
      <c r="B268" s="30"/>
      <c r="C268" s="30"/>
      <c r="D268" s="30"/>
      <c r="E268" s="74"/>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30"/>
      <c r="B269" s="30"/>
      <c r="C269" s="30"/>
      <c r="D269" s="30"/>
      <c r="E269" s="74"/>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30"/>
      <c r="B270" s="30"/>
      <c r="C270" s="30"/>
      <c r="D270" s="30"/>
      <c r="E270" s="74"/>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30"/>
      <c r="B271" s="30"/>
      <c r="C271" s="30"/>
      <c r="D271" s="30"/>
      <c r="E271" s="74"/>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30"/>
      <c r="B272" s="30"/>
      <c r="C272" s="30"/>
      <c r="D272" s="30"/>
      <c r="E272" s="74"/>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30"/>
      <c r="B273" s="30"/>
      <c r="C273" s="30"/>
      <c r="D273" s="30"/>
      <c r="E273" s="74"/>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30"/>
      <c r="B274" s="30"/>
      <c r="C274" s="30"/>
      <c r="D274" s="30"/>
      <c r="E274" s="74"/>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30"/>
      <c r="B275" s="30"/>
      <c r="C275" s="30"/>
      <c r="D275" s="30"/>
      <c r="E275" s="74"/>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30"/>
      <c r="B276" s="30"/>
      <c r="C276" s="30"/>
      <c r="D276" s="30"/>
      <c r="E276" s="74"/>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30"/>
      <c r="B277" s="30"/>
      <c r="C277" s="30"/>
      <c r="D277" s="30"/>
      <c r="E277" s="74"/>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30"/>
      <c r="B278" s="30"/>
      <c r="C278" s="30"/>
      <c r="D278" s="30"/>
      <c r="E278" s="74"/>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30"/>
      <c r="B279" s="30"/>
      <c r="C279" s="30"/>
      <c r="D279" s="30"/>
      <c r="E279" s="74"/>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30"/>
      <c r="B280" s="30"/>
      <c r="C280" s="30"/>
      <c r="D280" s="30"/>
      <c r="E280" s="74"/>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30"/>
      <c r="B281" s="30"/>
      <c r="C281" s="30"/>
      <c r="D281" s="30"/>
      <c r="E281" s="74"/>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30"/>
      <c r="B282" s="30"/>
      <c r="C282" s="30"/>
      <c r="D282" s="30"/>
      <c r="E282" s="74"/>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30"/>
      <c r="B283" s="30"/>
      <c r="C283" s="30"/>
      <c r="D283" s="30"/>
      <c r="E283" s="74"/>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30"/>
      <c r="B284" s="30"/>
      <c r="C284" s="30"/>
      <c r="D284" s="30"/>
      <c r="E284" s="74"/>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30"/>
      <c r="B285" s="30"/>
      <c r="C285" s="30"/>
      <c r="D285" s="30"/>
      <c r="E285" s="74"/>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30"/>
      <c r="B286" s="30"/>
      <c r="C286" s="30"/>
      <c r="D286" s="30"/>
      <c r="E286" s="74"/>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30"/>
      <c r="B287" s="30"/>
      <c r="C287" s="30"/>
      <c r="D287" s="30"/>
      <c r="E287" s="74"/>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30"/>
      <c r="B288" s="30"/>
      <c r="C288" s="30"/>
      <c r="D288" s="30"/>
      <c r="E288" s="74"/>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30"/>
      <c r="B289" s="30"/>
      <c r="C289" s="30"/>
      <c r="D289" s="30"/>
      <c r="E289" s="74"/>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74"/>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74"/>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74"/>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74"/>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74"/>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74"/>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74"/>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74"/>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74"/>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74"/>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74"/>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74"/>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74"/>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74"/>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74"/>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74"/>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74"/>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74"/>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74"/>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74"/>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74"/>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74"/>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74"/>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74"/>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74"/>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74"/>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74"/>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74"/>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74"/>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74"/>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74"/>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74"/>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74"/>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74"/>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74"/>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74"/>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74"/>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74"/>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74"/>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74"/>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74"/>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74"/>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74"/>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74"/>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74"/>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74"/>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74"/>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74"/>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74"/>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74"/>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74"/>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74"/>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74"/>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74"/>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74"/>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74"/>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74"/>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74"/>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74"/>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74"/>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74"/>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74"/>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74"/>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74"/>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74"/>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74"/>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74"/>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74"/>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74"/>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74"/>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74"/>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74"/>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74"/>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74"/>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74"/>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74"/>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74"/>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74"/>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74"/>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74"/>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74"/>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74"/>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74"/>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74"/>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74"/>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74"/>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74"/>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74"/>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74"/>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74"/>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74"/>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74"/>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74"/>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74"/>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74"/>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74"/>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74"/>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74"/>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74"/>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74"/>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74"/>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74"/>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74"/>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74"/>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74"/>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74"/>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74"/>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74"/>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74"/>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74"/>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74"/>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74"/>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74"/>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74"/>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74"/>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74"/>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74"/>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74"/>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74"/>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74"/>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74"/>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74"/>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74"/>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74"/>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74"/>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74"/>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74"/>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74"/>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74"/>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74"/>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74"/>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74"/>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74"/>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74"/>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74"/>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74"/>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74"/>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74"/>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74"/>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74"/>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74"/>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74"/>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74"/>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74"/>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74"/>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74"/>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74"/>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74"/>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74"/>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74"/>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74"/>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74"/>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74"/>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74"/>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74"/>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74"/>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74"/>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74"/>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74"/>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74"/>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74"/>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74"/>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74"/>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74"/>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74"/>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74"/>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74"/>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74"/>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74"/>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74"/>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74"/>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74"/>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74"/>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74"/>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74"/>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74"/>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74"/>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74"/>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74"/>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74"/>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74"/>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74"/>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74"/>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74"/>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74"/>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74"/>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74"/>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74"/>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74"/>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74"/>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74"/>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74"/>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74"/>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74"/>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74"/>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74"/>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74"/>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74"/>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74"/>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74"/>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74"/>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74"/>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74"/>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74"/>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74"/>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74"/>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74"/>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74"/>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74"/>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74"/>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74"/>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74"/>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74"/>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74"/>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74"/>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74"/>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74"/>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74"/>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74"/>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74"/>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74"/>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74"/>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74"/>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74"/>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74"/>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74"/>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74"/>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74"/>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74"/>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74"/>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74"/>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74"/>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74"/>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74"/>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74"/>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74"/>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74"/>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74"/>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74"/>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74"/>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74"/>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74"/>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74"/>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74"/>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74"/>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74"/>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74"/>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74"/>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74"/>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74"/>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74"/>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74"/>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74"/>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74"/>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74"/>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74"/>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74"/>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74"/>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74"/>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74"/>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74"/>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74"/>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74"/>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74"/>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74"/>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74"/>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74"/>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74"/>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74"/>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74"/>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74"/>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74"/>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74"/>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74"/>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74"/>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74"/>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74"/>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74"/>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74"/>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74"/>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74"/>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74"/>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74"/>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74"/>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74"/>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74"/>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74"/>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74"/>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74"/>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74"/>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74"/>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74"/>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74"/>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74"/>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74"/>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74"/>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74"/>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74"/>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74"/>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74"/>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74"/>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74"/>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74"/>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74"/>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74"/>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74"/>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74"/>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74"/>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74"/>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74"/>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74"/>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74"/>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74"/>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74"/>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74"/>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74"/>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74"/>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74"/>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74"/>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74"/>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74"/>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74"/>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74"/>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74"/>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74"/>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74"/>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74"/>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74"/>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74"/>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74"/>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74"/>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74"/>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74"/>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74"/>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74"/>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74"/>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74"/>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74"/>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74"/>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74"/>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74"/>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74"/>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74"/>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74"/>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74"/>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74"/>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74"/>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74"/>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74"/>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74"/>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74"/>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74"/>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74"/>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74"/>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74"/>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74"/>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74"/>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74"/>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74"/>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74"/>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74"/>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74"/>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74"/>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74"/>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74"/>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74"/>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74"/>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74"/>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74"/>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74"/>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74"/>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74"/>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74"/>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74"/>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74"/>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74"/>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74"/>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74"/>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74"/>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74"/>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74"/>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74"/>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74"/>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74"/>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74"/>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74"/>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74"/>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74"/>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74"/>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74"/>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74"/>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74"/>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74"/>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74"/>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74"/>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74"/>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74"/>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74"/>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74"/>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74"/>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74"/>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74"/>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74"/>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74"/>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74"/>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74"/>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74"/>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74"/>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74"/>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74"/>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74"/>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74"/>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74"/>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74"/>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74"/>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74"/>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74"/>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74"/>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74"/>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74"/>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74"/>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74"/>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74"/>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74"/>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74"/>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74"/>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74"/>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74"/>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74"/>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74"/>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74"/>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74"/>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74"/>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74"/>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74"/>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74"/>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74"/>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74"/>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74"/>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74"/>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74"/>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74"/>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74"/>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74"/>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74"/>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74"/>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74"/>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74"/>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74"/>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74"/>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74"/>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74"/>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74"/>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74"/>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74"/>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74"/>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74"/>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74"/>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74"/>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74"/>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74"/>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74"/>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74"/>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74"/>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74"/>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74"/>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74"/>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74"/>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74"/>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74"/>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74"/>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74"/>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74"/>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74"/>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74"/>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74"/>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74"/>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74"/>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74"/>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74"/>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74"/>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74"/>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74"/>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74"/>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74"/>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74"/>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74"/>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74"/>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74"/>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74"/>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74"/>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74"/>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74"/>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74"/>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74"/>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74"/>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74"/>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74"/>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74"/>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74"/>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74"/>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74"/>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74"/>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74"/>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74"/>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74"/>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74"/>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74"/>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74"/>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74"/>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74"/>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74"/>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74"/>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74"/>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74"/>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74"/>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74"/>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74"/>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74"/>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74"/>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74"/>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74"/>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74"/>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74"/>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74"/>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74"/>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74"/>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74"/>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74"/>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74"/>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74"/>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74"/>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74"/>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74"/>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74"/>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74"/>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74"/>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74"/>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74"/>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74"/>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74"/>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74"/>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74"/>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74"/>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74"/>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74"/>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74"/>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74"/>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74"/>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74"/>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74"/>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74"/>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74"/>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74"/>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74"/>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74"/>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74"/>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74"/>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74"/>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74"/>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74"/>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74"/>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74"/>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74"/>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74"/>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74"/>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74"/>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74"/>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74"/>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74"/>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74"/>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74"/>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74"/>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74"/>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74"/>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74"/>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74"/>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74"/>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74"/>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74"/>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74"/>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74"/>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74"/>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74"/>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74"/>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74"/>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74"/>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74"/>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74"/>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74"/>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74"/>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74"/>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74"/>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74"/>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74"/>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74"/>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74"/>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74"/>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74"/>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74"/>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74"/>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74"/>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74"/>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74"/>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74"/>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74"/>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74"/>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74"/>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74"/>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74"/>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74"/>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74"/>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74"/>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74"/>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74"/>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74"/>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74"/>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74"/>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74"/>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74"/>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74"/>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74"/>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74"/>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74"/>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74"/>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74"/>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74"/>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74"/>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74"/>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74"/>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74"/>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74"/>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74"/>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74"/>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74"/>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74"/>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74"/>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74"/>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74"/>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74"/>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74"/>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74"/>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74"/>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74"/>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74"/>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74"/>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74"/>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74"/>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74"/>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74"/>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74"/>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74"/>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74"/>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74"/>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74"/>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74"/>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74"/>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74"/>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74"/>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74"/>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74"/>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74"/>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74"/>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74"/>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74"/>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74"/>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74"/>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74"/>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74"/>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74"/>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74"/>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74"/>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74"/>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74"/>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74"/>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74"/>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74"/>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74"/>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74"/>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74"/>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74"/>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74"/>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74"/>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74"/>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74"/>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74"/>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74"/>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74"/>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74"/>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74"/>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74"/>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74"/>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74"/>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74"/>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74"/>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74"/>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74"/>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74"/>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74"/>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74"/>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74"/>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74"/>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74"/>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74"/>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74"/>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74"/>
      <c r="F995" s="30"/>
      <c r="G995" s="30"/>
      <c r="H995" s="30"/>
      <c r="I995" s="30"/>
      <c r="J995" s="30"/>
      <c r="K995" s="30"/>
      <c r="L995" s="30"/>
      <c r="M995" s="30"/>
      <c r="N995" s="30"/>
      <c r="O995" s="30"/>
      <c r="P995" s="30"/>
      <c r="Q995" s="30"/>
      <c r="R995" s="30"/>
      <c r="S995" s="30"/>
      <c r="T995" s="30"/>
      <c r="U995" s="30"/>
      <c r="V995" s="30"/>
      <c r="W995" s="30"/>
      <c r="X995" s="30"/>
      <c r="Y995" s="30"/>
      <c r="Z995" s="30"/>
      <c r="AA995" s="30"/>
    </row>
    <row r="996">
      <c r="A996" s="30"/>
      <c r="B996" s="30"/>
      <c r="C996" s="30"/>
      <c r="D996" s="30"/>
      <c r="E996" s="74"/>
      <c r="F996" s="30"/>
      <c r="G996" s="30"/>
      <c r="H996" s="30"/>
      <c r="I996" s="30"/>
      <c r="J996" s="30"/>
      <c r="K996" s="30"/>
      <c r="L996" s="30"/>
      <c r="M996" s="30"/>
      <c r="N996" s="30"/>
      <c r="O996" s="30"/>
      <c r="P996" s="30"/>
      <c r="Q996" s="30"/>
      <c r="R996" s="30"/>
      <c r="S996" s="30"/>
      <c r="T996" s="30"/>
      <c r="U996" s="30"/>
      <c r="V996" s="30"/>
      <c r="W996" s="30"/>
      <c r="X996" s="30"/>
      <c r="Y996" s="30"/>
      <c r="Z996" s="30"/>
      <c r="AA996" s="30"/>
    </row>
    <row r="997">
      <c r="A997" s="30"/>
      <c r="B997" s="30"/>
      <c r="C997" s="30"/>
      <c r="D997" s="30"/>
      <c r="E997" s="74"/>
      <c r="F997" s="30"/>
      <c r="G997" s="30"/>
      <c r="H997" s="30"/>
      <c r="I997" s="30"/>
      <c r="J997" s="30"/>
      <c r="K997" s="30"/>
      <c r="L997" s="30"/>
      <c r="M997" s="30"/>
      <c r="N997" s="30"/>
      <c r="O997" s="30"/>
      <c r="P997" s="30"/>
      <c r="Q997" s="30"/>
      <c r="R997" s="30"/>
      <c r="S997" s="30"/>
      <c r="T997" s="30"/>
      <c r="U997" s="30"/>
      <c r="V997" s="30"/>
      <c r="W997" s="30"/>
      <c r="X997" s="30"/>
      <c r="Y997" s="30"/>
      <c r="Z997" s="30"/>
      <c r="AA997" s="30"/>
    </row>
    <row r="998">
      <c r="A998" s="30"/>
      <c r="B998" s="30"/>
      <c r="C998" s="30"/>
      <c r="D998" s="30"/>
      <c r="E998" s="74"/>
      <c r="F998" s="30"/>
      <c r="G998" s="30"/>
      <c r="H998" s="30"/>
      <c r="I998" s="30"/>
      <c r="J998" s="30"/>
      <c r="K998" s="30"/>
      <c r="L998" s="30"/>
      <c r="M998" s="30"/>
      <c r="N998" s="30"/>
      <c r="O998" s="30"/>
      <c r="P998" s="30"/>
      <c r="Q998" s="30"/>
      <c r="R998" s="30"/>
      <c r="S998" s="30"/>
      <c r="T998" s="30"/>
      <c r="U998" s="30"/>
      <c r="V998" s="30"/>
      <c r="W998" s="30"/>
      <c r="X998" s="30"/>
      <c r="Y998" s="30"/>
      <c r="Z998" s="30"/>
      <c r="AA998" s="30"/>
    </row>
    <row r="999">
      <c r="A999" s="30"/>
      <c r="B999" s="30"/>
      <c r="C999" s="30"/>
      <c r="D999" s="30"/>
      <c r="E999" s="74"/>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c r="A1000" s="30"/>
      <c r="B1000" s="30"/>
      <c r="C1000" s="30"/>
      <c r="D1000" s="30"/>
      <c r="E1000" s="74"/>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33.89"/>
    <col customWidth="1" min="2" max="2" width="31.78"/>
    <col customWidth="1" min="3" max="3" width="67.67"/>
  </cols>
  <sheetData>
    <row r="1">
      <c r="A1" s="45" t="s">
        <v>2001</v>
      </c>
      <c r="B1" s="45" t="s">
        <v>2002</v>
      </c>
      <c r="C1" s="45" t="s">
        <v>140</v>
      </c>
    </row>
    <row r="2">
      <c r="A2" s="2" t="s">
        <v>2003</v>
      </c>
      <c r="B2" s="2" t="s">
        <v>2004</v>
      </c>
    </row>
    <row r="3">
      <c r="A3" s="2" t="s">
        <v>2005</v>
      </c>
      <c r="B3" s="2" t="s">
        <v>2006</v>
      </c>
      <c r="C3" s="2" t="s">
        <v>2007</v>
      </c>
    </row>
    <row r="4">
      <c r="A4" s="2" t="s">
        <v>2008</v>
      </c>
      <c r="B4" s="2" t="s">
        <v>2009</v>
      </c>
    </row>
    <row r="5">
      <c r="A5" s="2" t="s">
        <v>2010</v>
      </c>
      <c r="B5" s="2" t="s">
        <v>2011</v>
      </c>
    </row>
    <row r="6">
      <c r="A6" s="2" t="s">
        <v>2012</v>
      </c>
      <c r="B6" s="2" t="s">
        <v>2013</v>
      </c>
      <c r="C6" s="2" t="s">
        <v>2014</v>
      </c>
    </row>
    <row r="7">
      <c r="A7" s="2" t="s">
        <v>2015</v>
      </c>
      <c r="B7" s="2" t="s">
        <v>2016</v>
      </c>
      <c r="C7" s="2" t="s">
        <v>2014</v>
      </c>
    </row>
    <row r="8">
      <c r="A8" s="2" t="s">
        <v>2017</v>
      </c>
      <c r="B8" s="2" t="s">
        <v>2017</v>
      </c>
      <c r="C8" s="2" t="s">
        <v>2018</v>
      </c>
    </row>
    <row r="9">
      <c r="A9" s="2" t="s">
        <v>2019</v>
      </c>
      <c r="B9" s="2" t="s">
        <v>2020</v>
      </c>
      <c r="C9" s="2" t="s">
        <v>2021</v>
      </c>
    </row>
    <row r="10">
      <c r="A10" s="2" t="s">
        <v>2023</v>
      </c>
      <c r="B10" s="2" t="s">
        <v>2024</v>
      </c>
      <c r="C10" s="2" t="s">
        <v>2025</v>
      </c>
    </row>
    <row r="11">
      <c r="A11" s="2" t="s">
        <v>2026</v>
      </c>
      <c r="B11" s="2" t="s">
        <v>2026</v>
      </c>
      <c r="C11" s="2" t="s">
        <v>2027</v>
      </c>
    </row>
    <row r="12">
      <c r="A12" s="2" t="s">
        <v>2028</v>
      </c>
      <c r="B12" s="2" t="s">
        <v>2030</v>
      </c>
    </row>
    <row r="13">
      <c r="A13" s="2" t="s">
        <v>2032</v>
      </c>
      <c r="B13" s="2" t="s">
        <v>2032</v>
      </c>
      <c r="C13" s="2" t="s">
        <v>2027</v>
      </c>
    </row>
    <row r="14">
      <c r="A14" s="2" t="s">
        <v>2033</v>
      </c>
      <c r="B14" s="2" t="s">
        <v>2034</v>
      </c>
      <c r="C14" s="2" t="s">
        <v>2035</v>
      </c>
    </row>
    <row r="15">
      <c r="A15" s="2" t="s">
        <v>2036</v>
      </c>
      <c r="B15" s="2" t="s">
        <v>2037</v>
      </c>
      <c r="C15" s="2" t="s">
        <v>2039</v>
      </c>
    </row>
    <row r="16">
      <c r="A16" s="2" t="s">
        <v>2041</v>
      </c>
      <c r="B16" s="2" t="s">
        <v>2042</v>
      </c>
      <c r="C16" s="2" t="s">
        <v>2039</v>
      </c>
    </row>
    <row r="17">
      <c r="A17" s="2" t="s">
        <v>2043</v>
      </c>
      <c r="B17" s="2" t="s">
        <v>2044</v>
      </c>
      <c r="C17" s="2" t="s">
        <v>2045</v>
      </c>
    </row>
    <row r="18">
      <c r="A18" s="2" t="s">
        <v>2047</v>
      </c>
      <c r="B18" s="2" t="s">
        <v>2048</v>
      </c>
      <c r="C18" s="2" t="s">
        <v>2045</v>
      </c>
    </row>
    <row r="19">
      <c r="A19" s="2" t="s">
        <v>2049</v>
      </c>
      <c r="B19" s="2" t="s">
        <v>2050</v>
      </c>
      <c r="C19" s="2" t="s">
        <v>2051</v>
      </c>
    </row>
    <row r="20">
      <c r="A20" s="2" t="s">
        <v>2052</v>
      </c>
      <c r="B20" s="2" t="s">
        <v>2053</v>
      </c>
      <c r="C20" s="2" t="s">
        <v>2054</v>
      </c>
    </row>
    <row r="21">
      <c r="A21" s="2" t="s">
        <v>2055</v>
      </c>
      <c r="B21" s="2" t="s">
        <v>2056</v>
      </c>
    </row>
    <row r="22">
      <c r="A22" s="2" t="s">
        <v>2057</v>
      </c>
      <c r="B22" s="2" t="s">
        <v>2058</v>
      </c>
      <c r="C22" s="2" t="s">
        <v>2059</v>
      </c>
    </row>
    <row r="23">
      <c r="A23" s="2" t="s">
        <v>2060</v>
      </c>
      <c r="B23" s="2" t="s">
        <v>2060</v>
      </c>
      <c r="C23" s="2" t="s">
        <v>2027</v>
      </c>
    </row>
    <row r="24">
      <c r="A24" s="2" t="s">
        <v>2061</v>
      </c>
      <c r="B24" s="2" t="s">
        <v>2061</v>
      </c>
      <c r="C24" s="2" t="s">
        <v>2027</v>
      </c>
    </row>
    <row r="25">
      <c r="A25" s="2" t="s">
        <v>2062</v>
      </c>
      <c r="B25" s="2" t="s">
        <v>2062</v>
      </c>
      <c r="C25" s="2" t="s">
        <v>2027</v>
      </c>
    </row>
    <row r="26">
      <c r="A26" s="2" t="s">
        <v>2063</v>
      </c>
      <c r="B26" s="2" t="s">
        <v>2063</v>
      </c>
      <c r="C26" s="2" t="s">
        <v>2027</v>
      </c>
    </row>
    <row r="27">
      <c r="A27" s="2" t="s">
        <v>2064</v>
      </c>
      <c r="B27" s="2" t="s">
        <v>2064</v>
      </c>
      <c r="C27" s="2" t="s">
        <v>2027</v>
      </c>
    </row>
    <row r="28">
      <c r="A28" s="2" t="s">
        <v>2065</v>
      </c>
      <c r="B28" s="2" t="s">
        <v>2066</v>
      </c>
      <c r="C28" s="2" t="s">
        <v>2067</v>
      </c>
    </row>
    <row r="29">
      <c r="A29" s="2" t="s">
        <v>2068</v>
      </c>
      <c r="B29" s="2" t="s">
        <v>2069</v>
      </c>
      <c r="C29" s="2" t="s">
        <v>2070</v>
      </c>
    </row>
    <row r="30">
      <c r="A30" s="2" t="s">
        <v>2071</v>
      </c>
      <c r="B30" s="2" t="s">
        <v>2072</v>
      </c>
      <c r="C30" s="2" t="s">
        <v>2073</v>
      </c>
    </row>
    <row r="31">
      <c r="A31" s="2" t="s">
        <v>2075</v>
      </c>
      <c r="B31" s="2" t="s">
        <v>2077</v>
      </c>
      <c r="C31" s="2" t="s">
        <v>2073</v>
      </c>
    </row>
    <row r="32">
      <c r="A32" s="2" t="s">
        <v>2078</v>
      </c>
      <c r="B32" s="2" t="s">
        <v>2078</v>
      </c>
      <c r="C32" s="2" t="s">
        <v>2027</v>
      </c>
    </row>
    <row r="33">
      <c r="A33" s="2" t="s">
        <v>2079</v>
      </c>
      <c r="B33" s="2" t="s">
        <v>2079</v>
      </c>
      <c r="C33" s="2" t="s">
        <v>2027</v>
      </c>
    </row>
    <row r="34">
      <c r="A34" s="2" t="s">
        <v>2081</v>
      </c>
      <c r="B34" s="2" t="s">
        <v>2082</v>
      </c>
      <c r="C34" s="2" t="s">
        <v>2083</v>
      </c>
    </row>
    <row r="35">
      <c r="A35" s="2" t="s">
        <v>2086</v>
      </c>
      <c r="B35" s="2" t="s">
        <v>2088</v>
      </c>
      <c r="C35" s="2" t="s">
        <v>2090</v>
      </c>
    </row>
    <row r="36">
      <c r="A36" s="2" t="s">
        <v>2091</v>
      </c>
      <c r="B36" s="2" t="s">
        <v>2093</v>
      </c>
      <c r="C36" s="2" t="s">
        <v>2090</v>
      </c>
    </row>
    <row r="37">
      <c r="A37" s="2" t="s">
        <v>2094</v>
      </c>
      <c r="B37" s="2" t="s">
        <v>2094</v>
      </c>
      <c r="C37" s="2" t="s">
        <v>2027</v>
      </c>
    </row>
    <row r="38">
      <c r="A38" s="2" t="s">
        <v>2095</v>
      </c>
      <c r="B38" s="2" t="s">
        <v>2096</v>
      </c>
      <c r="C38" s="2" t="s">
        <v>2097</v>
      </c>
    </row>
    <row r="39">
      <c r="A39" s="2" t="s">
        <v>2098</v>
      </c>
      <c r="B39" s="2" t="s">
        <v>2099</v>
      </c>
      <c r="C39" s="2" t="s">
        <v>2097</v>
      </c>
    </row>
    <row r="40">
      <c r="A40" s="2" t="s">
        <v>2100</v>
      </c>
      <c r="B40" s="2" t="s">
        <v>2100</v>
      </c>
      <c r="C40" s="2" t="s">
        <v>2027</v>
      </c>
    </row>
    <row r="41">
      <c r="A41" s="2" t="s">
        <v>2101</v>
      </c>
      <c r="B41" s="2" t="s">
        <v>2101</v>
      </c>
      <c r="C41" s="2" t="s">
        <v>2027</v>
      </c>
    </row>
    <row r="42">
      <c r="A42" s="2" t="s">
        <v>2102</v>
      </c>
      <c r="B42" s="2" t="s">
        <v>2103</v>
      </c>
      <c r="C42" s="2" t="s">
        <v>2104</v>
      </c>
    </row>
    <row r="43">
      <c r="A43" s="2" t="s">
        <v>2105</v>
      </c>
      <c r="B43" s="2" t="s">
        <v>2105</v>
      </c>
      <c r="C43" s="2" t="s">
        <v>2018</v>
      </c>
    </row>
    <row r="44">
      <c r="A44" s="2" t="s">
        <v>2106</v>
      </c>
      <c r="B44" s="2" t="s">
        <v>2107</v>
      </c>
      <c r="C44" s="2" t="s">
        <v>2108</v>
      </c>
    </row>
    <row r="45">
      <c r="A45" s="2" t="s">
        <v>2109</v>
      </c>
      <c r="B45" s="2" t="s">
        <v>2109</v>
      </c>
      <c r="C45" s="2" t="s">
        <v>2018</v>
      </c>
    </row>
    <row r="46">
      <c r="A46" s="2" t="s">
        <v>2110</v>
      </c>
      <c r="B46" s="2" t="s">
        <v>2111</v>
      </c>
      <c r="C46" s="2" t="s">
        <v>2112</v>
      </c>
    </row>
    <row r="47">
      <c r="A47" s="2" t="s">
        <v>2113</v>
      </c>
      <c r="B47" s="2" t="s">
        <v>2113</v>
      </c>
      <c r="C47" s="2" t="s">
        <v>2027</v>
      </c>
    </row>
    <row r="48">
      <c r="A48" s="2" t="s">
        <v>2116</v>
      </c>
      <c r="B48" s="2" t="s">
        <v>2117</v>
      </c>
      <c r="C48" s="2" t="s">
        <v>2118</v>
      </c>
    </row>
    <row r="49">
      <c r="A49" s="2" t="s">
        <v>2119</v>
      </c>
      <c r="B49" s="2" t="s">
        <v>2119</v>
      </c>
      <c r="C49" s="2" t="s">
        <v>2027</v>
      </c>
    </row>
    <row r="50">
      <c r="A50" s="2" t="s">
        <v>2120</v>
      </c>
      <c r="B50" s="2" t="s">
        <v>2120</v>
      </c>
      <c r="C50" s="2" t="s">
        <v>2027</v>
      </c>
    </row>
    <row r="51">
      <c r="A51" s="2" t="s">
        <v>2122</v>
      </c>
      <c r="B51" s="2" t="s">
        <v>2123</v>
      </c>
      <c r="C51" s="2" t="s">
        <v>2125</v>
      </c>
    </row>
    <row r="52">
      <c r="A52" s="2" t="s">
        <v>2126</v>
      </c>
      <c r="B52" s="2" t="s">
        <v>2127</v>
      </c>
      <c r="C52" s="2" t="s">
        <v>2125</v>
      </c>
    </row>
    <row r="53">
      <c r="A53" s="2" t="s">
        <v>2129</v>
      </c>
      <c r="B53" s="2" t="s">
        <v>2129</v>
      </c>
      <c r="C53" s="2" t="s">
        <v>2027</v>
      </c>
    </row>
    <row r="54">
      <c r="A54" s="2" t="s">
        <v>2130</v>
      </c>
      <c r="B54" s="2" t="s">
        <v>2130</v>
      </c>
      <c r="C54" s="2" t="s">
        <v>2027</v>
      </c>
    </row>
    <row r="55">
      <c r="A55" s="2" t="s">
        <v>2131</v>
      </c>
      <c r="B55" s="2" t="s">
        <v>2132</v>
      </c>
      <c r="C55" s="2" t="s">
        <v>2134</v>
      </c>
    </row>
    <row r="56">
      <c r="A56" s="2" t="s">
        <v>2135</v>
      </c>
      <c r="B56" s="2" t="s">
        <v>2135</v>
      </c>
      <c r="C56" s="2" t="s">
        <v>2027</v>
      </c>
    </row>
    <row r="57">
      <c r="A57" s="2" t="s">
        <v>2136</v>
      </c>
      <c r="B57" s="2" t="s">
        <v>2137</v>
      </c>
      <c r="C57" s="2" t="s">
        <v>2138</v>
      </c>
    </row>
    <row r="58">
      <c r="A58" s="2" t="s">
        <v>2139</v>
      </c>
      <c r="B58" s="2" t="s">
        <v>2140</v>
      </c>
      <c r="C58" s="2" t="s">
        <v>2141</v>
      </c>
    </row>
    <row r="59">
      <c r="A59" s="2" t="s">
        <v>2142</v>
      </c>
      <c r="B59" s="2" t="s">
        <v>2142</v>
      </c>
      <c r="C59" s="2" t="s">
        <v>2027</v>
      </c>
    </row>
    <row r="60">
      <c r="A60" s="2" t="s">
        <v>2145</v>
      </c>
      <c r="B60" s="2" t="s">
        <v>2145</v>
      </c>
      <c r="C60" s="2" t="s">
        <v>2027</v>
      </c>
    </row>
    <row r="61">
      <c r="A61" s="2" t="s">
        <v>2146</v>
      </c>
      <c r="B61" s="2" t="s">
        <v>2147</v>
      </c>
      <c r="C61" s="2" t="s">
        <v>2148</v>
      </c>
    </row>
    <row r="62">
      <c r="A62" s="2" t="s">
        <v>2149</v>
      </c>
      <c r="B62" s="2" t="s">
        <v>2149</v>
      </c>
      <c r="C62" s="2" t="s">
        <v>2027</v>
      </c>
    </row>
    <row r="63">
      <c r="A63" s="2" t="s">
        <v>2150</v>
      </c>
      <c r="B63" s="2" t="s">
        <v>2150</v>
      </c>
      <c r="C63" s="2" t="s">
        <v>2027</v>
      </c>
    </row>
    <row r="64">
      <c r="A64" s="2" t="s">
        <v>2153</v>
      </c>
      <c r="B64" s="2" t="s">
        <v>2154</v>
      </c>
      <c r="C64" s="2" t="s">
        <v>2155</v>
      </c>
    </row>
    <row r="65">
      <c r="A65" s="2" t="s">
        <v>2156</v>
      </c>
      <c r="B65" s="2" t="s">
        <v>2156</v>
      </c>
      <c r="C65" s="2" t="s">
        <v>2018</v>
      </c>
    </row>
    <row r="66">
      <c r="A66" s="2" t="s">
        <v>2158</v>
      </c>
      <c r="B66" s="2" t="s">
        <v>2158</v>
      </c>
      <c r="C66" s="2" t="s">
        <v>2027</v>
      </c>
    </row>
    <row r="67">
      <c r="A67" s="2" t="s">
        <v>2159</v>
      </c>
      <c r="B67" s="2" t="s">
        <v>2160</v>
      </c>
      <c r="C67" s="2" t="s">
        <v>2161</v>
      </c>
    </row>
    <row r="68">
      <c r="A68" s="2" t="s">
        <v>2162</v>
      </c>
      <c r="B68" s="2" t="s">
        <v>2163</v>
      </c>
      <c r="C68" s="2" t="s">
        <v>2164</v>
      </c>
    </row>
    <row r="69">
      <c r="A69" s="2" t="s">
        <v>2165</v>
      </c>
      <c r="B69" s="2" t="s">
        <v>2166</v>
      </c>
      <c r="C69" s="2" t="s">
        <v>2167</v>
      </c>
    </row>
    <row r="70">
      <c r="A70" s="2" t="s">
        <v>2168</v>
      </c>
      <c r="B70" s="2" t="s">
        <v>2168</v>
      </c>
      <c r="C70" s="2" t="s">
        <v>2027</v>
      </c>
    </row>
    <row r="71">
      <c r="A71" s="2" t="s">
        <v>2169</v>
      </c>
      <c r="B71" s="2" t="s">
        <v>2170</v>
      </c>
      <c r="C71" s="2" t="s">
        <v>2171</v>
      </c>
    </row>
    <row r="72">
      <c r="A72" s="2" t="s">
        <v>2172</v>
      </c>
      <c r="B72" s="2" t="s">
        <v>2172</v>
      </c>
      <c r="C72" s="2" t="s">
        <v>2027</v>
      </c>
    </row>
    <row r="73">
      <c r="A73" s="2" t="s">
        <v>2173</v>
      </c>
      <c r="B73" s="2" t="s">
        <v>2174</v>
      </c>
      <c r="C73" s="2" t="s">
        <v>2175</v>
      </c>
    </row>
    <row r="74">
      <c r="A74" s="2" t="s">
        <v>2176</v>
      </c>
      <c r="B74" s="2" t="s">
        <v>2176</v>
      </c>
      <c r="C74" s="2" t="s">
        <v>2027</v>
      </c>
    </row>
    <row r="75">
      <c r="A75" s="2" t="s">
        <v>2177</v>
      </c>
      <c r="B75" s="2" t="s">
        <v>2178</v>
      </c>
      <c r="C75" s="2" t="s">
        <v>2179</v>
      </c>
    </row>
    <row r="76">
      <c r="A76" s="2" t="s">
        <v>2180</v>
      </c>
      <c r="B76" s="2" t="s">
        <v>2180</v>
      </c>
      <c r="C76" s="2" t="s">
        <v>2027</v>
      </c>
    </row>
    <row r="77">
      <c r="A77" s="2" t="s">
        <v>2181</v>
      </c>
      <c r="B77" s="2" t="s">
        <v>2182</v>
      </c>
      <c r="C77" s="2" t="s">
        <v>2183</v>
      </c>
    </row>
    <row r="78">
      <c r="A78" s="2" t="s">
        <v>2184</v>
      </c>
      <c r="B78" s="2" t="s">
        <v>2185</v>
      </c>
      <c r="C78" s="2" t="s">
        <v>2187</v>
      </c>
    </row>
    <row r="79">
      <c r="A79" s="2" t="s">
        <v>2189</v>
      </c>
      <c r="B79" s="2" t="s">
        <v>2190</v>
      </c>
      <c r="C79" s="2" t="s">
        <v>2191</v>
      </c>
    </row>
    <row r="80">
      <c r="A80" s="2" t="s">
        <v>2192</v>
      </c>
      <c r="B80" s="2" t="s">
        <v>2193</v>
      </c>
    </row>
    <row r="81">
      <c r="A81" s="2" t="s">
        <v>2194</v>
      </c>
      <c r="B81" s="2" t="s">
        <v>2196</v>
      </c>
      <c r="C81" s="2" t="s">
        <v>2197</v>
      </c>
    </row>
    <row r="82">
      <c r="A82" s="2" t="s">
        <v>2198</v>
      </c>
      <c r="B82" s="2" t="s">
        <v>2199</v>
      </c>
      <c r="C82" s="2" t="s">
        <v>2200</v>
      </c>
    </row>
    <row r="83">
      <c r="A83" s="2" t="s">
        <v>2202</v>
      </c>
      <c r="B83" s="2" t="s">
        <v>2203</v>
      </c>
      <c r="C83" s="2" t="s">
        <v>2205</v>
      </c>
    </row>
    <row r="84">
      <c r="A84" s="2" t="s">
        <v>2207</v>
      </c>
      <c r="B84" s="2" t="s">
        <v>2208</v>
      </c>
      <c r="C84" s="2" t="s">
        <v>2209</v>
      </c>
    </row>
    <row r="85">
      <c r="A85" s="2" t="s">
        <v>2210</v>
      </c>
      <c r="B85" s="2" t="s">
        <v>2211</v>
      </c>
      <c r="C85" s="2" t="s">
        <v>2209</v>
      </c>
    </row>
    <row r="86">
      <c r="A86" s="2" t="s">
        <v>2212</v>
      </c>
      <c r="B86" s="2" t="s">
        <v>2213</v>
      </c>
      <c r="C86" s="2" t="s">
        <v>2209</v>
      </c>
    </row>
    <row r="87">
      <c r="A87" s="2" t="s">
        <v>2214</v>
      </c>
      <c r="B87" s="2" t="s">
        <v>2215</v>
      </c>
      <c r="C87" s="2" t="s">
        <v>2216</v>
      </c>
    </row>
    <row r="88">
      <c r="A88" s="2" t="s">
        <v>2217</v>
      </c>
      <c r="B88" s="2" t="s">
        <v>2218</v>
      </c>
      <c r="C88" s="2" t="s">
        <v>2216</v>
      </c>
    </row>
    <row r="89">
      <c r="A89" s="2" t="s">
        <v>2219</v>
      </c>
      <c r="B89" s="2" t="s">
        <v>2221</v>
      </c>
      <c r="C89" s="2" t="s">
        <v>2222</v>
      </c>
    </row>
    <row r="90">
      <c r="A90" s="2" t="s">
        <v>2223</v>
      </c>
      <c r="B90" s="2" t="s">
        <v>2225</v>
      </c>
      <c r="C90" s="2" t="s">
        <v>2226</v>
      </c>
    </row>
    <row r="91">
      <c r="A91" s="2" t="s">
        <v>2227</v>
      </c>
      <c r="B91" s="2" t="s">
        <v>2228</v>
      </c>
      <c r="C91" s="2" t="s">
        <v>2229</v>
      </c>
    </row>
    <row r="92">
      <c r="A92" s="2" t="s">
        <v>2230</v>
      </c>
      <c r="B92" s="2" t="s">
        <v>2231</v>
      </c>
      <c r="C92" s="2" t="s">
        <v>2232</v>
      </c>
    </row>
    <row r="93">
      <c r="A93" s="2" t="s">
        <v>2233</v>
      </c>
      <c r="B93" s="2" t="s">
        <v>2234</v>
      </c>
    </row>
    <row r="94">
      <c r="A94" s="2" t="s">
        <v>2235</v>
      </c>
      <c r="B94" s="2" t="s">
        <v>2236</v>
      </c>
      <c r="C94" s="2" t="s">
        <v>2238</v>
      </c>
    </row>
    <row r="95">
      <c r="A95" s="2" t="s">
        <v>2240</v>
      </c>
      <c r="B95" s="2" t="s">
        <v>2241</v>
      </c>
      <c r="C95" s="2" t="s">
        <v>2242</v>
      </c>
    </row>
    <row r="96">
      <c r="A96" s="2" t="s">
        <v>2243</v>
      </c>
      <c r="B96" s="2" t="s">
        <v>2244</v>
      </c>
      <c r="C96" s="2" t="s">
        <v>2245</v>
      </c>
    </row>
    <row r="97">
      <c r="A97" s="2" t="s">
        <v>2246</v>
      </c>
      <c r="B97" s="2" t="s">
        <v>2247</v>
      </c>
      <c r="C97" s="2" t="s">
        <v>2248</v>
      </c>
    </row>
    <row r="98">
      <c r="A98" s="2" t="s">
        <v>2250</v>
      </c>
      <c r="B98" s="2" t="s">
        <v>2251</v>
      </c>
      <c r="C98" s="2" t="s">
        <v>2252</v>
      </c>
    </row>
    <row r="99">
      <c r="A99" s="2" t="s">
        <v>2253</v>
      </c>
      <c r="B99" s="2" t="s">
        <v>2254</v>
      </c>
      <c r="C99" s="2" t="s">
        <v>2255</v>
      </c>
    </row>
    <row r="100">
      <c r="A100" s="2" t="s">
        <v>2256</v>
      </c>
      <c r="B100" s="2" t="s">
        <v>2257</v>
      </c>
      <c r="C100" s="2" t="s">
        <v>2258</v>
      </c>
    </row>
    <row r="101">
      <c r="A101" s="2" t="s">
        <v>2260</v>
      </c>
      <c r="B101" s="2" t="s">
        <v>2260</v>
      </c>
      <c r="C101" s="2" t="s">
        <v>2027</v>
      </c>
    </row>
    <row r="102">
      <c r="A102" s="2" t="s">
        <v>2261</v>
      </c>
      <c r="B102" s="2" t="s">
        <v>2262</v>
      </c>
      <c r="C102" s="2" t="s">
        <v>2263</v>
      </c>
    </row>
    <row r="103">
      <c r="A103" s="2" t="s">
        <v>2264</v>
      </c>
      <c r="B103" s="2" t="s">
        <v>2264</v>
      </c>
      <c r="C103" s="2" t="s">
        <v>2027</v>
      </c>
    </row>
    <row r="104">
      <c r="A104" s="2" t="s">
        <v>2265</v>
      </c>
      <c r="B104" s="2" t="s">
        <v>2265</v>
      </c>
      <c r="C104" s="2" t="s">
        <v>2027</v>
      </c>
    </row>
    <row r="105">
      <c r="A105" s="2" t="s">
        <v>2266</v>
      </c>
      <c r="B105" s="2" t="s">
        <v>2267</v>
      </c>
      <c r="C105" s="2" t="s">
        <v>2268</v>
      </c>
    </row>
    <row r="106">
      <c r="A106" s="2" t="s">
        <v>2269</v>
      </c>
      <c r="B106" s="2" t="s">
        <v>2269</v>
      </c>
      <c r="C106" s="2" t="s">
        <v>2018</v>
      </c>
    </row>
    <row r="107">
      <c r="A107" s="2" t="s">
        <v>2270</v>
      </c>
      <c r="B107" s="2" t="s">
        <v>2270</v>
      </c>
      <c r="C107" s="2" t="s">
        <v>2027</v>
      </c>
    </row>
    <row r="108">
      <c r="A108" s="2" t="s">
        <v>2271</v>
      </c>
      <c r="B108" s="2" t="s">
        <v>2272</v>
      </c>
      <c r="C108" s="2" t="s">
        <v>2273</v>
      </c>
    </row>
    <row r="109">
      <c r="A109" s="2" t="s">
        <v>2274</v>
      </c>
      <c r="B109" s="2" t="s">
        <v>2275</v>
      </c>
    </row>
    <row r="110">
      <c r="A110" s="2" t="s">
        <v>2276</v>
      </c>
      <c r="B110" s="2" t="s">
        <v>2277</v>
      </c>
    </row>
    <row r="111">
      <c r="A111" s="2" t="s">
        <v>2278</v>
      </c>
      <c r="B111" s="2" t="s">
        <v>2279</v>
      </c>
      <c r="C111" s="2" t="s">
        <v>2027</v>
      </c>
    </row>
    <row r="112">
      <c r="A112" s="2" t="s">
        <v>2280</v>
      </c>
      <c r="B112" s="2" t="s">
        <v>2280</v>
      </c>
      <c r="C112" s="2" t="s">
        <v>2027</v>
      </c>
    </row>
    <row r="113">
      <c r="A113" s="2" t="s">
        <v>2283</v>
      </c>
      <c r="B113" s="2" t="s">
        <v>2283</v>
      </c>
      <c r="C113" s="2" t="s">
        <v>2027</v>
      </c>
    </row>
    <row r="114">
      <c r="A114" s="2" t="s">
        <v>2284</v>
      </c>
      <c r="B114" s="2" t="s">
        <v>2284</v>
      </c>
      <c r="C114" s="2" t="s">
        <v>2018</v>
      </c>
    </row>
    <row r="115">
      <c r="A115" s="2" t="s">
        <v>2285</v>
      </c>
      <c r="B115" s="2" t="s">
        <v>2286</v>
      </c>
      <c r="C115" s="2" t="s">
        <v>2287</v>
      </c>
    </row>
    <row r="116">
      <c r="A116" s="2" t="s">
        <v>2288</v>
      </c>
      <c r="B116" s="2" t="s">
        <v>2289</v>
      </c>
      <c r="C116" s="2" t="s">
        <v>2290</v>
      </c>
    </row>
    <row r="117">
      <c r="A117" s="2" t="s">
        <v>2291</v>
      </c>
      <c r="B117" s="2" t="s">
        <v>2292</v>
      </c>
      <c r="C117" s="2" t="s">
        <v>2294</v>
      </c>
    </row>
    <row r="118">
      <c r="A118" s="2" t="s">
        <v>2296</v>
      </c>
      <c r="B118" s="2" t="s">
        <v>2297</v>
      </c>
      <c r="C118" s="2" t="s">
        <v>2298</v>
      </c>
    </row>
    <row r="119">
      <c r="A119" s="2" t="s">
        <v>2299</v>
      </c>
      <c r="B119" s="2" t="s">
        <v>2300</v>
      </c>
      <c r="C119" s="2" t="s">
        <v>2301</v>
      </c>
    </row>
    <row r="120">
      <c r="A120" s="2" t="s">
        <v>2302</v>
      </c>
      <c r="B120" s="2" t="s">
        <v>2303</v>
      </c>
    </row>
    <row r="121">
      <c r="A121" s="2" t="s">
        <v>2304</v>
      </c>
      <c r="B121" s="2" t="s">
        <v>2305</v>
      </c>
    </row>
    <row r="122">
      <c r="A122" s="2" t="s">
        <v>2306</v>
      </c>
      <c r="B122" s="2" t="s">
        <v>2307</v>
      </c>
      <c r="C122" s="2" t="s">
        <v>2308</v>
      </c>
    </row>
    <row r="123">
      <c r="A123" s="2" t="s">
        <v>2309</v>
      </c>
      <c r="B123" s="2" t="s">
        <v>2309</v>
      </c>
      <c r="C123" s="2" t="s">
        <v>2027</v>
      </c>
    </row>
    <row r="124">
      <c r="A124" s="2" t="s">
        <v>2310</v>
      </c>
      <c r="B124" s="2" t="s">
        <v>2310</v>
      </c>
      <c r="C124" s="2" t="s">
        <v>2027</v>
      </c>
    </row>
    <row r="125">
      <c r="A125" s="2" t="s">
        <v>2311</v>
      </c>
      <c r="B125" s="2" t="s">
        <v>2311</v>
      </c>
      <c r="C125" s="2" t="s">
        <v>2027</v>
      </c>
    </row>
    <row r="126">
      <c r="A126" s="2" t="s">
        <v>2313</v>
      </c>
      <c r="B126" s="2" t="s">
        <v>2313</v>
      </c>
      <c r="C126" s="2" t="s">
        <v>2027</v>
      </c>
    </row>
    <row r="127">
      <c r="A127" s="2" t="s">
        <v>2315</v>
      </c>
      <c r="B127" s="2" t="s">
        <v>2315</v>
      </c>
      <c r="C127" s="2" t="s">
        <v>2027</v>
      </c>
    </row>
    <row r="128">
      <c r="A128" s="2" t="s">
        <v>2316</v>
      </c>
      <c r="B128" s="2" t="s">
        <v>2318</v>
      </c>
      <c r="C128" s="2" t="s">
        <v>2320</v>
      </c>
    </row>
    <row r="129">
      <c r="A129" s="2" t="s">
        <v>2321</v>
      </c>
      <c r="B129" s="2" t="s">
        <v>2322</v>
      </c>
      <c r="C129" s="2" t="s">
        <v>2323</v>
      </c>
    </row>
    <row r="130">
      <c r="A130" s="2" t="s">
        <v>2324</v>
      </c>
      <c r="B130" s="2" t="s">
        <v>2324</v>
      </c>
      <c r="C130" s="2" t="s">
        <v>2027</v>
      </c>
    </row>
    <row r="131">
      <c r="A131" s="2" t="s">
        <v>2325</v>
      </c>
      <c r="B131" s="2" t="s">
        <v>2325</v>
      </c>
      <c r="C131" s="2" t="s">
        <v>2027</v>
      </c>
    </row>
    <row r="132">
      <c r="A132" s="2" t="s">
        <v>2326</v>
      </c>
      <c r="B132" s="2" t="s">
        <v>2327</v>
      </c>
      <c r="C132" s="2" t="s">
        <v>2328</v>
      </c>
    </row>
    <row r="133">
      <c r="A133" s="2" t="s">
        <v>2329</v>
      </c>
      <c r="B133" s="2" t="s">
        <v>2329</v>
      </c>
      <c r="C133" s="2" t="s">
        <v>2027</v>
      </c>
    </row>
    <row r="134">
      <c r="A134" s="2" t="s">
        <v>2330</v>
      </c>
      <c r="B134" s="2" t="s">
        <v>2331</v>
      </c>
      <c r="C134" s="2" t="s">
        <v>2332</v>
      </c>
    </row>
    <row r="135">
      <c r="A135" s="2" t="s">
        <v>2333</v>
      </c>
      <c r="B135" s="2" t="s">
        <v>2334</v>
      </c>
      <c r="C135" s="2" t="s">
        <v>2335</v>
      </c>
    </row>
    <row r="136">
      <c r="A136" s="2" t="s">
        <v>2336</v>
      </c>
      <c r="B136" s="2" t="s">
        <v>2337</v>
      </c>
      <c r="C136" s="2" t="s">
        <v>2338</v>
      </c>
    </row>
    <row r="137">
      <c r="A137" s="2" t="s">
        <v>2339</v>
      </c>
      <c r="B137" s="2" t="s">
        <v>2340</v>
      </c>
      <c r="C137" s="2" t="s">
        <v>2338</v>
      </c>
    </row>
    <row r="138">
      <c r="A138" s="2" t="s">
        <v>2341</v>
      </c>
      <c r="B138" s="2" t="s">
        <v>2342</v>
      </c>
      <c r="C138" s="2" t="s">
        <v>2338</v>
      </c>
    </row>
    <row r="139">
      <c r="A139" s="2" t="s">
        <v>2343</v>
      </c>
      <c r="B139" s="2" t="s">
        <v>2344</v>
      </c>
      <c r="C139" s="2" t="s">
        <v>2345</v>
      </c>
    </row>
    <row r="140">
      <c r="A140" s="2" t="s">
        <v>2346</v>
      </c>
      <c r="B140" s="2" t="s">
        <v>2346</v>
      </c>
      <c r="C140" s="2" t="s">
        <v>2027</v>
      </c>
    </row>
    <row r="141">
      <c r="A141" s="2" t="s">
        <v>2347</v>
      </c>
      <c r="B141" s="2" t="s">
        <v>2348</v>
      </c>
      <c r="C141" s="2" t="s">
        <v>2349</v>
      </c>
    </row>
    <row r="142">
      <c r="A142" s="2" t="s">
        <v>2350</v>
      </c>
      <c r="B142" s="2" t="s">
        <v>2350</v>
      </c>
      <c r="C142" s="2" t="s">
        <v>2027</v>
      </c>
    </row>
    <row r="143">
      <c r="A143" s="2" t="s">
        <v>2351</v>
      </c>
      <c r="B143" s="2" t="s">
        <v>2352</v>
      </c>
      <c r="C143" s="2" t="s">
        <v>2353</v>
      </c>
    </row>
    <row r="144">
      <c r="A144" s="2" t="s">
        <v>2354</v>
      </c>
      <c r="B144" s="2" t="s">
        <v>2354</v>
      </c>
      <c r="C144" s="2" t="s">
        <v>2018</v>
      </c>
    </row>
    <row r="145">
      <c r="A145" s="2" t="s">
        <v>2355</v>
      </c>
      <c r="B145" s="2" t="s">
        <v>2356</v>
      </c>
      <c r="C145" s="2" t="s">
        <v>2357</v>
      </c>
    </row>
    <row r="146">
      <c r="A146" s="2" t="s">
        <v>2358</v>
      </c>
      <c r="B146" s="2" t="s">
        <v>2358</v>
      </c>
      <c r="C146" s="2" t="s">
        <v>2027</v>
      </c>
    </row>
    <row r="147">
      <c r="A147" s="2" t="s">
        <v>2359</v>
      </c>
      <c r="B147" s="2" t="s">
        <v>2359</v>
      </c>
      <c r="C147" s="2" t="s">
        <v>2027</v>
      </c>
    </row>
    <row r="148">
      <c r="A148" s="2" t="s">
        <v>2360</v>
      </c>
      <c r="B148" s="2" t="s">
        <v>2360</v>
      </c>
      <c r="C148" s="2" t="s">
        <v>2027</v>
      </c>
    </row>
    <row r="149">
      <c r="A149" s="2" t="s">
        <v>2361</v>
      </c>
      <c r="B149" s="2" t="s">
        <v>2361</v>
      </c>
      <c r="C149" s="2" t="s">
        <v>2027</v>
      </c>
    </row>
    <row r="150">
      <c r="A150" s="2" t="s">
        <v>2362</v>
      </c>
      <c r="B150" s="2" t="s">
        <v>2362</v>
      </c>
      <c r="C150" s="2" t="s">
        <v>2018</v>
      </c>
    </row>
    <row r="151">
      <c r="A151" s="2" t="s">
        <v>2363</v>
      </c>
      <c r="B151" s="2" t="s">
        <v>2363</v>
      </c>
      <c r="C151" s="2" t="s">
        <v>2027</v>
      </c>
    </row>
    <row r="152">
      <c r="A152" s="2" t="s">
        <v>2367</v>
      </c>
      <c r="B152" s="2" t="s">
        <v>2368</v>
      </c>
      <c r="C152" s="2" t="s">
        <v>2369</v>
      </c>
    </row>
    <row r="153">
      <c r="A153" s="2" t="s">
        <v>2370</v>
      </c>
      <c r="B153" s="2" t="s">
        <v>2371</v>
      </c>
      <c r="C153" s="2" t="s">
        <v>2372</v>
      </c>
    </row>
    <row r="154">
      <c r="A154" s="2" t="s">
        <v>2373</v>
      </c>
      <c r="B154" s="2" t="s">
        <v>2374</v>
      </c>
    </row>
    <row r="155">
      <c r="A155" s="2" t="s">
        <v>2375</v>
      </c>
      <c r="B155" s="2" t="s">
        <v>2377</v>
      </c>
      <c r="C155" s="2" t="s">
        <v>2378</v>
      </c>
    </row>
    <row r="156">
      <c r="A156" s="2" t="s">
        <v>2379</v>
      </c>
      <c r="B156" s="2" t="s">
        <v>2380</v>
      </c>
    </row>
    <row r="157">
      <c r="A157" s="2" t="s">
        <v>2381</v>
      </c>
      <c r="B157" s="2" t="s">
        <v>2382</v>
      </c>
      <c r="C157" s="2" t="s">
        <v>2383</v>
      </c>
    </row>
    <row r="158">
      <c r="A158" s="2" t="s">
        <v>2385</v>
      </c>
      <c r="B158" s="2" t="s">
        <v>2386</v>
      </c>
      <c r="C158" s="2" t="s">
        <v>2389</v>
      </c>
    </row>
    <row r="159">
      <c r="A159" s="2" t="s">
        <v>2390</v>
      </c>
      <c r="B159" s="2" t="s">
        <v>2391</v>
      </c>
      <c r="C159" s="2" t="s">
        <v>2389</v>
      </c>
    </row>
    <row r="160">
      <c r="A160" s="2" t="s">
        <v>2392</v>
      </c>
      <c r="B160" s="2" t="s">
        <v>2393</v>
      </c>
    </row>
    <row r="161">
      <c r="A161" s="2" t="s">
        <v>2394</v>
      </c>
      <c r="B161" s="2" t="s">
        <v>2394</v>
      </c>
      <c r="C161" s="2" t="s">
        <v>2027</v>
      </c>
    </row>
    <row r="162">
      <c r="A162" s="2" t="s">
        <v>2395</v>
      </c>
      <c r="B162" s="2" t="s">
        <v>2395</v>
      </c>
      <c r="C162" s="2" t="s">
        <v>2027</v>
      </c>
    </row>
    <row r="163">
      <c r="A163" s="2" t="s">
        <v>2396</v>
      </c>
      <c r="B163" s="2" t="s">
        <v>2396</v>
      </c>
      <c r="C163" s="2" t="s">
        <v>2027</v>
      </c>
    </row>
    <row r="164">
      <c r="A164" s="2" t="s">
        <v>2397</v>
      </c>
      <c r="B164" s="2" t="s">
        <v>2398</v>
      </c>
      <c r="C164" s="2" t="s">
        <v>2027</v>
      </c>
    </row>
    <row r="165">
      <c r="A165" s="2" t="s">
        <v>2399</v>
      </c>
      <c r="B165" s="2" t="s">
        <v>2399</v>
      </c>
      <c r="C165" s="2" t="s">
        <v>2027</v>
      </c>
    </row>
    <row r="166">
      <c r="A166" s="2" t="s">
        <v>2400</v>
      </c>
      <c r="B166" s="2" t="s">
        <v>2401</v>
      </c>
      <c r="C166" s="2" t="s">
        <v>2402</v>
      </c>
    </row>
    <row r="167">
      <c r="A167" s="2" t="s">
        <v>2403</v>
      </c>
      <c r="B167" s="2" t="s">
        <v>2403</v>
      </c>
      <c r="C167" s="2" t="s">
        <v>2027</v>
      </c>
    </row>
    <row r="168">
      <c r="A168" s="2" t="s">
        <v>2404</v>
      </c>
      <c r="B168" s="2" t="s">
        <v>2405</v>
      </c>
      <c r="C168" s="2" t="s">
        <v>2406</v>
      </c>
    </row>
    <row r="169">
      <c r="A169" s="2" t="s">
        <v>2407</v>
      </c>
      <c r="B169" s="2" t="s">
        <v>2407</v>
      </c>
      <c r="C169" s="2" t="s">
        <v>2027</v>
      </c>
    </row>
    <row r="170">
      <c r="A170" s="2" t="s">
        <v>2408</v>
      </c>
      <c r="B170" s="2" t="s">
        <v>2408</v>
      </c>
      <c r="C170" s="2" t="s">
        <v>2027</v>
      </c>
    </row>
    <row r="171">
      <c r="A171" s="2" t="s">
        <v>2409</v>
      </c>
      <c r="B171" s="2" t="s">
        <v>2409</v>
      </c>
      <c r="C171" s="2" t="s">
        <v>2027</v>
      </c>
    </row>
    <row r="172">
      <c r="A172" s="2" t="s">
        <v>2412</v>
      </c>
      <c r="B172" s="2" t="s">
        <v>2412</v>
      </c>
      <c r="C172" s="2" t="s">
        <v>2027</v>
      </c>
    </row>
    <row r="173">
      <c r="A173" s="2" t="s">
        <v>2413</v>
      </c>
      <c r="B173" s="2" t="s">
        <v>2414</v>
      </c>
      <c r="C173" s="2" t="s">
        <v>2415</v>
      </c>
    </row>
    <row r="174">
      <c r="A174" s="2" t="s">
        <v>2416</v>
      </c>
      <c r="B174" s="2" t="s">
        <v>2417</v>
      </c>
      <c r="C174" s="2" t="s">
        <v>2418</v>
      </c>
    </row>
    <row r="175">
      <c r="A175" s="2" t="s">
        <v>2419</v>
      </c>
      <c r="B175" s="2" t="s">
        <v>2419</v>
      </c>
      <c r="C175" s="2" t="s">
        <v>2027</v>
      </c>
    </row>
    <row r="176">
      <c r="A176" s="2" t="s">
        <v>2420</v>
      </c>
      <c r="B176" s="2" t="s">
        <v>2421</v>
      </c>
    </row>
    <row r="177">
      <c r="A177" s="2" t="s">
        <v>2423</v>
      </c>
      <c r="B177" s="2" t="s">
        <v>2425</v>
      </c>
      <c r="C177" s="2" t="s">
        <v>2426</v>
      </c>
    </row>
    <row r="178">
      <c r="A178" s="2" t="s">
        <v>2427</v>
      </c>
      <c r="B178" s="2" t="s">
        <v>2428</v>
      </c>
      <c r="C178" s="2" t="s">
        <v>2429</v>
      </c>
    </row>
    <row r="179">
      <c r="A179" s="2" t="s">
        <v>2430</v>
      </c>
      <c r="B179" s="2" t="s">
        <v>2431</v>
      </c>
      <c r="C179" s="2" t="s">
        <v>2389</v>
      </c>
    </row>
    <row r="180">
      <c r="A180" s="2" t="s">
        <v>2432</v>
      </c>
      <c r="B180" s="2" t="s">
        <v>2433</v>
      </c>
      <c r="C180" s="2" t="s">
        <v>2434</v>
      </c>
    </row>
    <row r="181">
      <c r="A181" s="2" t="s">
        <v>2435</v>
      </c>
      <c r="B181" s="2" t="s">
        <v>2436</v>
      </c>
      <c r="C181" s="2" t="s">
        <v>2437</v>
      </c>
    </row>
    <row r="182">
      <c r="A182" s="2" t="s">
        <v>2438</v>
      </c>
      <c r="B182" s="2" t="s">
        <v>2439</v>
      </c>
      <c r="C182" s="2" t="s">
        <v>2440</v>
      </c>
    </row>
    <row r="183">
      <c r="A183" s="2" t="s">
        <v>2441</v>
      </c>
      <c r="B183" s="2" t="s">
        <v>2442</v>
      </c>
    </row>
    <row r="184">
      <c r="A184" s="2" t="s">
        <v>2443</v>
      </c>
      <c r="B184" s="2" t="s">
        <v>2443</v>
      </c>
      <c r="C184" s="2" t="s">
        <v>2027</v>
      </c>
    </row>
    <row r="185">
      <c r="A185" s="2" t="s">
        <v>2444</v>
      </c>
      <c r="B185" s="2" t="s">
        <v>2444</v>
      </c>
      <c r="C185" s="2" t="s">
        <v>2027</v>
      </c>
    </row>
    <row r="186">
      <c r="A186" s="2" t="s">
        <v>2445</v>
      </c>
      <c r="B186" s="2" t="s">
        <v>2446</v>
      </c>
      <c r="C186" s="2" t="s">
        <v>2447</v>
      </c>
    </row>
    <row r="187">
      <c r="A187" s="2" t="s">
        <v>2448</v>
      </c>
      <c r="B187" s="2" t="s">
        <v>2450</v>
      </c>
      <c r="C187" s="2" t="s">
        <v>2451</v>
      </c>
    </row>
    <row r="188">
      <c r="A188" s="2" t="s">
        <v>2452</v>
      </c>
      <c r="B188" s="2" t="s">
        <v>2453</v>
      </c>
      <c r="C188" s="2" t="s">
        <v>2454</v>
      </c>
    </row>
    <row r="189">
      <c r="A189" s="2" t="s">
        <v>2455</v>
      </c>
      <c r="B189" s="2" t="s">
        <v>2456</v>
      </c>
    </row>
    <row r="190">
      <c r="A190" s="2" t="s">
        <v>2457</v>
      </c>
      <c r="B190" s="2" t="s">
        <v>2458</v>
      </c>
      <c r="C190" s="2" t="s">
        <v>2238</v>
      </c>
    </row>
    <row r="191">
      <c r="A191" s="2" t="s">
        <v>2459</v>
      </c>
      <c r="B191" s="2" t="s">
        <v>2460</v>
      </c>
      <c r="C191" s="2" t="s">
        <v>2461</v>
      </c>
    </row>
    <row r="192">
      <c r="A192" s="2" t="s">
        <v>2463</v>
      </c>
      <c r="B192" s="2" t="s">
        <v>2466</v>
      </c>
      <c r="C192" s="2" t="s">
        <v>2467</v>
      </c>
    </row>
    <row r="193">
      <c r="A193" s="2" t="s">
        <v>2469</v>
      </c>
      <c r="B193" s="2" t="s">
        <v>2470</v>
      </c>
      <c r="C193" s="2" t="s">
        <v>2471</v>
      </c>
    </row>
    <row r="194">
      <c r="A194" s="2" t="s">
        <v>2472</v>
      </c>
      <c r="B194" s="2" t="s">
        <v>2473</v>
      </c>
      <c r="C194" s="2" t="s">
        <v>2474</v>
      </c>
    </row>
    <row r="195">
      <c r="A195" s="2" t="s">
        <v>2475</v>
      </c>
      <c r="B195" s="2" t="s">
        <v>2476</v>
      </c>
      <c r="C195" s="2" t="s">
        <v>2232</v>
      </c>
    </row>
    <row r="196">
      <c r="A196" s="2" t="s">
        <v>2477</v>
      </c>
      <c r="B196" s="2" t="s">
        <v>2478</v>
      </c>
      <c r="C196" s="2" t="s">
        <v>2479</v>
      </c>
    </row>
    <row r="197">
      <c r="A197" s="2" t="s">
        <v>2480</v>
      </c>
      <c r="B197" s="2" t="s">
        <v>2481</v>
      </c>
      <c r="C197" s="2" t="s">
        <v>2482</v>
      </c>
    </row>
    <row r="198">
      <c r="A198" s="2" t="s">
        <v>2483</v>
      </c>
      <c r="B198" s="2" t="s">
        <v>2484</v>
      </c>
      <c r="C198" s="2" t="s">
        <v>2485</v>
      </c>
    </row>
    <row r="199">
      <c r="A199" s="2" t="s">
        <v>2486</v>
      </c>
      <c r="B199" s="2" t="s">
        <v>2487</v>
      </c>
      <c r="C199" s="2" t="s">
        <v>2488</v>
      </c>
    </row>
    <row r="200">
      <c r="A200" s="2" t="s">
        <v>2489</v>
      </c>
      <c r="B200" s="2" t="s">
        <v>2489</v>
      </c>
      <c r="C200" s="2" t="s">
        <v>2027</v>
      </c>
    </row>
    <row r="201">
      <c r="A201" s="2" t="s">
        <v>2490</v>
      </c>
      <c r="B201" s="2" t="s">
        <v>2490</v>
      </c>
      <c r="C201" s="2" t="s">
        <v>2027</v>
      </c>
    </row>
    <row r="202">
      <c r="A202" s="2" t="s">
        <v>2491</v>
      </c>
      <c r="B202" s="2" t="s">
        <v>2492</v>
      </c>
      <c r="C202" s="2" t="s">
        <v>2493</v>
      </c>
    </row>
    <row r="203">
      <c r="A203" s="2" t="s">
        <v>2494</v>
      </c>
      <c r="B203" s="2" t="s">
        <v>2494</v>
      </c>
      <c r="C203" s="2" t="s">
        <v>2027</v>
      </c>
    </row>
    <row r="204">
      <c r="A204" s="2" t="s">
        <v>2495</v>
      </c>
      <c r="B204" s="2" t="s">
        <v>2496</v>
      </c>
      <c r="C204" s="2" t="s">
        <v>2497</v>
      </c>
    </row>
    <row r="205">
      <c r="A205" s="2" t="s">
        <v>2498</v>
      </c>
      <c r="B205" s="2" t="s">
        <v>2499</v>
      </c>
      <c r="C205" s="2" t="s">
        <v>2497</v>
      </c>
    </row>
    <row r="206">
      <c r="A206" s="2" t="s">
        <v>2500</v>
      </c>
      <c r="B206" s="2" t="s">
        <v>2501</v>
      </c>
      <c r="C206" s="2" t="s">
        <v>2497</v>
      </c>
    </row>
    <row r="207">
      <c r="A207" s="2" t="s">
        <v>2502</v>
      </c>
      <c r="B207" s="2" t="s">
        <v>2502</v>
      </c>
      <c r="C207" s="2" t="s">
        <v>2027</v>
      </c>
    </row>
    <row r="208">
      <c r="A208" s="2" t="s">
        <v>2503</v>
      </c>
      <c r="B208" s="2" t="s">
        <v>2504</v>
      </c>
      <c r="C208" s="2" t="s">
        <v>2505</v>
      </c>
    </row>
    <row r="209">
      <c r="A209" s="2" t="s">
        <v>2506</v>
      </c>
      <c r="B209" s="2" t="s">
        <v>2507</v>
      </c>
      <c r="C209" s="2" t="s">
        <v>2508</v>
      </c>
    </row>
    <row r="210">
      <c r="A210" s="2" t="s">
        <v>2510</v>
      </c>
      <c r="B210" s="2" t="s">
        <v>2512</v>
      </c>
      <c r="C210" s="2" t="s">
        <v>2027</v>
      </c>
    </row>
    <row r="211">
      <c r="A211" s="2" t="s">
        <v>2513</v>
      </c>
      <c r="B211" s="2" t="s">
        <v>2513</v>
      </c>
      <c r="C211" s="2" t="s">
        <v>2027</v>
      </c>
    </row>
    <row r="212">
      <c r="A212" s="2" t="s">
        <v>2514</v>
      </c>
      <c r="B212" s="2" t="s">
        <v>2514</v>
      </c>
      <c r="C212" s="2" t="s">
        <v>2027</v>
      </c>
    </row>
    <row r="213">
      <c r="A213" s="2" t="s">
        <v>2516</v>
      </c>
      <c r="B213" s="2" t="s">
        <v>2518</v>
      </c>
      <c r="C213" s="2" t="s">
        <v>2520</v>
      </c>
    </row>
    <row r="214">
      <c r="A214" s="2" t="s">
        <v>2521</v>
      </c>
      <c r="B214" s="2" t="s">
        <v>2522</v>
      </c>
      <c r="C214" s="2" t="s">
        <v>2027</v>
      </c>
    </row>
    <row r="215">
      <c r="A215" s="2" t="s">
        <v>2524</v>
      </c>
      <c r="B215" s="2" t="s">
        <v>2526</v>
      </c>
      <c r="C215" s="2" t="s">
        <v>2527</v>
      </c>
    </row>
    <row r="216">
      <c r="A216" s="2" t="s">
        <v>2528</v>
      </c>
      <c r="B216" s="2" t="s">
        <v>2529</v>
      </c>
      <c r="C216" s="2" t="s">
        <v>2527</v>
      </c>
    </row>
    <row r="217">
      <c r="A217" s="2" t="s">
        <v>2530</v>
      </c>
      <c r="B217" s="2" t="s">
        <v>2531</v>
      </c>
      <c r="C217" s="2" t="s">
        <v>2532</v>
      </c>
    </row>
    <row r="218">
      <c r="A218" s="2" t="s">
        <v>2533</v>
      </c>
      <c r="B218" s="2" t="s">
        <v>2533</v>
      </c>
      <c r="C218" s="2" t="s">
        <v>2027</v>
      </c>
    </row>
    <row r="219">
      <c r="A219" s="2" t="s">
        <v>2534</v>
      </c>
      <c r="B219" s="2" t="s">
        <v>2535</v>
      </c>
      <c r="C219" s="2" t="s">
        <v>2536</v>
      </c>
    </row>
    <row r="220">
      <c r="A220" s="2" t="s">
        <v>2537</v>
      </c>
      <c r="B220" s="2" t="s">
        <v>2537</v>
      </c>
      <c r="C220" s="2" t="s">
        <v>2027</v>
      </c>
    </row>
    <row r="221">
      <c r="A221" s="2" t="s">
        <v>2538</v>
      </c>
      <c r="B221" s="2" t="s">
        <v>2540</v>
      </c>
      <c r="C221" s="2" t="s">
        <v>2238</v>
      </c>
    </row>
    <row r="222">
      <c r="A222" s="2" t="s">
        <v>2542</v>
      </c>
      <c r="B222" s="2" t="s">
        <v>2543</v>
      </c>
      <c r="C222" s="2" t="s">
        <v>2323</v>
      </c>
    </row>
    <row r="223">
      <c r="A223" s="2" t="s">
        <v>2544</v>
      </c>
      <c r="B223" s="2" t="s">
        <v>2545</v>
      </c>
      <c r="C223" s="2" t="s">
        <v>2546</v>
      </c>
    </row>
    <row r="224">
      <c r="A224" s="2" t="s">
        <v>2547</v>
      </c>
      <c r="B224" s="2" t="s">
        <v>2548</v>
      </c>
      <c r="C224" s="2" t="s">
        <v>2549</v>
      </c>
    </row>
    <row r="225">
      <c r="A225" s="2" t="s">
        <v>2550</v>
      </c>
      <c r="B225" s="2" t="s">
        <v>2550</v>
      </c>
      <c r="C225" s="2" t="s">
        <v>2027</v>
      </c>
    </row>
    <row r="226">
      <c r="A226" s="2" t="s">
        <v>2551</v>
      </c>
      <c r="B226" s="2" t="s">
        <v>2551</v>
      </c>
      <c r="C226" s="2" t="s">
        <v>2027</v>
      </c>
    </row>
    <row r="227">
      <c r="A227" s="2" t="s">
        <v>2552</v>
      </c>
      <c r="B227" s="2" t="s">
        <v>2552</v>
      </c>
      <c r="C227" s="2" t="s">
        <v>2027</v>
      </c>
    </row>
    <row r="228">
      <c r="A228" s="2" t="s">
        <v>2554</v>
      </c>
      <c r="B228" s="2" t="s">
        <v>2554</v>
      </c>
      <c r="C228" s="2" t="s">
        <v>2027</v>
      </c>
    </row>
    <row r="229">
      <c r="A229" s="2" t="s">
        <v>2555</v>
      </c>
      <c r="B229" s="2" t="s">
        <v>2556</v>
      </c>
      <c r="C229" s="2" t="s">
        <v>2557</v>
      </c>
    </row>
    <row r="230">
      <c r="A230" s="2" t="s">
        <v>2558</v>
      </c>
      <c r="B230" s="2" t="s">
        <v>2558</v>
      </c>
      <c r="C230" s="2" t="s">
        <v>2027</v>
      </c>
    </row>
    <row r="231">
      <c r="A231" s="2" t="s">
        <v>2559</v>
      </c>
      <c r="B231" s="2" t="s">
        <v>2560</v>
      </c>
      <c r="C231" s="2" t="s">
        <v>2027</v>
      </c>
    </row>
    <row r="232">
      <c r="A232" s="2" t="s">
        <v>2561</v>
      </c>
      <c r="B232" s="2" t="s">
        <v>2562</v>
      </c>
      <c r="C232" s="2" t="s">
        <v>2563</v>
      </c>
    </row>
    <row r="233">
      <c r="A233" s="2" t="s">
        <v>2564</v>
      </c>
      <c r="B233" s="2" t="s">
        <v>2564</v>
      </c>
      <c r="C233" s="2" t="s">
        <v>2027</v>
      </c>
    </row>
    <row r="234">
      <c r="A234" s="2" t="s">
        <v>2565</v>
      </c>
      <c r="B234" s="2" t="s">
        <v>2566</v>
      </c>
      <c r="C234" s="2" t="s">
        <v>2567</v>
      </c>
    </row>
    <row r="235">
      <c r="A235" s="2" t="s">
        <v>2569</v>
      </c>
      <c r="B235" s="2" t="s">
        <v>2569</v>
      </c>
      <c r="C235" s="2" t="s">
        <v>2027</v>
      </c>
    </row>
    <row r="236">
      <c r="A236" s="2" t="s">
        <v>2570</v>
      </c>
      <c r="B236" s="2" t="s">
        <v>2571</v>
      </c>
    </row>
    <row r="237">
      <c r="A237" s="2" t="s">
        <v>2572</v>
      </c>
      <c r="B237" s="2" t="s">
        <v>2573</v>
      </c>
    </row>
    <row r="238">
      <c r="A238" s="2" t="s">
        <v>2574</v>
      </c>
      <c r="B238" s="2" t="s">
        <v>2574</v>
      </c>
      <c r="C238" s="2" t="s">
        <v>2027</v>
      </c>
    </row>
    <row r="239">
      <c r="A239" s="2" t="s">
        <v>2577</v>
      </c>
      <c r="B239" s="2" t="s">
        <v>2578</v>
      </c>
      <c r="C239" s="2" t="s">
        <v>2579</v>
      </c>
    </row>
    <row r="240">
      <c r="A240" s="2" t="s">
        <v>2580</v>
      </c>
      <c r="B240" s="2" t="s">
        <v>2582</v>
      </c>
      <c r="C240" s="2" t="s">
        <v>2027</v>
      </c>
    </row>
    <row r="241">
      <c r="A241" s="2" t="s">
        <v>2583</v>
      </c>
      <c r="B241" s="2" t="s">
        <v>2583</v>
      </c>
      <c r="C241" s="2" t="s">
        <v>2027</v>
      </c>
    </row>
    <row r="242">
      <c r="A242" s="2" t="s">
        <v>2585</v>
      </c>
      <c r="B242" s="2" t="s">
        <v>2585</v>
      </c>
      <c r="C242" s="2" t="s">
        <v>2027</v>
      </c>
    </row>
    <row r="243">
      <c r="A243" s="2" t="s">
        <v>2588</v>
      </c>
      <c r="B243" s="2" t="s">
        <v>2588</v>
      </c>
      <c r="C243" s="2" t="s">
        <v>2027</v>
      </c>
    </row>
    <row r="244">
      <c r="A244" s="2" t="s">
        <v>2589</v>
      </c>
      <c r="B244" s="2" t="s">
        <v>2590</v>
      </c>
      <c r="C244" s="2" t="s">
        <v>2591</v>
      </c>
    </row>
    <row r="245">
      <c r="A245" s="2" t="s">
        <v>2592</v>
      </c>
      <c r="B245" s="2" t="s">
        <v>2592</v>
      </c>
      <c r="C245" s="2" t="s">
        <v>2027</v>
      </c>
    </row>
    <row r="246">
      <c r="A246" s="2" t="s">
        <v>2593</v>
      </c>
      <c r="B246" s="2" t="s">
        <v>2593</v>
      </c>
      <c r="C246" s="2" t="s">
        <v>2027</v>
      </c>
    </row>
    <row r="247">
      <c r="A247" s="2" t="s">
        <v>2594</v>
      </c>
      <c r="B247" s="2" t="s">
        <v>2594</v>
      </c>
      <c r="C247" s="2" t="s">
        <v>2027</v>
      </c>
    </row>
    <row r="248">
      <c r="A248" s="2" t="s">
        <v>2595</v>
      </c>
      <c r="B248" s="2" t="s">
        <v>2596</v>
      </c>
      <c r="C248" s="2" t="s">
        <v>2597</v>
      </c>
    </row>
    <row r="249">
      <c r="A249" s="2" t="s">
        <v>2598</v>
      </c>
      <c r="B249" s="2" t="s">
        <v>2598</v>
      </c>
      <c r="C249" s="2" t="s">
        <v>2018</v>
      </c>
    </row>
    <row r="250">
      <c r="A250" s="2" t="s">
        <v>2599</v>
      </c>
      <c r="B250" s="2" t="s">
        <v>2600</v>
      </c>
      <c r="C250" s="2" t="s">
        <v>2601</v>
      </c>
    </row>
    <row r="251">
      <c r="A251" s="2" t="s">
        <v>2602</v>
      </c>
      <c r="B251" s="2" t="s">
        <v>2603</v>
      </c>
      <c r="C251" s="2" t="s">
        <v>2604</v>
      </c>
    </row>
  </sheetData>
  <autoFilter ref="$A$1:$C$251"/>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3.0"/>
    <col customWidth="1" min="2" max="2" width="46.67"/>
    <col customWidth="1" min="3" max="3" width="36.56"/>
  </cols>
  <sheetData>
    <row r="1">
      <c r="A1" s="102" t="str">
        <f>IFERROR(__xludf.DUMMYFUNCTION("IMPORTRANGE(""https://docs.google.com/spreadsheets/d/1y7RRduS5HDbuX1f9LXjoA5L77uVDRLJjrT_CuwkjVEo/edit?gid=0#gid=0"",""Relación Confluence!C:E"")"),"#REF!")</f>
        <v>#REF!</v>
      </c>
      <c r="B1" s="102"/>
    </row>
    <row r="3">
      <c r="A3" s="102"/>
      <c r="B3" s="102"/>
    </row>
    <row r="5">
      <c r="A5" s="102"/>
      <c r="B5" s="102"/>
    </row>
    <row r="6">
      <c r="A6" s="102"/>
      <c r="B6" s="102"/>
    </row>
    <row r="7">
      <c r="A7" s="102"/>
      <c r="B7" s="102"/>
    </row>
    <row r="8">
      <c r="A8" s="102"/>
      <c r="B8" s="102"/>
    </row>
    <row r="9">
      <c r="A9" s="102"/>
      <c r="B9" s="102"/>
    </row>
    <row r="10">
      <c r="A10" s="102"/>
      <c r="B10" s="102"/>
    </row>
    <row r="11">
      <c r="A11" s="102"/>
      <c r="B11" s="102"/>
    </row>
    <row r="12">
      <c r="A12" s="102"/>
      <c r="B12" s="102"/>
    </row>
    <row r="13">
      <c r="A13" s="102"/>
      <c r="B13" s="102"/>
    </row>
    <row r="14">
      <c r="A14" s="102"/>
      <c r="B14" s="102"/>
    </row>
    <row r="15">
      <c r="A15" s="102"/>
      <c r="B15" s="102"/>
    </row>
    <row r="16">
      <c r="A16" s="102"/>
      <c r="B16" s="102"/>
    </row>
    <row r="17">
      <c r="A17" s="102"/>
      <c r="B17" s="102"/>
    </row>
    <row r="19">
      <c r="A19" s="102"/>
      <c r="B19" s="102"/>
    </row>
    <row r="20">
      <c r="A20" s="102"/>
      <c r="B20" s="102"/>
    </row>
    <row r="21">
      <c r="A21" s="102"/>
      <c r="B21" s="102"/>
    </row>
    <row r="22">
      <c r="A22" s="102"/>
      <c r="B22" s="102"/>
    </row>
    <row r="23">
      <c r="A23" s="102"/>
      <c r="B23" s="102"/>
    </row>
    <row r="24">
      <c r="A24" s="102"/>
      <c r="B24" s="102"/>
    </row>
    <row r="25">
      <c r="A25" s="102"/>
      <c r="B25" s="102"/>
    </row>
    <row r="26">
      <c r="A26" s="102"/>
      <c r="B26" s="102"/>
    </row>
    <row r="27">
      <c r="A27" s="102"/>
      <c r="B27" s="102"/>
    </row>
    <row r="28">
      <c r="A28" s="102"/>
      <c r="B28" s="102"/>
    </row>
    <row r="29">
      <c r="A29" s="102"/>
      <c r="B29" s="102"/>
    </row>
    <row r="30">
      <c r="A30" s="102"/>
      <c r="B30" s="102"/>
    </row>
    <row r="33">
      <c r="A33" s="102"/>
      <c r="B33" s="102"/>
    </row>
    <row r="34">
      <c r="A34" s="102"/>
      <c r="B34" s="102"/>
    </row>
    <row r="35">
      <c r="A35" s="102"/>
      <c r="B35" s="102"/>
    </row>
    <row r="36">
      <c r="A36" s="102"/>
      <c r="B36" s="102"/>
    </row>
    <row r="37">
      <c r="A37" s="102"/>
      <c r="B37" s="102"/>
    </row>
    <row r="38">
      <c r="A38" s="102"/>
      <c r="B38" s="102"/>
    </row>
    <row r="39">
      <c r="A39" s="102"/>
      <c r="B39" s="102"/>
    </row>
    <row r="40">
      <c r="A40" s="102"/>
      <c r="B40" s="102"/>
    </row>
    <row r="42">
      <c r="A42" s="102"/>
      <c r="B42" s="102"/>
    </row>
    <row r="43">
      <c r="A43" s="102"/>
      <c r="B43" s="102"/>
    </row>
    <row r="44">
      <c r="A44" s="102"/>
      <c r="B44" s="102"/>
    </row>
    <row r="45">
      <c r="A45" s="102"/>
      <c r="B45" s="102"/>
    </row>
    <row r="46">
      <c r="A46" s="102"/>
      <c r="B46" s="102"/>
    </row>
    <row r="47">
      <c r="A47" s="102"/>
      <c r="B47" s="102"/>
    </row>
    <row r="49">
      <c r="A49" s="102"/>
      <c r="B49" s="102"/>
    </row>
    <row r="53">
      <c r="A53" s="102"/>
      <c r="B53" s="102"/>
    </row>
    <row r="54">
      <c r="A54" s="102"/>
      <c r="B54" s="102"/>
    </row>
    <row r="56">
      <c r="A56" s="102"/>
      <c r="B56" s="102"/>
    </row>
    <row r="58">
      <c r="A58" s="102"/>
      <c r="B58" s="102"/>
    </row>
    <row r="59">
      <c r="A59" s="102"/>
      <c r="B59" s="102"/>
    </row>
    <row r="61">
      <c r="A61" s="102"/>
      <c r="B61" s="102"/>
    </row>
    <row r="63">
      <c r="A63" s="102"/>
      <c r="B63" s="102"/>
    </row>
    <row r="64">
      <c r="A64" s="102"/>
      <c r="B64" s="102"/>
    </row>
    <row r="65">
      <c r="A65" s="102"/>
      <c r="B65" s="102"/>
    </row>
    <row r="67">
      <c r="A67" s="102"/>
      <c r="B67" s="102"/>
    </row>
    <row r="68">
      <c r="A68" s="102"/>
      <c r="B68" s="102"/>
    </row>
    <row r="70">
      <c r="A70" s="102"/>
      <c r="B70" s="102"/>
    </row>
    <row r="71">
      <c r="A71" s="102"/>
      <c r="B71" s="102"/>
    </row>
    <row r="72">
      <c r="A72" s="102"/>
      <c r="B72" s="102"/>
    </row>
    <row r="74">
      <c r="A74" s="102"/>
      <c r="B74" s="102"/>
    </row>
    <row r="77">
      <c r="A77" s="102"/>
      <c r="B77" s="102"/>
    </row>
    <row r="78">
      <c r="A78" s="102"/>
      <c r="B78" s="102"/>
    </row>
    <row r="79">
      <c r="A79" s="102"/>
      <c r="B79" s="102"/>
    </row>
    <row r="80">
      <c r="A80" s="102"/>
      <c r="B80" s="102"/>
    </row>
    <row r="82">
      <c r="A82" s="102"/>
      <c r="B82" s="102"/>
    </row>
    <row r="86">
      <c r="A86" s="102"/>
      <c r="B86" s="102"/>
    </row>
    <row r="87">
      <c r="A87" s="102"/>
      <c r="B87" s="102"/>
    </row>
    <row r="88">
      <c r="A88" s="102"/>
      <c r="B88" s="102"/>
    </row>
    <row r="91">
      <c r="A91" s="102"/>
      <c r="B91" s="102"/>
    </row>
    <row r="92">
      <c r="A92" s="102"/>
      <c r="B92" s="102"/>
    </row>
    <row r="93">
      <c r="A93" s="102"/>
      <c r="B93" s="102"/>
    </row>
    <row r="94">
      <c r="A94" s="102"/>
      <c r="B94" s="102"/>
    </row>
    <row r="95">
      <c r="A95" s="102"/>
      <c r="B95" s="102"/>
    </row>
    <row r="97">
      <c r="A97" s="102"/>
      <c r="B97" s="102"/>
    </row>
    <row r="98">
      <c r="A98" s="102"/>
      <c r="B98" s="102"/>
    </row>
    <row r="99">
      <c r="A99" s="102"/>
      <c r="B99" s="102"/>
    </row>
    <row r="100">
      <c r="A100" s="102"/>
      <c r="B100" s="102"/>
    </row>
    <row r="101">
      <c r="A101" s="102"/>
      <c r="B101" s="102"/>
    </row>
    <row r="102">
      <c r="A102" s="102"/>
      <c r="B102" s="102"/>
    </row>
    <row r="103">
      <c r="A103" s="102"/>
      <c r="B103" s="102"/>
    </row>
    <row r="104">
      <c r="A104" s="102"/>
      <c r="B104" s="102"/>
    </row>
    <row r="105">
      <c r="A105" s="102"/>
      <c r="B105" s="102"/>
    </row>
    <row r="106">
      <c r="A106" s="102"/>
      <c r="B106" s="102"/>
    </row>
    <row r="107">
      <c r="A107" s="102"/>
      <c r="B107" s="102"/>
    </row>
    <row r="108">
      <c r="A108" s="102"/>
      <c r="B108" s="102"/>
    </row>
    <row r="109">
      <c r="A109" s="102"/>
      <c r="B109" s="102"/>
    </row>
    <row r="110">
      <c r="A110" s="102"/>
      <c r="B110" s="102"/>
    </row>
    <row r="111">
      <c r="A111" s="102"/>
      <c r="B111" s="102"/>
    </row>
    <row r="112">
      <c r="A112" s="102"/>
      <c r="B112" s="102"/>
    </row>
    <row r="114">
      <c r="A114" s="102"/>
      <c r="B114" s="102"/>
    </row>
    <row r="116">
      <c r="A116" s="102"/>
      <c r="B116" s="102"/>
    </row>
    <row r="117">
      <c r="A117" s="102"/>
      <c r="B117" s="102"/>
    </row>
    <row r="119">
      <c r="A119" s="102"/>
      <c r="B119" s="102"/>
    </row>
    <row r="120">
      <c r="A120" s="102"/>
      <c r="B120" s="102"/>
    </row>
    <row r="121">
      <c r="A121" s="102"/>
      <c r="B121" s="102"/>
    </row>
    <row r="122">
      <c r="A122" s="102"/>
      <c r="B122" s="102"/>
    </row>
    <row r="123">
      <c r="A123" s="102"/>
      <c r="B123" s="102"/>
    </row>
    <row r="126">
      <c r="A126" s="102"/>
      <c r="B126" s="102"/>
    </row>
    <row r="127">
      <c r="A127" s="102"/>
      <c r="B127" s="102"/>
    </row>
    <row r="128">
      <c r="A128" s="102"/>
      <c r="B128" s="102"/>
    </row>
    <row r="129">
      <c r="A129" s="102"/>
      <c r="B129" s="102"/>
    </row>
    <row r="130">
      <c r="A130" s="102"/>
      <c r="B130" s="102"/>
    </row>
    <row r="131">
      <c r="A131" s="102"/>
      <c r="B131" s="102"/>
    </row>
    <row r="132">
      <c r="A132" s="102"/>
      <c r="B132" s="102"/>
    </row>
    <row r="133">
      <c r="A133" s="102"/>
      <c r="B133" s="102"/>
    </row>
    <row r="134">
      <c r="A134" s="102"/>
      <c r="B134" s="102"/>
    </row>
    <row r="135">
      <c r="A135" s="102"/>
      <c r="B135" s="102"/>
    </row>
    <row r="136">
      <c r="A136" s="102"/>
      <c r="B136" s="102"/>
    </row>
    <row r="137">
      <c r="A137" s="102"/>
      <c r="B137" s="102"/>
    </row>
    <row r="138">
      <c r="A138" s="102"/>
      <c r="B138" s="102"/>
    </row>
    <row r="139">
      <c r="A139" s="102"/>
      <c r="B139" s="102"/>
    </row>
    <row r="140">
      <c r="A140" s="102"/>
      <c r="B140" s="102"/>
    </row>
    <row r="142">
      <c r="A142" s="102"/>
      <c r="B142" s="102"/>
    </row>
    <row r="143">
      <c r="A143" s="102"/>
      <c r="B143" s="102"/>
    </row>
    <row r="144">
      <c r="A144" s="102"/>
      <c r="B144" s="102"/>
    </row>
    <row r="145">
      <c r="A145" s="102"/>
      <c r="B145" s="102"/>
    </row>
    <row r="146">
      <c r="A146" s="102"/>
      <c r="B146" s="102"/>
    </row>
    <row r="147">
      <c r="A147" s="102"/>
      <c r="B147" s="102"/>
    </row>
    <row r="148">
      <c r="A148" s="102"/>
      <c r="B148" s="102"/>
    </row>
    <row r="149">
      <c r="A149" s="102"/>
      <c r="B149" s="102"/>
    </row>
    <row r="150">
      <c r="A150" s="102"/>
      <c r="B150" s="102"/>
    </row>
    <row r="152">
      <c r="A152" s="102"/>
      <c r="B152" s="102"/>
    </row>
    <row r="153">
      <c r="A153" s="102"/>
      <c r="B153" s="102"/>
    </row>
    <row r="154">
      <c r="A154" s="102"/>
      <c r="B154" s="102"/>
    </row>
    <row r="155">
      <c r="A155" s="102"/>
      <c r="B155" s="102"/>
    </row>
    <row r="157">
      <c r="A157" s="102"/>
      <c r="B157" s="102"/>
    </row>
    <row r="158">
      <c r="A158" s="102"/>
      <c r="B158" s="102"/>
    </row>
    <row r="159">
      <c r="A159" s="102"/>
      <c r="B159" s="102"/>
    </row>
    <row r="160">
      <c r="A160" s="102"/>
      <c r="B160" s="102"/>
    </row>
    <row r="162">
      <c r="A162" s="102"/>
      <c r="B162" s="102"/>
    </row>
    <row r="164">
      <c r="A164" s="102"/>
      <c r="B164" s="102"/>
    </row>
    <row r="165">
      <c r="A165" s="102"/>
      <c r="B165" s="102"/>
    </row>
    <row r="166">
      <c r="A166" s="102"/>
      <c r="B166" s="102"/>
    </row>
    <row r="167">
      <c r="A167" s="102"/>
      <c r="B167" s="102"/>
    </row>
    <row r="168">
      <c r="A168" s="102"/>
      <c r="B168" s="102"/>
    </row>
    <row r="170">
      <c r="A170" s="102"/>
      <c r="B170" s="102"/>
    </row>
    <row r="171">
      <c r="A171" s="102"/>
      <c r="B171" s="102"/>
    </row>
    <row r="172">
      <c r="A172" s="102"/>
      <c r="B172" s="102"/>
    </row>
    <row r="173">
      <c r="A173" s="102"/>
      <c r="B173" s="102"/>
    </row>
    <row r="174">
      <c r="A174" s="102"/>
      <c r="B174" s="102"/>
    </row>
    <row r="175">
      <c r="A175" s="102"/>
      <c r="B175" s="102"/>
    </row>
    <row r="176">
      <c r="A176" s="102"/>
      <c r="B176" s="102"/>
    </row>
    <row r="177">
      <c r="A177" s="102"/>
      <c r="B177" s="102"/>
    </row>
    <row r="178">
      <c r="A178" s="102"/>
      <c r="B178" s="102"/>
    </row>
    <row r="179">
      <c r="A179" s="102"/>
      <c r="B179" s="102"/>
    </row>
    <row r="180">
      <c r="A180" s="102"/>
      <c r="B180" s="102"/>
    </row>
    <row r="181">
      <c r="A181" s="102"/>
      <c r="B181" s="102"/>
    </row>
    <row r="183">
      <c r="A183" s="102"/>
      <c r="B183" s="102"/>
    </row>
    <row r="184">
      <c r="A184" s="102"/>
      <c r="B184" s="102"/>
    </row>
    <row r="185">
      <c r="A185" s="102"/>
      <c r="B185" s="102"/>
    </row>
    <row r="186">
      <c r="A186" s="102"/>
      <c r="B186" s="102"/>
    </row>
    <row r="188">
      <c r="A188" s="102"/>
      <c r="B188" s="102"/>
    </row>
    <row r="189">
      <c r="A189" s="102"/>
      <c r="B189" s="102"/>
    </row>
    <row r="190">
      <c r="A190" s="102"/>
      <c r="B190" s="102"/>
    </row>
    <row r="191">
      <c r="A191" s="102"/>
      <c r="B191" s="102"/>
    </row>
    <row r="192">
      <c r="A192" s="102"/>
      <c r="B192" s="102"/>
    </row>
    <row r="194">
      <c r="A194" s="102"/>
      <c r="B194" s="102"/>
    </row>
    <row r="195">
      <c r="A195" s="102"/>
      <c r="B195" s="102"/>
    </row>
    <row r="196">
      <c r="A196" s="102"/>
      <c r="B196" s="102"/>
    </row>
    <row r="197">
      <c r="A197" s="102"/>
      <c r="B197" s="102"/>
    </row>
    <row r="198">
      <c r="A198" s="102"/>
      <c r="B198" s="102"/>
    </row>
    <row r="199">
      <c r="A199" s="102"/>
      <c r="B199" s="102"/>
    </row>
    <row r="200">
      <c r="A200" s="102"/>
      <c r="B200" s="102"/>
    </row>
    <row r="201">
      <c r="A201" s="102"/>
      <c r="B201" s="102"/>
    </row>
    <row r="202">
      <c r="A202" s="102"/>
      <c r="B202" s="102"/>
    </row>
    <row r="203">
      <c r="A203" s="102"/>
      <c r="B203" s="102"/>
    </row>
    <row r="206">
      <c r="A206" s="102"/>
      <c r="B206" s="102"/>
    </row>
    <row r="207">
      <c r="A207" s="102"/>
      <c r="B207" s="102"/>
    </row>
    <row r="208">
      <c r="A208" s="102"/>
      <c r="B208" s="102"/>
    </row>
    <row r="210">
      <c r="A210" s="102"/>
      <c r="B210" s="102"/>
    </row>
    <row r="211">
      <c r="A211" s="102"/>
      <c r="B211" s="102"/>
    </row>
    <row r="212">
      <c r="A212" s="102"/>
      <c r="B212" s="102"/>
    </row>
    <row r="213">
      <c r="A213" s="102"/>
      <c r="B213" s="102"/>
    </row>
    <row r="214">
      <c r="A214" s="102"/>
      <c r="B214" s="102"/>
    </row>
    <row r="215">
      <c r="A215" s="102"/>
      <c r="B215" s="102"/>
    </row>
    <row r="216">
      <c r="A216" s="102"/>
      <c r="B216" s="102"/>
    </row>
    <row r="217">
      <c r="A217" s="102"/>
      <c r="B217" s="102"/>
    </row>
    <row r="218">
      <c r="A218" s="102"/>
      <c r="B218" s="102"/>
    </row>
    <row r="219">
      <c r="A219" s="102"/>
      <c r="B219" s="102"/>
    </row>
    <row r="220">
      <c r="A220" s="102"/>
      <c r="B220" s="102"/>
    </row>
    <row r="221">
      <c r="A221" s="102"/>
      <c r="B221" s="102"/>
    </row>
    <row r="222">
      <c r="A222" s="102"/>
      <c r="B222" s="102"/>
    </row>
    <row r="223">
      <c r="A223" s="102"/>
      <c r="B223" s="102"/>
    </row>
    <row r="225">
      <c r="A225" s="102"/>
      <c r="B225" s="102"/>
    </row>
    <row r="226">
      <c r="A226" s="102"/>
      <c r="B226" s="102"/>
    </row>
    <row r="227">
      <c r="A227" s="102"/>
      <c r="B227" s="102"/>
    </row>
    <row r="228">
      <c r="A228" s="102"/>
      <c r="B228" s="102"/>
    </row>
    <row r="229">
      <c r="A229" s="102"/>
      <c r="B229" s="102"/>
    </row>
    <row r="230">
      <c r="A230" s="102"/>
      <c r="B230" s="102"/>
    </row>
    <row r="231">
      <c r="A231" s="102"/>
      <c r="B231" s="102"/>
    </row>
    <row r="232">
      <c r="A232" s="102"/>
      <c r="B232" s="102"/>
    </row>
    <row r="233">
      <c r="A233" s="102"/>
      <c r="B233" s="102"/>
    </row>
    <row r="235">
      <c r="A235" s="102"/>
      <c r="B235" s="102"/>
    </row>
    <row r="236">
      <c r="A236" s="102"/>
      <c r="B236" s="102"/>
    </row>
    <row r="237">
      <c r="A237" s="102"/>
      <c r="B237" s="102"/>
    </row>
    <row r="238">
      <c r="A238" s="102"/>
      <c r="B238" s="102"/>
    </row>
    <row r="239">
      <c r="A239" s="102"/>
      <c r="B239" s="102"/>
    </row>
    <row r="240">
      <c r="A240" s="102"/>
      <c r="B240" s="102"/>
    </row>
    <row r="241">
      <c r="A241" s="102"/>
      <c r="B241" s="102"/>
    </row>
    <row r="243">
      <c r="A243" s="102"/>
      <c r="B243" s="102"/>
    </row>
    <row r="244">
      <c r="A244" s="102"/>
      <c r="B244" s="102"/>
    </row>
    <row r="245">
      <c r="A245" s="102"/>
      <c r="B245" s="102"/>
    </row>
    <row r="246">
      <c r="A246" s="102"/>
      <c r="B246" s="102"/>
    </row>
    <row r="247">
      <c r="A247" s="102"/>
      <c r="B247" s="102"/>
    </row>
    <row r="248">
      <c r="A248" s="102"/>
      <c r="B248" s="102"/>
    </row>
    <row r="249">
      <c r="A249" s="102"/>
      <c r="B249" s="102"/>
    </row>
    <row r="250">
      <c r="A250" s="102"/>
      <c r="B250" s="102"/>
    </row>
    <row r="251">
      <c r="A251" s="102"/>
      <c r="B251" s="102"/>
    </row>
    <row r="252">
      <c r="A252" s="102"/>
      <c r="B252" s="102"/>
    </row>
    <row r="253">
      <c r="A253" s="102"/>
      <c r="B253" s="102"/>
    </row>
    <row r="255">
      <c r="A255" s="102"/>
      <c r="B255" s="102"/>
    </row>
    <row r="256">
      <c r="A256" s="102"/>
      <c r="B256" s="102"/>
    </row>
    <row r="257">
      <c r="A257" s="102"/>
      <c r="B257" s="102"/>
    </row>
    <row r="258">
      <c r="A258" s="102"/>
      <c r="B258" s="102"/>
    </row>
    <row r="260">
      <c r="A260" s="102"/>
      <c r="B260" s="102"/>
    </row>
    <row r="261">
      <c r="A261" s="102"/>
      <c r="B261" s="102"/>
    </row>
    <row r="263">
      <c r="A263" s="102"/>
      <c r="B263" s="102"/>
    </row>
    <row r="264">
      <c r="A264" s="102"/>
      <c r="B264" s="102"/>
    </row>
    <row r="265">
      <c r="A265" s="102"/>
      <c r="B265" s="102"/>
    </row>
    <row r="267">
      <c r="A267" s="102"/>
      <c r="B267" s="102"/>
    </row>
    <row r="268">
      <c r="A268" s="102"/>
      <c r="B268" s="102"/>
    </row>
    <row r="269">
      <c r="A269" s="102"/>
      <c r="B269" s="102"/>
    </row>
    <row r="270">
      <c r="A270" s="102"/>
      <c r="B270" s="102"/>
    </row>
    <row r="271">
      <c r="A271" s="102"/>
      <c r="B271" s="102"/>
    </row>
    <row r="272">
      <c r="A272" s="102"/>
      <c r="B272" s="102"/>
    </row>
    <row r="273">
      <c r="A273" s="102"/>
      <c r="B273" s="102"/>
    </row>
    <row r="276">
      <c r="A276" s="102"/>
      <c r="B276" s="102"/>
    </row>
    <row r="277">
      <c r="A277" s="102"/>
      <c r="B277" s="102"/>
    </row>
    <row r="278">
      <c r="A278" s="102"/>
      <c r="B278" s="102"/>
    </row>
    <row r="279">
      <c r="A279" s="102"/>
      <c r="B279" s="102"/>
    </row>
    <row r="280">
      <c r="A280" s="102"/>
      <c r="B280" s="102"/>
    </row>
    <row r="281">
      <c r="A281" s="102"/>
      <c r="B281" s="102"/>
    </row>
    <row r="282">
      <c r="A282" s="102"/>
      <c r="B282" s="102"/>
    </row>
    <row r="283">
      <c r="A283" s="102"/>
      <c r="B283" s="102"/>
    </row>
    <row r="284">
      <c r="A284" s="102"/>
      <c r="B284" s="102"/>
    </row>
    <row r="285">
      <c r="A285" s="102"/>
      <c r="B285" s="102"/>
    </row>
    <row r="286">
      <c r="A286" s="102"/>
      <c r="B286" s="102"/>
    </row>
    <row r="287">
      <c r="A287" s="102"/>
      <c r="B287" s="102"/>
    </row>
    <row r="288">
      <c r="A288" s="102"/>
      <c r="B288" s="102"/>
    </row>
    <row r="289">
      <c r="A289" s="102"/>
      <c r="B289" s="102"/>
    </row>
    <row r="290">
      <c r="A290" s="102"/>
      <c r="B290" s="102"/>
    </row>
    <row r="292">
      <c r="A292" s="102"/>
      <c r="B292" s="102"/>
    </row>
    <row r="293">
      <c r="A293" s="102"/>
      <c r="B293" s="102"/>
    </row>
    <row r="294">
      <c r="A294" s="102"/>
      <c r="B294" s="102"/>
    </row>
    <row r="295">
      <c r="A295" s="102"/>
      <c r="B295" s="102"/>
    </row>
    <row r="296">
      <c r="A296" s="102"/>
      <c r="B296" s="102"/>
    </row>
    <row r="297">
      <c r="A297" s="102"/>
      <c r="B297" s="102"/>
    </row>
    <row r="298">
      <c r="A298" s="102"/>
      <c r="B298" s="102"/>
    </row>
    <row r="300">
      <c r="A300" s="102"/>
      <c r="B300" s="102"/>
    </row>
    <row r="301">
      <c r="A301" s="102"/>
      <c r="B301" s="102"/>
    </row>
    <row r="302">
      <c r="A302" s="102"/>
      <c r="B302" s="102"/>
    </row>
    <row r="303">
      <c r="A303" s="102"/>
      <c r="B303" s="102"/>
    </row>
    <row r="307">
      <c r="A307" s="102"/>
      <c r="B307" s="102"/>
    </row>
    <row r="309">
      <c r="A309" s="102"/>
      <c r="B309" s="102"/>
    </row>
    <row r="311">
      <c r="A311" s="102"/>
      <c r="B311" s="102"/>
    </row>
    <row r="312">
      <c r="A312" s="102"/>
      <c r="B312" s="102"/>
    </row>
    <row r="316">
      <c r="A316" s="102"/>
      <c r="B316" s="102"/>
    </row>
    <row r="317">
      <c r="A317" s="102"/>
      <c r="B317" s="102"/>
    </row>
    <row r="318">
      <c r="A318" s="102"/>
      <c r="B318" s="102"/>
    </row>
    <row r="319">
      <c r="A319" s="102"/>
      <c r="B319" s="102"/>
    </row>
    <row r="320">
      <c r="A320" s="102"/>
      <c r="B320" s="102"/>
    </row>
    <row r="321">
      <c r="A321" s="102"/>
      <c r="B321" s="102"/>
    </row>
    <row r="322">
      <c r="A322" s="102"/>
      <c r="B322" s="102"/>
    </row>
    <row r="323">
      <c r="A323" s="102"/>
      <c r="B323" s="102"/>
    </row>
    <row r="324">
      <c r="A324" s="102"/>
      <c r="B324" s="102"/>
    </row>
    <row r="326">
      <c r="A326" s="102"/>
      <c r="B326" s="102"/>
    </row>
    <row r="327">
      <c r="A327" s="102"/>
      <c r="B327" s="102"/>
    </row>
    <row r="328">
      <c r="A328" s="102"/>
      <c r="B328" s="102"/>
    </row>
    <row r="330">
      <c r="A330" s="102"/>
      <c r="B330" s="102"/>
    </row>
    <row r="331">
      <c r="A331" s="102"/>
      <c r="B331" s="102"/>
    </row>
    <row r="332">
      <c r="A332" s="102"/>
      <c r="B332" s="102"/>
    </row>
    <row r="333">
      <c r="A333" s="102"/>
      <c r="B333" s="102"/>
    </row>
    <row r="334">
      <c r="A334" s="102"/>
      <c r="B334" s="102"/>
    </row>
    <row r="335">
      <c r="A335" s="102"/>
      <c r="B335" s="102"/>
    </row>
    <row r="336">
      <c r="A336" s="102"/>
      <c r="B336" s="102"/>
    </row>
    <row r="337">
      <c r="A337" s="102"/>
      <c r="B337" s="102"/>
    </row>
    <row r="338">
      <c r="A338" s="102"/>
      <c r="B338" s="102"/>
    </row>
    <row r="339">
      <c r="A339" s="102"/>
      <c r="B339" s="102"/>
    </row>
    <row r="341">
      <c r="A341" s="102"/>
      <c r="B341" s="102"/>
    </row>
    <row r="343">
      <c r="A343" s="102"/>
      <c r="B343" s="102"/>
    </row>
    <row r="344">
      <c r="A344" s="102"/>
      <c r="B344" s="102"/>
    </row>
    <row r="345">
      <c r="A345" s="102"/>
      <c r="B345" s="102"/>
    </row>
    <row r="346">
      <c r="A346" s="102"/>
      <c r="B346" s="102"/>
    </row>
    <row r="347">
      <c r="A347" s="102"/>
      <c r="B347" s="102"/>
    </row>
    <row r="348">
      <c r="A348" s="102"/>
      <c r="B348" s="102"/>
    </row>
    <row r="349">
      <c r="A349" s="102"/>
      <c r="B349" s="102"/>
    </row>
    <row r="350">
      <c r="A350" s="102"/>
      <c r="B350" s="102"/>
    </row>
    <row r="351">
      <c r="A351" s="102"/>
      <c r="B351" s="102"/>
    </row>
    <row r="352">
      <c r="A352" s="102"/>
      <c r="B352" s="102"/>
    </row>
    <row r="353">
      <c r="A353" s="102"/>
      <c r="B353" s="102"/>
    </row>
    <row r="355">
      <c r="A355" s="102"/>
      <c r="B355" s="102"/>
    </row>
    <row r="356">
      <c r="A356" s="102"/>
      <c r="B356" s="102"/>
    </row>
    <row r="357">
      <c r="A357" s="102"/>
      <c r="B357" s="102"/>
    </row>
    <row r="360">
      <c r="A360" s="102"/>
      <c r="B360" s="102"/>
    </row>
    <row r="361">
      <c r="A361" s="102"/>
      <c r="B361" s="102"/>
    </row>
    <row r="362">
      <c r="A362" s="102"/>
      <c r="B362" s="102"/>
    </row>
    <row r="363">
      <c r="A363" s="102"/>
      <c r="B363" s="102"/>
    </row>
    <row r="364">
      <c r="A364" s="102"/>
      <c r="B364" s="102"/>
    </row>
    <row r="365">
      <c r="A365" s="102"/>
      <c r="B365" s="102"/>
    </row>
    <row r="366">
      <c r="A366" s="102"/>
      <c r="B366" s="102"/>
    </row>
    <row r="367">
      <c r="A367" s="102"/>
      <c r="B367" s="102"/>
    </row>
    <row r="369">
      <c r="A369" s="102"/>
      <c r="B369" s="102"/>
    </row>
    <row r="370">
      <c r="A370" s="102"/>
      <c r="B370" s="102"/>
    </row>
    <row r="372">
      <c r="A372" s="102"/>
      <c r="B372" s="102"/>
    </row>
    <row r="373">
      <c r="A373" s="102"/>
      <c r="B373" s="102"/>
    </row>
    <row r="374">
      <c r="A374" s="102"/>
      <c r="B374" s="102"/>
    </row>
    <row r="375">
      <c r="A375" s="102"/>
      <c r="B375" s="102"/>
    </row>
    <row r="376">
      <c r="A376" s="102"/>
      <c r="B376" s="102"/>
    </row>
    <row r="378">
      <c r="A378" s="102"/>
      <c r="B378" s="102"/>
    </row>
    <row r="379">
      <c r="A379" s="102"/>
      <c r="B379" s="102"/>
    </row>
    <row r="380">
      <c r="A380" s="102"/>
      <c r="B380" s="102"/>
    </row>
    <row r="381">
      <c r="A381" s="102"/>
      <c r="B381" s="102"/>
    </row>
    <row r="382">
      <c r="A382" s="102"/>
      <c r="B382" s="102"/>
    </row>
    <row r="384">
      <c r="A384" s="102"/>
      <c r="B384" s="102"/>
    </row>
    <row r="385">
      <c r="A385" s="102"/>
      <c r="B385" s="102"/>
    </row>
    <row r="386">
      <c r="A386" s="102"/>
      <c r="B386" s="102"/>
    </row>
    <row r="387">
      <c r="A387" s="102"/>
      <c r="B387" s="102"/>
    </row>
    <row r="388">
      <c r="A388" s="102"/>
      <c r="B388" s="102"/>
    </row>
    <row r="389">
      <c r="A389" s="102"/>
      <c r="B389" s="102"/>
    </row>
    <row r="390">
      <c r="A390" s="102"/>
      <c r="B390" s="102"/>
    </row>
    <row r="391">
      <c r="A391" s="102"/>
      <c r="B391" s="102"/>
    </row>
    <row r="392">
      <c r="A392" s="102"/>
      <c r="B392" s="102"/>
    </row>
    <row r="393">
      <c r="A393" s="102"/>
      <c r="B393" s="102"/>
    </row>
    <row r="394">
      <c r="A394" s="102"/>
      <c r="B394" s="102"/>
    </row>
    <row r="395">
      <c r="A395" s="102"/>
      <c r="B395" s="102"/>
    </row>
    <row r="396">
      <c r="A396" s="102"/>
      <c r="B396" s="102"/>
    </row>
    <row r="399">
      <c r="A399" s="102"/>
      <c r="B399" s="102"/>
    </row>
    <row r="400">
      <c r="A400" s="102"/>
      <c r="B400" s="102"/>
    </row>
    <row r="401">
      <c r="A401" s="102"/>
      <c r="B401" s="102"/>
    </row>
    <row r="403">
      <c r="A403" s="102"/>
      <c r="B403" s="102"/>
    </row>
    <row r="404">
      <c r="A404" s="102"/>
      <c r="B404" s="102"/>
    </row>
    <row r="405">
      <c r="A405" s="102"/>
      <c r="B405" s="102"/>
    </row>
    <row r="406">
      <c r="A406" s="102"/>
      <c r="B406" s="102"/>
    </row>
    <row r="408">
      <c r="A408" s="102"/>
      <c r="B408" s="102"/>
    </row>
    <row r="409">
      <c r="A409" s="102"/>
      <c r="B409" s="102"/>
    </row>
    <row r="410">
      <c r="A410" s="102"/>
      <c r="B410" s="102"/>
    </row>
    <row r="411">
      <c r="A411" s="102"/>
      <c r="B411" s="102"/>
    </row>
    <row r="412">
      <c r="A412" s="102"/>
      <c r="B412" s="102"/>
    </row>
    <row r="413">
      <c r="A413" s="102"/>
      <c r="B413" s="102"/>
    </row>
    <row r="414">
      <c r="A414" s="102"/>
      <c r="B414" s="102"/>
    </row>
    <row r="417">
      <c r="A417" s="102"/>
      <c r="B417" s="102"/>
    </row>
    <row r="418">
      <c r="A418" s="102"/>
      <c r="B418" s="102"/>
    </row>
    <row r="419">
      <c r="A419" s="102"/>
      <c r="B419" s="102"/>
    </row>
    <row r="420">
      <c r="A420" s="102"/>
      <c r="B420" s="102"/>
    </row>
    <row r="422">
      <c r="A422" s="102"/>
      <c r="B422" s="102"/>
    </row>
    <row r="423">
      <c r="A423" s="102"/>
      <c r="B423" s="102"/>
    </row>
    <row r="424">
      <c r="A424" s="102"/>
      <c r="B424" s="102"/>
    </row>
    <row r="425">
      <c r="A425" s="102"/>
      <c r="B425" s="102"/>
    </row>
    <row r="427">
      <c r="A427" s="102"/>
      <c r="B427" s="102"/>
    </row>
    <row r="428">
      <c r="A428" s="102"/>
      <c r="B428" s="102"/>
    </row>
    <row r="430">
      <c r="A430" s="102"/>
      <c r="B430" s="102"/>
    </row>
    <row r="431">
      <c r="A431" s="102"/>
      <c r="B431" s="102"/>
    </row>
    <row r="432">
      <c r="A432" s="102"/>
      <c r="B432" s="102"/>
    </row>
    <row r="433">
      <c r="A433" s="102"/>
      <c r="B433" s="102"/>
    </row>
    <row r="435">
      <c r="A435" s="102"/>
      <c r="B435" s="102"/>
    </row>
    <row r="436">
      <c r="A436" s="102"/>
      <c r="B436" s="102"/>
    </row>
    <row r="437">
      <c r="A437" s="102"/>
      <c r="B437" s="102"/>
    </row>
    <row r="438">
      <c r="A438" s="102"/>
      <c r="B438" s="102"/>
    </row>
    <row r="439">
      <c r="A439" s="102"/>
      <c r="B439" s="102"/>
    </row>
    <row r="440">
      <c r="A440" s="102"/>
      <c r="B440" s="102"/>
    </row>
    <row r="441">
      <c r="A441" s="102"/>
      <c r="B441" s="102"/>
    </row>
    <row r="442">
      <c r="A442" s="102"/>
      <c r="B442" s="102"/>
    </row>
    <row r="443">
      <c r="A443" s="102"/>
      <c r="B443" s="102"/>
    </row>
    <row r="444">
      <c r="A444" s="102"/>
      <c r="B444" s="102"/>
    </row>
    <row r="445">
      <c r="A445" s="102"/>
      <c r="B445" s="102"/>
    </row>
    <row r="447">
      <c r="A447" s="102"/>
      <c r="B447" s="102"/>
    </row>
    <row r="448">
      <c r="A448" s="102"/>
      <c r="B448" s="102"/>
    </row>
    <row r="449">
      <c r="A449" s="102"/>
      <c r="B449" s="102"/>
    </row>
    <row r="450">
      <c r="A450" s="102"/>
      <c r="B450" s="102"/>
    </row>
    <row r="451">
      <c r="A451" s="102"/>
      <c r="B451" s="102"/>
    </row>
    <row r="452">
      <c r="A452" s="102"/>
      <c r="B452" s="102"/>
    </row>
    <row r="454">
      <c r="A454" s="102"/>
      <c r="B454" s="102"/>
    </row>
    <row r="455">
      <c r="A455" s="102"/>
      <c r="B455" s="102"/>
    </row>
    <row r="456">
      <c r="A456" s="102"/>
      <c r="B456" s="102"/>
    </row>
    <row r="457">
      <c r="A457" s="102"/>
      <c r="B457" s="102"/>
    </row>
    <row r="458">
      <c r="A458" s="102"/>
      <c r="B458" s="102"/>
    </row>
    <row r="459">
      <c r="A459" s="102"/>
      <c r="B459" s="102"/>
    </row>
    <row r="460">
      <c r="A460" s="102"/>
      <c r="B460" s="102"/>
    </row>
    <row r="461">
      <c r="A461" s="102"/>
      <c r="B461" s="102"/>
    </row>
    <row r="462">
      <c r="A462" s="102"/>
      <c r="B462" s="102"/>
    </row>
    <row r="463">
      <c r="A463" s="102"/>
      <c r="B463" s="102"/>
    </row>
    <row r="1357">
      <c r="A1357" s="102"/>
      <c r="B1357" s="102"/>
    </row>
    <row r="1358">
      <c r="A1358" s="102"/>
      <c r="B1358" s="102"/>
    </row>
    <row r="1359">
      <c r="A1359" s="102"/>
      <c r="B1359" s="102"/>
    </row>
    <row r="1360">
      <c r="A1360" s="102"/>
      <c r="B1360" s="102"/>
    </row>
    <row r="1362">
      <c r="A1362" s="102"/>
      <c r="B1362" s="102"/>
    </row>
  </sheetData>
  <autoFilter ref="$A$1:$Z$1362">
    <sortState ref="A1:Z1362">
      <sortCondition ref="C1:C1362"/>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c r="A1" s="52" t="s">
        <v>2702</v>
      </c>
      <c r="B1" s="52" t="s">
        <v>2703</v>
      </c>
      <c r="C1" s="52" t="s">
        <v>2704</v>
      </c>
      <c r="D1" s="52" t="s">
        <v>2705</v>
      </c>
      <c r="E1" s="52" t="s">
        <v>2706</v>
      </c>
      <c r="F1" s="52" t="s">
        <v>2707</v>
      </c>
      <c r="G1" s="52" t="s">
        <v>2708</v>
      </c>
      <c r="H1" s="52" t="s">
        <v>2709</v>
      </c>
      <c r="I1" s="52" t="s">
        <v>2710</v>
      </c>
      <c r="J1" s="52" t="s">
        <v>2711</v>
      </c>
      <c r="K1" s="52" t="s">
        <v>2712</v>
      </c>
      <c r="L1" s="52" t="s">
        <v>2714</v>
      </c>
      <c r="M1" s="52" t="s">
        <v>2716</v>
      </c>
      <c r="N1" s="52" t="s">
        <v>2717</v>
      </c>
      <c r="O1" s="52" t="s">
        <v>2718</v>
      </c>
      <c r="P1" s="52" t="s">
        <v>2719</v>
      </c>
      <c r="Q1" s="52" t="s">
        <v>2720</v>
      </c>
      <c r="R1" s="52" t="s">
        <v>2721</v>
      </c>
      <c r="S1" s="52" t="s">
        <v>2722</v>
      </c>
      <c r="T1" s="52" t="s">
        <v>2721</v>
      </c>
      <c r="U1" s="52" t="s">
        <v>2723</v>
      </c>
    </row>
    <row r="2">
      <c r="A2" s="52" t="s">
        <v>2724</v>
      </c>
      <c r="B2" s="52" t="s">
        <v>2725</v>
      </c>
      <c r="C2" s="52" t="s">
        <v>925</v>
      </c>
      <c r="D2" s="52" t="s">
        <v>41</v>
      </c>
      <c r="E2" s="52" t="s">
        <v>811</v>
      </c>
      <c r="F2" s="52" t="s">
        <v>922</v>
      </c>
      <c r="G2" s="52" t="s">
        <v>2726</v>
      </c>
      <c r="H2" s="52" t="s">
        <v>162</v>
      </c>
      <c r="I2" s="52" t="s">
        <v>2727</v>
      </c>
      <c r="J2" s="52" t="s">
        <v>48</v>
      </c>
      <c r="K2" s="52" t="s">
        <v>49</v>
      </c>
      <c r="L2" s="52" t="s">
        <v>821</v>
      </c>
      <c r="M2" s="52" t="s">
        <v>2728</v>
      </c>
      <c r="N2" s="52" t="s">
        <v>823</v>
      </c>
      <c r="P2" s="52" t="s">
        <v>2729</v>
      </c>
      <c r="Q2" s="52" t="s">
        <v>2730</v>
      </c>
      <c r="R2" s="52" t="s">
        <v>2731</v>
      </c>
      <c r="S2" s="52" t="s">
        <v>2730</v>
      </c>
      <c r="T2" s="52" t="s">
        <v>2732</v>
      </c>
    </row>
    <row r="3">
      <c r="A3" s="52" t="s">
        <v>2724</v>
      </c>
      <c r="B3" s="52" t="s">
        <v>2733</v>
      </c>
      <c r="C3" s="52" t="s">
        <v>925</v>
      </c>
      <c r="D3" s="52" t="s">
        <v>41</v>
      </c>
      <c r="E3" s="52" t="s">
        <v>811</v>
      </c>
      <c r="F3" s="52" t="s">
        <v>922</v>
      </c>
      <c r="G3" s="52" t="s">
        <v>2671</v>
      </c>
      <c r="H3" s="52" t="s">
        <v>162</v>
      </c>
      <c r="I3" s="52" t="s">
        <v>2727</v>
      </c>
      <c r="J3" s="52" t="s">
        <v>48</v>
      </c>
      <c r="K3" s="52" t="s">
        <v>49</v>
      </c>
      <c r="L3" s="52" t="s">
        <v>209</v>
      </c>
      <c r="M3" s="52" t="s">
        <v>2734</v>
      </c>
      <c r="N3" s="52" t="s">
        <v>2735</v>
      </c>
      <c r="P3" s="52" t="s">
        <v>2729</v>
      </c>
      <c r="Q3" s="52" t="s">
        <v>2730</v>
      </c>
      <c r="R3" s="52" t="s">
        <v>2737</v>
      </c>
      <c r="S3" s="52" t="s">
        <v>2730</v>
      </c>
      <c r="T3" s="52" t="s">
        <v>2737</v>
      </c>
    </row>
    <row r="4">
      <c r="A4" s="52" t="s">
        <v>2724</v>
      </c>
      <c r="B4" s="52" t="s">
        <v>2738</v>
      </c>
      <c r="C4" s="52" t="s">
        <v>936</v>
      </c>
      <c r="D4" s="52" t="s">
        <v>41</v>
      </c>
      <c r="E4" s="52" t="s">
        <v>811</v>
      </c>
      <c r="F4" s="52" t="s">
        <v>934</v>
      </c>
      <c r="G4" s="52" t="s">
        <v>2739</v>
      </c>
      <c r="H4" s="52" t="s">
        <v>162</v>
      </c>
      <c r="I4" s="52" t="s">
        <v>2740</v>
      </c>
      <c r="J4" s="52" t="s">
        <v>48</v>
      </c>
      <c r="K4" s="52" t="s">
        <v>428</v>
      </c>
      <c r="L4" s="52" t="s">
        <v>833</v>
      </c>
      <c r="M4" s="52" t="s">
        <v>2741</v>
      </c>
      <c r="N4" s="52" t="s">
        <v>834</v>
      </c>
      <c r="O4" s="52" t="s">
        <v>2743</v>
      </c>
      <c r="P4" s="52" t="s">
        <v>2729</v>
      </c>
      <c r="Q4" s="52" t="s">
        <v>2730</v>
      </c>
      <c r="R4" s="52" t="s">
        <v>2744</v>
      </c>
      <c r="S4" s="52" t="s">
        <v>2730</v>
      </c>
      <c r="T4" s="52" t="s">
        <v>2745</v>
      </c>
    </row>
    <row r="5">
      <c r="A5" s="52" t="s">
        <v>2724</v>
      </c>
      <c r="B5" s="52" t="s">
        <v>2747</v>
      </c>
      <c r="C5" s="52" t="s">
        <v>950</v>
      </c>
      <c r="D5" s="52" t="s">
        <v>41</v>
      </c>
      <c r="E5" s="52" t="s">
        <v>811</v>
      </c>
      <c r="F5" s="52" t="s">
        <v>946</v>
      </c>
      <c r="G5" s="52" t="s">
        <v>2748</v>
      </c>
      <c r="H5" s="52" t="s">
        <v>162</v>
      </c>
      <c r="I5" s="52" t="s">
        <v>2749</v>
      </c>
      <c r="J5" s="52" t="s">
        <v>48</v>
      </c>
      <c r="K5" s="52" t="s">
        <v>49</v>
      </c>
      <c r="L5" s="52" t="s">
        <v>841</v>
      </c>
      <c r="M5" s="52" t="s">
        <v>2750</v>
      </c>
      <c r="N5" s="52" t="s">
        <v>842</v>
      </c>
      <c r="P5" s="52" t="s">
        <v>2729</v>
      </c>
      <c r="Q5" s="52" t="s">
        <v>2730</v>
      </c>
      <c r="R5" s="52" t="s">
        <v>2751</v>
      </c>
      <c r="S5" s="52" t="s">
        <v>2730</v>
      </c>
      <c r="T5" s="52" t="s">
        <v>2752</v>
      </c>
    </row>
    <row r="6">
      <c r="A6" s="52" t="s">
        <v>2724</v>
      </c>
      <c r="B6" s="52" t="s">
        <v>2753</v>
      </c>
      <c r="C6" s="52" t="s">
        <v>957</v>
      </c>
      <c r="D6" s="52" t="s">
        <v>41</v>
      </c>
      <c r="E6" s="52" t="s">
        <v>811</v>
      </c>
      <c r="F6" s="52" t="s">
        <v>956</v>
      </c>
      <c r="G6" s="52" t="s">
        <v>2754</v>
      </c>
      <c r="H6" s="52" t="s">
        <v>162</v>
      </c>
      <c r="I6" s="52" t="s">
        <v>2755</v>
      </c>
      <c r="J6" s="52" t="s">
        <v>48</v>
      </c>
      <c r="K6" s="52" t="s">
        <v>49</v>
      </c>
      <c r="L6" s="52" t="s">
        <v>847</v>
      </c>
      <c r="M6" s="52" t="s">
        <v>2756</v>
      </c>
      <c r="N6" s="52" t="s">
        <v>848</v>
      </c>
      <c r="P6" s="52" t="s">
        <v>2729</v>
      </c>
      <c r="Q6" s="52" t="s">
        <v>2730</v>
      </c>
      <c r="R6" s="52" t="s">
        <v>2757</v>
      </c>
      <c r="S6" s="52" t="s">
        <v>2730</v>
      </c>
      <c r="T6" s="52" t="s">
        <v>2758</v>
      </c>
    </row>
    <row r="7">
      <c r="A7" s="52" t="s">
        <v>2724</v>
      </c>
      <c r="B7" s="52" t="s">
        <v>2759</v>
      </c>
      <c r="C7" s="52" t="s">
        <v>969</v>
      </c>
      <c r="D7" s="52" t="s">
        <v>41</v>
      </c>
      <c r="E7" s="52" t="s">
        <v>811</v>
      </c>
      <c r="F7" s="52" t="s">
        <v>968</v>
      </c>
      <c r="G7" s="52" t="s">
        <v>2762</v>
      </c>
      <c r="H7" s="52" t="s">
        <v>162</v>
      </c>
      <c r="I7" s="52" t="s">
        <v>2763</v>
      </c>
      <c r="J7" s="52" t="s">
        <v>48</v>
      </c>
      <c r="K7" s="52" t="s">
        <v>49</v>
      </c>
      <c r="L7" s="52" t="s">
        <v>854</v>
      </c>
      <c r="M7" s="52" t="s">
        <v>2764</v>
      </c>
      <c r="N7" s="52" t="s">
        <v>855</v>
      </c>
      <c r="P7" s="52" t="s">
        <v>2729</v>
      </c>
      <c r="Q7" s="52" t="s">
        <v>2730</v>
      </c>
      <c r="R7" s="52" t="s">
        <v>2765</v>
      </c>
      <c r="S7" s="52" t="s">
        <v>2730</v>
      </c>
      <c r="T7" s="52" t="s">
        <v>2766</v>
      </c>
    </row>
    <row r="8">
      <c r="A8" s="52" t="s">
        <v>2724</v>
      </c>
      <c r="B8" s="52" t="s">
        <v>2767</v>
      </c>
      <c r="C8" s="52" t="s">
        <v>980</v>
      </c>
      <c r="D8" s="52" t="s">
        <v>41</v>
      </c>
      <c r="E8" s="52" t="s">
        <v>811</v>
      </c>
      <c r="F8" s="52" t="s">
        <v>977</v>
      </c>
      <c r="G8" s="52" t="s">
        <v>2768</v>
      </c>
      <c r="H8" s="52" t="s">
        <v>162</v>
      </c>
      <c r="I8" s="52" t="s">
        <v>2769</v>
      </c>
      <c r="J8" s="52" t="s">
        <v>48</v>
      </c>
      <c r="K8" s="52" t="s">
        <v>49</v>
      </c>
      <c r="L8" s="52" t="s">
        <v>862</v>
      </c>
      <c r="M8" s="52" t="s">
        <v>2770</v>
      </c>
      <c r="N8" s="52" t="s">
        <v>863</v>
      </c>
      <c r="P8" s="52" t="s">
        <v>2729</v>
      </c>
      <c r="Q8" s="52" t="s">
        <v>2730</v>
      </c>
      <c r="R8" s="52" t="s">
        <v>2771</v>
      </c>
      <c r="S8" s="52" t="s">
        <v>2730</v>
      </c>
      <c r="T8" s="52" t="s">
        <v>2772</v>
      </c>
    </row>
    <row r="9">
      <c r="A9" s="52" t="s">
        <v>2724</v>
      </c>
      <c r="B9" s="52" t="s">
        <v>2773</v>
      </c>
      <c r="C9" s="52" t="s">
        <v>980</v>
      </c>
      <c r="D9" s="52" t="s">
        <v>41</v>
      </c>
      <c r="E9" s="52" t="s">
        <v>811</v>
      </c>
      <c r="F9" s="52" t="s">
        <v>977</v>
      </c>
      <c r="G9" s="52" t="s">
        <v>2774</v>
      </c>
      <c r="H9" s="52" t="s">
        <v>162</v>
      </c>
      <c r="I9" s="52" t="s">
        <v>2769</v>
      </c>
      <c r="J9" s="52" t="s">
        <v>48</v>
      </c>
      <c r="K9" s="52" t="s">
        <v>49</v>
      </c>
      <c r="L9" s="52" t="s">
        <v>869</v>
      </c>
      <c r="M9" s="52" t="s">
        <v>2775</v>
      </c>
      <c r="N9" s="52" t="s">
        <v>871</v>
      </c>
      <c r="P9" s="52" t="s">
        <v>2729</v>
      </c>
      <c r="Q9" s="52" t="s">
        <v>2730</v>
      </c>
      <c r="R9" s="52" t="s">
        <v>2771</v>
      </c>
      <c r="S9" s="52" t="s">
        <v>2730</v>
      </c>
      <c r="T9" s="52" t="s">
        <v>2776</v>
      </c>
    </row>
    <row r="10">
      <c r="A10" s="52" t="s">
        <v>2724</v>
      </c>
      <c r="B10" s="52" t="s">
        <v>2777</v>
      </c>
      <c r="C10" s="52" t="s">
        <v>980</v>
      </c>
      <c r="D10" s="52" t="s">
        <v>41</v>
      </c>
      <c r="E10" s="52" t="s">
        <v>811</v>
      </c>
      <c r="F10" s="52" t="s">
        <v>977</v>
      </c>
      <c r="G10" s="52" t="s">
        <v>2778</v>
      </c>
      <c r="H10" s="52" t="s">
        <v>162</v>
      </c>
      <c r="I10" s="52" t="s">
        <v>2769</v>
      </c>
      <c r="J10" s="52" t="s">
        <v>48</v>
      </c>
      <c r="K10" s="52" t="s">
        <v>49</v>
      </c>
      <c r="L10" s="52" t="s">
        <v>876</v>
      </c>
      <c r="M10" s="52" t="s">
        <v>2780</v>
      </c>
      <c r="N10" s="52" t="s">
        <v>877</v>
      </c>
      <c r="P10" s="52" t="s">
        <v>2729</v>
      </c>
      <c r="Q10" s="52" t="s">
        <v>2730</v>
      </c>
      <c r="R10" s="52" t="s">
        <v>2771</v>
      </c>
      <c r="S10" s="52" t="s">
        <v>2730</v>
      </c>
      <c r="T10" s="52" t="s">
        <v>2781</v>
      </c>
    </row>
    <row r="11">
      <c r="A11" s="52" t="s">
        <v>2724</v>
      </c>
      <c r="B11" s="52" t="s">
        <v>2782</v>
      </c>
      <c r="C11" s="52" t="s">
        <v>980</v>
      </c>
      <c r="D11" s="52" t="s">
        <v>41</v>
      </c>
      <c r="E11" s="52" t="s">
        <v>811</v>
      </c>
      <c r="F11" s="52" t="s">
        <v>977</v>
      </c>
      <c r="G11" s="52" t="s">
        <v>2783</v>
      </c>
      <c r="H11" s="52" t="s">
        <v>162</v>
      </c>
      <c r="I11" s="52" t="s">
        <v>2769</v>
      </c>
      <c r="J11" s="52" t="s">
        <v>48</v>
      </c>
      <c r="K11" s="52" t="s">
        <v>108</v>
      </c>
      <c r="L11" s="52" t="s">
        <v>889</v>
      </c>
      <c r="M11" s="52" t="s">
        <v>2786</v>
      </c>
      <c r="N11" s="52" t="s">
        <v>2787</v>
      </c>
      <c r="P11" s="52" t="s">
        <v>2729</v>
      </c>
      <c r="Q11" s="52" t="s">
        <v>2730</v>
      </c>
      <c r="R11" s="52" t="s">
        <v>2737</v>
      </c>
      <c r="S11" s="52" t="s">
        <v>2730</v>
      </c>
      <c r="T11" s="52" t="s">
        <v>2737</v>
      </c>
    </row>
    <row r="12">
      <c r="A12" s="52" t="s">
        <v>2724</v>
      </c>
      <c r="B12" s="52" t="s">
        <v>2789</v>
      </c>
      <c r="C12" s="52" t="s">
        <v>980</v>
      </c>
      <c r="D12" s="52" t="s">
        <v>41</v>
      </c>
      <c r="E12" s="52" t="s">
        <v>811</v>
      </c>
      <c r="F12" s="52" t="s">
        <v>977</v>
      </c>
      <c r="G12" s="52" t="s">
        <v>2791</v>
      </c>
      <c r="H12" s="52" t="s">
        <v>162</v>
      </c>
      <c r="I12" s="52" t="s">
        <v>2769</v>
      </c>
      <c r="J12" s="52" t="s">
        <v>48</v>
      </c>
      <c r="K12" s="52" t="s">
        <v>49</v>
      </c>
      <c r="L12" s="52" t="s">
        <v>884</v>
      </c>
      <c r="M12" s="52" t="s">
        <v>2792</v>
      </c>
      <c r="N12" s="52" t="s">
        <v>877</v>
      </c>
      <c r="O12" s="52" t="s">
        <v>2793</v>
      </c>
      <c r="P12" s="52" t="s">
        <v>2729</v>
      </c>
      <c r="Q12" s="52" t="s">
        <v>2730</v>
      </c>
      <c r="R12" s="52" t="s">
        <v>2794</v>
      </c>
      <c r="S12" s="52" t="s">
        <v>2730</v>
      </c>
      <c r="T12" s="52" t="s">
        <v>2795</v>
      </c>
    </row>
    <row r="13">
      <c r="A13" s="52" t="s">
        <v>2724</v>
      </c>
      <c r="B13" s="52" t="s">
        <v>2796</v>
      </c>
      <c r="C13" s="52" t="s">
        <v>992</v>
      </c>
      <c r="D13" s="52" t="s">
        <v>41</v>
      </c>
      <c r="E13" s="52" t="s">
        <v>811</v>
      </c>
      <c r="F13" s="52" t="s">
        <v>986</v>
      </c>
      <c r="G13" s="52" t="s">
        <v>2797</v>
      </c>
      <c r="H13" s="52" t="s">
        <v>162</v>
      </c>
      <c r="I13" s="52" t="s">
        <v>2798</v>
      </c>
      <c r="J13" s="52" t="s">
        <v>48</v>
      </c>
      <c r="K13" s="52" t="s">
        <v>49</v>
      </c>
      <c r="L13" s="52" t="s">
        <v>898</v>
      </c>
      <c r="M13" s="52" t="s">
        <v>2799</v>
      </c>
      <c r="N13" s="52" t="s">
        <v>899</v>
      </c>
      <c r="O13" s="52" t="s">
        <v>2800</v>
      </c>
      <c r="P13" s="52" t="s">
        <v>2729</v>
      </c>
      <c r="Q13" s="52" t="s">
        <v>2730</v>
      </c>
      <c r="R13" s="52" t="s">
        <v>2801</v>
      </c>
      <c r="S13" s="52" t="s">
        <v>2730</v>
      </c>
      <c r="T13" s="52" t="s">
        <v>2802</v>
      </c>
    </row>
    <row r="14">
      <c r="A14" s="52" t="s">
        <v>2724</v>
      </c>
      <c r="B14" s="52" t="s">
        <v>2803</v>
      </c>
      <c r="C14" s="52" t="s">
        <v>992</v>
      </c>
      <c r="D14" s="52" t="s">
        <v>41</v>
      </c>
      <c r="E14" s="52" t="s">
        <v>811</v>
      </c>
      <c r="F14" s="52" t="s">
        <v>986</v>
      </c>
      <c r="G14" s="52" t="s">
        <v>2804</v>
      </c>
      <c r="H14" s="52" t="s">
        <v>162</v>
      </c>
      <c r="I14" s="52" t="s">
        <v>2798</v>
      </c>
      <c r="J14" s="52" t="s">
        <v>48</v>
      </c>
      <c r="K14" s="52" t="s">
        <v>49</v>
      </c>
      <c r="L14" s="52" t="s">
        <v>903</v>
      </c>
      <c r="M14" s="52" t="s">
        <v>2805</v>
      </c>
      <c r="N14" s="52" t="s">
        <v>904</v>
      </c>
      <c r="O14" s="52" t="s">
        <v>2800</v>
      </c>
      <c r="P14" s="52" t="s">
        <v>2729</v>
      </c>
      <c r="Q14" s="52" t="s">
        <v>2730</v>
      </c>
      <c r="R14" s="52" t="s">
        <v>2806</v>
      </c>
      <c r="S14" s="52" t="s">
        <v>2730</v>
      </c>
      <c r="T14" s="52" t="s">
        <v>2807</v>
      </c>
    </row>
    <row r="15">
      <c r="A15" s="52" t="s">
        <v>2724</v>
      </c>
      <c r="B15" s="52" t="s">
        <v>2808</v>
      </c>
      <c r="C15" s="52" t="s">
        <v>1005</v>
      </c>
      <c r="D15" s="52" t="s">
        <v>41</v>
      </c>
      <c r="E15" s="52" t="s">
        <v>811</v>
      </c>
      <c r="F15" s="52" t="s">
        <v>1001</v>
      </c>
      <c r="G15" s="52" t="s">
        <v>2809</v>
      </c>
      <c r="H15" s="52" t="s">
        <v>162</v>
      </c>
      <c r="I15" s="52" t="s">
        <v>2810</v>
      </c>
      <c r="J15" s="52" t="s">
        <v>48</v>
      </c>
      <c r="K15" s="52" t="s">
        <v>49</v>
      </c>
      <c r="L15" s="52" t="s">
        <v>911</v>
      </c>
      <c r="M15" s="52" t="s">
        <v>2811</v>
      </c>
      <c r="N15" s="52" t="s">
        <v>912</v>
      </c>
      <c r="P15" s="52" t="s">
        <v>2729</v>
      </c>
      <c r="Q15" s="52" t="s">
        <v>2730</v>
      </c>
      <c r="R15" s="52" t="s">
        <v>2812</v>
      </c>
      <c r="S15" s="52" t="s">
        <v>2730</v>
      </c>
      <c r="T15" s="52" t="s">
        <v>2813</v>
      </c>
    </row>
    <row r="16">
      <c r="A16" s="52" t="s">
        <v>2724</v>
      </c>
      <c r="B16" s="52" t="s">
        <v>2814</v>
      </c>
      <c r="C16" s="52" t="s">
        <v>1005</v>
      </c>
      <c r="D16" s="52" t="s">
        <v>41</v>
      </c>
      <c r="E16" s="52" t="s">
        <v>811</v>
      </c>
      <c r="F16" s="52" t="s">
        <v>1001</v>
      </c>
      <c r="G16" s="52" t="s">
        <v>2816</v>
      </c>
      <c r="H16" s="52" t="s">
        <v>162</v>
      </c>
      <c r="I16" s="52" t="s">
        <v>2810</v>
      </c>
      <c r="J16" s="52" t="s">
        <v>48</v>
      </c>
      <c r="K16" s="52" t="s">
        <v>428</v>
      </c>
      <c r="L16" s="52" t="s">
        <v>918</v>
      </c>
      <c r="M16" s="52" t="s">
        <v>2819</v>
      </c>
      <c r="N16" s="52" t="s">
        <v>919</v>
      </c>
      <c r="P16" s="52" t="s">
        <v>2729</v>
      </c>
      <c r="Q16" s="52" t="s">
        <v>2730</v>
      </c>
      <c r="R16" s="52" t="s">
        <v>2820</v>
      </c>
      <c r="S16" s="52" t="s">
        <v>2730</v>
      </c>
      <c r="T16" s="52" t="s">
        <v>2821</v>
      </c>
    </row>
    <row r="17">
      <c r="A17" s="52" t="s">
        <v>2724</v>
      </c>
      <c r="B17" s="52" t="s">
        <v>2822</v>
      </c>
      <c r="C17" s="52" t="s">
        <v>1005</v>
      </c>
      <c r="D17" s="52" t="s">
        <v>41</v>
      </c>
      <c r="E17" s="52" t="s">
        <v>811</v>
      </c>
      <c r="F17" s="52" t="s">
        <v>1001</v>
      </c>
      <c r="G17" s="52" t="s">
        <v>2824</v>
      </c>
      <c r="H17" s="52" t="s">
        <v>162</v>
      </c>
      <c r="I17" s="52" t="s">
        <v>2810</v>
      </c>
      <c r="J17" s="52" t="s">
        <v>48</v>
      </c>
      <c r="K17" s="52" t="s">
        <v>49</v>
      </c>
      <c r="L17" s="52" t="s">
        <v>923</v>
      </c>
      <c r="M17" s="52" t="s">
        <v>2826</v>
      </c>
      <c r="N17" s="52" t="s">
        <v>924</v>
      </c>
      <c r="P17" s="52" t="s">
        <v>2729</v>
      </c>
      <c r="Q17" s="52" t="s">
        <v>2730</v>
      </c>
      <c r="R17" s="52" t="s">
        <v>2827</v>
      </c>
      <c r="S17" s="52" t="s">
        <v>2730</v>
      </c>
      <c r="T17" s="52" t="s">
        <v>2828</v>
      </c>
    </row>
    <row r="18">
      <c r="A18" s="52" t="s">
        <v>2724</v>
      </c>
      <c r="B18" s="52" t="s">
        <v>2829</v>
      </c>
      <c r="C18" s="52" t="s">
        <v>1005</v>
      </c>
      <c r="D18" s="52" t="s">
        <v>41</v>
      </c>
      <c r="E18" s="52" t="s">
        <v>811</v>
      </c>
      <c r="F18" s="52" t="s">
        <v>1001</v>
      </c>
      <c r="G18" s="52" t="s">
        <v>2830</v>
      </c>
      <c r="H18" s="52" t="s">
        <v>162</v>
      </c>
      <c r="I18" s="52" t="s">
        <v>2810</v>
      </c>
      <c r="J18" s="52" t="s">
        <v>48</v>
      </c>
      <c r="K18" s="52" t="s">
        <v>49</v>
      </c>
      <c r="L18" s="52" t="s">
        <v>929</v>
      </c>
      <c r="M18" s="52" t="s">
        <v>2831</v>
      </c>
      <c r="N18" s="52" t="s">
        <v>447</v>
      </c>
      <c r="P18" s="52" t="s">
        <v>2729</v>
      </c>
      <c r="Q18" s="52" t="s">
        <v>2730</v>
      </c>
      <c r="R18" s="52" t="s">
        <v>2832</v>
      </c>
      <c r="S18" s="52" t="s">
        <v>2730</v>
      </c>
      <c r="T18" s="52" t="s">
        <v>2833</v>
      </c>
    </row>
    <row r="19">
      <c r="A19" s="52" t="s">
        <v>2724</v>
      </c>
      <c r="B19" s="52" t="s">
        <v>2834</v>
      </c>
      <c r="C19" s="52" t="s">
        <v>1013</v>
      </c>
      <c r="D19" s="52" t="s">
        <v>41</v>
      </c>
      <c r="E19" s="52" t="s">
        <v>811</v>
      </c>
      <c r="F19" s="52" t="s">
        <v>1012</v>
      </c>
      <c r="G19" s="52" t="s">
        <v>2835</v>
      </c>
      <c r="H19" s="52" t="s">
        <v>162</v>
      </c>
      <c r="I19" s="52" t="s">
        <v>2836</v>
      </c>
      <c r="J19" s="52" t="s">
        <v>48</v>
      </c>
      <c r="K19" s="52" t="s">
        <v>428</v>
      </c>
      <c r="L19" s="52" t="s">
        <v>933</v>
      </c>
      <c r="M19" s="52" t="s">
        <v>2837</v>
      </c>
      <c r="N19" s="52" t="s">
        <v>935</v>
      </c>
      <c r="P19" s="52" t="s">
        <v>2729</v>
      </c>
      <c r="Q19" s="52" t="s">
        <v>2730</v>
      </c>
      <c r="R19" s="52" t="s">
        <v>2838</v>
      </c>
      <c r="S19" s="52" t="s">
        <v>2730</v>
      </c>
      <c r="T19" s="52" t="s">
        <v>2839</v>
      </c>
    </row>
    <row r="20">
      <c r="A20" s="52" t="s">
        <v>2724</v>
      </c>
      <c r="B20" s="52" t="s">
        <v>2840</v>
      </c>
      <c r="C20" s="52" t="s">
        <v>1013</v>
      </c>
      <c r="D20" s="52" t="s">
        <v>41</v>
      </c>
      <c r="E20" s="52" t="s">
        <v>811</v>
      </c>
      <c r="F20" s="52" t="s">
        <v>1012</v>
      </c>
      <c r="G20" s="52" t="s">
        <v>2841</v>
      </c>
      <c r="H20" s="52" t="s">
        <v>162</v>
      </c>
      <c r="I20" s="52" t="s">
        <v>2836</v>
      </c>
      <c r="J20" s="52" t="s">
        <v>48</v>
      </c>
      <c r="K20" s="52" t="s">
        <v>108</v>
      </c>
      <c r="L20" s="52" t="s">
        <v>2842</v>
      </c>
      <c r="M20" s="52" t="s">
        <v>2843</v>
      </c>
      <c r="N20" s="52" t="s">
        <v>2844</v>
      </c>
      <c r="P20" s="52" t="s">
        <v>2729</v>
      </c>
      <c r="Q20" s="52" t="s">
        <v>2730</v>
      </c>
      <c r="R20" s="52" t="s">
        <v>2845</v>
      </c>
      <c r="S20" s="52" t="s">
        <v>2730</v>
      </c>
      <c r="T20" s="52" t="s">
        <v>2846</v>
      </c>
    </row>
    <row r="21">
      <c r="A21" s="52" t="s">
        <v>2724</v>
      </c>
      <c r="B21" s="52" t="s">
        <v>2847</v>
      </c>
      <c r="C21" s="52" t="s">
        <v>1013</v>
      </c>
      <c r="D21" s="52" t="s">
        <v>41</v>
      </c>
      <c r="E21" s="52" t="s">
        <v>811</v>
      </c>
      <c r="F21" s="52" t="s">
        <v>1012</v>
      </c>
      <c r="G21" s="52" t="s">
        <v>2848</v>
      </c>
      <c r="H21" s="52" t="s">
        <v>162</v>
      </c>
      <c r="I21" s="52" t="s">
        <v>2836</v>
      </c>
      <c r="J21" s="52" t="s">
        <v>48</v>
      </c>
      <c r="K21" s="52" t="s">
        <v>49</v>
      </c>
      <c r="L21" s="52" t="s">
        <v>2851</v>
      </c>
      <c r="M21" s="52" t="s">
        <v>2852</v>
      </c>
      <c r="N21" s="52" t="s">
        <v>2853</v>
      </c>
      <c r="P21" s="52" t="s">
        <v>2729</v>
      </c>
      <c r="Q21" s="52" t="s">
        <v>2730</v>
      </c>
      <c r="R21" s="52" t="s">
        <v>2854</v>
      </c>
      <c r="S21" s="52" t="s">
        <v>2730</v>
      </c>
      <c r="T21" s="52" t="s">
        <v>2855</v>
      </c>
    </row>
    <row r="22">
      <c r="A22" s="52" t="s">
        <v>2724</v>
      </c>
      <c r="B22" s="52" t="s">
        <v>2856</v>
      </c>
      <c r="C22" s="52" t="s">
        <v>1024</v>
      </c>
      <c r="D22" s="52" t="s">
        <v>41</v>
      </c>
      <c r="E22" s="52" t="s">
        <v>811</v>
      </c>
      <c r="F22" s="52" t="s">
        <v>1023</v>
      </c>
      <c r="G22" s="52" t="s">
        <v>2857</v>
      </c>
      <c r="H22" s="52" t="s">
        <v>162</v>
      </c>
      <c r="I22" s="52" t="s">
        <v>2858</v>
      </c>
      <c r="J22" s="52" t="s">
        <v>48</v>
      </c>
      <c r="K22" s="52" t="s">
        <v>49</v>
      </c>
      <c r="L22" s="52" t="s">
        <v>941</v>
      </c>
      <c r="M22" s="52" t="s">
        <v>2860</v>
      </c>
      <c r="N22" s="52" t="s">
        <v>942</v>
      </c>
      <c r="O22" s="52" t="s">
        <v>2861</v>
      </c>
      <c r="P22" s="52" t="s">
        <v>2729</v>
      </c>
      <c r="Q22" s="52" t="s">
        <v>2730</v>
      </c>
      <c r="R22" s="52" t="s">
        <v>2862</v>
      </c>
      <c r="S22" s="52" t="s">
        <v>2730</v>
      </c>
      <c r="T22" s="52" t="s">
        <v>2864</v>
      </c>
    </row>
    <row r="23">
      <c r="A23" s="52" t="s">
        <v>2724</v>
      </c>
      <c r="B23" s="52" t="s">
        <v>2866</v>
      </c>
      <c r="C23" s="52" t="s">
        <v>1038</v>
      </c>
      <c r="D23" s="52" t="s">
        <v>41</v>
      </c>
      <c r="E23" s="52" t="s">
        <v>811</v>
      </c>
      <c r="F23" s="52" t="s">
        <v>2867</v>
      </c>
      <c r="G23" s="52" t="s">
        <v>2868</v>
      </c>
      <c r="H23" s="52" t="s">
        <v>162</v>
      </c>
      <c r="I23" s="52" t="s">
        <v>2869</v>
      </c>
      <c r="J23" s="52" t="s">
        <v>48</v>
      </c>
      <c r="K23" s="52" t="s">
        <v>108</v>
      </c>
      <c r="L23" s="52" t="s">
        <v>948</v>
      </c>
      <c r="M23" s="52" t="s">
        <v>2870</v>
      </c>
      <c r="N23" s="52" t="s">
        <v>949</v>
      </c>
      <c r="P23" s="52" t="s">
        <v>2729</v>
      </c>
      <c r="Q23" s="52" t="s">
        <v>2730</v>
      </c>
      <c r="R23" s="52" t="s">
        <v>2871</v>
      </c>
      <c r="S23" s="52" t="s">
        <v>2730</v>
      </c>
      <c r="T23" s="52" t="s">
        <v>2872</v>
      </c>
    </row>
    <row r="24">
      <c r="A24" s="52" t="s">
        <v>2724</v>
      </c>
      <c r="B24" s="52" t="s">
        <v>2873</v>
      </c>
      <c r="C24" s="52" t="s">
        <v>1038</v>
      </c>
      <c r="D24" s="52" t="s">
        <v>41</v>
      </c>
      <c r="E24" s="52" t="s">
        <v>811</v>
      </c>
      <c r="F24" s="52" t="s">
        <v>2867</v>
      </c>
      <c r="G24" s="52" t="s">
        <v>2874</v>
      </c>
      <c r="H24" s="52" t="s">
        <v>162</v>
      </c>
      <c r="I24" s="52" t="s">
        <v>2869</v>
      </c>
      <c r="J24" s="52" t="s">
        <v>48</v>
      </c>
      <c r="K24" s="52" t="s">
        <v>49</v>
      </c>
      <c r="L24" s="52" t="s">
        <v>954</v>
      </c>
      <c r="M24" s="52" t="s">
        <v>2875</v>
      </c>
      <c r="N24" s="52" t="s">
        <v>2876</v>
      </c>
      <c r="P24" s="52" t="s">
        <v>2729</v>
      </c>
      <c r="Q24" s="52" t="s">
        <v>2730</v>
      </c>
      <c r="R24" s="52" t="s">
        <v>2871</v>
      </c>
      <c r="S24" s="52" t="s">
        <v>2730</v>
      </c>
      <c r="T24" s="52" t="s">
        <v>2872</v>
      </c>
    </row>
    <row r="25">
      <c r="A25" s="52" t="s">
        <v>2724</v>
      </c>
      <c r="B25" s="52" t="s">
        <v>2877</v>
      </c>
      <c r="C25" s="52" t="s">
        <v>1038</v>
      </c>
      <c r="D25" s="52" t="s">
        <v>41</v>
      </c>
      <c r="E25" s="52" t="s">
        <v>811</v>
      </c>
      <c r="F25" s="52" t="s">
        <v>2867</v>
      </c>
      <c r="G25" s="52" t="s">
        <v>2878</v>
      </c>
      <c r="H25" s="52" t="s">
        <v>162</v>
      </c>
      <c r="I25" s="52" t="s">
        <v>2869</v>
      </c>
      <c r="J25" s="52" t="s">
        <v>48</v>
      </c>
      <c r="K25" s="52" t="s">
        <v>49</v>
      </c>
      <c r="L25" s="52" t="s">
        <v>961</v>
      </c>
      <c r="M25" s="52" t="s">
        <v>2881</v>
      </c>
      <c r="N25" s="52" t="s">
        <v>962</v>
      </c>
      <c r="P25" s="52" t="s">
        <v>2729</v>
      </c>
      <c r="Q25" s="52" t="s">
        <v>2730</v>
      </c>
      <c r="R25" s="52" t="s">
        <v>2882</v>
      </c>
      <c r="S25" s="52" t="s">
        <v>2730</v>
      </c>
      <c r="T25" s="52" t="s">
        <v>2883</v>
      </c>
    </row>
    <row r="26">
      <c r="A26" s="52" t="s">
        <v>2724</v>
      </c>
      <c r="B26" s="52" t="s">
        <v>2884</v>
      </c>
      <c r="C26" s="52" t="s">
        <v>1038</v>
      </c>
      <c r="D26" s="52" t="s">
        <v>41</v>
      </c>
      <c r="E26" s="52" t="s">
        <v>811</v>
      </c>
      <c r="F26" s="52" t="s">
        <v>2867</v>
      </c>
      <c r="G26" s="52" t="s">
        <v>2885</v>
      </c>
      <c r="H26" s="52" t="s">
        <v>162</v>
      </c>
      <c r="I26" s="52" t="s">
        <v>2869</v>
      </c>
      <c r="J26" s="52" t="s">
        <v>48</v>
      </c>
      <c r="K26" s="52" t="s">
        <v>49</v>
      </c>
      <c r="L26" s="52" t="s">
        <v>965</v>
      </c>
      <c r="M26" s="52" t="s">
        <v>2886</v>
      </c>
      <c r="N26" s="52" t="s">
        <v>966</v>
      </c>
      <c r="P26" s="52" t="s">
        <v>2729</v>
      </c>
      <c r="Q26" s="52" t="s">
        <v>2730</v>
      </c>
      <c r="R26" s="52" t="s">
        <v>2887</v>
      </c>
      <c r="S26" s="52" t="s">
        <v>2730</v>
      </c>
      <c r="T26" s="52" t="s">
        <v>2888</v>
      </c>
    </row>
    <row r="27">
      <c r="A27" s="52" t="s">
        <v>2724</v>
      </c>
      <c r="B27" s="52" t="s">
        <v>2889</v>
      </c>
      <c r="C27" s="52" t="s">
        <v>1038</v>
      </c>
      <c r="D27" s="52" t="s">
        <v>41</v>
      </c>
      <c r="E27" s="52" t="s">
        <v>811</v>
      </c>
      <c r="F27" s="52" t="s">
        <v>2867</v>
      </c>
      <c r="G27" s="52" t="s">
        <v>2891</v>
      </c>
      <c r="H27" s="52" t="s">
        <v>162</v>
      </c>
      <c r="I27" s="52" t="s">
        <v>2869</v>
      </c>
      <c r="J27" s="52" t="s">
        <v>48</v>
      </c>
      <c r="K27" s="52" t="s">
        <v>49</v>
      </c>
      <c r="L27" s="52" t="s">
        <v>973</v>
      </c>
      <c r="M27" s="52" t="s">
        <v>2892</v>
      </c>
      <c r="N27" s="52" t="s">
        <v>974</v>
      </c>
      <c r="P27" s="52" t="s">
        <v>2729</v>
      </c>
      <c r="Q27" s="52" t="s">
        <v>2730</v>
      </c>
      <c r="R27" s="52" t="s">
        <v>2893</v>
      </c>
      <c r="S27" s="52" t="s">
        <v>2730</v>
      </c>
      <c r="T27" s="52" t="s">
        <v>2896</v>
      </c>
    </row>
    <row r="28">
      <c r="A28" s="52" t="s">
        <v>2724</v>
      </c>
      <c r="B28" s="52" t="s">
        <v>2897</v>
      </c>
      <c r="C28" s="52" t="s">
        <v>1038</v>
      </c>
      <c r="D28" s="52" t="s">
        <v>41</v>
      </c>
      <c r="E28" s="52" t="s">
        <v>811</v>
      </c>
      <c r="F28" s="52" t="s">
        <v>2867</v>
      </c>
      <c r="G28" s="52" t="s">
        <v>2898</v>
      </c>
      <c r="H28" s="52" t="s">
        <v>162</v>
      </c>
      <c r="I28" s="52" t="s">
        <v>2869</v>
      </c>
      <c r="J28" s="52" t="s">
        <v>48</v>
      </c>
      <c r="K28" s="52" t="s">
        <v>49</v>
      </c>
      <c r="L28" s="52" t="s">
        <v>978</v>
      </c>
      <c r="M28" s="52" t="s">
        <v>2899</v>
      </c>
      <c r="N28" s="52" t="s">
        <v>979</v>
      </c>
      <c r="P28" s="52" t="s">
        <v>2729</v>
      </c>
      <c r="Q28" s="52" t="s">
        <v>2730</v>
      </c>
      <c r="R28" s="52" t="s">
        <v>2900</v>
      </c>
      <c r="S28" s="52" t="s">
        <v>2730</v>
      </c>
      <c r="T28" s="52" t="s">
        <v>2901</v>
      </c>
    </row>
    <row r="29">
      <c r="A29" s="52" t="s">
        <v>2724</v>
      </c>
      <c r="B29" s="52" t="s">
        <v>2902</v>
      </c>
      <c r="C29" s="52" t="s">
        <v>1038</v>
      </c>
      <c r="D29" s="52" t="s">
        <v>41</v>
      </c>
      <c r="E29" s="52" t="s">
        <v>811</v>
      </c>
      <c r="F29" s="52" t="s">
        <v>2867</v>
      </c>
      <c r="G29" s="52" t="s">
        <v>2905</v>
      </c>
      <c r="H29" s="52" t="s">
        <v>162</v>
      </c>
      <c r="I29" s="52" t="s">
        <v>2869</v>
      </c>
      <c r="J29" s="52" t="s">
        <v>48</v>
      </c>
      <c r="K29" s="52" t="s">
        <v>49</v>
      </c>
      <c r="L29" s="52" t="s">
        <v>984</v>
      </c>
      <c r="M29" s="52" t="s">
        <v>2906</v>
      </c>
      <c r="N29" s="52" t="s">
        <v>985</v>
      </c>
      <c r="P29" s="52" t="s">
        <v>2729</v>
      </c>
      <c r="Q29" s="52" t="s">
        <v>2730</v>
      </c>
      <c r="R29" s="52" t="s">
        <v>2907</v>
      </c>
      <c r="S29" s="52" t="s">
        <v>2730</v>
      </c>
      <c r="T29" s="52" t="s">
        <v>2908</v>
      </c>
    </row>
    <row r="30">
      <c r="A30" s="52" t="s">
        <v>2724</v>
      </c>
      <c r="B30" s="52" t="s">
        <v>2909</v>
      </c>
      <c r="C30" s="52" t="s">
        <v>1046</v>
      </c>
      <c r="D30" s="52" t="s">
        <v>41</v>
      </c>
      <c r="E30" s="52" t="s">
        <v>811</v>
      </c>
      <c r="F30" s="52" t="s">
        <v>1044</v>
      </c>
      <c r="G30" s="52" t="s">
        <v>2910</v>
      </c>
      <c r="H30" s="52" t="s">
        <v>162</v>
      </c>
      <c r="I30" s="52" t="s">
        <v>2911</v>
      </c>
      <c r="J30" s="52" t="s">
        <v>48</v>
      </c>
      <c r="K30" s="52" t="s">
        <v>49</v>
      </c>
      <c r="L30" s="52" t="s">
        <v>990</v>
      </c>
      <c r="M30" s="52" t="s">
        <v>2912</v>
      </c>
      <c r="N30" s="52" t="s">
        <v>991</v>
      </c>
      <c r="O30" s="52" t="s">
        <v>2913</v>
      </c>
      <c r="P30" s="52" t="s">
        <v>2729</v>
      </c>
      <c r="Q30" s="52" t="s">
        <v>2730</v>
      </c>
      <c r="R30" s="52" t="s">
        <v>2914</v>
      </c>
      <c r="S30" s="52" t="s">
        <v>2730</v>
      </c>
      <c r="T30" s="52" t="s">
        <v>2915</v>
      </c>
    </row>
    <row r="31">
      <c r="A31" s="52" t="s">
        <v>2724</v>
      </c>
      <c r="B31" s="52" t="s">
        <v>2916</v>
      </c>
      <c r="C31" s="52" t="s">
        <v>1056</v>
      </c>
      <c r="D31" s="52" t="s">
        <v>41</v>
      </c>
      <c r="E31" s="52" t="s">
        <v>811</v>
      </c>
      <c r="F31" s="52" t="s">
        <v>1055</v>
      </c>
      <c r="G31" s="52" t="s">
        <v>2917</v>
      </c>
      <c r="H31" s="52" t="s">
        <v>162</v>
      </c>
      <c r="I31" s="52" t="s">
        <v>2918</v>
      </c>
      <c r="J31" s="52" t="s">
        <v>48</v>
      </c>
      <c r="K31" s="52" t="s">
        <v>49</v>
      </c>
      <c r="L31" s="52" t="s">
        <v>396</v>
      </c>
      <c r="M31" s="52" t="s">
        <v>2919</v>
      </c>
      <c r="N31" s="52" t="s">
        <v>998</v>
      </c>
      <c r="P31" s="52" t="s">
        <v>2729</v>
      </c>
      <c r="Q31" s="52" t="s">
        <v>2730</v>
      </c>
      <c r="R31" s="52" t="s">
        <v>2920</v>
      </c>
      <c r="S31" s="52" t="s">
        <v>2730</v>
      </c>
      <c r="T31" s="52" t="s">
        <v>2921</v>
      </c>
    </row>
    <row r="32">
      <c r="A32" s="52" t="s">
        <v>2724</v>
      </c>
      <c r="B32" s="52" t="s">
        <v>2922</v>
      </c>
      <c r="C32" s="52" t="s">
        <v>1069</v>
      </c>
      <c r="D32" s="52" t="s">
        <v>41</v>
      </c>
      <c r="E32" s="52" t="s">
        <v>811</v>
      </c>
      <c r="F32" s="52" t="s">
        <v>1065</v>
      </c>
      <c r="G32" s="52" t="s">
        <v>2923</v>
      </c>
      <c r="H32" s="52" t="s">
        <v>162</v>
      </c>
      <c r="I32" s="52" t="s">
        <v>2924</v>
      </c>
      <c r="J32" s="52" t="s">
        <v>48</v>
      </c>
      <c r="K32" s="52" t="s">
        <v>49</v>
      </c>
      <c r="L32" s="52" t="s">
        <v>1003</v>
      </c>
      <c r="M32" s="52" t="s">
        <v>2925</v>
      </c>
      <c r="N32" s="52" t="s">
        <v>1004</v>
      </c>
      <c r="P32" s="52" t="s">
        <v>2729</v>
      </c>
      <c r="Q32" s="52" t="s">
        <v>2730</v>
      </c>
      <c r="R32" s="52" t="s">
        <v>2927</v>
      </c>
      <c r="S32" s="52" t="s">
        <v>2730</v>
      </c>
      <c r="T32" s="52" t="s">
        <v>2928</v>
      </c>
    </row>
    <row r="33">
      <c r="A33" s="52" t="s">
        <v>2724</v>
      </c>
      <c r="B33" s="52" t="s">
        <v>2929</v>
      </c>
      <c r="C33" s="52" t="s">
        <v>1078</v>
      </c>
      <c r="D33" s="52" t="s">
        <v>41</v>
      </c>
      <c r="E33" s="52" t="s">
        <v>811</v>
      </c>
      <c r="F33" s="52" t="s">
        <v>1075</v>
      </c>
      <c r="G33" s="52" t="s">
        <v>2930</v>
      </c>
      <c r="H33" s="52" t="s">
        <v>162</v>
      </c>
      <c r="I33" s="52" t="s">
        <v>2931</v>
      </c>
      <c r="J33" s="52" t="s">
        <v>48</v>
      </c>
      <c r="K33" s="52" t="s">
        <v>49</v>
      </c>
      <c r="L33" s="52" t="s">
        <v>1010</v>
      </c>
      <c r="M33" s="52" t="s">
        <v>2935</v>
      </c>
      <c r="N33" s="52" t="s">
        <v>1011</v>
      </c>
      <c r="P33" s="52" t="s">
        <v>2729</v>
      </c>
      <c r="Q33" s="52" t="s">
        <v>2730</v>
      </c>
      <c r="R33" s="52" t="s">
        <v>2937</v>
      </c>
      <c r="S33" s="52" t="s">
        <v>2730</v>
      </c>
      <c r="T33" s="52" t="s">
        <v>2938</v>
      </c>
    </row>
    <row r="34">
      <c r="A34" s="52" t="s">
        <v>2724</v>
      </c>
      <c r="B34" s="52" t="s">
        <v>2939</v>
      </c>
      <c r="C34" s="52" t="s">
        <v>1078</v>
      </c>
      <c r="D34" s="52" t="s">
        <v>41</v>
      </c>
      <c r="E34" s="52" t="s">
        <v>811</v>
      </c>
      <c r="F34" s="52" t="s">
        <v>1075</v>
      </c>
      <c r="G34" s="52" t="s">
        <v>2940</v>
      </c>
      <c r="H34" s="52" t="s">
        <v>162</v>
      </c>
      <c r="I34" s="52" t="s">
        <v>2931</v>
      </c>
      <c r="J34" s="52" t="s">
        <v>48</v>
      </c>
      <c r="K34" s="52" t="s">
        <v>49</v>
      </c>
      <c r="L34" s="52" t="s">
        <v>1017</v>
      </c>
      <c r="M34" s="52" t="s">
        <v>2941</v>
      </c>
      <c r="N34" s="52" t="s">
        <v>1018</v>
      </c>
      <c r="P34" s="52" t="s">
        <v>2729</v>
      </c>
      <c r="Q34" s="52" t="s">
        <v>2730</v>
      </c>
      <c r="R34" s="52" t="s">
        <v>2942</v>
      </c>
      <c r="S34" s="52" t="s">
        <v>2730</v>
      </c>
      <c r="T34" s="52" t="s">
        <v>2943</v>
      </c>
    </row>
    <row r="35">
      <c r="A35" s="52" t="s">
        <v>2724</v>
      </c>
      <c r="B35" s="52" t="s">
        <v>2944</v>
      </c>
      <c r="C35" s="52" t="s">
        <v>1078</v>
      </c>
      <c r="D35" s="52" t="s">
        <v>41</v>
      </c>
      <c r="E35" s="52" t="s">
        <v>811</v>
      </c>
      <c r="F35" s="52" t="s">
        <v>1075</v>
      </c>
      <c r="G35" s="52" t="s">
        <v>2945</v>
      </c>
      <c r="H35" s="52" t="s">
        <v>162</v>
      </c>
      <c r="I35" s="52" t="s">
        <v>2931</v>
      </c>
      <c r="J35" s="52" t="s">
        <v>48</v>
      </c>
      <c r="K35" s="52" t="s">
        <v>49</v>
      </c>
      <c r="L35" s="52" t="s">
        <v>1021</v>
      </c>
      <c r="M35" s="52" t="s">
        <v>2946</v>
      </c>
      <c r="N35" s="52" t="s">
        <v>1022</v>
      </c>
      <c r="P35" s="52" t="s">
        <v>2729</v>
      </c>
      <c r="Q35" s="52" t="s">
        <v>2730</v>
      </c>
      <c r="R35" s="52" t="s">
        <v>2942</v>
      </c>
      <c r="S35" s="52" t="s">
        <v>2730</v>
      </c>
      <c r="T35" s="52" t="s">
        <v>2947</v>
      </c>
    </row>
    <row r="36">
      <c r="A36" s="52" t="s">
        <v>2724</v>
      </c>
      <c r="B36" s="52" t="s">
        <v>2948</v>
      </c>
      <c r="C36" s="52" t="s">
        <v>1091</v>
      </c>
      <c r="D36" s="52" t="s">
        <v>41</v>
      </c>
      <c r="E36" s="52" t="s">
        <v>811</v>
      </c>
      <c r="F36" s="52" t="s">
        <v>1088</v>
      </c>
      <c r="G36" s="52" t="s">
        <v>2949</v>
      </c>
      <c r="H36" s="52" t="s">
        <v>162</v>
      </c>
      <c r="I36" s="52" t="s">
        <v>2950</v>
      </c>
      <c r="J36" s="52" t="s">
        <v>48</v>
      </c>
      <c r="K36" s="52" t="s">
        <v>49</v>
      </c>
      <c r="L36" s="52" t="s">
        <v>1029</v>
      </c>
      <c r="M36" s="52" t="s">
        <v>2951</v>
      </c>
      <c r="N36" s="52" t="s">
        <v>2952</v>
      </c>
      <c r="P36" s="52" t="s">
        <v>2729</v>
      </c>
      <c r="Q36" s="52" t="s">
        <v>2730</v>
      </c>
      <c r="R36" s="52" t="s">
        <v>2953</v>
      </c>
      <c r="S36" s="52" t="s">
        <v>2730</v>
      </c>
      <c r="T36" s="52" t="s">
        <v>2954</v>
      </c>
    </row>
    <row r="37">
      <c r="A37" s="52" t="s">
        <v>2724</v>
      </c>
      <c r="B37" s="52" t="s">
        <v>2955</v>
      </c>
      <c r="C37" s="52" t="s">
        <v>1098</v>
      </c>
      <c r="D37" s="52" t="s">
        <v>41</v>
      </c>
      <c r="E37" s="52" t="s">
        <v>811</v>
      </c>
      <c r="F37" s="52" t="s">
        <v>1097</v>
      </c>
      <c r="G37" s="52" t="s">
        <v>2958</v>
      </c>
      <c r="H37" s="52" t="s">
        <v>162</v>
      </c>
      <c r="I37" s="52" t="s">
        <v>2959</v>
      </c>
      <c r="J37" s="52" t="s">
        <v>48</v>
      </c>
      <c r="K37" s="52" t="s">
        <v>108</v>
      </c>
      <c r="L37" s="52" t="s">
        <v>1036</v>
      </c>
      <c r="M37" s="52" t="s">
        <v>2960</v>
      </c>
      <c r="N37" s="52" t="s">
        <v>1037</v>
      </c>
      <c r="P37" s="52" t="s">
        <v>2729</v>
      </c>
      <c r="Q37" s="52" t="s">
        <v>2730</v>
      </c>
      <c r="R37" s="52" t="s">
        <v>2737</v>
      </c>
      <c r="S37" s="52" t="s">
        <v>2730</v>
      </c>
      <c r="T37" s="52" t="s">
        <v>2961</v>
      </c>
    </row>
    <row r="38">
      <c r="A38" s="52" t="s">
        <v>2724</v>
      </c>
      <c r="B38" s="52" t="s">
        <v>2962</v>
      </c>
      <c r="C38" s="52" t="s">
        <v>1098</v>
      </c>
      <c r="D38" s="52" t="s">
        <v>41</v>
      </c>
      <c r="E38" s="52" t="s">
        <v>811</v>
      </c>
      <c r="F38" s="52" t="s">
        <v>1097</v>
      </c>
      <c r="G38" s="52" t="s">
        <v>2963</v>
      </c>
      <c r="H38" s="52" t="s">
        <v>162</v>
      </c>
      <c r="I38" s="52" t="s">
        <v>2959</v>
      </c>
      <c r="J38" s="52" t="s">
        <v>48</v>
      </c>
      <c r="K38" s="52" t="s">
        <v>428</v>
      </c>
      <c r="L38" s="52" t="s">
        <v>1042</v>
      </c>
      <c r="M38" s="52" t="s">
        <v>2964</v>
      </c>
      <c r="N38" s="52" t="s">
        <v>1043</v>
      </c>
      <c r="P38" s="52" t="s">
        <v>2729</v>
      </c>
      <c r="Q38" s="52" t="s">
        <v>2730</v>
      </c>
      <c r="R38" s="52" t="s">
        <v>2965</v>
      </c>
      <c r="S38" s="52" t="s">
        <v>2730</v>
      </c>
      <c r="T38" s="52" t="s">
        <v>2966</v>
      </c>
    </row>
    <row r="39">
      <c r="A39" s="52" t="s">
        <v>2724</v>
      </c>
      <c r="B39" s="52" t="s">
        <v>2967</v>
      </c>
      <c r="C39" s="52" t="s">
        <v>1098</v>
      </c>
      <c r="D39" s="52" t="s">
        <v>41</v>
      </c>
      <c r="E39" s="52" t="s">
        <v>811</v>
      </c>
      <c r="F39" s="52" t="s">
        <v>1097</v>
      </c>
      <c r="G39" s="52" t="s">
        <v>2968</v>
      </c>
      <c r="H39" s="52" t="s">
        <v>162</v>
      </c>
      <c r="I39" s="52" t="s">
        <v>2959</v>
      </c>
      <c r="J39" s="52" t="s">
        <v>48</v>
      </c>
      <c r="K39" s="52" t="s">
        <v>428</v>
      </c>
      <c r="L39" s="52" t="s">
        <v>1049</v>
      </c>
      <c r="M39" s="52" t="s">
        <v>2970</v>
      </c>
      <c r="N39" s="52" t="s">
        <v>1050</v>
      </c>
      <c r="P39" s="52" t="s">
        <v>2729</v>
      </c>
      <c r="Q39" s="52" t="s">
        <v>2730</v>
      </c>
      <c r="R39" s="52" t="s">
        <v>2971</v>
      </c>
      <c r="S39" s="52" t="s">
        <v>2730</v>
      </c>
      <c r="T39" s="52" t="s">
        <v>2972</v>
      </c>
    </row>
    <row r="40">
      <c r="A40" s="52" t="s">
        <v>2724</v>
      </c>
      <c r="B40" s="52" t="s">
        <v>2973</v>
      </c>
      <c r="C40" s="52" t="s">
        <v>1098</v>
      </c>
      <c r="D40" s="52" t="s">
        <v>41</v>
      </c>
      <c r="E40" s="52" t="s">
        <v>811</v>
      </c>
      <c r="F40" s="52" t="s">
        <v>1097</v>
      </c>
      <c r="G40" s="52" t="s">
        <v>2974</v>
      </c>
      <c r="H40" s="52" t="s">
        <v>162</v>
      </c>
      <c r="I40" s="52" t="s">
        <v>2959</v>
      </c>
      <c r="J40" s="52" t="s">
        <v>48</v>
      </c>
      <c r="K40" s="52" t="s">
        <v>49</v>
      </c>
      <c r="L40" s="52" t="s">
        <v>1053</v>
      </c>
      <c r="M40" s="52" t="s">
        <v>2975</v>
      </c>
      <c r="N40" s="52" t="s">
        <v>1050</v>
      </c>
      <c r="P40" s="52" t="s">
        <v>2729</v>
      </c>
      <c r="Q40" s="52" t="s">
        <v>2730</v>
      </c>
      <c r="R40" s="52" t="s">
        <v>2977</v>
      </c>
      <c r="S40" s="52" t="s">
        <v>2730</v>
      </c>
      <c r="T40" s="52" t="s">
        <v>2979</v>
      </c>
    </row>
    <row r="41">
      <c r="A41" s="52" t="s">
        <v>2724</v>
      </c>
      <c r="B41" s="52" t="s">
        <v>2980</v>
      </c>
      <c r="C41" s="52" t="s">
        <v>1112</v>
      </c>
      <c r="D41" s="52" t="s">
        <v>41</v>
      </c>
      <c r="E41" s="52" t="s">
        <v>811</v>
      </c>
      <c r="F41" s="52" t="s">
        <v>1111</v>
      </c>
      <c r="G41" s="52" t="s">
        <v>2981</v>
      </c>
      <c r="H41" s="52" t="s">
        <v>162</v>
      </c>
      <c r="I41" s="52" t="s">
        <v>2982</v>
      </c>
      <c r="J41" s="52" t="s">
        <v>48</v>
      </c>
      <c r="K41" s="52" t="s">
        <v>428</v>
      </c>
      <c r="L41" s="52" t="s">
        <v>1061</v>
      </c>
      <c r="M41" s="52" t="s">
        <v>2983</v>
      </c>
      <c r="N41" s="52" t="s">
        <v>2984</v>
      </c>
      <c r="P41" s="52" t="s">
        <v>2729</v>
      </c>
      <c r="Q41" s="52" t="s">
        <v>2730</v>
      </c>
      <c r="R41" s="52" t="s">
        <v>2987</v>
      </c>
      <c r="S41" s="52" t="s">
        <v>2730</v>
      </c>
      <c r="T41" s="52" t="s">
        <v>2988</v>
      </c>
    </row>
    <row r="42">
      <c r="A42" s="52" t="s">
        <v>2724</v>
      </c>
      <c r="B42" s="52" t="s">
        <v>2989</v>
      </c>
      <c r="C42" s="52" t="s">
        <v>1125</v>
      </c>
      <c r="D42" s="52" t="s">
        <v>41</v>
      </c>
      <c r="E42" s="52" t="s">
        <v>811</v>
      </c>
      <c r="F42" s="52" t="s">
        <v>1121</v>
      </c>
      <c r="G42" s="52" t="s">
        <v>2990</v>
      </c>
      <c r="H42" s="52" t="s">
        <v>162</v>
      </c>
      <c r="I42" s="52" t="s">
        <v>2991</v>
      </c>
      <c r="J42" s="52" t="s">
        <v>48</v>
      </c>
      <c r="K42" s="52" t="s">
        <v>428</v>
      </c>
      <c r="L42" s="52" t="s">
        <v>1067</v>
      </c>
      <c r="M42" s="52" t="s">
        <v>2992</v>
      </c>
      <c r="N42" s="52" t="s">
        <v>1068</v>
      </c>
      <c r="P42" s="52" t="s">
        <v>2729</v>
      </c>
      <c r="Q42" s="52" t="s">
        <v>2730</v>
      </c>
      <c r="R42" s="52" t="s">
        <v>2993</v>
      </c>
      <c r="S42" s="52" t="s">
        <v>2730</v>
      </c>
      <c r="T42" s="52" t="s">
        <v>2994</v>
      </c>
    </row>
    <row r="43">
      <c r="A43" s="52" t="s">
        <v>2724</v>
      </c>
      <c r="B43" s="52" t="s">
        <v>2995</v>
      </c>
      <c r="C43" s="52" t="s">
        <v>1125</v>
      </c>
      <c r="D43" s="52" t="s">
        <v>41</v>
      </c>
      <c r="E43" s="52" t="s">
        <v>811</v>
      </c>
      <c r="F43" s="52" t="s">
        <v>1121</v>
      </c>
      <c r="G43" s="52" t="s">
        <v>2996</v>
      </c>
      <c r="H43" s="52" t="s">
        <v>162</v>
      </c>
      <c r="I43" s="52" t="s">
        <v>2991</v>
      </c>
      <c r="J43" s="52" t="s">
        <v>48</v>
      </c>
      <c r="K43" s="52" t="s">
        <v>49</v>
      </c>
      <c r="L43" s="52" t="s">
        <v>1073</v>
      </c>
      <c r="M43" s="52" t="s">
        <v>2997</v>
      </c>
      <c r="N43" s="52" t="s">
        <v>1074</v>
      </c>
      <c r="P43" s="52" t="s">
        <v>2729</v>
      </c>
      <c r="Q43" s="52" t="s">
        <v>2730</v>
      </c>
      <c r="R43" s="52" t="s">
        <v>2993</v>
      </c>
      <c r="S43" s="52" t="s">
        <v>2730</v>
      </c>
      <c r="T43" s="52" t="s">
        <v>2998</v>
      </c>
    </row>
    <row r="44">
      <c r="A44" s="52" t="s">
        <v>2724</v>
      </c>
      <c r="B44" s="52" t="s">
        <v>2999</v>
      </c>
      <c r="C44" s="52" t="s">
        <v>1137</v>
      </c>
      <c r="D44" s="52" t="s">
        <v>41</v>
      </c>
      <c r="E44" s="52" t="s">
        <v>811</v>
      </c>
      <c r="F44" s="52" t="s">
        <v>1134</v>
      </c>
      <c r="G44" s="52" t="s">
        <v>3000</v>
      </c>
      <c r="H44" s="52" t="s">
        <v>162</v>
      </c>
      <c r="I44" s="52" t="s">
        <v>3001</v>
      </c>
      <c r="J44" s="52" t="s">
        <v>48</v>
      </c>
      <c r="K44" s="52" t="s">
        <v>49</v>
      </c>
      <c r="L44" s="52" t="s">
        <v>1081</v>
      </c>
      <c r="M44" s="52" t="s">
        <v>3002</v>
      </c>
      <c r="N44" s="52" t="s">
        <v>1082</v>
      </c>
      <c r="O44" s="52" t="s">
        <v>3003</v>
      </c>
      <c r="P44" s="52" t="s">
        <v>2729</v>
      </c>
      <c r="Q44" s="52" t="s">
        <v>2730</v>
      </c>
      <c r="R44" s="52" t="s">
        <v>3004</v>
      </c>
      <c r="S44" s="52" t="s">
        <v>2730</v>
      </c>
      <c r="T44" s="52" t="s">
        <v>3005</v>
      </c>
    </row>
    <row r="45">
      <c r="A45" s="52" t="s">
        <v>2724</v>
      </c>
      <c r="B45" s="52" t="s">
        <v>3006</v>
      </c>
      <c r="C45" s="52" t="s">
        <v>1137</v>
      </c>
      <c r="D45" s="52" t="s">
        <v>41</v>
      </c>
      <c r="E45" s="52" t="s">
        <v>811</v>
      </c>
      <c r="F45" s="52" t="s">
        <v>1134</v>
      </c>
      <c r="G45" s="52" t="s">
        <v>3007</v>
      </c>
      <c r="H45" s="52" t="s">
        <v>162</v>
      </c>
      <c r="I45" s="52" t="s">
        <v>3001</v>
      </c>
      <c r="J45" s="52" t="s">
        <v>48</v>
      </c>
      <c r="K45" s="52" t="s">
        <v>108</v>
      </c>
      <c r="L45" s="52" t="s">
        <v>1086</v>
      </c>
      <c r="M45" s="52" t="s">
        <v>3008</v>
      </c>
      <c r="N45" s="52" t="s">
        <v>1087</v>
      </c>
      <c r="O45" s="52" t="s">
        <v>3003</v>
      </c>
      <c r="P45" s="52" t="s">
        <v>2729</v>
      </c>
      <c r="Q45" s="52" t="s">
        <v>2730</v>
      </c>
      <c r="R45" s="52" t="s">
        <v>3009</v>
      </c>
      <c r="S45" s="52" t="s">
        <v>2730</v>
      </c>
      <c r="T45" s="52" t="s">
        <v>3010</v>
      </c>
    </row>
    <row r="46">
      <c r="A46" s="52" t="s">
        <v>2724</v>
      </c>
      <c r="B46" s="52" t="s">
        <v>3011</v>
      </c>
      <c r="C46" s="52" t="s">
        <v>1144</v>
      </c>
      <c r="D46" s="52" t="s">
        <v>41</v>
      </c>
      <c r="E46" s="52" t="s">
        <v>811</v>
      </c>
      <c r="F46" s="52" t="s">
        <v>1143</v>
      </c>
      <c r="G46" s="52" t="s">
        <v>3013</v>
      </c>
      <c r="H46" s="52" t="s">
        <v>162</v>
      </c>
      <c r="I46" s="52" t="s">
        <v>3014</v>
      </c>
      <c r="J46" s="52" t="s">
        <v>48</v>
      </c>
      <c r="K46" s="52" t="s">
        <v>49</v>
      </c>
      <c r="L46" s="52" t="s">
        <v>1094</v>
      </c>
      <c r="M46" s="52" t="s">
        <v>3015</v>
      </c>
      <c r="N46" s="52" t="s">
        <v>1095</v>
      </c>
      <c r="P46" s="52" t="s">
        <v>2729</v>
      </c>
      <c r="Q46" s="52" t="s">
        <v>2730</v>
      </c>
      <c r="R46" s="52" t="s">
        <v>3017</v>
      </c>
      <c r="S46" s="52" t="s">
        <v>2730</v>
      </c>
      <c r="T46" s="52" t="s">
        <v>3018</v>
      </c>
    </row>
    <row r="47">
      <c r="A47" s="52" t="s">
        <v>2724</v>
      </c>
      <c r="B47" s="52" t="s">
        <v>3019</v>
      </c>
      <c r="C47" s="52" t="s">
        <v>1156</v>
      </c>
      <c r="D47" s="52" t="s">
        <v>41</v>
      </c>
      <c r="E47" s="52" t="s">
        <v>811</v>
      </c>
      <c r="F47" s="52" t="s">
        <v>1155</v>
      </c>
      <c r="G47" s="52" t="s">
        <v>3021</v>
      </c>
      <c r="H47" s="52" t="s">
        <v>162</v>
      </c>
      <c r="I47" s="52" t="s">
        <v>3022</v>
      </c>
      <c r="J47" s="52" t="s">
        <v>48</v>
      </c>
      <c r="K47" s="52" t="s">
        <v>49</v>
      </c>
      <c r="L47" s="52" t="s">
        <v>1103</v>
      </c>
      <c r="M47" s="52" t="s">
        <v>3025</v>
      </c>
      <c r="N47" s="52" t="s">
        <v>3026</v>
      </c>
      <c r="P47" s="52" t="s">
        <v>2729</v>
      </c>
      <c r="Q47" s="52" t="s">
        <v>2730</v>
      </c>
      <c r="R47" s="52" t="s">
        <v>3027</v>
      </c>
      <c r="S47" s="52" t="s">
        <v>2730</v>
      </c>
      <c r="T47" s="52" t="s">
        <v>3028</v>
      </c>
    </row>
    <row r="48">
      <c r="A48" s="52" t="s">
        <v>2724</v>
      </c>
      <c r="B48" s="52" t="s">
        <v>3029</v>
      </c>
      <c r="C48" s="52" t="s">
        <v>1156</v>
      </c>
      <c r="D48" s="52" t="s">
        <v>41</v>
      </c>
      <c r="E48" s="52" t="s">
        <v>811</v>
      </c>
      <c r="F48" s="52" t="s">
        <v>1155</v>
      </c>
      <c r="G48" s="52" t="s">
        <v>3030</v>
      </c>
      <c r="H48" s="52" t="s">
        <v>162</v>
      </c>
      <c r="I48" s="52" t="s">
        <v>3022</v>
      </c>
      <c r="J48" s="52" t="s">
        <v>48</v>
      </c>
      <c r="K48" s="52" t="s">
        <v>108</v>
      </c>
      <c r="L48" s="52" t="s">
        <v>1108</v>
      </c>
      <c r="M48" s="52" t="s">
        <v>3031</v>
      </c>
      <c r="N48" s="52" t="s">
        <v>1109</v>
      </c>
      <c r="P48" s="52" t="s">
        <v>2729</v>
      </c>
      <c r="Q48" s="52" t="s">
        <v>2730</v>
      </c>
      <c r="R48" s="52" t="s">
        <v>3032</v>
      </c>
      <c r="S48" s="52" t="s">
        <v>2730</v>
      </c>
      <c r="T48" s="52" t="s">
        <v>3033</v>
      </c>
    </row>
    <row r="49">
      <c r="A49" s="52" t="s">
        <v>2724</v>
      </c>
      <c r="B49" s="52" t="s">
        <v>3034</v>
      </c>
      <c r="C49" s="52" t="s">
        <v>1156</v>
      </c>
      <c r="D49" s="52" t="s">
        <v>41</v>
      </c>
      <c r="E49" s="52" t="s">
        <v>811</v>
      </c>
      <c r="F49" s="52" t="s">
        <v>1155</v>
      </c>
      <c r="G49" s="52" t="s">
        <v>3035</v>
      </c>
      <c r="H49" s="52" t="s">
        <v>162</v>
      </c>
      <c r="I49" s="52" t="s">
        <v>3022</v>
      </c>
      <c r="J49" s="52" t="s">
        <v>48</v>
      </c>
      <c r="K49" s="52" t="s">
        <v>49</v>
      </c>
      <c r="L49" s="52" t="s">
        <v>1122</v>
      </c>
      <c r="M49" s="52" t="s">
        <v>3036</v>
      </c>
      <c r="N49" s="52" t="s">
        <v>1123</v>
      </c>
      <c r="P49" s="52" t="s">
        <v>2729</v>
      </c>
      <c r="Q49" s="52" t="s">
        <v>2730</v>
      </c>
      <c r="S49" s="52" t="s">
        <v>2730</v>
      </c>
      <c r="T49" s="52" t="s">
        <v>3037</v>
      </c>
    </row>
    <row r="50">
      <c r="A50" s="52" t="s">
        <v>2724</v>
      </c>
      <c r="B50" s="52" t="s">
        <v>3038</v>
      </c>
      <c r="C50" s="52" t="s">
        <v>1156</v>
      </c>
      <c r="D50" s="52" t="s">
        <v>41</v>
      </c>
      <c r="E50" s="52" t="s">
        <v>811</v>
      </c>
      <c r="F50" s="52" t="s">
        <v>1155</v>
      </c>
      <c r="G50" s="52" t="s">
        <v>3039</v>
      </c>
      <c r="H50" s="52" t="s">
        <v>162</v>
      </c>
      <c r="I50" s="52" t="s">
        <v>3022</v>
      </c>
      <c r="J50" s="52" t="s">
        <v>48</v>
      </c>
      <c r="K50" s="52" t="s">
        <v>49</v>
      </c>
      <c r="L50" s="52" t="s">
        <v>1116</v>
      </c>
      <c r="M50" s="52" t="s">
        <v>3042</v>
      </c>
      <c r="N50" s="52" t="s">
        <v>3043</v>
      </c>
      <c r="P50" s="52" t="s">
        <v>2729</v>
      </c>
      <c r="Q50" s="52" t="s">
        <v>2730</v>
      </c>
      <c r="S50" s="52" t="s">
        <v>2730</v>
      </c>
    </row>
    <row r="51">
      <c r="A51" s="52" t="s">
        <v>2724</v>
      </c>
      <c r="B51" s="52" t="s">
        <v>3044</v>
      </c>
      <c r="C51" s="52" t="s">
        <v>1156</v>
      </c>
      <c r="D51" s="52" t="s">
        <v>41</v>
      </c>
      <c r="E51" s="52" t="s">
        <v>811</v>
      </c>
      <c r="F51" s="52" t="s">
        <v>1155</v>
      </c>
      <c r="G51" s="52" t="s">
        <v>3045</v>
      </c>
      <c r="H51" s="52" t="s">
        <v>162</v>
      </c>
      <c r="I51" s="52" t="s">
        <v>3022</v>
      </c>
      <c r="J51" s="52" t="s">
        <v>48</v>
      </c>
      <c r="K51" s="52" t="s">
        <v>49</v>
      </c>
      <c r="L51" s="52" t="s">
        <v>1129</v>
      </c>
      <c r="M51" s="52" t="s">
        <v>3046</v>
      </c>
      <c r="N51" s="52" t="s">
        <v>1130</v>
      </c>
      <c r="P51" s="52" t="s">
        <v>2729</v>
      </c>
      <c r="Q51" s="52" t="s">
        <v>2730</v>
      </c>
      <c r="S51" s="52" t="s">
        <v>2730</v>
      </c>
    </row>
    <row r="52">
      <c r="A52" s="52" t="s">
        <v>2724</v>
      </c>
      <c r="B52" s="52" t="s">
        <v>3047</v>
      </c>
      <c r="C52" s="52" t="s">
        <v>1156</v>
      </c>
      <c r="D52" s="52" t="s">
        <v>41</v>
      </c>
      <c r="E52" s="52" t="s">
        <v>811</v>
      </c>
      <c r="F52" s="52" t="s">
        <v>1155</v>
      </c>
      <c r="G52" s="52" t="s">
        <v>3048</v>
      </c>
      <c r="H52" s="52" t="s">
        <v>162</v>
      </c>
      <c r="I52" s="52" t="s">
        <v>3022</v>
      </c>
      <c r="J52" s="52" t="s">
        <v>48</v>
      </c>
      <c r="K52" s="52" t="s">
        <v>49</v>
      </c>
      <c r="L52" s="52" t="s">
        <v>1135</v>
      </c>
      <c r="M52" s="52" t="s">
        <v>3049</v>
      </c>
      <c r="N52" s="52" t="s">
        <v>3050</v>
      </c>
      <c r="P52" s="52" t="s">
        <v>2729</v>
      </c>
      <c r="Q52" s="52" t="s">
        <v>2730</v>
      </c>
      <c r="R52" s="52" t="s">
        <v>3051</v>
      </c>
      <c r="S52" s="52" t="s">
        <v>2730</v>
      </c>
      <c r="T52" s="52" t="s">
        <v>3052</v>
      </c>
    </row>
    <row r="53">
      <c r="A53" s="52" t="s">
        <v>2724</v>
      </c>
      <c r="B53" s="52" t="s">
        <v>3053</v>
      </c>
      <c r="C53" s="52" t="s">
        <v>1156</v>
      </c>
      <c r="D53" s="52" t="s">
        <v>41</v>
      </c>
      <c r="E53" s="52" t="s">
        <v>811</v>
      </c>
      <c r="F53" s="52" t="s">
        <v>1155</v>
      </c>
      <c r="G53" s="52" t="s">
        <v>3054</v>
      </c>
      <c r="H53" s="52" t="s">
        <v>162</v>
      </c>
      <c r="I53" s="52" t="s">
        <v>3022</v>
      </c>
      <c r="J53" s="52" t="s">
        <v>48</v>
      </c>
      <c r="K53" s="52" t="s">
        <v>108</v>
      </c>
      <c r="L53" s="52" t="s">
        <v>1141</v>
      </c>
      <c r="M53" s="52" t="s">
        <v>3055</v>
      </c>
      <c r="N53" s="52" t="s">
        <v>1142</v>
      </c>
      <c r="P53" s="52" t="s">
        <v>2729</v>
      </c>
      <c r="Q53" s="52" t="s">
        <v>2730</v>
      </c>
      <c r="R53" s="52" t="s">
        <v>3056</v>
      </c>
      <c r="S53" s="52" t="s">
        <v>2730</v>
      </c>
      <c r="T53" s="52" t="s">
        <v>3058</v>
      </c>
    </row>
    <row r="54">
      <c r="A54" s="52" t="s">
        <v>2724</v>
      </c>
      <c r="B54" s="52" t="s">
        <v>3059</v>
      </c>
      <c r="C54" s="52" t="s">
        <v>1156</v>
      </c>
      <c r="D54" s="52" t="s">
        <v>41</v>
      </c>
      <c r="E54" s="52" t="s">
        <v>811</v>
      </c>
      <c r="F54" s="52" t="s">
        <v>1155</v>
      </c>
      <c r="G54" s="52" t="s">
        <v>3060</v>
      </c>
      <c r="H54" s="52" t="s">
        <v>162</v>
      </c>
      <c r="I54" s="52" t="s">
        <v>3022</v>
      </c>
      <c r="J54" s="52" t="s">
        <v>48</v>
      </c>
      <c r="K54" s="52" t="s">
        <v>49</v>
      </c>
      <c r="L54" s="52" t="s">
        <v>1148</v>
      </c>
      <c r="M54" s="52" t="s">
        <v>3061</v>
      </c>
      <c r="N54" s="52" t="s">
        <v>1149</v>
      </c>
      <c r="P54" s="52" t="s">
        <v>2729</v>
      </c>
      <c r="Q54" s="52" t="s">
        <v>2730</v>
      </c>
      <c r="S54" s="52" t="s">
        <v>2730</v>
      </c>
    </row>
    <row r="55">
      <c r="A55" s="52" t="s">
        <v>2724</v>
      </c>
      <c r="B55" s="52" t="s">
        <v>3062</v>
      </c>
      <c r="C55" s="52" t="s">
        <v>1156</v>
      </c>
      <c r="D55" s="52" t="s">
        <v>41</v>
      </c>
      <c r="E55" s="52" t="s">
        <v>811</v>
      </c>
      <c r="F55" s="52" t="s">
        <v>1155</v>
      </c>
      <c r="G55" s="52" t="s">
        <v>3064</v>
      </c>
      <c r="H55" s="52" t="s">
        <v>162</v>
      </c>
      <c r="I55" s="52" t="s">
        <v>3022</v>
      </c>
      <c r="J55" s="52" t="s">
        <v>48</v>
      </c>
      <c r="K55" s="52" t="s">
        <v>61</v>
      </c>
      <c r="L55" s="52" t="s">
        <v>1153</v>
      </c>
      <c r="M55" s="52" t="s">
        <v>3067</v>
      </c>
      <c r="N55" s="52" t="s">
        <v>1154</v>
      </c>
      <c r="P55" s="52" t="s">
        <v>2729</v>
      </c>
      <c r="Q55" s="52" t="s">
        <v>2730</v>
      </c>
      <c r="S55" s="52" t="s">
        <v>2730</v>
      </c>
    </row>
    <row r="56">
      <c r="A56" s="52" t="s">
        <v>2724</v>
      </c>
      <c r="B56" s="52" t="s">
        <v>3068</v>
      </c>
      <c r="C56" s="52" t="s">
        <v>1156</v>
      </c>
      <c r="D56" s="52" t="s">
        <v>41</v>
      </c>
      <c r="E56" s="52" t="s">
        <v>811</v>
      </c>
      <c r="F56" s="52" t="s">
        <v>1155</v>
      </c>
      <c r="G56" s="52" t="s">
        <v>3069</v>
      </c>
      <c r="H56" s="52" t="s">
        <v>162</v>
      </c>
      <c r="I56" s="52" t="s">
        <v>3022</v>
      </c>
      <c r="J56" s="52" t="s">
        <v>48</v>
      </c>
      <c r="K56" s="52" t="s">
        <v>49</v>
      </c>
      <c r="L56" s="52" t="s">
        <v>1160</v>
      </c>
      <c r="M56" s="52" t="s">
        <v>3070</v>
      </c>
      <c r="N56" s="52" t="s">
        <v>3071</v>
      </c>
      <c r="P56" s="52" t="s">
        <v>2729</v>
      </c>
      <c r="Q56" s="52" t="s">
        <v>2730</v>
      </c>
      <c r="S56" s="52" t="s">
        <v>2730</v>
      </c>
    </row>
    <row r="57">
      <c r="A57" s="52" t="s">
        <v>2724</v>
      </c>
      <c r="B57" s="52" t="s">
        <v>3072</v>
      </c>
      <c r="C57" s="52" t="s">
        <v>1156</v>
      </c>
      <c r="D57" s="52" t="s">
        <v>41</v>
      </c>
      <c r="E57" s="52" t="s">
        <v>811</v>
      </c>
      <c r="F57" s="52" t="s">
        <v>1155</v>
      </c>
      <c r="G57" s="52" t="s">
        <v>3074</v>
      </c>
      <c r="H57" s="52" t="s">
        <v>162</v>
      </c>
      <c r="I57" s="52" t="s">
        <v>3022</v>
      </c>
      <c r="J57" s="52" t="s">
        <v>48</v>
      </c>
      <c r="K57" s="52" t="s">
        <v>49</v>
      </c>
      <c r="L57" s="52" t="s">
        <v>1172</v>
      </c>
      <c r="M57" s="52" t="s">
        <v>3075</v>
      </c>
      <c r="N57" s="52" t="s">
        <v>1173</v>
      </c>
      <c r="P57" s="52" t="s">
        <v>2729</v>
      </c>
      <c r="Q57" s="52" t="s">
        <v>2730</v>
      </c>
      <c r="R57" s="52" t="s">
        <v>3076</v>
      </c>
      <c r="S57" s="52" t="s">
        <v>2730</v>
      </c>
      <c r="T57" s="52" t="s">
        <v>3077</v>
      </c>
    </row>
    <row r="58">
      <c r="A58" s="52" t="s">
        <v>2724</v>
      </c>
      <c r="B58" s="52" t="s">
        <v>3078</v>
      </c>
      <c r="C58" s="52" t="s">
        <v>1156</v>
      </c>
      <c r="D58" s="52" t="s">
        <v>41</v>
      </c>
      <c r="E58" s="52" t="s">
        <v>811</v>
      </c>
      <c r="F58" s="52" t="s">
        <v>1155</v>
      </c>
      <c r="G58" s="52" t="s">
        <v>3079</v>
      </c>
      <c r="H58" s="52" t="s">
        <v>162</v>
      </c>
      <c r="I58" s="52" t="s">
        <v>3022</v>
      </c>
      <c r="J58" s="52" t="s">
        <v>48</v>
      </c>
      <c r="K58" s="52" t="s">
        <v>428</v>
      </c>
      <c r="L58" s="52" t="s">
        <v>1165</v>
      </c>
      <c r="M58" s="52" t="s">
        <v>3080</v>
      </c>
      <c r="N58" s="52" t="s">
        <v>1166</v>
      </c>
      <c r="P58" s="52" t="s">
        <v>2729</v>
      </c>
      <c r="Q58" s="52" t="s">
        <v>2730</v>
      </c>
      <c r="R58" s="52" t="s">
        <v>3081</v>
      </c>
      <c r="S58" s="52" t="s">
        <v>2730</v>
      </c>
      <c r="T58" s="52" t="s">
        <v>3082</v>
      </c>
    </row>
    <row r="59">
      <c r="A59" s="52" t="s">
        <v>2724</v>
      </c>
      <c r="B59" s="52" t="s">
        <v>3083</v>
      </c>
      <c r="C59" s="52" t="s">
        <v>1156</v>
      </c>
      <c r="D59" s="52" t="s">
        <v>41</v>
      </c>
      <c r="E59" s="52" t="s">
        <v>811</v>
      </c>
      <c r="F59" s="52" t="s">
        <v>1155</v>
      </c>
      <c r="G59" s="52" t="s">
        <v>3084</v>
      </c>
      <c r="H59" s="52" t="s">
        <v>162</v>
      </c>
      <c r="I59" s="52" t="s">
        <v>3022</v>
      </c>
      <c r="J59" s="52" t="s">
        <v>48</v>
      </c>
      <c r="K59" s="52" t="s">
        <v>61</v>
      </c>
      <c r="L59" s="52" t="s">
        <v>1176</v>
      </c>
      <c r="M59" s="52" t="s">
        <v>3085</v>
      </c>
      <c r="N59" s="52" t="s">
        <v>1177</v>
      </c>
      <c r="P59" s="52" t="s">
        <v>2729</v>
      </c>
      <c r="Q59" s="52" t="s">
        <v>2730</v>
      </c>
      <c r="R59" s="52" t="s">
        <v>3086</v>
      </c>
      <c r="S59" s="52" t="s">
        <v>2730</v>
      </c>
      <c r="T59" s="52" t="s">
        <v>3088</v>
      </c>
    </row>
    <row r="60">
      <c r="A60" s="52" t="s">
        <v>2724</v>
      </c>
      <c r="B60" s="52" t="s">
        <v>3089</v>
      </c>
      <c r="C60" s="52" t="s">
        <v>1156</v>
      </c>
      <c r="D60" s="52" t="s">
        <v>41</v>
      </c>
      <c r="E60" s="52" t="s">
        <v>811</v>
      </c>
      <c r="F60" s="52" t="s">
        <v>1155</v>
      </c>
      <c r="G60" s="52" t="s">
        <v>3091</v>
      </c>
      <c r="H60" s="52" t="s">
        <v>162</v>
      </c>
      <c r="I60" s="52" t="s">
        <v>3022</v>
      </c>
      <c r="J60" s="52" t="s">
        <v>48</v>
      </c>
      <c r="K60" s="52" t="s">
        <v>49</v>
      </c>
      <c r="L60" s="52" t="s">
        <v>1184</v>
      </c>
      <c r="M60" s="52" t="s">
        <v>3092</v>
      </c>
      <c r="N60" s="52" t="s">
        <v>1185</v>
      </c>
      <c r="P60" s="52" t="s">
        <v>2729</v>
      </c>
      <c r="Q60" s="52" t="s">
        <v>2730</v>
      </c>
      <c r="R60" s="52" t="s">
        <v>3093</v>
      </c>
      <c r="S60" s="52" t="s">
        <v>2730</v>
      </c>
      <c r="T60" s="52" t="s">
        <v>3094</v>
      </c>
    </row>
    <row r="61">
      <c r="A61" s="52" t="s">
        <v>2724</v>
      </c>
      <c r="B61" s="52" t="s">
        <v>3095</v>
      </c>
      <c r="C61" s="52" t="s">
        <v>1180</v>
      </c>
      <c r="D61" s="52" t="s">
        <v>41</v>
      </c>
      <c r="E61" s="52" t="s">
        <v>811</v>
      </c>
      <c r="F61" s="52" t="s">
        <v>1179</v>
      </c>
      <c r="G61" s="52" t="s">
        <v>3096</v>
      </c>
      <c r="H61" s="52" t="s">
        <v>162</v>
      </c>
      <c r="I61" s="52" t="s">
        <v>3097</v>
      </c>
      <c r="J61" s="52" t="s">
        <v>48</v>
      </c>
      <c r="K61" s="52" t="s">
        <v>49</v>
      </c>
      <c r="L61" s="52" t="s">
        <v>1193</v>
      </c>
      <c r="M61" s="52" t="s">
        <v>3098</v>
      </c>
      <c r="N61" s="52" t="s">
        <v>3099</v>
      </c>
      <c r="P61" s="52" t="s">
        <v>2729</v>
      </c>
      <c r="Q61" s="52" t="s">
        <v>2730</v>
      </c>
      <c r="R61" s="52" t="s">
        <v>3100</v>
      </c>
      <c r="S61" s="52" t="s">
        <v>2730</v>
      </c>
      <c r="T61" s="52" t="s">
        <v>3101</v>
      </c>
    </row>
    <row r="62">
      <c r="A62" s="52" t="s">
        <v>2724</v>
      </c>
      <c r="B62" s="52" t="s">
        <v>3102</v>
      </c>
      <c r="C62" s="52" t="s">
        <v>1180</v>
      </c>
      <c r="D62" s="52" t="s">
        <v>41</v>
      </c>
      <c r="E62" s="52" t="s">
        <v>811</v>
      </c>
      <c r="F62" s="52" t="s">
        <v>1179</v>
      </c>
      <c r="G62" s="52" t="s">
        <v>3103</v>
      </c>
      <c r="H62" s="52" t="s">
        <v>162</v>
      </c>
      <c r="I62" s="52" t="s">
        <v>3097</v>
      </c>
      <c r="J62" s="52" t="s">
        <v>48</v>
      </c>
      <c r="K62" s="52" t="s">
        <v>428</v>
      </c>
      <c r="L62" s="52" t="s">
        <v>1197</v>
      </c>
      <c r="M62" s="52" t="s">
        <v>3104</v>
      </c>
      <c r="N62" s="52" t="s">
        <v>1199</v>
      </c>
      <c r="P62" s="52" t="s">
        <v>2729</v>
      </c>
      <c r="Q62" s="52" t="s">
        <v>2730</v>
      </c>
      <c r="R62" s="52" t="s">
        <v>3105</v>
      </c>
      <c r="S62" s="52" t="s">
        <v>2730</v>
      </c>
      <c r="T62" s="52" t="s">
        <v>3106</v>
      </c>
    </row>
    <row r="63">
      <c r="A63" s="52" t="s">
        <v>2724</v>
      </c>
      <c r="B63" s="52" t="s">
        <v>3108</v>
      </c>
      <c r="C63" s="52" t="s">
        <v>1187</v>
      </c>
      <c r="D63" s="52" t="s">
        <v>41</v>
      </c>
      <c r="E63" s="52" t="s">
        <v>811</v>
      </c>
      <c r="F63" s="52" t="s">
        <v>1186</v>
      </c>
      <c r="G63" s="52" t="s">
        <v>3109</v>
      </c>
      <c r="H63" s="52" t="s">
        <v>162</v>
      </c>
      <c r="I63" s="52" t="s">
        <v>3110</v>
      </c>
      <c r="J63" s="52" t="s">
        <v>48</v>
      </c>
      <c r="K63" s="52" t="s">
        <v>49</v>
      </c>
      <c r="L63" s="52" t="s">
        <v>1206</v>
      </c>
      <c r="M63" s="52" t="s">
        <v>3111</v>
      </c>
      <c r="N63" s="52" t="s">
        <v>1207</v>
      </c>
      <c r="P63" s="52" t="s">
        <v>2729</v>
      </c>
      <c r="Q63" s="52" t="s">
        <v>2730</v>
      </c>
      <c r="R63" s="52" t="s">
        <v>3112</v>
      </c>
      <c r="S63" s="52" t="s">
        <v>2730</v>
      </c>
      <c r="T63" s="52" t="s">
        <v>3113</v>
      </c>
    </row>
    <row r="64">
      <c r="A64" s="52" t="s">
        <v>2724</v>
      </c>
      <c r="B64" s="52" t="s">
        <v>3114</v>
      </c>
      <c r="C64" s="52" t="s">
        <v>1187</v>
      </c>
      <c r="D64" s="52" t="s">
        <v>41</v>
      </c>
      <c r="E64" s="52" t="s">
        <v>811</v>
      </c>
      <c r="F64" s="52" t="s">
        <v>1186</v>
      </c>
      <c r="G64" s="52" t="s">
        <v>3115</v>
      </c>
      <c r="H64" s="52" t="s">
        <v>162</v>
      </c>
      <c r="I64" s="52" t="s">
        <v>3110</v>
      </c>
      <c r="J64" s="52" t="s">
        <v>48</v>
      </c>
      <c r="K64" s="52" t="s">
        <v>428</v>
      </c>
      <c r="L64" s="52" t="s">
        <v>1212</v>
      </c>
      <c r="M64" s="52" t="s">
        <v>3116</v>
      </c>
      <c r="N64" s="52" t="s">
        <v>1213</v>
      </c>
      <c r="P64" s="52" t="s">
        <v>2729</v>
      </c>
      <c r="Q64" s="52" t="s">
        <v>2730</v>
      </c>
      <c r="R64" s="52" t="s">
        <v>3118</v>
      </c>
      <c r="S64" s="52" t="s">
        <v>2730</v>
      </c>
      <c r="T64" s="52" t="s">
        <v>3119</v>
      </c>
    </row>
    <row r="65">
      <c r="A65" s="52" t="s">
        <v>2724</v>
      </c>
      <c r="B65" s="52" t="s">
        <v>3120</v>
      </c>
      <c r="C65" s="52" t="s">
        <v>1187</v>
      </c>
      <c r="D65" s="52" t="s">
        <v>41</v>
      </c>
      <c r="E65" s="52" t="s">
        <v>811</v>
      </c>
      <c r="F65" s="52" t="s">
        <v>1186</v>
      </c>
      <c r="G65" s="52" t="s">
        <v>3122</v>
      </c>
      <c r="H65" s="52" t="s">
        <v>162</v>
      </c>
      <c r="I65" s="52" t="s">
        <v>3110</v>
      </c>
      <c r="J65" s="52" t="s">
        <v>48</v>
      </c>
      <c r="K65" s="52" t="s">
        <v>49</v>
      </c>
      <c r="L65" s="52" t="s">
        <v>95</v>
      </c>
      <c r="M65" s="52" t="s">
        <v>3123</v>
      </c>
      <c r="N65" s="52" t="s">
        <v>1221</v>
      </c>
      <c r="P65" s="52" t="s">
        <v>2729</v>
      </c>
      <c r="Q65" s="52" t="s">
        <v>2730</v>
      </c>
      <c r="R65" s="52" t="s">
        <v>3124</v>
      </c>
      <c r="S65" s="52" t="s">
        <v>2730</v>
      </c>
      <c r="T65" s="52" t="s">
        <v>3125</v>
      </c>
    </row>
    <row r="66">
      <c r="A66" s="52" t="s">
        <v>2724</v>
      </c>
      <c r="B66" s="52" t="s">
        <v>3126</v>
      </c>
      <c r="C66" s="52" t="s">
        <v>1187</v>
      </c>
      <c r="D66" s="52" t="s">
        <v>41</v>
      </c>
      <c r="E66" s="52" t="s">
        <v>811</v>
      </c>
      <c r="F66" s="52" t="s">
        <v>1186</v>
      </c>
      <c r="G66" s="52" t="s">
        <v>3127</v>
      </c>
      <c r="H66" s="52" t="s">
        <v>162</v>
      </c>
      <c r="I66" s="52" t="s">
        <v>3110</v>
      </c>
      <c r="J66" s="52" t="s">
        <v>48</v>
      </c>
      <c r="K66" s="52" t="s">
        <v>108</v>
      </c>
      <c r="L66" s="52" t="s">
        <v>1228</v>
      </c>
      <c r="M66" s="52" t="s">
        <v>3128</v>
      </c>
      <c r="N66" s="52" t="s">
        <v>1229</v>
      </c>
      <c r="P66" s="52" t="s">
        <v>2729</v>
      </c>
      <c r="Q66" s="52" t="s">
        <v>2730</v>
      </c>
      <c r="R66" s="52" t="s">
        <v>3129</v>
      </c>
      <c r="S66" s="52" t="s">
        <v>2730</v>
      </c>
      <c r="T66" s="52" t="s">
        <v>3130</v>
      </c>
    </row>
    <row r="67">
      <c r="A67" s="52" t="s">
        <v>2724</v>
      </c>
      <c r="B67" s="52" t="s">
        <v>3131</v>
      </c>
      <c r="C67" s="52" t="s">
        <v>1187</v>
      </c>
      <c r="D67" s="52" t="s">
        <v>41</v>
      </c>
      <c r="E67" s="52" t="s">
        <v>811</v>
      </c>
      <c r="F67" s="52" t="s">
        <v>1186</v>
      </c>
      <c r="G67" s="52" t="s">
        <v>3133</v>
      </c>
      <c r="H67" s="52" t="s">
        <v>162</v>
      </c>
      <c r="I67" s="52" t="s">
        <v>3110</v>
      </c>
      <c r="J67" s="52" t="s">
        <v>48</v>
      </c>
      <c r="K67" s="52" t="s">
        <v>428</v>
      </c>
      <c r="L67" s="52" t="s">
        <v>1232</v>
      </c>
      <c r="M67" s="52" t="s">
        <v>3134</v>
      </c>
      <c r="N67" s="52" t="s">
        <v>1233</v>
      </c>
      <c r="P67" s="52" t="s">
        <v>2729</v>
      </c>
      <c r="Q67" s="52" t="s">
        <v>2730</v>
      </c>
      <c r="S67" s="52" t="s">
        <v>2730</v>
      </c>
    </row>
    <row r="68">
      <c r="A68" s="52" t="s">
        <v>2724</v>
      </c>
      <c r="B68" s="52" t="s">
        <v>3135</v>
      </c>
      <c r="C68" s="52" t="s">
        <v>1187</v>
      </c>
      <c r="D68" s="52" t="s">
        <v>41</v>
      </c>
      <c r="E68" s="52" t="s">
        <v>811</v>
      </c>
      <c r="F68" s="52" t="s">
        <v>1186</v>
      </c>
      <c r="G68" s="52" t="s">
        <v>3136</v>
      </c>
      <c r="H68" s="52" t="s">
        <v>162</v>
      </c>
      <c r="I68" s="52" t="s">
        <v>3110</v>
      </c>
      <c r="J68" s="52" t="s">
        <v>48</v>
      </c>
      <c r="K68" s="52" t="s">
        <v>108</v>
      </c>
      <c r="L68" s="52" t="s">
        <v>146</v>
      </c>
      <c r="M68" s="52" t="s">
        <v>3137</v>
      </c>
      <c r="N68" s="52" t="s">
        <v>1239</v>
      </c>
      <c r="P68" s="52" t="s">
        <v>2729</v>
      </c>
      <c r="Q68" s="52" t="s">
        <v>2730</v>
      </c>
      <c r="R68" s="52" t="s">
        <v>3138</v>
      </c>
      <c r="S68" s="52" t="s">
        <v>2730</v>
      </c>
      <c r="T68" s="52" t="s">
        <v>3139</v>
      </c>
    </row>
    <row r="69">
      <c r="A69" s="52" t="s">
        <v>2724</v>
      </c>
      <c r="B69" s="52" t="s">
        <v>3140</v>
      </c>
      <c r="C69" s="52" t="s">
        <v>1187</v>
      </c>
      <c r="D69" s="52" t="s">
        <v>41</v>
      </c>
      <c r="E69" s="52" t="s">
        <v>811</v>
      </c>
      <c r="F69" s="52" t="s">
        <v>1186</v>
      </c>
      <c r="G69" s="52" t="s">
        <v>3141</v>
      </c>
      <c r="H69" s="52" t="s">
        <v>162</v>
      </c>
      <c r="I69" s="52" t="s">
        <v>3110</v>
      </c>
      <c r="J69" s="52" t="s">
        <v>48</v>
      </c>
      <c r="K69" s="52" t="s">
        <v>108</v>
      </c>
      <c r="L69" s="52" t="s">
        <v>1242</v>
      </c>
      <c r="M69" s="52" t="s">
        <v>3142</v>
      </c>
      <c r="N69" s="52" t="s">
        <v>1244</v>
      </c>
      <c r="P69" s="52" t="s">
        <v>2729</v>
      </c>
      <c r="Q69" s="52" t="s">
        <v>2730</v>
      </c>
      <c r="S69" s="52" t="s">
        <v>2730</v>
      </c>
    </row>
    <row r="70">
      <c r="A70" s="52" t="s">
        <v>2724</v>
      </c>
      <c r="B70" s="52" t="s">
        <v>3143</v>
      </c>
      <c r="C70" s="52" t="s">
        <v>1187</v>
      </c>
      <c r="D70" s="52" t="s">
        <v>41</v>
      </c>
      <c r="E70" s="52" t="s">
        <v>811</v>
      </c>
      <c r="F70" s="52" t="s">
        <v>1186</v>
      </c>
      <c r="G70" s="52" t="s">
        <v>3144</v>
      </c>
      <c r="H70" s="52" t="s">
        <v>162</v>
      </c>
      <c r="I70" s="52" t="s">
        <v>3110</v>
      </c>
      <c r="J70" s="52" t="s">
        <v>48</v>
      </c>
      <c r="K70" s="52" t="s">
        <v>108</v>
      </c>
      <c r="L70" s="52" t="s">
        <v>1250</v>
      </c>
      <c r="M70" s="52" t="s">
        <v>3145</v>
      </c>
      <c r="N70" s="52" t="s">
        <v>1251</v>
      </c>
      <c r="P70" s="52" t="s">
        <v>2729</v>
      </c>
      <c r="Q70" s="52" t="s">
        <v>2730</v>
      </c>
      <c r="R70" s="52" t="s">
        <v>3146</v>
      </c>
      <c r="S70" s="52" t="s">
        <v>2730</v>
      </c>
      <c r="T70" s="52" t="s">
        <v>3147</v>
      </c>
    </row>
    <row r="71">
      <c r="A71" s="52" t="s">
        <v>2724</v>
      </c>
      <c r="B71" s="52" t="s">
        <v>3148</v>
      </c>
      <c r="C71" s="52" t="s">
        <v>1187</v>
      </c>
      <c r="D71" s="52" t="s">
        <v>41</v>
      </c>
      <c r="E71" s="52" t="s">
        <v>811</v>
      </c>
      <c r="F71" s="52" t="s">
        <v>1186</v>
      </c>
      <c r="G71" s="52" t="s">
        <v>3149</v>
      </c>
      <c r="H71" s="52" t="s">
        <v>162</v>
      </c>
      <c r="I71" s="52" t="s">
        <v>3110</v>
      </c>
      <c r="J71" s="52" t="s">
        <v>48</v>
      </c>
      <c r="K71" s="52" t="s">
        <v>49</v>
      </c>
      <c r="L71" s="52" t="s">
        <v>1254</v>
      </c>
      <c r="M71" s="52" t="s">
        <v>3150</v>
      </c>
      <c r="N71" s="52" t="s">
        <v>780</v>
      </c>
      <c r="P71" s="52" t="s">
        <v>2729</v>
      </c>
      <c r="Q71" s="52" t="s">
        <v>2730</v>
      </c>
      <c r="S71" s="52" t="s">
        <v>2730</v>
      </c>
      <c r="T71" s="52" t="s">
        <v>3151</v>
      </c>
    </row>
    <row r="72">
      <c r="A72" s="52" t="s">
        <v>2724</v>
      </c>
      <c r="B72" s="52" t="s">
        <v>3152</v>
      </c>
      <c r="C72" s="52" t="s">
        <v>1200</v>
      </c>
      <c r="D72" s="52" t="s">
        <v>41</v>
      </c>
      <c r="E72" s="52" t="s">
        <v>811</v>
      </c>
      <c r="F72" s="52" t="s">
        <v>1198</v>
      </c>
      <c r="G72" s="52" t="s">
        <v>3153</v>
      </c>
      <c r="H72" s="52" t="s">
        <v>162</v>
      </c>
      <c r="I72" s="52" t="s">
        <v>3154</v>
      </c>
      <c r="J72" s="52" t="s">
        <v>48</v>
      </c>
      <c r="K72" s="52" t="s">
        <v>49</v>
      </c>
      <c r="L72" s="52" t="s">
        <v>1262</v>
      </c>
      <c r="M72" s="52" t="s">
        <v>3155</v>
      </c>
      <c r="N72" s="52" t="s">
        <v>3156</v>
      </c>
      <c r="O72" s="52" t="s">
        <v>652</v>
      </c>
      <c r="P72" s="52" t="s">
        <v>2729</v>
      </c>
      <c r="Q72" s="52" t="s">
        <v>2730</v>
      </c>
      <c r="R72" s="52" t="s">
        <v>3158</v>
      </c>
      <c r="S72" s="52" t="s">
        <v>2730</v>
      </c>
      <c r="T72" s="52" t="s">
        <v>3159</v>
      </c>
    </row>
    <row r="73">
      <c r="A73" s="52" t="s">
        <v>2724</v>
      </c>
      <c r="B73" s="52" t="s">
        <v>3160</v>
      </c>
      <c r="C73" s="52" t="s">
        <v>1200</v>
      </c>
      <c r="D73" s="52" t="s">
        <v>41</v>
      </c>
      <c r="E73" s="52" t="s">
        <v>811</v>
      </c>
      <c r="F73" s="52" t="s">
        <v>1198</v>
      </c>
      <c r="G73" s="52" t="s">
        <v>3161</v>
      </c>
      <c r="H73" s="52" t="s">
        <v>162</v>
      </c>
      <c r="I73" s="52" t="s">
        <v>3154</v>
      </c>
      <c r="J73" s="52" t="s">
        <v>48</v>
      </c>
      <c r="K73" s="52" t="s">
        <v>49</v>
      </c>
      <c r="L73" s="52" t="s">
        <v>1267</v>
      </c>
      <c r="M73" s="52" t="s">
        <v>3162</v>
      </c>
      <c r="N73" s="52" t="s">
        <v>3163</v>
      </c>
      <c r="P73" s="52" t="s">
        <v>2729</v>
      </c>
      <c r="Q73" s="52" t="s">
        <v>2730</v>
      </c>
      <c r="R73" s="52" t="s">
        <v>3164</v>
      </c>
      <c r="S73" s="52" t="s">
        <v>2730</v>
      </c>
      <c r="T73" s="52" t="s">
        <v>3165</v>
      </c>
    </row>
    <row r="74">
      <c r="A74" s="52" t="s">
        <v>2724</v>
      </c>
      <c r="B74" s="52" t="s">
        <v>3166</v>
      </c>
      <c r="C74" s="52" t="s">
        <v>1200</v>
      </c>
      <c r="D74" s="52" t="s">
        <v>41</v>
      </c>
      <c r="E74" s="52" t="s">
        <v>811</v>
      </c>
      <c r="F74" s="52" t="s">
        <v>1198</v>
      </c>
      <c r="G74" s="52" t="s">
        <v>3167</v>
      </c>
      <c r="H74" s="52" t="s">
        <v>162</v>
      </c>
      <c r="I74" s="52" t="s">
        <v>3154</v>
      </c>
      <c r="J74" s="52" t="s">
        <v>48</v>
      </c>
      <c r="K74" s="52" t="s">
        <v>49</v>
      </c>
      <c r="L74" s="52" t="s">
        <v>1282</v>
      </c>
      <c r="M74" s="52" t="s">
        <v>3168</v>
      </c>
      <c r="N74" s="52" t="s">
        <v>3169</v>
      </c>
      <c r="P74" s="52" t="s">
        <v>2729</v>
      </c>
      <c r="Q74" s="52" t="s">
        <v>2730</v>
      </c>
      <c r="R74" s="52" t="s">
        <v>3170</v>
      </c>
      <c r="S74" s="52" t="s">
        <v>2730</v>
      </c>
      <c r="T74" s="52" t="s">
        <v>3171</v>
      </c>
    </row>
    <row r="75">
      <c r="A75" s="52" t="s">
        <v>2724</v>
      </c>
      <c r="B75" s="52" t="s">
        <v>3172</v>
      </c>
      <c r="C75" s="52" t="s">
        <v>1200</v>
      </c>
      <c r="D75" s="52" t="s">
        <v>41</v>
      </c>
      <c r="E75" s="52" t="s">
        <v>811</v>
      </c>
      <c r="F75" s="52" t="s">
        <v>1198</v>
      </c>
      <c r="G75" s="52" t="s">
        <v>3173</v>
      </c>
      <c r="H75" s="52" t="s">
        <v>162</v>
      </c>
      <c r="I75" s="52" t="s">
        <v>3154</v>
      </c>
      <c r="J75" s="52" t="s">
        <v>48</v>
      </c>
      <c r="K75" s="52" t="s">
        <v>428</v>
      </c>
      <c r="L75" s="52" t="s">
        <v>3174</v>
      </c>
      <c r="M75" s="2" t="s">
        <v>3175</v>
      </c>
      <c r="N75" s="52" t="s">
        <v>3176</v>
      </c>
      <c r="P75" s="52" t="s">
        <v>2729</v>
      </c>
      <c r="Q75" s="52" t="s">
        <v>2730</v>
      </c>
      <c r="S75" s="52" t="s">
        <v>2730</v>
      </c>
    </row>
    <row r="76">
      <c r="A76" s="52" t="s">
        <v>2724</v>
      </c>
      <c r="B76" s="52" t="s">
        <v>3177</v>
      </c>
      <c r="C76" s="52" t="s">
        <v>1208</v>
      </c>
      <c r="D76" s="52" t="s">
        <v>41</v>
      </c>
      <c r="E76" s="52" t="s">
        <v>811</v>
      </c>
      <c r="F76" s="52" t="s">
        <v>1204</v>
      </c>
      <c r="G76" s="52" t="s">
        <v>3178</v>
      </c>
      <c r="H76" s="52" t="s">
        <v>162</v>
      </c>
      <c r="I76" s="52" t="s">
        <v>3179</v>
      </c>
      <c r="J76" s="52" t="s">
        <v>48</v>
      </c>
      <c r="K76" s="52" t="s">
        <v>49</v>
      </c>
      <c r="L76" s="52" t="s">
        <v>1296</v>
      </c>
      <c r="M76" s="52" t="s">
        <v>3180</v>
      </c>
      <c r="N76" s="52" t="s">
        <v>1297</v>
      </c>
      <c r="P76" s="52" t="s">
        <v>2729</v>
      </c>
      <c r="Q76" s="52" t="s">
        <v>2730</v>
      </c>
      <c r="R76" s="52" t="s">
        <v>3181</v>
      </c>
      <c r="S76" s="52" t="s">
        <v>2730</v>
      </c>
      <c r="T76" s="52" t="s">
        <v>3182</v>
      </c>
    </row>
    <row r="77">
      <c r="A77" s="52" t="s">
        <v>2724</v>
      </c>
      <c r="B77" s="52" t="s">
        <v>3183</v>
      </c>
      <c r="C77" s="52" t="s">
        <v>1208</v>
      </c>
      <c r="D77" s="52" t="s">
        <v>41</v>
      </c>
      <c r="E77" s="52" t="s">
        <v>811</v>
      </c>
      <c r="F77" s="52" t="s">
        <v>1204</v>
      </c>
      <c r="G77" s="52" t="s">
        <v>3184</v>
      </c>
      <c r="H77" s="52" t="s">
        <v>162</v>
      </c>
      <c r="I77" s="52" t="s">
        <v>3179</v>
      </c>
      <c r="J77" s="52" t="s">
        <v>48</v>
      </c>
      <c r="K77" s="52" t="s">
        <v>49</v>
      </c>
      <c r="L77" s="52" t="s">
        <v>1302</v>
      </c>
      <c r="M77" s="52" t="s">
        <v>3185</v>
      </c>
      <c r="N77" s="52" t="s">
        <v>1304</v>
      </c>
      <c r="P77" s="52" t="s">
        <v>2729</v>
      </c>
      <c r="Q77" s="52" t="s">
        <v>2730</v>
      </c>
      <c r="R77" s="52" t="s">
        <v>3188</v>
      </c>
      <c r="S77" s="52" t="s">
        <v>2730</v>
      </c>
      <c r="T77" s="52" t="s">
        <v>3189</v>
      </c>
    </row>
    <row r="78">
      <c r="A78" s="52" t="s">
        <v>2724</v>
      </c>
      <c r="B78" s="52" t="s">
        <v>3190</v>
      </c>
      <c r="C78" s="52" t="s">
        <v>1208</v>
      </c>
      <c r="D78" s="52" t="s">
        <v>41</v>
      </c>
      <c r="E78" s="52" t="s">
        <v>811</v>
      </c>
      <c r="F78" s="52" t="s">
        <v>1204</v>
      </c>
      <c r="G78" s="52" t="s">
        <v>3191</v>
      </c>
      <c r="H78" s="52" t="s">
        <v>162</v>
      </c>
      <c r="I78" s="52" t="s">
        <v>3179</v>
      </c>
      <c r="J78" s="52" t="s">
        <v>48</v>
      </c>
      <c r="K78" s="52" t="s">
        <v>49</v>
      </c>
      <c r="L78" s="52" t="s">
        <v>1308</v>
      </c>
      <c r="M78" s="52" t="s">
        <v>3192</v>
      </c>
      <c r="N78" s="52" t="s">
        <v>1309</v>
      </c>
      <c r="P78" s="52" t="s">
        <v>2729</v>
      </c>
      <c r="Q78" s="52" t="s">
        <v>2730</v>
      </c>
      <c r="R78" s="52" t="s">
        <v>3193</v>
      </c>
      <c r="S78" s="52" t="s">
        <v>2730</v>
      </c>
      <c r="T78" s="52" t="s">
        <v>3194</v>
      </c>
    </row>
    <row r="79">
      <c r="A79" s="52" t="s">
        <v>2724</v>
      </c>
      <c r="B79" s="52" t="s">
        <v>3195</v>
      </c>
      <c r="C79" s="52" t="s">
        <v>1215</v>
      </c>
      <c r="D79" s="52" t="s">
        <v>41</v>
      </c>
      <c r="E79" s="52" t="s">
        <v>811</v>
      </c>
      <c r="F79" s="52" t="s">
        <v>1214</v>
      </c>
      <c r="G79" s="52" t="s">
        <v>3196</v>
      </c>
      <c r="H79" s="52" t="s">
        <v>162</v>
      </c>
      <c r="I79" s="52" t="s">
        <v>3197</v>
      </c>
      <c r="J79" s="52" t="s">
        <v>48</v>
      </c>
      <c r="K79" s="52" t="s">
        <v>428</v>
      </c>
      <c r="L79" s="52" t="s">
        <v>1316</v>
      </c>
      <c r="M79" s="52" t="s">
        <v>3199</v>
      </c>
      <c r="N79" s="52" t="s">
        <v>3200</v>
      </c>
      <c r="P79" s="52" t="s">
        <v>2729</v>
      </c>
      <c r="Q79" s="52" t="s">
        <v>2730</v>
      </c>
      <c r="R79" s="52" t="s">
        <v>3202</v>
      </c>
      <c r="S79" s="52" t="s">
        <v>2730</v>
      </c>
      <c r="T79" s="52" t="s">
        <v>3203</v>
      </c>
    </row>
    <row r="80">
      <c r="A80" s="52" t="s">
        <v>2724</v>
      </c>
      <c r="B80" s="52" t="s">
        <v>3204</v>
      </c>
      <c r="C80" s="52" t="s">
        <v>1215</v>
      </c>
      <c r="D80" s="52" t="s">
        <v>41</v>
      </c>
      <c r="E80" s="52" t="s">
        <v>811</v>
      </c>
      <c r="F80" s="52" t="s">
        <v>1214</v>
      </c>
      <c r="G80" s="52" t="s">
        <v>3205</v>
      </c>
      <c r="H80" s="52" t="s">
        <v>162</v>
      </c>
      <c r="I80" s="52" t="s">
        <v>3197</v>
      </c>
      <c r="J80" s="52" t="s">
        <v>48</v>
      </c>
      <c r="K80" s="52" t="s">
        <v>49</v>
      </c>
      <c r="L80" s="52" t="s">
        <v>1322</v>
      </c>
      <c r="M80" s="52" t="s">
        <v>3206</v>
      </c>
      <c r="N80" s="52" t="s">
        <v>1323</v>
      </c>
      <c r="P80" s="52" t="s">
        <v>2729</v>
      </c>
      <c r="Q80" s="52" t="s">
        <v>2730</v>
      </c>
      <c r="R80" s="52" t="s">
        <v>3207</v>
      </c>
      <c r="S80" s="52" t="s">
        <v>2730</v>
      </c>
      <c r="T80" s="52" t="s">
        <v>3208</v>
      </c>
    </row>
    <row r="81">
      <c r="A81" s="52" t="s">
        <v>2724</v>
      </c>
      <c r="B81" s="52" t="s">
        <v>3209</v>
      </c>
      <c r="C81" s="52" t="s">
        <v>1215</v>
      </c>
      <c r="D81" s="52" t="s">
        <v>41</v>
      </c>
      <c r="E81" s="52" t="s">
        <v>811</v>
      </c>
      <c r="F81" s="52" t="s">
        <v>1214</v>
      </c>
      <c r="G81" s="52" t="s">
        <v>3210</v>
      </c>
      <c r="H81" s="52" t="s">
        <v>162</v>
      </c>
      <c r="I81" s="52" t="s">
        <v>3197</v>
      </c>
      <c r="J81" s="52" t="s">
        <v>48</v>
      </c>
      <c r="K81" s="52" t="s">
        <v>428</v>
      </c>
      <c r="L81" s="52" t="s">
        <v>1329</v>
      </c>
      <c r="M81" s="52" t="s">
        <v>3211</v>
      </c>
      <c r="N81" s="52" t="s">
        <v>1330</v>
      </c>
      <c r="P81" s="52" t="s">
        <v>2729</v>
      </c>
      <c r="Q81" s="52" t="s">
        <v>2730</v>
      </c>
      <c r="R81" s="52" t="s">
        <v>3212</v>
      </c>
      <c r="S81" s="52" t="s">
        <v>2730</v>
      </c>
      <c r="T81" s="52" t="s">
        <v>3213</v>
      </c>
    </row>
    <row r="82">
      <c r="A82" s="52" t="s">
        <v>2724</v>
      </c>
      <c r="B82" s="52" t="s">
        <v>3214</v>
      </c>
      <c r="C82" s="52" t="s">
        <v>1215</v>
      </c>
      <c r="D82" s="52" t="s">
        <v>41</v>
      </c>
      <c r="E82" s="52" t="s">
        <v>811</v>
      </c>
      <c r="F82" s="52" t="s">
        <v>1214</v>
      </c>
      <c r="G82" s="52" t="s">
        <v>3216</v>
      </c>
      <c r="H82" s="52" t="s">
        <v>162</v>
      </c>
      <c r="I82" s="52" t="s">
        <v>3197</v>
      </c>
      <c r="J82" s="52" t="s">
        <v>48</v>
      </c>
      <c r="K82" s="52" t="s">
        <v>61</v>
      </c>
      <c r="L82" s="52" t="s">
        <v>1342</v>
      </c>
      <c r="M82" s="52" t="s">
        <v>3217</v>
      </c>
      <c r="N82" s="52" t="s">
        <v>1343</v>
      </c>
      <c r="P82" s="52" t="s">
        <v>2729</v>
      </c>
      <c r="Q82" s="52" t="s">
        <v>2730</v>
      </c>
      <c r="R82" s="52" t="s">
        <v>3218</v>
      </c>
      <c r="S82" s="52" t="s">
        <v>2730</v>
      </c>
      <c r="T82" s="52" t="s">
        <v>3219</v>
      </c>
    </row>
    <row r="83">
      <c r="A83" s="52" t="s">
        <v>2724</v>
      </c>
      <c r="B83" s="52" t="s">
        <v>3220</v>
      </c>
      <c r="C83" s="52" t="s">
        <v>1215</v>
      </c>
      <c r="D83" s="52" t="s">
        <v>41</v>
      </c>
      <c r="E83" s="52" t="s">
        <v>811</v>
      </c>
      <c r="F83" s="52" t="s">
        <v>1214</v>
      </c>
      <c r="G83" s="52" t="s">
        <v>3221</v>
      </c>
      <c r="H83" s="52" t="s">
        <v>162</v>
      </c>
      <c r="I83" s="52" t="s">
        <v>3197</v>
      </c>
      <c r="J83" s="52" t="s">
        <v>48</v>
      </c>
      <c r="K83" s="52" t="s">
        <v>49</v>
      </c>
      <c r="L83" s="52" t="s">
        <v>1355</v>
      </c>
      <c r="M83" s="52" t="s">
        <v>3222</v>
      </c>
      <c r="N83" s="52" t="s">
        <v>1356</v>
      </c>
      <c r="P83" s="52" t="s">
        <v>2729</v>
      </c>
      <c r="Q83" s="52" t="s">
        <v>2730</v>
      </c>
      <c r="R83" s="52" t="s">
        <v>3223</v>
      </c>
      <c r="S83" s="52" t="s">
        <v>2730</v>
      </c>
      <c r="T83" s="52" t="s">
        <v>3224</v>
      </c>
    </row>
    <row r="84">
      <c r="A84" s="52" t="s">
        <v>2724</v>
      </c>
      <c r="B84" s="52" t="s">
        <v>3225</v>
      </c>
      <c r="C84" s="52" t="s">
        <v>1215</v>
      </c>
      <c r="D84" s="52" t="s">
        <v>41</v>
      </c>
      <c r="E84" s="52" t="s">
        <v>811</v>
      </c>
      <c r="F84" s="52" t="s">
        <v>1214</v>
      </c>
      <c r="G84" s="52" t="s">
        <v>3226</v>
      </c>
      <c r="H84" s="52" t="s">
        <v>162</v>
      </c>
      <c r="I84" s="52" t="s">
        <v>3197</v>
      </c>
      <c r="J84" s="52" t="s">
        <v>48</v>
      </c>
      <c r="K84" s="52" t="s">
        <v>108</v>
      </c>
      <c r="L84" s="52" t="s">
        <v>3227</v>
      </c>
      <c r="M84" s="52" t="s">
        <v>3228</v>
      </c>
      <c r="N84" s="52" t="s">
        <v>3229</v>
      </c>
      <c r="P84" s="52" t="s">
        <v>2729</v>
      </c>
      <c r="Q84" s="52" t="s">
        <v>2730</v>
      </c>
      <c r="R84" s="52" t="s">
        <v>3230</v>
      </c>
      <c r="S84" s="52" t="s">
        <v>2730</v>
      </c>
      <c r="T84" s="52" t="s">
        <v>3231</v>
      </c>
    </row>
    <row r="85">
      <c r="A85" s="52" t="s">
        <v>2724</v>
      </c>
      <c r="B85" s="52" t="s">
        <v>3232</v>
      </c>
      <c r="C85" s="52" t="s">
        <v>1215</v>
      </c>
      <c r="D85" s="52" t="s">
        <v>41</v>
      </c>
      <c r="E85" s="52" t="s">
        <v>811</v>
      </c>
      <c r="F85" s="52" t="s">
        <v>1214</v>
      </c>
      <c r="G85" s="52" t="s">
        <v>3233</v>
      </c>
      <c r="H85" s="52" t="s">
        <v>162</v>
      </c>
      <c r="I85" s="52" t="s">
        <v>3197</v>
      </c>
      <c r="J85" s="52" t="s">
        <v>48</v>
      </c>
      <c r="K85" s="52" t="s">
        <v>49</v>
      </c>
      <c r="L85" s="52" t="s">
        <v>1363</v>
      </c>
      <c r="M85" s="52" t="s">
        <v>3234</v>
      </c>
      <c r="N85" s="52" t="s">
        <v>1364</v>
      </c>
      <c r="P85" s="52" t="s">
        <v>2729</v>
      </c>
      <c r="Q85" s="52" t="s">
        <v>2730</v>
      </c>
      <c r="R85" s="52" t="s">
        <v>3235</v>
      </c>
      <c r="S85" s="52" t="s">
        <v>2730</v>
      </c>
      <c r="T85" s="52" t="s">
        <v>3236</v>
      </c>
    </row>
    <row r="86">
      <c r="A86" s="52" t="s">
        <v>2724</v>
      </c>
      <c r="B86" s="52" t="s">
        <v>3237</v>
      </c>
      <c r="C86" s="52" t="s">
        <v>1215</v>
      </c>
      <c r="D86" s="52" t="s">
        <v>41</v>
      </c>
      <c r="E86" s="52" t="s">
        <v>811</v>
      </c>
      <c r="F86" s="52" t="s">
        <v>1214</v>
      </c>
      <c r="G86" s="52" t="s">
        <v>3238</v>
      </c>
      <c r="H86" s="52" t="s">
        <v>162</v>
      </c>
      <c r="I86" s="52" t="s">
        <v>3197</v>
      </c>
      <c r="J86" s="52" t="s">
        <v>48</v>
      </c>
      <c r="K86" s="52" t="s">
        <v>49</v>
      </c>
      <c r="L86" s="52" t="s">
        <v>1371</v>
      </c>
      <c r="M86" s="52" t="s">
        <v>3239</v>
      </c>
      <c r="N86" s="52" t="s">
        <v>1372</v>
      </c>
      <c r="P86" s="52" t="s">
        <v>2729</v>
      </c>
      <c r="Q86" s="52" t="s">
        <v>2730</v>
      </c>
      <c r="R86" s="52" t="s">
        <v>3240</v>
      </c>
      <c r="S86" s="52" t="s">
        <v>2730</v>
      </c>
      <c r="T86" s="52" t="s">
        <v>3241</v>
      </c>
    </row>
    <row r="87">
      <c r="A87" s="52" t="s">
        <v>2724</v>
      </c>
      <c r="B87" s="52" t="s">
        <v>3242</v>
      </c>
      <c r="C87" s="52" t="s">
        <v>1215</v>
      </c>
      <c r="D87" s="52" t="s">
        <v>41</v>
      </c>
      <c r="E87" s="52" t="s">
        <v>811</v>
      </c>
      <c r="F87" s="52" t="s">
        <v>1214</v>
      </c>
      <c r="G87" s="52" t="s">
        <v>3243</v>
      </c>
      <c r="H87" s="52" t="s">
        <v>162</v>
      </c>
      <c r="I87" s="52" t="s">
        <v>3197</v>
      </c>
      <c r="J87" s="52" t="s">
        <v>48</v>
      </c>
      <c r="K87" s="52" t="s">
        <v>108</v>
      </c>
      <c r="L87" s="52" t="s">
        <v>1379</v>
      </c>
      <c r="M87" s="52" t="s">
        <v>3245</v>
      </c>
      <c r="N87" s="52" t="s">
        <v>1380</v>
      </c>
      <c r="P87" s="52" t="s">
        <v>2729</v>
      </c>
      <c r="Q87" s="52" t="s">
        <v>2730</v>
      </c>
      <c r="R87" s="52" t="s">
        <v>3247</v>
      </c>
      <c r="S87" s="52" t="s">
        <v>2730</v>
      </c>
      <c r="T87" s="52" t="s">
        <v>3248</v>
      </c>
    </row>
    <row r="88">
      <c r="A88" s="52" t="s">
        <v>2724</v>
      </c>
      <c r="B88" s="52" t="s">
        <v>3249</v>
      </c>
      <c r="C88" s="52" t="s">
        <v>1215</v>
      </c>
      <c r="D88" s="52" t="s">
        <v>41</v>
      </c>
      <c r="E88" s="52" t="s">
        <v>811</v>
      </c>
      <c r="F88" s="52" t="s">
        <v>1214</v>
      </c>
      <c r="G88" s="52" t="s">
        <v>3250</v>
      </c>
      <c r="H88" s="52" t="s">
        <v>162</v>
      </c>
      <c r="I88" s="52" t="s">
        <v>3197</v>
      </c>
      <c r="J88" s="52" t="s">
        <v>48</v>
      </c>
      <c r="K88" s="52" t="s">
        <v>61</v>
      </c>
      <c r="L88" s="52" t="s">
        <v>1393</v>
      </c>
      <c r="M88" s="52" t="s">
        <v>3251</v>
      </c>
      <c r="N88" s="52" t="s">
        <v>3252</v>
      </c>
      <c r="P88" s="52" t="s">
        <v>2729</v>
      </c>
      <c r="Q88" s="52" t="s">
        <v>2730</v>
      </c>
      <c r="R88" s="52" t="s">
        <v>3253</v>
      </c>
      <c r="S88" s="52" t="s">
        <v>2730</v>
      </c>
      <c r="T88" s="52" t="s">
        <v>3255</v>
      </c>
    </row>
    <row r="89">
      <c r="A89" s="52" t="s">
        <v>2724</v>
      </c>
      <c r="B89" s="52" t="s">
        <v>3256</v>
      </c>
      <c r="C89" s="52" t="s">
        <v>1215</v>
      </c>
      <c r="D89" s="52" t="s">
        <v>41</v>
      </c>
      <c r="E89" s="52" t="s">
        <v>811</v>
      </c>
      <c r="F89" s="52" t="s">
        <v>1214</v>
      </c>
      <c r="G89" s="52" t="s">
        <v>3257</v>
      </c>
      <c r="H89" s="52" t="s">
        <v>162</v>
      </c>
      <c r="I89" s="52" t="s">
        <v>3197</v>
      </c>
      <c r="J89" s="52" t="s">
        <v>48</v>
      </c>
      <c r="K89" s="52" t="s">
        <v>49</v>
      </c>
      <c r="L89" s="52" t="s">
        <v>1385</v>
      </c>
      <c r="M89" s="52" t="s">
        <v>3258</v>
      </c>
      <c r="N89" s="52" t="s">
        <v>3259</v>
      </c>
      <c r="P89" s="52" t="s">
        <v>2729</v>
      </c>
      <c r="Q89" s="52" t="s">
        <v>2730</v>
      </c>
      <c r="R89" s="52" t="s">
        <v>3260</v>
      </c>
      <c r="S89" s="52" t="s">
        <v>2730</v>
      </c>
      <c r="T89" s="52" t="s">
        <v>3262</v>
      </c>
    </row>
    <row r="90">
      <c r="A90" s="52" t="s">
        <v>2724</v>
      </c>
      <c r="B90" s="52" t="s">
        <v>3264</v>
      </c>
      <c r="C90" s="52" t="s">
        <v>1215</v>
      </c>
      <c r="D90" s="52" t="s">
        <v>41</v>
      </c>
      <c r="E90" s="52" t="s">
        <v>811</v>
      </c>
      <c r="F90" s="52" t="s">
        <v>1214</v>
      </c>
      <c r="G90" s="52" t="s">
        <v>3265</v>
      </c>
      <c r="H90" s="52" t="s">
        <v>162</v>
      </c>
      <c r="I90" s="52" t="s">
        <v>3197</v>
      </c>
      <c r="J90" s="52" t="s">
        <v>48</v>
      </c>
      <c r="K90" s="52" t="s">
        <v>61</v>
      </c>
      <c r="L90" s="52" t="s">
        <v>1401</v>
      </c>
      <c r="M90" s="52" t="s">
        <v>3266</v>
      </c>
      <c r="N90" s="52" t="s">
        <v>3267</v>
      </c>
      <c r="P90" s="52" t="s">
        <v>2729</v>
      </c>
      <c r="Q90" s="52" t="s">
        <v>2730</v>
      </c>
      <c r="R90" s="52" t="s">
        <v>3268</v>
      </c>
      <c r="S90" s="52" t="s">
        <v>2730</v>
      </c>
      <c r="T90" s="52" t="s">
        <v>3269</v>
      </c>
    </row>
    <row r="91">
      <c r="A91" s="52" t="s">
        <v>2724</v>
      </c>
      <c r="B91" s="52" t="s">
        <v>3270</v>
      </c>
      <c r="C91" s="52" t="s">
        <v>1215</v>
      </c>
      <c r="D91" s="52" t="s">
        <v>41</v>
      </c>
      <c r="E91" s="52" t="s">
        <v>811</v>
      </c>
      <c r="F91" s="52" t="s">
        <v>1214</v>
      </c>
      <c r="G91" s="52" t="s">
        <v>3271</v>
      </c>
      <c r="H91" s="52" t="s">
        <v>162</v>
      </c>
      <c r="I91" s="52" t="s">
        <v>3197</v>
      </c>
      <c r="J91" s="52" t="s">
        <v>48</v>
      </c>
      <c r="K91" s="52" t="s">
        <v>108</v>
      </c>
      <c r="L91" s="52" t="s">
        <v>1430</v>
      </c>
      <c r="M91" s="52" t="s">
        <v>3272</v>
      </c>
      <c r="N91" s="52" t="s">
        <v>3273</v>
      </c>
      <c r="P91" s="52" t="s">
        <v>2729</v>
      </c>
      <c r="Q91" s="52" t="s">
        <v>2730</v>
      </c>
      <c r="R91" s="52" t="s">
        <v>3274</v>
      </c>
      <c r="S91" s="52" t="s">
        <v>2730</v>
      </c>
      <c r="T91" s="52" t="s">
        <v>3275</v>
      </c>
    </row>
    <row r="92">
      <c r="A92" s="52" t="s">
        <v>2724</v>
      </c>
      <c r="B92" s="52" t="s">
        <v>3276</v>
      </c>
      <c r="C92" s="52" t="s">
        <v>1215</v>
      </c>
      <c r="D92" s="52" t="s">
        <v>41</v>
      </c>
      <c r="E92" s="52" t="s">
        <v>811</v>
      </c>
      <c r="F92" s="52" t="s">
        <v>1214</v>
      </c>
      <c r="G92" s="52" t="s">
        <v>3277</v>
      </c>
      <c r="H92" s="52" t="s">
        <v>162</v>
      </c>
      <c r="I92" s="52" t="s">
        <v>3197</v>
      </c>
      <c r="J92" s="52" t="s">
        <v>48</v>
      </c>
      <c r="K92" s="52" t="s">
        <v>49</v>
      </c>
      <c r="L92" s="52" t="s">
        <v>1408</v>
      </c>
      <c r="M92" s="52" t="s">
        <v>3279</v>
      </c>
      <c r="N92" s="52" t="s">
        <v>3280</v>
      </c>
      <c r="P92" s="52" t="s">
        <v>2729</v>
      </c>
      <c r="Q92" s="52" t="s">
        <v>2730</v>
      </c>
      <c r="R92" s="52" t="s">
        <v>3281</v>
      </c>
      <c r="S92" s="52" t="s">
        <v>2730</v>
      </c>
      <c r="T92" s="52" t="s">
        <v>3282</v>
      </c>
    </row>
    <row r="93">
      <c r="A93" s="52" t="s">
        <v>2724</v>
      </c>
      <c r="B93" s="52" t="s">
        <v>3283</v>
      </c>
      <c r="C93" s="52" t="s">
        <v>1215</v>
      </c>
      <c r="D93" s="52" t="s">
        <v>41</v>
      </c>
      <c r="E93" s="52" t="s">
        <v>811</v>
      </c>
      <c r="F93" s="52" t="s">
        <v>1214</v>
      </c>
      <c r="G93" s="52" t="s">
        <v>3284</v>
      </c>
      <c r="H93" s="52" t="s">
        <v>162</v>
      </c>
      <c r="I93" s="52" t="s">
        <v>3197</v>
      </c>
      <c r="J93" s="52" t="s">
        <v>48</v>
      </c>
      <c r="K93" s="52" t="s">
        <v>49</v>
      </c>
      <c r="L93" s="52" t="s">
        <v>1435</v>
      </c>
      <c r="M93" s="52" t="s">
        <v>3285</v>
      </c>
      <c r="N93" s="52" t="s">
        <v>1436</v>
      </c>
      <c r="P93" s="52" t="s">
        <v>2729</v>
      </c>
      <c r="Q93" s="52" t="s">
        <v>2730</v>
      </c>
      <c r="R93" s="52" t="s">
        <v>3287</v>
      </c>
      <c r="S93" s="52" t="s">
        <v>2730</v>
      </c>
      <c r="T93" s="52" t="s">
        <v>3289</v>
      </c>
    </row>
    <row r="94">
      <c r="A94" s="52" t="s">
        <v>2724</v>
      </c>
      <c r="B94" s="52" t="s">
        <v>3290</v>
      </c>
      <c r="C94" s="52" t="s">
        <v>1215</v>
      </c>
      <c r="D94" s="52" t="s">
        <v>41</v>
      </c>
      <c r="E94" s="52" t="s">
        <v>811</v>
      </c>
      <c r="F94" s="52" t="s">
        <v>1214</v>
      </c>
      <c r="G94" s="52" t="s">
        <v>3291</v>
      </c>
      <c r="H94" s="52" t="s">
        <v>162</v>
      </c>
      <c r="I94" s="52" t="s">
        <v>3197</v>
      </c>
      <c r="J94" s="52" t="s">
        <v>48</v>
      </c>
      <c r="K94" s="52" t="s">
        <v>49</v>
      </c>
      <c r="L94" s="52" t="s">
        <v>1422</v>
      </c>
      <c r="M94" s="52" t="s">
        <v>3292</v>
      </c>
      <c r="N94" s="52" t="s">
        <v>3293</v>
      </c>
      <c r="P94" s="52" t="s">
        <v>2729</v>
      </c>
      <c r="Q94" s="52" t="s">
        <v>2730</v>
      </c>
      <c r="R94" s="52" t="s">
        <v>3294</v>
      </c>
      <c r="S94" s="52" t="s">
        <v>2730</v>
      </c>
      <c r="T94" s="52" t="s">
        <v>3295</v>
      </c>
    </row>
    <row r="95">
      <c r="A95" s="52" t="s">
        <v>2724</v>
      </c>
      <c r="B95" s="52" t="s">
        <v>3296</v>
      </c>
      <c r="C95" s="52" t="s">
        <v>1215</v>
      </c>
      <c r="D95" s="52" t="s">
        <v>41</v>
      </c>
      <c r="E95" s="52" t="s">
        <v>811</v>
      </c>
      <c r="F95" s="52" t="s">
        <v>1214</v>
      </c>
      <c r="G95" s="52" t="s">
        <v>3297</v>
      </c>
      <c r="H95" s="52" t="s">
        <v>162</v>
      </c>
      <c r="I95" s="52" t="s">
        <v>3197</v>
      </c>
      <c r="J95" s="52" t="s">
        <v>48</v>
      </c>
      <c r="K95" s="52" t="s">
        <v>61</v>
      </c>
      <c r="L95" s="52" t="s">
        <v>1337</v>
      </c>
      <c r="M95" s="52" t="s">
        <v>3298</v>
      </c>
      <c r="N95" s="52" t="s">
        <v>3299</v>
      </c>
      <c r="P95" s="52" t="s">
        <v>2729</v>
      </c>
      <c r="Q95" s="52" t="s">
        <v>2730</v>
      </c>
      <c r="R95" s="52" t="s">
        <v>3300</v>
      </c>
      <c r="S95" s="52" t="s">
        <v>2730</v>
      </c>
      <c r="T95" s="52" t="s">
        <v>3301</v>
      </c>
    </row>
    <row r="96">
      <c r="A96" s="52" t="s">
        <v>2724</v>
      </c>
      <c r="B96" s="52" t="s">
        <v>3302</v>
      </c>
      <c r="C96" s="52" t="s">
        <v>1215</v>
      </c>
      <c r="D96" s="52" t="s">
        <v>41</v>
      </c>
      <c r="E96" s="52" t="s">
        <v>811</v>
      </c>
      <c r="F96" s="52" t="s">
        <v>1214</v>
      </c>
      <c r="G96" s="52" t="s">
        <v>3304</v>
      </c>
      <c r="H96" s="52" t="s">
        <v>162</v>
      </c>
      <c r="I96" s="52" t="s">
        <v>3197</v>
      </c>
      <c r="J96" s="52" t="s">
        <v>48</v>
      </c>
      <c r="K96" s="52" t="s">
        <v>428</v>
      </c>
      <c r="L96" s="52" t="s">
        <v>3305</v>
      </c>
      <c r="M96" s="52" t="s">
        <v>3306</v>
      </c>
      <c r="N96" s="52" t="s">
        <v>3307</v>
      </c>
      <c r="P96" s="52" t="s">
        <v>2729</v>
      </c>
      <c r="Q96" s="52" t="s">
        <v>2730</v>
      </c>
      <c r="R96" s="52" t="s">
        <v>3308</v>
      </c>
      <c r="S96" s="52" t="s">
        <v>2730</v>
      </c>
      <c r="T96" s="52" t="s">
        <v>3309</v>
      </c>
    </row>
    <row r="97">
      <c r="A97" s="52" t="s">
        <v>2724</v>
      </c>
      <c r="B97" s="52" t="s">
        <v>3310</v>
      </c>
      <c r="C97" s="52" t="s">
        <v>1215</v>
      </c>
      <c r="D97" s="52" t="s">
        <v>41</v>
      </c>
      <c r="E97" s="52" t="s">
        <v>811</v>
      </c>
      <c r="F97" s="52" t="s">
        <v>1214</v>
      </c>
      <c r="G97" s="52" t="s">
        <v>3311</v>
      </c>
      <c r="H97" s="52" t="s">
        <v>162</v>
      </c>
      <c r="I97" s="52" t="s">
        <v>3197</v>
      </c>
      <c r="J97" s="52" t="s">
        <v>48</v>
      </c>
      <c r="K97" s="52" t="s">
        <v>428</v>
      </c>
      <c r="L97" s="52" t="s">
        <v>1461</v>
      </c>
      <c r="M97" s="52" t="s">
        <v>3312</v>
      </c>
      <c r="N97" s="52" t="s">
        <v>1463</v>
      </c>
      <c r="P97" s="52" t="s">
        <v>2729</v>
      </c>
      <c r="Q97" s="52" t="s">
        <v>2730</v>
      </c>
      <c r="R97" s="52" t="s">
        <v>3313</v>
      </c>
      <c r="S97" s="52" t="s">
        <v>2730</v>
      </c>
      <c r="T97" s="52" t="s">
        <v>3315</v>
      </c>
    </row>
    <row r="98">
      <c r="A98" s="52" t="s">
        <v>2724</v>
      </c>
      <c r="B98" s="52" t="s">
        <v>3316</v>
      </c>
      <c r="C98" s="52" t="s">
        <v>1215</v>
      </c>
      <c r="D98" s="52" t="s">
        <v>41</v>
      </c>
      <c r="E98" s="52" t="s">
        <v>811</v>
      </c>
      <c r="F98" s="52" t="s">
        <v>1214</v>
      </c>
      <c r="G98" s="52" t="s">
        <v>3319</v>
      </c>
      <c r="H98" s="52" t="s">
        <v>162</v>
      </c>
      <c r="I98" s="52" t="s">
        <v>3197</v>
      </c>
      <c r="J98" s="52" t="s">
        <v>48</v>
      </c>
      <c r="K98" s="52" t="s">
        <v>108</v>
      </c>
      <c r="L98" s="52" t="s">
        <v>1500</v>
      </c>
      <c r="M98" s="52" t="s">
        <v>3320</v>
      </c>
      <c r="N98" s="52" t="s">
        <v>1501</v>
      </c>
      <c r="P98" s="52" t="s">
        <v>2729</v>
      </c>
      <c r="Q98" s="52" t="s">
        <v>2730</v>
      </c>
      <c r="R98" s="52" t="s">
        <v>3321</v>
      </c>
      <c r="S98" s="52" t="s">
        <v>2730</v>
      </c>
      <c r="T98" s="52" t="s">
        <v>3322</v>
      </c>
    </row>
    <row r="99">
      <c r="A99" s="52" t="s">
        <v>2724</v>
      </c>
      <c r="B99" s="52" t="s">
        <v>3323</v>
      </c>
      <c r="C99" s="52" t="s">
        <v>1215</v>
      </c>
      <c r="D99" s="52" t="s">
        <v>41</v>
      </c>
      <c r="E99" s="52" t="s">
        <v>811</v>
      </c>
      <c r="F99" s="52" t="s">
        <v>1214</v>
      </c>
      <c r="G99" s="52" t="s">
        <v>3324</v>
      </c>
      <c r="H99" s="52" t="s">
        <v>162</v>
      </c>
      <c r="I99" s="52" t="s">
        <v>3197</v>
      </c>
      <c r="J99" s="52" t="s">
        <v>48</v>
      </c>
      <c r="K99" s="52" t="s">
        <v>49</v>
      </c>
      <c r="L99" s="52" t="s">
        <v>1447</v>
      </c>
      <c r="M99" s="52" t="s">
        <v>3325</v>
      </c>
      <c r="N99" s="52" t="s">
        <v>1448</v>
      </c>
      <c r="P99" s="52" t="s">
        <v>2729</v>
      </c>
      <c r="Q99" s="52" t="s">
        <v>2730</v>
      </c>
      <c r="R99" s="52" t="s">
        <v>3326</v>
      </c>
      <c r="S99" s="52" t="s">
        <v>2730</v>
      </c>
      <c r="T99" s="52" t="s">
        <v>3328</v>
      </c>
    </row>
    <row r="100">
      <c r="A100" s="52" t="s">
        <v>2724</v>
      </c>
      <c r="B100" s="52" t="s">
        <v>3329</v>
      </c>
      <c r="C100" s="52" t="s">
        <v>1215</v>
      </c>
      <c r="D100" s="52" t="s">
        <v>41</v>
      </c>
      <c r="E100" s="52" t="s">
        <v>811</v>
      </c>
      <c r="F100" s="52" t="s">
        <v>1214</v>
      </c>
      <c r="G100" s="52" t="s">
        <v>3330</v>
      </c>
      <c r="H100" s="52" t="s">
        <v>162</v>
      </c>
      <c r="I100" s="52" t="s">
        <v>3197</v>
      </c>
      <c r="J100" s="52" t="s">
        <v>48</v>
      </c>
      <c r="K100" s="52" t="s">
        <v>61</v>
      </c>
      <c r="L100" s="52" t="s">
        <v>1455</v>
      </c>
      <c r="M100" s="52" t="s">
        <v>3331</v>
      </c>
      <c r="N100" s="52" t="s">
        <v>1456</v>
      </c>
      <c r="P100" s="52" t="s">
        <v>2729</v>
      </c>
      <c r="Q100" s="52" t="s">
        <v>2730</v>
      </c>
      <c r="R100" s="52" t="s">
        <v>3332</v>
      </c>
      <c r="S100" s="52" t="s">
        <v>2730</v>
      </c>
      <c r="T100" s="52" t="s">
        <v>3333</v>
      </c>
    </row>
    <row r="101">
      <c r="A101" s="52" t="s">
        <v>2724</v>
      </c>
      <c r="B101" s="52" t="s">
        <v>3334</v>
      </c>
      <c r="C101" s="52" t="s">
        <v>1215</v>
      </c>
      <c r="D101" s="52" t="s">
        <v>41</v>
      </c>
      <c r="E101" s="52" t="s">
        <v>811</v>
      </c>
      <c r="F101" s="52" t="s">
        <v>1214</v>
      </c>
      <c r="G101" s="52" t="s">
        <v>3335</v>
      </c>
      <c r="H101" s="52" t="s">
        <v>162</v>
      </c>
      <c r="I101" s="52" t="s">
        <v>3197</v>
      </c>
      <c r="J101" s="52" t="s">
        <v>48</v>
      </c>
      <c r="K101" s="52" t="s">
        <v>49</v>
      </c>
      <c r="L101" s="52" t="s">
        <v>3336</v>
      </c>
      <c r="M101" s="52" t="s">
        <v>3337</v>
      </c>
      <c r="N101" s="52" t="s">
        <v>3338</v>
      </c>
      <c r="P101" s="52" t="s">
        <v>2729</v>
      </c>
      <c r="Q101" s="52" t="s">
        <v>2730</v>
      </c>
      <c r="R101" s="52" t="s">
        <v>3339</v>
      </c>
      <c r="S101" s="52" t="s">
        <v>2730</v>
      </c>
      <c r="T101" s="52" t="s">
        <v>3340</v>
      </c>
    </row>
    <row r="102">
      <c r="A102" s="52" t="s">
        <v>2724</v>
      </c>
      <c r="B102" s="52" t="s">
        <v>3341</v>
      </c>
      <c r="C102" s="52" t="s">
        <v>1215</v>
      </c>
      <c r="D102" s="52" t="s">
        <v>41</v>
      </c>
      <c r="E102" s="52" t="s">
        <v>811</v>
      </c>
      <c r="F102" s="52" t="s">
        <v>1214</v>
      </c>
      <c r="G102" s="52" t="s">
        <v>3342</v>
      </c>
      <c r="H102" s="52" t="s">
        <v>162</v>
      </c>
      <c r="I102" s="52" t="s">
        <v>3197</v>
      </c>
      <c r="J102" s="52" t="s">
        <v>48</v>
      </c>
      <c r="K102" s="52" t="s">
        <v>428</v>
      </c>
      <c r="L102" s="52" t="s">
        <v>1468</v>
      </c>
      <c r="M102" s="52" t="s">
        <v>3343</v>
      </c>
      <c r="N102" s="52" t="s">
        <v>1469</v>
      </c>
      <c r="P102" s="52" t="s">
        <v>2729</v>
      </c>
      <c r="Q102" s="52" t="s">
        <v>2730</v>
      </c>
      <c r="R102" s="52" t="s">
        <v>3344</v>
      </c>
      <c r="S102" s="52" t="s">
        <v>2730</v>
      </c>
      <c r="T102" s="52" t="s">
        <v>3345</v>
      </c>
    </row>
    <row r="103">
      <c r="A103" s="52" t="s">
        <v>2724</v>
      </c>
      <c r="B103" s="52" t="s">
        <v>3346</v>
      </c>
      <c r="C103" s="52" t="s">
        <v>1215</v>
      </c>
      <c r="D103" s="52" t="s">
        <v>41</v>
      </c>
      <c r="E103" s="52" t="s">
        <v>811</v>
      </c>
      <c r="F103" s="52" t="s">
        <v>1214</v>
      </c>
      <c r="G103" s="52" t="s">
        <v>3347</v>
      </c>
      <c r="H103" s="52" t="s">
        <v>162</v>
      </c>
      <c r="I103" s="52" t="s">
        <v>3197</v>
      </c>
      <c r="J103" s="52" t="s">
        <v>48</v>
      </c>
      <c r="K103" s="52" t="s">
        <v>49</v>
      </c>
      <c r="L103" s="52" t="s">
        <v>1474</v>
      </c>
      <c r="M103" s="52" t="s">
        <v>3349</v>
      </c>
      <c r="N103" s="52" t="s">
        <v>1476</v>
      </c>
      <c r="P103" s="52" t="s">
        <v>2729</v>
      </c>
      <c r="Q103" s="52" t="s">
        <v>2730</v>
      </c>
      <c r="R103" s="52" t="s">
        <v>3350</v>
      </c>
      <c r="S103" s="52" t="s">
        <v>2730</v>
      </c>
      <c r="T103" s="52" t="s">
        <v>3351</v>
      </c>
    </row>
    <row r="104">
      <c r="A104" s="52" t="s">
        <v>2724</v>
      </c>
      <c r="B104" s="52" t="s">
        <v>3352</v>
      </c>
      <c r="C104" s="52" t="s">
        <v>1215</v>
      </c>
      <c r="D104" s="52" t="s">
        <v>41</v>
      </c>
      <c r="E104" s="52" t="s">
        <v>811</v>
      </c>
      <c r="F104" s="52" t="s">
        <v>1214</v>
      </c>
      <c r="G104" s="52" t="s">
        <v>3167</v>
      </c>
      <c r="H104" s="52" t="s">
        <v>162</v>
      </c>
      <c r="I104" s="52" t="s">
        <v>3197</v>
      </c>
      <c r="J104" s="52" t="s">
        <v>48</v>
      </c>
      <c r="K104" s="52" t="s">
        <v>49</v>
      </c>
      <c r="L104" s="52" t="s">
        <v>1282</v>
      </c>
      <c r="M104" s="52" t="s">
        <v>3354</v>
      </c>
      <c r="N104" s="52" t="s">
        <v>1481</v>
      </c>
      <c r="P104" s="52" t="s">
        <v>2729</v>
      </c>
      <c r="Q104" s="52" t="s">
        <v>2730</v>
      </c>
      <c r="R104" s="52" t="s">
        <v>3355</v>
      </c>
      <c r="S104" s="52" t="s">
        <v>2730</v>
      </c>
      <c r="T104" s="52" t="s">
        <v>3357</v>
      </c>
    </row>
    <row r="105">
      <c r="A105" s="52" t="s">
        <v>2724</v>
      </c>
      <c r="B105" s="52" t="s">
        <v>3359</v>
      </c>
      <c r="C105" s="52" t="s">
        <v>1215</v>
      </c>
      <c r="D105" s="52" t="s">
        <v>41</v>
      </c>
      <c r="E105" s="52" t="s">
        <v>811</v>
      </c>
      <c r="F105" s="52" t="s">
        <v>1214</v>
      </c>
      <c r="G105" s="52" t="s">
        <v>3361</v>
      </c>
      <c r="H105" s="52" t="s">
        <v>162</v>
      </c>
      <c r="I105" s="52" t="s">
        <v>3197</v>
      </c>
      <c r="J105" s="52" t="s">
        <v>48</v>
      </c>
      <c r="K105" s="52" t="s">
        <v>49</v>
      </c>
      <c r="L105" s="52" t="s">
        <v>1488</v>
      </c>
      <c r="M105" s="52" t="s">
        <v>3363</v>
      </c>
      <c r="N105" s="52" t="s">
        <v>3364</v>
      </c>
      <c r="P105" s="52" t="s">
        <v>2729</v>
      </c>
      <c r="Q105" s="52" t="s">
        <v>900</v>
      </c>
      <c r="R105" s="52" t="s">
        <v>3365</v>
      </c>
      <c r="S105" s="52" t="s">
        <v>900</v>
      </c>
      <c r="T105" s="52" t="s">
        <v>3366</v>
      </c>
    </row>
    <row r="106">
      <c r="A106" s="52" t="s">
        <v>2724</v>
      </c>
      <c r="B106" s="52" t="s">
        <v>3367</v>
      </c>
      <c r="C106" s="52" t="s">
        <v>1215</v>
      </c>
      <c r="D106" s="52" t="s">
        <v>41</v>
      </c>
      <c r="E106" s="52" t="s">
        <v>811</v>
      </c>
      <c r="F106" s="52" t="s">
        <v>1214</v>
      </c>
      <c r="G106" s="52" t="s">
        <v>3368</v>
      </c>
      <c r="H106" s="52" t="s">
        <v>162</v>
      </c>
      <c r="I106" s="52" t="s">
        <v>3197</v>
      </c>
      <c r="J106" s="52" t="s">
        <v>48</v>
      </c>
      <c r="K106" s="52" t="s">
        <v>49</v>
      </c>
      <c r="L106" s="52" t="s">
        <v>1492</v>
      </c>
      <c r="M106" s="52" t="s">
        <v>3369</v>
      </c>
      <c r="N106" s="52" t="s">
        <v>1493</v>
      </c>
      <c r="O106" s="52" t="s">
        <v>3370</v>
      </c>
      <c r="P106" s="52" t="s">
        <v>2729</v>
      </c>
      <c r="Q106" s="52" t="s">
        <v>2730</v>
      </c>
      <c r="S106" s="52" t="s">
        <v>2730</v>
      </c>
    </row>
    <row r="107">
      <c r="A107" s="52" t="s">
        <v>2724</v>
      </c>
      <c r="B107" s="52" t="s">
        <v>3371</v>
      </c>
      <c r="C107" s="52" t="s">
        <v>1215</v>
      </c>
      <c r="D107" s="52" t="s">
        <v>41</v>
      </c>
      <c r="E107" s="52" t="s">
        <v>811</v>
      </c>
      <c r="F107" s="52" t="s">
        <v>1214</v>
      </c>
      <c r="G107" s="52" t="s">
        <v>3372</v>
      </c>
      <c r="H107" s="52" t="s">
        <v>162</v>
      </c>
      <c r="I107" s="52" t="s">
        <v>3197</v>
      </c>
      <c r="J107" s="52" t="s">
        <v>48</v>
      </c>
      <c r="K107" s="52" t="s">
        <v>428</v>
      </c>
      <c r="L107" s="52" t="s">
        <v>3373</v>
      </c>
      <c r="M107" s="52" t="s">
        <v>3374</v>
      </c>
      <c r="N107" s="52" t="s">
        <v>3375</v>
      </c>
      <c r="P107" s="52" t="s">
        <v>2729</v>
      </c>
      <c r="Q107" s="52" t="s">
        <v>2730</v>
      </c>
      <c r="S107" s="52" t="s">
        <v>2730</v>
      </c>
    </row>
    <row r="108">
      <c r="A108" s="52" t="s">
        <v>2724</v>
      </c>
      <c r="B108" s="52" t="s">
        <v>3376</v>
      </c>
      <c r="C108" s="52" t="s">
        <v>1215</v>
      </c>
      <c r="D108" s="52" t="s">
        <v>41</v>
      </c>
      <c r="E108" s="52" t="s">
        <v>811</v>
      </c>
      <c r="F108" s="52" t="s">
        <v>1214</v>
      </c>
      <c r="G108" s="52" t="s">
        <v>3377</v>
      </c>
      <c r="H108" s="52" t="s">
        <v>162</v>
      </c>
      <c r="I108" s="52" t="s">
        <v>3197</v>
      </c>
      <c r="J108" s="52" t="s">
        <v>48</v>
      </c>
      <c r="K108" s="52" t="s">
        <v>49</v>
      </c>
      <c r="L108" s="52" t="s">
        <v>3378</v>
      </c>
      <c r="M108" s="52" t="s">
        <v>3379</v>
      </c>
      <c r="N108" s="52" t="s">
        <v>3381</v>
      </c>
      <c r="P108" s="52" t="s">
        <v>2729</v>
      </c>
      <c r="Q108" s="52" t="s">
        <v>2730</v>
      </c>
      <c r="R108" s="52" t="s">
        <v>3382</v>
      </c>
      <c r="S108" s="52" t="s">
        <v>2730</v>
      </c>
      <c r="T108" s="52" t="s">
        <v>3383</v>
      </c>
    </row>
    <row r="109">
      <c r="A109" s="52" t="s">
        <v>2724</v>
      </c>
      <c r="B109" s="52" t="s">
        <v>3384</v>
      </c>
      <c r="C109" s="52" t="s">
        <v>1215</v>
      </c>
      <c r="D109" s="52" t="s">
        <v>41</v>
      </c>
      <c r="E109" s="52" t="s">
        <v>811</v>
      </c>
      <c r="F109" s="52" t="s">
        <v>1214</v>
      </c>
      <c r="G109" s="52" t="s">
        <v>3385</v>
      </c>
      <c r="H109" s="52" t="s">
        <v>162</v>
      </c>
      <c r="I109" s="52" t="s">
        <v>3197</v>
      </c>
      <c r="J109" s="52" t="s">
        <v>48</v>
      </c>
      <c r="K109" s="52" t="s">
        <v>49</v>
      </c>
      <c r="L109" s="52" t="s">
        <v>3386</v>
      </c>
      <c r="M109" s="52" t="s">
        <v>3387</v>
      </c>
      <c r="N109" s="52" t="s">
        <v>3388</v>
      </c>
      <c r="P109" s="52" t="s">
        <v>2729</v>
      </c>
      <c r="Q109" s="52" t="s">
        <v>2730</v>
      </c>
      <c r="R109" s="52" t="s">
        <v>3390</v>
      </c>
      <c r="S109" s="52" t="s">
        <v>2730</v>
      </c>
      <c r="T109" s="52" t="s">
        <v>3392</v>
      </c>
    </row>
    <row r="110">
      <c r="A110" s="52" t="s">
        <v>2724</v>
      </c>
      <c r="B110" s="52" t="s">
        <v>3393</v>
      </c>
      <c r="C110" s="52" t="s">
        <v>1223</v>
      </c>
      <c r="D110" s="52" t="s">
        <v>41</v>
      </c>
      <c r="E110" s="52" t="s">
        <v>811</v>
      </c>
      <c r="F110" s="52" t="s">
        <v>1222</v>
      </c>
      <c r="G110" s="52" t="s">
        <v>3394</v>
      </c>
      <c r="H110" s="52" t="s">
        <v>162</v>
      </c>
      <c r="I110" s="52" t="s">
        <v>3395</v>
      </c>
      <c r="J110" s="52" t="s">
        <v>48</v>
      </c>
      <c r="K110" s="52" t="s">
        <v>49</v>
      </c>
      <c r="L110" s="52" t="s">
        <v>1505</v>
      </c>
      <c r="M110" s="52" t="s">
        <v>3396</v>
      </c>
      <c r="N110" s="52" t="s">
        <v>3397</v>
      </c>
      <c r="P110" s="52" t="s">
        <v>2729</v>
      </c>
      <c r="Q110" s="52" t="s">
        <v>2730</v>
      </c>
      <c r="R110" s="52" t="s">
        <v>3398</v>
      </c>
      <c r="S110" s="52" t="s">
        <v>2730</v>
      </c>
      <c r="T110" s="52" t="s">
        <v>3399</v>
      </c>
    </row>
    <row r="111">
      <c r="A111" s="52" t="s">
        <v>2724</v>
      </c>
      <c r="B111" s="52" t="s">
        <v>3400</v>
      </c>
      <c r="C111" s="52" t="s">
        <v>1223</v>
      </c>
      <c r="D111" s="52" t="s">
        <v>41</v>
      </c>
      <c r="E111" s="52" t="s">
        <v>811</v>
      </c>
      <c r="F111" s="52" t="s">
        <v>1222</v>
      </c>
      <c r="G111" s="52" t="s">
        <v>3401</v>
      </c>
      <c r="H111" s="52" t="s">
        <v>162</v>
      </c>
      <c r="I111" s="52" t="s">
        <v>3395</v>
      </c>
      <c r="J111" s="52" t="s">
        <v>48</v>
      </c>
      <c r="K111" s="52" t="s">
        <v>49</v>
      </c>
      <c r="L111" s="52" t="s">
        <v>1513</v>
      </c>
      <c r="M111" s="52" t="s">
        <v>3402</v>
      </c>
      <c r="N111" s="52" t="s">
        <v>1514</v>
      </c>
      <c r="P111" s="52" t="s">
        <v>2729</v>
      </c>
      <c r="Q111" s="52" t="s">
        <v>2730</v>
      </c>
      <c r="R111" s="52" t="s">
        <v>3403</v>
      </c>
      <c r="S111" s="52" t="s">
        <v>2730</v>
      </c>
      <c r="T111" s="52" t="s">
        <v>3404</v>
      </c>
    </row>
    <row r="112">
      <c r="A112" s="52" t="s">
        <v>2724</v>
      </c>
      <c r="B112" s="52" t="s">
        <v>3406</v>
      </c>
      <c r="C112" s="52" t="s">
        <v>1223</v>
      </c>
      <c r="D112" s="52" t="s">
        <v>41</v>
      </c>
      <c r="E112" s="52" t="s">
        <v>811</v>
      </c>
      <c r="F112" s="52" t="s">
        <v>1222</v>
      </c>
      <c r="G112" s="52" t="s">
        <v>3407</v>
      </c>
      <c r="H112" s="52" t="s">
        <v>162</v>
      </c>
      <c r="I112" s="52" t="s">
        <v>3395</v>
      </c>
      <c r="J112" s="52" t="s">
        <v>48</v>
      </c>
      <c r="K112" s="52" t="s">
        <v>49</v>
      </c>
      <c r="L112" s="52" t="s">
        <v>1589</v>
      </c>
      <c r="M112" s="52" t="s">
        <v>3408</v>
      </c>
      <c r="N112" s="52" t="s">
        <v>1519</v>
      </c>
      <c r="P112" s="52" t="s">
        <v>2729</v>
      </c>
      <c r="Q112" s="52" t="s">
        <v>2730</v>
      </c>
      <c r="R112" s="52" t="s">
        <v>3409</v>
      </c>
      <c r="S112" s="52" t="s">
        <v>2730</v>
      </c>
      <c r="T112" s="52" t="s">
        <v>3410</v>
      </c>
    </row>
    <row r="113">
      <c r="A113" s="52" t="s">
        <v>2724</v>
      </c>
      <c r="B113" s="52" t="s">
        <v>3411</v>
      </c>
      <c r="C113" s="52" t="s">
        <v>1223</v>
      </c>
      <c r="D113" s="52" t="s">
        <v>41</v>
      </c>
      <c r="E113" s="52" t="s">
        <v>811</v>
      </c>
      <c r="F113" s="52" t="s">
        <v>1222</v>
      </c>
      <c r="G113" s="52" t="s">
        <v>3412</v>
      </c>
      <c r="H113" s="52" t="s">
        <v>162</v>
      </c>
      <c r="I113" s="52" t="s">
        <v>3395</v>
      </c>
      <c r="J113" s="52" t="s">
        <v>48</v>
      </c>
      <c r="K113" s="52" t="s">
        <v>49</v>
      </c>
      <c r="L113" s="52" t="s">
        <v>1525</v>
      </c>
      <c r="M113" s="52" t="s">
        <v>3413</v>
      </c>
      <c r="N113" s="52" t="s">
        <v>1526</v>
      </c>
      <c r="P113" s="52" t="s">
        <v>2729</v>
      </c>
      <c r="Q113" s="52" t="s">
        <v>2730</v>
      </c>
      <c r="R113" s="52" t="s">
        <v>3414</v>
      </c>
      <c r="S113" s="52" t="s">
        <v>2730</v>
      </c>
      <c r="T113" s="52" t="s">
        <v>3415</v>
      </c>
    </row>
    <row r="114">
      <c r="A114" s="52" t="s">
        <v>2724</v>
      </c>
      <c r="B114" s="52" t="s">
        <v>3416</v>
      </c>
      <c r="C114" s="52" t="s">
        <v>1223</v>
      </c>
      <c r="D114" s="52" t="s">
        <v>41</v>
      </c>
      <c r="E114" s="52" t="s">
        <v>811</v>
      </c>
      <c r="F114" s="52" t="s">
        <v>1222</v>
      </c>
      <c r="G114" s="52" t="s">
        <v>3417</v>
      </c>
      <c r="H114" s="52" t="s">
        <v>162</v>
      </c>
      <c r="I114" s="52" t="s">
        <v>3395</v>
      </c>
      <c r="J114" s="52" t="s">
        <v>48</v>
      </c>
      <c r="K114" s="52" t="s">
        <v>61</v>
      </c>
      <c r="L114" s="52" t="s">
        <v>1529</v>
      </c>
      <c r="M114" s="52" t="s">
        <v>3418</v>
      </c>
      <c r="N114" s="52" t="s">
        <v>1530</v>
      </c>
      <c r="P114" s="52" t="s">
        <v>2729</v>
      </c>
      <c r="Q114" s="52" t="s">
        <v>2730</v>
      </c>
      <c r="S114" s="52" t="s">
        <v>2730</v>
      </c>
    </row>
    <row r="115">
      <c r="A115" s="52" t="s">
        <v>2724</v>
      </c>
      <c r="B115" s="52" t="s">
        <v>3419</v>
      </c>
      <c r="C115" s="52" t="s">
        <v>1223</v>
      </c>
      <c r="D115" s="52" t="s">
        <v>41</v>
      </c>
      <c r="E115" s="52" t="s">
        <v>811</v>
      </c>
      <c r="F115" s="52" t="s">
        <v>1222</v>
      </c>
      <c r="G115" s="52" t="s">
        <v>3421</v>
      </c>
      <c r="H115" s="52" t="s">
        <v>162</v>
      </c>
      <c r="I115" s="52" t="s">
        <v>3395</v>
      </c>
      <c r="J115" s="52" t="s">
        <v>48</v>
      </c>
      <c r="K115" s="52" t="s">
        <v>49</v>
      </c>
      <c r="L115" s="52" t="s">
        <v>1536</v>
      </c>
      <c r="M115" s="52" t="s">
        <v>3422</v>
      </c>
      <c r="N115" s="52" t="s">
        <v>3423</v>
      </c>
      <c r="P115" s="52" t="s">
        <v>2729</v>
      </c>
      <c r="Q115" s="52" t="s">
        <v>2730</v>
      </c>
      <c r="R115" s="52" t="s">
        <v>3424</v>
      </c>
      <c r="S115" s="52" t="s">
        <v>2730</v>
      </c>
      <c r="T115" s="52" t="s">
        <v>3425</v>
      </c>
    </row>
    <row r="116">
      <c r="A116" s="52" t="s">
        <v>2724</v>
      </c>
      <c r="B116" s="52" t="s">
        <v>3427</v>
      </c>
      <c r="C116" s="52" t="s">
        <v>1223</v>
      </c>
      <c r="D116" s="52" t="s">
        <v>41</v>
      </c>
      <c r="E116" s="52" t="s">
        <v>811</v>
      </c>
      <c r="F116" s="52" t="s">
        <v>1222</v>
      </c>
      <c r="G116" s="52" t="s">
        <v>3428</v>
      </c>
      <c r="H116" s="52" t="s">
        <v>162</v>
      </c>
      <c r="I116" s="52" t="s">
        <v>3395</v>
      </c>
      <c r="J116" s="52" t="s">
        <v>48</v>
      </c>
      <c r="K116" s="52" t="s">
        <v>428</v>
      </c>
      <c r="L116" s="52" t="s">
        <v>1549</v>
      </c>
      <c r="M116" s="52" t="s">
        <v>3429</v>
      </c>
      <c r="N116" s="52" t="s">
        <v>1550</v>
      </c>
      <c r="P116" s="52" t="s">
        <v>2729</v>
      </c>
      <c r="Q116" s="52" t="s">
        <v>2730</v>
      </c>
      <c r="R116" s="52" t="s">
        <v>3431</v>
      </c>
      <c r="S116" s="52" t="s">
        <v>2730</v>
      </c>
      <c r="T116" s="52" t="s">
        <v>3432</v>
      </c>
    </row>
    <row r="117">
      <c r="A117" s="52" t="s">
        <v>2724</v>
      </c>
      <c r="B117" s="52" t="s">
        <v>3433</v>
      </c>
      <c r="C117" s="52" t="s">
        <v>1223</v>
      </c>
      <c r="D117" s="52" t="s">
        <v>41</v>
      </c>
      <c r="E117" s="52" t="s">
        <v>811</v>
      </c>
      <c r="F117" s="52" t="s">
        <v>1222</v>
      </c>
      <c r="G117" s="52" t="s">
        <v>3434</v>
      </c>
      <c r="H117" s="52" t="s">
        <v>162</v>
      </c>
      <c r="I117" s="52" t="s">
        <v>3395</v>
      </c>
      <c r="J117" s="52" t="s">
        <v>48</v>
      </c>
      <c r="K117" s="52" t="s">
        <v>49</v>
      </c>
      <c r="L117" s="52" t="s">
        <v>1555</v>
      </c>
      <c r="M117" s="52" t="s">
        <v>3435</v>
      </c>
      <c r="N117" s="52" t="s">
        <v>1556</v>
      </c>
      <c r="P117" s="52" t="s">
        <v>2729</v>
      </c>
      <c r="Q117" s="52" t="s">
        <v>2730</v>
      </c>
      <c r="R117" s="52" t="s">
        <v>3436</v>
      </c>
      <c r="S117" s="52" t="s">
        <v>2730</v>
      </c>
      <c r="T117" s="52" t="s">
        <v>3437</v>
      </c>
    </row>
    <row r="118">
      <c r="A118" s="52" t="s">
        <v>2724</v>
      </c>
      <c r="B118" s="52" t="s">
        <v>3438</v>
      </c>
      <c r="C118" s="52" t="s">
        <v>1223</v>
      </c>
      <c r="D118" s="52" t="s">
        <v>41</v>
      </c>
      <c r="E118" s="52" t="s">
        <v>811</v>
      </c>
      <c r="F118" s="52" t="s">
        <v>1222</v>
      </c>
      <c r="G118" s="52" t="s">
        <v>3439</v>
      </c>
      <c r="H118" s="52" t="s">
        <v>162</v>
      </c>
      <c r="I118" s="52" t="s">
        <v>3395</v>
      </c>
      <c r="J118" s="52" t="s">
        <v>48</v>
      </c>
      <c r="K118" s="52" t="s">
        <v>49</v>
      </c>
      <c r="L118" s="52" t="s">
        <v>1563</v>
      </c>
      <c r="M118" s="52" t="s">
        <v>3440</v>
      </c>
      <c r="N118" s="52" t="s">
        <v>1564</v>
      </c>
      <c r="P118" s="52" t="s">
        <v>2729</v>
      </c>
      <c r="Q118" s="52" t="s">
        <v>2730</v>
      </c>
      <c r="S118" s="52" t="s">
        <v>2730</v>
      </c>
    </row>
    <row r="119">
      <c r="A119" s="52" t="s">
        <v>2724</v>
      </c>
      <c r="B119" s="52" t="s">
        <v>3441</v>
      </c>
      <c r="C119" s="52" t="s">
        <v>1223</v>
      </c>
      <c r="D119" s="52" t="s">
        <v>41</v>
      </c>
      <c r="E119" s="52" t="s">
        <v>811</v>
      </c>
      <c r="F119" s="52" t="s">
        <v>1222</v>
      </c>
      <c r="G119" s="52" t="s">
        <v>3330</v>
      </c>
      <c r="H119" s="52" t="s">
        <v>162</v>
      </c>
      <c r="I119" s="52" t="s">
        <v>3395</v>
      </c>
      <c r="J119" s="52" t="s">
        <v>48</v>
      </c>
      <c r="K119" s="52" t="s">
        <v>61</v>
      </c>
      <c r="L119" s="52" t="s">
        <v>1455</v>
      </c>
      <c r="M119" s="52" t="s">
        <v>3442</v>
      </c>
      <c r="N119" s="52" t="s">
        <v>1567</v>
      </c>
      <c r="P119" s="52" t="s">
        <v>2729</v>
      </c>
      <c r="Q119" s="52" t="s">
        <v>2730</v>
      </c>
      <c r="R119" s="52" t="s">
        <v>3443</v>
      </c>
      <c r="S119" s="52" t="s">
        <v>2730</v>
      </c>
      <c r="T119" s="52" t="s">
        <v>3444</v>
      </c>
    </row>
    <row r="120">
      <c r="A120" s="52" t="s">
        <v>2724</v>
      </c>
      <c r="B120" s="52" t="s">
        <v>3445</v>
      </c>
      <c r="C120" s="52" t="s">
        <v>1223</v>
      </c>
      <c r="D120" s="52" t="s">
        <v>41</v>
      </c>
      <c r="E120" s="52" t="s">
        <v>811</v>
      </c>
      <c r="F120" s="52" t="s">
        <v>1222</v>
      </c>
      <c r="G120" s="52" t="s">
        <v>3446</v>
      </c>
      <c r="H120" s="52" t="s">
        <v>162</v>
      </c>
      <c r="I120" s="52" t="s">
        <v>3395</v>
      </c>
      <c r="J120" s="52" t="s">
        <v>48</v>
      </c>
      <c r="K120" s="52" t="s">
        <v>61</v>
      </c>
      <c r="L120" s="52" t="s">
        <v>407</v>
      </c>
      <c r="M120" s="52" t="s">
        <v>3447</v>
      </c>
      <c r="N120" s="52" t="s">
        <v>408</v>
      </c>
      <c r="P120" s="52" t="s">
        <v>2729</v>
      </c>
      <c r="Q120" s="52" t="s">
        <v>2730</v>
      </c>
      <c r="R120" s="52" t="s">
        <v>3448</v>
      </c>
      <c r="S120" s="52" t="s">
        <v>2730</v>
      </c>
      <c r="T120" s="52" t="s">
        <v>3449</v>
      </c>
    </row>
    <row r="121">
      <c r="A121" s="52" t="s">
        <v>2724</v>
      </c>
      <c r="B121" s="52" t="s">
        <v>3450</v>
      </c>
      <c r="C121" s="52" t="s">
        <v>1223</v>
      </c>
      <c r="D121" s="52" t="s">
        <v>41</v>
      </c>
      <c r="E121" s="52" t="s">
        <v>811</v>
      </c>
      <c r="F121" s="52" t="s">
        <v>1222</v>
      </c>
      <c r="G121" s="52" t="s">
        <v>3372</v>
      </c>
      <c r="H121" s="52" t="s">
        <v>162</v>
      </c>
      <c r="I121" s="52" t="s">
        <v>3395</v>
      </c>
      <c r="J121" s="52" t="s">
        <v>48</v>
      </c>
      <c r="K121" s="52" t="s">
        <v>61</v>
      </c>
      <c r="L121" s="52" t="s">
        <v>415</v>
      </c>
      <c r="M121" s="52" t="s">
        <v>3452</v>
      </c>
      <c r="N121" s="52" t="s">
        <v>417</v>
      </c>
      <c r="P121" s="52" t="s">
        <v>2729</v>
      </c>
      <c r="Q121" s="52" t="s">
        <v>2730</v>
      </c>
      <c r="R121" s="52" t="s">
        <v>3453</v>
      </c>
      <c r="S121" s="52" t="s">
        <v>2730</v>
      </c>
      <c r="T121" s="52" t="s">
        <v>3454</v>
      </c>
    </row>
    <row r="122">
      <c r="A122" s="52" t="s">
        <v>2724</v>
      </c>
      <c r="B122" s="52" t="s">
        <v>3455</v>
      </c>
      <c r="C122" s="52" t="s">
        <v>1223</v>
      </c>
      <c r="D122" s="52" t="s">
        <v>41</v>
      </c>
      <c r="E122" s="52" t="s">
        <v>811</v>
      </c>
      <c r="F122" s="52" t="s">
        <v>1222</v>
      </c>
      <c r="G122" s="52" t="s">
        <v>3456</v>
      </c>
      <c r="H122" s="52" t="s">
        <v>162</v>
      </c>
      <c r="I122" s="52" t="s">
        <v>3395</v>
      </c>
      <c r="J122" s="52" t="s">
        <v>48</v>
      </c>
      <c r="K122" s="52" t="s">
        <v>428</v>
      </c>
      <c r="L122" s="52" t="s">
        <v>1582</v>
      </c>
      <c r="M122" s="52" t="s">
        <v>3457</v>
      </c>
      <c r="N122" s="52" t="s">
        <v>1583</v>
      </c>
      <c r="P122" s="52" t="s">
        <v>2729</v>
      </c>
      <c r="Q122" s="52" t="s">
        <v>2730</v>
      </c>
      <c r="R122" s="52" t="s">
        <v>3458</v>
      </c>
      <c r="S122" s="52" t="s">
        <v>2730</v>
      </c>
      <c r="T122" s="52" t="s">
        <v>3460</v>
      </c>
    </row>
    <row r="123">
      <c r="A123" s="52" t="s">
        <v>2724</v>
      </c>
      <c r="B123" s="52" t="s">
        <v>3461</v>
      </c>
      <c r="C123" s="52" t="s">
        <v>1245</v>
      </c>
      <c r="D123" s="52" t="s">
        <v>41</v>
      </c>
      <c r="E123" s="52" t="s">
        <v>811</v>
      </c>
      <c r="F123" s="52" t="s">
        <v>1243</v>
      </c>
      <c r="G123" s="52" t="s">
        <v>3462</v>
      </c>
      <c r="H123" s="52" t="s">
        <v>162</v>
      </c>
      <c r="I123" s="52" t="s">
        <v>3463</v>
      </c>
      <c r="J123" s="52" t="s">
        <v>48</v>
      </c>
      <c r="K123" s="52" t="s">
        <v>49</v>
      </c>
      <c r="L123" s="52" t="s">
        <v>1615</v>
      </c>
      <c r="M123" s="52" t="s">
        <v>3464</v>
      </c>
      <c r="N123" s="52" t="s">
        <v>1616</v>
      </c>
      <c r="P123" s="52" t="s">
        <v>2729</v>
      </c>
      <c r="Q123" s="52" t="s">
        <v>2730</v>
      </c>
      <c r="R123" s="52" t="s">
        <v>3465</v>
      </c>
      <c r="S123" s="52" t="s">
        <v>2730</v>
      </c>
      <c r="T123" s="52" t="s">
        <v>3466</v>
      </c>
    </row>
    <row r="124">
      <c r="A124" s="52" t="s">
        <v>2724</v>
      </c>
      <c r="B124" s="52" t="s">
        <v>3467</v>
      </c>
      <c r="C124" s="52" t="s">
        <v>1245</v>
      </c>
      <c r="D124" s="52" t="s">
        <v>41</v>
      </c>
      <c r="E124" s="52" t="s">
        <v>811</v>
      </c>
      <c r="F124" s="52" t="s">
        <v>1243</v>
      </c>
      <c r="G124" s="52" t="s">
        <v>3468</v>
      </c>
      <c r="H124" s="52" t="s">
        <v>162</v>
      </c>
      <c r="I124" s="52" t="s">
        <v>3463</v>
      </c>
      <c r="J124" s="52" t="s">
        <v>48</v>
      </c>
      <c r="K124" s="52" t="s">
        <v>49</v>
      </c>
      <c r="L124" s="52" t="s">
        <v>1622</v>
      </c>
      <c r="M124" s="52" t="s">
        <v>3469</v>
      </c>
      <c r="N124" s="52" t="s">
        <v>1623</v>
      </c>
      <c r="P124" s="52" t="s">
        <v>2729</v>
      </c>
      <c r="Q124" s="52" t="s">
        <v>2730</v>
      </c>
      <c r="R124" s="52" t="s">
        <v>3471</v>
      </c>
      <c r="S124" s="52" t="s">
        <v>2730</v>
      </c>
      <c r="T124" s="52" t="s">
        <v>3473</v>
      </c>
    </row>
    <row r="125">
      <c r="A125" s="52" t="s">
        <v>2724</v>
      </c>
      <c r="B125" s="52" t="s">
        <v>3474</v>
      </c>
      <c r="C125" s="52" t="s">
        <v>1245</v>
      </c>
      <c r="D125" s="52" t="s">
        <v>41</v>
      </c>
      <c r="E125" s="52" t="s">
        <v>811</v>
      </c>
      <c r="F125" s="52" t="s">
        <v>1243</v>
      </c>
      <c r="G125" s="52" t="s">
        <v>3475</v>
      </c>
      <c r="H125" s="52" t="s">
        <v>162</v>
      </c>
      <c r="I125" s="52" t="s">
        <v>3463</v>
      </c>
      <c r="J125" s="52" t="s">
        <v>48</v>
      </c>
      <c r="K125" s="52" t="s">
        <v>428</v>
      </c>
      <c r="L125" s="52" t="s">
        <v>1627</v>
      </c>
      <c r="M125" s="52" t="s">
        <v>3476</v>
      </c>
      <c r="N125" s="52" t="s">
        <v>1628</v>
      </c>
      <c r="P125" s="52" t="s">
        <v>2729</v>
      </c>
      <c r="Q125" s="52" t="s">
        <v>2730</v>
      </c>
      <c r="S125" s="52" t="s">
        <v>2730</v>
      </c>
    </row>
    <row r="126">
      <c r="A126" s="52" t="s">
        <v>2724</v>
      </c>
      <c r="B126" s="52" t="s">
        <v>3477</v>
      </c>
      <c r="C126" s="52" t="s">
        <v>1245</v>
      </c>
      <c r="D126" s="52" t="s">
        <v>41</v>
      </c>
      <c r="E126" s="52" t="s">
        <v>811</v>
      </c>
      <c r="F126" s="52" t="s">
        <v>1243</v>
      </c>
      <c r="G126" s="52" t="s">
        <v>3478</v>
      </c>
      <c r="H126" s="52" t="s">
        <v>162</v>
      </c>
      <c r="I126" s="52" t="s">
        <v>3463</v>
      </c>
      <c r="J126" s="52" t="s">
        <v>48</v>
      </c>
      <c r="K126" s="52" t="s">
        <v>49</v>
      </c>
      <c r="L126" s="52" t="s">
        <v>1639</v>
      </c>
      <c r="M126" s="52" t="s">
        <v>3479</v>
      </c>
      <c r="N126" s="52" t="s">
        <v>1640</v>
      </c>
      <c r="P126" s="52" t="s">
        <v>2729</v>
      </c>
      <c r="Q126" s="52" t="s">
        <v>2730</v>
      </c>
      <c r="R126" s="52" t="s">
        <v>3480</v>
      </c>
      <c r="S126" s="52" t="s">
        <v>2730</v>
      </c>
      <c r="T126" s="52" t="s">
        <v>3481</v>
      </c>
    </row>
    <row r="127">
      <c r="A127" s="52" t="s">
        <v>2724</v>
      </c>
      <c r="B127" s="52" t="s">
        <v>3482</v>
      </c>
      <c r="C127" s="52" t="s">
        <v>1245</v>
      </c>
      <c r="D127" s="52" t="s">
        <v>41</v>
      </c>
      <c r="E127" s="52" t="s">
        <v>811</v>
      </c>
      <c r="F127" s="52" t="s">
        <v>1243</v>
      </c>
      <c r="G127" s="52" t="s">
        <v>3483</v>
      </c>
      <c r="H127" s="52" t="s">
        <v>162</v>
      </c>
      <c r="I127" s="52" t="s">
        <v>3463</v>
      </c>
      <c r="J127" s="52" t="s">
        <v>48</v>
      </c>
      <c r="K127" s="52" t="s">
        <v>49</v>
      </c>
      <c r="L127" s="52" t="s">
        <v>1633</v>
      </c>
      <c r="M127" s="52" t="s">
        <v>3484</v>
      </c>
      <c r="N127" s="52" t="s">
        <v>1634</v>
      </c>
      <c r="P127" s="52" t="s">
        <v>2729</v>
      </c>
      <c r="Q127" s="52" t="s">
        <v>2730</v>
      </c>
      <c r="R127" s="52" t="s">
        <v>3485</v>
      </c>
      <c r="S127" s="52" t="s">
        <v>2730</v>
      </c>
      <c r="T127" s="52" t="s">
        <v>3486</v>
      </c>
    </row>
    <row r="128">
      <c r="A128" s="52" t="s">
        <v>2724</v>
      </c>
      <c r="B128" s="52" t="s">
        <v>3487</v>
      </c>
      <c r="C128" s="52" t="s">
        <v>1259</v>
      </c>
      <c r="D128" s="52" t="s">
        <v>41</v>
      </c>
      <c r="E128" s="52" t="s">
        <v>811</v>
      </c>
      <c r="F128" s="52" t="s">
        <v>1256</v>
      </c>
      <c r="G128" s="52" t="s">
        <v>3488</v>
      </c>
      <c r="H128" s="52" t="s">
        <v>162</v>
      </c>
      <c r="I128" s="52" t="s">
        <v>3489</v>
      </c>
      <c r="J128" s="52" t="s">
        <v>48</v>
      </c>
      <c r="K128" s="52" t="s">
        <v>61</v>
      </c>
      <c r="L128" s="52" t="s">
        <v>1647</v>
      </c>
      <c r="M128" s="52" t="s">
        <v>3490</v>
      </c>
      <c r="N128" s="52" t="s">
        <v>1648</v>
      </c>
      <c r="P128" s="52" t="s">
        <v>2729</v>
      </c>
      <c r="Q128" s="52" t="s">
        <v>2730</v>
      </c>
      <c r="R128" s="52" t="s">
        <v>3492</v>
      </c>
      <c r="S128" s="52" t="s">
        <v>2730</v>
      </c>
      <c r="T128" s="52" t="s">
        <v>3493</v>
      </c>
    </row>
    <row r="129">
      <c r="A129" s="52" t="s">
        <v>2724</v>
      </c>
      <c r="B129" s="52" t="s">
        <v>3494</v>
      </c>
      <c r="C129" s="52" t="s">
        <v>1259</v>
      </c>
      <c r="D129" s="52" t="s">
        <v>41</v>
      </c>
      <c r="E129" s="52" t="s">
        <v>811</v>
      </c>
      <c r="F129" s="52" t="s">
        <v>1256</v>
      </c>
      <c r="G129" s="52" t="s">
        <v>3495</v>
      </c>
      <c r="H129" s="52" t="s">
        <v>162</v>
      </c>
      <c r="I129" s="52" t="s">
        <v>3489</v>
      </c>
      <c r="J129" s="52" t="s">
        <v>48</v>
      </c>
      <c r="K129" s="52" t="s">
        <v>49</v>
      </c>
      <c r="L129" s="52" t="s">
        <v>1654</v>
      </c>
      <c r="M129" s="52" t="s">
        <v>3496</v>
      </c>
      <c r="N129" s="52" t="s">
        <v>1655</v>
      </c>
      <c r="P129" s="52" t="s">
        <v>2729</v>
      </c>
      <c r="Q129" s="52" t="s">
        <v>2730</v>
      </c>
      <c r="S129" s="52" t="s">
        <v>2730</v>
      </c>
    </row>
    <row r="130">
      <c r="A130" s="52" t="s">
        <v>2724</v>
      </c>
      <c r="B130" s="52" t="s">
        <v>3497</v>
      </c>
      <c r="C130" s="52" t="s">
        <v>1259</v>
      </c>
      <c r="D130" s="52" t="s">
        <v>41</v>
      </c>
      <c r="E130" s="52" t="s">
        <v>811</v>
      </c>
      <c r="F130" s="52" t="s">
        <v>1256</v>
      </c>
      <c r="G130" s="52" t="s">
        <v>3498</v>
      </c>
      <c r="H130" s="52" t="s">
        <v>162</v>
      </c>
      <c r="I130" s="52" t="s">
        <v>3489</v>
      </c>
      <c r="J130" s="52" t="s">
        <v>48</v>
      </c>
      <c r="K130" s="52" t="s">
        <v>61</v>
      </c>
      <c r="L130" s="52" t="s">
        <v>1659</v>
      </c>
      <c r="M130" s="52" t="s">
        <v>3499</v>
      </c>
      <c r="N130" s="52" t="s">
        <v>1660</v>
      </c>
      <c r="P130" s="52" t="s">
        <v>2729</v>
      </c>
      <c r="Q130" s="52" t="s">
        <v>2730</v>
      </c>
      <c r="S130" s="52" t="s">
        <v>2730</v>
      </c>
    </row>
    <row r="131">
      <c r="A131" s="52" t="s">
        <v>2724</v>
      </c>
      <c r="B131" s="52" t="s">
        <v>3500</v>
      </c>
      <c r="C131" s="52" t="s">
        <v>1259</v>
      </c>
      <c r="D131" s="52" t="s">
        <v>41</v>
      </c>
      <c r="E131" s="52" t="s">
        <v>811</v>
      </c>
      <c r="F131" s="52" t="s">
        <v>1256</v>
      </c>
      <c r="G131" s="52" t="s">
        <v>3501</v>
      </c>
      <c r="H131" s="52" t="s">
        <v>162</v>
      </c>
      <c r="I131" s="52" t="s">
        <v>3489</v>
      </c>
      <c r="J131" s="52" t="s">
        <v>48</v>
      </c>
      <c r="K131" s="52" t="s">
        <v>61</v>
      </c>
      <c r="L131" s="52" t="s">
        <v>1665</v>
      </c>
      <c r="M131" s="52" t="s">
        <v>3502</v>
      </c>
      <c r="N131" s="52" t="s">
        <v>1666</v>
      </c>
      <c r="P131" s="52" t="s">
        <v>2729</v>
      </c>
      <c r="Q131" s="52" t="s">
        <v>2730</v>
      </c>
      <c r="R131" s="52" t="s">
        <v>3504</v>
      </c>
      <c r="S131" s="52" t="s">
        <v>2730</v>
      </c>
      <c r="T131" s="52" t="s">
        <v>3505</v>
      </c>
    </row>
    <row r="132">
      <c r="A132" s="52" t="s">
        <v>2724</v>
      </c>
      <c r="B132" s="52" t="s">
        <v>3506</v>
      </c>
      <c r="C132" s="52" t="s">
        <v>1259</v>
      </c>
      <c r="D132" s="52" t="s">
        <v>41</v>
      </c>
      <c r="E132" s="52" t="s">
        <v>811</v>
      </c>
      <c r="F132" s="52" t="s">
        <v>1256</v>
      </c>
      <c r="G132" s="52" t="s">
        <v>3507</v>
      </c>
      <c r="H132" s="52" t="s">
        <v>162</v>
      </c>
      <c r="I132" s="52" t="s">
        <v>3489</v>
      </c>
      <c r="J132" s="52" t="s">
        <v>48</v>
      </c>
      <c r="K132" s="52" t="s">
        <v>61</v>
      </c>
      <c r="L132" s="52" t="s">
        <v>1672</v>
      </c>
      <c r="M132" s="52" t="s">
        <v>3508</v>
      </c>
      <c r="N132" s="52" t="s">
        <v>1674</v>
      </c>
      <c r="P132" s="52" t="s">
        <v>2729</v>
      </c>
      <c r="Q132" s="52" t="s">
        <v>2730</v>
      </c>
      <c r="R132" s="52" t="s">
        <v>3510</v>
      </c>
      <c r="S132" s="52" t="s">
        <v>2730</v>
      </c>
      <c r="T132" s="52" t="s">
        <v>3511</v>
      </c>
    </row>
    <row r="133">
      <c r="A133" s="52" t="s">
        <v>2724</v>
      </c>
      <c r="B133" s="52" t="s">
        <v>3512</v>
      </c>
      <c r="C133" s="52" t="s">
        <v>1259</v>
      </c>
      <c r="D133" s="52" t="s">
        <v>41</v>
      </c>
      <c r="E133" s="52" t="s">
        <v>811</v>
      </c>
      <c r="F133" s="52" t="s">
        <v>1256</v>
      </c>
      <c r="G133" s="52" t="s">
        <v>3514</v>
      </c>
      <c r="H133" s="52" t="s">
        <v>162</v>
      </c>
      <c r="I133" s="52" t="s">
        <v>3489</v>
      </c>
      <c r="J133" s="52" t="s">
        <v>48</v>
      </c>
      <c r="K133" s="52" t="s">
        <v>49</v>
      </c>
      <c r="L133" s="52" t="s">
        <v>82</v>
      </c>
      <c r="M133" s="52" t="s">
        <v>3515</v>
      </c>
      <c r="N133" s="52" t="s">
        <v>83</v>
      </c>
      <c r="P133" s="52" t="s">
        <v>2729</v>
      </c>
      <c r="Q133" s="52" t="s">
        <v>2730</v>
      </c>
      <c r="R133" s="52" t="s">
        <v>3516</v>
      </c>
      <c r="S133" s="52" t="s">
        <v>2730</v>
      </c>
      <c r="T133" s="52" t="s">
        <v>3517</v>
      </c>
    </row>
    <row r="134">
      <c r="A134" s="52" t="s">
        <v>2724</v>
      </c>
      <c r="B134" s="52" t="s">
        <v>3518</v>
      </c>
      <c r="C134" s="52" t="s">
        <v>1259</v>
      </c>
      <c r="D134" s="52" t="s">
        <v>41</v>
      </c>
      <c r="E134" s="52" t="s">
        <v>811</v>
      </c>
      <c r="F134" s="52" t="s">
        <v>1256</v>
      </c>
      <c r="G134" s="52" t="s">
        <v>3519</v>
      </c>
      <c r="H134" s="52" t="s">
        <v>162</v>
      </c>
      <c r="I134" s="52" t="s">
        <v>3489</v>
      </c>
      <c r="J134" s="52" t="s">
        <v>48</v>
      </c>
      <c r="K134" s="52" t="s">
        <v>49</v>
      </c>
      <c r="L134" s="52" t="s">
        <v>1682</v>
      </c>
      <c r="M134" s="52" t="s">
        <v>3520</v>
      </c>
      <c r="N134" s="52" t="s">
        <v>1683</v>
      </c>
      <c r="P134" s="52" t="s">
        <v>2729</v>
      </c>
      <c r="Q134" s="52" t="s">
        <v>2730</v>
      </c>
      <c r="R134" s="52" t="s">
        <v>3521</v>
      </c>
      <c r="S134" s="52" t="s">
        <v>2730</v>
      </c>
      <c r="T134" s="52" t="s">
        <v>3522</v>
      </c>
    </row>
    <row r="135">
      <c r="A135" s="52" t="s">
        <v>2724</v>
      </c>
      <c r="B135" s="52" t="s">
        <v>3523</v>
      </c>
      <c r="C135" s="52" t="s">
        <v>1259</v>
      </c>
      <c r="D135" s="52" t="s">
        <v>41</v>
      </c>
      <c r="E135" s="52" t="s">
        <v>811</v>
      </c>
      <c r="F135" s="52" t="s">
        <v>1256</v>
      </c>
      <c r="G135" s="52" t="s">
        <v>3524</v>
      </c>
      <c r="H135" s="52" t="s">
        <v>162</v>
      </c>
      <c r="I135" s="52" t="s">
        <v>3489</v>
      </c>
      <c r="J135" s="52" t="s">
        <v>48</v>
      </c>
      <c r="K135" s="52" t="s">
        <v>49</v>
      </c>
      <c r="L135" s="52" t="s">
        <v>3525</v>
      </c>
      <c r="M135" s="52" t="s">
        <v>3526</v>
      </c>
      <c r="N135" s="52" t="s">
        <v>1683</v>
      </c>
      <c r="P135" s="52" t="s">
        <v>2729</v>
      </c>
      <c r="Q135" s="52" t="s">
        <v>2730</v>
      </c>
      <c r="R135" s="52" t="s">
        <v>3527</v>
      </c>
      <c r="S135" s="52" t="s">
        <v>2730</v>
      </c>
      <c r="T135" s="52" t="s">
        <v>3528</v>
      </c>
    </row>
    <row r="136">
      <c r="A136" s="52" t="s">
        <v>2724</v>
      </c>
      <c r="B136" s="52" t="s">
        <v>3529</v>
      </c>
      <c r="C136" s="52" t="s">
        <v>1259</v>
      </c>
      <c r="D136" s="52" t="s">
        <v>41</v>
      </c>
      <c r="E136" s="52" t="s">
        <v>811</v>
      </c>
      <c r="F136" s="52" t="s">
        <v>1256</v>
      </c>
      <c r="G136" s="52" t="s">
        <v>3530</v>
      </c>
      <c r="H136" s="52" t="s">
        <v>162</v>
      </c>
      <c r="I136" s="52" t="s">
        <v>3489</v>
      </c>
      <c r="J136" s="52" t="s">
        <v>48</v>
      </c>
      <c r="K136" s="52" t="s">
        <v>428</v>
      </c>
      <c r="L136" s="52" t="s">
        <v>1699</v>
      </c>
      <c r="M136" s="52" t="s">
        <v>3531</v>
      </c>
      <c r="N136" s="52" t="s">
        <v>1702</v>
      </c>
      <c r="P136" s="52" t="s">
        <v>2729</v>
      </c>
      <c r="Q136" s="52" t="s">
        <v>2730</v>
      </c>
      <c r="R136" s="52" t="s">
        <v>3532</v>
      </c>
      <c r="S136" s="52" t="s">
        <v>2730</v>
      </c>
      <c r="T136" s="52" t="s">
        <v>3533</v>
      </c>
    </row>
    <row r="137">
      <c r="A137" s="52" t="s">
        <v>2724</v>
      </c>
      <c r="B137" s="52" t="s">
        <v>3534</v>
      </c>
      <c r="C137" s="52" t="s">
        <v>1259</v>
      </c>
      <c r="D137" s="52" t="s">
        <v>41</v>
      </c>
      <c r="E137" s="52" t="s">
        <v>811</v>
      </c>
      <c r="F137" s="52" t="s">
        <v>1256</v>
      </c>
      <c r="G137" s="52" t="s">
        <v>3535</v>
      </c>
      <c r="H137" s="52" t="s">
        <v>162</v>
      </c>
      <c r="I137" s="52" t="s">
        <v>3489</v>
      </c>
      <c r="J137" s="52" t="s">
        <v>48</v>
      </c>
      <c r="K137" s="52" t="s">
        <v>49</v>
      </c>
      <c r="L137" s="52" t="s">
        <v>1686</v>
      </c>
      <c r="M137" s="52" t="s">
        <v>3537</v>
      </c>
      <c r="N137" s="52" t="s">
        <v>1687</v>
      </c>
      <c r="P137" s="52" t="s">
        <v>2729</v>
      </c>
      <c r="Q137" s="52" t="s">
        <v>2730</v>
      </c>
      <c r="R137" s="52" t="s">
        <v>3538</v>
      </c>
      <c r="S137" s="52" t="s">
        <v>2730</v>
      </c>
      <c r="T137" s="52" t="s">
        <v>3539</v>
      </c>
    </row>
    <row r="138">
      <c r="A138" s="52" t="s">
        <v>2724</v>
      </c>
      <c r="B138" s="52" t="s">
        <v>3540</v>
      </c>
      <c r="C138" s="52" t="s">
        <v>1259</v>
      </c>
      <c r="D138" s="52" t="s">
        <v>41</v>
      </c>
      <c r="E138" s="52" t="s">
        <v>811</v>
      </c>
      <c r="F138" s="52" t="s">
        <v>1256</v>
      </c>
      <c r="G138" s="52" t="s">
        <v>3541</v>
      </c>
      <c r="H138" s="52" t="s">
        <v>162</v>
      </c>
      <c r="I138" s="52" t="s">
        <v>3489</v>
      </c>
      <c r="J138" s="52" t="s">
        <v>48</v>
      </c>
      <c r="K138" s="52" t="s">
        <v>49</v>
      </c>
      <c r="L138" s="52" t="s">
        <v>1693</v>
      </c>
      <c r="M138" s="52" t="s">
        <v>3542</v>
      </c>
      <c r="N138" s="52" t="s">
        <v>3544</v>
      </c>
      <c r="P138" s="52" t="s">
        <v>2729</v>
      </c>
      <c r="Q138" s="52" t="s">
        <v>2730</v>
      </c>
      <c r="R138" s="52" t="s">
        <v>3545</v>
      </c>
      <c r="S138" s="52" t="s">
        <v>2730</v>
      </c>
      <c r="T138" s="52" t="s">
        <v>3546</v>
      </c>
    </row>
    <row r="139">
      <c r="A139" s="52" t="s">
        <v>2724</v>
      </c>
      <c r="B139" s="52" t="s">
        <v>3547</v>
      </c>
      <c r="C139" s="52" t="s">
        <v>1271</v>
      </c>
      <c r="D139" s="52" t="s">
        <v>41</v>
      </c>
      <c r="E139" s="52" t="s">
        <v>811</v>
      </c>
      <c r="F139" s="52" t="s">
        <v>1270</v>
      </c>
      <c r="G139" s="52" t="s">
        <v>3548</v>
      </c>
      <c r="H139" s="52" t="s">
        <v>162</v>
      </c>
      <c r="I139" s="52" t="s">
        <v>3549</v>
      </c>
      <c r="J139" s="52" t="s">
        <v>48</v>
      </c>
      <c r="K139" s="52" t="s">
        <v>49</v>
      </c>
      <c r="L139" s="52" t="s">
        <v>1706</v>
      </c>
      <c r="M139" s="52" t="s">
        <v>3550</v>
      </c>
      <c r="N139" s="52" t="s">
        <v>1707</v>
      </c>
      <c r="O139" s="52" t="s">
        <v>3553</v>
      </c>
      <c r="P139" s="52" t="s">
        <v>2729</v>
      </c>
      <c r="Q139" s="52" t="s">
        <v>2730</v>
      </c>
      <c r="R139" s="52" t="s">
        <v>3554</v>
      </c>
      <c r="S139" s="52" t="s">
        <v>2730</v>
      </c>
      <c r="T139" s="52" t="s">
        <v>3555</v>
      </c>
    </row>
    <row r="140">
      <c r="A140" s="52" t="s">
        <v>2724</v>
      </c>
      <c r="B140" s="52" t="s">
        <v>3556</v>
      </c>
      <c r="C140" s="52" t="s">
        <v>1279</v>
      </c>
      <c r="D140" s="52" t="s">
        <v>41</v>
      </c>
      <c r="E140" s="52" t="s">
        <v>811</v>
      </c>
      <c r="F140" s="52" t="s">
        <v>1277</v>
      </c>
      <c r="G140" s="52" t="s">
        <v>3557</v>
      </c>
      <c r="H140" s="52" t="s">
        <v>162</v>
      </c>
      <c r="I140" s="52" t="s">
        <v>3558</v>
      </c>
      <c r="J140" s="52" t="s">
        <v>48</v>
      </c>
      <c r="K140" s="52" t="s">
        <v>49</v>
      </c>
      <c r="L140" s="52" t="s">
        <v>1715</v>
      </c>
      <c r="M140" s="52" t="s">
        <v>3559</v>
      </c>
      <c r="N140" s="52" t="s">
        <v>1716</v>
      </c>
      <c r="P140" s="52" t="s">
        <v>2729</v>
      </c>
      <c r="Q140" s="52" t="s">
        <v>2730</v>
      </c>
      <c r="R140" s="52" t="s">
        <v>3560</v>
      </c>
      <c r="S140" s="52" t="s">
        <v>2730</v>
      </c>
      <c r="T140" s="52" t="s">
        <v>3561</v>
      </c>
    </row>
    <row r="141">
      <c r="A141" s="52" t="s">
        <v>2724</v>
      </c>
      <c r="B141" s="52" t="s">
        <v>3562</v>
      </c>
      <c r="C141" s="52" t="s">
        <v>1291</v>
      </c>
      <c r="D141" s="52" t="s">
        <v>41</v>
      </c>
      <c r="E141" s="52" t="s">
        <v>811</v>
      </c>
      <c r="F141" s="52" t="s">
        <v>1290</v>
      </c>
      <c r="G141" s="52" t="s">
        <v>3564</v>
      </c>
      <c r="H141" s="52" t="s">
        <v>162</v>
      </c>
      <c r="I141" s="52" t="s">
        <v>3565</v>
      </c>
      <c r="J141" s="52" t="s">
        <v>48</v>
      </c>
      <c r="K141" s="52" t="s">
        <v>428</v>
      </c>
      <c r="L141" s="52" t="s">
        <v>1720</v>
      </c>
      <c r="M141" s="52" t="s">
        <v>3566</v>
      </c>
      <c r="N141" s="52" t="s">
        <v>1721</v>
      </c>
      <c r="P141" s="52" t="s">
        <v>2729</v>
      </c>
      <c r="Q141" s="52" t="s">
        <v>2730</v>
      </c>
      <c r="R141" s="52" t="s">
        <v>3567</v>
      </c>
      <c r="S141" s="52" t="s">
        <v>2730</v>
      </c>
      <c r="T141" s="52" t="s">
        <v>3568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6" max="6" width="24.67"/>
    <col customWidth="1" min="13" max="13" width="98.67"/>
  </cols>
  <sheetData>
    <row r="1">
      <c r="A1" s="114" t="s">
        <v>2702</v>
      </c>
      <c r="B1" s="114" t="s">
        <v>2703</v>
      </c>
      <c r="C1" s="115" t="s">
        <v>2704</v>
      </c>
      <c r="D1" s="68" t="s">
        <v>2705</v>
      </c>
      <c r="E1" s="68" t="s">
        <v>2706</v>
      </c>
      <c r="F1" s="68" t="s">
        <v>2707</v>
      </c>
      <c r="G1" s="115" t="s">
        <v>2708</v>
      </c>
      <c r="H1" s="68" t="s">
        <v>2709</v>
      </c>
      <c r="I1" s="68" t="s">
        <v>2710</v>
      </c>
      <c r="J1" s="68" t="s">
        <v>2711</v>
      </c>
      <c r="K1" s="68" t="s">
        <v>2712</v>
      </c>
      <c r="L1" s="68" t="s">
        <v>2714</v>
      </c>
      <c r="M1" s="68" t="s">
        <v>2716</v>
      </c>
      <c r="N1" s="68" t="s">
        <v>2717</v>
      </c>
      <c r="O1" s="68" t="s">
        <v>2718</v>
      </c>
      <c r="P1" s="116" t="s">
        <v>2719</v>
      </c>
      <c r="Q1" s="116" t="s">
        <v>2720</v>
      </c>
      <c r="R1" s="116" t="s">
        <v>2721</v>
      </c>
      <c r="S1" s="116" t="s">
        <v>2722</v>
      </c>
      <c r="T1" s="116" t="s">
        <v>2721</v>
      </c>
      <c r="U1" s="117" t="s">
        <v>2723</v>
      </c>
    </row>
    <row r="2">
      <c r="A2" s="2" t="s">
        <v>3587</v>
      </c>
      <c r="B2" s="2" t="s">
        <v>3588</v>
      </c>
      <c r="C2" s="72" t="s">
        <v>120</v>
      </c>
      <c r="D2" s="118" t="s">
        <v>41</v>
      </c>
      <c r="E2" s="118" t="s">
        <v>119</v>
      </c>
      <c r="F2" s="72" t="s">
        <v>118</v>
      </c>
      <c r="G2" s="72" t="s">
        <v>483</v>
      </c>
      <c r="H2" s="73" t="s">
        <v>162</v>
      </c>
      <c r="I2" s="72" t="s">
        <v>484</v>
      </c>
      <c r="J2" s="73" t="s">
        <v>48</v>
      </c>
      <c r="K2" s="119" t="s">
        <v>428</v>
      </c>
      <c r="L2" s="72" t="s">
        <v>485</v>
      </c>
      <c r="M2" s="72" t="s">
        <v>3590</v>
      </c>
      <c r="N2" s="72" t="str">
        <f t="shared" ref="N2:N41" si="1">IFERROR(VLOOKUP(M2, analyticss!M:P, 2, FALSE), "Not found path.")</f>
        <v>Not found path.</v>
      </c>
      <c r="O2" s="72" t="str">
        <f t="shared" ref="O2:O41" si="2">IFERROR(VLOOKUP(M2, analyticss!M:P, 3, FALSE), "Not found path.")</f>
        <v>Not found path.</v>
      </c>
      <c r="P2" s="121" t="s">
        <v>2729</v>
      </c>
      <c r="Q2" s="122" t="str">
        <f t="shared" ref="Q2:Q41" si="3">IFERROR(VLOOKUP(M2, analyticss!M:P, 4, FALSE), "Not found path.")</f>
        <v>Not found path.</v>
      </c>
      <c r="R2" s="123" t="s">
        <v>3595</v>
      </c>
      <c r="S2" s="74" t="str">
        <f t="shared" ref="S2:S41" si="4">IFERROR(VLOOKUP(M2, analyticss!M:R, 6, FALSE), "Not found path.")</f>
        <v>Not found path.</v>
      </c>
      <c r="T2" s="121" t="s">
        <v>3598</v>
      </c>
      <c r="U2" s="30"/>
    </row>
    <row r="3">
      <c r="A3" s="2" t="s">
        <v>3587</v>
      </c>
      <c r="B3" s="2" t="s">
        <v>3601</v>
      </c>
      <c r="C3" s="72" t="s">
        <v>132</v>
      </c>
      <c r="D3" s="118" t="s">
        <v>41</v>
      </c>
      <c r="E3" s="118" t="s">
        <v>119</v>
      </c>
      <c r="F3" s="72" t="s">
        <v>129</v>
      </c>
      <c r="G3" s="72" t="s">
        <v>489</v>
      </c>
      <c r="H3" s="73" t="s">
        <v>162</v>
      </c>
      <c r="I3" s="72" t="s">
        <v>491</v>
      </c>
      <c r="J3" s="73" t="s">
        <v>48</v>
      </c>
      <c r="K3" s="119" t="s">
        <v>49</v>
      </c>
      <c r="L3" s="72" t="s">
        <v>492</v>
      </c>
      <c r="M3" s="72" t="s">
        <v>3602</v>
      </c>
      <c r="N3" s="72" t="str">
        <f t="shared" si="1"/>
        <v>Not found path.</v>
      </c>
      <c r="O3" s="72" t="str">
        <f t="shared" si="2"/>
        <v>Not found path.</v>
      </c>
      <c r="P3" s="121" t="s">
        <v>2729</v>
      </c>
      <c r="Q3" s="122" t="str">
        <f t="shared" si="3"/>
        <v>Not found path.</v>
      </c>
      <c r="R3" s="123" t="s">
        <v>3603</v>
      </c>
      <c r="S3" s="74" t="str">
        <f t="shared" si="4"/>
        <v>Not found path.</v>
      </c>
      <c r="T3" s="121" t="s">
        <v>3604</v>
      </c>
      <c r="U3" s="72"/>
    </row>
    <row r="4">
      <c r="A4" s="2" t="s">
        <v>3587</v>
      </c>
      <c r="B4" s="2" t="s">
        <v>3606</v>
      </c>
      <c r="C4" s="72" t="s">
        <v>157</v>
      </c>
      <c r="D4" s="118" t="s">
        <v>41</v>
      </c>
      <c r="E4" s="118" t="s">
        <v>119</v>
      </c>
      <c r="F4" s="72" t="s">
        <v>156</v>
      </c>
      <c r="G4" s="72" t="s">
        <v>500</v>
      </c>
      <c r="H4" s="73" t="s">
        <v>162</v>
      </c>
      <c r="I4" s="72" t="s">
        <v>501</v>
      </c>
      <c r="J4" s="73" t="s">
        <v>48</v>
      </c>
      <c r="K4" s="119" t="s">
        <v>49</v>
      </c>
      <c r="L4" s="72" t="s">
        <v>502</v>
      </c>
      <c r="M4" s="72" t="s">
        <v>3608</v>
      </c>
      <c r="N4" s="72" t="str">
        <f t="shared" si="1"/>
        <v>Not found path.</v>
      </c>
      <c r="O4" s="72" t="str">
        <f t="shared" si="2"/>
        <v>Not found path.</v>
      </c>
      <c r="P4" s="121" t="s">
        <v>2729</v>
      </c>
      <c r="Q4" s="122" t="str">
        <f t="shared" si="3"/>
        <v>Not found path.</v>
      </c>
      <c r="R4" s="123" t="s">
        <v>3609</v>
      </c>
      <c r="S4" s="74" t="str">
        <f t="shared" si="4"/>
        <v>Not found path.</v>
      </c>
      <c r="T4" s="121" t="s">
        <v>3612</v>
      </c>
      <c r="U4" s="72"/>
    </row>
    <row r="5">
      <c r="A5" s="2" t="s">
        <v>3587</v>
      </c>
      <c r="B5" s="2" t="s">
        <v>3613</v>
      </c>
      <c r="C5" s="72" t="s">
        <v>175</v>
      </c>
      <c r="D5" s="118" t="s">
        <v>41</v>
      </c>
      <c r="E5" s="118" t="s">
        <v>119</v>
      </c>
      <c r="F5" s="72" t="s">
        <v>174</v>
      </c>
      <c r="G5" s="72" t="s">
        <v>508</v>
      </c>
      <c r="H5" s="73" t="s">
        <v>162</v>
      </c>
      <c r="I5" s="72" t="s">
        <v>510</v>
      </c>
      <c r="J5" s="73" t="s">
        <v>48</v>
      </c>
      <c r="K5" s="119" t="s">
        <v>49</v>
      </c>
      <c r="L5" s="72" t="s">
        <v>512</v>
      </c>
      <c r="M5" s="72" t="s">
        <v>3615</v>
      </c>
      <c r="N5" s="72" t="str">
        <f t="shared" si="1"/>
        <v>Not found path.</v>
      </c>
      <c r="O5" s="72" t="str">
        <f t="shared" si="2"/>
        <v>Not found path.</v>
      </c>
      <c r="P5" s="121" t="s">
        <v>2729</v>
      </c>
      <c r="Q5" s="122" t="str">
        <f t="shared" si="3"/>
        <v>Not found path.</v>
      </c>
      <c r="R5" s="123" t="s">
        <v>3616</v>
      </c>
      <c r="S5" s="74" t="str">
        <f t="shared" si="4"/>
        <v>Not found path.</v>
      </c>
      <c r="T5" s="121" t="s">
        <v>3617</v>
      </c>
      <c r="U5" s="72"/>
    </row>
    <row r="6">
      <c r="A6" s="2" t="s">
        <v>3587</v>
      </c>
      <c r="B6" s="2" t="s">
        <v>3619</v>
      </c>
      <c r="C6" s="72" t="s">
        <v>192</v>
      </c>
      <c r="D6" s="118" t="s">
        <v>41</v>
      </c>
      <c r="E6" s="118" t="s">
        <v>119</v>
      </c>
      <c r="F6" s="72" t="s">
        <v>186</v>
      </c>
      <c r="G6" s="72" t="s">
        <v>519</v>
      </c>
      <c r="H6" s="73" t="s">
        <v>162</v>
      </c>
      <c r="I6" s="72" t="s">
        <v>520</v>
      </c>
      <c r="J6" s="73" t="s">
        <v>48</v>
      </c>
      <c r="K6" s="119" t="s">
        <v>49</v>
      </c>
      <c r="L6" s="72" t="s">
        <v>521</v>
      </c>
      <c r="M6" s="72" t="s">
        <v>3621</v>
      </c>
      <c r="N6" s="72" t="str">
        <f t="shared" si="1"/>
        <v>Not found path.</v>
      </c>
      <c r="O6" s="72" t="str">
        <f t="shared" si="2"/>
        <v>Not found path.</v>
      </c>
      <c r="P6" s="121" t="s">
        <v>2729</v>
      </c>
      <c r="Q6" s="122" t="str">
        <f t="shared" si="3"/>
        <v>Not found path.</v>
      </c>
      <c r="R6" s="123" t="s">
        <v>3623</v>
      </c>
      <c r="S6" s="74" t="str">
        <f t="shared" si="4"/>
        <v>Not found path.</v>
      </c>
      <c r="T6" s="121" t="s">
        <v>3625</v>
      </c>
      <c r="U6" s="72"/>
    </row>
    <row r="7">
      <c r="A7" s="2" t="s">
        <v>3587</v>
      </c>
      <c r="B7" s="2" t="s">
        <v>3626</v>
      </c>
      <c r="C7" s="72" t="s">
        <v>206</v>
      </c>
      <c r="D7" s="118" t="s">
        <v>41</v>
      </c>
      <c r="E7" s="118" t="s">
        <v>119</v>
      </c>
      <c r="F7" s="72" t="s">
        <v>202</v>
      </c>
      <c r="G7" s="72" t="s">
        <v>530</v>
      </c>
      <c r="H7" s="73" t="s">
        <v>162</v>
      </c>
      <c r="I7" s="72" t="s">
        <v>531</v>
      </c>
      <c r="J7" s="73" t="s">
        <v>48</v>
      </c>
      <c r="K7" s="119" t="s">
        <v>49</v>
      </c>
      <c r="L7" s="72" t="s">
        <v>457</v>
      </c>
      <c r="M7" s="72" t="s">
        <v>3628</v>
      </c>
      <c r="N7" s="72" t="str">
        <f t="shared" si="1"/>
        <v>Not found path.</v>
      </c>
      <c r="O7" s="72" t="str">
        <f t="shared" si="2"/>
        <v>Not found path.</v>
      </c>
      <c r="P7" s="121" t="s">
        <v>2729</v>
      </c>
      <c r="Q7" s="122" t="str">
        <f t="shared" si="3"/>
        <v>Not found path.</v>
      </c>
      <c r="R7" s="123" t="s">
        <v>3629</v>
      </c>
      <c r="S7" s="74" t="str">
        <f t="shared" si="4"/>
        <v>Not found path.</v>
      </c>
      <c r="T7" s="121" t="s">
        <v>3630</v>
      </c>
      <c r="U7" s="72"/>
    </row>
    <row r="8">
      <c r="A8" s="2" t="s">
        <v>3587</v>
      </c>
      <c r="B8" s="2" t="s">
        <v>3631</v>
      </c>
      <c r="C8" s="72" t="s">
        <v>206</v>
      </c>
      <c r="D8" s="118" t="s">
        <v>41</v>
      </c>
      <c r="E8" s="118" t="s">
        <v>119</v>
      </c>
      <c r="F8" s="72" t="s">
        <v>202</v>
      </c>
      <c r="G8" s="72" t="s">
        <v>538</v>
      </c>
      <c r="H8" s="73" t="s">
        <v>162</v>
      </c>
      <c r="I8" s="72" t="s">
        <v>531</v>
      </c>
      <c r="J8" s="73" t="s">
        <v>48</v>
      </c>
      <c r="K8" s="119" t="s">
        <v>49</v>
      </c>
      <c r="L8" s="72" t="s">
        <v>540</v>
      </c>
      <c r="M8" s="72" t="s">
        <v>3632</v>
      </c>
      <c r="N8" s="72" t="str">
        <f t="shared" si="1"/>
        <v>Not found path.</v>
      </c>
      <c r="O8" s="72" t="str">
        <f t="shared" si="2"/>
        <v>Not found path.</v>
      </c>
      <c r="P8" s="121" t="s">
        <v>2729</v>
      </c>
      <c r="Q8" s="122" t="str">
        <f t="shared" si="3"/>
        <v>Not found path.</v>
      </c>
      <c r="R8" s="123" t="s">
        <v>3634</v>
      </c>
      <c r="S8" s="74" t="str">
        <f t="shared" si="4"/>
        <v>Not found path.</v>
      </c>
      <c r="T8" s="121" t="s">
        <v>3636</v>
      </c>
      <c r="U8" s="72"/>
    </row>
    <row r="9">
      <c r="A9" s="2" t="s">
        <v>3587</v>
      </c>
      <c r="B9" s="2" t="s">
        <v>3639</v>
      </c>
      <c r="C9" s="72" t="s">
        <v>206</v>
      </c>
      <c r="D9" s="118" t="s">
        <v>41</v>
      </c>
      <c r="E9" s="118" t="s">
        <v>119</v>
      </c>
      <c r="F9" s="72" t="s">
        <v>202</v>
      </c>
      <c r="G9" s="72" t="s">
        <v>547</v>
      </c>
      <c r="H9" s="73" t="s">
        <v>162</v>
      </c>
      <c r="I9" s="72" t="s">
        <v>531</v>
      </c>
      <c r="J9" s="73" t="s">
        <v>48</v>
      </c>
      <c r="K9" s="119" t="s">
        <v>108</v>
      </c>
      <c r="L9" s="72" t="s">
        <v>549</v>
      </c>
      <c r="M9" s="72" t="s">
        <v>3640</v>
      </c>
      <c r="N9" s="72" t="str">
        <f t="shared" si="1"/>
        <v>Not found path.</v>
      </c>
      <c r="O9" s="72" t="str">
        <f t="shared" si="2"/>
        <v>Not found path.</v>
      </c>
      <c r="P9" s="121" t="s">
        <v>2729</v>
      </c>
      <c r="Q9" s="122" t="str">
        <f t="shared" si="3"/>
        <v>Not found path.</v>
      </c>
      <c r="R9" s="123" t="s">
        <v>3642</v>
      </c>
      <c r="S9" s="74" t="str">
        <f t="shared" si="4"/>
        <v>Not found path.</v>
      </c>
      <c r="T9" s="121" t="s">
        <v>3645</v>
      </c>
      <c r="U9" s="72"/>
    </row>
    <row r="10">
      <c r="A10" s="2" t="s">
        <v>3587</v>
      </c>
      <c r="B10" s="2" t="s">
        <v>3646</v>
      </c>
      <c r="C10" s="72" t="s">
        <v>220</v>
      </c>
      <c r="D10" s="118" t="s">
        <v>41</v>
      </c>
      <c r="E10" s="118" t="s">
        <v>119</v>
      </c>
      <c r="F10" s="72" t="s">
        <v>218</v>
      </c>
      <c r="G10" s="72" t="s">
        <v>558</v>
      </c>
      <c r="H10" s="73" t="s">
        <v>162</v>
      </c>
      <c r="I10" s="72" t="s">
        <v>560</v>
      </c>
      <c r="J10" s="73" t="s">
        <v>48</v>
      </c>
      <c r="K10" s="119" t="s">
        <v>108</v>
      </c>
      <c r="L10" s="72" t="s">
        <v>3647</v>
      </c>
      <c r="M10" s="72" t="s">
        <v>3648</v>
      </c>
      <c r="N10" s="72" t="str">
        <f t="shared" si="1"/>
        <v>Not found path.</v>
      </c>
      <c r="O10" s="72" t="str">
        <f t="shared" si="2"/>
        <v>Not found path.</v>
      </c>
      <c r="P10" s="121" t="s">
        <v>2729</v>
      </c>
      <c r="Q10" s="122" t="str">
        <f t="shared" si="3"/>
        <v>Not found path.</v>
      </c>
      <c r="R10" s="121" t="s">
        <v>3650</v>
      </c>
      <c r="S10" s="74" t="str">
        <f t="shared" si="4"/>
        <v>Not found path.</v>
      </c>
      <c r="T10" s="123" t="s">
        <v>3651</v>
      </c>
      <c r="U10" s="72"/>
    </row>
    <row r="11">
      <c r="A11" s="2" t="s">
        <v>3587</v>
      </c>
      <c r="B11" s="2" t="s">
        <v>3653</v>
      </c>
      <c r="C11" s="72" t="s">
        <v>220</v>
      </c>
      <c r="D11" s="118" t="s">
        <v>41</v>
      </c>
      <c r="E11" s="118" t="s">
        <v>119</v>
      </c>
      <c r="F11" s="72" t="s">
        <v>218</v>
      </c>
      <c r="G11" s="72" t="s">
        <v>569</v>
      </c>
      <c r="H11" s="73" t="s">
        <v>162</v>
      </c>
      <c r="I11" s="72" t="s">
        <v>560</v>
      </c>
      <c r="J11" s="73" t="s">
        <v>48</v>
      </c>
      <c r="K11" s="119" t="s">
        <v>49</v>
      </c>
      <c r="L11" s="72" t="s">
        <v>573</v>
      </c>
      <c r="M11" s="72" t="s">
        <v>3655</v>
      </c>
      <c r="N11" s="72" t="str">
        <f t="shared" si="1"/>
        <v>Not found path.</v>
      </c>
      <c r="O11" s="72" t="str">
        <f t="shared" si="2"/>
        <v>Not found path.</v>
      </c>
      <c r="P11" s="121" t="s">
        <v>2729</v>
      </c>
      <c r="Q11" s="122" t="str">
        <f t="shared" si="3"/>
        <v>Not found path.</v>
      </c>
      <c r="R11" s="123" t="s">
        <v>3657</v>
      </c>
      <c r="S11" s="74" t="str">
        <f t="shared" si="4"/>
        <v>Not found path.</v>
      </c>
      <c r="T11" s="121" t="s">
        <v>3659</v>
      </c>
      <c r="U11" s="72"/>
    </row>
    <row r="12">
      <c r="A12" s="2" t="s">
        <v>3587</v>
      </c>
      <c r="B12" s="2" t="s">
        <v>3660</v>
      </c>
      <c r="C12" s="72" t="s">
        <v>220</v>
      </c>
      <c r="D12" s="118" t="s">
        <v>41</v>
      </c>
      <c r="E12" s="118" t="s">
        <v>119</v>
      </c>
      <c r="F12" s="72" t="s">
        <v>218</v>
      </c>
      <c r="G12" s="72" t="s">
        <v>579</v>
      </c>
      <c r="H12" s="73" t="s">
        <v>162</v>
      </c>
      <c r="I12" s="72" t="s">
        <v>560</v>
      </c>
      <c r="J12" s="73" t="s">
        <v>48</v>
      </c>
      <c r="K12" s="119" t="s">
        <v>49</v>
      </c>
      <c r="L12" s="72" t="s">
        <v>580</v>
      </c>
      <c r="M12" s="72" t="s">
        <v>3661</v>
      </c>
      <c r="N12" s="72" t="str">
        <f t="shared" si="1"/>
        <v>Not found path.</v>
      </c>
      <c r="O12" s="72" t="str">
        <f t="shared" si="2"/>
        <v>Not found path.</v>
      </c>
      <c r="P12" s="121" t="s">
        <v>2729</v>
      </c>
      <c r="Q12" s="122" t="str">
        <f t="shared" si="3"/>
        <v>Not found path.</v>
      </c>
      <c r="R12" s="123" t="s">
        <v>3662</v>
      </c>
      <c r="S12" s="74" t="str">
        <f t="shared" si="4"/>
        <v>Not found path.</v>
      </c>
      <c r="T12" s="121" t="s">
        <v>3663</v>
      </c>
      <c r="U12" s="72"/>
    </row>
    <row r="13">
      <c r="A13" s="2" t="s">
        <v>3587</v>
      </c>
      <c r="B13" s="2" t="s">
        <v>3664</v>
      </c>
      <c r="C13" s="72" t="s">
        <v>220</v>
      </c>
      <c r="D13" s="118" t="s">
        <v>41</v>
      </c>
      <c r="E13" s="118" t="s">
        <v>119</v>
      </c>
      <c r="F13" s="72" t="s">
        <v>218</v>
      </c>
      <c r="G13" s="72" t="s">
        <v>588</v>
      </c>
      <c r="H13" s="73" t="s">
        <v>162</v>
      </c>
      <c r="I13" s="72" t="s">
        <v>560</v>
      </c>
      <c r="J13" s="73" t="s">
        <v>48</v>
      </c>
      <c r="K13" s="119" t="s">
        <v>49</v>
      </c>
      <c r="L13" s="72" t="s">
        <v>589</v>
      </c>
      <c r="M13" s="72" t="s">
        <v>3667</v>
      </c>
      <c r="N13" s="72" t="str">
        <f t="shared" si="1"/>
        <v>Not found path.</v>
      </c>
      <c r="O13" s="72" t="str">
        <f t="shared" si="2"/>
        <v>Not found path.</v>
      </c>
      <c r="P13" s="121" t="s">
        <v>2729</v>
      </c>
      <c r="Q13" s="122" t="str">
        <f t="shared" si="3"/>
        <v>Not found path.</v>
      </c>
      <c r="R13" s="123" t="s">
        <v>3668</v>
      </c>
      <c r="S13" s="74" t="str">
        <f t="shared" si="4"/>
        <v>Not found path.</v>
      </c>
      <c r="T13" s="121" t="s">
        <v>3672</v>
      </c>
      <c r="U13" s="72"/>
    </row>
    <row r="14">
      <c r="A14" s="2" t="s">
        <v>3587</v>
      </c>
      <c r="B14" s="2" t="s">
        <v>3673</v>
      </c>
      <c r="C14" s="72" t="s">
        <v>220</v>
      </c>
      <c r="D14" s="118" t="s">
        <v>41</v>
      </c>
      <c r="E14" s="118" t="s">
        <v>119</v>
      </c>
      <c r="F14" s="72" t="s">
        <v>218</v>
      </c>
      <c r="G14" s="72" t="s">
        <v>596</v>
      </c>
      <c r="H14" s="73" t="s">
        <v>162</v>
      </c>
      <c r="I14" s="72" t="s">
        <v>560</v>
      </c>
      <c r="J14" s="73" t="s">
        <v>48</v>
      </c>
      <c r="K14" s="119" t="s">
        <v>49</v>
      </c>
      <c r="L14" s="72" t="s">
        <v>597</v>
      </c>
      <c r="M14" s="72" t="s">
        <v>3675</v>
      </c>
      <c r="N14" s="72" t="str">
        <f t="shared" si="1"/>
        <v>Not found path.</v>
      </c>
      <c r="O14" s="72" t="str">
        <f t="shared" si="2"/>
        <v>Not found path.</v>
      </c>
      <c r="P14" s="121" t="s">
        <v>2729</v>
      </c>
      <c r="Q14" s="122" t="str">
        <f t="shared" si="3"/>
        <v>Not found path.</v>
      </c>
      <c r="R14" s="123" t="s">
        <v>3676</v>
      </c>
      <c r="S14" s="74" t="str">
        <f t="shared" si="4"/>
        <v>Not found path.</v>
      </c>
      <c r="T14" s="121" t="s">
        <v>3677</v>
      </c>
      <c r="U14" s="72"/>
    </row>
    <row r="15">
      <c r="A15" s="2" t="s">
        <v>3587</v>
      </c>
      <c r="B15" s="2" t="s">
        <v>3678</v>
      </c>
      <c r="C15" s="72" t="s">
        <v>220</v>
      </c>
      <c r="D15" s="118" t="s">
        <v>41</v>
      </c>
      <c r="E15" s="118" t="s">
        <v>119</v>
      </c>
      <c r="F15" s="72" t="s">
        <v>218</v>
      </c>
      <c r="G15" s="72" t="s">
        <v>602</v>
      </c>
      <c r="H15" s="73" t="s">
        <v>162</v>
      </c>
      <c r="I15" s="72" t="s">
        <v>560</v>
      </c>
      <c r="J15" s="73" t="s">
        <v>48</v>
      </c>
      <c r="K15" s="119" t="s">
        <v>49</v>
      </c>
      <c r="L15" s="72" t="s">
        <v>604</v>
      </c>
      <c r="M15" s="72" t="s">
        <v>3679</v>
      </c>
      <c r="N15" s="72" t="str">
        <f t="shared" si="1"/>
        <v>Not found path.</v>
      </c>
      <c r="O15" s="72" t="str">
        <f t="shared" si="2"/>
        <v>Not found path.</v>
      </c>
      <c r="P15" s="121" t="s">
        <v>2729</v>
      </c>
      <c r="Q15" s="122" t="str">
        <f t="shared" si="3"/>
        <v>Not found path.</v>
      </c>
      <c r="R15" s="123" t="s">
        <v>3681</v>
      </c>
      <c r="S15" s="74" t="str">
        <f t="shared" si="4"/>
        <v>Not found path.</v>
      </c>
      <c r="T15" s="121" t="s">
        <v>3683</v>
      </c>
      <c r="U15" s="72"/>
    </row>
    <row r="16">
      <c r="A16" s="2" t="s">
        <v>3587</v>
      </c>
      <c r="B16" s="2" t="s">
        <v>3684</v>
      </c>
      <c r="C16" s="72" t="s">
        <v>220</v>
      </c>
      <c r="D16" s="118" t="s">
        <v>41</v>
      </c>
      <c r="E16" s="118" t="s">
        <v>119</v>
      </c>
      <c r="F16" s="72" t="s">
        <v>218</v>
      </c>
      <c r="G16" s="72" t="s">
        <v>611</v>
      </c>
      <c r="H16" s="73" t="s">
        <v>162</v>
      </c>
      <c r="I16" s="72" t="s">
        <v>560</v>
      </c>
      <c r="J16" s="73" t="s">
        <v>48</v>
      </c>
      <c r="K16" s="119" t="s">
        <v>49</v>
      </c>
      <c r="L16" s="72" t="s">
        <v>612</v>
      </c>
      <c r="M16" s="72" t="s">
        <v>3687</v>
      </c>
      <c r="N16" s="72" t="str">
        <f t="shared" si="1"/>
        <v>Not found path.</v>
      </c>
      <c r="O16" s="72" t="str">
        <f t="shared" si="2"/>
        <v>Not found path.</v>
      </c>
      <c r="P16" s="121" t="s">
        <v>2729</v>
      </c>
      <c r="Q16" s="122" t="str">
        <f t="shared" si="3"/>
        <v>Not found path.</v>
      </c>
      <c r="R16" s="123" t="s">
        <v>3688</v>
      </c>
      <c r="S16" s="74" t="str">
        <f t="shared" si="4"/>
        <v>Not found path.</v>
      </c>
      <c r="T16" s="121" t="s">
        <v>3690</v>
      </c>
      <c r="U16" s="72"/>
    </row>
    <row r="17">
      <c r="A17" s="2" t="s">
        <v>3587</v>
      </c>
      <c r="B17" s="2" t="s">
        <v>3691</v>
      </c>
      <c r="C17" s="72" t="s">
        <v>220</v>
      </c>
      <c r="D17" s="118" t="s">
        <v>41</v>
      </c>
      <c r="E17" s="118" t="s">
        <v>119</v>
      </c>
      <c r="F17" s="72" t="s">
        <v>218</v>
      </c>
      <c r="G17" s="72" t="s">
        <v>620</v>
      </c>
      <c r="H17" s="73" t="s">
        <v>162</v>
      </c>
      <c r="I17" s="72" t="s">
        <v>560</v>
      </c>
      <c r="J17" s="73" t="s">
        <v>48</v>
      </c>
      <c r="K17" s="119" t="s">
        <v>49</v>
      </c>
      <c r="L17" s="72" t="s">
        <v>621</v>
      </c>
      <c r="M17" s="72" t="s">
        <v>3692</v>
      </c>
      <c r="N17" s="72" t="str">
        <f t="shared" si="1"/>
        <v>Not found path.</v>
      </c>
      <c r="O17" s="72" t="str">
        <f t="shared" si="2"/>
        <v>Not found path.</v>
      </c>
      <c r="P17" s="121" t="s">
        <v>2729</v>
      </c>
      <c r="Q17" s="122" t="str">
        <f t="shared" si="3"/>
        <v>Not found path.</v>
      </c>
      <c r="R17" s="123" t="s">
        <v>3681</v>
      </c>
      <c r="S17" s="74" t="str">
        <f t="shared" si="4"/>
        <v>Not found path.</v>
      </c>
      <c r="T17" s="121" t="s">
        <v>3683</v>
      </c>
      <c r="U17" s="72"/>
    </row>
    <row r="18">
      <c r="A18" s="2" t="s">
        <v>3587</v>
      </c>
      <c r="B18" s="2" t="s">
        <v>3693</v>
      </c>
      <c r="C18" s="72" t="s">
        <v>220</v>
      </c>
      <c r="D18" s="118" t="s">
        <v>41</v>
      </c>
      <c r="E18" s="118" t="s">
        <v>119</v>
      </c>
      <c r="F18" s="72" t="s">
        <v>218</v>
      </c>
      <c r="G18" s="72" t="s">
        <v>626</v>
      </c>
      <c r="H18" s="73" t="s">
        <v>162</v>
      </c>
      <c r="I18" s="72" t="s">
        <v>560</v>
      </c>
      <c r="J18" s="73" t="s">
        <v>48</v>
      </c>
      <c r="K18" s="119" t="s">
        <v>108</v>
      </c>
      <c r="L18" s="72" t="s">
        <v>630</v>
      </c>
      <c r="M18" s="72" t="s">
        <v>3696</v>
      </c>
      <c r="N18" s="72" t="str">
        <f t="shared" si="1"/>
        <v>Not found path.</v>
      </c>
      <c r="O18" s="72" t="str">
        <f t="shared" si="2"/>
        <v>Not found path.</v>
      </c>
      <c r="P18" s="121" t="s">
        <v>2729</v>
      </c>
      <c r="Q18" s="122" t="str">
        <f t="shared" si="3"/>
        <v>Not found path.</v>
      </c>
      <c r="R18" s="123" t="s">
        <v>3698</v>
      </c>
      <c r="S18" s="74" t="str">
        <f t="shared" si="4"/>
        <v>Not found path.</v>
      </c>
      <c r="T18" s="121" t="s">
        <v>3700</v>
      </c>
      <c r="U18" s="72"/>
    </row>
    <row r="19">
      <c r="A19" s="2" t="s">
        <v>3587</v>
      </c>
      <c r="B19" s="2" t="s">
        <v>3701</v>
      </c>
      <c r="C19" s="72" t="s">
        <v>220</v>
      </c>
      <c r="D19" s="118" t="s">
        <v>41</v>
      </c>
      <c r="E19" s="118" t="s">
        <v>119</v>
      </c>
      <c r="F19" s="72" t="s">
        <v>218</v>
      </c>
      <c r="G19" s="72" t="s">
        <v>634</v>
      </c>
      <c r="H19" s="73" t="s">
        <v>162</v>
      </c>
      <c r="I19" s="72" t="s">
        <v>560</v>
      </c>
      <c r="J19" s="73" t="s">
        <v>48</v>
      </c>
      <c r="K19" s="119" t="s">
        <v>49</v>
      </c>
      <c r="L19" s="72" t="s">
        <v>635</v>
      </c>
      <c r="M19" s="72" t="s">
        <v>3702</v>
      </c>
      <c r="N19" s="72" t="str">
        <f t="shared" si="1"/>
        <v>Not found path.</v>
      </c>
      <c r="O19" s="72" t="str">
        <f t="shared" si="2"/>
        <v>Not found path.</v>
      </c>
      <c r="P19" s="121" t="s">
        <v>2729</v>
      </c>
      <c r="Q19" s="122" t="str">
        <f t="shared" si="3"/>
        <v>Not found path.</v>
      </c>
      <c r="R19" s="123" t="s">
        <v>3703</v>
      </c>
      <c r="S19" s="74" t="str">
        <f t="shared" si="4"/>
        <v>Not found path.</v>
      </c>
      <c r="T19" s="121" t="s">
        <v>3705</v>
      </c>
      <c r="U19" s="72"/>
    </row>
    <row r="20">
      <c r="A20" s="2" t="s">
        <v>3587</v>
      </c>
      <c r="B20" s="2" t="s">
        <v>3706</v>
      </c>
      <c r="C20" s="72" t="s">
        <v>220</v>
      </c>
      <c r="D20" s="118" t="s">
        <v>41</v>
      </c>
      <c r="E20" s="118" t="s">
        <v>119</v>
      </c>
      <c r="F20" s="72" t="s">
        <v>218</v>
      </c>
      <c r="G20" s="72" t="s">
        <v>642</v>
      </c>
      <c r="H20" s="73" t="s">
        <v>162</v>
      </c>
      <c r="I20" s="72" t="s">
        <v>560</v>
      </c>
      <c r="J20" s="73" t="s">
        <v>48</v>
      </c>
      <c r="K20" s="119" t="s">
        <v>49</v>
      </c>
      <c r="L20" s="72" t="s">
        <v>644</v>
      </c>
      <c r="M20" s="72" t="s">
        <v>3708</v>
      </c>
      <c r="N20" s="72" t="str">
        <f t="shared" si="1"/>
        <v>Not found path.</v>
      </c>
      <c r="O20" s="72" t="str">
        <f t="shared" si="2"/>
        <v>Not found path.</v>
      </c>
      <c r="P20" s="121" t="s">
        <v>2729</v>
      </c>
      <c r="Q20" s="122" t="str">
        <f t="shared" si="3"/>
        <v>Not found path.</v>
      </c>
      <c r="R20" s="123" t="s">
        <v>3711</v>
      </c>
      <c r="S20" s="74" t="str">
        <f t="shared" si="4"/>
        <v>Not found path.</v>
      </c>
      <c r="T20" s="121" t="s">
        <v>3712</v>
      </c>
      <c r="U20" s="72"/>
    </row>
    <row r="21">
      <c r="A21" s="2" t="s">
        <v>3587</v>
      </c>
      <c r="B21" s="2" t="s">
        <v>3714</v>
      </c>
      <c r="C21" s="72" t="s">
        <v>220</v>
      </c>
      <c r="D21" s="118" t="s">
        <v>41</v>
      </c>
      <c r="E21" s="118" t="s">
        <v>119</v>
      </c>
      <c r="F21" s="72" t="s">
        <v>218</v>
      </c>
      <c r="G21" s="72" t="s">
        <v>648</v>
      </c>
      <c r="H21" s="73" t="s">
        <v>162</v>
      </c>
      <c r="I21" s="72" t="s">
        <v>560</v>
      </c>
      <c r="J21" s="73" t="s">
        <v>48</v>
      </c>
      <c r="K21" s="119" t="s">
        <v>49</v>
      </c>
      <c r="L21" s="72" t="s">
        <v>650</v>
      </c>
      <c r="M21" s="72" t="s">
        <v>3715</v>
      </c>
      <c r="N21" s="72" t="str">
        <f t="shared" si="1"/>
        <v>Not found path.</v>
      </c>
      <c r="O21" s="72" t="str">
        <f t="shared" si="2"/>
        <v>Not found path.</v>
      </c>
      <c r="P21" s="121" t="s">
        <v>2729</v>
      </c>
      <c r="Q21" s="122" t="str">
        <f t="shared" si="3"/>
        <v>Not found path.</v>
      </c>
      <c r="R21" s="123" t="s">
        <v>3716</v>
      </c>
      <c r="S21" s="74" t="str">
        <f t="shared" si="4"/>
        <v>Not found path.</v>
      </c>
      <c r="T21" s="121" t="s">
        <v>3718</v>
      </c>
      <c r="U21" s="72"/>
    </row>
    <row r="22">
      <c r="A22" s="2" t="s">
        <v>3587</v>
      </c>
      <c r="B22" s="2" t="s">
        <v>3721</v>
      </c>
      <c r="C22" s="72" t="s">
        <v>220</v>
      </c>
      <c r="D22" s="118" t="s">
        <v>41</v>
      </c>
      <c r="E22" s="118" t="s">
        <v>119</v>
      </c>
      <c r="F22" s="72" t="s">
        <v>218</v>
      </c>
      <c r="G22" s="72" t="s">
        <v>659</v>
      </c>
      <c r="H22" s="73" t="s">
        <v>162</v>
      </c>
      <c r="I22" s="72" t="s">
        <v>560</v>
      </c>
      <c r="J22" s="73" t="s">
        <v>48</v>
      </c>
      <c r="K22" s="119" t="s">
        <v>49</v>
      </c>
      <c r="L22" s="72" t="s">
        <v>660</v>
      </c>
      <c r="M22" s="72" t="s">
        <v>3724</v>
      </c>
      <c r="N22" s="72" t="str">
        <f t="shared" si="1"/>
        <v>Not found path.</v>
      </c>
      <c r="O22" s="72" t="str">
        <f t="shared" si="2"/>
        <v>Not found path.</v>
      </c>
      <c r="P22" s="121" t="s">
        <v>2729</v>
      </c>
      <c r="Q22" s="122" t="str">
        <f t="shared" si="3"/>
        <v>Not found path.</v>
      </c>
      <c r="R22" s="123" t="s">
        <v>3725</v>
      </c>
      <c r="S22" s="74" t="str">
        <f t="shared" si="4"/>
        <v>Not found path.</v>
      </c>
      <c r="T22" s="121" t="s">
        <v>3727</v>
      </c>
      <c r="U22" s="72"/>
    </row>
    <row r="23">
      <c r="A23" s="2" t="s">
        <v>3587</v>
      </c>
      <c r="B23" s="2" t="s">
        <v>3729</v>
      </c>
      <c r="C23" s="72" t="s">
        <v>220</v>
      </c>
      <c r="D23" s="118" t="s">
        <v>41</v>
      </c>
      <c r="E23" s="118" t="s">
        <v>119</v>
      </c>
      <c r="F23" s="72" t="s">
        <v>218</v>
      </c>
      <c r="G23" s="72" t="s">
        <v>663</v>
      </c>
      <c r="H23" s="73" t="s">
        <v>162</v>
      </c>
      <c r="I23" s="72" t="s">
        <v>560</v>
      </c>
      <c r="J23" s="73" t="s">
        <v>48</v>
      </c>
      <c r="K23" s="119" t="s">
        <v>428</v>
      </c>
      <c r="L23" s="72" t="s">
        <v>665</v>
      </c>
      <c r="M23" s="72" t="s">
        <v>3730</v>
      </c>
      <c r="N23" s="72" t="str">
        <f t="shared" si="1"/>
        <v>Not found path.</v>
      </c>
      <c r="O23" s="72" t="str">
        <f t="shared" si="2"/>
        <v>Not found path.</v>
      </c>
      <c r="P23" s="121" t="s">
        <v>2729</v>
      </c>
      <c r="Q23" s="122" t="str">
        <f t="shared" si="3"/>
        <v>Not found path.</v>
      </c>
      <c r="R23" s="123" t="s">
        <v>3731</v>
      </c>
      <c r="S23" s="74" t="str">
        <f t="shared" si="4"/>
        <v>Not found path.</v>
      </c>
      <c r="T23" s="121" t="s">
        <v>3734</v>
      </c>
      <c r="U23" s="72"/>
    </row>
    <row r="24">
      <c r="A24" s="2" t="s">
        <v>3587</v>
      </c>
      <c r="B24" s="2" t="s">
        <v>3738</v>
      </c>
      <c r="C24" s="72" t="s">
        <v>220</v>
      </c>
      <c r="D24" s="118" t="s">
        <v>41</v>
      </c>
      <c r="E24" s="118" t="s">
        <v>119</v>
      </c>
      <c r="F24" s="72" t="s">
        <v>218</v>
      </c>
      <c r="G24" s="72" t="s">
        <v>669</v>
      </c>
      <c r="H24" s="73" t="s">
        <v>162</v>
      </c>
      <c r="I24" s="72" t="s">
        <v>560</v>
      </c>
      <c r="J24" s="73" t="s">
        <v>48</v>
      </c>
      <c r="K24" s="119" t="s">
        <v>61</v>
      </c>
      <c r="L24" s="72" t="s">
        <v>670</v>
      </c>
      <c r="M24" s="72" t="s">
        <v>3739</v>
      </c>
      <c r="N24" s="72" t="str">
        <f t="shared" si="1"/>
        <v>Not found path.</v>
      </c>
      <c r="O24" s="72" t="str">
        <f t="shared" si="2"/>
        <v>Not found path.</v>
      </c>
      <c r="P24" s="121" t="s">
        <v>2729</v>
      </c>
      <c r="Q24" s="122" t="str">
        <f t="shared" si="3"/>
        <v>Not found path.</v>
      </c>
      <c r="R24" s="123" t="s">
        <v>3740</v>
      </c>
      <c r="S24" s="74" t="str">
        <f t="shared" si="4"/>
        <v>Not found path.</v>
      </c>
      <c r="T24" s="121" t="s">
        <v>3742</v>
      </c>
      <c r="U24" s="72"/>
    </row>
    <row r="25">
      <c r="A25" s="2" t="s">
        <v>3587</v>
      </c>
      <c r="B25" s="2" t="s">
        <v>3744</v>
      </c>
      <c r="C25" s="72" t="s">
        <v>220</v>
      </c>
      <c r="D25" s="118" t="s">
        <v>41</v>
      </c>
      <c r="E25" s="118" t="s">
        <v>119</v>
      </c>
      <c r="F25" s="72" t="s">
        <v>218</v>
      </c>
      <c r="G25" s="72" t="s">
        <v>674</v>
      </c>
      <c r="H25" s="73" t="s">
        <v>162</v>
      </c>
      <c r="I25" s="72" t="s">
        <v>560</v>
      </c>
      <c r="J25" s="73" t="s">
        <v>48</v>
      </c>
      <c r="K25" s="119" t="s">
        <v>49</v>
      </c>
      <c r="L25" s="72" t="s">
        <v>677</v>
      </c>
      <c r="M25" s="72" t="s">
        <v>3745</v>
      </c>
      <c r="N25" s="72" t="str">
        <f t="shared" si="1"/>
        <v>Not found path.</v>
      </c>
      <c r="O25" s="72" t="str">
        <f t="shared" si="2"/>
        <v>Not found path.</v>
      </c>
      <c r="P25" s="121" t="s">
        <v>2729</v>
      </c>
      <c r="Q25" s="122" t="str">
        <f t="shared" si="3"/>
        <v>Not found path.</v>
      </c>
      <c r="R25" s="123" t="s">
        <v>3747</v>
      </c>
      <c r="S25" s="74" t="str">
        <f t="shared" si="4"/>
        <v>Not found path.</v>
      </c>
      <c r="T25" s="121" t="s">
        <v>3752</v>
      </c>
      <c r="U25" s="72"/>
    </row>
    <row r="26">
      <c r="A26" s="2" t="s">
        <v>3587</v>
      </c>
      <c r="B26" s="2" t="s">
        <v>3753</v>
      </c>
      <c r="C26" s="72" t="s">
        <v>220</v>
      </c>
      <c r="D26" s="118" t="s">
        <v>41</v>
      </c>
      <c r="E26" s="118" t="s">
        <v>119</v>
      </c>
      <c r="F26" s="72" t="s">
        <v>218</v>
      </c>
      <c r="G26" s="72" t="s">
        <v>679</v>
      </c>
      <c r="H26" s="73" t="s">
        <v>162</v>
      </c>
      <c r="I26" s="72" t="s">
        <v>560</v>
      </c>
      <c r="J26" s="73" t="s">
        <v>48</v>
      </c>
      <c r="K26" s="119" t="s">
        <v>49</v>
      </c>
      <c r="L26" s="72" t="s">
        <v>680</v>
      </c>
      <c r="M26" s="72" t="s">
        <v>3754</v>
      </c>
      <c r="N26" s="72" t="str">
        <f t="shared" si="1"/>
        <v>Not found path.</v>
      </c>
      <c r="O26" s="72" t="str">
        <f t="shared" si="2"/>
        <v>Not found path.</v>
      </c>
      <c r="P26" s="121" t="s">
        <v>2729</v>
      </c>
      <c r="Q26" s="122" t="str">
        <f t="shared" si="3"/>
        <v>Not found path.</v>
      </c>
      <c r="R26" s="123" t="s">
        <v>3756</v>
      </c>
      <c r="S26" s="74" t="str">
        <f t="shared" si="4"/>
        <v>Not found path.</v>
      </c>
      <c r="T26" s="121" t="s">
        <v>3758</v>
      </c>
      <c r="U26" s="72"/>
    </row>
    <row r="27">
      <c r="A27" s="2" t="s">
        <v>3587</v>
      </c>
      <c r="B27" s="2" t="s">
        <v>3760</v>
      </c>
      <c r="C27" s="72" t="s">
        <v>220</v>
      </c>
      <c r="D27" s="118" t="s">
        <v>41</v>
      </c>
      <c r="E27" s="118" t="s">
        <v>119</v>
      </c>
      <c r="F27" s="72" t="s">
        <v>218</v>
      </c>
      <c r="G27" s="72" t="s">
        <v>686</v>
      </c>
      <c r="H27" s="73" t="s">
        <v>162</v>
      </c>
      <c r="I27" s="72" t="s">
        <v>560</v>
      </c>
      <c r="J27" s="73" t="s">
        <v>48</v>
      </c>
      <c r="K27" s="119" t="s">
        <v>49</v>
      </c>
      <c r="L27" s="72" t="s">
        <v>687</v>
      </c>
      <c r="M27" s="72" t="s">
        <v>3763</v>
      </c>
      <c r="N27" s="72" t="str">
        <f t="shared" si="1"/>
        <v>Not found path.</v>
      </c>
      <c r="O27" s="72" t="str">
        <f t="shared" si="2"/>
        <v>Not found path.</v>
      </c>
      <c r="P27" s="121" t="s">
        <v>2729</v>
      </c>
      <c r="Q27" s="122" t="str">
        <f t="shared" si="3"/>
        <v>Not found path.</v>
      </c>
      <c r="R27" s="123" t="s">
        <v>3764</v>
      </c>
      <c r="S27" s="74" t="str">
        <f t="shared" si="4"/>
        <v>Not found path.</v>
      </c>
      <c r="T27" s="121" t="s">
        <v>3766</v>
      </c>
      <c r="U27" s="72"/>
    </row>
    <row r="28">
      <c r="A28" s="2" t="s">
        <v>3587</v>
      </c>
      <c r="B28" s="2" t="s">
        <v>3767</v>
      </c>
      <c r="C28" s="72" t="s">
        <v>220</v>
      </c>
      <c r="D28" s="118" t="s">
        <v>41</v>
      </c>
      <c r="E28" s="118" t="s">
        <v>119</v>
      </c>
      <c r="F28" s="72" t="s">
        <v>218</v>
      </c>
      <c r="G28" s="72" t="s">
        <v>691</v>
      </c>
      <c r="H28" s="73" t="s">
        <v>162</v>
      </c>
      <c r="I28" s="72" t="s">
        <v>560</v>
      </c>
      <c r="J28" s="73" t="s">
        <v>48</v>
      </c>
      <c r="K28" s="119" t="s">
        <v>49</v>
      </c>
      <c r="L28" s="72" t="s">
        <v>693</v>
      </c>
      <c r="M28" s="72" t="s">
        <v>3768</v>
      </c>
      <c r="N28" s="72" t="str">
        <f t="shared" si="1"/>
        <v>Not found path.</v>
      </c>
      <c r="O28" s="72" t="str">
        <f t="shared" si="2"/>
        <v>Not found path.</v>
      </c>
      <c r="P28" s="121" t="s">
        <v>2729</v>
      </c>
      <c r="Q28" s="122" t="str">
        <f t="shared" si="3"/>
        <v>Not found path.</v>
      </c>
      <c r="R28" s="123" t="s">
        <v>3769</v>
      </c>
      <c r="S28" s="74" t="str">
        <f t="shared" si="4"/>
        <v>Not found path.</v>
      </c>
      <c r="T28" s="121" t="s">
        <v>3771</v>
      </c>
      <c r="U28" s="72"/>
    </row>
    <row r="29">
      <c r="A29" s="2" t="s">
        <v>3587</v>
      </c>
      <c r="B29" s="2" t="s">
        <v>3775</v>
      </c>
      <c r="C29" s="72" t="s">
        <v>220</v>
      </c>
      <c r="D29" s="118" t="s">
        <v>41</v>
      </c>
      <c r="E29" s="118" t="s">
        <v>119</v>
      </c>
      <c r="F29" s="72" t="s">
        <v>218</v>
      </c>
      <c r="G29" s="72" t="s">
        <v>699</v>
      </c>
      <c r="H29" s="73" t="s">
        <v>162</v>
      </c>
      <c r="I29" s="72" t="s">
        <v>560</v>
      </c>
      <c r="J29" s="73" t="s">
        <v>48</v>
      </c>
      <c r="K29" s="119" t="s">
        <v>49</v>
      </c>
      <c r="L29" s="72" t="s">
        <v>209</v>
      </c>
      <c r="M29" s="72" t="s">
        <v>3776</v>
      </c>
      <c r="N29" s="72" t="str">
        <f t="shared" si="1"/>
        <v>Not found path.</v>
      </c>
      <c r="O29" s="72" t="str">
        <f t="shared" si="2"/>
        <v>Not found path.</v>
      </c>
      <c r="P29" s="121" t="s">
        <v>2729</v>
      </c>
      <c r="Q29" s="122" t="str">
        <f t="shared" si="3"/>
        <v>Not found path.</v>
      </c>
      <c r="R29" s="123" t="s">
        <v>3777</v>
      </c>
      <c r="S29" s="74" t="str">
        <f t="shared" si="4"/>
        <v>Not found path.</v>
      </c>
      <c r="T29" s="121" t="s">
        <v>3778</v>
      </c>
      <c r="U29" s="72"/>
    </row>
    <row r="30">
      <c r="A30" s="2" t="s">
        <v>3587</v>
      </c>
      <c r="B30" s="2" t="s">
        <v>3779</v>
      </c>
      <c r="C30" s="72" t="s">
        <v>220</v>
      </c>
      <c r="D30" s="118" t="s">
        <v>41</v>
      </c>
      <c r="E30" s="118" t="s">
        <v>119</v>
      </c>
      <c r="F30" s="72" t="s">
        <v>218</v>
      </c>
      <c r="G30" s="72" t="s">
        <v>704</v>
      </c>
      <c r="H30" s="73" t="s">
        <v>162</v>
      </c>
      <c r="I30" s="72" t="s">
        <v>560</v>
      </c>
      <c r="J30" s="73" t="s">
        <v>48</v>
      </c>
      <c r="K30" s="119" t="s">
        <v>61</v>
      </c>
      <c r="L30" s="72" t="s">
        <v>707</v>
      </c>
      <c r="M30" s="72" t="s">
        <v>3781</v>
      </c>
      <c r="N30" s="72" t="str">
        <f t="shared" si="1"/>
        <v>Not found path.</v>
      </c>
      <c r="O30" s="72" t="str">
        <f t="shared" si="2"/>
        <v>Not found path.</v>
      </c>
      <c r="P30" s="121" t="s">
        <v>2729</v>
      </c>
      <c r="Q30" s="122" t="str">
        <f t="shared" si="3"/>
        <v>Not found path.</v>
      </c>
      <c r="R30" s="123" t="s">
        <v>3782</v>
      </c>
      <c r="S30" s="74" t="str">
        <f t="shared" si="4"/>
        <v>Not found path.</v>
      </c>
      <c r="T30" s="121" t="s">
        <v>3784</v>
      </c>
      <c r="U30" s="72"/>
    </row>
    <row r="31">
      <c r="A31" s="2" t="s">
        <v>3587</v>
      </c>
      <c r="B31" s="2" t="s">
        <v>3786</v>
      </c>
      <c r="C31" s="72" t="s">
        <v>220</v>
      </c>
      <c r="D31" s="118" t="s">
        <v>41</v>
      </c>
      <c r="E31" s="118" t="s">
        <v>119</v>
      </c>
      <c r="F31" s="72" t="s">
        <v>218</v>
      </c>
      <c r="G31" s="72" t="s">
        <v>711</v>
      </c>
      <c r="H31" s="73" t="s">
        <v>162</v>
      </c>
      <c r="I31" s="72" t="s">
        <v>560</v>
      </c>
      <c r="J31" s="73" t="s">
        <v>48</v>
      </c>
      <c r="K31" s="119" t="s">
        <v>49</v>
      </c>
      <c r="L31" s="72" t="s">
        <v>714</v>
      </c>
      <c r="M31" s="72" t="s">
        <v>3787</v>
      </c>
      <c r="N31" s="72" t="str">
        <f t="shared" si="1"/>
        <v>Not found path.</v>
      </c>
      <c r="O31" s="72" t="str">
        <f t="shared" si="2"/>
        <v>Not found path.</v>
      </c>
      <c r="P31" s="121" t="s">
        <v>2729</v>
      </c>
      <c r="Q31" s="122" t="str">
        <f t="shared" si="3"/>
        <v>Not found path.</v>
      </c>
      <c r="R31" s="123" t="s">
        <v>3791</v>
      </c>
      <c r="S31" s="74" t="str">
        <f t="shared" si="4"/>
        <v>Not found path.</v>
      </c>
      <c r="T31" s="121" t="s">
        <v>3792</v>
      </c>
      <c r="U31" s="72"/>
    </row>
    <row r="32">
      <c r="A32" s="2" t="s">
        <v>3587</v>
      </c>
      <c r="B32" s="2" t="s">
        <v>3793</v>
      </c>
      <c r="C32" s="72" t="s">
        <v>220</v>
      </c>
      <c r="D32" s="118" t="s">
        <v>41</v>
      </c>
      <c r="E32" s="118" t="s">
        <v>119</v>
      </c>
      <c r="F32" s="72" t="s">
        <v>218</v>
      </c>
      <c r="G32" s="72" t="s">
        <v>718</v>
      </c>
      <c r="H32" s="73" t="s">
        <v>162</v>
      </c>
      <c r="I32" s="72" t="s">
        <v>560</v>
      </c>
      <c r="J32" s="73" t="s">
        <v>48</v>
      </c>
      <c r="K32" s="119" t="s">
        <v>49</v>
      </c>
      <c r="L32" s="72" t="s">
        <v>722</v>
      </c>
      <c r="M32" s="72" t="s">
        <v>3794</v>
      </c>
      <c r="N32" s="72" t="str">
        <f t="shared" si="1"/>
        <v>Not found path.</v>
      </c>
      <c r="O32" s="72" t="str">
        <f t="shared" si="2"/>
        <v>Not found path.</v>
      </c>
      <c r="P32" s="121" t="s">
        <v>2729</v>
      </c>
      <c r="Q32" s="122" t="str">
        <f t="shared" si="3"/>
        <v>Not found path.</v>
      </c>
      <c r="R32" s="123" t="s">
        <v>3795</v>
      </c>
      <c r="S32" s="74" t="str">
        <f t="shared" si="4"/>
        <v>Not found path.</v>
      </c>
      <c r="T32" s="121" t="s">
        <v>3796</v>
      </c>
      <c r="U32" s="72"/>
    </row>
    <row r="33">
      <c r="A33" s="2" t="s">
        <v>3587</v>
      </c>
      <c r="B33" s="2" t="s">
        <v>3797</v>
      </c>
      <c r="C33" s="72" t="s">
        <v>220</v>
      </c>
      <c r="D33" s="118" t="s">
        <v>41</v>
      </c>
      <c r="E33" s="118" t="s">
        <v>119</v>
      </c>
      <c r="F33" s="72" t="s">
        <v>218</v>
      </c>
      <c r="G33" s="72" t="s">
        <v>725</v>
      </c>
      <c r="H33" s="73" t="s">
        <v>162</v>
      </c>
      <c r="I33" s="72" t="s">
        <v>560</v>
      </c>
      <c r="J33" s="73" t="s">
        <v>48</v>
      </c>
      <c r="K33" s="119" t="s">
        <v>428</v>
      </c>
      <c r="L33" s="72" t="s">
        <v>726</v>
      </c>
      <c r="M33" s="72" t="s">
        <v>3799</v>
      </c>
      <c r="N33" s="72" t="str">
        <f t="shared" si="1"/>
        <v>Not found path.</v>
      </c>
      <c r="O33" s="72" t="str">
        <f t="shared" si="2"/>
        <v>Not found path.</v>
      </c>
      <c r="P33" s="121" t="s">
        <v>2729</v>
      </c>
      <c r="Q33" s="122" t="str">
        <f t="shared" si="3"/>
        <v>Not found path.</v>
      </c>
      <c r="R33" s="123" t="s">
        <v>3801</v>
      </c>
      <c r="S33" s="74" t="str">
        <f t="shared" si="4"/>
        <v>Not found path.</v>
      </c>
      <c r="T33" s="121" t="s">
        <v>3803</v>
      </c>
      <c r="U33" s="72"/>
    </row>
    <row r="34">
      <c r="A34" s="2" t="s">
        <v>3587</v>
      </c>
      <c r="B34" s="2" t="s">
        <v>3805</v>
      </c>
      <c r="C34" s="72" t="s">
        <v>220</v>
      </c>
      <c r="D34" s="118" t="s">
        <v>41</v>
      </c>
      <c r="E34" s="118" t="s">
        <v>119</v>
      </c>
      <c r="F34" s="72" t="s">
        <v>218</v>
      </c>
      <c r="G34" s="72" t="s">
        <v>733</v>
      </c>
      <c r="H34" s="73" t="s">
        <v>162</v>
      </c>
      <c r="I34" s="72" t="s">
        <v>560</v>
      </c>
      <c r="J34" s="73" t="s">
        <v>48</v>
      </c>
      <c r="K34" s="119" t="s">
        <v>49</v>
      </c>
      <c r="L34" s="72" t="s">
        <v>734</v>
      </c>
      <c r="M34" s="72" t="s">
        <v>3806</v>
      </c>
      <c r="N34" s="72" t="str">
        <f t="shared" si="1"/>
        <v>Not found path.</v>
      </c>
      <c r="O34" s="72" t="str">
        <f t="shared" si="2"/>
        <v>Not found path.</v>
      </c>
      <c r="P34" s="121" t="s">
        <v>2729</v>
      </c>
      <c r="Q34" s="122" t="str">
        <f t="shared" si="3"/>
        <v>Not found path.</v>
      </c>
      <c r="R34" s="123" t="s">
        <v>3807</v>
      </c>
      <c r="S34" s="74" t="str">
        <f t="shared" si="4"/>
        <v>Not found path.</v>
      </c>
      <c r="T34" s="121" t="s">
        <v>3809</v>
      </c>
      <c r="U34" s="72"/>
    </row>
    <row r="35">
      <c r="A35" s="2" t="s">
        <v>3587</v>
      </c>
      <c r="B35" s="2" t="s">
        <v>3810</v>
      </c>
      <c r="C35" s="72" t="s">
        <v>220</v>
      </c>
      <c r="D35" s="118" t="s">
        <v>41</v>
      </c>
      <c r="E35" s="118" t="s">
        <v>119</v>
      </c>
      <c r="F35" s="72" t="s">
        <v>218</v>
      </c>
      <c r="G35" s="72" t="s">
        <v>740</v>
      </c>
      <c r="H35" s="73" t="s">
        <v>162</v>
      </c>
      <c r="I35" s="72" t="s">
        <v>560</v>
      </c>
      <c r="J35" s="73" t="s">
        <v>48</v>
      </c>
      <c r="K35" s="119" t="s">
        <v>49</v>
      </c>
      <c r="L35" s="72" t="s">
        <v>741</v>
      </c>
      <c r="M35" s="72" t="s">
        <v>3811</v>
      </c>
      <c r="N35" s="72" t="str">
        <f t="shared" si="1"/>
        <v>Not found path.</v>
      </c>
      <c r="O35" s="72" t="str">
        <f t="shared" si="2"/>
        <v>Not found path.</v>
      </c>
      <c r="P35" s="121" t="s">
        <v>2729</v>
      </c>
      <c r="Q35" s="122" t="str">
        <f t="shared" si="3"/>
        <v>Not found path.</v>
      </c>
      <c r="R35" s="123" t="s">
        <v>3812</v>
      </c>
      <c r="S35" s="74" t="str">
        <f t="shared" si="4"/>
        <v>Not found path.</v>
      </c>
      <c r="T35" s="121" t="s">
        <v>3814</v>
      </c>
      <c r="U35" s="72"/>
    </row>
    <row r="36">
      <c r="A36" s="2" t="s">
        <v>3587</v>
      </c>
      <c r="B36" s="2" t="s">
        <v>3818</v>
      </c>
      <c r="C36" s="72" t="s">
        <v>220</v>
      </c>
      <c r="D36" s="118" t="s">
        <v>41</v>
      </c>
      <c r="E36" s="118" t="s">
        <v>119</v>
      </c>
      <c r="F36" s="72" t="s">
        <v>218</v>
      </c>
      <c r="G36" s="72" t="s">
        <v>747</v>
      </c>
      <c r="H36" s="73" t="s">
        <v>162</v>
      </c>
      <c r="I36" s="72" t="s">
        <v>560</v>
      </c>
      <c r="J36" s="73" t="s">
        <v>48</v>
      </c>
      <c r="K36" s="119" t="s">
        <v>49</v>
      </c>
      <c r="L36" s="72" t="s">
        <v>748</v>
      </c>
      <c r="M36" s="72" t="s">
        <v>3819</v>
      </c>
      <c r="N36" s="72" t="str">
        <f t="shared" si="1"/>
        <v>Not found path.</v>
      </c>
      <c r="O36" s="72" t="str">
        <f t="shared" si="2"/>
        <v>Not found path.</v>
      </c>
      <c r="P36" s="121" t="s">
        <v>2729</v>
      </c>
      <c r="Q36" s="122" t="str">
        <f t="shared" si="3"/>
        <v>Not found path.</v>
      </c>
      <c r="R36" s="123" t="s">
        <v>3820</v>
      </c>
      <c r="S36" s="74" t="str">
        <f t="shared" si="4"/>
        <v>Not found path.</v>
      </c>
      <c r="T36" s="121" t="s">
        <v>3821</v>
      </c>
      <c r="U36" s="72"/>
    </row>
    <row r="37">
      <c r="A37" s="2" t="s">
        <v>3587</v>
      </c>
      <c r="B37" s="2" t="s">
        <v>3822</v>
      </c>
      <c r="C37" s="72" t="s">
        <v>1587</v>
      </c>
      <c r="D37" s="118" t="s">
        <v>112</v>
      </c>
      <c r="E37" s="118" t="s">
        <v>1417</v>
      </c>
      <c r="F37" s="72" t="s">
        <v>1584</v>
      </c>
      <c r="G37" s="72" t="s">
        <v>3824</v>
      </c>
      <c r="H37" s="73" t="s">
        <v>162</v>
      </c>
      <c r="I37" s="72" t="s">
        <v>3825</v>
      </c>
      <c r="J37" s="73" t="s">
        <v>48</v>
      </c>
      <c r="K37" s="119" t="s">
        <v>49</v>
      </c>
      <c r="L37" s="72" t="s">
        <v>1017</v>
      </c>
      <c r="M37" s="72" t="s">
        <v>3826</v>
      </c>
      <c r="N37" s="72" t="str">
        <f t="shared" si="1"/>
        <v>Not found path.</v>
      </c>
      <c r="O37" s="72" t="str">
        <f t="shared" si="2"/>
        <v>Not found path.</v>
      </c>
      <c r="P37" s="121" t="s">
        <v>2729</v>
      </c>
      <c r="Q37" s="122" t="str">
        <f t="shared" si="3"/>
        <v>Not found path.</v>
      </c>
      <c r="R37" s="123" t="s">
        <v>3828</v>
      </c>
      <c r="S37" s="74" t="str">
        <f t="shared" si="4"/>
        <v>Not found path.</v>
      </c>
      <c r="T37" s="121" t="s">
        <v>3829</v>
      </c>
      <c r="U37" s="72"/>
    </row>
    <row r="38">
      <c r="A38" s="2" t="s">
        <v>3587</v>
      </c>
      <c r="B38" s="2" t="s">
        <v>3830</v>
      </c>
      <c r="C38" s="72" t="s">
        <v>1587</v>
      </c>
      <c r="D38" s="118" t="s">
        <v>112</v>
      </c>
      <c r="E38" s="118" t="s">
        <v>1417</v>
      </c>
      <c r="F38" s="72" t="s">
        <v>1584</v>
      </c>
      <c r="G38" s="72" t="s">
        <v>3833</v>
      </c>
      <c r="H38" s="73" t="s">
        <v>162</v>
      </c>
      <c r="I38" s="72" t="s">
        <v>3825</v>
      </c>
      <c r="J38" s="73" t="s">
        <v>48</v>
      </c>
      <c r="K38" s="119" t="s">
        <v>49</v>
      </c>
      <c r="L38" s="72" t="s">
        <v>1021</v>
      </c>
      <c r="M38" s="72" t="s">
        <v>3834</v>
      </c>
      <c r="N38" s="72" t="str">
        <f t="shared" si="1"/>
        <v>Not found path.</v>
      </c>
      <c r="O38" s="72" t="str">
        <f t="shared" si="2"/>
        <v>Not found path.</v>
      </c>
      <c r="P38" s="121" t="s">
        <v>2729</v>
      </c>
      <c r="Q38" s="122" t="str">
        <f t="shared" si="3"/>
        <v>Not found path.</v>
      </c>
      <c r="R38" s="123" t="s">
        <v>3836</v>
      </c>
      <c r="S38" s="74" t="str">
        <f t="shared" si="4"/>
        <v>Not found path.</v>
      </c>
      <c r="T38" s="121" t="s">
        <v>3838</v>
      </c>
      <c r="U38" s="72"/>
    </row>
    <row r="39">
      <c r="A39" s="2" t="s">
        <v>3587</v>
      </c>
      <c r="B39" s="2" t="s">
        <v>3839</v>
      </c>
      <c r="C39" s="72" t="s">
        <v>1597</v>
      </c>
      <c r="D39" s="118" t="s">
        <v>112</v>
      </c>
      <c r="E39" s="118" t="s">
        <v>1417</v>
      </c>
      <c r="F39" s="72" t="s">
        <v>1596</v>
      </c>
      <c r="G39" s="72" t="s">
        <v>3840</v>
      </c>
      <c r="H39" s="73" t="s">
        <v>162</v>
      </c>
      <c r="I39" s="72" t="s">
        <v>3841</v>
      </c>
      <c r="J39" s="73" t="s">
        <v>48</v>
      </c>
      <c r="K39" s="119" t="s">
        <v>49</v>
      </c>
      <c r="L39" s="72" t="s">
        <v>1029</v>
      </c>
      <c r="M39" s="72" t="s">
        <v>3843</v>
      </c>
      <c r="N39" s="72" t="str">
        <f t="shared" si="1"/>
        <v>Not found path.</v>
      </c>
      <c r="O39" s="72" t="str">
        <f t="shared" si="2"/>
        <v>Not found path.</v>
      </c>
      <c r="P39" s="121" t="s">
        <v>2729</v>
      </c>
      <c r="Q39" s="122" t="str">
        <f t="shared" si="3"/>
        <v>Not found path.</v>
      </c>
      <c r="R39" s="123" t="s">
        <v>3844</v>
      </c>
      <c r="S39" s="74" t="str">
        <f t="shared" si="4"/>
        <v>Not found path.</v>
      </c>
      <c r="T39" s="121" t="s">
        <v>3845</v>
      </c>
      <c r="U39" s="72"/>
    </row>
    <row r="40">
      <c r="A40" s="2" t="s">
        <v>3587</v>
      </c>
      <c r="B40" s="2" t="s">
        <v>3846</v>
      </c>
      <c r="C40" s="72" t="s">
        <v>1606</v>
      </c>
      <c r="D40" s="118" t="s">
        <v>112</v>
      </c>
      <c r="E40" s="118" t="s">
        <v>1417</v>
      </c>
      <c r="F40" s="72" t="s">
        <v>1604</v>
      </c>
      <c r="G40" s="72" t="s">
        <v>3848</v>
      </c>
      <c r="H40" s="73" t="s">
        <v>162</v>
      </c>
      <c r="I40" s="72" t="s">
        <v>3849</v>
      </c>
      <c r="J40" s="73" t="s">
        <v>48</v>
      </c>
      <c r="K40" s="119" t="s">
        <v>49</v>
      </c>
      <c r="L40" s="72" t="s">
        <v>1129</v>
      </c>
      <c r="M40" s="72" t="s">
        <v>3850</v>
      </c>
      <c r="N40" s="72" t="str">
        <f t="shared" si="1"/>
        <v>Not found path.</v>
      </c>
      <c r="O40" s="72" t="str">
        <f t="shared" si="2"/>
        <v>Not found path.</v>
      </c>
      <c r="P40" s="121" t="s">
        <v>2729</v>
      </c>
      <c r="Q40" s="122" t="str">
        <f t="shared" si="3"/>
        <v>Not found path.</v>
      </c>
      <c r="R40" s="123" t="s">
        <v>3851</v>
      </c>
      <c r="S40" s="74" t="str">
        <f t="shared" si="4"/>
        <v>Not found path.</v>
      </c>
      <c r="T40" s="121" t="s">
        <v>3855</v>
      </c>
      <c r="U40" s="72"/>
    </row>
    <row r="41">
      <c r="A41" s="2" t="s">
        <v>3587</v>
      </c>
      <c r="B41" s="2" t="s">
        <v>3857</v>
      </c>
      <c r="C41" s="72" t="s">
        <v>1606</v>
      </c>
      <c r="D41" s="118" t="s">
        <v>112</v>
      </c>
      <c r="E41" s="118" t="s">
        <v>1417</v>
      </c>
      <c r="F41" s="72" t="s">
        <v>1604</v>
      </c>
      <c r="G41" s="72" t="s">
        <v>3858</v>
      </c>
      <c r="H41" s="73" t="s">
        <v>162</v>
      </c>
      <c r="I41" s="72" t="s">
        <v>3849</v>
      </c>
      <c r="J41" s="73" t="s">
        <v>48</v>
      </c>
      <c r="K41" s="119" t="s">
        <v>108</v>
      </c>
      <c r="L41" s="72" t="s">
        <v>1141</v>
      </c>
      <c r="M41" s="72" t="s">
        <v>3859</v>
      </c>
      <c r="N41" s="72" t="str">
        <f t="shared" si="1"/>
        <v>Not found path.</v>
      </c>
      <c r="O41" s="72" t="str">
        <f t="shared" si="2"/>
        <v>Not found path.</v>
      </c>
      <c r="P41" s="121" t="s">
        <v>2729</v>
      </c>
      <c r="Q41" s="122" t="str">
        <f t="shared" si="3"/>
        <v>Not found path.</v>
      </c>
      <c r="R41" s="123" t="s">
        <v>3860</v>
      </c>
      <c r="S41" s="74" t="str">
        <f t="shared" si="4"/>
        <v>Not found path.</v>
      </c>
      <c r="T41" s="121" t="s">
        <v>3862</v>
      </c>
      <c r="U41" s="72"/>
    </row>
  </sheetData>
  <dataValidations>
    <dataValidation type="list" allowBlank="1" showErrorMessage="1" sqref="K2:K41">
      <formula1>"POST,PUT,GET,PATCH,DELETE"</formula1>
    </dataValidation>
    <dataValidation type="list" allowBlank="1" showErrorMessage="1" sqref="D2:D41">
      <formula1>"OAS,RAML"</formula1>
    </dataValidation>
    <dataValidation type="list" allowBlank="1" showErrorMessage="1" sqref="E2:E41">
      <formula1>"RECEPTION,BUSINESS,DOMAIN,PROXY"</formula1>
    </dataValidation>
  </dataValidations>
  <hyperlinks>
    <hyperlink r:id="rId1" ref="P2"/>
    <hyperlink r:id="rId2" ref="R2"/>
    <hyperlink r:id="rId3" ref="T2"/>
    <hyperlink r:id="rId4" ref="P3"/>
    <hyperlink r:id="rId5" ref="R3"/>
    <hyperlink r:id="rId6" ref="T3"/>
    <hyperlink r:id="rId7" ref="P4"/>
    <hyperlink r:id="rId8" ref="R4"/>
    <hyperlink r:id="rId9" ref="T4"/>
    <hyperlink r:id="rId10" ref="P5"/>
    <hyperlink r:id="rId11" ref="R5"/>
    <hyperlink r:id="rId12" ref="T5"/>
    <hyperlink r:id="rId13" ref="P6"/>
    <hyperlink r:id="rId14" ref="R6"/>
    <hyperlink r:id="rId15" ref="T6"/>
    <hyperlink r:id="rId16" ref="P7"/>
    <hyperlink r:id="rId17" ref="R7"/>
    <hyperlink r:id="rId18" ref="T7"/>
    <hyperlink r:id="rId19" ref="P8"/>
    <hyperlink r:id="rId20" ref="R8"/>
    <hyperlink r:id="rId21" ref="T8"/>
    <hyperlink r:id="rId22" ref="P9"/>
    <hyperlink r:id="rId23" ref="R9"/>
    <hyperlink r:id="rId24" ref="T9"/>
    <hyperlink r:id="rId25" ref="P10"/>
    <hyperlink r:id="rId26" ref="R10"/>
    <hyperlink r:id="rId27" ref="T10"/>
    <hyperlink r:id="rId28" ref="P11"/>
    <hyperlink r:id="rId29" ref="R11"/>
    <hyperlink r:id="rId30" ref="T11"/>
    <hyperlink r:id="rId31" ref="P12"/>
    <hyperlink r:id="rId32" ref="R12"/>
    <hyperlink r:id="rId33" ref="T12"/>
    <hyperlink r:id="rId34" ref="P13"/>
    <hyperlink r:id="rId35" ref="R13"/>
    <hyperlink r:id="rId36" ref="T13"/>
    <hyperlink r:id="rId37" ref="P14"/>
    <hyperlink r:id="rId38" ref="R14"/>
    <hyperlink r:id="rId39" ref="T14"/>
    <hyperlink r:id="rId40" ref="P15"/>
    <hyperlink r:id="rId41" ref="R15"/>
    <hyperlink r:id="rId42" ref="T15"/>
    <hyperlink r:id="rId43" ref="P16"/>
    <hyperlink r:id="rId44" ref="R16"/>
    <hyperlink r:id="rId45" ref="T16"/>
    <hyperlink r:id="rId46" ref="P17"/>
    <hyperlink r:id="rId47" ref="R17"/>
    <hyperlink r:id="rId48" ref="T17"/>
    <hyperlink r:id="rId49" ref="P18"/>
    <hyperlink r:id="rId50" ref="R18"/>
    <hyperlink r:id="rId51" ref="T18"/>
    <hyperlink r:id="rId52" ref="P19"/>
    <hyperlink r:id="rId53" ref="R19"/>
    <hyperlink r:id="rId54" ref="T19"/>
    <hyperlink r:id="rId55" ref="P20"/>
    <hyperlink r:id="rId56" ref="R20"/>
    <hyperlink r:id="rId57" ref="T20"/>
    <hyperlink r:id="rId58" ref="P21"/>
    <hyperlink r:id="rId59" ref="R21"/>
    <hyperlink r:id="rId60" ref="T21"/>
    <hyperlink r:id="rId61" ref="P22"/>
    <hyperlink r:id="rId62" ref="R22"/>
    <hyperlink r:id="rId63" ref="T22"/>
    <hyperlink r:id="rId64" ref="P23"/>
    <hyperlink r:id="rId65" ref="R23"/>
    <hyperlink r:id="rId66" ref="T23"/>
    <hyperlink r:id="rId67" ref="P24"/>
    <hyperlink r:id="rId68" ref="R24"/>
    <hyperlink r:id="rId69" ref="T24"/>
    <hyperlink r:id="rId70" ref="P25"/>
    <hyperlink r:id="rId71" ref="R25"/>
    <hyperlink r:id="rId72" ref="T25"/>
    <hyperlink r:id="rId73" ref="P26"/>
    <hyperlink r:id="rId74" ref="R26"/>
    <hyperlink r:id="rId75" ref="T26"/>
    <hyperlink r:id="rId76" ref="P27"/>
    <hyperlink r:id="rId77" ref="R27"/>
    <hyperlink r:id="rId78" ref="T27"/>
    <hyperlink r:id="rId79" ref="P28"/>
    <hyperlink r:id="rId80" ref="R28"/>
    <hyperlink r:id="rId81" ref="T28"/>
    <hyperlink r:id="rId82" ref="P29"/>
    <hyperlink r:id="rId83" ref="R29"/>
    <hyperlink r:id="rId84" ref="T29"/>
    <hyperlink r:id="rId85" ref="P30"/>
    <hyperlink r:id="rId86" ref="R30"/>
    <hyperlink r:id="rId87" ref="T30"/>
    <hyperlink r:id="rId88" ref="P31"/>
    <hyperlink r:id="rId89" ref="R31"/>
    <hyperlink r:id="rId90" ref="T31"/>
    <hyperlink r:id="rId91" ref="P32"/>
    <hyperlink r:id="rId92" ref="R32"/>
    <hyperlink r:id="rId93" ref="T32"/>
    <hyperlink r:id="rId94" ref="P33"/>
    <hyperlink r:id="rId95" ref="R33"/>
    <hyperlink r:id="rId96" ref="T33"/>
    <hyperlink r:id="rId97" ref="P34"/>
    <hyperlink r:id="rId98" ref="R34"/>
    <hyperlink r:id="rId99" ref="T34"/>
    <hyperlink r:id="rId100" ref="P35"/>
    <hyperlink r:id="rId101" ref="R35"/>
    <hyperlink r:id="rId102" ref="T35"/>
    <hyperlink r:id="rId103" ref="P36"/>
    <hyperlink r:id="rId104" ref="R36"/>
    <hyperlink r:id="rId105" ref="T36"/>
    <hyperlink r:id="rId106" ref="P37"/>
    <hyperlink r:id="rId107" ref="R37"/>
    <hyperlink r:id="rId108" ref="T37"/>
    <hyperlink r:id="rId109" ref="P38"/>
    <hyperlink r:id="rId110" ref="R38"/>
    <hyperlink r:id="rId111" ref="T38"/>
    <hyperlink r:id="rId112" ref="P39"/>
    <hyperlink r:id="rId113" ref="R39"/>
    <hyperlink r:id="rId114" ref="T39"/>
    <hyperlink r:id="rId115" ref="P40"/>
    <hyperlink r:id="rId116" ref="R40"/>
    <hyperlink r:id="rId117" ref="T40"/>
    <hyperlink r:id="rId118" ref="P41"/>
    <hyperlink r:id="rId119" ref="R41"/>
    <hyperlink r:id="rId120" ref="T41"/>
  </hyperlinks>
  <drawing r:id="rId12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8" max="18" width="20.33"/>
    <col customWidth="1" min="20" max="20" width="24.44"/>
  </cols>
  <sheetData>
    <row r="1">
      <c r="A1" s="114" t="s">
        <v>2702</v>
      </c>
      <c r="B1" s="114" t="s">
        <v>2703</v>
      </c>
      <c r="C1" s="68" t="s">
        <v>2704</v>
      </c>
      <c r="D1" s="68" t="s">
        <v>2705</v>
      </c>
      <c r="E1" s="68" t="s">
        <v>2706</v>
      </c>
      <c r="F1" s="68" t="s">
        <v>2707</v>
      </c>
      <c r="G1" s="68" t="s">
        <v>2708</v>
      </c>
      <c r="H1" s="68" t="s">
        <v>2709</v>
      </c>
      <c r="I1" s="68" t="s">
        <v>2710</v>
      </c>
      <c r="J1" s="68" t="s">
        <v>2711</v>
      </c>
      <c r="K1" s="68" t="s">
        <v>2712</v>
      </c>
      <c r="L1" s="68" t="s">
        <v>2714</v>
      </c>
      <c r="M1" s="68" t="s">
        <v>2716</v>
      </c>
      <c r="N1" s="68" t="s">
        <v>2717</v>
      </c>
      <c r="O1" s="68" t="s">
        <v>2718</v>
      </c>
      <c r="P1" s="116" t="s">
        <v>2719</v>
      </c>
      <c r="Q1" s="116" t="s">
        <v>2720</v>
      </c>
      <c r="R1" s="116" t="s">
        <v>2721</v>
      </c>
      <c r="S1" s="116" t="s">
        <v>2722</v>
      </c>
      <c r="T1" s="116" t="s">
        <v>2721</v>
      </c>
      <c r="U1" s="117" t="s">
        <v>2723</v>
      </c>
    </row>
    <row r="2">
      <c r="A2" s="2" t="s">
        <v>3887</v>
      </c>
      <c r="B2" s="2" t="s">
        <v>3888</v>
      </c>
      <c r="C2" s="72" t="s">
        <v>1418</v>
      </c>
      <c r="D2" s="118" t="s">
        <v>112</v>
      </c>
      <c r="E2" s="118" t="s">
        <v>1417</v>
      </c>
      <c r="F2" s="72" t="s">
        <v>1416</v>
      </c>
      <c r="G2" s="72" t="s">
        <v>3891</v>
      </c>
      <c r="H2" s="73" t="s">
        <v>162</v>
      </c>
      <c r="I2" s="72" t="s">
        <v>3892</v>
      </c>
      <c r="J2" s="73" t="s">
        <v>48</v>
      </c>
      <c r="K2" s="119" t="s">
        <v>49</v>
      </c>
      <c r="L2" s="72" t="s">
        <v>492</v>
      </c>
      <c r="M2" s="72" t="s">
        <v>3893</v>
      </c>
      <c r="N2" s="72" t="s">
        <v>493</v>
      </c>
      <c r="O2" s="129"/>
      <c r="P2" s="121" t="s">
        <v>2729</v>
      </c>
      <c r="Q2" s="122" t="str">
        <f t="shared" ref="Q2:Q41" si="1">IFERROR(VLOOKUP(M2, analyticss!M:P, 4, FALSE), "Not found path.")</f>
        <v>Not found path.</v>
      </c>
      <c r="R2" s="123" t="s">
        <v>3895</v>
      </c>
      <c r="S2" s="74" t="str">
        <f t="shared" ref="S2:S41" si="2">IFERROR(VLOOKUP(M2, analyticss!M:R, 6, FALSE), "Not found path.")</f>
        <v>Not found path.</v>
      </c>
      <c r="T2" s="121" t="s">
        <v>3898</v>
      </c>
      <c r="U2" s="72"/>
    </row>
    <row r="3">
      <c r="A3" s="2" t="s">
        <v>3887</v>
      </c>
      <c r="B3" s="2" t="s">
        <v>3901</v>
      </c>
      <c r="C3" s="72" t="s">
        <v>1429</v>
      </c>
      <c r="D3" s="118" t="s">
        <v>112</v>
      </c>
      <c r="E3" s="118" t="s">
        <v>1417</v>
      </c>
      <c r="F3" s="72" t="s">
        <v>1426</v>
      </c>
      <c r="G3" s="72" t="s">
        <v>3903</v>
      </c>
      <c r="H3" s="73" t="s">
        <v>162</v>
      </c>
      <c r="I3" s="72" t="s">
        <v>3904</v>
      </c>
      <c r="J3" s="73" t="s">
        <v>48</v>
      </c>
      <c r="K3" s="119" t="s">
        <v>49</v>
      </c>
      <c r="L3" s="72" t="s">
        <v>50</v>
      </c>
      <c r="M3" s="72" t="s">
        <v>3905</v>
      </c>
      <c r="N3" s="72" t="s">
        <v>51</v>
      </c>
      <c r="O3" s="72" t="s">
        <v>3906</v>
      </c>
      <c r="P3" s="121" t="s">
        <v>2729</v>
      </c>
      <c r="Q3" s="122" t="str">
        <f t="shared" si="1"/>
        <v>Not found path.</v>
      </c>
      <c r="R3" s="123" t="s">
        <v>3907</v>
      </c>
      <c r="S3" s="74" t="str">
        <f t="shared" si="2"/>
        <v>Not found path.</v>
      </c>
      <c r="T3" s="121" t="s">
        <v>3908</v>
      </c>
      <c r="U3" s="72"/>
    </row>
    <row r="4">
      <c r="A4" s="2" t="s">
        <v>3887</v>
      </c>
      <c r="B4" s="2" t="s">
        <v>3909</v>
      </c>
      <c r="C4" s="72" t="s">
        <v>1429</v>
      </c>
      <c r="D4" s="118" t="s">
        <v>112</v>
      </c>
      <c r="E4" s="118" t="s">
        <v>1417</v>
      </c>
      <c r="F4" s="72" t="s">
        <v>1426</v>
      </c>
      <c r="G4" s="72" t="s">
        <v>3911</v>
      </c>
      <c r="H4" s="73" t="s">
        <v>162</v>
      </c>
      <c r="I4" s="72" t="s">
        <v>3904</v>
      </c>
      <c r="J4" s="73" t="s">
        <v>48</v>
      </c>
      <c r="K4" s="119" t="s">
        <v>61</v>
      </c>
      <c r="L4" s="72" t="s">
        <v>62</v>
      </c>
      <c r="M4" s="72" t="s">
        <v>3913</v>
      </c>
      <c r="N4" s="72" t="s">
        <v>63</v>
      </c>
      <c r="O4" s="72" t="s">
        <v>3914</v>
      </c>
      <c r="P4" s="121" t="s">
        <v>2729</v>
      </c>
      <c r="Q4" s="122" t="str">
        <f t="shared" si="1"/>
        <v>Not found path.</v>
      </c>
      <c r="R4" s="123" t="s">
        <v>3916</v>
      </c>
      <c r="S4" s="74" t="str">
        <f t="shared" si="2"/>
        <v>Not found path.</v>
      </c>
      <c r="T4" s="121" t="s">
        <v>3918</v>
      </c>
      <c r="U4" s="72"/>
    </row>
    <row r="5">
      <c r="A5" s="2" t="s">
        <v>3887</v>
      </c>
      <c r="B5" s="2" t="s">
        <v>3921</v>
      </c>
      <c r="C5" s="72" t="s">
        <v>1429</v>
      </c>
      <c r="D5" s="118" t="s">
        <v>112</v>
      </c>
      <c r="E5" s="118" t="s">
        <v>1417</v>
      </c>
      <c r="F5" s="72" t="s">
        <v>1426</v>
      </c>
      <c r="G5" s="72" t="s">
        <v>3922</v>
      </c>
      <c r="H5" s="73" t="s">
        <v>162</v>
      </c>
      <c r="I5" s="72" t="s">
        <v>3904</v>
      </c>
      <c r="J5" s="73" t="s">
        <v>48</v>
      </c>
      <c r="K5" s="119" t="s">
        <v>49</v>
      </c>
      <c r="L5" s="72" t="s">
        <v>70</v>
      </c>
      <c r="M5" s="72" t="s">
        <v>3924</v>
      </c>
      <c r="N5" s="72" t="s">
        <v>71</v>
      </c>
      <c r="O5" s="30"/>
      <c r="P5" s="121" t="s">
        <v>2729</v>
      </c>
      <c r="Q5" s="122" t="str">
        <f t="shared" si="1"/>
        <v>Not found path.</v>
      </c>
      <c r="R5" s="123" t="s">
        <v>3925</v>
      </c>
      <c r="S5" s="74" t="str">
        <f t="shared" si="2"/>
        <v>Not found path.</v>
      </c>
      <c r="T5" s="121" t="s">
        <v>3926</v>
      </c>
      <c r="U5" s="72"/>
    </row>
    <row r="6">
      <c r="A6" s="2" t="s">
        <v>3887</v>
      </c>
      <c r="B6" s="2" t="s">
        <v>3927</v>
      </c>
      <c r="C6" s="72" t="s">
        <v>1429</v>
      </c>
      <c r="D6" s="118" t="s">
        <v>112</v>
      </c>
      <c r="E6" s="118" t="s">
        <v>1417</v>
      </c>
      <c r="F6" s="72" t="s">
        <v>1426</v>
      </c>
      <c r="G6" s="72" t="s">
        <v>3929</v>
      </c>
      <c r="H6" s="73" t="s">
        <v>162</v>
      </c>
      <c r="I6" s="72" t="s">
        <v>3904</v>
      </c>
      <c r="J6" s="73" t="s">
        <v>48</v>
      </c>
      <c r="K6" s="119" t="s">
        <v>49</v>
      </c>
      <c r="L6" s="72" t="s">
        <v>82</v>
      </c>
      <c r="M6" s="72" t="s">
        <v>3930</v>
      </c>
      <c r="N6" s="72" t="s">
        <v>83</v>
      </c>
      <c r="O6" s="129"/>
      <c r="P6" s="121" t="s">
        <v>2729</v>
      </c>
      <c r="Q6" s="122" t="str">
        <f t="shared" si="1"/>
        <v>Not found path.</v>
      </c>
      <c r="R6" s="123" t="s">
        <v>3931</v>
      </c>
      <c r="S6" s="74" t="str">
        <f t="shared" si="2"/>
        <v>Not found path.</v>
      </c>
      <c r="T6" s="121" t="s">
        <v>3933</v>
      </c>
      <c r="U6" s="72"/>
    </row>
    <row r="7">
      <c r="A7" s="2" t="s">
        <v>3887</v>
      </c>
      <c r="B7" s="2" t="s">
        <v>3935</v>
      </c>
      <c r="C7" s="72" t="s">
        <v>1438</v>
      </c>
      <c r="D7" s="118" t="s">
        <v>112</v>
      </c>
      <c r="E7" s="118" t="s">
        <v>1417</v>
      </c>
      <c r="F7" s="72" t="s">
        <v>1437</v>
      </c>
      <c r="G7" s="72" t="s">
        <v>3936</v>
      </c>
      <c r="H7" s="73" t="s">
        <v>162</v>
      </c>
      <c r="I7" s="72" t="s">
        <v>3937</v>
      </c>
      <c r="J7" s="73" t="s">
        <v>48</v>
      </c>
      <c r="K7" s="119" t="s">
        <v>49</v>
      </c>
      <c r="L7" s="72" t="s">
        <v>502</v>
      </c>
      <c r="M7" s="72" t="s">
        <v>3938</v>
      </c>
      <c r="N7" s="72" t="s">
        <v>503</v>
      </c>
      <c r="O7" s="129"/>
      <c r="P7" s="121" t="s">
        <v>2729</v>
      </c>
      <c r="Q7" s="122" t="str">
        <f t="shared" si="1"/>
        <v>Not found path.</v>
      </c>
      <c r="R7" s="123" t="s">
        <v>3940</v>
      </c>
      <c r="S7" s="74" t="str">
        <f t="shared" si="2"/>
        <v>Not found path.</v>
      </c>
      <c r="T7" s="121" t="s">
        <v>3943</v>
      </c>
      <c r="U7" s="72"/>
    </row>
    <row r="8">
      <c r="A8" s="2" t="s">
        <v>3887</v>
      </c>
      <c r="B8" s="2" t="s">
        <v>3944</v>
      </c>
      <c r="C8" s="72" t="s">
        <v>1451</v>
      </c>
      <c r="D8" s="118" t="s">
        <v>112</v>
      </c>
      <c r="E8" s="118" t="s">
        <v>1417</v>
      </c>
      <c r="F8" s="72" t="s">
        <v>1450</v>
      </c>
      <c r="G8" s="72" t="s">
        <v>3945</v>
      </c>
      <c r="H8" s="73" t="s">
        <v>162</v>
      </c>
      <c r="I8" s="72" t="s">
        <v>3946</v>
      </c>
      <c r="J8" s="73" t="s">
        <v>48</v>
      </c>
      <c r="K8" s="119" t="s">
        <v>49</v>
      </c>
      <c r="L8" s="72" t="s">
        <v>512</v>
      </c>
      <c r="M8" s="72" t="s">
        <v>3947</v>
      </c>
      <c r="N8" s="72" t="s">
        <v>514</v>
      </c>
      <c r="O8" s="129"/>
      <c r="P8" s="121" t="s">
        <v>2729</v>
      </c>
      <c r="Q8" s="122" t="str">
        <f t="shared" si="1"/>
        <v>Not found path.</v>
      </c>
      <c r="R8" s="121" t="s">
        <v>3940</v>
      </c>
      <c r="S8" s="74" t="str">
        <f t="shared" si="2"/>
        <v>Not found path.</v>
      </c>
      <c r="T8" s="123" t="s">
        <v>3943</v>
      </c>
      <c r="U8" s="72"/>
    </row>
    <row r="9">
      <c r="A9" s="2" t="s">
        <v>3887</v>
      </c>
      <c r="B9" s="2" t="s">
        <v>3948</v>
      </c>
      <c r="C9" s="72" t="s">
        <v>1462</v>
      </c>
      <c r="D9" s="118" t="s">
        <v>112</v>
      </c>
      <c r="E9" s="118" t="s">
        <v>1417</v>
      </c>
      <c r="F9" s="72" t="s">
        <v>1459</v>
      </c>
      <c r="G9" s="72" t="s">
        <v>3949</v>
      </c>
      <c r="H9" s="73" t="s">
        <v>162</v>
      </c>
      <c r="I9" s="72" t="s">
        <v>3950</v>
      </c>
      <c r="J9" s="73" t="s">
        <v>48</v>
      </c>
      <c r="K9" s="119" t="s">
        <v>49</v>
      </c>
      <c r="L9" s="72" t="s">
        <v>540</v>
      </c>
      <c r="M9" s="72" t="s">
        <v>3952</v>
      </c>
      <c r="N9" s="72" t="s">
        <v>542</v>
      </c>
      <c r="O9" s="129"/>
      <c r="P9" s="121" t="s">
        <v>2729</v>
      </c>
      <c r="Q9" s="122" t="str">
        <f t="shared" si="1"/>
        <v>Not found path.</v>
      </c>
      <c r="R9" s="123" t="s">
        <v>3953</v>
      </c>
      <c r="S9" s="74" t="str">
        <f t="shared" si="2"/>
        <v>Not found path.</v>
      </c>
      <c r="T9" s="121" t="s">
        <v>3955</v>
      </c>
      <c r="U9" s="72"/>
    </row>
    <row r="10">
      <c r="A10" s="2" t="s">
        <v>3887</v>
      </c>
      <c r="B10" s="2" t="s">
        <v>3957</v>
      </c>
      <c r="C10" s="72" t="s">
        <v>1475</v>
      </c>
      <c r="D10" s="118" t="s">
        <v>112</v>
      </c>
      <c r="E10" s="118" t="s">
        <v>1417</v>
      </c>
      <c r="F10" s="72" t="s">
        <v>1471</v>
      </c>
      <c r="G10" s="72" t="s">
        <v>3958</v>
      </c>
      <c r="H10" s="73" t="s">
        <v>162</v>
      </c>
      <c r="I10" s="72" t="s">
        <v>3959</v>
      </c>
      <c r="J10" s="73" t="s">
        <v>48</v>
      </c>
      <c r="K10" s="119" t="s">
        <v>49</v>
      </c>
      <c r="L10" s="72" t="s">
        <v>680</v>
      </c>
      <c r="M10" s="72" t="s">
        <v>3961</v>
      </c>
      <c r="N10" s="72" t="s">
        <v>2637</v>
      </c>
      <c r="O10" s="72" t="s">
        <v>3963</v>
      </c>
      <c r="P10" s="121" t="s">
        <v>2729</v>
      </c>
      <c r="Q10" s="122" t="str">
        <f t="shared" si="1"/>
        <v>Not found path.</v>
      </c>
      <c r="R10" s="123" t="s">
        <v>3965</v>
      </c>
      <c r="S10" s="74" t="str">
        <f t="shared" si="2"/>
        <v>Not found path.</v>
      </c>
      <c r="T10" s="121" t="s">
        <v>3966</v>
      </c>
      <c r="U10" s="72"/>
    </row>
    <row r="11">
      <c r="A11" s="2" t="s">
        <v>3887</v>
      </c>
      <c r="B11" s="2" t="s">
        <v>3967</v>
      </c>
      <c r="C11" s="72" t="s">
        <v>1475</v>
      </c>
      <c r="D11" s="118" t="s">
        <v>112</v>
      </c>
      <c r="E11" s="118" t="s">
        <v>1417</v>
      </c>
      <c r="F11" s="72" t="s">
        <v>1471</v>
      </c>
      <c r="G11" s="72" t="s">
        <v>3968</v>
      </c>
      <c r="H11" s="73" t="s">
        <v>162</v>
      </c>
      <c r="I11" s="72" t="s">
        <v>3959</v>
      </c>
      <c r="J11" s="73" t="s">
        <v>48</v>
      </c>
      <c r="K11" s="119" t="s">
        <v>61</v>
      </c>
      <c r="L11" s="72" t="s">
        <v>670</v>
      </c>
      <c r="M11" s="72" t="s">
        <v>3969</v>
      </c>
      <c r="N11" s="72" t="s">
        <v>2643</v>
      </c>
      <c r="O11" s="129"/>
      <c r="P11" s="121" t="s">
        <v>2729</v>
      </c>
      <c r="Q11" s="122" t="str">
        <f t="shared" si="1"/>
        <v>Not found path.</v>
      </c>
      <c r="R11" s="123" t="s">
        <v>3970</v>
      </c>
      <c r="S11" s="74" t="str">
        <f t="shared" si="2"/>
        <v>Not found path.</v>
      </c>
      <c r="T11" s="121" t="s">
        <v>3972</v>
      </c>
      <c r="U11" s="72"/>
    </row>
    <row r="12">
      <c r="A12" s="2" t="s">
        <v>3887</v>
      </c>
      <c r="B12" s="2" t="s">
        <v>3974</v>
      </c>
      <c r="C12" s="72" t="s">
        <v>1475</v>
      </c>
      <c r="D12" s="118" t="s">
        <v>112</v>
      </c>
      <c r="E12" s="118" t="s">
        <v>1417</v>
      </c>
      <c r="F12" s="72" t="s">
        <v>1471</v>
      </c>
      <c r="G12" s="72" t="s">
        <v>3975</v>
      </c>
      <c r="H12" s="73" t="s">
        <v>162</v>
      </c>
      <c r="I12" s="72" t="s">
        <v>3959</v>
      </c>
      <c r="J12" s="73" t="s">
        <v>48</v>
      </c>
      <c r="K12" s="119" t="s">
        <v>49</v>
      </c>
      <c r="L12" s="72" t="s">
        <v>677</v>
      </c>
      <c r="M12" s="72" t="s">
        <v>3976</v>
      </c>
      <c r="N12" s="72" t="s">
        <v>651</v>
      </c>
      <c r="O12" s="129"/>
      <c r="P12" s="121" t="s">
        <v>2729</v>
      </c>
      <c r="Q12" s="122" t="str">
        <f t="shared" si="1"/>
        <v>Not found path.</v>
      </c>
      <c r="R12" s="123" t="s">
        <v>3977</v>
      </c>
      <c r="S12" s="74" t="str">
        <f t="shared" si="2"/>
        <v>Not found path.</v>
      </c>
      <c r="T12" s="121" t="s">
        <v>3979</v>
      </c>
      <c r="U12" s="72"/>
    </row>
    <row r="13">
      <c r="A13" s="2" t="s">
        <v>3887</v>
      </c>
      <c r="B13" s="2" t="s">
        <v>3982</v>
      </c>
      <c r="C13" s="72" t="s">
        <v>1475</v>
      </c>
      <c r="D13" s="118" t="s">
        <v>112</v>
      </c>
      <c r="E13" s="118" t="s">
        <v>1417</v>
      </c>
      <c r="F13" s="72" t="s">
        <v>1471</v>
      </c>
      <c r="G13" s="72" t="s">
        <v>3983</v>
      </c>
      <c r="H13" s="73" t="s">
        <v>162</v>
      </c>
      <c r="I13" s="72" t="s">
        <v>3959</v>
      </c>
      <c r="J13" s="73" t="s">
        <v>48</v>
      </c>
      <c r="K13" s="119" t="s">
        <v>49</v>
      </c>
      <c r="L13" s="72" t="s">
        <v>604</v>
      </c>
      <c r="M13" s="72" t="s">
        <v>3986</v>
      </c>
      <c r="N13" s="72" t="s">
        <v>607</v>
      </c>
      <c r="O13" s="129"/>
      <c r="P13" s="121" t="s">
        <v>2729</v>
      </c>
      <c r="Q13" s="122" t="str">
        <f t="shared" si="1"/>
        <v>Not found path.</v>
      </c>
      <c r="R13" s="123" t="s">
        <v>3987</v>
      </c>
      <c r="S13" s="74" t="str">
        <f t="shared" si="2"/>
        <v>Not found path.</v>
      </c>
      <c r="T13" s="121" t="s">
        <v>3989</v>
      </c>
      <c r="U13" s="72"/>
    </row>
    <row r="14">
      <c r="A14" s="2" t="s">
        <v>3887</v>
      </c>
      <c r="B14" s="2" t="s">
        <v>3991</v>
      </c>
      <c r="C14" s="72" t="s">
        <v>1475</v>
      </c>
      <c r="D14" s="118" t="s">
        <v>112</v>
      </c>
      <c r="E14" s="118" t="s">
        <v>1417</v>
      </c>
      <c r="F14" s="72" t="s">
        <v>1471</v>
      </c>
      <c r="G14" s="72" t="s">
        <v>3992</v>
      </c>
      <c r="H14" s="73" t="s">
        <v>162</v>
      </c>
      <c r="I14" s="72" t="s">
        <v>3959</v>
      </c>
      <c r="J14" s="73" t="s">
        <v>48</v>
      </c>
      <c r="K14" s="119" t="s">
        <v>49</v>
      </c>
      <c r="L14" s="72" t="s">
        <v>687</v>
      </c>
      <c r="M14" s="72" t="s">
        <v>3993</v>
      </c>
      <c r="N14" s="72" t="s">
        <v>688</v>
      </c>
      <c r="O14" s="129"/>
      <c r="P14" s="121" t="s">
        <v>2729</v>
      </c>
      <c r="Q14" s="122" t="str">
        <f t="shared" si="1"/>
        <v>Not found path.</v>
      </c>
      <c r="R14" s="123" t="s">
        <v>3994</v>
      </c>
      <c r="S14" s="74" t="str">
        <f t="shared" si="2"/>
        <v>Not found path.</v>
      </c>
      <c r="T14" s="121" t="s">
        <v>3995</v>
      </c>
      <c r="U14" s="72"/>
    </row>
    <row r="15">
      <c r="A15" s="2" t="s">
        <v>3887</v>
      </c>
      <c r="B15" s="2" t="s">
        <v>3997</v>
      </c>
      <c r="C15" s="72" t="s">
        <v>1475</v>
      </c>
      <c r="D15" s="118" t="s">
        <v>112</v>
      </c>
      <c r="E15" s="118" t="s">
        <v>1417</v>
      </c>
      <c r="F15" s="72" t="s">
        <v>1471</v>
      </c>
      <c r="G15" s="72" t="s">
        <v>3998</v>
      </c>
      <c r="H15" s="73" t="s">
        <v>162</v>
      </c>
      <c r="I15" s="72" t="s">
        <v>3959</v>
      </c>
      <c r="J15" s="73" t="s">
        <v>48</v>
      </c>
      <c r="K15" s="119" t="s">
        <v>49</v>
      </c>
      <c r="L15" s="72" t="s">
        <v>597</v>
      </c>
      <c r="M15" s="72" t="s">
        <v>3999</v>
      </c>
      <c r="N15" s="72" t="s">
        <v>599</v>
      </c>
      <c r="O15" s="129"/>
      <c r="P15" s="121" t="s">
        <v>2729</v>
      </c>
      <c r="Q15" s="122" t="str">
        <f t="shared" si="1"/>
        <v>Not found path.</v>
      </c>
      <c r="R15" s="123" t="s">
        <v>4001</v>
      </c>
      <c r="S15" s="74" t="str">
        <f t="shared" si="2"/>
        <v>Not found path.</v>
      </c>
      <c r="T15" s="121" t="s">
        <v>4002</v>
      </c>
      <c r="U15" s="72"/>
    </row>
    <row r="16">
      <c r="A16" s="2" t="s">
        <v>3887</v>
      </c>
      <c r="B16" s="2" t="s">
        <v>4004</v>
      </c>
      <c r="C16" s="72" t="s">
        <v>1475</v>
      </c>
      <c r="D16" s="118" t="s">
        <v>112</v>
      </c>
      <c r="E16" s="118" t="s">
        <v>1417</v>
      </c>
      <c r="F16" s="72" t="s">
        <v>1471</v>
      </c>
      <c r="G16" s="72" t="s">
        <v>4005</v>
      </c>
      <c r="H16" s="73" t="s">
        <v>162</v>
      </c>
      <c r="I16" s="72" t="s">
        <v>3959</v>
      </c>
      <c r="J16" s="73" t="s">
        <v>48</v>
      </c>
      <c r="K16" s="119" t="s">
        <v>49</v>
      </c>
      <c r="L16" s="72" t="s">
        <v>693</v>
      </c>
      <c r="M16" s="72" t="s">
        <v>4008</v>
      </c>
      <c r="N16" s="72" t="s">
        <v>695</v>
      </c>
      <c r="O16" s="129"/>
      <c r="P16" s="121" t="s">
        <v>2729</v>
      </c>
      <c r="Q16" s="122" t="str">
        <f t="shared" si="1"/>
        <v>Not found path.</v>
      </c>
      <c r="R16" s="123" t="s">
        <v>4010</v>
      </c>
      <c r="S16" s="74" t="str">
        <f t="shared" si="2"/>
        <v>Not found path.</v>
      </c>
      <c r="T16" s="121" t="s">
        <v>4012</v>
      </c>
      <c r="U16" s="72"/>
    </row>
    <row r="17">
      <c r="A17" s="2" t="s">
        <v>3887</v>
      </c>
      <c r="B17" s="2" t="s">
        <v>4013</v>
      </c>
      <c r="C17" s="72" t="s">
        <v>1475</v>
      </c>
      <c r="D17" s="118" t="s">
        <v>112</v>
      </c>
      <c r="E17" s="118" t="s">
        <v>1417</v>
      </c>
      <c r="F17" s="72" t="s">
        <v>1471</v>
      </c>
      <c r="G17" s="72" t="s">
        <v>4014</v>
      </c>
      <c r="H17" s="73" t="s">
        <v>162</v>
      </c>
      <c r="I17" s="72" t="s">
        <v>3959</v>
      </c>
      <c r="J17" s="73" t="s">
        <v>48</v>
      </c>
      <c r="K17" s="119" t="s">
        <v>61</v>
      </c>
      <c r="L17" s="72" t="s">
        <v>707</v>
      </c>
      <c r="M17" s="72" t="s">
        <v>4015</v>
      </c>
      <c r="N17" s="72" t="s">
        <v>708</v>
      </c>
      <c r="O17" s="129"/>
      <c r="P17" s="121" t="s">
        <v>2729</v>
      </c>
      <c r="Q17" s="122" t="str">
        <f t="shared" si="1"/>
        <v>Not found path.</v>
      </c>
      <c r="R17" s="123" t="s">
        <v>4016</v>
      </c>
      <c r="S17" s="74" t="str">
        <f t="shared" si="2"/>
        <v>Not found path.</v>
      </c>
      <c r="T17" s="121" t="s">
        <v>4017</v>
      </c>
      <c r="U17" s="72"/>
    </row>
    <row r="18">
      <c r="A18" s="2" t="s">
        <v>3887</v>
      </c>
      <c r="B18" s="2" t="s">
        <v>4019</v>
      </c>
      <c r="C18" s="72" t="s">
        <v>1475</v>
      </c>
      <c r="D18" s="118" t="s">
        <v>112</v>
      </c>
      <c r="E18" s="118" t="s">
        <v>1417</v>
      </c>
      <c r="F18" s="72" t="s">
        <v>1471</v>
      </c>
      <c r="G18" s="72" t="s">
        <v>4020</v>
      </c>
      <c r="H18" s="73" t="s">
        <v>162</v>
      </c>
      <c r="I18" s="72" t="s">
        <v>3959</v>
      </c>
      <c r="J18" s="73" t="s">
        <v>48</v>
      </c>
      <c r="K18" s="119" t="s">
        <v>49</v>
      </c>
      <c r="L18" s="72" t="s">
        <v>714</v>
      </c>
      <c r="M18" s="72" t="s">
        <v>4023</v>
      </c>
      <c r="N18" s="72" t="s">
        <v>715</v>
      </c>
      <c r="O18" s="129"/>
      <c r="P18" s="121" t="s">
        <v>2729</v>
      </c>
      <c r="Q18" s="122" t="str">
        <f t="shared" si="1"/>
        <v>Not found path.</v>
      </c>
      <c r="R18" s="123" t="s">
        <v>4024</v>
      </c>
      <c r="S18" s="74" t="str">
        <f t="shared" si="2"/>
        <v>Not found path.</v>
      </c>
      <c r="T18" s="121" t="s">
        <v>4027</v>
      </c>
      <c r="U18" s="72"/>
    </row>
    <row r="19">
      <c r="A19" s="2" t="s">
        <v>3887</v>
      </c>
      <c r="B19" s="2" t="s">
        <v>4029</v>
      </c>
      <c r="C19" s="72" t="s">
        <v>1475</v>
      </c>
      <c r="D19" s="118" t="s">
        <v>112</v>
      </c>
      <c r="E19" s="118" t="s">
        <v>1417</v>
      </c>
      <c r="F19" s="72" t="s">
        <v>1471</v>
      </c>
      <c r="G19" s="72" t="s">
        <v>4030</v>
      </c>
      <c r="H19" s="73" t="s">
        <v>162</v>
      </c>
      <c r="I19" s="72" t="s">
        <v>3959</v>
      </c>
      <c r="J19" s="73" t="s">
        <v>48</v>
      </c>
      <c r="K19" s="119" t="s">
        <v>428</v>
      </c>
      <c r="L19" s="72" t="s">
        <v>726</v>
      </c>
      <c r="M19" s="72" t="s">
        <v>4031</v>
      </c>
      <c r="N19" s="72" t="s">
        <v>728</v>
      </c>
      <c r="O19" s="30"/>
      <c r="P19" s="121" t="s">
        <v>2729</v>
      </c>
      <c r="Q19" s="122" t="str">
        <f t="shared" si="1"/>
        <v>Not found path.</v>
      </c>
      <c r="R19" s="123" t="s">
        <v>4033</v>
      </c>
      <c r="S19" s="74" t="str">
        <f t="shared" si="2"/>
        <v>Not found path.</v>
      </c>
      <c r="T19" s="121" t="s">
        <v>4034</v>
      </c>
      <c r="U19" s="72"/>
    </row>
    <row r="20">
      <c r="A20" s="2" t="s">
        <v>3887</v>
      </c>
      <c r="B20" s="2" t="s">
        <v>4035</v>
      </c>
      <c r="C20" s="72" t="s">
        <v>1475</v>
      </c>
      <c r="D20" s="118" t="s">
        <v>112</v>
      </c>
      <c r="E20" s="118" t="s">
        <v>1417</v>
      </c>
      <c r="F20" s="72" t="s">
        <v>1471</v>
      </c>
      <c r="G20" s="72" t="s">
        <v>4036</v>
      </c>
      <c r="H20" s="73" t="s">
        <v>162</v>
      </c>
      <c r="I20" s="72" t="s">
        <v>3959</v>
      </c>
      <c r="J20" s="73" t="s">
        <v>48</v>
      </c>
      <c r="K20" s="119" t="s">
        <v>49</v>
      </c>
      <c r="L20" s="72" t="s">
        <v>734</v>
      </c>
      <c r="M20" s="72" t="s">
        <v>4038</v>
      </c>
      <c r="N20" s="72" t="s">
        <v>735</v>
      </c>
      <c r="O20" s="129"/>
      <c r="P20" s="121" t="s">
        <v>2729</v>
      </c>
      <c r="Q20" s="122" t="str">
        <f t="shared" si="1"/>
        <v>Not found path.</v>
      </c>
      <c r="R20" s="123" t="s">
        <v>4040</v>
      </c>
      <c r="S20" s="74" t="str">
        <f t="shared" si="2"/>
        <v>Not found path.</v>
      </c>
      <c r="T20" s="121" t="s">
        <v>4042</v>
      </c>
      <c r="U20" s="72"/>
    </row>
    <row r="21">
      <c r="A21" s="2" t="s">
        <v>3887</v>
      </c>
      <c r="B21" s="2" t="s">
        <v>4045</v>
      </c>
      <c r="C21" s="72" t="s">
        <v>1475</v>
      </c>
      <c r="D21" s="118" t="s">
        <v>112</v>
      </c>
      <c r="E21" s="118" t="s">
        <v>1417</v>
      </c>
      <c r="F21" s="72" t="s">
        <v>1471</v>
      </c>
      <c r="G21" s="72" t="s">
        <v>4046</v>
      </c>
      <c r="H21" s="73" t="s">
        <v>162</v>
      </c>
      <c r="I21" s="72" t="s">
        <v>3959</v>
      </c>
      <c r="J21" s="73" t="s">
        <v>48</v>
      </c>
      <c r="K21" s="119" t="s">
        <v>49</v>
      </c>
      <c r="L21" s="72" t="s">
        <v>650</v>
      </c>
      <c r="M21" s="72" t="s">
        <v>4047</v>
      </c>
      <c r="N21" s="72" t="s">
        <v>651</v>
      </c>
      <c r="O21" s="129"/>
      <c r="P21" s="121" t="s">
        <v>2729</v>
      </c>
      <c r="Q21" s="122" t="str">
        <f t="shared" si="1"/>
        <v>Not found path.</v>
      </c>
      <c r="R21" s="123" t="s">
        <v>3977</v>
      </c>
      <c r="S21" s="74" t="str">
        <f t="shared" si="2"/>
        <v>Not found path.</v>
      </c>
      <c r="T21" s="121" t="s">
        <v>3979</v>
      </c>
      <c r="U21" s="72"/>
    </row>
    <row r="22">
      <c r="A22" s="2" t="s">
        <v>3887</v>
      </c>
      <c r="B22" s="2" t="s">
        <v>4049</v>
      </c>
      <c r="C22" s="72" t="s">
        <v>1475</v>
      </c>
      <c r="D22" s="118" t="s">
        <v>112</v>
      </c>
      <c r="E22" s="118" t="s">
        <v>1417</v>
      </c>
      <c r="F22" s="72" t="s">
        <v>1471</v>
      </c>
      <c r="G22" s="72" t="s">
        <v>4050</v>
      </c>
      <c r="H22" s="73" t="s">
        <v>162</v>
      </c>
      <c r="I22" s="72" t="s">
        <v>3959</v>
      </c>
      <c r="J22" s="73" t="s">
        <v>48</v>
      </c>
      <c r="K22" s="119" t="s">
        <v>49</v>
      </c>
      <c r="L22" s="72" t="s">
        <v>722</v>
      </c>
      <c r="M22" s="72" t="s">
        <v>4052</v>
      </c>
      <c r="N22" s="72" t="s">
        <v>723</v>
      </c>
      <c r="O22" s="129"/>
      <c r="P22" s="121" t="s">
        <v>2729</v>
      </c>
      <c r="Q22" s="122" t="str">
        <f t="shared" si="1"/>
        <v>Not found path.</v>
      </c>
      <c r="R22" s="123" t="s">
        <v>4053</v>
      </c>
      <c r="S22" s="74" t="str">
        <f t="shared" si="2"/>
        <v>Not found path.</v>
      </c>
      <c r="T22" s="121" t="s">
        <v>4054</v>
      </c>
      <c r="U22" s="72"/>
    </row>
    <row r="23">
      <c r="A23" s="2" t="s">
        <v>3887</v>
      </c>
      <c r="B23" s="2" t="s">
        <v>4057</v>
      </c>
      <c r="C23" s="72" t="s">
        <v>1475</v>
      </c>
      <c r="D23" s="118" t="s">
        <v>112</v>
      </c>
      <c r="E23" s="118" t="s">
        <v>1417</v>
      </c>
      <c r="F23" s="72" t="s">
        <v>1471</v>
      </c>
      <c r="G23" s="72" t="s">
        <v>4058</v>
      </c>
      <c r="H23" s="73" t="s">
        <v>162</v>
      </c>
      <c r="I23" s="72" t="s">
        <v>3959</v>
      </c>
      <c r="J23" s="73" t="s">
        <v>48</v>
      </c>
      <c r="K23" s="119" t="s">
        <v>428</v>
      </c>
      <c r="L23" s="72" t="s">
        <v>786</v>
      </c>
      <c r="M23" s="72" t="s">
        <v>4060</v>
      </c>
      <c r="N23" s="72" t="s">
        <v>787</v>
      </c>
      <c r="O23" s="129"/>
      <c r="P23" s="121" t="s">
        <v>2729</v>
      </c>
      <c r="Q23" s="122" t="str">
        <f t="shared" si="1"/>
        <v>Not found path.</v>
      </c>
      <c r="R23" s="123" t="s">
        <v>4063</v>
      </c>
      <c r="S23" s="74" t="str">
        <f t="shared" si="2"/>
        <v>Not found path.</v>
      </c>
      <c r="T23" s="121" t="s">
        <v>4064</v>
      </c>
      <c r="U23" s="72"/>
    </row>
    <row r="24">
      <c r="A24" s="2" t="s">
        <v>3887</v>
      </c>
      <c r="B24" s="2" t="s">
        <v>4065</v>
      </c>
      <c r="C24" s="72" t="s">
        <v>1475</v>
      </c>
      <c r="D24" s="118" t="s">
        <v>112</v>
      </c>
      <c r="E24" s="118" t="s">
        <v>1417</v>
      </c>
      <c r="F24" s="72" t="s">
        <v>1471</v>
      </c>
      <c r="G24" s="72" t="s">
        <v>4067</v>
      </c>
      <c r="H24" s="73" t="s">
        <v>162</v>
      </c>
      <c r="I24" s="72" t="s">
        <v>3959</v>
      </c>
      <c r="J24" s="73" t="s">
        <v>48</v>
      </c>
      <c r="K24" s="119" t="s">
        <v>49</v>
      </c>
      <c r="L24" s="72" t="s">
        <v>752</v>
      </c>
      <c r="M24" s="72" t="s">
        <v>4068</v>
      </c>
      <c r="N24" s="72" t="s">
        <v>753</v>
      </c>
      <c r="O24" s="129"/>
      <c r="P24" s="121" t="s">
        <v>2729</v>
      </c>
      <c r="Q24" s="122" t="str">
        <f t="shared" si="1"/>
        <v>Not found path.</v>
      </c>
      <c r="R24" s="123" t="s">
        <v>4069</v>
      </c>
      <c r="S24" s="74" t="str">
        <f t="shared" si="2"/>
        <v>Not found path.</v>
      </c>
      <c r="T24" s="121" t="s">
        <v>4071</v>
      </c>
      <c r="U24" s="72"/>
    </row>
    <row r="25">
      <c r="A25" s="2" t="s">
        <v>3887</v>
      </c>
      <c r="B25" s="2" t="s">
        <v>4072</v>
      </c>
      <c r="C25" s="72" t="s">
        <v>1475</v>
      </c>
      <c r="D25" s="118" t="s">
        <v>112</v>
      </c>
      <c r="E25" s="118" t="s">
        <v>1417</v>
      </c>
      <c r="F25" s="72" t="s">
        <v>1471</v>
      </c>
      <c r="G25" s="72" t="s">
        <v>4073</v>
      </c>
      <c r="H25" s="73" t="s">
        <v>162</v>
      </c>
      <c r="I25" s="72" t="s">
        <v>3959</v>
      </c>
      <c r="J25" s="73" t="s">
        <v>48</v>
      </c>
      <c r="K25" s="119" t="s">
        <v>49</v>
      </c>
      <c r="L25" s="72" t="s">
        <v>765</v>
      </c>
      <c r="M25" s="72" t="s">
        <v>4075</v>
      </c>
      <c r="N25" s="72" t="s">
        <v>767</v>
      </c>
      <c r="O25" s="129"/>
      <c r="P25" s="121" t="s">
        <v>2729</v>
      </c>
      <c r="Q25" s="122" t="str">
        <f t="shared" si="1"/>
        <v>Not found path.</v>
      </c>
      <c r="R25" s="123" t="s">
        <v>4076</v>
      </c>
      <c r="S25" s="74" t="str">
        <f t="shared" si="2"/>
        <v>Not found path.</v>
      </c>
      <c r="T25" s="121" t="s">
        <v>4078</v>
      </c>
      <c r="U25" s="72"/>
    </row>
    <row r="26">
      <c r="A26" s="2" t="s">
        <v>3887</v>
      </c>
      <c r="B26" s="2" t="s">
        <v>4079</v>
      </c>
      <c r="C26" s="72" t="s">
        <v>1475</v>
      </c>
      <c r="D26" s="118" t="s">
        <v>112</v>
      </c>
      <c r="E26" s="118" t="s">
        <v>1417</v>
      </c>
      <c r="F26" s="72" t="s">
        <v>1471</v>
      </c>
      <c r="G26" s="72" t="s">
        <v>4080</v>
      </c>
      <c r="H26" s="73" t="s">
        <v>162</v>
      </c>
      <c r="I26" s="72" t="s">
        <v>3959</v>
      </c>
      <c r="J26" s="73" t="s">
        <v>48</v>
      </c>
      <c r="K26" s="119" t="s">
        <v>49</v>
      </c>
      <c r="L26" s="72" t="s">
        <v>621</v>
      </c>
      <c r="M26" s="72" t="s">
        <v>4081</v>
      </c>
      <c r="N26" s="72" t="s">
        <v>622</v>
      </c>
      <c r="O26" s="129"/>
      <c r="P26" s="121" t="s">
        <v>2729</v>
      </c>
      <c r="Q26" s="122" t="str">
        <f t="shared" si="1"/>
        <v>Not found path.</v>
      </c>
      <c r="R26" s="123" t="s">
        <v>4083</v>
      </c>
      <c r="S26" s="74" t="str">
        <f t="shared" si="2"/>
        <v>Not found path.</v>
      </c>
      <c r="T26" s="121" t="s">
        <v>4084</v>
      </c>
      <c r="U26" s="72"/>
    </row>
    <row r="27">
      <c r="A27" s="2" t="s">
        <v>3887</v>
      </c>
      <c r="B27" s="2" t="s">
        <v>4085</v>
      </c>
      <c r="C27" s="72" t="s">
        <v>1486</v>
      </c>
      <c r="D27" s="118" t="s">
        <v>112</v>
      </c>
      <c r="E27" s="118" t="s">
        <v>1417</v>
      </c>
      <c r="F27" s="72" t="s">
        <v>1483</v>
      </c>
      <c r="G27" s="72" t="s">
        <v>4087</v>
      </c>
      <c r="H27" s="73" t="s">
        <v>162</v>
      </c>
      <c r="I27" s="72" t="s">
        <v>4088</v>
      </c>
      <c r="J27" s="73" t="s">
        <v>48</v>
      </c>
      <c r="K27" s="119" t="s">
        <v>49</v>
      </c>
      <c r="L27" s="72" t="s">
        <v>803</v>
      </c>
      <c r="M27" s="72" t="s">
        <v>4089</v>
      </c>
      <c r="N27" s="72" t="s">
        <v>804</v>
      </c>
      <c r="O27" s="72" t="s">
        <v>4090</v>
      </c>
      <c r="P27" s="121" t="s">
        <v>2729</v>
      </c>
      <c r="Q27" s="122" t="str">
        <f t="shared" si="1"/>
        <v>Not found path.</v>
      </c>
      <c r="R27" s="123" t="s">
        <v>4092</v>
      </c>
      <c r="S27" s="74" t="str">
        <f t="shared" si="2"/>
        <v>Not found path.</v>
      </c>
      <c r="T27" s="121" t="s">
        <v>4094</v>
      </c>
      <c r="U27" s="72"/>
    </row>
    <row r="28">
      <c r="A28" s="2" t="s">
        <v>3887</v>
      </c>
      <c r="B28" s="2" t="s">
        <v>4098</v>
      </c>
      <c r="C28" s="72" t="s">
        <v>1486</v>
      </c>
      <c r="D28" s="118" t="s">
        <v>112</v>
      </c>
      <c r="E28" s="118" t="s">
        <v>1417</v>
      </c>
      <c r="F28" s="72" t="s">
        <v>1483</v>
      </c>
      <c r="G28" s="72" t="s">
        <v>4020</v>
      </c>
      <c r="H28" s="73" t="s">
        <v>162</v>
      </c>
      <c r="I28" s="72" t="s">
        <v>4088</v>
      </c>
      <c r="J28" s="73" t="s">
        <v>48</v>
      </c>
      <c r="K28" s="119" t="s">
        <v>49</v>
      </c>
      <c r="L28" s="72" t="s">
        <v>714</v>
      </c>
      <c r="M28" s="72" t="s">
        <v>4100</v>
      </c>
      <c r="N28" s="72" t="s">
        <v>808</v>
      </c>
      <c r="O28" s="129"/>
      <c r="P28" s="121" t="s">
        <v>2729</v>
      </c>
      <c r="Q28" s="122" t="str">
        <f t="shared" si="1"/>
        <v>Not found path.</v>
      </c>
      <c r="R28" s="123" t="s">
        <v>4101</v>
      </c>
      <c r="S28" s="74" t="str">
        <f t="shared" si="2"/>
        <v>Not found path.</v>
      </c>
      <c r="T28" s="121" t="s">
        <v>4102</v>
      </c>
      <c r="U28" s="72"/>
    </row>
    <row r="29">
      <c r="A29" s="2" t="s">
        <v>3887</v>
      </c>
      <c r="B29" s="2" t="s">
        <v>4104</v>
      </c>
      <c r="C29" s="72" t="s">
        <v>1486</v>
      </c>
      <c r="D29" s="118" t="s">
        <v>112</v>
      </c>
      <c r="E29" s="118" t="s">
        <v>1417</v>
      </c>
      <c r="F29" s="72" t="s">
        <v>1483</v>
      </c>
      <c r="G29" s="72" t="s">
        <v>4105</v>
      </c>
      <c r="H29" s="73" t="s">
        <v>162</v>
      </c>
      <c r="I29" s="72" t="s">
        <v>4088</v>
      </c>
      <c r="J29" s="73" t="s">
        <v>48</v>
      </c>
      <c r="K29" s="119" t="s">
        <v>49</v>
      </c>
      <c r="L29" s="72" t="s">
        <v>817</v>
      </c>
      <c r="M29" s="72" t="s">
        <v>4106</v>
      </c>
      <c r="N29" s="72" t="s">
        <v>818</v>
      </c>
      <c r="O29" s="129"/>
      <c r="P29" s="121" t="s">
        <v>2729</v>
      </c>
      <c r="Q29" s="122" t="str">
        <f t="shared" si="1"/>
        <v>Not found path.</v>
      </c>
      <c r="R29" s="123" t="s">
        <v>4108</v>
      </c>
      <c r="S29" s="74" t="str">
        <f t="shared" si="2"/>
        <v>Not found path.</v>
      </c>
      <c r="T29" s="121" t="s">
        <v>4110</v>
      </c>
      <c r="U29" s="72"/>
    </row>
    <row r="30">
      <c r="A30" s="2" t="s">
        <v>3887</v>
      </c>
      <c r="B30" s="2" t="s">
        <v>4113</v>
      </c>
      <c r="C30" s="72" t="s">
        <v>1486</v>
      </c>
      <c r="D30" s="118" t="s">
        <v>112</v>
      </c>
      <c r="E30" s="118" t="s">
        <v>1417</v>
      </c>
      <c r="F30" s="72" t="s">
        <v>1483</v>
      </c>
      <c r="G30" s="72" t="s">
        <v>4114</v>
      </c>
      <c r="H30" s="73" t="s">
        <v>162</v>
      </c>
      <c r="I30" s="72" t="s">
        <v>4088</v>
      </c>
      <c r="J30" s="73" t="s">
        <v>48</v>
      </c>
      <c r="K30" s="119" t="s">
        <v>49</v>
      </c>
      <c r="L30" s="72" t="s">
        <v>821</v>
      </c>
      <c r="M30" s="72" t="s">
        <v>4115</v>
      </c>
      <c r="N30" s="72" t="s">
        <v>823</v>
      </c>
      <c r="O30" s="129"/>
      <c r="P30" s="121" t="s">
        <v>2729</v>
      </c>
      <c r="Q30" s="122" t="str">
        <f t="shared" si="1"/>
        <v>Not found path.</v>
      </c>
      <c r="R30" s="123" t="s">
        <v>4117</v>
      </c>
      <c r="S30" s="74" t="str">
        <f t="shared" si="2"/>
        <v>Not found path.</v>
      </c>
      <c r="T30" s="121" t="s">
        <v>4118</v>
      </c>
      <c r="U30" s="72"/>
    </row>
    <row r="31">
      <c r="A31" s="2" t="s">
        <v>3887</v>
      </c>
      <c r="B31" s="2" t="s">
        <v>4120</v>
      </c>
      <c r="C31" s="72" t="s">
        <v>1486</v>
      </c>
      <c r="D31" s="118" t="s">
        <v>112</v>
      </c>
      <c r="E31" s="118" t="s">
        <v>1417</v>
      </c>
      <c r="F31" s="72" t="s">
        <v>1483</v>
      </c>
      <c r="G31" s="72" t="s">
        <v>4121</v>
      </c>
      <c r="H31" s="73" t="s">
        <v>162</v>
      </c>
      <c r="I31" s="72" t="s">
        <v>4088</v>
      </c>
      <c r="J31" s="73" t="s">
        <v>48</v>
      </c>
      <c r="K31" s="119" t="s">
        <v>49</v>
      </c>
      <c r="L31" s="72" t="s">
        <v>209</v>
      </c>
      <c r="M31" s="72" t="s">
        <v>4123</v>
      </c>
      <c r="N31" s="72" t="s">
        <v>2735</v>
      </c>
      <c r="O31" s="129"/>
      <c r="P31" s="121" t="s">
        <v>2729</v>
      </c>
      <c r="Q31" s="122" t="str">
        <f t="shared" si="1"/>
        <v>Not found path.</v>
      </c>
      <c r="R31" s="123" t="s">
        <v>4125</v>
      </c>
      <c r="S31" s="74" t="str">
        <f t="shared" si="2"/>
        <v>Not found path.</v>
      </c>
      <c r="T31" s="121" t="s">
        <v>4127</v>
      </c>
      <c r="U31" s="72"/>
    </row>
    <row r="32">
      <c r="A32" s="2" t="s">
        <v>3887</v>
      </c>
      <c r="B32" s="2" t="s">
        <v>4130</v>
      </c>
      <c r="C32" s="72" t="s">
        <v>1498</v>
      </c>
      <c r="D32" s="118" t="s">
        <v>112</v>
      </c>
      <c r="E32" s="118" t="s">
        <v>1417</v>
      </c>
      <c r="F32" s="72" t="s">
        <v>1495</v>
      </c>
      <c r="G32" s="72" t="s">
        <v>4132</v>
      </c>
      <c r="H32" s="73" t="s">
        <v>162</v>
      </c>
      <c r="I32" s="72" t="s">
        <v>4133</v>
      </c>
      <c r="J32" s="73" t="s">
        <v>48</v>
      </c>
      <c r="K32" s="119" t="s">
        <v>428</v>
      </c>
      <c r="L32" s="72" t="s">
        <v>833</v>
      </c>
      <c r="M32" s="72" t="s">
        <v>4134</v>
      </c>
      <c r="N32" s="72" t="s">
        <v>834</v>
      </c>
      <c r="O32" s="72" t="s">
        <v>4135</v>
      </c>
      <c r="P32" s="121" t="s">
        <v>2729</v>
      </c>
      <c r="Q32" s="122" t="str">
        <f t="shared" si="1"/>
        <v>Not found path.</v>
      </c>
      <c r="R32" s="123" t="s">
        <v>4136</v>
      </c>
      <c r="S32" s="74" t="str">
        <f t="shared" si="2"/>
        <v>Not found path.</v>
      </c>
      <c r="T32" s="121" t="s">
        <v>4137</v>
      </c>
      <c r="U32" s="72"/>
    </row>
    <row r="33">
      <c r="A33" s="2" t="s">
        <v>3887</v>
      </c>
      <c r="B33" s="2" t="s">
        <v>4139</v>
      </c>
      <c r="C33" s="72" t="s">
        <v>1510</v>
      </c>
      <c r="D33" s="118" t="s">
        <v>112</v>
      </c>
      <c r="E33" s="118" t="s">
        <v>1417</v>
      </c>
      <c r="F33" s="72" t="s">
        <v>1508</v>
      </c>
      <c r="G33" s="72" t="s">
        <v>4140</v>
      </c>
      <c r="H33" s="73" t="s">
        <v>162</v>
      </c>
      <c r="I33" s="72" t="s">
        <v>4141</v>
      </c>
      <c r="J33" s="73" t="s">
        <v>48</v>
      </c>
      <c r="K33" s="119" t="s">
        <v>49</v>
      </c>
      <c r="L33" s="72" t="s">
        <v>841</v>
      </c>
      <c r="M33" s="72" t="s">
        <v>4142</v>
      </c>
      <c r="N33" s="72" t="s">
        <v>842</v>
      </c>
      <c r="O33" s="129"/>
      <c r="P33" s="121" t="s">
        <v>2729</v>
      </c>
      <c r="Q33" s="122" t="str">
        <f t="shared" si="1"/>
        <v>Not found path.</v>
      </c>
      <c r="R33" s="123" t="s">
        <v>4144</v>
      </c>
      <c r="S33" s="74" t="str">
        <f t="shared" si="2"/>
        <v>Not found path.</v>
      </c>
      <c r="T33" s="121" t="s">
        <v>4145</v>
      </c>
      <c r="U33" s="72"/>
    </row>
    <row r="34">
      <c r="A34" s="2" t="s">
        <v>3887</v>
      </c>
      <c r="B34" s="2" t="s">
        <v>4146</v>
      </c>
      <c r="C34" s="72" t="s">
        <v>1521</v>
      </c>
      <c r="D34" s="118" t="s">
        <v>112</v>
      </c>
      <c r="E34" s="118" t="s">
        <v>1417</v>
      </c>
      <c r="F34" s="72" t="s">
        <v>1520</v>
      </c>
      <c r="G34" s="72" t="s">
        <v>4148</v>
      </c>
      <c r="H34" s="73" t="s">
        <v>162</v>
      </c>
      <c r="I34" s="72" t="s">
        <v>4149</v>
      </c>
      <c r="J34" s="73" t="s">
        <v>48</v>
      </c>
      <c r="K34" s="119" t="s">
        <v>49</v>
      </c>
      <c r="L34" s="72" t="s">
        <v>854</v>
      </c>
      <c r="M34" s="72" t="s">
        <v>4150</v>
      </c>
      <c r="N34" s="72" t="s">
        <v>4151</v>
      </c>
      <c r="O34" s="72" t="s">
        <v>4152</v>
      </c>
      <c r="P34" s="121" t="s">
        <v>2729</v>
      </c>
      <c r="Q34" s="122" t="str">
        <f t="shared" si="1"/>
        <v>Not found path.</v>
      </c>
      <c r="R34" s="123" t="s">
        <v>4155</v>
      </c>
      <c r="S34" s="74" t="str">
        <f t="shared" si="2"/>
        <v>Not found path.</v>
      </c>
      <c r="T34" s="121" t="s">
        <v>4157</v>
      </c>
      <c r="U34" s="72"/>
    </row>
    <row r="35">
      <c r="A35" s="2" t="s">
        <v>3887</v>
      </c>
      <c r="B35" s="2" t="s">
        <v>4159</v>
      </c>
      <c r="C35" s="72" t="s">
        <v>1532</v>
      </c>
      <c r="D35" s="118" t="s">
        <v>112</v>
      </c>
      <c r="E35" s="118" t="s">
        <v>1417</v>
      </c>
      <c r="F35" s="72" t="s">
        <v>1531</v>
      </c>
      <c r="G35" s="72" t="s">
        <v>4160</v>
      </c>
      <c r="H35" s="73" t="s">
        <v>162</v>
      </c>
      <c r="I35" s="72" t="s">
        <v>4161</v>
      </c>
      <c r="J35" s="73" t="s">
        <v>48</v>
      </c>
      <c r="K35" s="119" t="s">
        <v>49</v>
      </c>
      <c r="L35" s="72" t="s">
        <v>884</v>
      </c>
      <c r="M35" s="72" t="s">
        <v>4162</v>
      </c>
      <c r="N35" s="72" t="s">
        <v>4163</v>
      </c>
      <c r="O35" s="72" t="s">
        <v>4090</v>
      </c>
      <c r="P35" s="121" t="s">
        <v>2729</v>
      </c>
      <c r="Q35" s="122" t="str">
        <f t="shared" si="1"/>
        <v>Not found path.</v>
      </c>
      <c r="R35" s="123" t="s">
        <v>4164</v>
      </c>
      <c r="S35" s="74" t="str">
        <f t="shared" si="2"/>
        <v>Not found path.</v>
      </c>
      <c r="T35" s="121" t="s">
        <v>4165</v>
      </c>
      <c r="U35" s="72"/>
    </row>
    <row r="36">
      <c r="A36" s="2" t="s">
        <v>3887</v>
      </c>
      <c r="B36" s="2" t="s">
        <v>4166</v>
      </c>
      <c r="C36" s="72" t="s">
        <v>1532</v>
      </c>
      <c r="D36" s="118" t="s">
        <v>112</v>
      </c>
      <c r="E36" s="118" t="s">
        <v>1417</v>
      </c>
      <c r="F36" s="72" t="s">
        <v>1531</v>
      </c>
      <c r="G36" s="72" t="s">
        <v>4167</v>
      </c>
      <c r="H36" s="73" t="s">
        <v>162</v>
      </c>
      <c r="I36" s="72" t="s">
        <v>4161</v>
      </c>
      <c r="J36" s="73" t="s">
        <v>48</v>
      </c>
      <c r="K36" s="119" t="s">
        <v>108</v>
      </c>
      <c r="L36" s="72" t="s">
        <v>889</v>
      </c>
      <c r="M36" s="72" t="s">
        <v>4169</v>
      </c>
      <c r="N36" s="72" t="s">
        <v>4170</v>
      </c>
      <c r="O36" s="129"/>
      <c r="P36" s="121" t="s">
        <v>2729</v>
      </c>
      <c r="Q36" s="122" t="str">
        <f t="shared" si="1"/>
        <v>Not found path.</v>
      </c>
      <c r="R36" s="123" t="s">
        <v>4171</v>
      </c>
      <c r="S36" s="74" t="str">
        <f t="shared" si="2"/>
        <v>Not found path.</v>
      </c>
      <c r="T36" s="121" t="s">
        <v>4174</v>
      </c>
      <c r="U36" s="72"/>
    </row>
    <row r="37">
      <c r="A37" s="2" t="s">
        <v>3887</v>
      </c>
      <c r="B37" s="2" t="s">
        <v>4176</v>
      </c>
      <c r="C37" s="72" t="s">
        <v>1551</v>
      </c>
      <c r="D37" s="118" t="s">
        <v>112</v>
      </c>
      <c r="E37" s="118" t="s">
        <v>1417</v>
      </c>
      <c r="F37" s="72" t="s">
        <v>1548</v>
      </c>
      <c r="G37" s="72" t="s">
        <v>4177</v>
      </c>
      <c r="H37" s="73" t="s">
        <v>162</v>
      </c>
      <c r="I37" s="72" t="s">
        <v>4178</v>
      </c>
      <c r="J37" s="73" t="s">
        <v>48</v>
      </c>
      <c r="K37" s="119" t="s">
        <v>49</v>
      </c>
      <c r="L37" s="72" t="s">
        <v>911</v>
      </c>
      <c r="M37" s="72" t="s">
        <v>4179</v>
      </c>
      <c r="N37" s="72" t="s">
        <v>912</v>
      </c>
      <c r="O37" s="30"/>
      <c r="P37" s="121" t="s">
        <v>2729</v>
      </c>
      <c r="Q37" s="122" t="str">
        <f t="shared" si="1"/>
        <v>Not found path.</v>
      </c>
      <c r="R37" s="123" t="s">
        <v>4180</v>
      </c>
      <c r="S37" s="74" t="str">
        <f t="shared" si="2"/>
        <v>Not found path.</v>
      </c>
      <c r="T37" s="121" t="s">
        <v>4181</v>
      </c>
      <c r="U37" s="72"/>
    </row>
    <row r="38">
      <c r="A38" s="2" t="s">
        <v>3887</v>
      </c>
      <c r="B38" s="2" t="s">
        <v>4182</v>
      </c>
      <c r="C38" s="72" t="s">
        <v>1570</v>
      </c>
      <c r="D38" s="118" t="s">
        <v>112</v>
      </c>
      <c r="E38" s="118" t="s">
        <v>1417</v>
      </c>
      <c r="F38" s="72" t="s">
        <v>4183</v>
      </c>
      <c r="G38" s="72" t="s">
        <v>4184</v>
      </c>
      <c r="H38" s="73" t="s">
        <v>162</v>
      </c>
      <c r="I38" s="72" t="s">
        <v>4185</v>
      </c>
      <c r="J38" s="73" t="s">
        <v>48</v>
      </c>
      <c r="K38" s="119" t="s">
        <v>49</v>
      </c>
      <c r="L38" s="72" t="s">
        <v>941</v>
      </c>
      <c r="M38" s="72" t="s">
        <v>4186</v>
      </c>
      <c r="N38" s="72" t="s">
        <v>942</v>
      </c>
      <c r="O38" s="72" t="s">
        <v>4188</v>
      </c>
      <c r="P38" s="121" t="s">
        <v>2729</v>
      </c>
      <c r="Q38" s="122" t="str">
        <f t="shared" si="1"/>
        <v>Not found path.</v>
      </c>
      <c r="R38" s="123" t="s">
        <v>4189</v>
      </c>
      <c r="S38" s="74" t="str">
        <f t="shared" si="2"/>
        <v>Not found path.</v>
      </c>
      <c r="T38" s="121" t="s">
        <v>4192</v>
      </c>
      <c r="U38" s="72"/>
    </row>
    <row r="39">
      <c r="A39" s="2" t="s">
        <v>3887</v>
      </c>
      <c r="B39" s="2" t="s">
        <v>4195</v>
      </c>
      <c r="C39" s="72" t="s">
        <v>1559</v>
      </c>
      <c r="D39" s="118" t="s">
        <v>112</v>
      </c>
      <c r="E39" s="118" t="s">
        <v>1417</v>
      </c>
      <c r="F39" s="72" t="s">
        <v>4196</v>
      </c>
      <c r="G39" s="72" t="s">
        <v>4197</v>
      </c>
      <c r="H39" s="73" t="s">
        <v>162</v>
      </c>
      <c r="I39" s="72" t="s">
        <v>4198</v>
      </c>
      <c r="J39" s="73" t="s">
        <v>48</v>
      </c>
      <c r="K39" s="119" t="s">
        <v>49</v>
      </c>
      <c r="L39" s="72" t="s">
        <v>965</v>
      </c>
      <c r="M39" s="72" t="s">
        <v>4200</v>
      </c>
      <c r="N39" s="72" t="s">
        <v>966</v>
      </c>
      <c r="O39" s="72" t="s">
        <v>4201</v>
      </c>
      <c r="P39" s="121" t="s">
        <v>2729</v>
      </c>
      <c r="Q39" s="122" t="str">
        <f t="shared" si="1"/>
        <v>Not found path.</v>
      </c>
      <c r="R39" s="123" t="s">
        <v>4202</v>
      </c>
      <c r="S39" s="74" t="str">
        <f t="shared" si="2"/>
        <v>Not found path.</v>
      </c>
      <c r="T39" s="121" t="s">
        <v>4204</v>
      </c>
      <c r="U39" s="72"/>
    </row>
    <row r="40">
      <c r="A40" s="2" t="s">
        <v>3887</v>
      </c>
      <c r="B40" s="2" t="s">
        <v>4205</v>
      </c>
      <c r="C40" s="72" t="s">
        <v>1578</v>
      </c>
      <c r="D40" s="118" t="s">
        <v>112</v>
      </c>
      <c r="E40" s="118" t="s">
        <v>1417</v>
      </c>
      <c r="F40" s="72" t="s">
        <v>1576</v>
      </c>
      <c r="G40" s="72" t="s">
        <v>4206</v>
      </c>
      <c r="H40" s="73" t="s">
        <v>162</v>
      </c>
      <c r="I40" s="72" t="s">
        <v>4207</v>
      </c>
      <c r="J40" s="73" t="s">
        <v>48</v>
      </c>
      <c r="K40" s="119" t="s">
        <v>49</v>
      </c>
      <c r="L40" s="72" t="s">
        <v>396</v>
      </c>
      <c r="M40" s="72" t="s">
        <v>4208</v>
      </c>
      <c r="N40" s="72" t="s">
        <v>998</v>
      </c>
      <c r="O40" s="72" t="s">
        <v>3963</v>
      </c>
      <c r="P40" s="121" t="s">
        <v>2729</v>
      </c>
      <c r="Q40" s="122" t="str">
        <f t="shared" si="1"/>
        <v>Not found path.</v>
      </c>
      <c r="R40" s="123" t="s">
        <v>4210</v>
      </c>
      <c r="S40" s="74" t="str">
        <f t="shared" si="2"/>
        <v>Not found path.</v>
      </c>
      <c r="T40" s="121" t="s">
        <v>4213</v>
      </c>
      <c r="U40" s="72"/>
    </row>
    <row r="41">
      <c r="A41" s="2" t="s">
        <v>3887</v>
      </c>
      <c r="B41" s="2" t="s">
        <v>4215</v>
      </c>
      <c r="C41" s="72" t="s">
        <v>1587</v>
      </c>
      <c r="D41" s="118" t="s">
        <v>112</v>
      </c>
      <c r="E41" s="118" t="s">
        <v>1417</v>
      </c>
      <c r="F41" s="72" t="s">
        <v>1584</v>
      </c>
      <c r="G41" s="72" t="s">
        <v>4217</v>
      </c>
      <c r="H41" s="73" t="s">
        <v>162</v>
      </c>
      <c r="I41" s="72" t="s">
        <v>3825</v>
      </c>
      <c r="J41" s="73" t="s">
        <v>48</v>
      </c>
      <c r="K41" s="119" t="s">
        <v>49</v>
      </c>
      <c r="L41" s="72" t="s">
        <v>1010</v>
      </c>
      <c r="M41" s="72" t="s">
        <v>4219</v>
      </c>
      <c r="N41" s="72" t="s">
        <v>1011</v>
      </c>
      <c r="O41" s="129"/>
      <c r="P41" s="121" t="s">
        <v>2729</v>
      </c>
      <c r="Q41" s="122" t="str">
        <f t="shared" si="1"/>
        <v>Not found path.</v>
      </c>
      <c r="R41" s="123" t="s">
        <v>4221</v>
      </c>
      <c r="S41" s="74" t="str">
        <f t="shared" si="2"/>
        <v>Not found path.</v>
      </c>
      <c r="T41" s="121" t="s">
        <v>4223</v>
      </c>
      <c r="U41" s="72"/>
    </row>
  </sheetData>
  <autoFilter ref="$A$1:$U$41"/>
  <dataValidations>
    <dataValidation type="list" allowBlank="1" showErrorMessage="1" sqref="K2:K41">
      <formula1>"POST,PUT,GET,PATCH,DELETE"</formula1>
    </dataValidation>
    <dataValidation type="list" allowBlank="1" showErrorMessage="1" sqref="D2:D41">
      <formula1>"OAS,RAML"</formula1>
    </dataValidation>
    <dataValidation type="list" allowBlank="1" showErrorMessage="1" sqref="E2:E41">
      <formula1>"RECEPTION,BUSINESS,DOMAIN,PROXY"</formula1>
    </dataValidation>
  </dataValidations>
  <hyperlinks>
    <hyperlink r:id="rId1" ref="P2"/>
    <hyperlink r:id="rId2" ref="R2"/>
    <hyperlink r:id="rId3" ref="T2"/>
    <hyperlink r:id="rId4" ref="P3"/>
    <hyperlink r:id="rId5" ref="R3"/>
    <hyperlink r:id="rId6" ref="T3"/>
    <hyperlink r:id="rId7" ref="P4"/>
    <hyperlink r:id="rId8" ref="R4"/>
    <hyperlink r:id="rId9" ref="T4"/>
    <hyperlink r:id="rId10" ref="P5"/>
    <hyperlink r:id="rId11" ref="R5"/>
    <hyperlink r:id="rId12" ref="T5"/>
    <hyperlink r:id="rId13" ref="P6"/>
    <hyperlink r:id="rId14" ref="R6"/>
    <hyperlink r:id="rId15" ref="T6"/>
    <hyperlink r:id="rId16" ref="P7"/>
    <hyperlink r:id="rId17" ref="R7"/>
    <hyperlink r:id="rId18" ref="T7"/>
    <hyperlink r:id="rId19" ref="P8"/>
    <hyperlink r:id="rId20" ref="R8"/>
    <hyperlink r:id="rId21" ref="T8"/>
    <hyperlink r:id="rId22" ref="P9"/>
    <hyperlink r:id="rId23" ref="R9"/>
    <hyperlink r:id="rId24" ref="T9"/>
    <hyperlink r:id="rId25" ref="P10"/>
    <hyperlink r:id="rId26" ref="R10"/>
    <hyperlink r:id="rId27" ref="T10"/>
    <hyperlink r:id="rId28" ref="P11"/>
    <hyperlink r:id="rId29" ref="R11"/>
    <hyperlink r:id="rId30" ref="T11"/>
    <hyperlink r:id="rId31" ref="P12"/>
    <hyperlink r:id="rId32" ref="R12"/>
    <hyperlink r:id="rId33" ref="T12"/>
    <hyperlink r:id="rId34" ref="P13"/>
    <hyperlink r:id="rId35" ref="R13"/>
    <hyperlink r:id="rId36" ref="T13"/>
    <hyperlink r:id="rId37" ref="P14"/>
    <hyperlink r:id="rId38" ref="R14"/>
    <hyperlink r:id="rId39" ref="T14"/>
    <hyperlink r:id="rId40" ref="P15"/>
    <hyperlink r:id="rId41" ref="R15"/>
    <hyperlink r:id="rId42" ref="T15"/>
    <hyperlink r:id="rId43" ref="P16"/>
    <hyperlink r:id="rId44" ref="R16"/>
    <hyperlink r:id="rId45" ref="T16"/>
    <hyperlink r:id="rId46" ref="P17"/>
    <hyperlink r:id="rId47" ref="R17"/>
    <hyperlink r:id="rId48" ref="T17"/>
    <hyperlink r:id="rId49" ref="P18"/>
    <hyperlink r:id="rId50" ref="R18"/>
    <hyperlink r:id="rId51" ref="T18"/>
    <hyperlink r:id="rId52" ref="P19"/>
    <hyperlink r:id="rId53" ref="R19"/>
    <hyperlink r:id="rId54" ref="T19"/>
    <hyperlink r:id="rId55" ref="P20"/>
    <hyperlink r:id="rId56" ref="R20"/>
    <hyperlink r:id="rId57" ref="T20"/>
    <hyperlink r:id="rId58" ref="P21"/>
    <hyperlink r:id="rId59" ref="R21"/>
    <hyperlink r:id="rId60" ref="T21"/>
    <hyperlink r:id="rId61" ref="P22"/>
    <hyperlink r:id="rId62" ref="R22"/>
    <hyperlink r:id="rId63" ref="T22"/>
    <hyperlink r:id="rId64" ref="P23"/>
    <hyperlink r:id="rId65" ref="R23"/>
    <hyperlink r:id="rId66" ref="T23"/>
    <hyperlink r:id="rId67" ref="P24"/>
    <hyperlink r:id="rId68" ref="R24"/>
    <hyperlink r:id="rId69" ref="T24"/>
    <hyperlink r:id="rId70" ref="P25"/>
    <hyperlink r:id="rId71" ref="R25"/>
    <hyperlink r:id="rId72" ref="T25"/>
    <hyperlink r:id="rId73" ref="P26"/>
    <hyperlink r:id="rId74" ref="R26"/>
    <hyperlink r:id="rId75" ref="T26"/>
    <hyperlink r:id="rId76" ref="P27"/>
    <hyperlink r:id="rId77" ref="R27"/>
    <hyperlink r:id="rId78" ref="T27"/>
    <hyperlink r:id="rId79" ref="P28"/>
    <hyperlink r:id="rId80" ref="R28"/>
    <hyperlink r:id="rId81" ref="T28"/>
    <hyperlink r:id="rId82" ref="P29"/>
    <hyperlink r:id="rId83" ref="R29"/>
    <hyperlink r:id="rId84" ref="T29"/>
    <hyperlink r:id="rId85" ref="P30"/>
    <hyperlink r:id="rId86" ref="R30"/>
    <hyperlink r:id="rId87" ref="T30"/>
    <hyperlink r:id="rId88" ref="P31"/>
    <hyperlink r:id="rId89" ref="R31"/>
    <hyperlink r:id="rId90" ref="T31"/>
    <hyperlink r:id="rId91" ref="P32"/>
    <hyperlink r:id="rId92" ref="R32"/>
    <hyperlink r:id="rId93" ref="T32"/>
    <hyperlink r:id="rId94" ref="P33"/>
    <hyperlink r:id="rId95" ref="R33"/>
    <hyperlink r:id="rId96" ref="T33"/>
    <hyperlink r:id="rId97" ref="P34"/>
    <hyperlink r:id="rId98" ref="R34"/>
    <hyperlink r:id="rId99" ref="T34"/>
    <hyperlink r:id="rId100" ref="P35"/>
    <hyperlink r:id="rId101" ref="R35"/>
    <hyperlink r:id="rId102" ref="T35"/>
    <hyperlink r:id="rId103" ref="P36"/>
    <hyperlink r:id="rId104" ref="R36"/>
    <hyperlink r:id="rId105" ref="T36"/>
    <hyperlink r:id="rId106" ref="P37"/>
    <hyperlink r:id="rId107" ref="R37"/>
    <hyperlink r:id="rId108" ref="T37"/>
    <hyperlink r:id="rId109" ref="P38"/>
    <hyperlink r:id="rId110" ref="R38"/>
    <hyperlink r:id="rId111" ref="T38"/>
    <hyperlink r:id="rId112" ref="P39"/>
    <hyperlink r:id="rId113" ref="R39"/>
    <hyperlink r:id="rId114" ref="T39"/>
    <hyperlink r:id="rId115" ref="P40"/>
    <hyperlink r:id="rId116" ref="R40"/>
    <hyperlink r:id="rId117" ref="T40"/>
    <hyperlink r:id="rId118" ref="P41"/>
    <hyperlink r:id="rId119" ref="R41"/>
    <hyperlink r:id="rId120" ref="T41"/>
  </hyperlinks>
  <drawing r:id="rId12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46.89"/>
    <col customWidth="1" min="2" max="2" width="33.89"/>
    <col customWidth="1" min="3" max="3" width="26.0"/>
    <col customWidth="1" min="4" max="4" width="23.33"/>
  </cols>
  <sheetData>
    <row r="1">
      <c r="A1" s="164" t="s">
        <v>10</v>
      </c>
      <c r="B1" s="164" t="s">
        <v>2721</v>
      </c>
      <c r="C1" s="164" t="s">
        <v>4251</v>
      </c>
      <c r="D1" s="164" t="s">
        <v>25</v>
      </c>
      <c r="E1" s="165"/>
      <c r="F1" s="165"/>
      <c r="G1" s="165"/>
      <c r="H1" s="165"/>
      <c r="I1" s="165"/>
      <c r="J1" s="165"/>
      <c r="K1" s="165"/>
      <c r="L1" s="165"/>
      <c r="M1" s="165"/>
      <c r="N1" s="165"/>
      <c r="O1" s="165"/>
      <c r="P1" s="165"/>
      <c r="Q1" s="165"/>
      <c r="R1" s="165"/>
      <c r="S1" s="165"/>
      <c r="T1" s="165"/>
      <c r="U1" s="165"/>
      <c r="V1" s="165"/>
      <c r="W1" s="165"/>
      <c r="X1" s="165"/>
      <c r="Y1" s="165"/>
    </row>
    <row r="2">
      <c r="A2" s="166" t="s">
        <v>1416</v>
      </c>
      <c r="B2" s="167" t="s">
        <v>4252</v>
      </c>
      <c r="C2" s="169" t="s">
        <v>4259</v>
      </c>
      <c r="D2" s="169" t="s">
        <v>4260</v>
      </c>
    </row>
    <row r="3">
      <c r="A3" s="170" t="s">
        <v>1426</v>
      </c>
      <c r="B3" s="171" t="s">
        <v>4261</v>
      </c>
      <c r="C3" s="169" t="s">
        <v>4264</v>
      </c>
      <c r="D3" s="169" t="s">
        <v>4265</v>
      </c>
    </row>
    <row r="4">
      <c r="A4" s="166" t="s">
        <v>1437</v>
      </c>
      <c r="B4" s="167" t="s">
        <v>4266</v>
      </c>
      <c r="C4" s="169" t="s">
        <v>4259</v>
      </c>
      <c r="D4" s="169" t="s">
        <v>4268</v>
      </c>
    </row>
    <row r="5">
      <c r="A5" s="170" t="s">
        <v>1450</v>
      </c>
      <c r="B5" s="171" t="s">
        <v>4269</v>
      </c>
      <c r="C5" s="169" t="s">
        <v>4264</v>
      </c>
      <c r="D5" s="169" t="s">
        <v>4265</v>
      </c>
    </row>
    <row r="6">
      <c r="A6" s="166" t="s">
        <v>1459</v>
      </c>
      <c r="B6" s="173" t="s">
        <v>4272</v>
      </c>
      <c r="C6" s="169" t="s">
        <v>4259</v>
      </c>
      <c r="D6" s="169" t="s">
        <v>4268</v>
      </c>
    </row>
    <row r="7">
      <c r="A7" s="170" t="s">
        <v>1471</v>
      </c>
      <c r="B7" s="171" t="s">
        <v>4275</v>
      </c>
      <c r="C7" s="169" t="s">
        <v>4264</v>
      </c>
      <c r="D7" s="169" t="s">
        <v>4268</v>
      </c>
    </row>
    <row r="8">
      <c r="A8" s="166" t="s">
        <v>1483</v>
      </c>
      <c r="B8" s="173" t="s">
        <v>4280</v>
      </c>
      <c r="C8" s="169" t="s">
        <v>4259</v>
      </c>
      <c r="D8" s="169" t="s">
        <v>4268</v>
      </c>
    </row>
    <row r="9">
      <c r="A9" s="170" t="s">
        <v>1495</v>
      </c>
      <c r="B9" s="171" t="s">
        <v>4281</v>
      </c>
      <c r="C9" s="169" t="s">
        <v>4264</v>
      </c>
      <c r="D9" s="169" t="s">
        <v>4265</v>
      </c>
    </row>
    <row r="10">
      <c r="A10" s="166" t="s">
        <v>1508</v>
      </c>
      <c r="B10" s="167" t="s">
        <v>4284</v>
      </c>
      <c r="C10" s="169" t="s">
        <v>4259</v>
      </c>
      <c r="D10" s="169" t="s">
        <v>4268</v>
      </c>
    </row>
    <row r="11">
      <c r="A11" s="170" t="s">
        <v>1520</v>
      </c>
      <c r="B11" s="171" t="s">
        <v>4286</v>
      </c>
      <c r="C11" s="169" t="s">
        <v>4264</v>
      </c>
      <c r="D11" s="169" t="s">
        <v>4265</v>
      </c>
    </row>
    <row r="12">
      <c r="A12" s="166" t="s">
        <v>1531</v>
      </c>
      <c r="B12" s="173" t="s">
        <v>4292</v>
      </c>
      <c r="C12" s="169" t="s">
        <v>4293</v>
      </c>
      <c r="D12" s="169" t="s">
        <v>4260</v>
      </c>
    </row>
    <row r="13">
      <c r="A13" s="170" t="s">
        <v>1537</v>
      </c>
      <c r="B13" s="171" t="s">
        <v>4294</v>
      </c>
      <c r="C13" s="169" t="s">
        <v>4259</v>
      </c>
      <c r="D13" s="169" t="s">
        <v>4260</v>
      </c>
    </row>
    <row r="14">
      <c r="A14" s="166" t="s">
        <v>1548</v>
      </c>
      <c r="B14" s="171" t="s">
        <v>4300</v>
      </c>
      <c r="C14" s="169" t="s">
        <v>4293</v>
      </c>
      <c r="D14" s="169" t="s">
        <v>4260</v>
      </c>
    </row>
    <row r="15">
      <c r="A15" s="170" t="s">
        <v>1558</v>
      </c>
      <c r="B15" s="173" t="s">
        <v>4305</v>
      </c>
      <c r="C15" s="169" t="s">
        <v>4293</v>
      </c>
      <c r="D15" s="169" t="s">
        <v>4260</v>
      </c>
    </row>
    <row r="16">
      <c r="A16" s="166" t="s">
        <v>4183</v>
      </c>
      <c r="B16" s="171" t="s">
        <v>4306</v>
      </c>
      <c r="C16" s="169" t="s">
        <v>4293</v>
      </c>
      <c r="D16" s="169" t="s">
        <v>4260</v>
      </c>
    </row>
    <row r="17">
      <c r="A17" s="170" t="s">
        <v>1576</v>
      </c>
      <c r="B17" s="173" t="s">
        <v>4309</v>
      </c>
      <c r="C17" s="169" t="s">
        <v>4293</v>
      </c>
      <c r="D17" s="169" t="s">
        <v>4260</v>
      </c>
    </row>
    <row r="18">
      <c r="A18" s="166" t="s">
        <v>1584</v>
      </c>
      <c r="B18" s="176" t="s">
        <v>4312</v>
      </c>
      <c r="C18" s="169" t="s">
        <v>4293</v>
      </c>
      <c r="D18" s="169" t="s">
        <v>4260</v>
      </c>
    </row>
    <row r="19">
      <c r="A19" s="170" t="s">
        <v>1596</v>
      </c>
      <c r="B19" s="173" t="s">
        <v>4318</v>
      </c>
      <c r="C19" s="169" t="s">
        <v>4293</v>
      </c>
      <c r="D19" s="169" t="s">
        <v>4260</v>
      </c>
    </row>
    <row r="20">
      <c r="A20" s="166" t="s">
        <v>1604</v>
      </c>
      <c r="B20" s="171" t="s">
        <v>4321</v>
      </c>
      <c r="C20" s="169" t="s">
        <v>4293</v>
      </c>
      <c r="D20" s="169" t="s">
        <v>4260</v>
      </c>
    </row>
    <row r="21">
      <c r="A21" s="170" t="s">
        <v>1617</v>
      </c>
      <c r="B21" s="173" t="s">
        <v>4326</v>
      </c>
      <c r="C21" s="169" t="s">
        <v>4293</v>
      </c>
      <c r="D21" s="169" t="s">
        <v>4260</v>
      </c>
    </row>
    <row r="22">
      <c r="A22" s="166" t="s">
        <v>1626</v>
      </c>
      <c r="B22" s="171" t="s">
        <v>4327</v>
      </c>
      <c r="C22" s="169" t="s">
        <v>4293</v>
      </c>
      <c r="D22" s="169" t="s">
        <v>4260</v>
      </c>
    </row>
    <row r="23">
      <c r="A23" s="170" t="s">
        <v>1638</v>
      </c>
      <c r="B23" s="173" t="s">
        <v>4330</v>
      </c>
      <c r="C23" s="169" t="s">
        <v>4259</v>
      </c>
      <c r="D23" s="169" t="s">
        <v>4268</v>
      </c>
    </row>
    <row r="24">
      <c r="A24" s="166" t="s">
        <v>1649</v>
      </c>
      <c r="B24" s="171" t="s">
        <v>4333</v>
      </c>
      <c r="C24" s="169" t="s">
        <v>4336</v>
      </c>
      <c r="D24" s="169" t="s">
        <v>4260</v>
      </c>
    </row>
    <row r="25">
      <c r="A25" s="170" t="s">
        <v>1658</v>
      </c>
      <c r="B25" s="173" t="s">
        <v>4337</v>
      </c>
      <c r="C25" s="169" t="s">
        <v>4340</v>
      </c>
      <c r="D25" s="169" t="s">
        <v>4260</v>
      </c>
    </row>
    <row r="26">
      <c r="A26" s="166" t="s">
        <v>1667</v>
      </c>
      <c r="B26" s="171" t="s">
        <v>4341</v>
      </c>
      <c r="C26" s="169" t="s">
        <v>4340</v>
      </c>
      <c r="D26" s="169" t="s">
        <v>4260</v>
      </c>
    </row>
    <row r="27">
      <c r="A27" s="170" t="s">
        <v>1677</v>
      </c>
      <c r="B27" s="173" t="s">
        <v>4343</v>
      </c>
      <c r="C27" s="169" t="s">
        <v>4340</v>
      </c>
      <c r="D27" s="169" t="s">
        <v>4260</v>
      </c>
    </row>
    <row r="28">
      <c r="A28" s="166" t="s">
        <v>1688</v>
      </c>
      <c r="B28" s="171" t="s">
        <v>4345</v>
      </c>
      <c r="C28" s="169" t="s">
        <v>4340</v>
      </c>
      <c r="D28" s="169" t="s">
        <v>4260</v>
      </c>
    </row>
    <row r="29">
      <c r="A29" s="170" t="s">
        <v>1698</v>
      </c>
      <c r="B29" s="167" t="s">
        <v>4348</v>
      </c>
      <c r="C29" s="169" t="s">
        <v>4340</v>
      </c>
      <c r="D29" s="169" t="s">
        <v>4260</v>
      </c>
    </row>
    <row r="30">
      <c r="A30" s="166" t="s">
        <v>1709</v>
      </c>
      <c r="B30" s="171" t="s">
        <v>4352</v>
      </c>
      <c r="C30" s="169" t="s">
        <v>4336</v>
      </c>
      <c r="D30" s="169" t="s">
        <v>4260</v>
      </c>
    </row>
    <row r="31">
      <c r="A31" s="170" t="s">
        <v>1722</v>
      </c>
      <c r="B31" s="173" t="s">
        <v>4356</v>
      </c>
      <c r="C31" s="169" t="s">
        <v>4336</v>
      </c>
      <c r="D31" s="169" t="s">
        <v>4260</v>
      </c>
    </row>
    <row r="32">
      <c r="A32" s="166" t="s">
        <v>1734</v>
      </c>
      <c r="B32" s="171" t="s">
        <v>4358</v>
      </c>
      <c r="C32" s="169" t="s">
        <v>4336</v>
      </c>
      <c r="D32" s="169" t="s">
        <v>4260</v>
      </c>
    </row>
    <row r="33">
      <c r="A33" s="170" t="s">
        <v>1744</v>
      </c>
      <c r="B33" s="173" t="s">
        <v>4359</v>
      </c>
      <c r="C33" s="169" t="s">
        <v>4361</v>
      </c>
      <c r="D33" s="169" t="s">
        <v>4260</v>
      </c>
    </row>
    <row r="34">
      <c r="A34" s="166" t="s">
        <v>1755</v>
      </c>
      <c r="B34" s="171" t="s">
        <v>4362</v>
      </c>
      <c r="C34" s="169" t="s">
        <v>4361</v>
      </c>
      <c r="D34" s="169" t="s">
        <v>4260</v>
      </c>
    </row>
    <row r="35">
      <c r="A35" s="170" t="s">
        <v>1764</v>
      </c>
      <c r="B35" s="173" t="s">
        <v>4367</v>
      </c>
      <c r="C35" s="169" t="s">
        <v>4361</v>
      </c>
      <c r="D35" s="169" t="s">
        <v>4260</v>
      </c>
    </row>
    <row r="36">
      <c r="A36" s="166" t="s">
        <v>1773</v>
      </c>
      <c r="B36" s="171" t="s">
        <v>4370</v>
      </c>
      <c r="C36" s="169" t="s">
        <v>4361</v>
      </c>
      <c r="D36" s="169" t="s">
        <v>4260</v>
      </c>
    </row>
    <row r="37">
      <c r="A37" s="170" t="s">
        <v>1784</v>
      </c>
      <c r="B37" s="173" t="s">
        <v>4371</v>
      </c>
      <c r="C37" s="169" t="s">
        <v>4361</v>
      </c>
      <c r="D37" s="169" t="s">
        <v>4260</v>
      </c>
    </row>
    <row r="38">
      <c r="A38" s="166" t="s">
        <v>1794</v>
      </c>
      <c r="B38" s="171" t="s">
        <v>4373</v>
      </c>
      <c r="C38" s="169" t="s">
        <v>4361</v>
      </c>
      <c r="D38" s="169" t="s">
        <v>4260</v>
      </c>
    </row>
    <row r="39">
      <c r="A39" s="170" t="s">
        <v>1805</v>
      </c>
      <c r="B39" s="173" t="s">
        <v>4375</v>
      </c>
      <c r="C39" s="169" t="s">
        <v>4361</v>
      </c>
      <c r="D39" s="169" t="s">
        <v>4260</v>
      </c>
    </row>
    <row r="40">
      <c r="A40" s="166" t="s">
        <v>1537</v>
      </c>
      <c r="B40" s="171" t="s">
        <v>4294</v>
      </c>
      <c r="C40" s="169" t="s">
        <v>4259</v>
      </c>
      <c r="D40" s="169" t="s">
        <v>4260</v>
      </c>
      <c r="F40" s="2"/>
      <c r="H40" s="2"/>
      <c r="J40" s="2"/>
      <c r="L40" s="2"/>
      <c r="N40" s="2"/>
      <c r="P40" s="2"/>
      <c r="R40" s="2"/>
      <c r="T40" s="2"/>
      <c r="V40" s="2"/>
      <c r="X40" s="2"/>
    </row>
    <row r="41">
      <c r="A41" s="180" t="s">
        <v>4378</v>
      </c>
      <c r="B41" s="181" t="s">
        <v>4380</v>
      </c>
      <c r="C41" s="182" t="s">
        <v>4361</v>
      </c>
      <c r="D41" s="182" t="s">
        <v>4382</v>
      </c>
    </row>
    <row r="42">
      <c r="A42" s="2"/>
      <c r="B42" s="2"/>
      <c r="C42" s="2"/>
      <c r="D42" s="165"/>
    </row>
    <row r="43">
      <c r="B43" s="2"/>
      <c r="C43" s="2"/>
      <c r="D43" s="165"/>
    </row>
    <row r="44">
      <c r="B44" s="183"/>
      <c r="C44" s="2"/>
      <c r="D44" s="165"/>
    </row>
    <row r="45">
      <c r="B45" s="2"/>
      <c r="C45" s="2"/>
      <c r="D45" s="165"/>
    </row>
    <row r="46">
      <c r="B46" s="2"/>
      <c r="C46" s="2"/>
      <c r="D46" s="165"/>
    </row>
    <row r="47">
      <c r="B47" s="2"/>
      <c r="C47" s="2"/>
      <c r="D47" s="165"/>
    </row>
    <row r="48">
      <c r="B48" s="2"/>
      <c r="C48" s="2"/>
      <c r="D48" s="165"/>
    </row>
    <row r="49">
      <c r="B49" s="2"/>
      <c r="C49" s="2"/>
      <c r="D49" s="165"/>
    </row>
    <row r="50">
      <c r="B50" s="183"/>
      <c r="C50" s="2"/>
      <c r="D50" s="165"/>
    </row>
    <row r="51">
      <c r="B51" s="2"/>
      <c r="C51" s="2"/>
      <c r="D51" s="165"/>
    </row>
    <row r="52">
      <c r="B52" s="2"/>
      <c r="C52" s="2"/>
      <c r="D52" s="165"/>
    </row>
    <row r="53">
      <c r="B53" s="2"/>
      <c r="C53" s="2"/>
      <c r="D53" s="165"/>
    </row>
    <row r="54">
      <c r="B54" s="2"/>
      <c r="C54" s="2"/>
      <c r="D54" s="165"/>
    </row>
    <row r="55">
      <c r="B55" s="2"/>
      <c r="C55" s="2"/>
      <c r="D55" s="165"/>
    </row>
    <row r="56">
      <c r="B56" s="2"/>
      <c r="C56" s="2"/>
      <c r="D56" s="165"/>
    </row>
    <row r="57">
      <c r="B57" s="2"/>
      <c r="C57" s="2"/>
      <c r="D57" s="165"/>
    </row>
    <row r="58">
      <c r="B58" s="2"/>
      <c r="C58" s="2"/>
      <c r="D58" s="165"/>
    </row>
    <row r="59">
      <c r="B59" s="2"/>
      <c r="C59" s="2"/>
      <c r="D59" s="165"/>
    </row>
    <row r="60">
      <c r="B60" s="2"/>
      <c r="C60" s="2"/>
      <c r="D60" s="165"/>
    </row>
    <row r="61">
      <c r="B61" s="2"/>
      <c r="C61" s="2"/>
      <c r="D61" s="165"/>
    </row>
    <row r="62">
      <c r="B62" s="2"/>
      <c r="C62" s="2"/>
      <c r="D62" s="165"/>
    </row>
    <row r="63">
      <c r="D63" s="165"/>
    </row>
    <row r="64">
      <c r="D64" s="165"/>
    </row>
    <row r="65">
      <c r="D65" s="165"/>
    </row>
    <row r="66">
      <c r="D66" s="165"/>
    </row>
    <row r="67">
      <c r="D67" s="165"/>
    </row>
    <row r="68">
      <c r="D68" s="165"/>
    </row>
    <row r="69">
      <c r="D69" s="165"/>
    </row>
    <row r="70">
      <c r="D70" s="165"/>
    </row>
    <row r="71">
      <c r="D71" s="165"/>
    </row>
    <row r="72">
      <c r="D72" s="165"/>
    </row>
    <row r="73">
      <c r="D73" s="165"/>
    </row>
    <row r="74">
      <c r="D74" s="165"/>
    </row>
    <row r="75">
      <c r="D75" s="165"/>
    </row>
    <row r="76">
      <c r="D76" s="165"/>
    </row>
    <row r="77">
      <c r="D77" s="165"/>
    </row>
    <row r="78">
      <c r="D78" s="165"/>
    </row>
    <row r="79">
      <c r="D79" s="165"/>
    </row>
    <row r="80">
      <c r="D80" s="165"/>
    </row>
    <row r="81">
      <c r="D81" s="165"/>
    </row>
    <row r="82">
      <c r="D82" s="165"/>
    </row>
    <row r="83">
      <c r="D83" s="165"/>
    </row>
    <row r="84">
      <c r="D84" s="165"/>
    </row>
    <row r="85">
      <c r="D85" s="165"/>
    </row>
    <row r="86">
      <c r="D86" s="165"/>
    </row>
    <row r="87">
      <c r="D87" s="165"/>
    </row>
    <row r="88">
      <c r="D88" s="165"/>
    </row>
    <row r="89">
      <c r="D89" s="165"/>
    </row>
    <row r="90">
      <c r="D90" s="165"/>
    </row>
    <row r="91">
      <c r="D91" s="165"/>
    </row>
    <row r="92">
      <c r="D92" s="165"/>
    </row>
    <row r="93">
      <c r="D93" s="165"/>
    </row>
    <row r="94">
      <c r="D94" s="165"/>
    </row>
    <row r="95">
      <c r="D95" s="165"/>
    </row>
    <row r="96">
      <c r="D96" s="165"/>
    </row>
    <row r="97">
      <c r="D97" s="165"/>
    </row>
    <row r="98">
      <c r="D98" s="165"/>
    </row>
    <row r="99">
      <c r="D99" s="165"/>
    </row>
    <row r="100">
      <c r="D100" s="165"/>
    </row>
    <row r="101">
      <c r="D101" s="165"/>
    </row>
    <row r="102">
      <c r="D102" s="165"/>
    </row>
    <row r="103">
      <c r="D103" s="165"/>
    </row>
    <row r="104">
      <c r="D104" s="165"/>
    </row>
    <row r="105">
      <c r="D105" s="165"/>
    </row>
    <row r="106">
      <c r="D106" s="165"/>
    </row>
    <row r="107">
      <c r="D107" s="165"/>
    </row>
    <row r="108">
      <c r="D108" s="165"/>
    </row>
    <row r="109">
      <c r="D109" s="165"/>
    </row>
    <row r="110">
      <c r="D110" s="165"/>
    </row>
    <row r="111">
      <c r="D111" s="165"/>
    </row>
    <row r="112">
      <c r="D112" s="165"/>
    </row>
    <row r="113">
      <c r="D113" s="165"/>
    </row>
    <row r="114">
      <c r="D114" s="165"/>
    </row>
    <row r="115">
      <c r="D115" s="165"/>
    </row>
    <row r="116">
      <c r="D116" s="165"/>
    </row>
    <row r="117">
      <c r="D117" s="165"/>
    </row>
    <row r="118">
      <c r="D118" s="165"/>
    </row>
    <row r="119">
      <c r="D119" s="165"/>
    </row>
    <row r="120">
      <c r="D120" s="165"/>
    </row>
    <row r="121">
      <c r="D121" s="165"/>
    </row>
    <row r="122">
      <c r="D122" s="165"/>
    </row>
    <row r="123">
      <c r="D123" s="165"/>
    </row>
    <row r="124">
      <c r="D124" s="165"/>
    </row>
    <row r="125">
      <c r="D125" s="165"/>
    </row>
    <row r="126">
      <c r="D126" s="165"/>
    </row>
    <row r="127">
      <c r="D127" s="165"/>
    </row>
    <row r="128">
      <c r="D128" s="165"/>
    </row>
    <row r="129">
      <c r="D129" s="165"/>
    </row>
    <row r="130">
      <c r="D130" s="165"/>
    </row>
    <row r="131">
      <c r="D131" s="165"/>
    </row>
    <row r="132">
      <c r="D132" s="165"/>
    </row>
    <row r="133">
      <c r="D133" s="165"/>
    </row>
    <row r="134">
      <c r="D134" s="165"/>
    </row>
    <row r="135">
      <c r="D135" s="165"/>
    </row>
    <row r="136">
      <c r="D136" s="165"/>
    </row>
    <row r="137">
      <c r="D137" s="165"/>
    </row>
    <row r="138">
      <c r="D138" s="165"/>
    </row>
    <row r="139">
      <c r="D139" s="165"/>
    </row>
    <row r="140">
      <c r="D140" s="165"/>
    </row>
    <row r="141">
      <c r="D141" s="165"/>
    </row>
    <row r="142">
      <c r="D142" s="165"/>
    </row>
    <row r="143">
      <c r="D143" s="165"/>
    </row>
    <row r="144">
      <c r="D144" s="165"/>
    </row>
    <row r="145">
      <c r="D145" s="165"/>
    </row>
    <row r="146">
      <c r="D146" s="165"/>
    </row>
    <row r="147">
      <c r="D147" s="165"/>
    </row>
    <row r="148">
      <c r="D148" s="165"/>
    </row>
    <row r="149">
      <c r="D149" s="165"/>
    </row>
    <row r="150">
      <c r="D150" s="165"/>
    </row>
    <row r="151">
      <c r="D151" s="165"/>
    </row>
    <row r="152">
      <c r="D152" s="165"/>
    </row>
    <row r="153">
      <c r="D153" s="165"/>
    </row>
    <row r="154">
      <c r="D154" s="165"/>
    </row>
    <row r="155">
      <c r="D155" s="165"/>
    </row>
    <row r="156">
      <c r="D156" s="165"/>
    </row>
    <row r="157">
      <c r="D157" s="165"/>
    </row>
    <row r="158">
      <c r="D158" s="165"/>
    </row>
    <row r="159">
      <c r="D159" s="165"/>
    </row>
    <row r="160">
      <c r="D160" s="165"/>
    </row>
    <row r="161">
      <c r="D161" s="165"/>
    </row>
    <row r="162">
      <c r="D162" s="165"/>
    </row>
    <row r="163">
      <c r="D163" s="165"/>
    </row>
    <row r="164">
      <c r="D164" s="165"/>
    </row>
    <row r="165">
      <c r="D165" s="165"/>
    </row>
    <row r="166">
      <c r="D166" s="165"/>
    </row>
    <row r="167">
      <c r="D167" s="165"/>
    </row>
    <row r="168">
      <c r="D168" s="165"/>
    </row>
    <row r="169">
      <c r="D169" s="165"/>
    </row>
    <row r="170">
      <c r="D170" s="165"/>
    </row>
    <row r="171">
      <c r="D171" s="165"/>
    </row>
    <row r="172">
      <c r="D172" s="165"/>
    </row>
    <row r="173">
      <c r="D173" s="165"/>
    </row>
    <row r="174">
      <c r="D174" s="165"/>
    </row>
    <row r="175">
      <c r="D175" s="165"/>
    </row>
    <row r="176">
      <c r="D176" s="165"/>
    </row>
    <row r="177">
      <c r="D177" s="165"/>
    </row>
    <row r="178">
      <c r="D178" s="165"/>
    </row>
    <row r="179">
      <c r="D179" s="165"/>
    </row>
    <row r="180">
      <c r="D180" s="165"/>
    </row>
    <row r="181">
      <c r="D181" s="165"/>
    </row>
    <row r="182">
      <c r="D182" s="165"/>
    </row>
    <row r="183">
      <c r="D183" s="165"/>
    </row>
    <row r="184">
      <c r="D184" s="165"/>
    </row>
    <row r="185">
      <c r="D185" s="165"/>
    </row>
    <row r="186">
      <c r="D186" s="165"/>
    </row>
    <row r="187">
      <c r="D187" s="165"/>
    </row>
    <row r="188">
      <c r="D188" s="165"/>
    </row>
    <row r="189">
      <c r="D189" s="165"/>
    </row>
    <row r="190">
      <c r="D190" s="165"/>
    </row>
    <row r="191">
      <c r="D191" s="165"/>
    </row>
    <row r="192">
      <c r="D192" s="165"/>
    </row>
    <row r="193">
      <c r="D193" s="165"/>
    </row>
    <row r="194">
      <c r="D194" s="165"/>
    </row>
    <row r="195">
      <c r="D195" s="165"/>
    </row>
    <row r="196">
      <c r="D196" s="165"/>
    </row>
    <row r="197">
      <c r="D197" s="165"/>
    </row>
    <row r="198">
      <c r="D198" s="165"/>
    </row>
    <row r="199">
      <c r="D199" s="165"/>
    </row>
    <row r="200">
      <c r="D200" s="165"/>
    </row>
    <row r="201">
      <c r="D201" s="165"/>
    </row>
    <row r="202">
      <c r="D202" s="165"/>
    </row>
    <row r="203">
      <c r="D203" s="165"/>
    </row>
    <row r="204">
      <c r="D204" s="165"/>
    </row>
    <row r="205">
      <c r="D205" s="165"/>
    </row>
    <row r="206">
      <c r="D206" s="165"/>
    </row>
    <row r="207">
      <c r="D207" s="165"/>
    </row>
    <row r="208">
      <c r="D208" s="165"/>
    </row>
    <row r="209">
      <c r="D209" s="165"/>
    </row>
    <row r="210">
      <c r="D210" s="165"/>
    </row>
    <row r="211">
      <c r="D211" s="165"/>
    </row>
    <row r="212">
      <c r="D212" s="165"/>
    </row>
    <row r="213">
      <c r="D213" s="165"/>
    </row>
    <row r="214">
      <c r="D214" s="165"/>
    </row>
    <row r="215">
      <c r="D215" s="165"/>
    </row>
    <row r="216">
      <c r="D216" s="165"/>
    </row>
    <row r="217">
      <c r="D217" s="165"/>
    </row>
    <row r="218">
      <c r="D218" s="165"/>
    </row>
    <row r="219">
      <c r="D219" s="165"/>
    </row>
    <row r="220">
      <c r="D220" s="165"/>
    </row>
    <row r="221">
      <c r="D221" s="165"/>
    </row>
    <row r="222">
      <c r="D222" s="165"/>
    </row>
    <row r="223">
      <c r="D223" s="165"/>
    </row>
    <row r="224">
      <c r="D224" s="165"/>
    </row>
    <row r="225">
      <c r="D225" s="165"/>
    </row>
    <row r="226">
      <c r="D226" s="165"/>
    </row>
    <row r="227">
      <c r="D227" s="165"/>
    </row>
    <row r="228">
      <c r="D228" s="165"/>
    </row>
    <row r="229">
      <c r="D229" s="165"/>
    </row>
    <row r="230">
      <c r="D230" s="165"/>
    </row>
    <row r="231">
      <c r="D231" s="165"/>
    </row>
    <row r="232">
      <c r="D232" s="165"/>
    </row>
    <row r="233">
      <c r="D233" s="165"/>
    </row>
    <row r="234">
      <c r="D234" s="165"/>
    </row>
    <row r="235">
      <c r="D235" s="165"/>
    </row>
    <row r="236">
      <c r="D236" s="165"/>
    </row>
    <row r="237">
      <c r="D237" s="165"/>
    </row>
    <row r="238">
      <c r="D238" s="165"/>
    </row>
    <row r="239">
      <c r="D239" s="165"/>
    </row>
    <row r="240">
      <c r="D240" s="165"/>
    </row>
    <row r="241">
      <c r="D241" s="165"/>
    </row>
    <row r="242">
      <c r="D242" s="165"/>
    </row>
    <row r="243">
      <c r="D243" s="165"/>
    </row>
    <row r="244">
      <c r="D244" s="165"/>
    </row>
    <row r="245">
      <c r="D245" s="165"/>
    </row>
    <row r="246">
      <c r="D246" s="165"/>
    </row>
    <row r="247">
      <c r="D247" s="165"/>
    </row>
    <row r="248">
      <c r="D248" s="165"/>
    </row>
    <row r="249">
      <c r="D249" s="165"/>
    </row>
    <row r="250">
      <c r="D250" s="165"/>
    </row>
    <row r="251">
      <c r="D251" s="165"/>
    </row>
    <row r="252">
      <c r="D252" s="165"/>
    </row>
    <row r="253">
      <c r="D253" s="165"/>
    </row>
    <row r="254">
      <c r="D254" s="165"/>
    </row>
    <row r="255">
      <c r="D255" s="165"/>
    </row>
    <row r="256">
      <c r="D256" s="165"/>
    </row>
    <row r="257">
      <c r="D257" s="165"/>
    </row>
    <row r="258">
      <c r="D258" s="165"/>
    </row>
    <row r="259">
      <c r="D259" s="165"/>
    </row>
    <row r="260">
      <c r="D260" s="165"/>
    </row>
    <row r="261">
      <c r="D261" s="165"/>
    </row>
    <row r="262">
      <c r="D262" s="165"/>
    </row>
    <row r="263">
      <c r="D263" s="165"/>
    </row>
    <row r="264">
      <c r="D264" s="165"/>
    </row>
    <row r="265">
      <c r="D265" s="165"/>
    </row>
    <row r="266">
      <c r="D266" s="165"/>
    </row>
    <row r="267">
      <c r="D267" s="165"/>
    </row>
    <row r="268">
      <c r="D268" s="165"/>
    </row>
    <row r="269">
      <c r="D269" s="165"/>
    </row>
    <row r="270">
      <c r="D270" s="165"/>
    </row>
    <row r="271">
      <c r="D271" s="165"/>
    </row>
    <row r="272">
      <c r="D272" s="165"/>
    </row>
    <row r="273">
      <c r="D273" s="165"/>
    </row>
    <row r="274">
      <c r="D274" s="165"/>
    </row>
    <row r="275">
      <c r="D275" s="165"/>
    </row>
    <row r="276">
      <c r="D276" s="165"/>
    </row>
    <row r="277">
      <c r="D277" s="165"/>
    </row>
    <row r="278">
      <c r="D278" s="165"/>
    </row>
    <row r="279">
      <c r="D279" s="165"/>
    </row>
    <row r="280">
      <c r="D280" s="165"/>
    </row>
    <row r="281">
      <c r="D281" s="165"/>
    </row>
    <row r="282">
      <c r="D282" s="165"/>
    </row>
    <row r="283">
      <c r="D283" s="165"/>
    </row>
    <row r="284">
      <c r="D284" s="165"/>
    </row>
    <row r="285">
      <c r="D285" s="165"/>
    </row>
    <row r="286">
      <c r="D286" s="165"/>
    </row>
    <row r="287">
      <c r="D287" s="165"/>
    </row>
    <row r="288">
      <c r="D288" s="165"/>
    </row>
    <row r="289">
      <c r="D289" s="165"/>
    </row>
    <row r="290">
      <c r="D290" s="165"/>
    </row>
    <row r="291">
      <c r="D291" s="165"/>
    </row>
    <row r="292">
      <c r="D292" s="165"/>
    </row>
    <row r="293">
      <c r="D293" s="165"/>
    </row>
    <row r="294">
      <c r="D294" s="165"/>
    </row>
    <row r="295">
      <c r="D295" s="165"/>
    </row>
    <row r="296">
      <c r="D296" s="165"/>
    </row>
    <row r="297">
      <c r="D297" s="165"/>
    </row>
    <row r="298">
      <c r="D298" s="165"/>
    </row>
    <row r="299">
      <c r="D299" s="165"/>
    </row>
    <row r="300">
      <c r="D300" s="165"/>
    </row>
    <row r="301">
      <c r="D301" s="165"/>
    </row>
    <row r="302">
      <c r="D302" s="165"/>
    </row>
    <row r="303">
      <c r="D303" s="165"/>
    </row>
    <row r="304">
      <c r="D304" s="165"/>
    </row>
    <row r="305">
      <c r="D305" s="165"/>
    </row>
    <row r="306">
      <c r="D306" s="165"/>
    </row>
    <row r="307">
      <c r="D307" s="165"/>
    </row>
    <row r="308">
      <c r="D308" s="165"/>
    </row>
    <row r="309">
      <c r="D309" s="165"/>
    </row>
    <row r="310">
      <c r="D310" s="165"/>
    </row>
    <row r="311">
      <c r="D311" s="165"/>
    </row>
    <row r="312">
      <c r="D312" s="165"/>
    </row>
    <row r="313">
      <c r="D313" s="165"/>
    </row>
    <row r="314">
      <c r="D314" s="165"/>
    </row>
    <row r="315">
      <c r="D315" s="165"/>
    </row>
    <row r="316">
      <c r="D316" s="165"/>
    </row>
    <row r="317">
      <c r="D317" s="165"/>
    </row>
    <row r="318">
      <c r="D318" s="165"/>
    </row>
    <row r="319">
      <c r="D319" s="165"/>
    </row>
    <row r="320">
      <c r="D320" s="165"/>
    </row>
    <row r="321">
      <c r="D321" s="165"/>
    </row>
    <row r="322">
      <c r="D322" s="165"/>
    </row>
    <row r="323">
      <c r="D323" s="165"/>
    </row>
    <row r="324">
      <c r="D324" s="165"/>
    </row>
    <row r="325">
      <c r="D325" s="165"/>
    </row>
    <row r="326">
      <c r="D326" s="165"/>
    </row>
    <row r="327">
      <c r="D327" s="165"/>
    </row>
    <row r="328">
      <c r="D328" s="165"/>
    </row>
    <row r="329">
      <c r="D329" s="165"/>
    </row>
    <row r="330">
      <c r="D330" s="165"/>
    </row>
    <row r="331">
      <c r="D331" s="165"/>
    </row>
    <row r="332">
      <c r="D332" s="165"/>
    </row>
    <row r="333">
      <c r="D333" s="165"/>
    </row>
    <row r="334">
      <c r="D334" s="165"/>
    </row>
    <row r="335">
      <c r="D335" s="165"/>
    </row>
    <row r="336">
      <c r="D336" s="165"/>
    </row>
    <row r="337">
      <c r="D337" s="165"/>
    </row>
    <row r="338">
      <c r="D338" s="165"/>
    </row>
    <row r="339">
      <c r="D339" s="165"/>
    </row>
    <row r="340">
      <c r="D340" s="165"/>
    </row>
    <row r="341">
      <c r="D341" s="165"/>
    </row>
    <row r="342">
      <c r="D342" s="165"/>
    </row>
    <row r="343">
      <c r="D343" s="165"/>
    </row>
    <row r="344">
      <c r="D344" s="165"/>
    </row>
    <row r="345">
      <c r="D345" s="165"/>
    </row>
    <row r="346">
      <c r="D346" s="165"/>
    </row>
    <row r="347">
      <c r="D347" s="165"/>
    </row>
    <row r="348">
      <c r="D348" s="165"/>
    </row>
    <row r="349">
      <c r="D349" s="165"/>
    </row>
    <row r="350">
      <c r="D350" s="165"/>
    </row>
    <row r="351">
      <c r="D351" s="165"/>
    </row>
    <row r="352">
      <c r="D352" s="165"/>
    </row>
    <row r="353">
      <c r="D353" s="165"/>
    </row>
    <row r="354">
      <c r="D354" s="165"/>
    </row>
    <row r="355">
      <c r="D355" s="165"/>
    </row>
    <row r="356">
      <c r="D356" s="165"/>
    </row>
    <row r="357">
      <c r="D357" s="165"/>
    </row>
    <row r="358">
      <c r="D358" s="165"/>
    </row>
    <row r="359">
      <c r="D359" s="165"/>
    </row>
    <row r="360">
      <c r="D360" s="165"/>
    </row>
    <row r="361">
      <c r="D361" s="165"/>
    </row>
    <row r="362">
      <c r="D362" s="165"/>
    </row>
    <row r="363">
      <c r="D363" s="165"/>
    </row>
    <row r="364">
      <c r="D364" s="165"/>
    </row>
    <row r="365">
      <c r="D365" s="165"/>
    </row>
    <row r="366">
      <c r="D366" s="165"/>
    </row>
    <row r="367">
      <c r="D367" s="165"/>
    </row>
    <row r="368">
      <c r="D368" s="165"/>
    </row>
    <row r="369">
      <c r="D369" s="165"/>
    </row>
    <row r="370">
      <c r="D370" s="165"/>
    </row>
    <row r="371">
      <c r="D371" s="165"/>
    </row>
    <row r="372">
      <c r="D372" s="165"/>
    </row>
    <row r="373">
      <c r="D373" s="165"/>
    </row>
    <row r="374">
      <c r="D374" s="165"/>
    </row>
    <row r="375">
      <c r="D375" s="165"/>
    </row>
    <row r="376">
      <c r="D376" s="165"/>
    </row>
    <row r="377">
      <c r="D377" s="165"/>
    </row>
    <row r="378">
      <c r="D378" s="165"/>
    </row>
    <row r="379">
      <c r="D379" s="165"/>
    </row>
    <row r="380">
      <c r="D380" s="165"/>
    </row>
    <row r="381">
      <c r="D381" s="165"/>
    </row>
    <row r="382">
      <c r="D382" s="165"/>
    </row>
    <row r="383">
      <c r="D383" s="165"/>
    </row>
    <row r="384">
      <c r="D384" s="165"/>
    </row>
    <row r="385">
      <c r="D385" s="165"/>
    </row>
    <row r="386">
      <c r="D386" s="165"/>
    </row>
    <row r="387">
      <c r="D387" s="165"/>
    </row>
    <row r="388">
      <c r="D388" s="165"/>
    </row>
    <row r="389">
      <c r="D389" s="165"/>
    </row>
    <row r="390">
      <c r="D390" s="165"/>
    </row>
    <row r="391">
      <c r="D391" s="165"/>
    </row>
    <row r="392">
      <c r="D392" s="165"/>
    </row>
    <row r="393">
      <c r="D393" s="165"/>
    </row>
    <row r="394">
      <c r="D394" s="165"/>
    </row>
    <row r="395">
      <c r="D395" s="165"/>
    </row>
    <row r="396">
      <c r="D396" s="165"/>
    </row>
    <row r="397">
      <c r="D397" s="165"/>
    </row>
    <row r="398">
      <c r="D398" s="165"/>
    </row>
    <row r="399">
      <c r="D399" s="165"/>
    </row>
    <row r="400">
      <c r="D400" s="165"/>
    </row>
    <row r="401">
      <c r="D401" s="165"/>
    </row>
    <row r="402">
      <c r="D402" s="165"/>
    </row>
    <row r="403">
      <c r="D403" s="165"/>
    </row>
    <row r="404">
      <c r="D404" s="165"/>
    </row>
    <row r="405">
      <c r="D405" s="165"/>
    </row>
    <row r="406">
      <c r="D406" s="165"/>
    </row>
    <row r="407">
      <c r="D407" s="165"/>
    </row>
    <row r="408">
      <c r="D408" s="165"/>
    </row>
    <row r="409">
      <c r="D409" s="165"/>
    </row>
    <row r="410">
      <c r="D410" s="165"/>
    </row>
    <row r="411">
      <c r="D411" s="165"/>
    </row>
    <row r="412">
      <c r="D412" s="165"/>
    </row>
    <row r="413">
      <c r="D413" s="165"/>
    </row>
    <row r="414">
      <c r="D414" s="165"/>
    </row>
    <row r="415">
      <c r="D415" s="165"/>
    </row>
    <row r="416">
      <c r="D416" s="165"/>
    </row>
    <row r="417">
      <c r="D417" s="165"/>
    </row>
    <row r="418">
      <c r="D418" s="165"/>
    </row>
    <row r="419">
      <c r="D419" s="165"/>
    </row>
    <row r="420">
      <c r="D420" s="165"/>
    </row>
    <row r="421">
      <c r="D421" s="165"/>
    </row>
    <row r="422">
      <c r="D422" s="165"/>
    </row>
    <row r="423">
      <c r="D423" s="165"/>
    </row>
    <row r="424">
      <c r="D424" s="165"/>
    </row>
    <row r="425">
      <c r="D425" s="165"/>
    </row>
    <row r="426">
      <c r="D426" s="165"/>
    </row>
    <row r="427">
      <c r="D427" s="165"/>
    </row>
    <row r="428">
      <c r="D428" s="165"/>
    </row>
    <row r="429">
      <c r="D429" s="165"/>
    </row>
    <row r="430">
      <c r="D430" s="165"/>
    </row>
    <row r="431">
      <c r="D431" s="165"/>
    </row>
    <row r="432">
      <c r="D432" s="165"/>
    </row>
    <row r="433">
      <c r="D433" s="165"/>
    </row>
    <row r="434">
      <c r="D434" s="165"/>
    </row>
    <row r="435">
      <c r="D435" s="165"/>
    </row>
    <row r="436">
      <c r="D436" s="165"/>
    </row>
    <row r="437">
      <c r="D437" s="165"/>
    </row>
    <row r="438">
      <c r="D438" s="165"/>
    </row>
    <row r="439">
      <c r="D439" s="165"/>
    </row>
    <row r="440">
      <c r="D440" s="165"/>
    </row>
    <row r="441">
      <c r="D441" s="165"/>
    </row>
    <row r="442">
      <c r="D442" s="165"/>
    </row>
    <row r="443">
      <c r="D443" s="165"/>
    </row>
    <row r="444">
      <c r="D444" s="165"/>
    </row>
    <row r="445">
      <c r="D445" s="165"/>
    </row>
    <row r="446">
      <c r="D446" s="165"/>
    </row>
    <row r="447">
      <c r="D447" s="165"/>
    </row>
    <row r="448">
      <c r="D448" s="165"/>
    </row>
    <row r="449">
      <c r="D449" s="165"/>
    </row>
    <row r="450">
      <c r="D450" s="165"/>
    </row>
    <row r="451">
      <c r="D451" s="165"/>
    </row>
    <row r="452">
      <c r="D452" s="165"/>
    </row>
    <row r="453">
      <c r="D453" s="165"/>
    </row>
    <row r="454">
      <c r="D454" s="165"/>
    </row>
    <row r="455">
      <c r="D455" s="165"/>
    </row>
    <row r="456">
      <c r="D456" s="165"/>
    </row>
    <row r="457">
      <c r="D457" s="165"/>
    </row>
    <row r="458">
      <c r="D458" s="165"/>
    </row>
    <row r="459">
      <c r="D459" s="165"/>
    </row>
    <row r="460">
      <c r="D460" s="165"/>
    </row>
    <row r="461">
      <c r="D461" s="165"/>
    </row>
    <row r="462">
      <c r="D462" s="165"/>
    </row>
    <row r="463">
      <c r="D463" s="165"/>
    </row>
    <row r="464">
      <c r="D464" s="165"/>
    </row>
    <row r="465">
      <c r="D465" s="165"/>
    </row>
    <row r="466">
      <c r="D466" s="165"/>
    </row>
    <row r="467">
      <c r="D467" s="165"/>
    </row>
    <row r="468">
      <c r="D468" s="165"/>
    </row>
    <row r="469">
      <c r="D469" s="165"/>
    </row>
    <row r="470">
      <c r="D470" s="165"/>
    </row>
    <row r="471">
      <c r="D471" s="165"/>
    </row>
    <row r="472">
      <c r="D472" s="165"/>
    </row>
    <row r="473">
      <c r="D473" s="165"/>
    </row>
    <row r="474">
      <c r="D474" s="165"/>
    </row>
    <row r="475">
      <c r="D475" s="165"/>
    </row>
    <row r="476">
      <c r="D476" s="165"/>
    </row>
    <row r="477">
      <c r="D477" s="165"/>
    </row>
    <row r="478">
      <c r="D478" s="165"/>
    </row>
    <row r="479">
      <c r="D479" s="165"/>
    </row>
    <row r="480">
      <c r="D480" s="165"/>
    </row>
    <row r="481">
      <c r="D481" s="165"/>
    </row>
    <row r="482">
      <c r="D482" s="165"/>
    </row>
    <row r="483">
      <c r="D483" s="165"/>
    </row>
    <row r="484">
      <c r="D484" s="165"/>
    </row>
    <row r="485">
      <c r="D485" s="165"/>
    </row>
    <row r="486">
      <c r="D486" s="165"/>
    </row>
    <row r="487">
      <c r="D487" s="165"/>
    </row>
    <row r="488">
      <c r="D488" s="165"/>
    </row>
    <row r="489">
      <c r="D489" s="165"/>
    </row>
    <row r="490">
      <c r="D490" s="165"/>
    </row>
    <row r="491">
      <c r="D491" s="165"/>
    </row>
    <row r="492">
      <c r="D492" s="165"/>
    </row>
    <row r="493">
      <c r="D493" s="165"/>
    </row>
    <row r="494">
      <c r="D494" s="165"/>
    </row>
    <row r="495">
      <c r="D495" s="165"/>
    </row>
    <row r="496">
      <c r="D496" s="165"/>
    </row>
    <row r="497">
      <c r="D497" s="165"/>
    </row>
    <row r="498">
      <c r="D498" s="165"/>
    </row>
    <row r="499">
      <c r="D499" s="165"/>
    </row>
    <row r="500">
      <c r="D500" s="165"/>
    </row>
    <row r="501">
      <c r="D501" s="165"/>
    </row>
    <row r="502">
      <c r="D502" s="165"/>
    </row>
    <row r="503">
      <c r="D503" s="165"/>
    </row>
    <row r="504">
      <c r="D504" s="165"/>
    </row>
    <row r="505">
      <c r="D505" s="165"/>
    </row>
    <row r="506">
      <c r="D506" s="165"/>
    </row>
    <row r="507">
      <c r="D507" s="165"/>
    </row>
    <row r="508">
      <c r="D508" s="165"/>
    </row>
    <row r="509">
      <c r="D509" s="165"/>
    </row>
    <row r="510">
      <c r="D510" s="165"/>
    </row>
    <row r="511">
      <c r="D511" s="165"/>
    </row>
    <row r="512">
      <c r="D512" s="165"/>
    </row>
    <row r="513">
      <c r="D513" s="165"/>
    </row>
    <row r="514">
      <c r="D514" s="165"/>
    </row>
    <row r="515">
      <c r="D515" s="165"/>
    </row>
    <row r="516">
      <c r="D516" s="165"/>
    </row>
    <row r="517">
      <c r="D517" s="165"/>
    </row>
    <row r="518">
      <c r="D518" s="165"/>
    </row>
    <row r="519">
      <c r="D519" s="165"/>
    </row>
    <row r="520">
      <c r="D520" s="165"/>
    </row>
    <row r="521">
      <c r="D521" s="165"/>
    </row>
    <row r="522">
      <c r="D522" s="165"/>
    </row>
    <row r="523">
      <c r="D523" s="165"/>
    </row>
    <row r="524">
      <c r="D524" s="165"/>
    </row>
    <row r="525">
      <c r="D525" s="165"/>
    </row>
    <row r="526">
      <c r="D526" s="165"/>
    </row>
    <row r="527">
      <c r="D527" s="165"/>
    </row>
    <row r="528">
      <c r="D528" s="165"/>
    </row>
    <row r="529">
      <c r="D529" s="165"/>
    </row>
    <row r="530">
      <c r="D530" s="165"/>
    </row>
    <row r="531">
      <c r="D531" s="165"/>
    </row>
    <row r="532">
      <c r="D532" s="165"/>
    </row>
    <row r="533">
      <c r="D533" s="165"/>
    </row>
    <row r="534">
      <c r="D534" s="165"/>
    </row>
    <row r="535">
      <c r="D535" s="165"/>
    </row>
    <row r="536">
      <c r="D536" s="165"/>
    </row>
    <row r="537">
      <c r="D537" s="165"/>
    </row>
    <row r="538">
      <c r="D538" s="165"/>
    </row>
    <row r="539">
      <c r="D539" s="165"/>
    </row>
    <row r="540">
      <c r="D540" s="165"/>
    </row>
    <row r="541">
      <c r="D541" s="165"/>
    </row>
    <row r="542">
      <c r="D542" s="165"/>
    </row>
    <row r="543">
      <c r="D543" s="165"/>
    </row>
    <row r="544">
      <c r="D544" s="165"/>
    </row>
    <row r="545">
      <c r="D545" s="165"/>
    </row>
    <row r="546">
      <c r="D546" s="165"/>
    </row>
    <row r="547">
      <c r="D547" s="165"/>
    </row>
    <row r="548">
      <c r="D548" s="165"/>
    </row>
    <row r="549">
      <c r="D549" s="165"/>
    </row>
    <row r="550">
      <c r="D550" s="165"/>
    </row>
    <row r="551">
      <c r="D551" s="165"/>
    </row>
    <row r="552">
      <c r="D552" s="165"/>
    </row>
    <row r="553">
      <c r="D553" s="165"/>
    </row>
    <row r="554">
      <c r="D554" s="165"/>
    </row>
    <row r="555">
      <c r="D555" s="165"/>
    </row>
    <row r="556">
      <c r="D556" s="165"/>
    </row>
    <row r="557">
      <c r="D557" s="165"/>
    </row>
    <row r="558">
      <c r="D558" s="165"/>
    </row>
    <row r="559">
      <c r="D559" s="165"/>
    </row>
    <row r="560">
      <c r="D560" s="165"/>
    </row>
    <row r="561">
      <c r="D561" s="165"/>
    </row>
    <row r="562">
      <c r="D562" s="165"/>
    </row>
    <row r="563">
      <c r="D563" s="165"/>
    </row>
    <row r="564">
      <c r="D564" s="165"/>
    </row>
    <row r="565">
      <c r="D565" s="165"/>
    </row>
    <row r="566">
      <c r="D566" s="165"/>
    </row>
    <row r="567">
      <c r="D567" s="165"/>
    </row>
    <row r="568">
      <c r="D568" s="165"/>
    </row>
    <row r="569">
      <c r="D569" s="165"/>
    </row>
    <row r="570">
      <c r="D570" s="165"/>
    </row>
    <row r="571">
      <c r="D571" s="165"/>
    </row>
    <row r="572">
      <c r="D572" s="165"/>
    </row>
    <row r="573">
      <c r="D573" s="165"/>
    </row>
    <row r="574">
      <c r="D574" s="165"/>
    </row>
    <row r="575">
      <c r="D575" s="165"/>
    </row>
    <row r="576">
      <c r="D576" s="165"/>
    </row>
    <row r="577">
      <c r="D577" s="165"/>
    </row>
    <row r="578">
      <c r="D578" s="165"/>
    </row>
    <row r="579">
      <c r="D579" s="165"/>
    </row>
    <row r="580">
      <c r="D580" s="165"/>
    </row>
    <row r="581">
      <c r="D581" s="165"/>
    </row>
    <row r="582">
      <c r="D582" s="165"/>
    </row>
    <row r="583">
      <c r="D583" s="165"/>
    </row>
    <row r="584">
      <c r="D584" s="165"/>
    </row>
    <row r="585">
      <c r="D585" s="165"/>
    </row>
    <row r="586">
      <c r="D586" s="165"/>
    </row>
    <row r="587">
      <c r="D587" s="165"/>
    </row>
    <row r="588">
      <c r="D588" s="165"/>
    </row>
    <row r="589">
      <c r="D589" s="165"/>
    </row>
    <row r="590">
      <c r="D590" s="165"/>
    </row>
    <row r="591">
      <c r="D591" s="165"/>
    </row>
    <row r="592">
      <c r="D592" s="165"/>
    </row>
    <row r="593">
      <c r="D593" s="165"/>
    </row>
    <row r="594">
      <c r="D594" s="165"/>
    </row>
    <row r="595">
      <c r="D595" s="165"/>
    </row>
    <row r="596">
      <c r="D596" s="165"/>
    </row>
    <row r="597">
      <c r="D597" s="165"/>
    </row>
    <row r="598">
      <c r="D598" s="165"/>
    </row>
    <row r="599">
      <c r="D599" s="165"/>
    </row>
    <row r="600">
      <c r="D600" s="165"/>
    </row>
    <row r="601">
      <c r="D601" s="165"/>
    </row>
    <row r="602">
      <c r="D602" s="165"/>
    </row>
    <row r="603">
      <c r="D603" s="165"/>
    </row>
    <row r="604">
      <c r="D604" s="165"/>
    </row>
    <row r="605">
      <c r="D605" s="165"/>
    </row>
    <row r="606">
      <c r="D606" s="165"/>
    </row>
    <row r="607">
      <c r="D607" s="165"/>
    </row>
    <row r="608">
      <c r="D608" s="165"/>
    </row>
    <row r="609">
      <c r="D609" s="165"/>
    </row>
    <row r="610">
      <c r="D610" s="165"/>
    </row>
    <row r="611">
      <c r="D611" s="165"/>
    </row>
    <row r="612">
      <c r="D612" s="165"/>
    </row>
    <row r="613">
      <c r="D613" s="165"/>
    </row>
    <row r="614">
      <c r="D614" s="165"/>
    </row>
    <row r="615">
      <c r="D615" s="165"/>
    </row>
    <row r="616">
      <c r="D616" s="165"/>
    </row>
    <row r="617">
      <c r="D617" s="165"/>
    </row>
    <row r="618">
      <c r="D618" s="165"/>
    </row>
    <row r="619">
      <c r="D619" s="165"/>
    </row>
    <row r="620">
      <c r="D620" s="165"/>
    </row>
    <row r="621">
      <c r="D621" s="165"/>
    </row>
    <row r="622">
      <c r="D622" s="165"/>
    </row>
    <row r="623">
      <c r="D623" s="165"/>
    </row>
    <row r="624">
      <c r="D624" s="165"/>
    </row>
    <row r="625">
      <c r="D625" s="165"/>
    </row>
    <row r="626">
      <c r="D626" s="165"/>
    </row>
    <row r="627">
      <c r="D627" s="165"/>
    </row>
    <row r="628">
      <c r="D628" s="165"/>
    </row>
    <row r="629">
      <c r="D629" s="165"/>
    </row>
    <row r="630">
      <c r="D630" s="165"/>
    </row>
    <row r="631">
      <c r="D631" s="165"/>
    </row>
    <row r="632">
      <c r="D632" s="165"/>
    </row>
    <row r="633">
      <c r="D633" s="165"/>
    </row>
    <row r="634">
      <c r="D634" s="165"/>
    </row>
    <row r="635">
      <c r="D635" s="165"/>
    </row>
    <row r="636">
      <c r="D636" s="165"/>
    </row>
    <row r="637">
      <c r="D637" s="165"/>
    </row>
    <row r="638">
      <c r="D638" s="165"/>
    </row>
    <row r="639">
      <c r="D639" s="165"/>
    </row>
    <row r="640">
      <c r="D640" s="165"/>
    </row>
    <row r="641">
      <c r="D641" s="165"/>
    </row>
    <row r="642">
      <c r="D642" s="165"/>
    </row>
    <row r="643">
      <c r="D643" s="165"/>
    </row>
    <row r="644">
      <c r="D644" s="165"/>
    </row>
    <row r="645">
      <c r="D645" s="165"/>
    </row>
    <row r="646">
      <c r="D646" s="165"/>
    </row>
    <row r="647">
      <c r="D647" s="165"/>
    </row>
    <row r="648">
      <c r="D648" s="165"/>
    </row>
    <row r="649">
      <c r="D649" s="165"/>
    </row>
    <row r="650">
      <c r="D650" s="165"/>
    </row>
    <row r="651">
      <c r="D651" s="165"/>
    </row>
    <row r="652">
      <c r="D652" s="165"/>
    </row>
    <row r="653">
      <c r="D653" s="165"/>
    </row>
    <row r="654">
      <c r="D654" s="165"/>
    </row>
    <row r="655">
      <c r="D655" s="165"/>
    </row>
    <row r="656">
      <c r="D656" s="165"/>
    </row>
    <row r="657">
      <c r="D657" s="165"/>
    </row>
    <row r="658">
      <c r="D658" s="165"/>
    </row>
    <row r="659">
      <c r="D659" s="165"/>
    </row>
    <row r="660">
      <c r="D660" s="165"/>
    </row>
    <row r="661">
      <c r="D661" s="165"/>
    </row>
    <row r="662">
      <c r="D662" s="165"/>
    </row>
    <row r="663">
      <c r="D663" s="165"/>
    </row>
    <row r="664">
      <c r="D664" s="165"/>
    </row>
    <row r="665">
      <c r="D665" s="165"/>
    </row>
    <row r="666">
      <c r="D666" s="165"/>
    </row>
    <row r="667">
      <c r="D667" s="165"/>
    </row>
    <row r="668">
      <c r="D668" s="165"/>
    </row>
    <row r="669">
      <c r="D669" s="165"/>
    </row>
    <row r="670">
      <c r="D670" s="165"/>
    </row>
    <row r="671">
      <c r="D671" s="165"/>
    </row>
    <row r="672">
      <c r="D672" s="165"/>
    </row>
    <row r="673">
      <c r="D673" s="165"/>
    </row>
    <row r="674">
      <c r="D674" s="165"/>
    </row>
    <row r="675">
      <c r="D675" s="165"/>
    </row>
    <row r="676">
      <c r="D676" s="165"/>
    </row>
    <row r="677">
      <c r="D677" s="165"/>
    </row>
    <row r="678">
      <c r="D678" s="165"/>
    </row>
    <row r="679">
      <c r="D679" s="165"/>
    </row>
    <row r="680">
      <c r="D680" s="165"/>
    </row>
    <row r="681">
      <c r="D681" s="165"/>
    </row>
    <row r="682">
      <c r="D682" s="165"/>
    </row>
    <row r="683">
      <c r="D683" s="165"/>
    </row>
    <row r="684">
      <c r="D684" s="165"/>
    </row>
    <row r="685">
      <c r="D685" s="165"/>
    </row>
    <row r="686">
      <c r="D686" s="165"/>
    </row>
    <row r="687">
      <c r="D687" s="165"/>
    </row>
    <row r="688">
      <c r="D688" s="165"/>
    </row>
    <row r="689">
      <c r="D689" s="165"/>
    </row>
    <row r="690">
      <c r="D690" s="165"/>
    </row>
    <row r="691">
      <c r="D691" s="165"/>
    </row>
    <row r="692">
      <c r="D692" s="165"/>
    </row>
    <row r="693">
      <c r="D693" s="165"/>
    </row>
    <row r="694">
      <c r="D694" s="165"/>
    </row>
    <row r="695">
      <c r="D695" s="165"/>
    </row>
    <row r="696">
      <c r="D696" s="165"/>
    </row>
    <row r="697">
      <c r="D697" s="165"/>
    </row>
    <row r="698">
      <c r="D698" s="165"/>
    </row>
    <row r="699">
      <c r="D699" s="165"/>
    </row>
    <row r="700">
      <c r="D700" s="165"/>
    </row>
    <row r="701">
      <c r="D701" s="165"/>
    </row>
    <row r="702">
      <c r="D702" s="165"/>
    </row>
    <row r="703">
      <c r="D703" s="165"/>
    </row>
    <row r="704">
      <c r="D704" s="165"/>
    </row>
    <row r="705">
      <c r="D705" s="165"/>
    </row>
    <row r="706">
      <c r="D706" s="165"/>
    </row>
    <row r="707">
      <c r="D707" s="165"/>
    </row>
    <row r="708">
      <c r="D708" s="165"/>
    </row>
    <row r="709">
      <c r="D709" s="165"/>
    </row>
    <row r="710">
      <c r="D710" s="165"/>
    </row>
    <row r="711">
      <c r="D711" s="165"/>
    </row>
    <row r="712">
      <c r="D712" s="165"/>
    </row>
    <row r="713">
      <c r="D713" s="165"/>
    </row>
    <row r="714">
      <c r="D714" s="165"/>
    </row>
    <row r="715">
      <c r="D715" s="165"/>
    </row>
    <row r="716">
      <c r="D716" s="165"/>
    </row>
    <row r="717">
      <c r="D717" s="165"/>
    </row>
    <row r="718">
      <c r="D718" s="165"/>
    </row>
    <row r="719">
      <c r="D719" s="165"/>
    </row>
    <row r="720">
      <c r="D720" s="165"/>
    </row>
    <row r="721">
      <c r="D721" s="165"/>
    </row>
    <row r="722">
      <c r="D722" s="165"/>
    </row>
    <row r="723">
      <c r="D723" s="165"/>
    </row>
    <row r="724">
      <c r="D724" s="165"/>
    </row>
    <row r="725">
      <c r="D725" s="165"/>
    </row>
    <row r="726">
      <c r="D726" s="165"/>
    </row>
    <row r="727">
      <c r="D727" s="165"/>
    </row>
    <row r="728">
      <c r="D728" s="165"/>
    </row>
    <row r="729">
      <c r="D729" s="165"/>
    </row>
    <row r="730">
      <c r="D730" s="165"/>
    </row>
    <row r="731">
      <c r="D731" s="165"/>
    </row>
    <row r="732">
      <c r="D732" s="165"/>
    </row>
    <row r="733">
      <c r="D733" s="165"/>
    </row>
    <row r="734">
      <c r="D734" s="165"/>
    </row>
    <row r="735">
      <c r="D735" s="165"/>
    </row>
    <row r="736">
      <c r="D736" s="165"/>
    </row>
    <row r="737">
      <c r="D737" s="165"/>
    </row>
    <row r="738">
      <c r="D738" s="165"/>
    </row>
    <row r="739">
      <c r="D739" s="165"/>
    </row>
    <row r="740">
      <c r="D740" s="165"/>
    </row>
    <row r="741">
      <c r="D741" s="165"/>
    </row>
    <row r="742">
      <c r="D742" s="165"/>
    </row>
    <row r="743">
      <c r="D743" s="165"/>
    </row>
    <row r="744">
      <c r="D744" s="165"/>
    </row>
    <row r="745">
      <c r="D745" s="165"/>
    </row>
    <row r="746">
      <c r="D746" s="165"/>
    </row>
    <row r="747">
      <c r="D747" s="165"/>
    </row>
    <row r="748">
      <c r="D748" s="165"/>
    </row>
    <row r="749">
      <c r="D749" s="165"/>
    </row>
    <row r="750">
      <c r="D750" s="165"/>
    </row>
    <row r="751">
      <c r="D751" s="165"/>
    </row>
    <row r="752">
      <c r="D752" s="165"/>
    </row>
    <row r="753">
      <c r="D753" s="165"/>
    </row>
    <row r="754">
      <c r="D754" s="165"/>
    </row>
    <row r="755">
      <c r="D755" s="165"/>
    </row>
    <row r="756">
      <c r="D756" s="165"/>
    </row>
    <row r="757">
      <c r="D757" s="165"/>
    </row>
    <row r="758">
      <c r="D758" s="165"/>
    </row>
    <row r="759">
      <c r="D759" s="165"/>
    </row>
    <row r="760">
      <c r="D760" s="165"/>
    </row>
    <row r="761">
      <c r="D761" s="165"/>
    </row>
    <row r="762">
      <c r="D762" s="165"/>
    </row>
    <row r="763">
      <c r="D763" s="165"/>
    </row>
    <row r="764">
      <c r="D764" s="165"/>
    </row>
    <row r="765">
      <c r="D765" s="165"/>
    </row>
    <row r="766">
      <c r="D766" s="165"/>
    </row>
    <row r="767">
      <c r="D767" s="165"/>
    </row>
    <row r="768">
      <c r="D768" s="165"/>
    </row>
    <row r="769">
      <c r="D769" s="165"/>
    </row>
    <row r="770">
      <c r="D770" s="165"/>
    </row>
    <row r="771">
      <c r="D771" s="165"/>
    </row>
    <row r="772">
      <c r="D772" s="165"/>
    </row>
    <row r="773">
      <c r="D773" s="165"/>
    </row>
    <row r="774">
      <c r="D774" s="165"/>
    </row>
    <row r="775">
      <c r="D775" s="165"/>
    </row>
    <row r="776">
      <c r="D776" s="165"/>
    </row>
    <row r="777">
      <c r="D777" s="165"/>
    </row>
    <row r="778">
      <c r="D778" s="165"/>
    </row>
    <row r="779">
      <c r="D779" s="165"/>
    </row>
    <row r="780">
      <c r="D780" s="165"/>
    </row>
    <row r="781">
      <c r="D781" s="165"/>
    </row>
    <row r="782">
      <c r="D782" s="165"/>
    </row>
    <row r="783">
      <c r="D783" s="165"/>
    </row>
    <row r="784">
      <c r="D784" s="165"/>
    </row>
    <row r="785">
      <c r="D785" s="165"/>
    </row>
    <row r="786">
      <c r="D786" s="165"/>
    </row>
    <row r="787">
      <c r="D787" s="165"/>
    </row>
    <row r="788">
      <c r="D788" s="165"/>
    </row>
    <row r="789">
      <c r="D789" s="165"/>
    </row>
    <row r="790">
      <c r="D790" s="165"/>
    </row>
    <row r="791">
      <c r="D791" s="165"/>
    </row>
    <row r="792">
      <c r="D792" s="165"/>
    </row>
    <row r="793">
      <c r="D793" s="165"/>
    </row>
    <row r="794">
      <c r="D794" s="165"/>
    </row>
    <row r="795">
      <c r="D795" s="165"/>
    </row>
    <row r="796">
      <c r="D796" s="165"/>
    </row>
    <row r="797">
      <c r="D797" s="165"/>
    </row>
    <row r="798">
      <c r="D798" s="165"/>
    </row>
    <row r="799">
      <c r="D799" s="165"/>
    </row>
    <row r="800">
      <c r="D800" s="165"/>
    </row>
    <row r="801">
      <c r="D801" s="165"/>
    </row>
    <row r="802">
      <c r="D802" s="165"/>
    </row>
    <row r="803">
      <c r="D803" s="165"/>
    </row>
    <row r="804">
      <c r="D804" s="165"/>
    </row>
    <row r="805">
      <c r="D805" s="165"/>
    </row>
    <row r="806">
      <c r="D806" s="165"/>
    </row>
    <row r="807">
      <c r="D807" s="165"/>
    </row>
    <row r="808">
      <c r="D808" s="165"/>
    </row>
    <row r="809">
      <c r="D809" s="165"/>
    </row>
    <row r="810">
      <c r="D810" s="165"/>
    </row>
    <row r="811">
      <c r="D811" s="165"/>
    </row>
    <row r="812">
      <c r="D812" s="165"/>
    </row>
    <row r="813">
      <c r="D813" s="165"/>
    </row>
    <row r="814">
      <c r="D814" s="165"/>
    </row>
    <row r="815">
      <c r="D815" s="165"/>
    </row>
    <row r="816">
      <c r="D816" s="165"/>
    </row>
    <row r="817">
      <c r="D817" s="165"/>
    </row>
    <row r="818">
      <c r="D818" s="165"/>
    </row>
    <row r="819">
      <c r="D819" s="165"/>
    </row>
    <row r="820">
      <c r="D820" s="165"/>
    </row>
    <row r="821">
      <c r="D821" s="165"/>
    </row>
    <row r="822">
      <c r="D822" s="165"/>
    </row>
    <row r="823">
      <c r="D823" s="165"/>
    </row>
    <row r="824">
      <c r="D824" s="165"/>
    </row>
    <row r="825">
      <c r="D825" s="165"/>
    </row>
    <row r="826">
      <c r="D826" s="165"/>
    </row>
    <row r="827">
      <c r="D827" s="165"/>
    </row>
    <row r="828">
      <c r="D828" s="165"/>
    </row>
    <row r="829">
      <c r="D829" s="165"/>
    </row>
    <row r="830">
      <c r="D830" s="165"/>
    </row>
  </sheetData>
  <autoFilter ref="$A$1:$Y$42"/>
  <dataValidations>
    <dataValidation type="list" allowBlank="1" showErrorMessage="1" sqref="C3 C5 C7 C9 C11">
      <formula1>"Cristian Gerardo Jaramillo Cruz,Javier Gonzalez Gomez,Joelvin E Chirino U,Raymy David Sotillo Aponte,Omar Carmona,Manuel Martinez García"</formula1>
    </dataValidation>
    <dataValidation type="list" allowBlank="1" showErrorMessage="1" sqref="D2:D41">
      <formula1>"Backlog,Work In Artefacts,Review Artefacts,Aproved Artefacts ,Updated Artefacts,Complete,Canceled"</formula1>
    </dataValidation>
    <dataValidation type="list" allowBlank="1" showErrorMessage="1" sqref="C2 C4 C6 C8 C10 C12:C41">
      <formula1>"Cristian Gerardo Jaramillo Cruz,Javier Gonzalez Gomez,Joelvin E Chirino U,Raymy David Sotillo Aponte,Sin Asignar,Omar Carmona"</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s>
  <drawing r:id="rId4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0" max="10" width="22.78"/>
    <col customWidth="1" min="13" max="13" width="33.22"/>
  </cols>
  <sheetData>
    <row r="1">
      <c r="A1" s="72" t="s">
        <v>2704</v>
      </c>
      <c r="B1" s="72" t="s">
        <v>2705</v>
      </c>
      <c r="C1" s="72" t="s">
        <v>2706</v>
      </c>
      <c r="D1" s="72" t="s">
        <v>2707</v>
      </c>
      <c r="E1" s="72" t="s">
        <v>2708</v>
      </c>
      <c r="F1" s="172" t="s">
        <v>2709</v>
      </c>
      <c r="G1" s="72" t="s">
        <v>2710</v>
      </c>
      <c r="H1" s="72" t="s">
        <v>2711</v>
      </c>
      <c r="I1" s="72" t="s">
        <v>2712</v>
      </c>
      <c r="J1" s="72" t="s">
        <v>2714</v>
      </c>
      <c r="K1" s="72" t="s">
        <v>2716</v>
      </c>
      <c r="L1" s="72" t="s">
        <v>2717</v>
      </c>
      <c r="M1" s="72" t="s">
        <v>2718</v>
      </c>
      <c r="N1" s="72" t="s">
        <v>4273</v>
      </c>
      <c r="O1" s="30"/>
      <c r="P1" s="30"/>
      <c r="Q1" s="30"/>
      <c r="R1" s="30"/>
      <c r="S1" s="30"/>
      <c r="T1" s="30"/>
      <c r="U1" s="30"/>
      <c r="V1" s="30"/>
      <c r="W1" s="30"/>
      <c r="X1" s="30"/>
      <c r="Y1" s="30"/>
      <c r="Z1" s="30"/>
    </row>
    <row r="2">
      <c r="A2" s="72" t="s">
        <v>72</v>
      </c>
      <c r="B2" s="72" t="s">
        <v>41</v>
      </c>
      <c r="C2" s="72" t="s">
        <v>42</v>
      </c>
      <c r="D2" s="72" t="s">
        <v>72</v>
      </c>
      <c r="E2" s="72" t="s">
        <v>4276</v>
      </c>
      <c r="F2" s="172" t="s">
        <v>122</v>
      </c>
      <c r="G2" s="72" t="s">
        <v>93</v>
      </c>
      <c r="H2" s="72" t="s">
        <v>48</v>
      </c>
      <c r="I2" s="72" t="s">
        <v>49</v>
      </c>
      <c r="J2" s="72" t="s">
        <v>714</v>
      </c>
      <c r="K2" s="72" t="s">
        <v>4278</v>
      </c>
      <c r="L2" s="72" t="s">
        <v>4279</v>
      </c>
      <c r="M2" s="30"/>
      <c r="N2" s="30" t="str">
        <f>IFERROR(VLOOKUP(K2, 'gitlab-raml-unknown'!K:L, 2, FALSE), "Not found path.")</f>
        <v>Operacion que realiza una consulta para obtener los movimientos detallados del crédito (cuenta de crédito Bancoppel) que se está consultando</v>
      </c>
      <c r="O2" s="30"/>
      <c r="P2" s="30"/>
      <c r="Q2" s="30"/>
      <c r="R2" s="30"/>
      <c r="S2" s="30"/>
      <c r="T2" s="30"/>
      <c r="U2" s="30"/>
      <c r="V2" s="30"/>
      <c r="W2" s="30"/>
      <c r="X2" s="30"/>
      <c r="Y2" s="30"/>
      <c r="Z2" s="30"/>
    </row>
    <row r="3">
      <c r="A3" s="72" t="s">
        <v>86</v>
      </c>
      <c r="B3" s="72" t="s">
        <v>41</v>
      </c>
      <c r="C3" s="72" t="s">
        <v>42</v>
      </c>
      <c r="D3" s="72" t="s">
        <v>86</v>
      </c>
      <c r="E3" s="72" t="s">
        <v>4288</v>
      </c>
      <c r="F3" s="172" t="s">
        <v>162</v>
      </c>
      <c r="G3" s="72" t="s">
        <v>274</v>
      </c>
      <c r="H3" s="72" t="s">
        <v>48</v>
      </c>
      <c r="I3" s="72" t="s">
        <v>49</v>
      </c>
      <c r="J3" s="72" t="s">
        <v>4289</v>
      </c>
      <c r="K3" s="72" t="s">
        <v>4290</v>
      </c>
      <c r="L3" s="72" t="s">
        <v>4291</v>
      </c>
      <c r="M3" s="30"/>
      <c r="N3" s="30" t="str">
        <f>IFERROR(VLOOKUP(K3, 'gitlab-raml-unknown'!K:L, 2, FALSE), "Not found path.")</f>
        <v>Servicio de dominio para el registro de la fuente de ingresos y tipo de residencia del cliente en el proceso de Alta de un Cliente Nuevo (Alta Única).</v>
      </c>
      <c r="O3" s="30"/>
      <c r="P3" s="30"/>
      <c r="Q3" s="30"/>
      <c r="R3" s="30"/>
      <c r="S3" s="30"/>
      <c r="T3" s="30"/>
      <c r="U3" s="30"/>
      <c r="V3" s="30"/>
      <c r="W3" s="30"/>
      <c r="X3" s="30"/>
      <c r="Y3" s="30"/>
      <c r="Z3" s="30"/>
    </row>
    <row r="4">
      <c r="A4" s="72" t="s">
        <v>218</v>
      </c>
      <c r="B4" s="72" t="s">
        <v>41</v>
      </c>
      <c r="C4" s="72" t="s">
        <v>119</v>
      </c>
      <c r="D4" s="72" t="s">
        <v>218</v>
      </c>
      <c r="E4" s="72" t="s">
        <v>4296</v>
      </c>
      <c r="F4" s="172" t="s">
        <v>122</v>
      </c>
      <c r="G4" s="72" t="s">
        <v>560</v>
      </c>
      <c r="H4" s="72" t="s">
        <v>48</v>
      </c>
      <c r="I4" s="72" t="s">
        <v>49</v>
      </c>
      <c r="J4" s="72" t="s">
        <v>4298</v>
      </c>
      <c r="K4" s="72" t="s">
        <v>4299</v>
      </c>
      <c r="L4" s="72" t="s">
        <v>4301</v>
      </c>
      <c r="M4" s="30"/>
      <c r="N4" s="30" t="str">
        <f>IFERROR(VLOOKUP(K4, 'gitlab-raml-unknown'!K:L, 2, FALSE), "Not found path.")</f>
        <v>API encargado obtener el informe del estado de crédito.</v>
      </c>
      <c r="O4" s="30"/>
      <c r="P4" s="30"/>
      <c r="Q4" s="30"/>
      <c r="R4" s="30"/>
      <c r="S4" s="30"/>
      <c r="T4" s="30"/>
      <c r="U4" s="30"/>
      <c r="V4" s="30"/>
      <c r="W4" s="30"/>
      <c r="X4" s="30"/>
      <c r="Y4" s="30"/>
      <c r="Z4" s="30"/>
    </row>
    <row r="5">
      <c r="A5" s="72" t="s">
        <v>603</v>
      </c>
      <c r="B5" s="72" t="s">
        <v>41</v>
      </c>
      <c r="C5" s="72" t="s">
        <v>119</v>
      </c>
      <c r="D5" s="72" t="s">
        <v>603</v>
      </c>
      <c r="E5" s="72" t="s">
        <v>1485</v>
      </c>
      <c r="F5" s="172" t="s">
        <v>162</v>
      </c>
      <c r="G5" s="72" t="s">
        <v>1261</v>
      </c>
      <c r="H5" s="72" t="s">
        <v>48</v>
      </c>
      <c r="I5" s="72" t="s">
        <v>49</v>
      </c>
      <c r="J5" s="72" t="s">
        <v>1488</v>
      </c>
      <c r="K5" s="72" t="s">
        <v>4307</v>
      </c>
      <c r="L5" s="72" t="s">
        <v>4308</v>
      </c>
      <c r="M5" s="30"/>
      <c r="N5" s="30" t="str">
        <f>IFERROR(VLOOKUP(K5, 'gitlab-raml-unknown'!K:L, 2, FALSE), "Not found path.")</f>
        <v>API que permite consultar la dirección del cliente</v>
      </c>
      <c r="O5" s="30"/>
      <c r="P5" s="30"/>
      <c r="Q5" s="30"/>
      <c r="R5" s="30"/>
      <c r="S5" s="30"/>
      <c r="T5" s="30"/>
      <c r="U5" s="30"/>
      <c r="V5" s="30"/>
      <c r="W5" s="30"/>
      <c r="X5" s="30"/>
      <c r="Y5" s="30"/>
      <c r="Z5" s="30"/>
    </row>
    <row r="6">
      <c r="A6" s="72" t="s">
        <v>603</v>
      </c>
      <c r="B6" s="72" t="s">
        <v>41</v>
      </c>
      <c r="C6" s="72" t="s">
        <v>119</v>
      </c>
      <c r="D6" s="72" t="s">
        <v>603</v>
      </c>
      <c r="E6" s="72" t="s">
        <v>4311</v>
      </c>
      <c r="F6" s="172" t="s">
        <v>162</v>
      </c>
      <c r="G6" s="72" t="s">
        <v>1261</v>
      </c>
      <c r="H6" s="72" t="s">
        <v>48</v>
      </c>
      <c r="I6" s="72" t="s">
        <v>49</v>
      </c>
      <c r="J6" s="72" t="s">
        <v>4313</v>
      </c>
      <c r="K6" s="72" t="s">
        <v>4314</v>
      </c>
      <c r="L6" s="72" t="s">
        <v>4315</v>
      </c>
      <c r="M6" s="30"/>
      <c r="N6" s="30" t="str">
        <f>IFERROR(VLOOKUP(K6, 'gitlab-raml-unknown'!K:L, 2, FALSE), "Not found path.")</f>
        <v>API que permite guardar la dirección del conyugue del cliente</v>
      </c>
      <c r="O6" s="30"/>
      <c r="P6" s="30"/>
      <c r="Q6" s="30"/>
      <c r="R6" s="30"/>
      <c r="S6" s="30"/>
      <c r="T6" s="30"/>
      <c r="U6" s="30"/>
      <c r="V6" s="30"/>
      <c r="W6" s="30"/>
      <c r="X6" s="30"/>
      <c r="Y6" s="30"/>
      <c r="Z6" s="30"/>
    </row>
    <row r="7">
      <c r="A7" s="72" t="s">
        <v>637</v>
      </c>
      <c r="B7" s="72" t="s">
        <v>41</v>
      </c>
      <c r="C7" s="72" t="s">
        <v>119</v>
      </c>
      <c r="D7" s="72" t="s">
        <v>637</v>
      </c>
      <c r="E7" s="72" t="s">
        <v>4322</v>
      </c>
      <c r="F7" s="172" t="s">
        <v>162</v>
      </c>
      <c r="G7" s="72" t="s">
        <v>1504</v>
      </c>
      <c r="H7" s="72" t="s">
        <v>48</v>
      </c>
      <c r="I7" s="72" t="s">
        <v>49</v>
      </c>
      <c r="J7" s="72" t="s">
        <v>4323</v>
      </c>
      <c r="K7" s="72" t="s">
        <v>4324</v>
      </c>
      <c r="L7" s="72" t="s">
        <v>4325</v>
      </c>
      <c r="M7" s="72" t="s">
        <v>614</v>
      </c>
      <c r="N7" s="30" t="str">
        <f>IFERROR(VLOOKUP(K7, 'gitlab-raml-unknown'!K:L, 2, FALSE), "Not found path.")</f>
        <v>Servicio de dominio para actualizar la fuente de ingresos y tipo de residencia del cliente en el proceso de Alta de un Cliente Nuevo (Alta Única).</v>
      </c>
      <c r="O7" s="30"/>
      <c r="P7" s="30"/>
      <c r="Q7" s="30"/>
      <c r="R7" s="30"/>
      <c r="S7" s="30"/>
      <c r="T7" s="30"/>
      <c r="U7" s="30"/>
      <c r="V7" s="30"/>
      <c r="W7" s="30"/>
      <c r="X7" s="30"/>
      <c r="Y7" s="30"/>
      <c r="Z7" s="30"/>
    </row>
    <row r="8">
      <c r="A8" s="72" t="s">
        <v>913</v>
      </c>
      <c r="B8" s="72" t="s">
        <v>41</v>
      </c>
      <c r="C8" s="72" t="s">
        <v>811</v>
      </c>
      <c r="D8" s="72" t="s">
        <v>913</v>
      </c>
      <c r="E8" s="72" t="s">
        <v>4328</v>
      </c>
      <c r="F8" s="172" t="s">
        <v>134</v>
      </c>
      <c r="G8" s="72" t="s">
        <v>2376</v>
      </c>
      <c r="H8" s="72" t="s">
        <v>48</v>
      </c>
      <c r="I8" s="72" t="s">
        <v>49</v>
      </c>
      <c r="J8" s="72" t="s">
        <v>4298</v>
      </c>
      <c r="K8" s="72" t="s">
        <v>4329</v>
      </c>
      <c r="L8" s="72" t="s">
        <v>4301</v>
      </c>
      <c r="M8" s="30"/>
      <c r="N8" s="30" t="str">
        <f>IFERROR(VLOOKUP(K8, 'gitlab-raml-unknown'!K:L, 2, FALSE), "Not found path.")</f>
        <v>API encargado obtener el informe del estado de crédito.</v>
      </c>
      <c r="O8" s="30"/>
      <c r="P8" s="30"/>
      <c r="Q8" s="30"/>
      <c r="R8" s="30"/>
      <c r="S8" s="30"/>
      <c r="T8" s="30"/>
      <c r="U8" s="30"/>
      <c r="V8" s="30"/>
      <c r="W8" s="30"/>
      <c r="X8" s="30"/>
      <c r="Y8" s="30"/>
      <c r="Z8" s="30"/>
    </row>
    <row r="9">
      <c r="A9" s="72" t="s">
        <v>1198</v>
      </c>
      <c r="B9" s="72" t="s">
        <v>41</v>
      </c>
      <c r="C9" s="72" t="s">
        <v>811</v>
      </c>
      <c r="D9" s="72" t="s">
        <v>1198</v>
      </c>
      <c r="E9" s="72" t="s">
        <v>3361</v>
      </c>
      <c r="F9" s="172" t="s">
        <v>162</v>
      </c>
      <c r="G9" s="72" t="s">
        <v>3154</v>
      </c>
      <c r="H9" s="72" t="s">
        <v>48</v>
      </c>
      <c r="I9" s="72" t="s">
        <v>49</v>
      </c>
      <c r="J9" s="72" t="s">
        <v>1488</v>
      </c>
      <c r="K9" s="72" t="s">
        <v>4335</v>
      </c>
      <c r="L9" s="72" t="s">
        <v>4308</v>
      </c>
      <c r="M9" s="30"/>
      <c r="N9" s="30" t="str">
        <f>IFERROR(VLOOKUP(K9, 'gitlab-raml-unknown'!K:L, 2, FALSE), "Not found path.")</f>
        <v>API que permite consultar la dirección del cliente</v>
      </c>
      <c r="O9" s="30"/>
      <c r="P9" s="30"/>
      <c r="Q9" s="30"/>
      <c r="R9" s="30"/>
      <c r="S9" s="30"/>
      <c r="T9" s="30"/>
      <c r="U9" s="30"/>
      <c r="V9" s="30"/>
      <c r="W9" s="30"/>
      <c r="X9" s="30"/>
      <c r="Y9" s="30"/>
      <c r="Z9" s="30"/>
    </row>
    <row r="10">
      <c r="A10" s="72" t="s">
        <v>1198</v>
      </c>
      <c r="B10" s="72" t="s">
        <v>41</v>
      </c>
      <c r="C10" s="72" t="s">
        <v>811</v>
      </c>
      <c r="D10" s="72" t="s">
        <v>1198</v>
      </c>
      <c r="E10" s="72" t="s">
        <v>4342</v>
      </c>
      <c r="F10" s="172" t="s">
        <v>162</v>
      </c>
      <c r="G10" s="72" t="s">
        <v>3154</v>
      </c>
      <c r="H10" s="72" t="s">
        <v>48</v>
      </c>
      <c r="I10" s="72" t="s">
        <v>49</v>
      </c>
      <c r="J10" s="72" t="s">
        <v>4313</v>
      </c>
      <c r="K10" s="72" t="s">
        <v>4344</v>
      </c>
      <c r="L10" s="72" t="s">
        <v>4315</v>
      </c>
      <c r="M10" s="30"/>
      <c r="N10" s="30" t="str">
        <f>IFERROR(VLOOKUP(K10, 'gitlab-raml-unknown'!K:L, 2, FALSE), "Not found path.")</f>
        <v>API que permite guardar la dirección del conyugue del cliente</v>
      </c>
      <c r="O10" s="30"/>
      <c r="P10" s="30"/>
      <c r="Q10" s="30"/>
      <c r="R10" s="30"/>
      <c r="S10" s="30"/>
      <c r="T10" s="30"/>
      <c r="U10" s="30"/>
      <c r="V10" s="30"/>
      <c r="W10" s="30"/>
      <c r="X10" s="30"/>
      <c r="Y10" s="30"/>
      <c r="Z10" s="30"/>
    </row>
    <row r="11">
      <c r="A11" s="72" t="s">
        <v>1222</v>
      </c>
      <c r="B11" s="72" t="s">
        <v>41</v>
      </c>
      <c r="C11" s="72" t="s">
        <v>811</v>
      </c>
      <c r="D11" s="72" t="s">
        <v>1222</v>
      </c>
      <c r="E11" s="72" t="s">
        <v>4347</v>
      </c>
      <c r="F11" s="172" t="s">
        <v>162</v>
      </c>
      <c r="G11" s="72" t="s">
        <v>3395</v>
      </c>
      <c r="H11" s="72" t="s">
        <v>48</v>
      </c>
      <c r="I11" s="72" t="s">
        <v>49</v>
      </c>
      <c r="J11" s="72" t="s">
        <v>4323</v>
      </c>
      <c r="K11" s="72" t="s">
        <v>4349</v>
      </c>
      <c r="L11" s="72" t="s">
        <v>4325</v>
      </c>
      <c r="M11" s="72" t="s">
        <v>614</v>
      </c>
      <c r="N11" s="30" t="str">
        <f>IFERROR(VLOOKUP(K11, 'gitlab-raml-unknown'!K:L, 2, FALSE), "Not found path.")</f>
        <v>Servicio de dominio para actualizar la fuente de ingresos y tipo de residencia del cliente en el proceso de Alta de un Cliente Nuevo (Alta Única).</v>
      </c>
      <c r="O11" s="30"/>
      <c r="P11" s="30"/>
      <c r="Q11" s="30"/>
      <c r="R11" s="30"/>
      <c r="S11" s="30"/>
      <c r="T11" s="30"/>
      <c r="U11" s="30"/>
      <c r="V11" s="30"/>
      <c r="W11" s="30"/>
      <c r="X11" s="30"/>
      <c r="Y11" s="30"/>
      <c r="Z11" s="30"/>
    </row>
    <row r="12">
      <c r="A12" s="72" t="s">
        <v>1471</v>
      </c>
      <c r="B12" s="72" t="s">
        <v>112</v>
      </c>
      <c r="C12" s="72" t="s">
        <v>1417</v>
      </c>
      <c r="D12" s="72" t="s">
        <v>1471</v>
      </c>
      <c r="E12" s="72" t="s">
        <v>4355</v>
      </c>
      <c r="F12" s="172" t="s">
        <v>162</v>
      </c>
      <c r="G12" s="72" t="s">
        <v>3959</v>
      </c>
      <c r="H12" s="72" t="s">
        <v>48</v>
      </c>
      <c r="I12" s="72" t="s">
        <v>49</v>
      </c>
      <c r="J12" s="72" t="s">
        <v>4298</v>
      </c>
      <c r="K12" s="72" t="s">
        <v>4357</v>
      </c>
      <c r="L12" s="72" t="s">
        <v>4301</v>
      </c>
      <c r="M12" s="30"/>
      <c r="N12" s="30" t="str">
        <f>IFERROR(VLOOKUP(K12, 'gitlab-raml-unknown'!K:L, 2, FALSE), "Not found path.")</f>
        <v>API encargado obtener el informe del estado de crédito.</v>
      </c>
      <c r="O12" s="30"/>
      <c r="P12" s="30"/>
      <c r="Q12" s="30"/>
      <c r="R12" s="30"/>
      <c r="S12" s="30"/>
      <c r="T12" s="30"/>
      <c r="U12" s="30"/>
      <c r="V12" s="30"/>
      <c r="W12" s="30"/>
      <c r="X12" s="30"/>
      <c r="Y12" s="30"/>
      <c r="Z12" s="30"/>
    </row>
    <row r="13">
      <c r="A13" s="72" t="s">
        <v>4196</v>
      </c>
      <c r="B13" s="72" t="s">
        <v>112</v>
      </c>
      <c r="C13" s="72" t="s">
        <v>1417</v>
      </c>
      <c r="D13" s="72" t="s">
        <v>4196</v>
      </c>
      <c r="E13" s="72" t="s">
        <v>4363</v>
      </c>
      <c r="F13" s="172" t="s">
        <v>162</v>
      </c>
      <c r="G13" s="72" t="s">
        <v>4198</v>
      </c>
      <c r="H13" s="72" t="s">
        <v>48</v>
      </c>
      <c r="I13" s="72" t="s">
        <v>49</v>
      </c>
      <c r="J13" s="72" t="s">
        <v>965</v>
      </c>
      <c r="K13" s="72" t="s">
        <v>4200</v>
      </c>
      <c r="L13" s="72" t="s">
        <v>966</v>
      </c>
      <c r="M13" s="72" t="s">
        <v>4366</v>
      </c>
      <c r="N13" s="30" t="str">
        <f>IFERROR(VLOOKUP(K13, 'gitlab-raml-unknown'!K:L, 2, FALSE), "Not found path.")</f>
        <v>Permite consultar la información del producto dado el cliente y número de crédito.</v>
      </c>
      <c r="O13" s="30"/>
      <c r="P13" s="30"/>
      <c r="Q13" s="30"/>
      <c r="R13" s="30"/>
      <c r="S13" s="30"/>
      <c r="T13" s="30"/>
      <c r="U13" s="30"/>
      <c r="V13" s="30"/>
      <c r="W13" s="30"/>
      <c r="X13" s="30"/>
      <c r="Y13" s="30"/>
      <c r="Z13" s="30"/>
    </row>
    <row r="14">
      <c r="A14" s="30"/>
      <c r="B14" s="30"/>
      <c r="C14" s="30"/>
      <c r="D14" s="30"/>
      <c r="E14" s="30"/>
      <c r="F14" s="172"/>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172"/>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172"/>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172"/>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172"/>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172"/>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172"/>
      <c r="G20" s="30"/>
      <c r="H20" s="30"/>
      <c r="I20" s="30"/>
      <c r="J20" s="30"/>
      <c r="K20" s="30"/>
      <c r="L20" s="30"/>
      <c r="M20" s="30"/>
      <c r="N20" s="30"/>
      <c r="O20" s="30"/>
      <c r="P20" s="30"/>
      <c r="Q20" s="30"/>
      <c r="R20" s="30"/>
      <c r="S20" s="30"/>
      <c r="T20" s="30"/>
      <c r="U20" s="30"/>
      <c r="V20" s="30"/>
      <c r="W20" s="30"/>
      <c r="X20" s="30"/>
      <c r="Y20" s="30"/>
      <c r="Z20" s="30"/>
    </row>
    <row r="21">
      <c r="A21" s="30"/>
      <c r="B21" s="30"/>
      <c r="C21" s="30"/>
      <c r="D21" s="30"/>
      <c r="E21" s="30"/>
      <c r="F21" s="172"/>
      <c r="G21" s="30"/>
      <c r="H21" s="30"/>
      <c r="I21" s="30"/>
      <c r="J21" s="30"/>
      <c r="K21" s="30"/>
      <c r="L21" s="30"/>
      <c r="M21" s="30"/>
      <c r="N21" s="30"/>
      <c r="O21" s="30"/>
      <c r="P21" s="30"/>
      <c r="Q21" s="30"/>
      <c r="R21" s="30"/>
      <c r="S21" s="30"/>
      <c r="T21" s="30"/>
      <c r="U21" s="30"/>
      <c r="V21" s="30"/>
      <c r="W21" s="30"/>
      <c r="X21" s="30"/>
      <c r="Y21" s="30"/>
      <c r="Z21" s="30"/>
    </row>
    <row r="22">
      <c r="A22" s="30"/>
      <c r="B22" s="30"/>
      <c r="C22" s="30"/>
      <c r="D22" s="30"/>
      <c r="E22" s="30"/>
      <c r="F22" s="172"/>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172"/>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172"/>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172"/>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172"/>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172"/>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172"/>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172"/>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172"/>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172"/>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172"/>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172"/>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172"/>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172"/>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172"/>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172"/>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172"/>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172"/>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172"/>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172"/>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172"/>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172"/>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172"/>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172"/>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172"/>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172"/>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172"/>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172"/>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172"/>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172"/>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172"/>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172"/>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172"/>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172"/>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172"/>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172"/>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172"/>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172"/>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172"/>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172"/>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172"/>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172"/>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172"/>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172"/>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172"/>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172"/>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172"/>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172"/>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172"/>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172"/>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172"/>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172"/>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172"/>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172"/>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172"/>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172"/>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172"/>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172"/>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172"/>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172"/>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172"/>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172"/>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172"/>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172"/>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172"/>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172"/>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172"/>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172"/>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172"/>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172"/>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172"/>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172"/>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172"/>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172"/>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172"/>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172"/>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172"/>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172"/>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172"/>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172"/>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172"/>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172"/>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172"/>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172"/>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172"/>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172"/>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172"/>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172"/>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172"/>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172"/>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172"/>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172"/>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172"/>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172"/>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172"/>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172"/>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172"/>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172"/>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172"/>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172"/>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172"/>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172"/>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172"/>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172"/>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172"/>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172"/>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172"/>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172"/>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172"/>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172"/>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172"/>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172"/>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172"/>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172"/>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172"/>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172"/>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172"/>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172"/>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172"/>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172"/>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172"/>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172"/>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172"/>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172"/>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172"/>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172"/>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172"/>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172"/>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172"/>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172"/>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172"/>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172"/>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172"/>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172"/>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172"/>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172"/>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172"/>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172"/>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172"/>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172"/>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172"/>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172"/>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172"/>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172"/>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172"/>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172"/>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172"/>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172"/>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172"/>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172"/>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172"/>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172"/>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172"/>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172"/>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172"/>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172"/>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172"/>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172"/>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172"/>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172"/>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172"/>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172"/>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172"/>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172"/>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172"/>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172"/>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172"/>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172"/>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172"/>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172"/>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172"/>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172"/>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172"/>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172"/>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172"/>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172"/>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172"/>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172"/>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172"/>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172"/>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172"/>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172"/>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172"/>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172"/>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172"/>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172"/>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172"/>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172"/>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172"/>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172"/>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172"/>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172"/>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172"/>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172"/>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172"/>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172"/>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172"/>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172"/>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172"/>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172"/>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172"/>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172"/>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172"/>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172"/>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172"/>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172"/>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172"/>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172"/>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172"/>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172"/>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172"/>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172"/>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172"/>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172"/>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172"/>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172"/>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172"/>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172"/>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172"/>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172"/>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172"/>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172"/>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172"/>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172"/>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172"/>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172"/>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172"/>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172"/>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172"/>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172"/>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172"/>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172"/>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172"/>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172"/>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172"/>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172"/>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172"/>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172"/>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172"/>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172"/>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172"/>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172"/>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172"/>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172"/>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172"/>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172"/>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172"/>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172"/>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172"/>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172"/>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172"/>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172"/>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172"/>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172"/>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172"/>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172"/>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172"/>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172"/>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172"/>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172"/>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172"/>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172"/>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172"/>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172"/>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172"/>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172"/>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172"/>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172"/>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172"/>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172"/>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172"/>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172"/>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172"/>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172"/>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172"/>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172"/>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172"/>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172"/>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172"/>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172"/>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172"/>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172"/>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172"/>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172"/>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172"/>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172"/>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172"/>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172"/>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172"/>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172"/>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172"/>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172"/>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172"/>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172"/>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172"/>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172"/>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172"/>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172"/>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172"/>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172"/>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172"/>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172"/>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172"/>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172"/>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172"/>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172"/>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172"/>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172"/>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172"/>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172"/>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172"/>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172"/>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172"/>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172"/>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172"/>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172"/>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172"/>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172"/>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172"/>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172"/>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172"/>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172"/>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172"/>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172"/>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172"/>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172"/>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172"/>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172"/>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172"/>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172"/>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172"/>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172"/>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172"/>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172"/>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172"/>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172"/>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172"/>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172"/>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172"/>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172"/>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172"/>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172"/>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172"/>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172"/>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172"/>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172"/>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172"/>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172"/>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172"/>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172"/>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172"/>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172"/>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172"/>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172"/>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172"/>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172"/>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172"/>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172"/>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172"/>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172"/>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172"/>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172"/>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172"/>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172"/>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172"/>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172"/>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172"/>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172"/>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172"/>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172"/>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172"/>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172"/>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172"/>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172"/>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172"/>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172"/>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172"/>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172"/>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172"/>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172"/>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172"/>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172"/>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172"/>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172"/>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172"/>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172"/>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172"/>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172"/>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172"/>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172"/>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172"/>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172"/>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172"/>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172"/>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172"/>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172"/>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172"/>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172"/>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172"/>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172"/>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172"/>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172"/>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172"/>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172"/>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172"/>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172"/>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172"/>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172"/>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172"/>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172"/>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172"/>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172"/>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172"/>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172"/>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172"/>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172"/>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172"/>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172"/>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172"/>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172"/>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172"/>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172"/>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172"/>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172"/>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172"/>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172"/>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172"/>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172"/>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172"/>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172"/>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172"/>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172"/>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172"/>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172"/>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172"/>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172"/>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172"/>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172"/>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172"/>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172"/>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172"/>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172"/>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172"/>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172"/>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172"/>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172"/>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172"/>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172"/>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172"/>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172"/>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172"/>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172"/>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172"/>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172"/>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172"/>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172"/>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172"/>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172"/>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172"/>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172"/>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172"/>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172"/>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172"/>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172"/>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172"/>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172"/>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172"/>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172"/>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172"/>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172"/>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172"/>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172"/>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172"/>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172"/>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172"/>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172"/>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172"/>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172"/>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172"/>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172"/>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172"/>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172"/>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172"/>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172"/>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172"/>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172"/>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172"/>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172"/>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172"/>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172"/>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172"/>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172"/>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172"/>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172"/>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172"/>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172"/>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172"/>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172"/>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172"/>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172"/>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172"/>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172"/>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172"/>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172"/>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172"/>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172"/>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172"/>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172"/>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172"/>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172"/>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172"/>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172"/>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172"/>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172"/>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172"/>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172"/>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172"/>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172"/>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172"/>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172"/>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172"/>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172"/>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172"/>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172"/>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172"/>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172"/>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172"/>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172"/>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172"/>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172"/>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172"/>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172"/>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172"/>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172"/>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172"/>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172"/>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172"/>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172"/>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172"/>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172"/>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172"/>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172"/>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172"/>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172"/>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172"/>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172"/>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172"/>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172"/>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172"/>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172"/>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172"/>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172"/>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172"/>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172"/>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172"/>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172"/>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172"/>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172"/>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172"/>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172"/>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172"/>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172"/>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172"/>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172"/>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172"/>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172"/>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172"/>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172"/>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172"/>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172"/>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172"/>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172"/>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172"/>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172"/>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172"/>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172"/>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172"/>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172"/>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172"/>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172"/>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172"/>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172"/>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172"/>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172"/>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172"/>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172"/>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172"/>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172"/>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172"/>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172"/>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172"/>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172"/>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172"/>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172"/>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172"/>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172"/>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172"/>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172"/>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172"/>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172"/>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172"/>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172"/>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172"/>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172"/>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172"/>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172"/>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172"/>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172"/>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172"/>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172"/>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172"/>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172"/>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172"/>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172"/>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172"/>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172"/>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172"/>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172"/>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172"/>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172"/>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172"/>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172"/>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172"/>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172"/>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172"/>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172"/>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172"/>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172"/>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172"/>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172"/>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172"/>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172"/>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172"/>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172"/>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172"/>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172"/>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172"/>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172"/>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172"/>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172"/>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172"/>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172"/>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172"/>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172"/>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172"/>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172"/>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172"/>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172"/>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172"/>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172"/>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172"/>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172"/>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172"/>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172"/>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172"/>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172"/>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172"/>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172"/>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172"/>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172"/>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172"/>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172"/>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172"/>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172"/>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172"/>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172"/>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172"/>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172"/>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172"/>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172"/>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172"/>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172"/>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172"/>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172"/>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172"/>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172"/>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172"/>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172"/>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172"/>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172"/>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172"/>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172"/>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172"/>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172"/>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172"/>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172"/>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172"/>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172"/>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172"/>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172"/>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172"/>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172"/>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172"/>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172"/>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172"/>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172"/>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172"/>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172"/>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172"/>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172"/>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172"/>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172"/>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172"/>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172"/>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172"/>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172"/>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172"/>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172"/>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172"/>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172"/>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172"/>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172"/>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172"/>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172"/>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172"/>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172"/>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172"/>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172"/>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172"/>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172"/>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172"/>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172"/>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172"/>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172"/>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172"/>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172"/>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172"/>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172"/>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172"/>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172"/>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172"/>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172"/>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172"/>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172"/>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172"/>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172"/>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172"/>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172"/>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172"/>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172"/>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172"/>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172"/>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172"/>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172"/>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172"/>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172"/>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172"/>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172"/>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172"/>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172"/>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172"/>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172"/>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172"/>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172"/>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172"/>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172"/>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172"/>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172"/>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172"/>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172"/>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172"/>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172"/>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172"/>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172"/>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172"/>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172"/>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172"/>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172"/>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172"/>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172"/>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172"/>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172"/>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172"/>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172"/>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172"/>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172"/>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172"/>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172"/>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172"/>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172"/>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172"/>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172"/>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172"/>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172"/>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172"/>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172"/>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172"/>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172"/>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172"/>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172"/>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172"/>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172"/>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172"/>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172"/>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172"/>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172"/>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172"/>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172"/>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172"/>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172"/>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172"/>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172"/>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172"/>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172"/>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172"/>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172"/>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172"/>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172"/>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172"/>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172"/>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172"/>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172"/>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172"/>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172"/>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172"/>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172"/>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172"/>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172"/>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172"/>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172"/>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172"/>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172"/>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172"/>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172"/>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172"/>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172"/>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172"/>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172"/>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172"/>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172"/>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172"/>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172"/>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172"/>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172"/>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172"/>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172"/>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172"/>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172"/>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172"/>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172"/>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172"/>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172"/>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172"/>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172"/>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172"/>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172"/>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172"/>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172"/>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172"/>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172"/>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197"/>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197"/>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197"/>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197"/>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197"/>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197"/>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197"/>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197"/>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197"/>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197"/>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197"/>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197"/>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197"/>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197"/>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197"/>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197"/>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197"/>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197"/>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197"/>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197"/>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197"/>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197"/>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197"/>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197"/>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197"/>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197"/>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197"/>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197"/>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197"/>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197"/>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197"/>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197"/>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197"/>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197"/>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197"/>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197"/>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197"/>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197"/>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197"/>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197"/>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197"/>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197"/>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197"/>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197"/>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197"/>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197"/>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197"/>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197"/>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197"/>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197"/>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197"/>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197"/>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197"/>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197"/>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197"/>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197"/>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197"/>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197"/>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197"/>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197"/>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197"/>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197"/>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197"/>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197"/>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197"/>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197"/>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197"/>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197"/>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197"/>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197"/>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197"/>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197"/>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197"/>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197"/>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197"/>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197"/>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197"/>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197"/>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197"/>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197"/>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197"/>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197"/>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197"/>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197"/>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197"/>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197"/>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197"/>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197"/>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197"/>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197"/>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197"/>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197"/>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197"/>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197"/>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197"/>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197"/>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197"/>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197"/>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197"/>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197"/>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197"/>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197"/>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197"/>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197"/>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197"/>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197"/>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197"/>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197"/>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197"/>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197"/>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197"/>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197"/>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197"/>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197"/>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197"/>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197"/>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197"/>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197"/>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197"/>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197"/>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197"/>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197"/>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197"/>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197"/>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197"/>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197"/>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197"/>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197"/>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197"/>
      <c r="G1000" s="30"/>
      <c r="H1000" s="30"/>
      <c r="I1000" s="30"/>
      <c r="J1000" s="30"/>
      <c r="K1000" s="30"/>
      <c r="L1000" s="30"/>
      <c r="M1000" s="30"/>
      <c r="N1000" s="30"/>
      <c r="O1000" s="30"/>
      <c r="P1000" s="30"/>
      <c r="Q1000" s="30"/>
      <c r="R1000" s="30"/>
      <c r="S1000" s="30"/>
      <c r="T1000" s="30"/>
      <c r="U1000" s="30"/>
      <c r="V1000" s="30"/>
      <c r="W1000" s="30"/>
      <c r="X1000" s="30"/>
      <c r="Y1000" s="30"/>
      <c r="Z1000" s="3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6.33"/>
    <col customWidth="1" min="5" max="5" width="28.56"/>
    <col customWidth="1" min="10" max="10" width="33.78"/>
  </cols>
  <sheetData>
    <row r="1">
      <c r="A1" s="72" t="s">
        <v>2704</v>
      </c>
      <c r="B1" s="72" t="s">
        <v>2705</v>
      </c>
      <c r="C1" s="72" t="s">
        <v>2706</v>
      </c>
      <c r="D1" s="72" t="s">
        <v>2707</v>
      </c>
      <c r="E1" s="72" t="s">
        <v>2708</v>
      </c>
      <c r="F1" s="172" t="s">
        <v>2709</v>
      </c>
      <c r="G1" s="72" t="s">
        <v>2710</v>
      </c>
      <c r="H1" s="72" t="s">
        <v>2711</v>
      </c>
      <c r="I1" s="72" t="s">
        <v>2712</v>
      </c>
      <c r="J1" s="72" t="s">
        <v>2714</v>
      </c>
      <c r="K1" s="72" t="s">
        <v>2716</v>
      </c>
      <c r="L1" s="72" t="s">
        <v>2717</v>
      </c>
      <c r="M1" s="72" t="s">
        <v>2718</v>
      </c>
    </row>
    <row r="2">
      <c r="A2" s="72" t="s">
        <v>72</v>
      </c>
      <c r="B2" s="72" t="s">
        <v>41</v>
      </c>
      <c r="C2" s="72" t="s">
        <v>42</v>
      </c>
      <c r="D2" s="72" t="s">
        <v>72</v>
      </c>
      <c r="E2" s="72" t="s">
        <v>4276</v>
      </c>
      <c r="F2" s="172" t="s">
        <v>122</v>
      </c>
      <c r="G2" s="72" t="s">
        <v>93</v>
      </c>
      <c r="H2" s="72" t="s">
        <v>48</v>
      </c>
      <c r="I2" s="72" t="s">
        <v>49</v>
      </c>
      <c r="J2" s="72" t="s">
        <v>714</v>
      </c>
      <c r="K2" s="72" t="s">
        <v>4278</v>
      </c>
      <c r="L2" s="72" t="s">
        <v>4279</v>
      </c>
      <c r="M2" s="30"/>
    </row>
    <row r="3">
      <c r="A3" s="72" t="s">
        <v>86</v>
      </c>
      <c r="B3" s="72" t="s">
        <v>41</v>
      </c>
      <c r="C3" s="72" t="s">
        <v>42</v>
      </c>
      <c r="D3" s="72" t="s">
        <v>86</v>
      </c>
      <c r="E3" s="72" t="s">
        <v>4288</v>
      </c>
      <c r="F3" s="172" t="s">
        <v>162</v>
      </c>
      <c r="G3" s="72" t="s">
        <v>274</v>
      </c>
      <c r="H3" s="72" t="s">
        <v>48</v>
      </c>
      <c r="I3" s="72" t="s">
        <v>49</v>
      </c>
      <c r="J3" s="72" t="s">
        <v>4289</v>
      </c>
      <c r="K3" s="72" t="s">
        <v>4290</v>
      </c>
      <c r="L3" s="72" t="s">
        <v>4291</v>
      </c>
      <c r="M3" s="30"/>
    </row>
    <row r="4">
      <c r="A4" s="72" t="s">
        <v>218</v>
      </c>
      <c r="B4" s="72" t="s">
        <v>41</v>
      </c>
      <c r="C4" s="72" t="s">
        <v>119</v>
      </c>
      <c r="D4" s="72" t="s">
        <v>218</v>
      </c>
      <c r="E4" s="72" t="s">
        <v>4296</v>
      </c>
      <c r="F4" s="172" t="s">
        <v>122</v>
      </c>
      <c r="G4" s="72" t="s">
        <v>560</v>
      </c>
      <c r="H4" s="72" t="s">
        <v>48</v>
      </c>
      <c r="I4" s="72" t="s">
        <v>49</v>
      </c>
      <c r="J4" s="72" t="s">
        <v>4298</v>
      </c>
      <c r="K4" s="72" t="s">
        <v>4299</v>
      </c>
      <c r="L4" s="72" t="s">
        <v>4301</v>
      </c>
      <c r="M4" s="30"/>
    </row>
    <row r="5">
      <c r="A5" s="72" t="s">
        <v>603</v>
      </c>
      <c r="B5" s="72" t="s">
        <v>41</v>
      </c>
      <c r="C5" s="72" t="s">
        <v>119</v>
      </c>
      <c r="D5" s="72" t="s">
        <v>603</v>
      </c>
      <c r="E5" s="72" t="s">
        <v>1485</v>
      </c>
      <c r="F5" s="172" t="s">
        <v>162</v>
      </c>
      <c r="G5" s="72" t="s">
        <v>1261</v>
      </c>
      <c r="H5" s="72" t="s">
        <v>48</v>
      </c>
      <c r="I5" s="72" t="s">
        <v>49</v>
      </c>
      <c r="J5" s="72" t="s">
        <v>1488</v>
      </c>
      <c r="K5" s="72" t="s">
        <v>4307</v>
      </c>
      <c r="L5" s="72" t="s">
        <v>4308</v>
      </c>
      <c r="M5" s="30"/>
    </row>
    <row r="6">
      <c r="A6" s="72" t="s">
        <v>603</v>
      </c>
      <c r="B6" s="72" t="s">
        <v>41</v>
      </c>
      <c r="C6" s="72" t="s">
        <v>119</v>
      </c>
      <c r="D6" s="72" t="s">
        <v>603</v>
      </c>
      <c r="E6" s="72" t="s">
        <v>4311</v>
      </c>
      <c r="F6" s="172" t="s">
        <v>162</v>
      </c>
      <c r="G6" s="72" t="s">
        <v>1261</v>
      </c>
      <c r="H6" s="72" t="s">
        <v>48</v>
      </c>
      <c r="I6" s="72" t="s">
        <v>49</v>
      </c>
      <c r="J6" s="72" t="s">
        <v>4313</v>
      </c>
      <c r="K6" s="72" t="s">
        <v>4314</v>
      </c>
      <c r="L6" s="72" t="s">
        <v>4315</v>
      </c>
      <c r="M6" s="30"/>
    </row>
    <row r="7">
      <c r="A7" s="72" t="s">
        <v>637</v>
      </c>
      <c r="B7" s="72" t="s">
        <v>41</v>
      </c>
      <c r="C7" s="72" t="s">
        <v>119</v>
      </c>
      <c r="D7" s="72" t="s">
        <v>637</v>
      </c>
      <c r="E7" s="72" t="s">
        <v>4322</v>
      </c>
      <c r="F7" s="172" t="s">
        <v>162</v>
      </c>
      <c r="G7" s="72" t="s">
        <v>1504</v>
      </c>
      <c r="H7" s="72" t="s">
        <v>48</v>
      </c>
      <c r="I7" s="72" t="s">
        <v>49</v>
      </c>
      <c r="J7" s="72" t="s">
        <v>4323</v>
      </c>
      <c r="K7" s="72" t="s">
        <v>4324</v>
      </c>
      <c r="L7" s="72" t="s">
        <v>4325</v>
      </c>
      <c r="M7" s="72" t="s">
        <v>614</v>
      </c>
    </row>
    <row r="8">
      <c r="A8" s="72" t="s">
        <v>913</v>
      </c>
      <c r="B8" s="72" t="s">
        <v>41</v>
      </c>
      <c r="C8" s="72" t="s">
        <v>811</v>
      </c>
      <c r="D8" s="72" t="s">
        <v>913</v>
      </c>
      <c r="E8" s="72" t="s">
        <v>4328</v>
      </c>
      <c r="F8" s="172" t="s">
        <v>134</v>
      </c>
      <c r="G8" s="72" t="s">
        <v>2376</v>
      </c>
      <c r="H8" s="72" t="s">
        <v>48</v>
      </c>
      <c r="I8" s="72" t="s">
        <v>49</v>
      </c>
      <c r="J8" s="72" t="s">
        <v>4298</v>
      </c>
      <c r="K8" s="72" t="s">
        <v>4329</v>
      </c>
      <c r="L8" s="72" t="s">
        <v>4301</v>
      </c>
      <c r="M8" s="30"/>
    </row>
    <row r="9">
      <c r="A9" s="72" t="s">
        <v>1198</v>
      </c>
      <c r="B9" s="72" t="s">
        <v>41</v>
      </c>
      <c r="C9" s="72" t="s">
        <v>811</v>
      </c>
      <c r="D9" s="72" t="s">
        <v>1198</v>
      </c>
      <c r="E9" s="72" t="s">
        <v>3361</v>
      </c>
      <c r="F9" s="172" t="s">
        <v>162</v>
      </c>
      <c r="G9" s="72" t="s">
        <v>3154</v>
      </c>
      <c r="H9" s="72" t="s">
        <v>48</v>
      </c>
      <c r="I9" s="72" t="s">
        <v>49</v>
      </c>
      <c r="J9" s="72" t="s">
        <v>1488</v>
      </c>
      <c r="K9" s="72" t="s">
        <v>4335</v>
      </c>
      <c r="L9" s="72" t="s">
        <v>4308</v>
      </c>
      <c r="M9" s="30"/>
    </row>
    <row r="10">
      <c r="A10" s="72" t="s">
        <v>1198</v>
      </c>
      <c r="B10" s="72" t="s">
        <v>41</v>
      </c>
      <c r="C10" s="72" t="s">
        <v>811</v>
      </c>
      <c r="D10" s="72" t="s">
        <v>1198</v>
      </c>
      <c r="E10" s="72" t="s">
        <v>4342</v>
      </c>
      <c r="F10" s="172" t="s">
        <v>162</v>
      </c>
      <c r="G10" s="72" t="s">
        <v>3154</v>
      </c>
      <c r="H10" s="72" t="s">
        <v>48</v>
      </c>
      <c r="I10" s="72" t="s">
        <v>49</v>
      </c>
      <c r="J10" s="72" t="s">
        <v>4313</v>
      </c>
      <c r="K10" s="72" t="s">
        <v>4344</v>
      </c>
      <c r="L10" s="72" t="s">
        <v>4315</v>
      </c>
      <c r="M10" s="30"/>
    </row>
    <row r="11">
      <c r="A11" s="72" t="s">
        <v>1222</v>
      </c>
      <c r="B11" s="72" t="s">
        <v>41</v>
      </c>
      <c r="C11" s="72" t="s">
        <v>811</v>
      </c>
      <c r="D11" s="72" t="s">
        <v>1222</v>
      </c>
      <c r="E11" s="72" t="s">
        <v>4347</v>
      </c>
      <c r="F11" s="172" t="s">
        <v>162</v>
      </c>
      <c r="G11" s="72" t="s">
        <v>3395</v>
      </c>
      <c r="H11" s="72" t="s">
        <v>48</v>
      </c>
      <c r="I11" s="72" t="s">
        <v>49</v>
      </c>
      <c r="J11" s="72" t="s">
        <v>4323</v>
      </c>
      <c r="K11" s="72" t="s">
        <v>4349</v>
      </c>
      <c r="L11" s="72" t="s">
        <v>4325</v>
      </c>
      <c r="M11" s="72" t="s">
        <v>614</v>
      </c>
    </row>
    <row r="12">
      <c r="A12" s="72" t="s">
        <v>1471</v>
      </c>
      <c r="B12" s="72" t="s">
        <v>41</v>
      </c>
      <c r="C12" s="72" t="s">
        <v>1417</v>
      </c>
      <c r="D12" s="72" t="s">
        <v>1471</v>
      </c>
      <c r="E12" s="72" t="s">
        <v>4355</v>
      </c>
      <c r="F12" s="172" t="s">
        <v>122</v>
      </c>
      <c r="G12" s="72" t="s">
        <v>3959</v>
      </c>
      <c r="H12" s="72" t="s">
        <v>48</v>
      </c>
      <c r="I12" s="72" t="s">
        <v>49</v>
      </c>
      <c r="J12" s="72" t="s">
        <v>4298</v>
      </c>
      <c r="K12" s="72" t="s">
        <v>4357</v>
      </c>
      <c r="L12" s="72" t="s">
        <v>4301</v>
      </c>
      <c r="M12" s="30"/>
    </row>
    <row r="13">
      <c r="A13" s="72" t="s">
        <v>1471</v>
      </c>
      <c r="B13" s="72" t="s">
        <v>41</v>
      </c>
      <c r="C13" s="72" t="s">
        <v>1417</v>
      </c>
      <c r="D13" s="72" t="s">
        <v>1471</v>
      </c>
      <c r="E13" s="72" t="s">
        <v>4429</v>
      </c>
      <c r="F13" s="172" t="s">
        <v>122</v>
      </c>
      <c r="G13" s="72" t="s">
        <v>3959</v>
      </c>
      <c r="H13" s="72" t="s">
        <v>48</v>
      </c>
      <c r="I13" s="72" t="s">
        <v>49</v>
      </c>
      <c r="J13" s="72" t="s">
        <v>4430</v>
      </c>
      <c r="K13" s="72" t="s">
        <v>4431</v>
      </c>
      <c r="L13" s="72" t="s">
        <v>4432</v>
      </c>
      <c r="M13" s="30"/>
    </row>
    <row r="14">
      <c r="A14" s="72" t="s">
        <v>1604</v>
      </c>
      <c r="B14" s="72" t="s">
        <v>41</v>
      </c>
      <c r="C14" s="72" t="s">
        <v>1417</v>
      </c>
      <c r="D14" s="72" t="s">
        <v>1604</v>
      </c>
      <c r="E14" s="72" t="s">
        <v>4433</v>
      </c>
      <c r="F14" s="172" t="s">
        <v>162</v>
      </c>
      <c r="G14" s="72" t="s">
        <v>3849</v>
      </c>
      <c r="H14" s="72" t="s">
        <v>48</v>
      </c>
      <c r="I14" s="72" t="s">
        <v>49</v>
      </c>
      <c r="J14" s="72" t="s">
        <v>4435</v>
      </c>
      <c r="K14" s="72" t="s">
        <v>4436</v>
      </c>
      <c r="L14" s="72" t="s">
        <v>4437</v>
      </c>
      <c r="M14" s="30"/>
    </row>
    <row r="15">
      <c r="A15" s="72" t="s">
        <v>1604</v>
      </c>
      <c r="B15" s="72" t="s">
        <v>41</v>
      </c>
      <c r="C15" s="72" t="s">
        <v>1417</v>
      </c>
      <c r="D15" s="72" t="s">
        <v>1604</v>
      </c>
      <c r="E15" s="72" t="s">
        <v>4438</v>
      </c>
      <c r="F15" s="172" t="s">
        <v>162</v>
      </c>
      <c r="G15" s="72" t="s">
        <v>3849</v>
      </c>
      <c r="H15" s="72" t="s">
        <v>48</v>
      </c>
      <c r="I15" s="72" t="s">
        <v>49</v>
      </c>
      <c r="J15" s="72" t="s">
        <v>4439</v>
      </c>
      <c r="K15" s="72" t="s">
        <v>4440</v>
      </c>
      <c r="L15" s="72" t="s">
        <v>4441</v>
      </c>
      <c r="M15" s="30"/>
    </row>
    <row r="16">
      <c r="A16" s="72" t="s">
        <v>1658</v>
      </c>
      <c r="B16" s="72" t="s">
        <v>41</v>
      </c>
      <c r="C16" s="72" t="s">
        <v>1417</v>
      </c>
      <c r="D16" s="72" t="s">
        <v>1658</v>
      </c>
      <c r="E16" s="72" t="s">
        <v>4442</v>
      </c>
      <c r="F16" s="172" t="s">
        <v>162</v>
      </c>
      <c r="G16" s="72" t="s">
        <v>4443</v>
      </c>
      <c r="H16" s="72" t="s">
        <v>48</v>
      </c>
      <c r="I16" s="72" t="s">
        <v>49</v>
      </c>
      <c r="J16" s="72" t="s">
        <v>4444</v>
      </c>
      <c r="K16" s="72" t="s">
        <v>4445</v>
      </c>
      <c r="L16" s="72" t="s">
        <v>4446</v>
      </c>
      <c r="M16" s="30"/>
    </row>
    <row r="17">
      <c r="A17" s="72" t="s">
        <v>1744</v>
      </c>
      <c r="B17" s="72" t="s">
        <v>41</v>
      </c>
      <c r="C17" s="72" t="s">
        <v>1417</v>
      </c>
      <c r="D17" s="72" t="s">
        <v>1744</v>
      </c>
      <c r="E17" s="72" t="s">
        <v>4447</v>
      </c>
      <c r="F17" s="172" t="s">
        <v>162</v>
      </c>
      <c r="G17" s="72" t="s">
        <v>4448</v>
      </c>
      <c r="H17" s="72" t="s">
        <v>48</v>
      </c>
      <c r="I17" s="72" t="s">
        <v>49</v>
      </c>
      <c r="J17" s="72" t="s">
        <v>4289</v>
      </c>
      <c r="K17" s="72" t="s">
        <v>4449</v>
      </c>
      <c r="L17" s="72" t="s">
        <v>4291</v>
      </c>
      <c r="M17" s="30"/>
    </row>
    <row r="18">
      <c r="A18" s="72" t="s">
        <v>4196</v>
      </c>
      <c r="B18" s="72" t="s">
        <v>112</v>
      </c>
      <c r="C18" s="72" t="s">
        <v>1417</v>
      </c>
      <c r="D18" s="72" t="s">
        <v>4196</v>
      </c>
      <c r="E18" s="72" t="s">
        <v>4363</v>
      </c>
      <c r="F18" s="172" t="s">
        <v>162</v>
      </c>
      <c r="G18" s="72" t="s">
        <v>4198</v>
      </c>
      <c r="H18" s="72" t="s">
        <v>48</v>
      </c>
      <c r="I18" s="72" t="s">
        <v>49</v>
      </c>
      <c r="J18" s="72" t="s">
        <v>965</v>
      </c>
      <c r="K18" s="72" t="s">
        <v>4200</v>
      </c>
      <c r="L18" s="72" t="s">
        <v>966</v>
      </c>
      <c r="M18" s="72" t="s">
        <v>4366</v>
      </c>
    </row>
    <row r="19">
      <c r="F19" s="191"/>
    </row>
    <row r="20">
      <c r="F20" s="191"/>
    </row>
    <row r="21">
      <c r="F21" s="191"/>
    </row>
    <row r="22">
      <c r="F22" s="191"/>
    </row>
    <row r="23">
      <c r="F23" s="191"/>
    </row>
    <row r="24">
      <c r="F24" s="191"/>
    </row>
    <row r="25">
      <c r="F25" s="191"/>
    </row>
    <row r="26">
      <c r="F26" s="191"/>
    </row>
    <row r="27">
      <c r="F27" s="191"/>
    </row>
    <row r="28">
      <c r="F28" s="191"/>
    </row>
    <row r="29">
      <c r="F29" s="191"/>
    </row>
    <row r="30">
      <c r="F30" s="191"/>
    </row>
    <row r="31">
      <c r="F31" s="191"/>
    </row>
    <row r="32">
      <c r="F32" s="191"/>
    </row>
    <row r="33">
      <c r="F33" s="191"/>
    </row>
    <row r="34">
      <c r="F34" s="191"/>
    </row>
    <row r="35">
      <c r="F35" s="191"/>
    </row>
    <row r="36">
      <c r="F36" s="191"/>
    </row>
    <row r="37">
      <c r="F37" s="191"/>
    </row>
    <row r="38">
      <c r="F38" s="191"/>
    </row>
    <row r="39">
      <c r="F39" s="191"/>
    </row>
    <row r="40">
      <c r="F40" s="191"/>
    </row>
    <row r="41">
      <c r="F41" s="191"/>
    </row>
    <row r="42">
      <c r="F42" s="191"/>
    </row>
    <row r="43">
      <c r="F43" s="191"/>
    </row>
    <row r="44">
      <c r="F44" s="191"/>
    </row>
    <row r="45">
      <c r="F45" s="191"/>
    </row>
    <row r="46">
      <c r="F46" s="191"/>
    </row>
    <row r="47">
      <c r="F47" s="191"/>
    </row>
    <row r="48">
      <c r="F48" s="191"/>
    </row>
    <row r="49">
      <c r="F49" s="191"/>
    </row>
    <row r="50">
      <c r="F50" s="191"/>
    </row>
    <row r="51">
      <c r="F51" s="191"/>
    </row>
    <row r="52">
      <c r="F52" s="191"/>
    </row>
    <row r="53">
      <c r="F53" s="191"/>
    </row>
    <row r="54">
      <c r="F54" s="191"/>
    </row>
    <row r="55">
      <c r="F55" s="191"/>
    </row>
    <row r="56">
      <c r="F56" s="191"/>
    </row>
    <row r="57">
      <c r="F57" s="191"/>
    </row>
    <row r="58">
      <c r="F58" s="191"/>
    </row>
    <row r="59">
      <c r="F59" s="191"/>
    </row>
    <row r="60">
      <c r="F60" s="191"/>
    </row>
    <row r="61">
      <c r="F61" s="191"/>
    </row>
    <row r="62">
      <c r="F62" s="191"/>
    </row>
    <row r="63">
      <c r="F63" s="191"/>
    </row>
    <row r="64">
      <c r="F64" s="191"/>
    </row>
    <row r="65">
      <c r="F65" s="191"/>
    </row>
    <row r="66">
      <c r="F66" s="191"/>
    </row>
    <row r="67">
      <c r="F67" s="191"/>
    </row>
    <row r="68">
      <c r="F68" s="191"/>
    </row>
    <row r="69">
      <c r="F69" s="191"/>
    </row>
    <row r="70">
      <c r="F70" s="191"/>
    </row>
    <row r="71">
      <c r="F71" s="191"/>
    </row>
    <row r="72">
      <c r="F72" s="191"/>
    </row>
    <row r="73">
      <c r="F73" s="191"/>
    </row>
    <row r="74">
      <c r="F74" s="191"/>
    </row>
    <row r="75">
      <c r="F75" s="191"/>
    </row>
    <row r="76">
      <c r="F76" s="191"/>
    </row>
    <row r="77">
      <c r="F77" s="191"/>
    </row>
    <row r="78">
      <c r="F78" s="191"/>
    </row>
    <row r="79">
      <c r="F79" s="191"/>
    </row>
    <row r="80">
      <c r="F80" s="191"/>
    </row>
    <row r="81">
      <c r="F81" s="191"/>
    </row>
    <row r="82">
      <c r="F82" s="191"/>
    </row>
    <row r="83">
      <c r="F83" s="191"/>
    </row>
    <row r="84">
      <c r="F84" s="191"/>
    </row>
    <row r="85">
      <c r="F85" s="191"/>
    </row>
    <row r="86">
      <c r="F86" s="191"/>
    </row>
    <row r="87">
      <c r="F87" s="191"/>
    </row>
    <row r="88">
      <c r="F88" s="191"/>
    </row>
    <row r="89">
      <c r="F89" s="191"/>
    </row>
    <row r="90">
      <c r="F90" s="191"/>
    </row>
    <row r="91">
      <c r="F91" s="191"/>
    </row>
    <row r="92">
      <c r="F92" s="191"/>
    </row>
    <row r="93">
      <c r="F93" s="191"/>
    </row>
    <row r="94">
      <c r="F94" s="191"/>
    </row>
    <row r="95">
      <c r="F95" s="191"/>
    </row>
    <row r="96">
      <c r="F96" s="191"/>
    </row>
    <row r="97">
      <c r="F97" s="191"/>
    </row>
    <row r="98">
      <c r="F98" s="191"/>
    </row>
    <row r="99">
      <c r="F99" s="191"/>
    </row>
    <row r="100">
      <c r="F100" s="191"/>
    </row>
    <row r="101">
      <c r="F101" s="191"/>
    </row>
    <row r="102">
      <c r="F102" s="191"/>
    </row>
    <row r="103">
      <c r="F103" s="191"/>
    </row>
    <row r="104">
      <c r="F104" s="191"/>
    </row>
    <row r="105">
      <c r="F105" s="191"/>
    </row>
    <row r="106">
      <c r="F106" s="191"/>
    </row>
    <row r="107">
      <c r="F107" s="191"/>
    </row>
    <row r="108">
      <c r="F108" s="191"/>
    </row>
    <row r="109">
      <c r="F109" s="191"/>
    </row>
    <row r="110">
      <c r="F110" s="191"/>
    </row>
    <row r="111">
      <c r="F111" s="191"/>
    </row>
    <row r="112">
      <c r="F112" s="191"/>
    </row>
    <row r="113">
      <c r="F113" s="191"/>
    </row>
    <row r="114">
      <c r="F114" s="191"/>
    </row>
    <row r="115">
      <c r="F115" s="191"/>
    </row>
    <row r="116">
      <c r="F116" s="191"/>
    </row>
    <row r="117">
      <c r="F117" s="191"/>
    </row>
    <row r="118">
      <c r="F118" s="191"/>
    </row>
    <row r="119">
      <c r="F119" s="191"/>
    </row>
    <row r="120">
      <c r="F120" s="191"/>
    </row>
    <row r="121">
      <c r="F121" s="191"/>
    </row>
    <row r="122">
      <c r="F122" s="191"/>
    </row>
    <row r="123">
      <c r="F123" s="191"/>
    </row>
    <row r="124">
      <c r="F124" s="191"/>
    </row>
    <row r="125">
      <c r="F125" s="191"/>
    </row>
    <row r="126">
      <c r="F126" s="191"/>
    </row>
    <row r="127">
      <c r="F127" s="191"/>
    </row>
    <row r="128">
      <c r="F128" s="191"/>
    </row>
    <row r="129">
      <c r="F129" s="191"/>
    </row>
    <row r="130">
      <c r="F130" s="191"/>
    </row>
    <row r="131">
      <c r="F131" s="191"/>
    </row>
    <row r="132">
      <c r="F132" s="191"/>
    </row>
    <row r="133">
      <c r="F133" s="191"/>
    </row>
    <row r="134">
      <c r="F134" s="191"/>
    </row>
    <row r="135">
      <c r="F135" s="191"/>
    </row>
    <row r="136">
      <c r="F136" s="191"/>
    </row>
    <row r="137">
      <c r="F137" s="191"/>
    </row>
    <row r="138">
      <c r="F138" s="191"/>
    </row>
    <row r="139">
      <c r="F139" s="191"/>
    </row>
    <row r="140">
      <c r="F140" s="191"/>
    </row>
    <row r="141">
      <c r="F141" s="191"/>
    </row>
    <row r="142">
      <c r="F142" s="191"/>
    </row>
    <row r="143">
      <c r="F143" s="191"/>
    </row>
    <row r="144">
      <c r="F144" s="191"/>
    </row>
    <row r="145">
      <c r="F145" s="191"/>
    </row>
    <row r="146">
      <c r="F146" s="191"/>
    </row>
    <row r="147">
      <c r="F147" s="191"/>
    </row>
    <row r="148">
      <c r="F148" s="191"/>
    </row>
    <row r="149">
      <c r="F149" s="191"/>
    </row>
    <row r="150">
      <c r="F150" s="191"/>
    </row>
    <row r="151">
      <c r="F151" s="191"/>
    </row>
    <row r="152">
      <c r="F152" s="191"/>
    </row>
    <row r="153">
      <c r="F153" s="191"/>
    </row>
    <row r="154">
      <c r="F154" s="191"/>
    </row>
    <row r="155">
      <c r="F155" s="191"/>
    </row>
    <row r="156">
      <c r="F156" s="191"/>
    </row>
    <row r="157">
      <c r="F157" s="191"/>
    </row>
    <row r="158">
      <c r="F158" s="191"/>
    </row>
    <row r="159">
      <c r="F159" s="191"/>
    </row>
    <row r="160">
      <c r="F160" s="191"/>
    </row>
    <row r="161">
      <c r="F161" s="191"/>
    </row>
    <row r="162">
      <c r="F162" s="191"/>
    </row>
    <row r="163">
      <c r="F163" s="191"/>
    </row>
    <row r="164">
      <c r="F164" s="191"/>
    </row>
    <row r="165">
      <c r="F165" s="191"/>
    </row>
    <row r="166">
      <c r="F166" s="191"/>
    </row>
    <row r="167">
      <c r="F167" s="191"/>
    </row>
    <row r="168">
      <c r="F168" s="191"/>
    </row>
    <row r="169">
      <c r="F169" s="191"/>
    </row>
    <row r="170">
      <c r="F170" s="191"/>
    </row>
    <row r="171">
      <c r="F171" s="191"/>
    </row>
    <row r="172">
      <c r="F172" s="191"/>
    </row>
    <row r="173">
      <c r="F173" s="191"/>
    </row>
    <row r="174">
      <c r="F174" s="191"/>
    </row>
    <row r="175">
      <c r="F175" s="191"/>
    </row>
    <row r="176">
      <c r="F176" s="191"/>
    </row>
    <row r="177">
      <c r="F177" s="191"/>
    </row>
    <row r="178">
      <c r="F178" s="191"/>
    </row>
    <row r="179">
      <c r="F179" s="191"/>
    </row>
    <row r="180">
      <c r="F180" s="191"/>
    </row>
    <row r="181">
      <c r="F181" s="191"/>
    </row>
    <row r="182">
      <c r="F182" s="191"/>
    </row>
    <row r="183">
      <c r="F183" s="191"/>
    </row>
    <row r="184">
      <c r="F184" s="191"/>
    </row>
    <row r="185">
      <c r="F185" s="191"/>
    </row>
    <row r="186">
      <c r="F186" s="191"/>
    </row>
    <row r="187">
      <c r="F187" s="191"/>
    </row>
    <row r="188">
      <c r="F188" s="191"/>
    </row>
    <row r="189">
      <c r="F189" s="191"/>
    </row>
    <row r="190">
      <c r="F190" s="191"/>
    </row>
    <row r="191">
      <c r="F191" s="191"/>
    </row>
    <row r="192">
      <c r="F192" s="191"/>
    </row>
    <row r="193">
      <c r="F193" s="191"/>
    </row>
    <row r="194">
      <c r="F194" s="191"/>
    </row>
    <row r="195">
      <c r="F195" s="191"/>
    </row>
    <row r="196">
      <c r="F196" s="191"/>
    </row>
    <row r="197">
      <c r="F197" s="191"/>
    </row>
    <row r="198">
      <c r="F198" s="191"/>
    </row>
    <row r="199">
      <c r="F199" s="191"/>
    </row>
    <row r="200">
      <c r="F200" s="191"/>
    </row>
    <row r="201">
      <c r="F201" s="191"/>
    </row>
    <row r="202">
      <c r="F202" s="191"/>
    </row>
    <row r="203">
      <c r="F203" s="191"/>
    </row>
    <row r="204">
      <c r="F204" s="191"/>
    </row>
    <row r="205">
      <c r="F205" s="191"/>
    </row>
    <row r="206">
      <c r="F206" s="191"/>
    </row>
    <row r="207">
      <c r="F207" s="191"/>
    </row>
    <row r="208">
      <c r="F208" s="191"/>
    </row>
    <row r="209">
      <c r="F209" s="191"/>
    </row>
    <row r="210">
      <c r="F210" s="191"/>
    </row>
    <row r="211">
      <c r="F211" s="191"/>
    </row>
    <row r="212">
      <c r="F212" s="191"/>
    </row>
    <row r="213">
      <c r="F213" s="191"/>
    </row>
    <row r="214">
      <c r="F214" s="191"/>
    </row>
    <row r="215">
      <c r="F215" s="191"/>
    </row>
    <row r="216">
      <c r="F216" s="191"/>
    </row>
    <row r="217">
      <c r="F217" s="191"/>
    </row>
    <row r="218">
      <c r="F218" s="191"/>
    </row>
    <row r="219">
      <c r="F219" s="191"/>
    </row>
    <row r="220">
      <c r="F220" s="191"/>
    </row>
    <row r="221">
      <c r="F221" s="191"/>
    </row>
    <row r="222">
      <c r="F222" s="191"/>
    </row>
    <row r="223">
      <c r="F223" s="191"/>
    </row>
    <row r="224">
      <c r="F224" s="191"/>
    </row>
    <row r="225">
      <c r="F225" s="191"/>
    </row>
    <row r="226">
      <c r="F226" s="191"/>
    </row>
    <row r="227">
      <c r="F227" s="191"/>
    </row>
    <row r="228">
      <c r="F228" s="191"/>
    </row>
    <row r="229">
      <c r="F229" s="191"/>
    </row>
    <row r="230">
      <c r="F230" s="191"/>
    </row>
    <row r="231">
      <c r="F231" s="191"/>
    </row>
    <row r="232">
      <c r="F232" s="191"/>
    </row>
    <row r="233">
      <c r="F233" s="191"/>
    </row>
    <row r="234">
      <c r="F234" s="191"/>
    </row>
    <row r="235">
      <c r="F235" s="191"/>
    </row>
    <row r="236">
      <c r="F236" s="191"/>
    </row>
    <row r="237">
      <c r="F237" s="191"/>
    </row>
    <row r="238">
      <c r="F238" s="191"/>
    </row>
    <row r="239">
      <c r="F239" s="191"/>
    </row>
    <row r="240">
      <c r="F240" s="191"/>
    </row>
    <row r="241">
      <c r="F241" s="191"/>
    </row>
    <row r="242">
      <c r="F242" s="191"/>
    </row>
    <row r="243">
      <c r="F243" s="191"/>
    </row>
    <row r="244">
      <c r="F244" s="191"/>
    </row>
    <row r="245">
      <c r="F245" s="191"/>
    </row>
    <row r="246">
      <c r="F246" s="191"/>
    </row>
    <row r="247">
      <c r="F247" s="191"/>
    </row>
    <row r="248">
      <c r="F248" s="191"/>
    </row>
    <row r="249">
      <c r="F249" s="191"/>
    </row>
    <row r="250">
      <c r="F250" s="191"/>
    </row>
    <row r="251">
      <c r="F251" s="191"/>
    </row>
    <row r="252">
      <c r="F252" s="191"/>
    </row>
    <row r="253">
      <c r="F253" s="191"/>
    </row>
    <row r="254">
      <c r="F254" s="191"/>
    </row>
    <row r="255">
      <c r="F255" s="191"/>
    </row>
    <row r="256">
      <c r="F256" s="191"/>
    </row>
    <row r="257">
      <c r="F257" s="191"/>
    </row>
    <row r="258">
      <c r="F258" s="191"/>
    </row>
    <row r="259">
      <c r="F259" s="191"/>
    </row>
    <row r="260">
      <c r="F260" s="191"/>
    </row>
    <row r="261">
      <c r="F261" s="191"/>
    </row>
    <row r="262">
      <c r="F262" s="191"/>
    </row>
    <row r="263">
      <c r="F263" s="191"/>
    </row>
    <row r="264">
      <c r="F264" s="191"/>
    </row>
    <row r="265">
      <c r="F265" s="191"/>
    </row>
    <row r="266">
      <c r="F266" s="191"/>
    </row>
    <row r="267">
      <c r="F267" s="191"/>
    </row>
    <row r="268">
      <c r="F268" s="191"/>
    </row>
    <row r="269">
      <c r="F269" s="191"/>
    </row>
    <row r="270">
      <c r="F270" s="191"/>
    </row>
    <row r="271">
      <c r="F271" s="191"/>
    </row>
    <row r="272">
      <c r="F272" s="191"/>
    </row>
    <row r="273">
      <c r="F273" s="191"/>
    </row>
    <row r="274">
      <c r="F274" s="191"/>
    </row>
    <row r="275">
      <c r="F275" s="191"/>
    </row>
    <row r="276">
      <c r="F276" s="191"/>
    </row>
    <row r="277">
      <c r="F277" s="191"/>
    </row>
    <row r="278">
      <c r="F278" s="191"/>
    </row>
    <row r="279">
      <c r="F279" s="191"/>
    </row>
    <row r="280">
      <c r="F280" s="191"/>
    </row>
    <row r="281">
      <c r="F281" s="191"/>
    </row>
    <row r="282">
      <c r="F282" s="191"/>
    </row>
    <row r="283">
      <c r="F283" s="191"/>
    </row>
    <row r="284">
      <c r="F284" s="191"/>
    </row>
    <row r="285">
      <c r="F285" s="191"/>
    </row>
    <row r="286">
      <c r="F286" s="191"/>
    </row>
    <row r="287">
      <c r="F287" s="191"/>
    </row>
    <row r="288">
      <c r="F288" s="191"/>
    </row>
    <row r="289">
      <c r="F289" s="191"/>
    </row>
    <row r="290">
      <c r="F290" s="191"/>
    </row>
    <row r="291">
      <c r="F291" s="191"/>
    </row>
    <row r="292">
      <c r="F292" s="191"/>
    </row>
    <row r="293">
      <c r="F293" s="191"/>
    </row>
    <row r="294">
      <c r="F294" s="191"/>
    </row>
    <row r="295">
      <c r="F295" s="191"/>
    </row>
    <row r="296">
      <c r="F296" s="191"/>
    </row>
    <row r="297">
      <c r="F297" s="191"/>
    </row>
    <row r="298">
      <c r="F298" s="191"/>
    </row>
    <row r="299">
      <c r="F299" s="191"/>
    </row>
    <row r="300">
      <c r="F300" s="191"/>
    </row>
    <row r="301">
      <c r="F301" s="191"/>
    </row>
    <row r="302">
      <c r="F302" s="191"/>
    </row>
    <row r="303">
      <c r="F303" s="191"/>
    </row>
    <row r="304">
      <c r="F304" s="191"/>
    </row>
    <row r="305">
      <c r="F305" s="191"/>
    </row>
    <row r="306">
      <c r="F306" s="191"/>
    </row>
    <row r="307">
      <c r="F307" s="191"/>
    </row>
    <row r="308">
      <c r="F308" s="191"/>
    </row>
    <row r="309">
      <c r="F309" s="191"/>
    </row>
    <row r="310">
      <c r="F310" s="191"/>
    </row>
    <row r="311">
      <c r="F311" s="191"/>
    </row>
    <row r="312">
      <c r="F312" s="191"/>
    </row>
    <row r="313">
      <c r="F313" s="191"/>
    </row>
    <row r="314">
      <c r="F314" s="191"/>
    </row>
    <row r="315">
      <c r="F315" s="191"/>
    </row>
    <row r="316">
      <c r="F316" s="191"/>
    </row>
    <row r="317">
      <c r="F317" s="191"/>
    </row>
    <row r="318">
      <c r="F318" s="191"/>
    </row>
    <row r="319">
      <c r="F319" s="191"/>
    </row>
    <row r="320">
      <c r="F320" s="191"/>
    </row>
    <row r="321">
      <c r="F321" s="191"/>
    </row>
    <row r="322">
      <c r="F322" s="191"/>
    </row>
    <row r="323">
      <c r="F323" s="191"/>
    </row>
    <row r="324">
      <c r="F324" s="191"/>
    </row>
    <row r="325">
      <c r="F325" s="191"/>
    </row>
    <row r="326">
      <c r="F326" s="191"/>
    </row>
    <row r="327">
      <c r="F327" s="191"/>
    </row>
    <row r="328">
      <c r="F328" s="191"/>
    </row>
    <row r="329">
      <c r="F329" s="191"/>
    </row>
    <row r="330">
      <c r="F330" s="191"/>
    </row>
    <row r="331">
      <c r="F331" s="191"/>
    </row>
    <row r="332">
      <c r="F332" s="191"/>
    </row>
    <row r="333">
      <c r="F333" s="191"/>
    </row>
    <row r="334">
      <c r="F334" s="191"/>
    </row>
    <row r="335">
      <c r="F335" s="191"/>
    </row>
    <row r="336">
      <c r="F336" s="191"/>
    </row>
    <row r="337">
      <c r="F337" s="191"/>
    </row>
    <row r="338">
      <c r="F338" s="191"/>
    </row>
    <row r="339">
      <c r="F339" s="191"/>
    </row>
    <row r="340">
      <c r="F340" s="191"/>
    </row>
    <row r="341">
      <c r="F341" s="191"/>
    </row>
    <row r="342">
      <c r="F342" s="191"/>
    </row>
    <row r="343">
      <c r="F343" s="191"/>
    </row>
    <row r="344">
      <c r="F344" s="191"/>
    </row>
    <row r="345">
      <c r="F345" s="191"/>
    </row>
    <row r="346">
      <c r="F346" s="191"/>
    </row>
    <row r="347">
      <c r="F347" s="191"/>
    </row>
    <row r="348">
      <c r="F348" s="191"/>
    </row>
    <row r="349">
      <c r="F349" s="191"/>
    </row>
    <row r="350">
      <c r="F350" s="191"/>
    </row>
    <row r="351">
      <c r="F351" s="191"/>
    </row>
    <row r="352">
      <c r="F352" s="191"/>
    </row>
    <row r="353">
      <c r="F353" s="191"/>
    </row>
    <row r="354">
      <c r="F354" s="191"/>
    </row>
    <row r="355">
      <c r="F355" s="191"/>
    </row>
    <row r="356">
      <c r="F356" s="191"/>
    </row>
    <row r="357">
      <c r="F357" s="191"/>
    </row>
    <row r="358">
      <c r="F358" s="191"/>
    </row>
    <row r="359">
      <c r="F359" s="191"/>
    </row>
    <row r="360">
      <c r="F360" s="191"/>
    </row>
    <row r="361">
      <c r="F361" s="191"/>
    </row>
    <row r="362">
      <c r="F362" s="191"/>
    </row>
    <row r="363">
      <c r="F363" s="191"/>
    </row>
    <row r="364">
      <c r="F364" s="191"/>
    </row>
    <row r="365">
      <c r="F365" s="191"/>
    </row>
    <row r="366">
      <c r="F366" s="191"/>
    </row>
    <row r="367">
      <c r="F367" s="191"/>
    </row>
    <row r="368">
      <c r="F368" s="191"/>
    </row>
    <row r="369">
      <c r="F369" s="191"/>
    </row>
    <row r="370">
      <c r="F370" s="191"/>
    </row>
    <row r="371">
      <c r="F371" s="191"/>
    </row>
    <row r="372">
      <c r="F372" s="191"/>
    </row>
    <row r="373">
      <c r="F373" s="191"/>
    </row>
    <row r="374">
      <c r="F374" s="191"/>
    </row>
    <row r="375">
      <c r="F375" s="191"/>
    </row>
    <row r="376">
      <c r="F376" s="191"/>
    </row>
    <row r="377">
      <c r="F377" s="191"/>
    </row>
    <row r="378">
      <c r="F378" s="191"/>
    </row>
    <row r="379">
      <c r="F379" s="191"/>
    </row>
    <row r="380">
      <c r="F380" s="191"/>
    </row>
    <row r="381">
      <c r="F381" s="191"/>
    </row>
    <row r="382">
      <c r="F382" s="191"/>
    </row>
    <row r="383">
      <c r="F383" s="191"/>
    </row>
    <row r="384">
      <c r="F384" s="191"/>
    </row>
    <row r="385">
      <c r="F385" s="191"/>
    </row>
    <row r="386">
      <c r="F386" s="191"/>
    </row>
    <row r="387">
      <c r="F387" s="191"/>
    </row>
    <row r="388">
      <c r="F388" s="191"/>
    </row>
    <row r="389">
      <c r="F389" s="191"/>
    </row>
    <row r="390">
      <c r="F390" s="191"/>
    </row>
    <row r="391">
      <c r="F391" s="191"/>
    </row>
    <row r="392">
      <c r="F392" s="191"/>
    </row>
    <row r="393">
      <c r="F393" s="191"/>
    </row>
    <row r="394">
      <c r="F394" s="191"/>
    </row>
    <row r="395">
      <c r="F395" s="191"/>
    </row>
    <row r="396">
      <c r="F396" s="191"/>
    </row>
    <row r="397">
      <c r="F397" s="191"/>
    </row>
    <row r="398">
      <c r="F398" s="191"/>
    </row>
    <row r="399">
      <c r="F399" s="191"/>
    </row>
    <row r="400">
      <c r="F400" s="191"/>
    </row>
    <row r="401">
      <c r="F401" s="191"/>
    </row>
    <row r="402">
      <c r="F402" s="191"/>
    </row>
    <row r="403">
      <c r="F403" s="191"/>
    </row>
    <row r="404">
      <c r="F404" s="191"/>
    </row>
    <row r="405">
      <c r="F405" s="191"/>
    </row>
    <row r="406">
      <c r="F406" s="191"/>
    </row>
    <row r="407">
      <c r="F407" s="191"/>
    </row>
    <row r="408">
      <c r="F408" s="191"/>
    </row>
    <row r="409">
      <c r="F409" s="191"/>
    </row>
    <row r="410">
      <c r="F410" s="191"/>
    </row>
    <row r="411">
      <c r="F411" s="191"/>
    </row>
    <row r="412">
      <c r="F412" s="191"/>
    </row>
    <row r="413">
      <c r="F413" s="191"/>
    </row>
    <row r="414">
      <c r="F414" s="191"/>
    </row>
    <row r="415">
      <c r="F415" s="191"/>
    </row>
    <row r="416">
      <c r="F416" s="191"/>
    </row>
    <row r="417">
      <c r="F417" s="191"/>
    </row>
    <row r="418">
      <c r="F418" s="191"/>
    </row>
    <row r="419">
      <c r="F419" s="191"/>
    </row>
    <row r="420">
      <c r="F420" s="191"/>
    </row>
    <row r="421">
      <c r="F421" s="191"/>
    </row>
    <row r="422">
      <c r="F422" s="191"/>
    </row>
    <row r="423">
      <c r="F423" s="191"/>
    </row>
    <row r="424">
      <c r="F424" s="191"/>
    </row>
    <row r="425">
      <c r="F425" s="191"/>
    </row>
    <row r="426">
      <c r="F426" s="191"/>
    </row>
    <row r="427">
      <c r="F427" s="191"/>
    </row>
    <row r="428">
      <c r="F428" s="191"/>
    </row>
    <row r="429">
      <c r="F429" s="191"/>
    </row>
    <row r="430">
      <c r="F430" s="191"/>
    </row>
    <row r="431">
      <c r="F431" s="191"/>
    </row>
    <row r="432">
      <c r="F432" s="191"/>
    </row>
    <row r="433">
      <c r="F433" s="191"/>
    </row>
    <row r="434">
      <c r="F434" s="191"/>
    </row>
    <row r="435">
      <c r="F435" s="191"/>
    </row>
    <row r="436">
      <c r="F436" s="191"/>
    </row>
    <row r="437">
      <c r="F437" s="191"/>
    </row>
    <row r="438">
      <c r="F438" s="191"/>
    </row>
    <row r="439">
      <c r="F439" s="191"/>
    </row>
    <row r="440">
      <c r="F440" s="191"/>
    </row>
    <row r="441">
      <c r="F441" s="191"/>
    </row>
    <row r="442">
      <c r="F442" s="191"/>
    </row>
    <row r="443">
      <c r="F443" s="191"/>
    </row>
    <row r="444">
      <c r="F444" s="191"/>
    </row>
    <row r="445">
      <c r="F445" s="191"/>
    </row>
    <row r="446">
      <c r="F446" s="191"/>
    </row>
    <row r="447">
      <c r="F447" s="191"/>
    </row>
    <row r="448">
      <c r="F448" s="191"/>
    </row>
    <row r="449">
      <c r="F449" s="191"/>
    </row>
    <row r="450">
      <c r="F450" s="191"/>
    </row>
    <row r="451">
      <c r="F451" s="191"/>
    </row>
    <row r="452">
      <c r="F452" s="191"/>
    </row>
    <row r="453">
      <c r="F453" s="191"/>
    </row>
    <row r="454">
      <c r="F454" s="191"/>
    </row>
    <row r="455">
      <c r="F455" s="191"/>
    </row>
    <row r="456">
      <c r="F456" s="191"/>
    </row>
    <row r="457">
      <c r="F457" s="191"/>
    </row>
    <row r="458">
      <c r="F458" s="191"/>
    </row>
    <row r="459">
      <c r="F459" s="191"/>
    </row>
    <row r="460">
      <c r="F460" s="191"/>
    </row>
    <row r="461">
      <c r="F461" s="191"/>
    </row>
    <row r="462">
      <c r="F462" s="191"/>
    </row>
    <row r="463">
      <c r="F463" s="191"/>
    </row>
    <row r="464">
      <c r="F464" s="191"/>
    </row>
    <row r="465">
      <c r="F465" s="191"/>
    </row>
    <row r="466">
      <c r="F466" s="191"/>
    </row>
    <row r="467">
      <c r="F467" s="191"/>
    </row>
    <row r="468">
      <c r="F468" s="191"/>
    </row>
    <row r="469">
      <c r="F469" s="191"/>
    </row>
    <row r="470">
      <c r="F470" s="191"/>
    </row>
    <row r="471">
      <c r="F471" s="191"/>
    </row>
    <row r="472">
      <c r="F472" s="191"/>
    </row>
    <row r="473">
      <c r="F473" s="191"/>
    </row>
    <row r="474">
      <c r="F474" s="191"/>
    </row>
    <row r="475">
      <c r="F475" s="191"/>
    </row>
    <row r="476">
      <c r="F476" s="191"/>
    </row>
    <row r="477">
      <c r="F477" s="191"/>
    </row>
    <row r="478">
      <c r="F478" s="191"/>
    </row>
    <row r="479">
      <c r="F479" s="191"/>
    </row>
    <row r="480">
      <c r="F480" s="191"/>
    </row>
    <row r="481">
      <c r="F481" s="191"/>
    </row>
    <row r="482">
      <c r="F482" s="191"/>
    </row>
    <row r="483">
      <c r="F483" s="191"/>
    </row>
    <row r="484">
      <c r="F484" s="191"/>
    </row>
    <row r="485">
      <c r="F485" s="191"/>
    </row>
    <row r="486">
      <c r="F486" s="191"/>
    </row>
    <row r="487">
      <c r="F487" s="191"/>
    </row>
    <row r="488">
      <c r="F488" s="191"/>
    </row>
    <row r="489">
      <c r="F489" s="191"/>
    </row>
    <row r="490">
      <c r="F490" s="191"/>
    </row>
    <row r="491">
      <c r="F491" s="191"/>
    </row>
    <row r="492">
      <c r="F492" s="191"/>
    </row>
    <row r="493">
      <c r="F493" s="191"/>
    </row>
    <row r="494">
      <c r="F494" s="191"/>
    </row>
    <row r="495">
      <c r="F495" s="191"/>
    </row>
    <row r="496">
      <c r="F496" s="191"/>
    </row>
    <row r="497">
      <c r="F497" s="191"/>
    </row>
    <row r="498">
      <c r="F498" s="191"/>
    </row>
    <row r="499">
      <c r="F499" s="191"/>
    </row>
    <row r="500">
      <c r="F500" s="191"/>
    </row>
    <row r="501">
      <c r="F501" s="191"/>
    </row>
    <row r="502">
      <c r="F502" s="191"/>
    </row>
    <row r="503">
      <c r="F503" s="191"/>
    </row>
    <row r="504">
      <c r="F504" s="191"/>
    </row>
    <row r="505">
      <c r="F505" s="191"/>
    </row>
    <row r="506">
      <c r="F506" s="191"/>
    </row>
    <row r="507">
      <c r="F507" s="191"/>
    </row>
    <row r="508">
      <c r="F508" s="191"/>
    </row>
    <row r="509">
      <c r="F509" s="191"/>
    </row>
    <row r="510">
      <c r="F510" s="191"/>
    </row>
    <row r="511">
      <c r="F511" s="191"/>
    </row>
    <row r="512">
      <c r="F512" s="191"/>
    </row>
    <row r="513">
      <c r="F513" s="191"/>
    </row>
    <row r="514">
      <c r="F514" s="191"/>
    </row>
    <row r="515">
      <c r="F515" s="191"/>
    </row>
    <row r="516">
      <c r="F516" s="191"/>
    </row>
    <row r="517">
      <c r="F517" s="191"/>
    </row>
    <row r="518">
      <c r="F518" s="191"/>
    </row>
    <row r="519">
      <c r="F519" s="191"/>
    </row>
    <row r="520">
      <c r="F520" s="191"/>
    </row>
    <row r="521">
      <c r="F521" s="191"/>
    </row>
    <row r="522">
      <c r="F522" s="191"/>
    </row>
    <row r="523">
      <c r="F523" s="191"/>
    </row>
    <row r="524">
      <c r="F524" s="191"/>
    </row>
    <row r="525">
      <c r="F525" s="191"/>
    </row>
    <row r="526">
      <c r="F526" s="191"/>
    </row>
    <row r="527">
      <c r="F527" s="191"/>
    </row>
    <row r="528">
      <c r="F528" s="191"/>
    </row>
    <row r="529">
      <c r="F529" s="191"/>
    </row>
    <row r="530">
      <c r="F530" s="191"/>
    </row>
    <row r="531">
      <c r="F531" s="191"/>
    </row>
    <row r="532">
      <c r="F532" s="191"/>
    </row>
    <row r="533">
      <c r="F533" s="191"/>
    </row>
    <row r="534">
      <c r="F534" s="191"/>
    </row>
    <row r="535">
      <c r="F535" s="191"/>
    </row>
    <row r="536">
      <c r="F536" s="191"/>
    </row>
    <row r="537">
      <c r="F537" s="191"/>
    </row>
    <row r="538">
      <c r="F538" s="191"/>
    </row>
    <row r="539">
      <c r="F539" s="191"/>
    </row>
    <row r="540">
      <c r="F540" s="191"/>
    </row>
    <row r="541">
      <c r="F541" s="191"/>
    </row>
    <row r="542">
      <c r="F542" s="191"/>
    </row>
    <row r="543">
      <c r="F543" s="191"/>
    </row>
    <row r="544">
      <c r="F544" s="191"/>
    </row>
    <row r="545">
      <c r="F545" s="191"/>
    </row>
    <row r="546">
      <c r="F546" s="191"/>
    </row>
    <row r="547">
      <c r="F547" s="191"/>
    </row>
    <row r="548">
      <c r="F548" s="191"/>
    </row>
    <row r="549">
      <c r="F549" s="191"/>
    </row>
    <row r="550">
      <c r="F550" s="191"/>
    </row>
    <row r="551">
      <c r="F551" s="191"/>
    </row>
    <row r="552">
      <c r="F552" s="191"/>
    </row>
    <row r="553">
      <c r="F553" s="191"/>
    </row>
    <row r="554">
      <c r="F554" s="191"/>
    </row>
    <row r="555">
      <c r="F555" s="191"/>
    </row>
    <row r="556">
      <c r="F556" s="191"/>
    </row>
    <row r="557">
      <c r="F557" s="191"/>
    </row>
    <row r="558">
      <c r="F558" s="191"/>
    </row>
    <row r="559">
      <c r="F559" s="191"/>
    </row>
    <row r="560">
      <c r="F560" s="191"/>
    </row>
    <row r="561">
      <c r="F561" s="191"/>
    </row>
    <row r="562">
      <c r="F562" s="191"/>
    </row>
    <row r="563">
      <c r="F563" s="191"/>
    </row>
    <row r="564">
      <c r="F564" s="191"/>
    </row>
    <row r="565">
      <c r="F565" s="191"/>
    </row>
    <row r="566">
      <c r="F566" s="191"/>
    </row>
    <row r="567">
      <c r="F567" s="191"/>
    </row>
    <row r="568">
      <c r="F568" s="191"/>
    </row>
    <row r="569">
      <c r="F569" s="191"/>
    </row>
    <row r="570">
      <c r="F570" s="191"/>
    </row>
    <row r="571">
      <c r="F571" s="191"/>
    </row>
    <row r="572">
      <c r="F572" s="191"/>
    </row>
    <row r="573">
      <c r="F573" s="191"/>
    </row>
    <row r="574">
      <c r="F574" s="191"/>
    </row>
    <row r="575">
      <c r="F575" s="191"/>
    </row>
    <row r="576">
      <c r="F576" s="191"/>
    </row>
    <row r="577">
      <c r="F577" s="191"/>
    </row>
    <row r="578">
      <c r="F578" s="191"/>
    </row>
    <row r="579">
      <c r="F579" s="191"/>
    </row>
    <row r="580">
      <c r="F580" s="191"/>
    </row>
    <row r="581">
      <c r="F581" s="191"/>
    </row>
    <row r="582">
      <c r="F582" s="191"/>
    </row>
    <row r="583">
      <c r="F583" s="191"/>
    </row>
    <row r="584">
      <c r="F584" s="191"/>
    </row>
    <row r="585">
      <c r="F585" s="191"/>
    </row>
    <row r="586">
      <c r="F586" s="191"/>
    </row>
    <row r="587">
      <c r="F587" s="191"/>
    </row>
    <row r="588">
      <c r="F588" s="191"/>
    </row>
    <row r="589">
      <c r="F589" s="191"/>
    </row>
    <row r="590">
      <c r="F590" s="191"/>
    </row>
    <row r="591">
      <c r="F591" s="191"/>
    </row>
    <row r="592">
      <c r="F592" s="191"/>
    </row>
    <row r="593">
      <c r="F593" s="191"/>
    </row>
    <row r="594">
      <c r="F594" s="191"/>
    </row>
    <row r="595">
      <c r="F595" s="191"/>
    </row>
    <row r="596">
      <c r="F596" s="191"/>
    </row>
    <row r="597">
      <c r="F597" s="191"/>
    </row>
    <row r="598">
      <c r="F598" s="191"/>
    </row>
    <row r="599">
      <c r="F599" s="191"/>
    </row>
    <row r="600">
      <c r="F600" s="191"/>
    </row>
    <row r="601">
      <c r="F601" s="191"/>
    </row>
    <row r="602">
      <c r="F602" s="191"/>
    </row>
    <row r="603">
      <c r="F603" s="191"/>
    </row>
    <row r="604">
      <c r="F604" s="191"/>
    </row>
    <row r="605">
      <c r="F605" s="191"/>
    </row>
    <row r="606">
      <c r="F606" s="191"/>
    </row>
    <row r="607">
      <c r="F607" s="191"/>
    </row>
    <row r="608">
      <c r="F608" s="191"/>
    </row>
    <row r="609">
      <c r="F609" s="191"/>
    </row>
    <row r="610">
      <c r="F610" s="191"/>
    </row>
    <row r="611">
      <c r="F611" s="191"/>
    </row>
    <row r="612">
      <c r="F612" s="191"/>
    </row>
    <row r="613">
      <c r="F613" s="191"/>
    </row>
    <row r="614">
      <c r="F614" s="191"/>
    </row>
    <row r="615">
      <c r="F615" s="191"/>
    </row>
    <row r="616">
      <c r="F616" s="191"/>
    </row>
    <row r="617">
      <c r="F617" s="191"/>
    </row>
    <row r="618">
      <c r="F618" s="191"/>
    </row>
    <row r="619">
      <c r="F619" s="191"/>
    </row>
    <row r="620">
      <c r="F620" s="191"/>
    </row>
    <row r="621">
      <c r="F621" s="191"/>
    </row>
    <row r="622">
      <c r="F622" s="191"/>
    </row>
    <row r="623">
      <c r="F623" s="191"/>
    </row>
    <row r="624">
      <c r="F624" s="191"/>
    </row>
    <row r="625">
      <c r="F625" s="191"/>
    </row>
    <row r="626">
      <c r="F626" s="191"/>
    </row>
    <row r="627">
      <c r="F627" s="191"/>
    </row>
    <row r="628">
      <c r="F628" s="191"/>
    </row>
    <row r="629">
      <c r="F629" s="191"/>
    </row>
    <row r="630">
      <c r="F630" s="191"/>
    </row>
    <row r="631">
      <c r="F631" s="191"/>
    </row>
    <row r="632">
      <c r="F632" s="191"/>
    </row>
    <row r="633">
      <c r="F633" s="191"/>
    </row>
    <row r="634">
      <c r="F634" s="191"/>
    </row>
    <row r="635">
      <c r="F635" s="191"/>
    </row>
    <row r="636">
      <c r="F636" s="191"/>
    </row>
    <row r="637">
      <c r="F637" s="191"/>
    </row>
    <row r="638">
      <c r="F638" s="191"/>
    </row>
    <row r="639">
      <c r="F639" s="191"/>
    </row>
    <row r="640">
      <c r="F640" s="191"/>
    </row>
    <row r="641">
      <c r="F641" s="191"/>
    </row>
    <row r="642">
      <c r="F642" s="191"/>
    </row>
    <row r="643">
      <c r="F643" s="191"/>
    </row>
    <row r="644">
      <c r="F644" s="191"/>
    </row>
    <row r="645">
      <c r="F645" s="191"/>
    </row>
    <row r="646">
      <c r="F646" s="191"/>
    </row>
    <row r="647">
      <c r="F647" s="191"/>
    </row>
    <row r="648">
      <c r="F648" s="191"/>
    </row>
    <row r="649">
      <c r="F649" s="191"/>
    </row>
    <row r="650">
      <c r="F650" s="191"/>
    </row>
    <row r="651">
      <c r="F651" s="191"/>
    </row>
    <row r="652">
      <c r="F652" s="191"/>
    </row>
    <row r="653">
      <c r="F653" s="191"/>
    </row>
    <row r="654">
      <c r="F654" s="191"/>
    </row>
    <row r="655">
      <c r="F655" s="191"/>
    </row>
    <row r="656">
      <c r="F656" s="191"/>
    </row>
    <row r="657">
      <c r="F657" s="191"/>
    </row>
    <row r="658">
      <c r="F658" s="191"/>
    </row>
    <row r="659">
      <c r="F659" s="191"/>
    </row>
    <row r="660">
      <c r="F660" s="191"/>
    </row>
    <row r="661">
      <c r="F661" s="191"/>
    </row>
    <row r="662">
      <c r="F662" s="191"/>
    </row>
    <row r="663">
      <c r="F663" s="191"/>
    </row>
    <row r="664">
      <c r="F664" s="191"/>
    </row>
    <row r="665">
      <c r="F665" s="191"/>
    </row>
    <row r="666">
      <c r="F666" s="191"/>
    </row>
    <row r="667">
      <c r="F667" s="191"/>
    </row>
    <row r="668">
      <c r="F668" s="191"/>
    </row>
    <row r="669">
      <c r="F669" s="191"/>
    </row>
    <row r="670">
      <c r="F670" s="191"/>
    </row>
    <row r="671">
      <c r="F671" s="191"/>
    </row>
    <row r="672">
      <c r="F672" s="191"/>
    </row>
    <row r="673">
      <c r="F673" s="191"/>
    </row>
    <row r="674">
      <c r="F674" s="191"/>
    </row>
    <row r="675">
      <c r="F675" s="191"/>
    </row>
    <row r="676">
      <c r="F676" s="191"/>
    </row>
    <row r="677">
      <c r="F677" s="191"/>
    </row>
    <row r="678">
      <c r="F678" s="191"/>
    </row>
    <row r="679">
      <c r="F679" s="191"/>
    </row>
    <row r="680">
      <c r="F680" s="191"/>
    </row>
    <row r="681">
      <c r="F681" s="191"/>
    </row>
    <row r="682">
      <c r="F682" s="191"/>
    </row>
    <row r="683">
      <c r="F683" s="191"/>
    </row>
    <row r="684">
      <c r="F684" s="191"/>
    </row>
    <row r="685">
      <c r="F685" s="191"/>
    </row>
    <row r="686">
      <c r="F686" s="191"/>
    </row>
    <row r="687">
      <c r="F687" s="191"/>
    </row>
    <row r="688">
      <c r="F688" s="191"/>
    </row>
    <row r="689">
      <c r="F689" s="191"/>
    </row>
    <row r="690">
      <c r="F690" s="191"/>
    </row>
    <row r="691">
      <c r="F691" s="191"/>
    </row>
    <row r="692">
      <c r="F692" s="191"/>
    </row>
    <row r="693">
      <c r="F693" s="191"/>
    </row>
    <row r="694">
      <c r="F694" s="191"/>
    </row>
    <row r="695">
      <c r="F695" s="191"/>
    </row>
    <row r="696">
      <c r="F696" s="191"/>
    </row>
    <row r="697">
      <c r="F697" s="191"/>
    </row>
    <row r="698">
      <c r="F698" s="191"/>
    </row>
    <row r="699">
      <c r="F699" s="191"/>
    </row>
    <row r="700">
      <c r="F700" s="191"/>
    </row>
    <row r="701">
      <c r="F701" s="191"/>
    </row>
    <row r="702">
      <c r="F702" s="191"/>
    </row>
    <row r="703">
      <c r="F703" s="191"/>
    </row>
    <row r="704">
      <c r="F704" s="191"/>
    </row>
    <row r="705">
      <c r="F705" s="191"/>
    </row>
    <row r="706">
      <c r="F706" s="191"/>
    </row>
    <row r="707">
      <c r="F707" s="191"/>
    </row>
    <row r="708">
      <c r="F708" s="191"/>
    </row>
    <row r="709">
      <c r="F709" s="191"/>
    </row>
    <row r="710">
      <c r="F710" s="191"/>
    </row>
    <row r="711">
      <c r="F711" s="191"/>
    </row>
    <row r="712">
      <c r="F712" s="191"/>
    </row>
    <row r="713">
      <c r="F713" s="191"/>
    </row>
    <row r="714">
      <c r="F714" s="191"/>
    </row>
    <row r="715">
      <c r="F715" s="191"/>
    </row>
    <row r="716">
      <c r="F716" s="191"/>
    </row>
    <row r="717">
      <c r="F717" s="191"/>
    </row>
    <row r="718">
      <c r="F718" s="191"/>
    </row>
    <row r="719">
      <c r="F719" s="191"/>
    </row>
    <row r="720">
      <c r="F720" s="191"/>
    </row>
    <row r="721">
      <c r="F721" s="191"/>
    </row>
    <row r="722">
      <c r="F722" s="191"/>
    </row>
    <row r="723">
      <c r="F723" s="191"/>
    </row>
    <row r="724">
      <c r="F724" s="191"/>
    </row>
    <row r="725">
      <c r="F725" s="191"/>
    </row>
    <row r="726">
      <c r="F726" s="191"/>
    </row>
    <row r="727">
      <c r="F727" s="191"/>
    </row>
    <row r="728">
      <c r="F728" s="191"/>
    </row>
    <row r="729">
      <c r="F729" s="191"/>
    </row>
    <row r="730">
      <c r="F730" s="191"/>
    </row>
    <row r="731">
      <c r="F731" s="191"/>
    </row>
    <row r="732">
      <c r="F732" s="191"/>
    </row>
    <row r="733">
      <c r="F733" s="191"/>
    </row>
    <row r="734">
      <c r="F734" s="191"/>
    </row>
    <row r="735">
      <c r="F735" s="191"/>
    </row>
    <row r="736">
      <c r="F736" s="191"/>
    </row>
    <row r="737">
      <c r="F737" s="191"/>
    </row>
    <row r="738">
      <c r="F738" s="191"/>
    </row>
    <row r="739">
      <c r="F739" s="191"/>
    </row>
    <row r="740">
      <c r="F740" s="191"/>
    </row>
    <row r="741">
      <c r="F741" s="191"/>
    </row>
    <row r="742">
      <c r="F742" s="191"/>
    </row>
    <row r="743">
      <c r="F743" s="191"/>
    </row>
    <row r="744">
      <c r="F744" s="191"/>
    </row>
    <row r="745">
      <c r="F745" s="191"/>
    </row>
    <row r="746">
      <c r="F746" s="191"/>
    </row>
    <row r="747">
      <c r="F747" s="191"/>
    </row>
    <row r="748">
      <c r="F748" s="191"/>
    </row>
    <row r="749">
      <c r="F749" s="191"/>
    </row>
    <row r="750">
      <c r="F750" s="191"/>
    </row>
    <row r="751">
      <c r="F751" s="191"/>
    </row>
    <row r="752">
      <c r="F752" s="191"/>
    </row>
    <row r="753">
      <c r="F753" s="191"/>
    </row>
    <row r="754">
      <c r="F754" s="191"/>
    </row>
    <row r="755">
      <c r="F755" s="191"/>
    </row>
    <row r="756">
      <c r="F756" s="191"/>
    </row>
    <row r="757">
      <c r="F757" s="191"/>
    </row>
    <row r="758">
      <c r="F758" s="191"/>
    </row>
    <row r="759">
      <c r="F759" s="191"/>
    </row>
    <row r="760">
      <c r="F760" s="191"/>
    </row>
    <row r="761">
      <c r="F761" s="191"/>
    </row>
    <row r="762">
      <c r="F762" s="191"/>
    </row>
    <row r="763">
      <c r="F763" s="191"/>
    </row>
    <row r="764">
      <c r="F764" s="191"/>
    </row>
    <row r="765">
      <c r="F765" s="191"/>
    </row>
    <row r="766">
      <c r="F766" s="191"/>
    </row>
    <row r="767">
      <c r="F767" s="191"/>
    </row>
    <row r="768">
      <c r="F768" s="191"/>
    </row>
    <row r="769">
      <c r="F769" s="191"/>
    </row>
    <row r="770">
      <c r="F770" s="191"/>
    </row>
    <row r="771">
      <c r="F771" s="191"/>
    </row>
    <row r="772">
      <c r="F772" s="191"/>
    </row>
    <row r="773">
      <c r="F773" s="191"/>
    </row>
    <row r="774">
      <c r="F774" s="191"/>
    </row>
    <row r="775">
      <c r="F775" s="191"/>
    </row>
    <row r="776">
      <c r="F776" s="191"/>
    </row>
    <row r="777">
      <c r="F777" s="191"/>
    </row>
    <row r="778">
      <c r="F778" s="191"/>
    </row>
    <row r="779">
      <c r="F779" s="191"/>
    </row>
    <row r="780">
      <c r="F780" s="191"/>
    </row>
    <row r="781">
      <c r="F781" s="191"/>
    </row>
    <row r="782">
      <c r="F782" s="191"/>
    </row>
    <row r="783">
      <c r="F783" s="191"/>
    </row>
    <row r="784">
      <c r="F784" s="191"/>
    </row>
    <row r="785">
      <c r="F785" s="191"/>
    </row>
    <row r="786">
      <c r="F786" s="191"/>
    </row>
    <row r="787">
      <c r="F787" s="191"/>
    </row>
    <row r="788">
      <c r="F788" s="191"/>
    </row>
    <row r="789">
      <c r="F789" s="191"/>
    </row>
    <row r="790">
      <c r="F790" s="191"/>
    </row>
    <row r="791">
      <c r="F791" s="191"/>
    </row>
    <row r="792">
      <c r="F792" s="191"/>
    </row>
    <row r="793">
      <c r="F793" s="191"/>
    </row>
    <row r="794">
      <c r="F794" s="191"/>
    </row>
    <row r="795">
      <c r="F795" s="191"/>
    </row>
    <row r="796">
      <c r="F796" s="191"/>
    </row>
    <row r="797">
      <c r="F797" s="191"/>
    </row>
    <row r="798">
      <c r="F798" s="191"/>
    </row>
    <row r="799">
      <c r="F799" s="191"/>
    </row>
    <row r="800">
      <c r="F800" s="191"/>
    </row>
    <row r="801">
      <c r="F801" s="191"/>
    </row>
    <row r="802">
      <c r="F802" s="191"/>
    </row>
    <row r="803">
      <c r="F803" s="191"/>
    </row>
    <row r="804">
      <c r="F804" s="191"/>
    </row>
    <row r="805">
      <c r="F805" s="191"/>
    </row>
    <row r="806">
      <c r="F806" s="191"/>
    </row>
    <row r="807">
      <c r="F807" s="191"/>
    </row>
    <row r="808">
      <c r="F808" s="191"/>
    </row>
    <row r="809">
      <c r="F809" s="191"/>
    </row>
    <row r="810">
      <c r="F810" s="191"/>
    </row>
    <row r="811">
      <c r="F811" s="191"/>
    </row>
    <row r="812">
      <c r="F812" s="191"/>
    </row>
    <row r="813">
      <c r="F813" s="191"/>
    </row>
    <row r="814">
      <c r="F814" s="191"/>
    </row>
    <row r="815">
      <c r="F815" s="191"/>
    </row>
    <row r="816">
      <c r="F816" s="191"/>
    </row>
    <row r="817">
      <c r="F817" s="191"/>
    </row>
    <row r="818">
      <c r="F818" s="191"/>
    </row>
    <row r="819">
      <c r="F819" s="191"/>
    </row>
    <row r="820">
      <c r="F820" s="191"/>
    </row>
    <row r="821">
      <c r="F821" s="191"/>
    </row>
    <row r="822">
      <c r="F822" s="191"/>
    </row>
    <row r="823">
      <c r="F823" s="191"/>
    </row>
    <row r="824">
      <c r="F824" s="191"/>
    </row>
    <row r="825">
      <c r="F825" s="191"/>
    </row>
    <row r="826">
      <c r="F826" s="191"/>
    </row>
    <row r="827">
      <c r="F827" s="191"/>
    </row>
    <row r="828">
      <c r="F828" s="191"/>
    </row>
    <row r="829">
      <c r="F829" s="191"/>
    </row>
    <row r="830">
      <c r="F830" s="191"/>
    </row>
    <row r="831">
      <c r="F831" s="191"/>
    </row>
    <row r="832">
      <c r="F832" s="191"/>
    </row>
    <row r="833">
      <c r="F833" s="191"/>
    </row>
    <row r="834">
      <c r="F834" s="191"/>
    </row>
    <row r="835">
      <c r="F835" s="191"/>
    </row>
    <row r="836">
      <c r="F836" s="191"/>
    </row>
    <row r="837">
      <c r="F837" s="191"/>
    </row>
    <row r="838">
      <c r="F838" s="191"/>
    </row>
    <row r="839">
      <c r="F839" s="191"/>
    </row>
    <row r="840">
      <c r="F840" s="191"/>
    </row>
    <row r="841">
      <c r="F841" s="191"/>
    </row>
    <row r="842">
      <c r="F842" s="191"/>
    </row>
    <row r="843">
      <c r="F843" s="191"/>
    </row>
    <row r="844">
      <c r="F844" s="191"/>
    </row>
    <row r="845">
      <c r="F845" s="191"/>
    </row>
    <row r="846">
      <c r="F846" s="191"/>
    </row>
    <row r="847">
      <c r="F847" s="191"/>
    </row>
    <row r="848">
      <c r="F848" s="191"/>
    </row>
    <row r="849">
      <c r="F849" s="191"/>
    </row>
    <row r="850">
      <c r="F850" s="191"/>
    </row>
    <row r="851">
      <c r="F851" s="191"/>
    </row>
    <row r="852">
      <c r="F852" s="191"/>
    </row>
    <row r="853">
      <c r="F853" s="191"/>
    </row>
    <row r="854">
      <c r="F854" s="191"/>
    </row>
    <row r="855">
      <c r="F855" s="191"/>
    </row>
    <row r="856">
      <c r="F856" s="191"/>
    </row>
    <row r="857">
      <c r="F857" s="191"/>
    </row>
    <row r="858">
      <c r="F858" s="191"/>
    </row>
    <row r="859">
      <c r="F859" s="191"/>
    </row>
    <row r="860">
      <c r="F860" s="191"/>
    </row>
    <row r="861">
      <c r="F861" s="191"/>
    </row>
    <row r="862">
      <c r="F862" s="191"/>
    </row>
    <row r="863">
      <c r="F863" s="191"/>
    </row>
    <row r="864">
      <c r="F864" s="191"/>
    </row>
    <row r="865">
      <c r="F865" s="191"/>
    </row>
    <row r="866">
      <c r="F866" s="191"/>
    </row>
    <row r="867">
      <c r="F867" s="191"/>
    </row>
    <row r="868">
      <c r="F868" s="191"/>
    </row>
    <row r="869">
      <c r="F869" s="191"/>
    </row>
    <row r="870">
      <c r="F870" s="191"/>
    </row>
    <row r="871">
      <c r="F871" s="191"/>
    </row>
    <row r="872">
      <c r="F872" s="191"/>
    </row>
    <row r="873">
      <c r="F873" s="191"/>
    </row>
    <row r="874">
      <c r="F874" s="191"/>
    </row>
    <row r="875">
      <c r="F875" s="191"/>
    </row>
    <row r="876">
      <c r="F876" s="191"/>
    </row>
    <row r="877">
      <c r="F877" s="191"/>
    </row>
    <row r="878">
      <c r="F878" s="191"/>
    </row>
    <row r="879">
      <c r="F879" s="191"/>
    </row>
    <row r="880">
      <c r="F880" s="191"/>
    </row>
    <row r="881">
      <c r="F881" s="191"/>
    </row>
    <row r="882">
      <c r="F882" s="191"/>
    </row>
    <row r="883">
      <c r="F883" s="191"/>
    </row>
    <row r="884">
      <c r="F884" s="191"/>
    </row>
    <row r="885">
      <c r="F885" s="191"/>
    </row>
    <row r="886">
      <c r="F886" s="191"/>
    </row>
    <row r="887">
      <c r="F887" s="191"/>
    </row>
    <row r="888">
      <c r="F888" s="191"/>
    </row>
    <row r="889">
      <c r="F889" s="191"/>
    </row>
    <row r="890">
      <c r="F890" s="191"/>
    </row>
    <row r="891">
      <c r="F891" s="191"/>
    </row>
    <row r="892">
      <c r="F892" s="191"/>
    </row>
    <row r="893">
      <c r="F893" s="191"/>
    </row>
    <row r="894">
      <c r="F894" s="191"/>
    </row>
    <row r="895">
      <c r="F895" s="191"/>
    </row>
    <row r="896">
      <c r="F896" s="191"/>
    </row>
    <row r="897">
      <c r="F897" s="191"/>
    </row>
    <row r="898">
      <c r="F898" s="191"/>
    </row>
    <row r="899">
      <c r="F899" s="191"/>
    </row>
    <row r="900">
      <c r="F900" s="191"/>
    </row>
    <row r="901">
      <c r="F901" s="191"/>
    </row>
    <row r="902">
      <c r="F902" s="191"/>
    </row>
    <row r="903">
      <c r="F903" s="191"/>
    </row>
    <row r="904">
      <c r="F904" s="191"/>
    </row>
    <row r="905">
      <c r="F905" s="191"/>
    </row>
    <row r="906">
      <c r="F906" s="191"/>
    </row>
    <row r="907">
      <c r="F907" s="191"/>
    </row>
    <row r="908">
      <c r="F908" s="191"/>
    </row>
    <row r="909">
      <c r="F909" s="191"/>
    </row>
    <row r="910">
      <c r="F910" s="191"/>
    </row>
    <row r="911">
      <c r="F911" s="191"/>
    </row>
    <row r="912">
      <c r="F912" s="191"/>
    </row>
    <row r="913">
      <c r="F913" s="191"/>
    </row>
    <row r="914">
      <c r="F914" s="191"/>
    </row>
    <row r="915">
      <c r="F915" s="191"/>
    </row>
    <row r="916">
      <c r="F916" s="191"/>
    </row>
    <row r="917">
      <c r="F917" s="191"/>
    </row>
    <row r="918">
      <c r="F918" s="191"/>
    </row>
    <row r="919">
      <c r="F919" s="191"/>
    </row>
    <row r="920">
      <c r="F920" s="191"/>
    </row>
    <row r="921">
      <c r="F921" s="191"/>
    </row>
    <row r="922">
      <c r="F922" s="191"/>
    </row>
    <row r="923">
      <c r="F923" s="191"/>
    </row>
    <row r="924">
      <c r="F924" s="191"/>
    </row>
    <row r="925">
      <c r="F925" s="191"/>
    </row>
    <row r="926">
      <c r="F926" s="191"/>
    </row>
    <row r="927">
      <c r="F927" s="191"/>
    </row>
    <row r="928">
      <c r="F928" s="191"/>
    </row>
    <row r="929">
      <c r="F929" s="191"/>
    </row>
    <row r="930">
      <c r="F930" s="191"/>
    </row>
    <row r="931">
      <c r="F931" s="191"/>
    </row>
    <row r="932">
      <c r="F932" s="191"/>
    </row>
    <row r="933">
      <c r="F933" s="191"/>
    </row>
    <row r="934">
      <c r="F934" s="191"/>
    </row>
    <row r="935">
      <c r="F935" s="191"/>
    </row>
    <row r="936">
      <c r="F936" s="191"/>
    </row>
    <row r="937">
      <c r="F937" s="191"/>
    </row>
    <row r="938">
      <c r="F938" s="191"/>
    </row>
    <row r="939">
      <c r="F939" s="191"/>
    </row>
    <row r="940">
      <c r="F940" s="191"/>
    </row>
    <row r="941">
      <c r="F941" s="191"/>
    </row>
    <row r="942">
      <c r="F942" s="191"/>
    </row>
    <row r="943">
      <c r="F943" s="191"/>
    </row>
    <row r="944">
      <c r="F944" s="191"/>
    </row>
    <row r="945">
      <c r="F945" s="191"/>
    </row>
    <row r="946">
      <c r="F946" s="191"/>
    </row>
    <row r="947">
      <c r="F947" s="191"/>
    </row>
    <row r="948">
      <c r="F948" s="191"/>
    </row>
    <row r="949">
      <c r="F949" s="191"/>
    </row>
    <row r="950">
      <c r="F950" s="191"/>
    </row>
    <row r="951">
      <c r="F951" s="191"/>
    </row>
    <row r="952">
      <c r="F952" s="191"/>
    </row>
    <row r="953">
      <c r="F953" s="191"/>
    </row>
    <row r="954">
      <c r="F954" s="191"/>
    </row>
    <row r="955">
      <c r="F955" s="191"/>
    </row>
    <row r="956">
      <c r="F956" s="191"/>
    </row>
    <row r="957">
      <c r="F957" s="191"/>
    </row>
    <row r="958">
      <c r="F958" s="191"/>
    </row>
    <row r="959">
      <c r="F959" s="191"/>
    </row>
    <row r="960">
      <c r="F960" s="191"/>
    </row>
    <row r="961">
      <c r="F961" s="191"/>
    </row>
    <row r="962">
      <c r="F962" s="191"/>
    </row>
    <row r="963">
      <c r="F963" s="191"/>
    </row>
    <row r="964">
      <c r="F964" s="191"/>
    </row>
    <row r="965">
      <c r="F965" s="191"/>
    </row>
    <row r="966">
      <c r="F966" s="191"/>
    </row>
    <row r="967">
      <c r="F967" s="191"/>
    </row>
    <row r="968">
      <c r="F968" s="191"/>
    </row>
    <row r="969">
      <c r="F969" s="191"/>
    </row>
    <row r="970">
      <c r="F970" s="191"/>
    </row>
    <row r="971">
      <c r="F971" s="191"/>
    </row>
    <row r="972">
      <c r="F972" s="191"/>
    </row>
    <row r="973">
      <c r="F973" s="191"/>
    </row>
    <row r="974">
      <c r="F974" s="191"/>
    </row>
    <row r="975">
      <c r="F975" s="191"/>
    </row>
    <row r="976">
      <c r="F976" s="191"/>
    </row>
    <row r="977">
      <c r="F977" s="191"/>
    </row>
    <row r="978">
      <c r="F978" s="191"/>
    </row>
    <row r="979">
      <c r="F979" s="191"/>
    </row>
    <row r="980">
      <c r="F980" s="191"/>
    </row>
    <row r="981">
      <c r="F981" s="191"/>
    </row>
    <row r="982">
      <c r="F982" s="191"/>
    </row>
    <row r="983">
      <c r="F983" s="191"/>
    </row>
    <row r="984">
      <c r="F984" s="191"/>
    </row>
    <row r="985">
      <c r="F985" s="191"/>
    </row>
    <row r="986">
      <c r="F986" s="191"/>
    </row>
    <row r="987">
      <c r="F987" s="191"/>
    </row>
    <row r="988">
      <c r="F988" s="191"/>
    </row>
    <row r="989">
      <c r="F989" s="191"/>
    </row>
    <row r="990">
      <c r="F990" s="191"/>
    </row>
    <row r="991">
      <c r="F991" s="191"/>
    </row>
    <row r="992">
      <c r="F992" s="191"/>
    </row>
    <row r="993">
      <c r="F993" s="191"/>
    </row>
    <row r="994">
      <c r="F994" s="191"/>
    </row>
    <row r="995">
      <c r="F995" s="191"/>
    </row>
    <row r="996">
      <c r="F996" s="191"/>
    </row>
    <row r="997">
      <c r="F997" s="191"/>
    </row>
    <row r="998">
      <c r="F998" s="191"/>
    </row>
    <row r="999">
      <c r="F999" s="191"/>
    </row>
    <row r="1000">
      <c r="F1000" s="191"/>
    </row>
  </sheetData>
  <dataValidations>
    <dataValidation type="list" allowBlank="1" showErrorMessage="1" sqref="F2:F18">
      <formula1>"1.1.0,1.0.0,1.2.0"</formula1>
    </dataValidation>
    <dataValidation type="list" allowBlank="1" showErrorMessage="1" sqref="C2:C18">
      <formula1>"BUSINESS,DOMAIN,PROXY,RECEPTION"</formula1>
    </dataValidation>
    <dataValidation type="list" allowBlank="1" showErrorMessage="1" sqref="B2:B18">
      <formula1>"RAML,OAS"</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42.0"/>
    <col customWidth="1" min="2" max="2" width="74.44"/>
  </cols>
  <sheetData>
    <row r="1">
      <c r="A1" s="192" t="s">
        <v>12</v>
      </c>
      <c r="B1" s="2" t="s">
        <v>4487</v>
      </c>
    </row>
    <row r="2">
      <c r="A2" s="192" t="s">
        <v>4488</v>
      </c>
      <c r="B2" s="192" t="s">
        <v>4489</v>
      </c>
    </row>
    <row r="3">
      <c r="A3" s="192" t="s">
        <v>4490</v>
      </c>
      <c r="B3" s="192" t="s">
        <v>4491</v>
      </c>
    </row>
    <row r="4">
      <c r="A4" s="192" t="s">
        <v>4492</v>
      </c>
      <c r="B4" s="192" t="str">
        <f>IFERROR(VLOOKUP(A4, develop!H:N, 7, FALSE), "Not found path.")</f>
        <v>POST /customerManagement/customerAccessEntitlement/v1/accessArrangement/activate</v>
      </c>
    </row>
    <row r="5">
      <c r="A5" s="192" t="s">
        <v>4495</v>
      </c>
      <c r="B5" s="192" t="str">
        <f>IFERROR(VLOOKUP(A5, develop!H:N, 7, FALSE), "Not found path.")</f>
        <v>POST /documentManagementAndArchive/documentServices/v1/documentService/retrieve</v>
      </c>
    </row>
    <row r="6">
      <c r="A6" s="192" t="s">
        <v>4496</v>
      </c>
      <c r="B6" s="192" t="str">
        <f>IFERROR(VLOOKUP(A6, develop!H:N, 7, FALSE), "Not found path.")</f>
        <v>POST /documentManagementAndArchive/documentServices/v1/documentService/initiate</v>
      </c>
    </row>
    <row r="7">
      <c r="A7" s="192" t="s">
        <v>4497</v>
      </c>
      <c r="B7" s="192" t="str">
        <f>IFERROR(VLOOKUP(A7, develop!H:N, 7, FALSE), "Not found path.")</f>
        <v>PATCH /documentManagementAndArchive/documentServices/v1/documentService/update</v>
      </c>
    </row>
    <row r="8">
      <c r="A8" s="192" t="s">
        <v>4498</v>
      </c>
      <c r="B8" s="192" t="str">
        <f>IFERROR(VLOOKUP(A8, develop!H:N, 7, FALSE), "Not found path.")</f>
        <v>POST /sales/partyLifecycleManagement/v1/housingUnit/retrieve</v>
      </c>
    </row>
    <row r="9">
      <c r="A9" s="192" t="s">
        <v>4499</v>
      </c>
      <c r="B9" s="192" t="str">
        <f>IFERROR(VLOOKUP(A9, develop!H:N, 7, FALSE), "Not found path.")</f>
        <v>POST /system/customerManagement/customerAccessEntitlement/v1/accessArrangement/activate</v>
      </c>
    </row>
    <row r="10">
      <c r="A10" s="192" t="s">
        <v>2949</v>
      </c>
      <c r="B10" s="192" t="str">
        <f>IFERROR(VLOOKUP(A10, develop!H:N, 7, FALSE), "Not found path.")</f>
        <v>POST /system/documentManagementAndArchive/documentServices/v1/documentServiceProcedure/register</v>
      </c>
    </row>
    <row r="11">
      <c r="A11" s="192" t="s">
        <v>4500</v>
      </c>
      <c r="B11" s="192" t="str">
        <f>IFERROR(VLOOKUP(A11, develop!H:N, 7, FALSE), "Not found path.")</f>
        <v>POST /system/documentManagementAndArchive/documentServices/v1/documentService/retrieve</v>
      </c>
    </row>
    <row r="12">
      <c r="A12" s="192" t="s">
        <v>4503</v>
      </c>
      <c r="B12" s="192" t="str">
        <f>IFERROR(VLOOKUP(A12, develop!H:N, 7, FALSE), "Not found path.")</f>
        <v>POST /system/documentManagementAndArchive/documentServices/v1/documentService/initiate</v>
      </c>
    </row>
    <row r="13">
      <c r="A13" s="192" t="s">
        <v>4504</v>
      </c>
      <c r="B13" s="192" t="str">
        <f>IFERROR(VLOOKUP(A13, develop!H:N, 7, FALSE), "Not found path.")</f>
        <v>PATCH /system/documentManagementAndArchive/documentServices/v1/documentService/update</v>
      </c>
    </row>
    <row r="14">
      <c r="A14" s="192" t="s">
        <v>3060</v>
      </c>
      <c r="B14" s="192" t="str">
        <f>IFERROR(VLOOKUP(A14, develop!H:N, 7, FALSE), "Not found path.")</f>
        <v>POST /system/operationalServices/issuedDeviceAdministration/v1/biometricAssignment/initiate</v>
      </c>
    </row>
    <row r="15">
      <c r="A15" s="193" t="s">
        <v>4407</v>
      </c>
      <c r="B15" s="192" t="str">
        <f>IFERROR(VLOOKUP(A15, develop!H:N, 7, FALSE), "Not found path.")</f>
        <v>POST /system/partyReference/partyRetailReferenceDataDirectory/v1/partyRetailReferenceDataDirectoryEntry/retrieve</v>
      </c>
    </row>
    <row r="16">
      <c r="A16" s="193" t="s">
        <v>4506</v>
      </c>
      <c r="B16" s="192" t="str">
        <f>IFERROR(VLOOKUP(A16, develop!H:N, 7, FALSE), "Not found path.")</f>
        <v>POST /system/cards/creditCard/v1/creditCardApplication/notify</v>
      </c>
    </row>
    <row r="17">
      <c r="A17" s="193" t="s">
        <v>4507</v>
      </c>
      <c r="B17" s="192" t="str">
        <f>IFERROR(VLOOKUP(A17, develop!H:N, 7, FALSE), "Not found path.")</f>
        <v>POST /system/sales/partyLifecycleManagement/v1/housingUnit/retrieve</v>
      </c>
    </row>
    <row r="18">
      <c r="A18" s="192" t="s">
        <v>4508</v>
      </c>
      <c r="B18" s="192" t="str">
        <f>IFERROR(VLOOKUP(A18, develop!H:N, 7, FALSE), "Not found path.")</f>
        <v>POST /experience/documentManagementAndArchive/documentServices/v1/documentService/retrieve</v>
      </c>
    </row>
    <row r="19">
      <c r="A19" s="192" t="s">
        <v>4509</v>
      </c>
      <c r="B19" s="192" t="str">
        <f>IFERROR(VLOOKUP(A19, develop!H:N, 7, FALSE), "Not found path.")</f>
        <v>POST /experience/documentManagementAndArchive/documentServices/v1/documentService/initiate</v>
      </c>
    </row>
    <row r="20">
      <c r="A20" s="192" t="s">
        <v>4510</v>
      </c>
      <c r="B20" s="192" t="str">
        <f>IFERROR(VLOOKUP(A20, develop!H:N, 7, FALSE), "Not found path.")</f>
        <v>PATCH /experience/documentManagementAndArchive/documentServices/v1/documentService/update</v>
      </c>
    </row>
    <row r="21">
      <c r="A21" s="192" t="s">
        <v>4511</v>
      </c>
      <c r="B21" s="192" t="s">
        <v>4512</v>
      </c>
    </row>
    <row r="22">
      <c r="A22" s="192" t="s">
        <v>4513</v>
      </c>
      <c r="B22" s="192" t="s">
        <v>4514</v>
      </c>
    </row>
    <row r="23">
      <c r="A23" s="192" t="s">
        <v>4515</v>
      </c>
      <c r="B23" s="192" t="str">
        <f>IFERROR(VLOOKUP(A23, develop!H:N, 7, FALSE), "Not found path.")</f>
        <v>POST /experience/sales/partyLifecycleManagement/v1/housingUnit/retrieve</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5" max="5" width="42.0"/>
    <col customWidth="1" min="11" max="11" width="62.44"/>
    <col customWidth="1" min="13" max="13" width="45.22"/>
  </cols>
  <sheetData>
    <row r="1">
      <c r="A1" s="69" t="s">
        <v>2703</v>
      </c>
      <c r="B1" s="69" t="s">
        <v>2704</v>
      </c>
      <c r="C1" s="68" t="s">
        <v>2705</v>
      </c>
      <c r="D1" s="69" t="s">
        <v>2706</v>
      </c>
      <c r="E1" s="69" t="s">
        <v>2707</v>
      </c>
      <c r="F1" s="69" t="s">
        <v>2708</v>
      </c>
      <c r="G1" s="69" t="s">
        <v>2709</v>
      </c>
      <c r="H1" s="69" t="s">
        <v>2710</v>
      </c>
      <c r="I1" s="69" t="s">
        <v>2711</v>
      </c>
      <c r="J1" s="69" t="s">
        <v>2712</v>
      </c>
      <c r="K1" s="69" t="s">
        <v>2714</v>
      </c>
      <c r="L1" s="69" t="s">
        <v>2716</v>
      </c>
      <c r="M1" s="69" t="s">
        <v>2717</v>
      </c>
      <c r="N1" s="30"/>
      <c r="O1" s="30"/>
      <c r="P1" s="30"/>
      <c r="Q1" s="30"/>
      <c r="R1" s="30"/>
      <c r="S1" s="30"/>
      <c r="T1" s="30"/>
      <c r="U1" s="30"/>
      <c r="V1" s="30"/>
      <c r="W1" s="30"/>
      <c r="X1" s="30"/>
      <c r="Y1" s="30"/>
      <c r="Z1" s="30"/>
    </row>
    <row r="2">
      <c r="A2" s="72" t="s">
        <v>4526</v>
      </c>
      <c r="B2" s="72" t="s">
        <v>106</v>
      </c>
      <c r="C2" s="119" t="s">
        <v>41</v>
      </c>
      <c r="D2" s="119" t="s">
        <v>42</v>
      </c>
      <c r="E2" s="72" t="s">
        <v>101</v>
      </c>
      <c r="F2" s="72" t="s">
        <v>316</v>
      </c>
      <c r="G2" s="72" t="s">
        <v>162</v>
      </c>
      <c r="H2" s="72" t="s">
        <v>352</v>
      </c>
      <c r="I2" s="72" t="s">
        <v>48</v>
      </c>
      <c r="J2" s="119" t="s">
        <v>61</v>
      </c>
      <c r="K2" s="72" t="s">
        <v>319</v>
      </c>
      <c r="L2" s="72" t="s">
        <v>4529</v>
      </c>
      <c r="M2" s="72" t="s">
        <v>4530</v>
      </c>
      <c r="N2" s="30"/>
      <c r="O2" s="30"/>
      <c r="P2" s="30"/>
      <c r="Q2" s="30"/>
      <c r="R2" s="30"/>
      <c r="S2" s="30"/>
      <c r="T2" s="30"/>
      <c r="U2" s="30"/>
      <c r="V2" s="30"/>
      <c r="W2" s="30"/>
      <c r="X2" s="30"/>
      <c r="Y2" s="30"/>
      <c r="Z2" s="30"/>
    </row>
    <row r="3">
      <c r="A3" s="72" t="s">
        <v>4531</v>
      </c>
      <c r="B3" s="72" t="s">
        <v>664</v>
      </c>
      <c r="C3" s="119" t="s">
        <v>41</v>
      </c>
      <c r="D3" s="194" t="s">
        <v>119</v>
      </c>
      <c r="E3" s="72" t="s">
        <v>661</v>
      </c>
      <c r="F3" s="72" t="s">
        <v>1632</v>
      </c>
      <c r="G3" s="72" t="s">
        <v>162</v>
      </c>
      <c r="H3" s="72" t="s">
        <v>1614</v>
      </c>
      <c r="I3" s="72" t="s">
        <v>48</v>
      </c>
      <c r="J3" s="194" t="s">
        <v>49</v>
      </c>
      <c r="K3" s="72" t="s">
        <v>1633</v>
      </c>
      <c r="L3" s="72" t="s">
        <v>4532</v>
      </c>
      <c r="M3" s="72" t="s">
        <v>1634</v>
      </c>
      <c r="N3" s="30"/>
      <c r="O3" s="30"/>
      <c r="P3" s="30"/>
      <c r="Q3" s="30"/>
      <c r="R3" s="30"/>
      <c r="S3" s="30"/>
      <c r="T3" s="30"/>
      <c r="U3" s="30"/>
      <c r="V3" s="30"/>
      <c r="W3" s="30"/>
      <c r="X3" s="30"/>
      <c r="Y3" s="30"/>
      <c r="Z3" s="30"/>
    </row>
    <row r="4">
      <c r="A4" s="72" t="s">
        <v>4533</v>
      </c>
      <c r="B4" s="72" t="s">
        <v>1215</v>
      </c>
      <c r="C4" s="119" t="s">
        <v>41</v>
      </c>
      <c r="D4" s="194" t="s">
        <v>811</v>
      </c>
      <c r="E4" s="72" t="s">
        <v>1214</v>
      </c>
      <c r="F4" s="72" t="s">
        <v>4263</v>
      </c>
      <c r="G4" s="72" t="s">
        <v>162</v>
      </c>
      <c r="H4" s="72" t="s">
        <v>3197</v>
      </c>
      <c r="I4" s="72" t="s">
        <v>48</v>
      </c>
      <c r="J4" s="194" t="s">
        <v>428</v>
      </c>
      <c r="K4" s="72" t="s">
        <v>1414</v>
      </c>
      <c r="L4" s="72" t="s">
        <v>4534</v>
      </c>
      <c r="M4" s="72" t="s">
        <v>1415</v>
      </c>
      <c r="N4" s="30"/>
      <c r="O4" s="30"/>
      <c r="P4" s="30"/>
      <c r="Q4" s="30"/>
      <c r="R4" s="30"/>
      <c r="S4" s="30"/>
      <c r="T4" s="30"/>
      <c r="U4" s="30"/>
      <c r="V4" s="30"/>
      <c r="W4" s="30"/>
      <c r="X4" s="30"/>
      <c r="Y4" s="30"/>
      <c r="Z4" s="30"/>
    </row>
    <row r="5">
      <c r="A5" s="72" t="s">
        <v>4537</v>
      </c>
      <c r="B5" s="72" t="s">
        <v>1223</v>
      </c>
      <c r="C5" s="119" t="s">
        <v>41</v>
      </c>
      <c r="D5" s="194" t="s">
        <v>811</v>
      </c>
      <c r="E5" s="72" t="s">
        <v>1222</v>
      </c>
      <c r="F5" s="72" t="s">
        <v>4405</v>
      </c>
      <c r="G5" s="72" t="s">
        <v>162</v>
      </c>
      <c r="H5" s="72" t="s">
        <v>3395</v>
      </c>
      <c r="I5" s="72" t="s">
        <v>48</v>
      </c>
      <c r="J5" s="194" t="s">
        <v>49</v>
      </c>
      <c r="K5" s="72" t="s">
        <v>1544</v>
      </c>
      <c r="L5" s="72" t="s">
        <v>4539</v>
      </c>
      <c r="M5" s="72" t="s">
        <v>1545</v>
      </c>
      <c r="N5" s="30"/>
      <c r="O5" s="30"/>
      <c r="P5" s="30"/>
      <c r="Q5" s="30"/>
      <c r="R5" s="30"/>
      <c r="S5" s="30"/>
      <c r="T5" s="30"/>
      <c r="U5" s="30"/>
      <c r="V5" s="30"/>
      <c r="W5" s="30"/>
      <c r="X5" s="30"/>
      <c r="Y5" s="30"/>
      <c r="Z5" s="30"/>
    </row>
    <row r="6">
      <c r="A6" s="72" t="s">
        <v>4540</v>
      </c>
      <c r="B6" s="72" t="s">
        <v>1245</v>
      </c>
      <c r="C6" s="119" t="s">
        <v>41</v>
      </c>
      <c r="D6" s="194" t="s">
        <v>811</v>
      </c>
      <c r="E6" s="72" t="s">
        <v>1243</v>
      </c>
      <c r="F6" s="72" t="s">
        <v>3483</v>
      </c>
      <c r="G6" s="72" t="s">
        <v>162</v>
      </c>
      <c r="H6" s="72" t="s">
        <v>3463</v>
      </c>
      <c r="I6" s="72" t="s">
        <v>48</v>
      </c>
      <c r="J6" s="194" t="s">
        <v>49</v>
      </c>
      <c r="K6" s="72" t="s">
        <v>1633</v>
      </c>
      <c r="L6" s="72" t="s">
        <v>3484</v>
      </c>
      <c r="M6" s="72" t="s">
        <v>1634</v>
      </c>
      <c r="N6" s="30"/>
      <c r="O6" s="30"/>
      <c r="P6" s="30"/>
      <c r="Q6" s="30"/>
      <c r="R6" s="30"/>
      <c r="S6" s="30"/>
      <c r="T6" s="30"/>
      <c r="U6" s="30"/>
      <c r="V6" s="30"/>
      <c r="W6" s="30"/>
      <c r="X6" s="30"/>
      <c r="Y6" s="30"/>
      <c r="Z6" s="30"/>
    </row>
    <row r="7">
      <c r="A7" s="72" t="s">
        <v>4541</v>
      </c>
      <c r="B7" s="72" t="s">
        <v>1670</v>
      </c>
      <c r="C7" s="119" t="s">
        <v>112</v>
      </c>
      <c r="D7" s="194" t="s">
        <v>1417</v>
      </c>
      <c r="E7" s="72" t="s">
        <v>1667</v>
      </c>
      <c r="F7" s="72" t="s">
        <v>4542</v>
      </c>
      <c r="G7" s="72" t="s">
        <v>162</v>
      </c>
      <c r="H7" s="72" t="s">
        <v>4543</v>
      </c>
      <c r="I7" s="72" t="s">
        <v>48</v>
      </c>
      <c r="J7" s="194" t="s">
        <v>61</v>
      </c>
      <c r="K7" s="72" t="s">
        <v>1337</v>
      </c>
      <c r="L7" s="72" t="s">
        <v>4544</v>
      </c>
      <c r="M7" s="72" t="s">
        <v>4545</v>
      </c>
      <c r="N7" s="30"/>
      <c r="O7" s="30"/>
      <c r="P7" s="30"/>
      <c r="Q7" s="30"/>
      <c r="R7" s="30"/>
      <c r="S7" s="30"/>
      <c r="T7" s="30"/>
      <c r="U7" s="30"/>
      <c r="V7" s="30"/>
      <c r="W7" s="30"/>
      <c r="X7" s="30"/>
      <c r="Y7" s="30"/>
      <c r="Z7" s="30"/>
    </row>
    <row r="8">
      <c r="A8" s="72" t="s">
        <v>4547</v>
      </c>
      <c r="B8" s="72" t="s">
        <v>1678</v>
      </c>
      <c r="C8" s="119" t="s">
        <v>112</v>
      </c>
      <c r="D8" s="194" t="s">
        <v>1417</v>
      </c>
      <c r="E8" s="72" t="s">
        <v>1677</v>
      </c>
      <c r="F8" s="72" t="s">
        <v>4549</v>
      </c>
      <c r="G8" s="72" t="s">
        <v>162</v>
      </c>
      <c r="H8" s="72" t="s">
        <v>4550</v>
      </c>
      <c r="I8" s="72" t="s">
        <v>48</v>
      </c>
      <c r="J8" s="194" t="s">
        <v>49</v>
      </c>
      <c r="K8" s="72" t="s">
        <v>1544</v>
      </c>
      <c r="L8" s="72" t="s">
        <v>4551</v>
      </c>
      <c r="M8" s="72" t="s">
        <v>1545</v>
      </c>
      <c r="N8" s="30"/>
      <c r="O8" s="30"/>
      <c r="P8" s="30"/>
      <c r="Q8" s="30"/>
      <c r="R8" s="30"/>
      <c r="S8" s="30"/>
      <c r="T8" s="30"/>
      <c r="U8" s="30"/>
      <c r="V8" s="30"/>
      <c r="W8" s="30"/>
      <c r="X8" s="30"/>
      <c r="Y8" s="30"/>
      <c r="Z8" s="30"/>
    </row>
    <row r="9">
      <c r="A9" s="30"/>
      <c r="B9" s="30"/>
      <c r="C9" s="74"/>
      <c r="D9" s="30"/>
      <c r="E9" s="30"/>
      <c r="F9" s="30"/>
      <c r="G9" s="30"/>
      <c r="H9" s="30"/>
      <c r="I9" s="30"/>
      <c r="J9" s="30"/>
      <c r="K9" s="30"/>
      <c r="L9" s="30"/>
      <c r="M9" s="30"/>
      <c r="N9" s="30"/>
      <c r="O9" s="30"/>
      <c r="P9" s="30"/>
      <c r="Q9" s="30"/>
      <c r="R9" s="30"/>
      <c r="S9" s="30"/>
      <c r="T9" s="30"/>
      <c r="U9" s="30"/>
      <c r="V9" s="30"/>
      <c r="W9" s="30"/>
      <c r="X9" s="30"/>
      <c r="Y9" s="30"/>
      <c r="Z9" s="30"/>
    </row>
    <row r="10">
      <c r="A10" s="30"/>
      <c r="B10" s="30"/>
      <c r="C10" s="74"/>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74"/>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74"/>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74"/>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74"/>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74"/>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74"/>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74"/>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74"/>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74"/>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74"/>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30"/>
      <c r="C21" s="74"/>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30"/>
      <c r="C22" s="74"/>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74"/>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74"/>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74"/>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74"/>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74"/>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74"/>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74"/>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74"/>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74"/>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74"/>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74"/>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74"/>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74"/>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74"/>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74"/>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74"/>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74"/>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74"/>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74"/>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74"/>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74"/>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74"/>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74"/>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74"/>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74"/>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74"/>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74"/>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74"/>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74"/>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74"/>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74"/>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74"/>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74"/>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74"/>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74"/>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74"/>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74"/>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74"/>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74"/>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74"/>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74"/>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74"/>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74"/>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74"/>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74"/>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74"/>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74"/>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74"/>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74"/>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74"/>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74"/>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74"/>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74"/>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74"/>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74"/>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74"/>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74"/>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74"/>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74"/>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74"/>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74"/>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74"/>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74"/>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74"/>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74"/>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74"/>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74"/>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74"/>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74"/>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74"/>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74"/>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74"/>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74"/>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74"/>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74"/>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74"/>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74"/>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74"/>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74"/>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74"/>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74"/>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74"/>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74"/>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74"/>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74"/>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74"/>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74"/>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74"/>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74"/>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74"/>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74"/>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74"/>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74"/>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74"/>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74"/>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74"/>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74"/>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74"/>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74"/>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74"/>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74"/>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74"/>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74"/>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74"/>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74"/>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74"/>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74"/>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74"/>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74"/>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74"/>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74"/>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74"/>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74"/>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74"/>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74"/>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74"/>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74"/>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74"/>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74"/>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74"/>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74"/>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74"/>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74"/>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74"/>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74"/>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74"/>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74"/>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74"/>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74"/>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74"/>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74"/>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74"/>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74"/>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74"/>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74"/>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74"/>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74"/>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74"/>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74"/>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74"/>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74"/>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74"/>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74"/>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74"/>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74"/>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74"/>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74"/>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74"/>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74"/>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74"/>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74"/>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74"/>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74"/>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74"/>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74"/>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74"/>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74"/>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74"/>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74"/>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74"/>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74"/>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74"/>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74"/>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74"/>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74"/>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74"/>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74"/>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74"/>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74"/>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74"/>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74"/>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74"/>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74"/>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74"/>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74"/>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74"/>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74"/>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74"/>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74"/>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74"/>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74"/>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74"/>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74"/>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74"/>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74"/>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74"/>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74"/>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74"/>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74"/>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74"/>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74"/>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74"/>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74"/>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74"/>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74"/>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74"/>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74"/>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74"/>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74"/>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74"/>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74"/>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74"/>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74"/>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74"/>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74"/>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74"/>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74"/>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74"/>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74"/>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74"/>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74"/>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74"/>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74"/>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74"/>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74"/>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74"/>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74"/>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74"/>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74"/>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74"/>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74"/>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74"/>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74"/>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74"/>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74"/>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74"/>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74"/>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74"/>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74"/>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74"/>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74"/>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74"/>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74"/>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74"/>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74"/>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74"/>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74"/>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74"/>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74"/>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74"/>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74"/>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74"/>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74"/>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74"/>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74"/>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74"/>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74"/>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74"/>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74"/>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74"/>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74"/>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74"/>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74"/>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74"/>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74"/>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74"/>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74"/>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74"/>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74"/>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74"/>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74"/>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74"/>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74"/>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74"/>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74"/>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74"/>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74"/>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74"/>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74"/>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74"/>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74"/>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74"/>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74"/>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74"/>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74"/>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74"/>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74"/>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74"/>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74"/>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74"/>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74"/>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74"/>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74"/>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74"/>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74"/>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74"/>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74"/>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74"/>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74"/>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74"/>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74"/>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74"/>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74"/>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74"/>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74"/>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74"/>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74"/>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74"/>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74"/>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74"/>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74"/>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74"/>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74"/>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74"/>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74"/>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74"/>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74"/>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74"/>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74"/>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74"/>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74"/>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74"/>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74"/>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74"/>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74"/>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74"/>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74"/>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74"/>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74"/>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74"/>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74"/>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74"/>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74"/>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74"/>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74"/>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74"/>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74"/>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74"/>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74"/>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74"/>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74"/>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74"/>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74"/>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74"/>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74"/>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74"/>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74"/>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74"/>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74"/>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74"/>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74"/>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74"/>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74"/>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74"/>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74"/>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74"/>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74"/>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74"/>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74"/>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74"/>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74"/>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74"/>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74"/>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74"/>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74"/>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74"/>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74"/>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74"/>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74"/>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74"/>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74"/>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74"/>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74"/>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74"/>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74"/>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74"/>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74"/>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74"/>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74"/>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74"/>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74"/>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74"/>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74"/>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74"/>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74"/>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74"/>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74"/>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74"/>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74"/>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74"/>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74"/>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74"/>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74"/>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74"/>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74"/>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74"/>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74"/>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74"/>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74"/>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74"/>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74"/>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74"/>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74"/>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74"/>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74"/>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74"/>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74"/>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74"/>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74"/>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74"/>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74"/>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74"/>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74"/>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74"/>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74"/>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74"/>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74"/>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74"/>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74"/>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74"/>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74"/>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74"/>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74"/>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74"/>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74"/>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74"/>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74"/>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74"/>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74"/>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74"/>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74"/>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74"/>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74"/>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74"/>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74"/>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74"/>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74"/>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74"/>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74"/>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74"/>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74"/>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74"/>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74"/>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74"/>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74"/>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74"/>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74"/>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74"/>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74"/>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74"/>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74"/>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74"/>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74"/>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74"/>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74"/>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74"/>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74"/>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74"/>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74"/>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74"/>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74"/>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74"/>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74"/>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74"/>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74"/>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74"/>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74"/>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74"/>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74"/>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74"/>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74"/>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74"/>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74"/>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74"/>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74"/>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74"/>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74"/>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74"/>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74"/>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74"/>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74"/>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74"/>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74"/>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74"/>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74"/>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74"/>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74"/>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74"/>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74"/>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74"/>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74"/>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74"/>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74"/>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74"/>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74"/>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74"/>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74"/>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74"/>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74"/>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74"/>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74"/>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74"/>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74"/>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74"/>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74"/>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74"/>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74"/>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74"/>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74"/>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74"/>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74"/>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74"/>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74"/>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74"/>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74"/>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74"/>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74"/>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74"/>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74"/>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74"/>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74"/>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74"/>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74"/>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74"/>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74"/>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74"/>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74"/>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74"/>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74"/>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74"/>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74"/>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74"/>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74"/>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74"/>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74"/>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74"/>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74"/>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74"/>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74"/>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74"/>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74"/>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74"/>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74"/>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74"/>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74"/>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74"/>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74"/>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74"/>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74"/>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74"/>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74"/>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74"/>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74"/>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74"/>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74"/>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74"/>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74"/>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74"/>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74"/>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74"/>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74"/>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74"/>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74"/>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74"/>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74"/>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74"/>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74"/>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74"/>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74"/>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74"/>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74"/>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74"/>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74"/>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74"/>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74"/>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74"/>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74"/>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74"/>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74"/>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74"/>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74"/>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74"/>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74"/>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74"/>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74"/>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74"/>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74"/>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74"/>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74"/>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74"/>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74"/>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74"/>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74"/>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74"/>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74"/>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74"/>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74"/>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74"/>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74"/>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74"/>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74"/>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74"/>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74"/>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74"/>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74"/>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74"/>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74"/>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74"/>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74"/>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74"/>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74"/>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74"/>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74"/>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74"/>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74"/>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74"/>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74"/>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74"/>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74"/>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74"/>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74"/>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74"/>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74"/>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74"/>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74"/>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74"/>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74"/>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74"/>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74"/>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74"/>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74"/>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74"/>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74"/>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74"/>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74"/>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74"/>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74"/>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74"/>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74"/>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74"/>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74"/>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74"/>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74"/>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74"/>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74"/>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74"/>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74"/>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74"/>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74"/>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74"/>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74"/>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74"/>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74"/>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74"/>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74"/>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74"/>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74"/>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74"/>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74"/>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74"/>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74"/>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74"/>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74"/>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74"/>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74"/>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74"/>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74"/>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74"/>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74"/>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74"/>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74"/>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74"/>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74"/>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74"/>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74"/>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74"/>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74"/>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74"/>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74"/>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74"/>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74"/>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74"/>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74"/>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74"/>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74"/>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74"/>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74"/>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74"/>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74"/>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74"/>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74"/>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74"/>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74"/>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74"/>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74"/>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74"/>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74"/>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74"/>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74"/>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74"/>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74"/>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74"/>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74"/>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74"/>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74"/>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74"/>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74"/>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74"/>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74"/>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74"/>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74"/>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74"/>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74"/>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74"/>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74"/>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74"/>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74"/>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74"/>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74"/>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74"/>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74"/>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74"/>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74"/>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74"/>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74"/>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74"/>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74"/>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74"/>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74"/>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74"/>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74"/>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74"/>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74"/>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74"/>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74"/>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74"/>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74"/>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74"/>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74"/>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74"/>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74"/>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74"/>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74"/>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74"/>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74"/>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74"/>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74"/>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74"/>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74"/>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74"/>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74"/>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74"/>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74"/>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74"/>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74"/>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74"/>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74"/>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74"/>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74"/>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74"/>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74"/>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74"/>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74"/>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74"/>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74"/>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74"/>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74"/>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74"/>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74"/>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74"/>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74"/>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74"/>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74"/>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74"/>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74"/>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74"/>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74"/>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74"/>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74"/>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74"/>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74"/>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74"/>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74"/>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74"/>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74"/>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74"/>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74"/>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74"/>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74"/>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74"/>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74"/>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74"/>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74"/>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74"/>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74"/>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74"/>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74"/>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74"/>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74"/>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74"/>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74"/>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74"/>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74"/>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74"/>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74"/>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74"/>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74"/>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74"/>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74"/>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74"/>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74"/>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74"/>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74"/>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74"/>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74"/>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74"/>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74"/>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74"/>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74"/>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74"/>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74"/>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74"/>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74"/>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74"/>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74"/>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74"/>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74"/>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74"/>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74"/>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74"/>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74"/>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74"/>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74"/>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74"/>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74"/>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74"/>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74"/>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74"/>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74"/>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74"/>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74"/>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74"/>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74"/>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74"/>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74"/>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74"/>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74"/>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74"/>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74"/>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74"/>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74"/>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74"/>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74"/>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74"/>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74"/>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74"/>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74"/>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74"/>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74"/>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74"/>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74"/>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74"/>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74"/>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74"/>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74"/>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74"/>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74"/>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74"/>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74"/>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74"/>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74"/>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74"/>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74"/>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74"/>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74"/>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74"/>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74"/>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74"/>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74"/>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74"/>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74"/>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74"/>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74"/>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74"/>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74"/>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74"/>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74"/>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74"/>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74"/>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74"/>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74"/>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74"/>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74"/>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74"/>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74"/>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74"/>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74"/>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74"/>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74"/>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74"/>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74"/>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74"/>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74"/>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74"/>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74"/>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74"/>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74"/>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74"/>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74"/>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74"/>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74"/>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74"/>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74"/>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74"/>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74"/>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74"/>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74"/>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74"/>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74"/>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74"/>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74"/>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74"/>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74"/>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74"/>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74"/>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74"/>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74"/>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74"/>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74"/>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74"/>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74"/>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74"/>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74"/>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74"/>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74"/>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74"/>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74"/>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74"/>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74"/>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74"/>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74"/>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74"/>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74"/>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74"/>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74"/>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74"/>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74"/>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74"/>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74"/>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74"/>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74"/>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74"/>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74"/>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74"/>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74"/>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74"/>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74"/>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74"/>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74"/>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74"/>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74"/>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74"/>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74"/>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74"/>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74"/>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74"/>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74"/>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74"/>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74"/>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74"/>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74"/>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74"/>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74"/>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74"/>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74"/>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74"/>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74"/>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74"/>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74"/>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74"/>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74"/>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74"/>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74"/>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74"/>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74"/>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74"/>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74"/>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74"/>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dataValidations>
    <dataValidation type="list" allowBlank="1" showErrorMessage="1" sqref="J2:J8">
      <formula1>"POST,PUT,GET,PATCH,DELETE"</formula1>
    </dataValidation>
    <dataValidation type="list" allowBlank="1" showErrorMessage="1" sqref="C2:C8">
      <formula1>"OAS,RAML"</formula1>
    </dataValidation>
    <dataValidation type="list" allowBlank="1" showErrorMessage="1" sqref="D2:D8">
      <formula1>"RECEPTION,BUSINESS,DOMAIN,PROXY"</formula1>
    </dataValidation>
  </dataValidations>
  <drawing r:id="rId1"/>
</worksheet>
</file>