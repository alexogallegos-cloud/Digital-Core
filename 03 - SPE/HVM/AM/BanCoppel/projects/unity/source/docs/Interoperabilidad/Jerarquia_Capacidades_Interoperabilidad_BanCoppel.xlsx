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ts.accenture.com/sites/BanCoppelPlanDirector/Shared Documents/BanCoppel Plan Director - Fase Remediación/09. Arquitectura/Interoperabilidad/"/>
    </mc:Choice>
  </mc:AlternateContent>
  <xr:revisionPtr revIDLastSave="1852" documentId="8_{44C9C952-58C5-4249-B286-1D8FC227A43A}" xr6:coauthVersionLast="47" xr6:coauthVersionMax="47" xr10:uidLastSave="{DD0C7D48-ED94-425B-8DD2-EB10FFBB1364}"/>
  <bookViews>
    <workbookView xWindow="-120" yWindow="-120" windowWidth="29040" windowHeight="17520" xr2:uid="{00000000-000D-0000-FFFF-FFFF00000000}"/>
  </bookViews>
  <sheets>
    <sheet name="PH Vertical Expansion" sheetId="1" r:id="rId1"/>
    <sheet name="PH Horizontal Expansion" sheetId="2" r:id="rId2"/>
    <sheet name="__TR_VERTICAL" sheetId="4" state="hidden" r:id="rId3"/>
    <sheet name="__TR_HORIZONTAL" sheetId="5" state="hidden" r:id="rId4"/>
  </sheets>
  <definedNames>
    <definedName name="_xlnm._FilterDatabase" localSheetId="1" hidden="1">'PH Horizontal Expansion'!$A$4:$K$4</definedName>
    <definedName name="_xlnm._FilterDatabase" localSheetId="0" hidden="1">'PH Vertical Expansion'!$A$4:$K$260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0" i="2" l="1"/>
  <c r="J141" i="2"/>
  <c r="J143" i="2"/>
  <c r="H145" i="2"/>
  <c r="J146" i="2"/>
  <c r="J148" i="2"/>
  <c r="J149" i="2"/>
  <c r="J151" i="2"/>
  <c r="J153" i="2"/>
  <c r="H155" i="2"/>
  <c r="H157" i="2"/>
  <c r="H159" i="2"/>
  <c r="J160" i="2"/>
  <c r="J162" i="2"/>
  <c r="H164" i="2"/>
  <c r="H166" i="2"/>
  <c r="H167" i="2"/>
  <c r="E169" i="2"/>
  <c r="J170" i="2"/>
  <c r="H172" i="2"/>
  <c r="J173" i="2"/>
  <c r="E175" i="2"/>
  <c r="J176" i="2"/>
  <c r="H178" i="2"/>
  <c r="J179" i="2"/>
  <c r="H181" i="2"/>
  <c r="H183" i="2"/>
  <c r="J184" i="2"/>
  <c r="H186" i="2"/>
  <c r="I140" i="2"/>
  <c r="K141" i="2"/>
  <c r="K143" i="2"/>
  <c r="I145" i="2"/>
  <c r="K146" i="2"/>
  <c r="K148" i="2"/>
  <c r="K149" i="2"/>
  <c r="K151" i="2"/>
  <c r="K153" i="2"/>
  <c r="I155" i="2"/>
  <c r="I157" i="2"/>
  <c r="I159" i="2"/>
  <c r="K160" i="2"/>
  <c r="K162" i="2"/>
  <c r="I164" i="2"/>
  <c r="I166" i="2"/>
  <c r="I167" i="2"/>
  <c r="F169" i="2"/>
  <c r="K170" i="2"/>
  <c r="I172" i="2"/>
  <c r="K173" i="2"/>
  <c r="F175" i="2"/>
  <c r="K176" i="2"/>
  <c r="I178" i="2"/>
  <c r="K179" i="2"/>
  <c r="I181" i="2"/>
  <c r="I183" i="2"/>
  <c r="K184" i="2"/>
  <c r="I186" i="2"/>
  <c r="J140" i="2"/>
  <c r="H142" i="2"/>
  <c r="E144" i="2"/>
  <c r="J145" i="2"/>
  <c r="H147" i="2"/>
  <c r="B149" i="2"/>
  <c r="H150" i="2"/>
  <c r="H152" i="2"/>
  <c r="H154" i="2"/>
  <c r="J155" i="2"/>
  <c r="J157" i="2"/>
  <c r="J159" i="2"/>
  <c r="H161" i="2"/>
  <c r="H163" i="2"/>
  <c r="J164" i="2"/>
  <c r="J166" i="2"/>
  <c r="J167" i="2"/>
  <c r="H169" i="2"/>
  <c r="E171" i="2"/>
  <c r="J172" i="2"/>
  <c r="H174" i="2"/>
  <c r="H175" i="2"/>
  <c r="E177" i="2"/>
  <c r="J178" i="2"/>
  <c r="H180" i="2"/>
  <c r="J181" i="2"/>
  <c r="J183" i="2"/>
  <c r="H185" i="2"/>
  <c r="J186" i="2"/>
  <c r="K140" i="2"/>
  <c r="I142" i="2"/>
  <c r="F144" i="2"/>
  <c r="K145" i="2"/>
  <c r="I147" i="2"/>
  <c r="C149" i="2"/>
  <c r="I150" i="2"/>
  <c r="I152" i="2"/>
  <c r="I154" i="2"/>
  <c r="K155" i="2"/>
  <c r="K157" i="2"/>
  <c r="K159" i="2"/>
  <c r="I161" i="2"/>
  <c r="I163" i="2"/>
  <c r="K164" i="2"/>
  <c r="K166" i="2"/>
  <c r="K167" i="2"/>
  <c r="I169" i="2"/>
  <c r="F171" i="2"/>
  <c r="K172" i="2"/>
  <c r="I174" i="2"/>
  <c r="I175" i="2"/>
  <c r="F177" i="2"/>
  <c r="K178" i="2"/>
  <c r="I180" i="2"/>
  <c r="K181" i="2"/>
  <c r="K183" i="2"/>
  <c r="I185" i="2"/>
  <c r="K186" i="2"/>
  <c r="E141" i="2"/>
  <c r="J142" i="2"/>
  <c r="H144" i="2"/>
  <c r="E146" i="2"/>
  <c r="J147" i="2"/>
  <c r="E149" i="2"/>
  <c r="J150" i="2"/>
  <c r="J152" i="2"/>
  <c r="J154" i="2"/>
  <c r="H156" i="2"/>
  <c r="H158" i="2"/>
  <c r="F141" i="2"/>
  <c r="K144" i="2"/>
  <c r="H149" i="2"/>
  <c r="K154" i="2"/>
  <c r="K158" i="2"/>
  <c r="I162" i="2"/>
  <c r="K165" i="2"/>
  <c r="K168" i="2"/>
  <c r="K171" i="2"/>
  <c r="C175" i="2"/>
  <c r="K177" i="2"/>
  <c r="F181" i="2"/>
  <c r="I184" i="2"/>
  <c r="K187" i="2"/>
  <c r="H141" i="2"/>
  <c r="F146" i="2"/>
  <c r="I149" i="2"/>
  <c r="E155" i="2"/>
  <c r="E160" i="2"/>
  <c r="J163" i="2"/>
  <c r="B167" i="2"/>
  <c r="J169" i="2"/>
  <c r="E173" i="2"/>
  <c r="J175" i="2"/>
  <c r="E179" i="2"/>
  <c r="H182" i="2"/>
  <c r="J185" i="2"/>
  <c r="I141" i="2"/>
  <c r="H146" i="2"/>
  <c r="K150" i="2"/>
  <c r="F155" i="2"/>
  <c r="F160" i="2"/>
  <c r="K163" i="2"/>
  <c r="C167" i="2"/>
  <c r="K169" i="2"/>
  <c r="F173" i="2"/>
  <c r="K175" i="2"/>
  <c r="F179" i="2"/>
  <c r="I182" i="2"/>
  <c r="K185" i="2"/>
  <c r="K142" i="2"/>
  <c r="I146" i="2"/>
  <c r="H151" i="2"/>
  <c r="I156" i="2"/>
  <c r="H160" i="2"/>
  <c r="E164" i="2"/>
  <c r="E167" i="2"/>
  <c r="H170" i="2"/>
  <c r="H173" i="2"/>
  <c r="H176" i="2"/>
  <c r="H179" i="2"/>
  <c r="J182" i="2"/>
  <c r="E186" i="2"/>
  <c r="H143" i="2"/>
  <c r="K147" i="2"/>
  <c r="I151" i="2"/>
  <c r="J156" i="2"/>
  <c r="I160" i="2"/>
  <c r="F164" i="2"/>
  <c r="F167" i="2"/>
  <c r="I170" i="2"/>
  <c r="I173" i="2"/>
  <c r="I176" i="2"/>
  <c r="I179" i="2"/>
  <c r="K182" i="2"/>
  <c r="F186" i="2"/>
  <c r="I143" i="2"/>
  <c r="H148" i="2"/>
  <c r="K152" i="2"/>
  <c r="K156" i="2"/>
  <c r="J161" i="2"/>
  <c r="H165" i="2"/>
  <c r="H168" i="2"/>
  <c r="H171" i="2"/>
  <c r="J174" i="2"/>
  <c r="H177" i="2"/>
  <c r="J180" i="2"/>
  <c r="E184" i="2"/>
  <c r="H187" i="2"/>
  <c r="I144" i="2"/>
  <c r="I148" i="2"/>
  <c r="H153" i="2"/>
  <c r="I158" i="2"/>
  <c r="K161" i="2"/>
  <c r="I165" i="2"/>
  <c r="I168" i="2"/>
  <c r="I171" i="2"/>
  <c r="K174" i="2"/>
  <c r="I177" i="2"/>
  <c r="K180" i="2"/>
  <c r="F184" i="2"/>
  <c r="I187" i="2"/>
  <c r="J144" i="2"/>
  <c r="F149" i="2"/>
  <c r="I153" i="2"/>
  <c r="J158" i="2"/>
  <c r="H162" i="2"/>
  <c r="J165" i="2"/>
  <c r="J168" i="2"/>
  <c r="J171" i="2"/>
  <c r="B175" i="2"/>
  <c r="J177" i="2"/>
  <c r="E181" i="2"/>
  <c r="H184" i="2"/>
  <c r="J187" i="2"/>
  <c r="I5" i="2"/>
  <c r="I7" i="2"/>
  <c r="I9" i="2"/>
  <c r="K10" i="2"/>
  <c r="K12" i="2"/>
  <c r="I14" i="2"/>
  <c r="I16" i="2"/>
  <c r="K17" i="2"/>
  <c r="K19" i="2"/>
  <c r="K20" i="2"/>
  <c r="K22" i="2"/>
  <c r="I24" i="2"/>
  <c r="I26" i="2"/>
  <c r="F28" i="2"/>
  <c r="K29" i="2"/>
  <c r="K31" i="2"/>
  <c r="I33" i="2"/>
  <c r="C35" i="2"/>
  <c r="I36" i="2"/>
  <c r="I38" i="2"/>
  <c r="F40" i="2"/>
  <c r="K41" i="2"/>
  <c r="K43" i="2"/>
  <c r="I45" i="2"/>
  <c r="K46" i="2"/>
  <c r="K48" i="2"/>
  <c r="I50" i="2"/>
  <c r="I52" i="2"/>
  <c r="K53" i="2"/>
  <c r="F55" i="2"/>
  <c r="K56" i="2"/>
  <c r="K58" i="2"/>
  <c r="I60" i="2"/>
  <c r="I62" i="2"/>
  <c r="K63" i="2"/>
  <c r="I65" i="2"/>
  <c r="F67" i="2"/>
  <c r="K68" i="2"/>
  <c r="K69" i="2"/>
  <c r="K71" i="2"/>
  <c r="K73" i="2"/>
  <c r="I75" i="2"/>
  <c r="F77" i="2"/>
  <c r="K78" i="2"/>
  <c r="I80" i="2"/>
  <c r="F82" i="2"/>
  <c r="K83" i="2"/>
  <c r="F85" i="2"/>
  <c r="K86" i="2"/>
  <c r="K88" i="2"/>
  <c r="I90" i="2"/>
  <c r="F92" i="2"/>
  <c r="K93" i="2"/>
  <c r="I95" i="2"/>
  <c r="I97" i="2"/>
  <c r="I98" i="2"/>
  <c r="I100" i="2"/>
  <c r="K101" i="2"/>
  <c r="I103" i="2"/>
  <c r="I105" i="2"/>
  <c r="K106" i="2"/>
  <c r="F108" i="2"/>
  <c r="K109" i="2"/>
  <c r="K111" i="2"/>
  <c r="I113" i="2"/>
  <c r="I115" i="2"/>
  <c r="K116" i="2"/>
  <c r="K118" i="2"/>
  <c r="I120" i="2"/>
  <c r="C122" i="2"/>
  <c r="I123" i="2"/>
  <c r="F125" i="2"/>
  <c r="K126" i="2"/>
  <c r="I128" i="2"/>
  <c r="I130" i="2"/>
  <c r="K131" i="2"/>
  <c r="K133" i="2"/>
  <c r="I135" i="2"/>
  <c r="K136" i="2"/>
  <c r="F138" i="2"/>
  <c r="K139" i="2"/>
  <c r="I117" i="2"/>
  <c r="F122" i="2"/>
  <c r="I125" i="2"/>
  <c r="I127" i="2"/>
  <c r="K130" i="2"/>
  <c r="F134" i="2"/>
  <c r="E10" i="2"/>
  <c r="J18" i="2"/>
  <c r="J23" i="2"/>
  <c r="H27" i="2"/>
  <c r="H34" i="2"/>
  <c r="H37" i="2"/>
  <c r="J42" i="2"/>
  <c r="J49" i="2"/>
  <c r="E53" i="2"/>
  <c r="H61" i="2"/>
  <c r="H66" i="2"/>
  <c r="E69" i="2"/>
  <c r="J77" i="2"/>
  <c r="J82" i="2"/>
  <c r="J87" i="2"/>
  <c r="J92" i="2"/>
  <c r="B98" i="2"/>
  <c r="E101" i="2"/>
  <c r="H104" i="2"/>
  <c r="J107" i="2"/>
  <c r="H112" i="2"/>
  <c r="J5" i="2"/>
  <c r="J7" i="2"/>
  <c r="J9" i="2"/>
  <c r="H11" i="2"/>
  <c r="H13" i="2"/>
  <c r="J14" i="2"/>
  <c r="J16" i="2"/>
  <c r="H18" i="2"/>
  <c r="B20" i="2"/>
  <c r="H21" i="2"/>
  <c r="H23" i="2"/>
  <c r="J24" i="2"/>
  <c r="J26" i="2"/>
  <c r="H28" i="2"/>
  <c r="H30" i="2"/>
  <c r="E32" i="2"/>
  <c r="J33" i="2"/>
  <c r="E35" i="2"/>
  <c r="J36" i="2"/>
  <c r="J38" i="2"/>
  <c r="H40" i="2"/>
  <c r="H42" i="2"/>
  <c r="E44" i="2"/>
  <c r="J45" i="2"/>
  <c r="H47" i="2"/>
  <c r="H49" i="2"/>
  <c r="J50" i="2"/>
  <c r="J52" i="2"/>
  <c r="H54" i="2"/>
  <c r="H55" i="2"/>
  <c r="H57" i="2"/>
  <c r="E59" i="2"/>
  <c r="J60" i="2"/>
  <c r="J62" i="2"/>
  <c r="H64" i="2"/>
  <c r="J65" i="2"/>
  <c r="H67" i="2"/>
  <c r="B69" i="2"/>
  <c r="H70" i="2"/>
  <c r="H72" i="2"/>
  <c r="E74" i="2"/>
  <c r="J75" i="2"/>
  <c r="H77" i="2"/>
  <c r="H79" i="2"/>
  <c r="J80" i="2"/>
  <c r="H82" i="2"/>
  <c r="H84" i="2"/>
  <c r="H85" i="2"/>
  <c r="H87" i="2"/>
  <c r="E89" i="2"/>
  <c r="J90" i="2"/>
  <c r="H92" i="2"/>
  <c r="E94" i="2"/>
  <c r="J95" i="2"/>
  <c r="J97" i="2"/>
  <c r="J98" i="2"/>
  <c r="J100" i="2"/>
  <c r="H102" i="2"/>
  <c r="J103" i="2"/>
  <c r="J105" i="2"/>
  <c r="H107" i="2"/>
  <c r="H108" i="2"/>
  <c r="H110" i="2"/>
  <c r="E112" i="2"/>
  <c r="J113" i="2"/>
  <c r="J115" i="2"/>
  <c r="H117" i="2"/>
  <c r="H119" i="2"/>
  <c r="J120" i="2"/>
  <c r="E122" i="2"/>
  <c r="J123" i="2"/>
  <c r="H125" i="2"/>
  <c r="H127" i="2"/>
  <c r="J128" i="2"/>
  <c r="J130" i="2"/>
  <c r="H132" i="2"/>
  <c r="E134" i="2"/>
  <c r="J135" i="2"/>
  <c r="H137" i="2"/>
  <c r="H138" i="2"/>
  <c r="I11" i="2"/>
  <c r="K14" i="2"/>
  <c r="C20" i="2"/>
  <c r="K36" i="2"/>
  <c r="K62" i="2"/>
  <c r="F74" i="2"/>
  <c r="I77" i="2"/>
  <c r="I79" i="2"/>
  <c r="K80" i="2"/>
  <c r="I92" i="2"/>
  <c r="F94" i="2"/>
  <c r="K97" i="2"/>
  <c r="K100" i="2"/>
  <c r="I102" i="2"/>
  <c r="K103" i="2"/>
  <c r="I107" i="2"/>
  <c r="I110" i="2"/>
  <c r="K113" i="2"/>
  <c r="I119" i="2"/>
  <c r="K123" i="2"/>
  <c r="I132" i="2"/>
  <c r="K135" i="2"/>
  <c r="H6" i="2"/>
  <c r="H8" i="2"/>
  <c r="J11" i="2"/>
  <c r="H15" i="2"/>
  <c r="E20" i="2"/>
  <c r="H25" i="2"/>
  <c r="J28" i="2"/>
  <c r="H32" i="2"/>
  <c r="H39" i="2"/>
  <c r="E46" i="2"/>
  <c r="H51" i="2"/>
  <c r="J55" i="2"/>
  <c r="H59" i="2"/>
  <c r="E63" i="2"/>
  <c r="J67" i="2"/>
  <c r="J72" i="2"/>
  <c r="H74" i="2"/>
  <c r="J79" i="2"/>
  <c r="J84" i="2"/>
  <c r="H89" i="2"/>
  <c r="H94" i="2"/>
  <c r="H99" i="2"/>
  <c r="E106" i="2"/>
  <c r="K5" i="2"/>
  <c r="K7" i="2"/>
  <c r="K9" i="2"/>
  <c r="I13" i="2"/>
  <c r="K16" i="2"/>
  <c r="I18" i="2"/>
  <c r="I21" i="2"/>
  <c r="I23" i="2"/>
  <c r="K24" i="2"/>
  <c r="K26" i="2"/>
  <c r="I28" i="2"/>
  <c r="I30" i="2"/>
  <c r="F32" i="2"/>
  <c r="K33" i="2"/>
  <c r="F35" i="2"/>
  <c r="K38" i="2"/>
  <c r="I40" i="2"/>
  <c r="I42" i="2"/>
  <c r="F44" i="2"/>
  <c r="K45" i="2"/>
  <c r="I47" i="2"/>
  <c r="I49" i="2"/>
  <c r="K50" i="2"/>
  <c r="K52" i="2"/>
  <c r="I54" i="2"/>
  <c r="I55" i="2"/>
  <c r="I57" i="2"/>
  <c r="F59" i="2"/>
  <c r="K60" i="2"/>
  <c r="I64" i="2"/>
  <c r="K65" i="2"/>
  <c r="I67" i="2"/>
  <c r="C69" i="2"/>
  <c r="I70" i="2"/>
  <c r="I72" i="2"/>
  <c r="K75" i="2"/>
  <c r="I82" i="2"/>
  <c r="I84" i="2"/>
  <c r="I85" i="2"/>
  <c r="I87" i="2"/>
  <c r="F89" i="2"/>
  <c r="K90" i="2"/>
  <c r="K95" i="2"/>
  <c r="K98" i="2"/>
  <c r="K105" i="2"/>
  <c r="I108" i="2"/>
  <c r="F112" i="2"/>
  <c r="K115" i="2"/>
  <c r="K120" i="2"/>
  <c r="K128" i="2"/>
  <c r="I137" i="2"/>
  <c r="I138" i="2"/>
  <c r="B5" i="2"/>
  <c r="J13" i="2"/>
  <c r="E17" i="2"/>
  <c r="J21" i="2"/>
  <c r="J30" i="2"/>
  <c r="H35" i="2"/>
  <c r="J40" i="2"/>
  <c r="H44" i="2"/>
  <c r="J47" i="2"/>
  <c r="J54" i="2"/>
  <c r="J57" i="2"/>
  <c r="J64" i="2"/>
  <c r="J70" i="2"/>
  <c r="H76" i="2"/>
  <c r="H81" i="2"/>
  <c r="J85" i="2"/>
  <c r="H91" i="2"/>
  <c r="H96" i="2"/>
  <c r="J102" i="2"/>
  <c r="J108" i="2"/>
  <c r="I6" i="2"/>
  <c r="F10" i="2"/>
  <c r="K13" i="2"/>
  <c r="F17" i="2"/>
  <c r="F20" i="2"/>
  <c r="K23" i="2"/>
  <c r="I27" i="2"/>
  <c r="K30" i="2"/>
  <c r="I34" i="2"/>
  <c r="I37" i="2"/>
  <c r="K40" i="2"/>
  <c r="I44" i="2"/>
  <c r="K47" i="2"/>
  <c r="I51" i="2"/>
  <c r="K54" i="2"/>
  <c r="K57" i="2"/>
  <c r="I61" i="2"/>
  <c r="K64" i="2"/>
  <c r="K67" i="2"/>
  <c r="K70" i="2"/>
  <c r="I74" i="2"/>
  <c r="K77" i="2"/>
  <c r="I81" i="2"/>
  <c r="K84" i="2"/>
  <c r="K87" i="2"/>
  <c r="I91" i="2"/>
  <c r="I94" i="2"/>
  <c r="C98" i="2"/>
  <c r="F101" i="2"/>
  <c r="I104" i="2"/>
  <c r="K107" i="2"/>
  <c r="J110" i="2"/>
  <c r="H113" i="2"/>
  <c r="H116" i="2"/>
  <c r="J119" i="2"/>
  <c r="K121" i="2"/>
  <c r="I124" i="2"/>
  <c r="J126" i="2"/>
  <c r="J129" i="2"/>
  <c r="J132" i="2"/>
  <c r="K134" i="2"/>
  <c r="K137" i="2"/>
  <c r="J139" i="2"/>
  <c r="J8" i="2"/>
  <c r="H63" i="2"/>
  <c r="H83" i="2"/>
  <c r="J96" i="2"/>
  <c r="H115" i="2"/>
  <c r="H128" i="2"/>
  <c r="I136" i="2"/>
  <c r="F5" i="2"/>
  <c r="K15" i="2"/>
  <c r="I22" i="2"/>
  <c r="K32" i="2"/>
  <c r="K39" i="2"/>
  <c r="K59" i="2"/>
  <c r="F80" i="2"/>
  <c r="K89" i="2"/>
  <c r="I118" i="2"/>
  <c r="I131" i="2"/>
  <c r="H139" i="2"/>
  <c r="J12" i="2"/>
  <c r="H16" i="2"/>
  <c r="J19" i="2"/>
  <c r="J22" i="2"/>
  <c r="J29" i="2"/>
  <c r="E40" i="2"/>
  <c r="J43" i="2"/>
  <c r="J53" i="2"/>
  <c r="J63" i="2"/>
  <c r="E77" i="2"/>
  <c r="J83" i="2"/>
  <c r="J93" i="2"/>
  <c r="J106" i="2"/>
  <c r="F116" i="2"/>
  <c r="H124" i="2"/>
  <c r="J131" i="2"/>
  <c r="J134" i="2"/>
  <c r="J6" i="2"/>
  <c r="H10" i="2"/>
  <c r="E14" i="2"/>
  <c r="H17" i="2"/>
  <c r="H20" i="2"/>
  <c r="E24" i="2"/>
  <c r="J27" i="2"/>
  <c r="H31" i="2"/>
  <c r="J34" i="2"/>
  <c r="J37" i="2"/>
  <c r="H41" i="2"/>
  <c r="J44" i="2"/>
  <c r="H48" i="2"/>
  <c r="J51" i="2"/>
  <c r="B55" i="2"/>
  <c r="H58" i="2"/>
  <c r="J61" i="2"/>
  <c r="E65" i="2"/>
  <c r="H68" i="2"/>
  <c r="H71" i="2"/>
  <c r="J74" i="2"/>
  <c r="H78" i="2"/>
  <c r="J81" i="2"/>
  <c r="B85" i="2"/>
  <c r="H88" i="2"/>
  <c r="J91" i="2"/>
  <c r="J94" i="2"/>
  <c r="E98" i="2"/>
  <c r="H101" i="2"/>
  <c r="J104" i="2"/>
  <c r="B108" i="2"/>
  <c r="K110" i="2"/>
  <c r="H114" i="2"/>
  <c r="I116" i="2"/>
  <c r="K119" i="2"/>
  <c r="B122" i="2"/>
  <c r="J124" i="2"/>
  <c r="J127" i="2"/>
  <c r="K129" i="2"/>
  <c r="K132" i="2"/>
  <c r="H135" i="2"/>
  <c r="B138" i="2"/>
  <c r="F24" i="2"/>
  <c r="K37" i="2"/>
  <c r="I48" i="2"/>
  <c r="K51" i="2"/>
  <c r="I58" i="2"/>
  <c r="K61" i="2"/>
  <c r="F65" i="2"/>
  <c r="I68" i="2"/>
  <c r="I71" i="2"/>
  <c r="K74" i="2"/>
  <c r="I78" i="2"/>
  <c r="K81" i="2"/>
  <c r="C85" i="2"/>
  <c r="I88" i="2"/>
  <c r="K91" i="2"/>
  <c r="K94" i="2"/>
  <c r="F98" i="2"/>
  <c r="I101" i="2"/>
  <c r="K104" i="2"/>
  <c r="C108" i="2"/>
  <c r="H111" i="2"/>
  <c r="I114" i="2"/>
  <c r="J116" i="2"/>
  <c r="E120" i="2"/>
  <c r="H122" i="2"/>
  <c r="K124" i="2"/>
  <c r="K127" i="2"/>
  <c r="H130" i="2"/>
  <c r="E136" i="2"/>
  <c r="C138" i="2"/>
  <c r="J10" i="2"/>
  <c r="H14" i="2"/>
  <c r="J17" i="2"/>
  <c r="J20" i="2"/>
  <c r="H24" i="2"/>
  <c r="E28" i="2"/>
  <c r="B35" i="2"/>
  <c r="J41" i="2"/>
  <c r="J48" i="2"/>
  <c r="E55" i="2"/>
  <c r="H62" i="2"/>
  <c r="J68" i="2"/>
  <c r="H75" i="2"/>
  <c r="E82" i="2"/>
  <c r="J88" i="2"/>
  <c r="H95" i="2"/>
  <c r="J101" i="2"/>
  <c r="E108" i="2"/>
  <c r="J114" i="2"/>
  <c r="F120" i="2"/>
  <c r="E131" i="2"/>
  <c r="E138" i="2"/>
  <c r="C5" i="2"/>
  <c r="I15" i="2"/>
  <c r="K18" i="2"/>
  <c r="K28" i="2"/>
  <c r="F46" i="2"/>
  <c r="F53" i="2"/>
  <c r="I59" i="2"/>
  <c r="F63" i="2"/>
  <c r="I66" i="2"/>
  <c r="F69" i="2"/>
  <c r="K72" i="2"/>
  <c r="K79" i="2"/>
  <c r="K85" i="2"/>
  <c r="K108" i="2"/>
  <c r="K117" i="2"/>
  <c r="J122" i="2"/>
  <c r="F128" i="2"/>
  <c r="J133" i="2"/>
  <c r="H136" i="2"/>
  <c r="J138" i="2"/>
  <c r="E5" i="2"/>
  <c r="J15" i="2"/>
  <c r="H19" i="2"/>
  <c r="H22" i="2"/>
  <c r="H29" i="2"/>
  <c r="J35" i="2"/>
  <c r="H46" i="2"/>
  <c r="H53" i="2"/>
  <c r="J59" i="2"/>
  <c r="J66" i="2"/>
  <c r="H73" i="2"/>
  <c r="J76" i="2"/>
  <c r="H86" i="2"/>
  <c r="H93" i="2"/>
  <c r="E103" i="2"/>
  <c r="H109" i="2"/>
  <c r="H118" i="2"/>
  <c r="K122" i="2"/>
  <c r="H134" i="2"/>
  <c r="K8" i="2"/>
  <c r="I43" i="2"/>
  <c r="I53" i="2"/>
  <c r="K66" i="2"/>
  <c r="I83" i="2"/>
  <c r="K96" i="2"/>
  <c r="F103" i="2"/>
  <c r="I106" i="2"/>
  <c r="I109" i="2"/>
  <c r="J112" i="2"/>
  <c r="E116" i="2"/>
  <c r="I121" i="2"/>
  <c r="H126" i="2"/>
  <c r="H129" i="2"/>
  <c r="I134" i="2"/>
  <c r="H9" i="2"/>
  <c r="H33" i="2"/>
  <c r="J46" i="2"/>
  <c r="J56" i="2"/>
  <c r="E67" i="2"/>
  <c r="H80" i="2"/>
  <c r="H90" i="2"/>
  <c r="H103" i="2"/>
  <c r="J118" i="2"/>
  <c r="I126" i="2"/>
  <c r="I139" i="2"/>
  <c r="K6" i="2"/>
  <c r="I10" i="2"/>
  <c r="F14" i="2"/>
  <c r="I17" i="2"/>
  <c r="I20" i="2"/>
  <c r="K27" i="2"/>
  <c r="I31" i="2"/>
  <c r="K34" i="2"/>
  <c r="I41" i="2"/>
  <c r="K44" i="2"/>
  <c r="C55" i="2"/>
  <c r="H133" i="2"/>
  <c r="H7" i="2"/>
  <c r="J31" i="2"/>
  <c r="H38" i="2"/>
  <c r="H45" i="2"/>
  <c r="H52" i="2"/>
  <c r="J58" i="2"/>
  <c r="H65" i="2"/>
  <c r="J71" i="2"/>
  <c r="J78" i="2"/>
  <c r="E85" i="2"/>
  <c r="E92" i="2"/>
  <c r="H98" i="2"/>
  <c r="H105" i="2"/>
  <c r="I111" i="2"/>
  <c r="J117" i="2"/>
  <c r="I122" i="2"/>
  <c r="E125" i="2"/>
  <c r="E128" i="2"/>
  <c r="I133" i="2"/>
  <c r="F136" i="2"/>
  <c r="I8" i="2"/>
  <c r="K11" i="2"/>
  <c r="K21" i="2"/>
  <c r="I25" i="2"/>
  <c r="I32" i="2"/>
  <c r="I35" i="2"/>
  <c r="I39" i="2"/>
  <c r="K42" i="2"/>
  <c r="K49" i="2"/>
  <c r="K55" i="2"/>
  <c r="I76" i="2"/>
  <c r="K82" i="2"/>
  <c r="I89" i="2"/>
  <c r="K92" i="2"/>
  <c r="I96" i="2"/>
  <c r="I99" i="2"/>
  <c r="K102" i="2"/>
  <c r="F106" i="2"/>
  <c r="J111" i="2"/>
  <c r="K114" i="2"/>
  <c r="H120" i="2"/>
  <c r="J125" i="2"/>
  <c r="F131" i="2"/>
  <c r="H12" i="2"/>
  <c r="J25" i="2"/>
  <c r="J32" i="2"/>
  <c r="J39" i="2"/>
  <c r="H43" i="2"/>
  <c r="E50" i="2"/>
  <c r="H56" i="2"/>
  <c r="H69" i="2"/>
  <c r="E80" i="2"/>
  <c r="J89" i="2"/>
  <c r="J99" i="2"/>
  <c r="H106" i="2"/>
  <c r="I112" i="2"/>
  <c r="H121" i="2"/>
  <c r="K125" i="2"/>
  <c r="H131" i="2"/>
  <c r="K138" i="2"/>
  <c r="I12" i="2"/>
  <c r="I19" i="2"/>
  <c r="K25" i="2"/>
  <c r="I29" i="2"/>
  <c r="K35" i="2"/>
  <c r="F50" i="2"/>
  <c r="I56" i="2"/>
  <c r="I63" i="2"/>
  <c r="I69" i="2"/>
  <c r="I73" i="2"/>
  <c r="K76" i="2"/>
  <c r="I86" i="2"/>
  <c r="I93" i="2"/>
  <c r="K99" i="2"/>
  <c r="H123" i="2"/>
  <c r="J136" i="2"/>
  <c r="H5" i="2"/>
  <c r="H36" i="2"/>
  <c r="H50" i="2"/>
  <c r="H60" i="2"/>
  <c r="J73" i="2"/>
  <c r="J86" i="2"/>
  <c r="H100" i="2"/>
  <c r="J109" i="2"/>
  <c r="J121" i="2"/>
  <c r="I129" i="2"/>
  <c r="J137" i="2"/>
  <c r="I46" i="2"/>
  <c r="H26" i="2"/>
  <c r="J69" i="2"/>
  <c r="H97" i="2"/>
  <c r="K11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K4" authorId="0" shapeId="0" xr:uid="{00000000-0006-0000-0000-000001000000}">
      <text>
        <r>
          <rPr>
            <sz val="11"/>
            <color theme="1"/>
            <rFont val="Calibri"/>
            <family val="2"/>
            <scheme val="minor"/>
          </rPr>
          <t>Derived from UNITY project materials: SOP_Arquitectura_Tecnica_UNITY.docx; UNITY_CI_CD_IaC_PRD_vd2.docx; UNITY_Roadmap_2026-2030.pptx; UNITY_Arquitectura_Negocio_N1_N2_N3.docx; Documento de Arquitectura UNITY_v1.0 (1).docx; Dashboard_Arquitectura_UNITY.html. Where a capability is not explicitly supported in the project materials, the cell states that no specific solution is evidenced.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K4" authorId="0" shapeId="0" xr:uid="{00000000-0006-0000-0100-000001000000}">
      <text>
        <r>
          <rPr>
            <sz val="11"/>
            <color theme="1"/>
            <rFont val="Calibri"/>
            <family val="2"/>
            <scheme val="minor"/>
          </rPr>
          <t>Derived from UNITY project materials: SOP_Arquitectura_Tecnica_UNITY.docx; UNITY_CI_CD_IaC_PRD_vd2.docx; UNITY_Roadmap_2026-2030.pptx; UNITY_Arquitectura_Negocio_N1_N2_N3.docx; Documento de Arquitectura UNITY_v1.0 (1).docx; Dashboard_Arquitectura_UNITY.html. Where a capability is not explicitly supported in the project materials, the cell states that no specific solution is evidenced.</t>
        </r>
      </text>
    </comment>
  </commentList>
</comments>
</file>

<file path=xl/sharedStrings.xml><?xml version="1.0" encoding="utf-8"?>
<sst xmlns="http://schemas.openxmlformats.org/spreadsheetml/2006/main" count="5752" uniqueCount="2087">
  <si>
    <t>Level</t>
  </si>
  <si>
    <t>Sequence</t>
  </si>
  <si>
    <t>PID</t>
  </si>
  <si>
    <t>Name</t>
  </si>
  <si>
    <t>Description</t>
  </si>
  <si>
    <t>Process Owner</t>
  </si>
  <si>
    <t>Interop Level</t>
  </si>
  <si>
    <t>Kernel or Domain</t>
  </si>
  <si>
    <t>Purpose in Interoperable Architecture</t>
  </si>
  <si>
    <t>Sourcing Strategy (Indicative)</t>
  </si>
  <si>
    <t>BanCoppel Solutions Used (Project)</t>
  </si>
  <si>
    <t>API Management</t>
  </si>
  <si>
    <t>The capability to design, publish, secure, version, meter and retire the bank's synchronous service contracts, together with the developer-facing estate that surrounds them (catalogue, portal, sandbox). Covers both the runtime plane (gateway mediation, routing, traffic policy) and the control plane (lifecycle, policy administration, analytics).</t>
  </si>
  <si>
    <t>Head of API &amp; Integration Architecture</t>
  </si>
  <si>
    <t>L0</t>
  </si>
  <si>
    <t>Kernel &amp; Platform</t>
  </si>
  <si>
    <t>Primary decoupling instrument of the interoperable architecture. A stable, standards-based contract (BIAN-aligned or canonical-custom) allows a channel to be re-platformed without touching a core, and a core to be replaced without touching a channel. It is also the semantic control point where a request stops being a call to a specific system and becomes a call to a banking capability.</t>
  </si>
  <si>
    <t>Third party platform + custom policies</t>
  </si>
  <si>
    <t>Apigee API Management/Gateway; MuleSoft; WebMethods; BIAN-aligned APIs; Transact OFS/IRIS REST APIs; Modyo Connect/Amazon API Gateway for Apolo flows.</t>
  </si>
  <si>
    <t>API Gateway &amp; Runtime Mediation</t>
  </si>
  <si>
    <t>Runtime plane that terminates, validates, mediates and routes API traffic between consumers and providers, applying policy at the point of invocation rather than inside application code.</t>
  </si>
  <si>
    <t>L1</t>
  </si>
  <si>
    <t>Enforces the contract at runtime, so decoupling is guaranteed by the platform instead of by developer discipline.</t>
  </si>
  <si>
    <t>Third party</t>
  </si>
  <si>
    <t>Apigee API Gateway/API Management; MuleSoft integration/orchestration; WebMethods BPM/BRM; BIAN-aligned APIs; Transact OFS/IRIS REST APIs.</t>
  </si>
  <si>
    <t>5.1.1</t>
  </si>
  <si>
    <t>Routing</t>
  </si>
  <si>
    <t>Resolution of a logical API contract to one or more physical service endpoints, including host, version and environment-based routing.</t>
  </si>
  <si>
    <t>L2</t>
  </si>
  <si>
    <t>Allows backend relocation, re-platforming and dual-running of old and new processors without any consumer change.</t>
  </si>
  <si>
    <t>5.1.2</t>
  </si>
  <si>
    <t>Mediation &amp; Message Transformation</t>
  </si>
  <si>
    <t>Protocol and payload adaptation at the edge (REST, SOAP, gRPC, legacy protocols), including header manipulation and canonical-to-native mapping.</t>
  </si>
  <si>
    <t>Absorbs the technical heterogeneity of a hybrid core estate so consumers only ever see one interface style.</t>
  </si>
  <si>
    <t>5.1.3</t>
  </si>
  <si>
    <t>API Traffic Management</t>
  </si>
  <si>
    <t>Quota, rate limit, throttling, spike arrest and quality-of-service policies applied per consumer, per API and per tier.</t>
  </si>
  <si>
    <t>Protects finite legacy capacity (MIPS, connection pools) from unbounded digital demand and makes capacity a governed, priced resource.</t>
  </si>
  <si>
    <t>5.1.4</t>
  </si>
  <si>
    <t>Message Validation &amp; Payload Protection</t>
  </si>
  <si>
    <t>Schema, size and content validation of inbound and outbound messages, including protection against content-based attacks.</t>
  </si>
  <si>
    <t>Stops malformed and hostile traffic before it reaches the processing estate, where remediation is far more expensive.</t>
  </si>
  <si>
    <t>5.1.5</t>
  </si>
  <si>
    <t>Error Handling &amp; Fault Normalisation</t>
  </si>
  <si>
    <t>Standardised error taxonomy, fault mapping and response codes across heterogeneous backends.</t>
  </si>
  <si>
    <t>Prevents backend-specific error semantics leaking into channels, which is one of the commonest sources of hidden coupling.</t>
  </si>
  <si>
    <t>API Lifecycle Management</t>
  </si>
  <si>
    <t>Control plane that governs an API from design and contract definition through publication, versioning, change notification and eventual retirement.</t>
  </si>
  <si>
    <t>Turns interfaces into managed enterprise assets with a controlled change path, which is the precondition for reuse across entities and countries.</t>
  </si>
  <si>
    <t>Third party + governance process</t>
  </si>
  <si>
    <t>BIAN API standards; Apigee API lifecycle/governance; OpenAPI/Swagger-style API documentation for OfiWeb/Canales; API change controlled by architecture governance.</t>
  </si>
  <si>
    <t>5.2.1</t>
  </si>
  <si>
    <t>API Design &amp; Contract Standards</t>
  </si>
  <si>
    <t>Definition and enforcement of interface standards, canonical or BIAN-aligned naming, and design review gates before publication.</t>
  </si>
  <si>
    <t>Ensures new interfaces increase reuse rather than adding another bespoke integration to maintain.</t>
  </si>
  <si>
    <t>5.2.2</t>
  </si>
  <si>
    <t>API Versioning</t>
  </si>
  <si>
    <t>Concurrent support of multiple contract versions with defined compatibility and deprecation rules.</t>
  </si>
  <si>
    <t>Decouples consumer and provider release cycles, so no single change requires a synchronised big-bang deployment.</t>
  </si>
  <si>
    <t>5.2.3</t>
  </si>
  <si>
    <t>API Publication &amp; Change Notification</t>
  </si>
  <si>
    <t>Promotion of APIs across environments and proactive notification of contract change to registered consumers.</t>
  </si>
  <si>
    <t>Removes the coordination overhead that otherwise makes teams avoid reusing a shared interface.</t>
  </si>
  <si>
    <t>5.2.4</t>
  </si>
  <si>
    <t>API Deprecation &amp; Retirement</t>
  </si>
  <si>
    <t>Controlled sunset of interfaces, including consumer migration tracking and enforcement of end-of-life dates.</t>
  </si>
  <si>
    <t>Prevents the interoperability layer accumulating the same interface debt it was created to remove.</t>
  </si>
  <si>
    <t>API Manager (Platform Administration)</t>
  </si>
  <si>
    <t>Administration, policy configuration, operation and commercial instrumentation of the API management platform itself, across on-premise, cloud or hybrid topologies.</t>
  </si>
  <si>
    <t>Keeps policy centrally administered and consistently applied, so security and traffic rules do not fragment per API team.</t>
  </si>
  <si>
    <t>Apigee platform administration and policies; DataDog/API monitoring; DevSecOps pipelines; GCP-hosted Apigee with AWS/on-prem providers.</t>
  </si>
  <si>
    <t>5.3.1</t>
  </si>
  <si>
    <t>Policy Administration &amp; Tracking</t>
  </si>
  <si>
    <t>Central definition, assignment and audit of gateway policies (security, traffic, mediation, caching) across the API estate.</t>
  </si>
  <si>
    <t>Makes policy a governed configuration item rather than embedded code, enabling estate-wide change in one action.</t>
  </si>
  <si>
    <t>5.3.2</t>
  </si>
  <si>
    <t>API Monitoring, Analytics &amp; Monetisation</t>
  </si>
  <si>
    <t>Consumption metrics, latency and error analytics per API and per consumer, with the metering basis for internal chargeback or partner monetisation.</t>
  </si>
  <si>
    <t>Provides the evidence base for reuse claims, capacity planning and ecosystem commercial models.</t>
  </si>
  <si>
    <t>5.3.3</t>
  </si>
  <si>
    <t>Platform Deployment &amp; Operations</t>
  </si>
  <si>
    <t>Deployment topology, automation, upgrade and operational support of the API management platform.</t>
  </si>
  <si>
    <t>Ensures the decoupling layer is itself resilient and upgradeable, since it becomes a single point of dependency for all traffic.</t>
  </si>
  <si>
    <t>Developer Portal &amp; Catalogue</t>
  </si>
  <si>
    <t>Self-service surface where internal and external developers discover, evaluate, register for and support themselves on published interfaces.</t>
  </si>
  <si>
    <t>Reuse only happens if capabilities are findable. The portal converts a technical inventory into a consumable product catalogue.</t>
  </si>
  <si>
    <t>API catalogue/governance for Apificación de Canales and OfiWeb; Apigee as API management plane. No standalone developer portal tool is explicitly evidenced.</t>
  </si>
  <si>
    <t>5.4.1</t>
  </si>
  <si>
    <t>API Catalogue, Documentation &amp; Metadata Discovery</t>
  </si>
  <si>
    <t>Searchable inventory of published interfaces with specifications, examples and metadata.</t>
  </si>
  <si>
    <t>Eliminates the rediscovery cost that drives teams to build a parallel point-to-point integration.</t>
  </si>
  <si>
    <t>5.4.2</t>
  </si>
  <si>
    <t>Developer Registration &amp; Self-Service</t>
  </si>
  <si>
    <t>Onboarding, credential issuance, application registration and entitlement management for API consumers.</t>
  </si>
  <si>
    <t>Removes human gatekeeping from the consumption path, which is what makes internal reuse and partner onboarding fast.</t>
  </si>
  <si>
    <t>5.4.3</t>
  </si>
  <si>
    <t>Collaboration, Community &amp; Self-Support</t>
  </si>
  <si>
    <t>Issue reporting, feedback loops, usage guidance, SDKs and reference examples for consuming teams.</t>
  </si>
  <si>
    <t>Delivers the enablement layer without which a published capability is technically available but practically unused.</t>
  </si>
  <si>
    <t>Gateway Services</t>
  </si>
  <si>
    <t>Controlled ingress and egress across the bank's trust boundary in three modalities - API, file and event - in both inbound and outbound directions, plus the specialised edges required for regulated and partner traffic (Open Banking edge, filter edge, security token service, partner sandbox, switching).</t>
  </si>
  <si>
    <t>Head of Perimeter &amp; Connectivity Architecture</t>
  </si>
  <si>
    <t>Interoperability is not only internal. This domain concentrates network zoning, protocol termination, encryption and traffic policy for all external counterparties (central bank, card processors, payment schemes, bureaus, fintechs, corporate channels) so that ecosystem participation becomes a configuration exercise rather than a project. It is also where most banks find asymmetry: inbound API gateways are mature while outbound file and event gateways are undefined, and that gap sits on the critical path.</t>
  </si>
  <si>
    <t>Third party platform + custom edge services</t>
  </si>
  <si>
    <t>Apigee inbound/outbound API gateway; MuleSoft/WebMethods integration; Amazon API Gateway via Modyo Connect; EKS/Istio service edge.</t>
  </si>
  <si>
    <t>Inbound Gateway Services</t>
  </si>
  <si>
    <t>Managed entry points for traffic originating outside the bank's trust boundary, across API, file and event channels, including identity assertion exchange at the edge.</t>
  </si>
  <si>
    <t>Gives the bank one governed front door per modality instead of a proliferation of bilateral connections with inconsistent controls.</t>
  </si>
  <si>
    <t>4.1.1</t>
  </si>
  <si>
    <t>Inbound API Gateway</t>
  </si>
  <si>
    <t>Termination, authentication, policy enforcement and routing of synchronous API traffic from channels, partners and third parties.</t>
  </si>
  <si>
    <t>Single enforcement point for external synchronous demand, decoupling counterparties from internal service topology.</t>
  </si>
  <si>
    <t>4.1.2</t>
  </si>
  <si>
    <t>Inbound File Gateway</t>
  </si>
  <si>
    <t>Secure receipt, validation, virus scanning and hand-off of externally originated files, replacing unmanaged point-to-point transfer.</t>
  </si>
  <si>
    <t>Brings the large residual batch estate under the same control and observability regime as API traffic.</t>
  </si>
  <si>
    <t>DataStage ETL; batch/COB interfaces; OnBase document flows; PISA/Informix legacy file/data interfaces. No dedicated MFT product is explicitly evidenced.</t>
  </si>
  <si>
    <t>4.1.3</t>
  </si>
  <si>
    <t>Inbound EventHub Gateway</t>
  </si>
  <si>
    <t>Controlled ingestion of externally published events and messages into the internal event backbone.</t>
  </si>
  <si>
    <t>Enables real-time ecosystem integration (schemes, aggregators, market data) without exposing internal topics.</t>
  </si>
  <si>
    <t>Kafka/Confluent; Amazon MQ; Amazon Kinesis; Temenos Events Framework; Event Processor/Event Router/Event Cleanup components.</t>
  </si>
  <si>
    <t>4.1.4</t>
  </si>
  <si>
    <t>Security Token Service (STS)</t>
  </si>
  <si>
    <t>Issuance, exchange and validation of security tokens at the perimeter, translating external identity assertions into internal credentials.</t>
  </si>
  <si>
    <t>Allows federated and partner identities to be honoured without extending internal trust boundaries outward.</t>
  </si>
  <si>
    <t>OAuth 2.0 via Apigee; Azure AD / Microsoft Entra ID; Token Party Identity; application/user tokens managed through API security.</t>
  </si>
  <si>
    <t>Outbound Gateway Services</t>
  </si>
  <si>
    <t>Managed exit points for bank-originated traffic to downstream counterparties, across API, file and event channels, including transaction switching to schemes and processors.</t>
  </si>
  <si>
    <t>Externalises counterparty-specific connectivity and credentials from application code, so a provider can be replaced without touching business services.</t>
  </si>
  <si>
    <t>Third party + custom</t>
  </si>
  <si>
    <t>4.2.1</t>
  </si>
  <si>
    <t>Outbound API Gateway</t>
  </si>
  <si>
    <t>Egress mediation, credential injection, retry and circuit control for calls to external providers, exposed through a DMZ.</t>
  </si>
  <si>
    <t>Makes third-party substitution a gateway configuration change rather than a development project.</t>
  </si>
  <si>
    <t>4.2.2</t>
  </si>
  <si>
    <t>Outbound File Gateway</t>
  </si>
  <si>
    <t>Managed generation, encryption, scheduling and transmission of outbound files, superseding unmanaged SFTP arrangements.</t>
  </si>
  <si>
    <t>Closes the most common control and observability gap in the external estate.</t>
  </si>
  <si>
    <t>4.2.3</t>
  </si>
  <si>
    <t>Outbound EventHub Gateway</t>
  </si>
  <si>
    <t>Controlled publication of internal events to external subscribers with filtering and contract governance.</t>
  </si>
  <si>
    <t>Lets the bank offer real-time data products to the ecosystem without granting access to internal topics.</t>
  </si>
  <si>
    <t>4.2.4</t>
  </si>
  <si>
    <t>Switching</t>
  </si>
  <si>
    <t>Routing and protocol adaptation of transaction traffic to schemes, processors and interbank networks, including failover between providers.</t>
  </si>
  <si>
    <t>Provides provider redundancy and least-cost routing as an architectural property rather than a negotiation outcome.</t>
  </si>
  <si>
    <t>BPC SmartVista/SVIP for card switching and processing; Hub de Pagos for SPEI, payroll dispersion and multi-platform payments; legacy IST/PISA coexistence.</t>
  </si>
  <si>
    <t>Ecosystem &amp; Open Banking Edge</t>
  </si>
  <si>
    <t>Specialised external-facing edges for regulated open banking traffic, partner onboarding and controlled experimentation, including filtering edges and marketplace exposure.</t>
  </si>
  <si>
    <t>Where the interoperability layer becomes a business channel: it turns internal capabilities into consumable, contracted products for third parties.</t>
  </si>
  <si>
    <t>No specific Open Banking marketplace/partner sandbox product is evidenced; adjacent capabilities use Apigee, API Gateway, BIAN APIs and sandbox/UAT environments.</t>
  </si>
  <si>
    <t>4.3.1</t>
  </si>
  <si>
    <t>Open Banking Edge</t>
  </si>
  <si>
    <t>Regulatory-compliant exposure of accounts, payments and data APIs with consent, strong authentication and reporting obligations.</t>
  </si>
  <si>
    <t>Meets regulatory mandates on a shared platform rather than as an isolated compliance silo.</t>
  </si>
  <si>
    <t>4.3.2</t>
  </si>
  <si>
    <t>Filter Edge</t>
  </si>
  <si>
    <t>Content, consumer and geography-based filtering and screening of external traffic ahead of the API gateway.</t>
  </si>
  <si>
    <t>Reduces hostile and out-of-policy load before it consumes gateway or backend capacity.</t>
  </si>
  <si>
    <t>Imperva WAF / Cloud Armor; AWS Shield; Zscaler TLS termination; VPN/Direct Connect; Tetration rules; AWS/GCP/on-prem network zoning.</t>
  </si>
  <si>
    <t>4.3.3</t>
  </si>
  <si>
    <t>Partner Sandbox</t>
  </si>
  <si>
    <t>Isolated non-production environment with representative data for partner and fintech development and certification.</t>
  </si>
  <si>
    <t>Compresses partner onboarding from months to weeks, which is the practical constraint on ecosystem strategy.</t>
  </si>
  <si>
    <t>4.3.4</t>
  </si>
  <si>
    <t>API Marketplace</t>
  </si>
  <si>
    <t>Commercial catalogue for packaging, publishing and contracting bank capabilities to external consumers.</t>
  </si>
  <si>
    <t>Provides the front end for non-linear, capability-as-a-product business models.</t>
  </si>
  <si>
    <t>Perimeter Zoning &amp; Connectivity</t>
  </si>
  <si>
    <t>Network segmentation, DMZ exposure model, transport security termination and connectivity management underpinning all gateway modalities.</t>
  </si>
  <si>
    <t>Establishes the trust topology within which every other gateway capability operates; without it, decoupling increases exposure rather than containing it.</t>
  </si>
  <si>
    <t>4.4.1</t>
  </si>
  <si>
    <t>Network Zoning &amp; DMZ Exposure</t>
  </si>
  <si>
    <t>Definition and enforcement of security zones, and the DMZ pattern through which internal capabilities are exposed externally.</t>
  </si>
  <si>
    <t>Ensures new external interfaces inherit an approved exposure model instead of negotiating one per project.</t>
  </si>
  <si>
    <t>4.4.2</t>
  </si>
  <si>
    <t>Transport Security Termination</t>
  </si>
  <si>
    <t>TLS termination, mutual authentication and cipher policy management at the edge.</t>
  </si>
  <si>
    <t>Centralises cryptographic currency, so protocol deprecations are handled once rather than per application.</t>
  </si>
  <si>
    <t>4.4.3</t>
  </si>
  <si>
    <t>External Connectivity Management</t>
  </si>
  <si>
    <t>Registration, credentials, endpoints and operational monitoring of counterparty connections.</t>
  </si>
  <si>
    <t>Creates an authoritative inventory of external dependencies, which is a prerequisite for third-party risk management.</t>
  </si>
  <si>
    <t>Security</t>
  </si>
  <si>
    <t>End-to-end protection of the interoperability layer itself: identity and access management, crypto services, certificate and secret management, threat protection, vulnerability and threat management, and security monitoring and response across the API, event, file and container estates.</t>
  </si>
  <si>
    <t>CISO / Security Architecture Lead</t>
  </si>
  <si>
    <t>Decoupling multiplies the number of network hops, credentials and trust relationships in the estate. Without a kernel-level security capability, every new service re-implements its own controls and the attack surface grows faster than the functionality. The design objective is that security is inherited from the platform, not coded per service - which is also what flattens the vulnerability remediation cost curve as service counts grow into the hundreds.</t>
  </si>
  <si>
    <t>Third party + platform-inherited services</t>
  </si>
  <si>
    <t>OAuth 2.0/Apigee; Azure AD/Microsoft Entra; Incode KYC; Imperva WAF; HashiCorp Vault; AWS Secrets Manager; Exabeam; Istio; AWS Shield.</t>
  </si>
  <si>
    <t>Identity &amp; Access Management</t>
  </si>
  <si>
    <t>Authentication, authorisation, token and session services for customers, employees, partners and machine identities consuming the interoperability layer.</t>
  </si>
  <si>
    <t>Provides the single authoritative answer to who is calling and what they may do, so entitlement logic is removed from business services.</t>
  </si>
  <si>
    <t>OAuth 2.0 via Apigee; Azure AD / Microsoft Entra ID; Token Party Identity; Incode identity/KYC; HashiCorp Vault for credential support.</t>
  </si>
  <si>
    <t>1.1.1</t>
  </si>
  <si>
    <t>Authentication Services</t>
  </si>
  <si>
    <t>Verification of user and system identity, including multi-factor and step-up authentication, as a shared service.</t>
  </si>
  <si>
    <t>Removes per-application authentication implementations, which are the main source of inconsistent control strength.</t>
  </si>
  <si>
    <t>1.1.2</t>
  </si>
  <si>
    <t>Authorisation Services</t>
  </si>
  <si>
    <t>Centralised evaluation of entitlements and policy at service invocation, including role and attribute-based decisions.</t>
  </si>
  <si>
    <t>Keeps authorisation consistent as services are recomposed across legacy, next-gen and third-party providers.</t>
  </si>
  <si>
    <t>1.1.3</t>
  </si>
  <si>
    <t>Access Token &amp; Single Sign-On</t>
  </si>
  <si>
    <t>Issuance, refresh, introspection and revocation of access tokens, and propagation of identity across service hops.</t>
  </si>
  <si>
    <t>Preserves the caller's identity end to end through orchestrations, which is what makes distributed audit possible.</t>
  </si>
  <si>
    <t>1.1.4</t>
  </si>
  <si>
    <t>Session Services</t>
  </si>
  <si>
    <t>Creation, validation, timeout and termination of sessions across channels and domains.</t>
  </si>
  <si>
    <t>Enables omnichannel continuity without each channel maintaining private session state.</t>
  </si>
  <si>
    <t>1.1.5</t>
  </si>
  <si>
    <t>User, Policy &amp; Credential Administration</t>
  </si>
  <si>
    <t>Administration of identities, entitlements, policy stores and machine credentials.</t>
  </si>
  <si>
    <t>Gives auditors and operators one place to evidence and change access across the interoperability estate.</t>
  </si>
  <si>
    <t>Crypto Services</t>
  </si>
  <si>
    <t>Shared cryptographic operations - signing, encryption, end-to-end payload protection - delivered as callable services backed by hardware security modules and managed key stores.</t>
  </si>
  <si>
    <t>Concentrates the highest-assurance controls in one certified component, so cryptography is consumed rather than reimplemented.</t>
  </si>
  <si>
    <t>Third party (HSM-backed)</t>
  </si>
  <si>
    <t>AES-256 encryption; TLS/SSL; HSM key management; Oracle TDE; Istio mTLS; Incode/NOM-151 signature for onboarding contracts.</t>
  </si>
  <si>
    <t>1.2.1</t>
  </si>
  <si>
    <t>Signature Operations</t>
  </si>
  <si>
    <t>Digital signature generation and verification for transactions, documents and inter-system messages.</t>
  </si>
  <si>
    <t>Provides non-repudiation across system boundaries, which becomes essential once a transaction spans several platforms.</t>
  </si>
  <si>
    <t>1.2.2</t>
  </si>
  <si>
    <t>Encryption Operations</t>
  </si>
  <si>
    <t>Encryption and decryption services for data in transit and at rest, including tokenisation of sensitive fields.</t>
  </si>
  <si>
    <t>Allows sensitive data to traverse a distributed estate without expanding the compliance scope of every component it passes.</t>
  </si>
  <si>
    <t>1.2.3</t>
  </si>
  <si>
    <t>End-to-End Encryption</t>
  </si>
  <si>
    <t>Payload-level protection maintained from originating channel to final processor, independent of transport hops.</t>
  </si>
  <si>
    <t>Keeps data confidential across intermediaries, which is a precondition for using third-party and SaaS processors.</t>
  </si>
  <si>
    <t>1.2.4</t>
  </si>
  <si>
    <t>Key Store &amp; HSM Management</t>
  </si>
  <si>
    <t>Lifecycle management of cryptographic keys and the hardware modules that protect them.</t>
  </si>
  <si>
    <t>Prevents key sprawl, the failure mode that most often blocks cloud migration of regulated workloads.</t>
  </si>
  <si>
    <t>Certificate &amp; Secret Management</t>
  </si>
  <si>
    <t>Issuance, distribution, rotation, revocation and audit of certificates and application secrets consumed by services, gateways and pipelines.</t>
  </si>
  <si>
    <t>Automates the operational hygiene that fails most often at scale; expired certificates and hard-coded secrets are among the most frequent causes of outage and audit finding in distributed estates.</t>
  </si>
  <si>
    <t>HashiCorp Vault; AWS Secrets Manager; Kubernetes Secrets; SSL certificate management; HSM for critical key operations.</t>
  </si>
  <si>
    <t>1.3.1</t>
  </si>
  <si>
    <t>Certificate Management</t>
  </si>
  <si>
    <t>Automated certificate issuance, inventory, expiry monitoring, renewal and revocation across the estate.</t>
  </si>
  <si>
    <t>Eliminates a leading cause of self-inflicted outage as the number of encrypted endpoints multiplies.</t>
  </si>
  <si>
    <t>1.3.2</t>
  </si>
  <si>
    <t>Secret Management</t>
  </si>
  <si>
    <t>Centralised storage, dynamic injection, rotation and audit of credentials, API keys and connection strings.</t>
  </si>
  <si>
    <t>Removes secrets from code and configuration, making credential rotation a routine platform operation.</t>
  </si>
  <si>
    <t>Threat Protection</t>
  </si>
  <si>
    <t>Detection and mitigation of hostile traffic and runtime attack techniques at the perimeter, at the API layer and inside the container and streaming platforms.</t>
  </si>
  <si>
    <t>Protects the widened attack surface that decoupling necessarily creates, at the layers where exposure is greatest.</t>
  </si>
  <si>
    <t>Imperva WAF; Cloud Armor; AWS Shield; Apigee OAuth/rate limiting; Istio service mesh; Exabeam SIEM; HashiCorp Vault and hardening controls.</t>
  </si>
  <si>
    <t>1.4.1</t>
  </si>
  <si>
    <t>API Security &amp; Injection Protection</t>
  </si>
  <si>
    <t>Protection against injection, parameter tampering, broken authorisation and other API-layer attack classes, with policy enforcement at the gateway.</t>
  </si>
  <si>
    <t>Secures the interfaces the business case depends on exposing, so openness does not translate into risk.</t>
  </si>
  <si>
    <t>1.4.2</t>
  </si>
  <si>
    <t>Perimeter Threat Protection</t>
  </si>
  <si>
    <t>Web application firewall, denial-of-service mitigation and bot management at the network edge.</t>
  </si>
  <si>
    <t>Absorbs volumetric and automated attack traffic before it reaches gateway or application capacity.</t>
  </si>
  <si>
    <t>1.4.3</t>
  </si>
  <si>
    <t>Payload Protection &amp; Quota Enforcement</t>
  </si>
  <si>
    <t>Payload inspection, size and schema limits, and abuse-oriented quota enforcement.</t>
  </si>
  <si>
    <t>Prevents resource exhaustion attacks against shared components used by every consumer.</t>
  </si>
  <si>
    <t>1.4.4</t>
  </si>
  <si>
    <t>Container &amp; Streaming Security</t>
  </si>
  <si>
    <t>Image scanning, runtime workload protection, service mesh policy validation and access control on event topics.</t>
  </si>
  <si>
    <t>Extends control to the runtimes where modern services actually execute, rather than only the perimeter.</t>
  </si>
  <si>
    <t>Vulnerability &amp; Threat Management (VTM)</t>
  </si>
  <si>
    <t>Continuous identification, prioritisation and remediation of vulnerabilities across libraries, images, platforms and interfaces, including adversarial testing.</t>
  </si>
  <si>
    <t>Directly addresses the cost and time spent managing vulnerabilities across a large microservice estate - the stated objective behind curating base libraries and eliminating unnecessary dependencies.</t>
  </si>
  <si>
    <t>Third party + process</t>
  </si>
  <si>
    <t>DevSecOps security gates; SAST/DAST practices; SonarQube and OWASP ZAP referenced for pipeline security; hardening validation; vulnerability scans.</t>
  </si>
  <si>
    <t>1.5.1</t>
  </si>
  <si>
    <t>Vulnerability Scanning &amp; Remediation</t>
  </si>
  <si>
    <t>Automated scanning of code, dependencies, images and infrastructure with tracked remediation workflow.</t>
  </si>
  <si>
    <t>Converts an unbounded manual alert backlog into a governed, measurable pipeline.</t>
  </si>
  <si>
    <t>1.5.2</t>
  </si>
  <si>
    <t>Penetration Testing &amp; Adversarial Assessment</t>
  </si>
  <si>
    <t>Scheduled and targeted testing of exposed interfaces and interoperability components by specialist teams.</t>
  </si>
  <si>
    <t>Validates that inherited platform controls actually hold under attack, not just on paper.</t>
  </si>
  <si>
    <t>1.5.3</t>
  </si>
  <si>
    <t>Security Baseline &amp; Policy Enforcement</t>
  </si>
  <si>
    <t>Definition and automated enforcement of approved libraries, runtimes and configuration baselines.</t>
  </si>
  <si>
    <t>Central standards controlled by one team are what keep remediation effort sublinear as service counts grow.</t>
  </si>
  <si>
    <t>Security Observability &amp; Response</t>
  </si>
  <si>
    <t>Security-specific telemetry, correlation, alerting, dashboards and automated response built on the shared observability backbone.</t>
  </si>
  <si>
    <t>Closes the most frequently observed gap in interoperability programmes: security telemetry exists in fragments and there is no automated response capability.</t>
  </si>
  <si>
    <t>Third party + custom use cases</t>
  </si>
  <si>
    <t>Exabeam SIEM for threat detection; DataDog for security/operational dashboards; CloudTrail/CloudWatch where AWS services are used; incident escalation via Ops/Security.</t>
  </si>
  <si>
    <t>1.6.1</t>
  </si>
  <si>
    <t>Security Alerting, Metrics &amp; Dashboards</t>
  </si>
  <si>
    <t>Consolidated security event collection, correlation and dashboards spanning perimeter, API, container and streaming layers.</t>
  </si>
  <si>
    <t>Gives the security function the same end-to-end visibility that distributed tracing gives engineering.</t>
  </si>
  <si>
    <t>1.6.2</t>
  </si>
  <si>
    <t>Security Incident Response Automation</t>
  </si>
  <si>
    <t>Orchestrated and partly automated containment and remediation playbooks triggered by security detections.</t>
  </si>
  <si>
    <t>Compresses response time to a level consistent with real-time, always-on distribution channels.</t>
  </si>
  <si>
    <t>Observability</t>
  </si>
  <si>
    <t>Instrumentation and evidence across the distributed estate: log aggregation and operational logging, audit logging, distributed and end-to-end tracing, health and API monitoring, alerting, metrics and analytics, and technical and business dashboards.</t>
  </si>
  <si>
    <t>Head of Platform Engineering &amp; SRE</t>
  </si>
  <si>
    <t>The hardest consequence of composability is that no single system holds the end-to-end truth about a transaction any more; observability restores it. Executively, this capability converts the interoperability layer from a technical asset into a business-service-level risk and performance instrument - the same telemetry that drives incident response drives the IT-risk-by-business-service view used to steer the modernisation programme.</t>
  </si>
  <si>
    <t>Third party platform + custom use cases</t>
  </si>
  <si>
    <t>DataDog; Exabeam; CloudWatch/CloudTrail; Apigee analytics; Google Analytics; Data Warehouse reporting.</t>
  </si>
  <si>
    <t>Monitoring</t>
  </si>
  <si>
    <t>Continuous collection and evaluation of the health and availability of platform components, interfaces and dependencies, with threshold and anomaly-based alerting.</t>
  </si>
  <si>
    <t>Detects degradation before customers do, which matters more in a composed estate where one weak dependency degrades many journeys.</t>
  </si>
  <si>
    <t>DataDog monitoring, dashboards and alerting; CloudWatch/CloudTrail for AWS components; Apigee analytics; platform health checks across Apolo, Transact and SmartVista.</t>
  </si>
  <si>
    <t>2.1.1</t>
  </si>
  <si>
    <t>Health Monitoring</t>
  </si>
  <si>
    <t>Liveness, readiness and dependency health checks for services, runtimes and infrastructure components.</t>
  </si>
  <si>
    <t>Enables automated recovery and traffic shifting rather than manual diagnosis.</t>
  </si>
  <si>
    <t>2.1.2</t>
  </si>
  <si>
    <t>API Health &amp; Availability Monitoring</t>
  </si>
  <si>
    <t>Availability, latency, saturation and error-rate monitoring per interface and per consumer.</t>
  </si>
  <si>
    <t>Makes published contracts measurable against service levels, which is what allows internal reuse to be trusted.</t>
  </si>
  <si>
    <t>2.1.3</t>
  </si>
  <si>
    <t>Alerting &amp; Notification</t>
  </si>
  <si>
    <t>Rule and threshold-based alert generation with routing to the relevant channel (ITSM, messaging, mail, on-call).</t>
  </si>
  <si>
    <t>Ensures detection reaches an accountable owner; unrouted telemetry has no operational value.</t>
  </si>
  <si>
    <t>2.1.4</t>
  </si>
  <si>
    <t>Capacity &amp; Event-Rate Monitoring</t>
  </si>
  <si>
    <t>Measurement of throughput, event rates and resource consumption to support capacity planning.</t>
  </si>
  <si>
    <t>Directly addresses the performance and capacity-plan gaps typically found in the current-state integration estate.</t>
  </si>
  <si>
    <t>Logging</t>
  </si>
  <si>
    <t>Structured collection, normalisation, indexing, retention and rotation of technical, operational and audit logs from every component in the interoperability layer.</t>
  </si>
  <si>
    <t>Provides the forensic and audit substrate for a distributed estate where no single application log tells the whole story.</t>
  </si>
  <si>
    <t>DataDog logs/monitors; Exabeam SIEM; AWS CloudTrail/CloudWatch; audit trails from Apigee, Transact, SmartVista and regulatory/reporting flows.</t>
  </si>
  <si>
    <t>2.2.1</t>
  </si>
  <si>
    <t>Log Aggregation</t>
  </si>
  <si>
    <t>Centralised collection and indexing of logs from services, gateways, runtimes and pipelines.</t>
  </si>
  <si>
    <t>Removes per-system log hunting, which is the largest single component of mean time to diagnose.</t>
  </si>
  <si>
    <t>2.2.2</t>
  </si>
  <si>
    <t>Operational Log Services</t>
  </si>
  <si>
    <t>Standard logging libraries, formats and severity conventions consumed by application teams.</t>
  </si>
  <si>
    <t>Makes logs machine-correlatable by design instead of retrospectively parsed.</t>
  </si>
  <si>
    <t>2.2.3</t>
  </si>
  <si>
    <t>Audit Logging</t>
  </si>
  <si>
    <t>Immutable recording of security-relevant and business-relevant events with defined retention.</t>
  </si>
  <si>
    <t>Satisfies regulatory evidence obligations that legacy cores previously met implicitly through their own journals.</t>
  </si>
  <si>
    <t>2.2.4</t>
  </si>
  <si>
    <t>Log Retention &amp; Rotation</t>
  </si>
  <si>
    <t>Policy-driven retention tiers, archival and rotation across hot, warm and cold storage.</t>
  </si>
  <si>
    <t>Controls the cost curve of observability, which otherwise scales faster than the estate itself.</t>
  </si>
  <si>
    <t>Tracing</t>
  </si>
  <si>
    <t>Propagation and reconstruction of the full execution path of a request across services, platforms, protocols and asynchronous hops, based on a consistently propagated correlation identifier.</t>
  </si>
  <si>
    <t>The single most important observability capability in an interoperable architecture: it is what makes a distributed transaction explainable end to end, across legacy and next-gen alike.</t>
  </si>
  <si>
    <t>Third party + custom instrumentation</t>
  </si>
  <si>
    <t>DataDog APM/tracing is planned as advanced observability; Istio supports service-level telemetry. Correlation identity service is not explicitly named.</t>
  </si>
  <si>
    <t>2.3.1</t>
  </si>
  <si>
    <t>Distributed Tracing</t>
  </si>
  <si>
    <t>Span collection and assembly across synchronous service invocations, with latency attribution per hop.</t>
  </si>
  <si>
    <t>Locates the actual constraint in a composed journey instead of allocating blame by inference.</t>
  </si>
  <si>
    <t>2.3.2</t>
  </si>
  <si>
    <t>End-to-End Tracing (Correlation Identity)</t>
  </si>
  <si>
    <t>Consistent propagation of correlation identifiers across channels, orchestrations, events and legacy adaptors.</t>
  </si>
  <si>
    <t>Delivers traceability across the whole technical architecture, including asynchronous and mainframe segments.</t>
  </si>
  <si>
    <t>Metrics, Analytics &amp; Reporting</t>
  </si>
  <si>
    <t>Derivation, storage and analysis of technical and business metrics from telemetry, including automated correlation and machine-learning-assisted detection, and periodic reporting.</t>
  </si>
  <si>
    <t>Turns raw telemetry into the management information used to evidence the interoperability business case and to steer platform investment.</t>
  </si>
  <si>
    <t>DataDog KPIs; Apigee analytics; Google Analytics for digital behaviour; Data Warehouse/DataStage for reporting feeds; executive PMO dashboards.</t>
  </si>
  <si>
    <t>2.4.1</t>
  </si>
  <si>
    <t>Metrics &amp; Analytics</t>
  </si>
  <si>
    <t>Time-series metric collection, aggregation and analysis, including business-event correlation and anomaly detection.</t>
  </si>
  <si>
    <t>Provides the measurement basis for reuse, time-to-market and cost claims made in the programme business case.</t>
  </si>
  <si>
    <t>2.4.2</t>
  </si>
  <si>
    <t>Reporting</t>
  </si>
  <si>
    <t>Scheduled and on-demand operational, service-level and compliance reporting.</t>
  </si>
  <si>
    <t>Supplies the recurring evidence pack for risk, audit and service governance forums.</t>
  </si>
  <si>
    <t>Dashboards</t>
  </si>
  <si>
    <t>Role-oriented visualisation of platform and business telemetry for engineering, operations, security, business and executive audiences.</t>
  </si>
  <si>
    <t>Converts observability from an engineering tool into a shared management instrument, including the business-service-level IT risk view.</t>
  </si>
  <si>
    <t>DataDog technical dashboards; PMO / executive dashboards; regulatory and business dashboards via Data Warehouse, Bajaware/Risklogic and project reporting.</t>
  </si>
  <si>
    <t>2.5.1</t>
  </si>
  <si>
    <t>Technical Dashboards</t>
  </si>
  <si>
    <t>Component, service and infrastructure views for engineering and operations teams.</t>
  </si>
  <si>
    <t>Shortens triage and supports service ownership at team level.</t>
  </si>
  <si>
    <t>2.5.2</t>
  </si>
  <si>
    <t>Business Dashboards</t>
  </si>
  <si>
    <t>Business-service and journey-level views of volume, success rate and value flow.</t>
  </si>
  <si>
    <t>Lets executives see modernisation progress and risk in business terms rather than component terms.</t>
  </si>
  <si>
    <t>Infrastructure (Tech Stack)</t>
  </si>
  <si>
    <t>The runtime foundation of the interoperability layer: microservices framework and kernel services, base libraries and language runtimes, container and serverless platform, service discovery and mesh, configuration automation, deployment and test engineering, and infrastructure resilience.</t>
  </si>
  <si>
    <t>Head of Cloud &amp; Platform Engineering</t>
  </si>
  <si>
    <t>Determines the marginal cost of adding a component to the architecture. A curated, standards-enforced stack - allowed technologies governed centrally, unnecessary libraries eliminated - delivers the deployment agility and elastic scaling the business case attributes to composability, and keeps hundreds of services governable by a small platform team.</t>
  </si>
  <si>
    <t>Open source + third party, centrally curated</t>
  </si>
  <si>
    <t>AWS, GCP and on-prem hybrid infrastructure; EKS/Kubernetes; Terraform/Packer/GitHub IaC; DevSecOps CI/CD; DataDog; Vault.</t>
  </si>
  <si>
    <t>Microservices Framework</t>
  </si>
  <si>
    <t>The opinionated development and runtime framework that hosts self-sufficient services irrespective of business domain, including shared base libraries, approved language runtimes, kernel services, service discovery and service mesh integration.</t>
  </si>
  <si>
    <t>The framework is where cross-cutting concerns are inherited rather than rebuilt; its quality sets the productivity ceiling for every domain team.</t>
  </si>
  <si>
    <t>Open source, curated in-house</t>
  </si>
  <si>
    <t>Spring Boot microservices; Modyo Connect microservices; Temenos DES API/components; EKS/ECS/Fargate; Kubernetes; Istio service mesh.</t>
  </si>
  <si>
    <t>13.1.1</t>
  </si>
  <si>
    <t>Base Libraries</t>
  </si>
  <si>
    <t>Curated, versioned common libraries providing logging, security, resilience, configuration and telemetry integration.</t>
  </si>
  <si>
    <t>Standardises non-functional behaviour and shrinks the vulnerability surface by removing unnecessary dependencies.</t>
  </si>
  <si>
    <t>13.1.2</t>
  </si>
  <si>
    <t>Language Runtimes</t>
  </si>
  <si>
    <t>Governed set of approved runtimes and versions with defined upgrade paths.</t>
  </si>
  <si>
    <t>Prevents technology sprawl that would make platform-wide remediation and skills planning impossible.</t>
  </si>
  <si>
    <t>13.1.3</t>
  </si>
  <si>
    <t>Kernel Services</t>
  </si>
  <si>
    <t>Foundational platform services consumed by all domains, including the formal service inventory that registers them.</t>
  </si>
  <si>
    <t>An authoritative inventory is the precondition for governing reuse and for costing the estate.</t>
  </si>
  <si>
    <t>13.1.4</t>
  </si>
  <si>
    <t>Service Discovery</t>
  </si>
  <si>
    <t>Dynamic registration and resolution of service instances at runtime.</t>
  </si>
  <si>
    <t>Enables elastic scaling and relocation without static endpoint configuration.</t>
  </si>
  <si>
    <t>Istio Service Mesh on Kubernetes/EKS; EKS service discovery and load balancing for microservices.</t>
  </si>
  <si>
    <t>13.1.5</t>
  </si>
  <si>
    <t>Service Mesh</t>
  </si>
  <si>
    <t>Sidecar-based control of service-to-service traffic, including mutual authentication and token validation at the platform layer.</t>
  </si>
  <si>
    <t>Moves inter-service security and traffic control out of application code, simplifying every service.</t>
  </si>
  <si>
    <t>Container &amp; Runtime Platform</t>
  </si>
  <si>
    <t>Container orchestration, serverless execution and image management providing the elastic compute substrate for interoperability components.</t>
  </si>
  <si>
    <t>Provides deployment agility and demand-driven scaling, and is the practical vehicle for portability across cloud providers and hybrid environments.</t>
  </si>
  <si>
    <t>Amazon EKS/Kubernetes; ECS/Fargate for Modyo Connect; OpenShift referenced in technical dashboard; Docker/container registry.</t>
  </si>
  <si>
    <t>13.2.1</t>
  </si>
  <si>
    <t>Container Orchestration</t>
  </si>
  <si>
    <t>Scheduling, scaling, self-healing and workload placement of containerised services.</t>
  </si>
  <si>
    <t>Delivers the elasticity that decoupled architectures need to serve peaky digital demand economically.</t>
  </si>
  <si>
    <t>13.2.2</t>
  </si>
  <si>
    <t>Serverless Runtime</t>
  </si>
  <si>
    <t>Event-triggered, consumption-based execution for lightweight and bursty functions.</t>
  </si>
  <si>
    <t>Extends consumption-based cost models to integration and data-transformation workloads.</t>
  </si>
  <si>
    <t>No dedicated serverless runtime is explicitly evidenced; adjacent AWS managed services include Amazon API Gateway, CloudFront, Pinpoint, MQ and Kinesis.</t>
  </si>
  <si>
    <t>13.2.3</t>
  </si>
  <si>
    <t>Image &amp; Artefact Management</t>
  </si>
  <si>
    <t>Registry, streaming, signing and promotion of runtime images and build artefacts.</t>
  </si>
  <si>
    <t>Guarantees provenance and speeds deployment, both prerequisites for high release frequency.</t>
  </si>
  <si>
    <t>Packer golden images; GitHub repositories; container registry/ECR decision area; Helm Charts; DevSecOps artefact pipelines.</t>
  </si>
  <si>
    <t>Platform Configuration Automation</t>
  </si>
  <si>
    <t>Declarative, automated provisioning and configuration of platform components and environments, including centralised application configuration services.</t>
  </si>
  <si>
    <t>Removes the environment inconsistency that otherwise makes distributed testing unreliable and releases unpredictable.</t>
  </si>
  <si>
    <t>Open source + third party</t>
  </si>
  <si>
    <t>Terraform + Packer + GitHub; IaC modules; Homologación de Ambientes; possible Ansible/CloudFormation patterns; Vault/Secrets for config security.</t>
  </si>
  <si>
    <t>13.3.1</t>
  </si>
  <si>
    <t>Infrastructure &amp; Platform Provisioning</t>
  </si>
  <si>
    <t>Automated, version-controlled provisioning of the infrastructure and platform components the layer depends on.</t>
  </si>
  <si>
    <t>Makes the interoperability layer reproducible across environments, regions and entities.</t>
  </si>
  <si>
    <t>13.3.2</t>
  </si>
  <si>
    <t>Configuration Management</t>
  </si>
  <si>
    <t>Externalised, environment-aware configuration served to services at runtime.</t>
  </si>
  <si>
    <t>Allows behaviour change without redeployment, which is essential for coexistence cut-over control.</t>
  </si>
  <si>
    <t>13.3.3</t>
  </si>
  <si>
    <t>Environment Management</t>
  </si>
  <si>
    <t>Definition, provisioning and lifecycle of the full environment chain with its corresponding backends.</t>
  </si>
  <si>
    <t>Addresses the common blocker where a full backend-aligned environment chain does not exist for integration testing.</t>
  </si>
  <si>
    <t>Deployment &amp; Release Engineering</t>
  </si>
  <si>
    <t>Automated build, test and release mechanics for interoperability components, including controlled rollout techniques and automated regression testing.</t>
  </si>
  <si>
    <t>Deployment control is what makes incremental, reversible modernisation possible in practice rather than only in the roadmap.</t>
  </si>
  <si>
    <t>DevSecOps CI/CD pipelines; GitLab CI or Jenkins under decision; Helm Charts; automated tests; blue-green/canary deployment practices.</t>
  </si>
  <si>
    <t>13.4.1</t>
  </si>
  <si>
    <t>Deployment Strategies</t>
  </si>
  <si>
    <t>Controlled rollout mechanisms with progressive exposure and rapid rollback capability.</t>
  </si>
  <si>
    <t>Allows core migration traffic to be shifted gradually and reversed without a release event.</t>
  </si>
  <si>
    <t>13.4.2</t>
  </si>
  <si>
    <t>Automated Testing</t>
  </si>
  <si>
    <t>Automated unit, contract, integration and regression testing across service and interface boundaries.</t>
  </si>
  <si>
    <t>Contract testing is the only economic way to keep hundreds of independently released services compatible.</t>
  </si>
  <si>
    <t>Infrastructure Resilience</t>
  </si>
  <si>
    <t>Engineering and validation of the layer's ability to withstand and recover from component failure, including deliberate failure injection, high availability design and recovery services.</t>
  </si>
  <si>
    <t>In a composed architecture, aggregate availability is a product of many dependencies; resilience must therefore be engineered and tested rather than assumed.</t>
  </si>
  <si>
    <t>Third party + engineering practice</t>
  </si>
  <si>
    <t>AWS multi-AZ/DR architecture; Producción and DR Producción environments; Oracle Data Guard/R-SYNC for SmartVista; backup/restore and regional DR.</t>
  </si>
  <si>
    <t>13.5.1</t>
  </si>
  <si>
    <t>High Availability &amp; Failover</t>
  </si>
  <si>
    <t>Redundancy, multi-zone deployment and automated failover for interoperability components.</t>
  </si>
  <si>
    <t>Prevents the abstraction layer becoming a single point of failure for every channel and product.</t>
  </si>
  <si>
    <t>13.5.2</t>
  </si>
  <si>
    <t>Resilience Testing &amp; Failure Injection</t>
  </si>
  <si>
    <t>Deliberate, controlled introduction of failure conditions in non-production environments to validate recovery behaviour.</t>
  </si>
  <si>
    <t>Surfaces non-reproducible failure modes before they appear in production incidents.</t>
  </si>
  <si>
    <t>13.5.3</t>
  </si>
  <si>
    <t>Recovery Services</t>
  </si>
  <si>
    <t>Automated detection, isolation and restoration procedures for degraded components.</t>
  </si>
  <si>
    <t>Reduces the operational cost of running a distributed estate at scale.</t>
  </si>
  <si>
    <t>Service Orchestration</t>
  </si>
  <si>
    <t>Composition of fine-grained services into complex business services across heterogeneous platforms - synchronously or asynchronously, sequentially or in parallel - through a service orchestrator, an integration and mediation framework, context management and legacy adaptors.</t>
  </si>
  <si>
    <t>Chief Architect - Interoperability Layer</t>
  </si>
  <si>
    <t>Domain Capability</t>
  </si>
  <si>
    <t>This is where best-of-breed coexistence stops being a diagram and becomes executable: one business service can span a next-gen core, a SaaS product processor and a mainframe subdomain while the consumer sees a single call. Moving orchestration out of hard-coded core programs into a declarative framework is typically the largest single productivity gain in the layer and the precondition for decommissioning legacy middleware.</t>
  </si>
  <si>
    <t>Third party framework + custom services</t>
  </si>
  <si>
    <t>MuleSoft; WebMethods; Apigee; Modyo Connect; BIAN services; Interfaces Temporales/Strangler Fig; Transact OFS/IRIS APIs.</t>
  </si>
  <si>
    <t>Service Orchestrator</t>
  </si>
  <si>
    <t>The engine that decomposes a complex service into an ordered or parallel set of fine-grained service invocations and manages their execution, results and exceptions.</t>
  </si>
  <si>
    <t>Concentrates cross-system business logic in one governed, visible place instead of dispersing it across channels and cores.</t>
  </si>
  <si>
    <t>MuleSoft orchestration; Software AG WebMethods BPM/BRM; Apigee invocation management; Modyo Connect state-machine style flow orchestration; DataDog diagnostics.</t>
  </si>
  <si>
    <t>8.1.1</t>
  </si>
  <si>
    <t>Service Composition &amp; Sequencing</t>
  </si>
  <si>
    <t>Definition and execution of composite services from fine-grained steps, with declarative or visual configuration.</t>
  </si>
  <si>
    <t>Increases delivery productivity and makes cross-system logic reviewable by architecture and audit.</t>
  </si>
  <si>
    <t>8.1.2</t>
  </si>
  <si>
    <t>Parallel &amp; Conditional Execution Control</t>
  </si>
  <si>
    <t>Concurrent and rule-conditioned execution of orchestration steps with aggregation of results.</t>
  </si>
  <si>
    <t>Keeps response times acceptable when a journey requires several backend systems.</t>
  </si>
  <si>
    <t>8.1.3</t>
  </si>
  <si>
    <t>Invocation Management</t>
  </si>
  <si>
    <t>Management of synchronous and asynchronous invocation styles, timeouts, retries and partial-failure handling.</t>
  </si>
  <si>
    <t>Lets each participating platform be integrated in the style it actually supports, without penalising the consumer.</t>
  </si>
  <si>
    <t>8.1.4</t>
  </si>
  <si>
    <t>Orchestration Monitoring &amp; Diagnostics</t>
  </si>
  <si>
    <t>Instrumentation of orchestration execution with technical and business event emission.</t>
  </si>
  <si>
    <t>Makes composed services operable, which is the practical condition for trusting them with revenue journeys.</t>
  </si>
  <si>
    <t>Integration &amp; Mediation Framework</t>
  </si>
  <si>
    <t>Transformation, mapping and protocol-bridging services that reconcile differing data contracts, formats and communication mechanisms between participating platforms.</t>
  </si>
  <si>
    <t>Absorbs heterogeneity so that adding a new processor or provider is an adaptor exercise rather than a change to the consuming estate.</t>
  </si>
  <si>
    <t>8.2.1</t>
  </si>
  <si>
    <t>Message Transformation &amp; Mapping</t>
  </si>
  <si>
    <t>Declarative mapping between canonical and native message structures, including enrichment and defaulting.</t>
  </si>
  <si>
    <t>Keeps the canonical contract stable while native formats change underneath.</t>
  </si>
  <si>
    <t>MuleSoft transformation and protocol bridging; Apigee API contracts; BIAN canonical service design; DataStage for data transformation; OpenAPI/Swagger API documentation.</t>
  </si>
  <si>
    <t>8.2.2</t>
  </si>
  <si>
    <t>Protocol Bridging</t>
  </si>
  <si>
    <t>Adaptation between communication mechanisms (REST, gRPC, messaging, file, legacy transaction protocols).</t>
  </si>
  <si>
    <t>Allows legacy protocols to participate in modern journeys without forcing a rewrite as a precondition.</t>
  </si>
  <si>
    <t>8.2.3</t>
  </si>
  <si>
    <t>Dynamic Data Mapping &amp; Schema Governance</t>
  </si>
  <si>
    <t>Configurable, versioned mapping definitions and schema contracts maintained outside application code.</t>
  </si>
  <si>
    <t>Turns contract change into a controlled configuration event, isolating the platform from external system changes.</t>
  </si>
  <si>
    <t>Context Management</t>
  </si>
  <si>
    <t>Capture, propagation and consistent availability of execution context - identity, channel, entity, locale, correlation, entitlements - across every hop of a composed service.</t>
  </si>
  <si>
    <t>Without propagated context, distributed audit, entitlement enforcement and tracing all break at the first system boundary.</t>
  </si>
  <si>
    <t>Custom</t>
  </si>
  <si>
    <t>Golden Record / Party-CIF; Transact Product Catalog and AA Framework; BRM; Apigee/MuleSoft context propagation; not a separate registry product in sources.</t>
  </si>
  <si>
    <t>8.3.1</t>
  </si>
  <si>
    <t>Request Context Propagation</t>
  </si>
  <si>
    <t>Standardised transmission of caller, channel and correlation context through all orchestration hops.</t>
  </si>
  <si>
    <t>Enables consistent authorisation, audit and tracing regardless of how many systems participate.</t>
  </si>
  <si>
    <t>8.3.2</t>
  </si>
  <si>
    <t>Service Registry &amp; Rule Configuration</t>
  </si>
  <si>
    <t>Registration of services with their execution characteristics, rules and administrative metadata.</t>
  </si>
  <si>
    <t>Makes service behaviour (atomicity, approvals, retry eligibility) declarative and centrally governed.</t>
  </si>
  <si>
    <t>Legacy Adaptors</t>
  </si>
  <si>
    <t>Service wrappers and platform-specific adaptors that expose legacy-resident functions as standard APIs and events, bridging from the microservices architecture to mainframe and proprietary platforms.</t>
  </si>
  <si>
    <t>The workhorse coexistence capability: it makes legacy function consumable by modern journeys without modifying legacy code, which is what allows modernisation to be incremental and reversible.</t>
  </si>
  <si>
    <t>Interfaces Temporales using Strangler Fig/ByPass; PISA/Informix wrappers; Apificación OfiWeb; Teller Multi Core; batch/COB interfaces and decommissioning roadmap.</t>
  </si>
  <si>
    <t>8.4.1</t>
  </si>
  <si>
    <t>Service Wrappers &amp; Legacy Service Exposure</t>
  </si>
  <si>
    <t>Microservice wrappers that expose legacy transactions as APIs suitable for orchestration.</t>
  </si>
  <si>
    <t>Unlocks decades of embedded business function for reuse without a rewrite prerequisite.</t>
  </si>
  <si>
    <t>8.4.2</t>
  </si>
  <si>
    <t>Platform Adaptors</t>
  </si>
  <si>
    <t>Platform-specific connectivity and protocol adaptors for mainframe and proprietary environments, including transaction routing.</t>
  </si>
  <si>
    <t>Isolates platform-specific mechanics in one replaceable component, so the estate is not coupled to legacy technology choices.</t>
  </si>
  <si>
    <t>8.4.3</t>
  </si>
  <si>
    <t>Legacy Batch &amp; Data Synchronisation Interfaces</t>
  </si>
  <si>
    <t>Batch and data synchronisation mechanisms required alongside real-time access to legacy platforms.</t>
  </si>
  <si>
    <t>Covers the residual batch reality that pure API strategies typically underestimate.</t>
  </si>
  <si>
    <t>8.4.4</t>
  </si>
  <si>
    <t>Adaptor Lifecycle &amp; Decommissioning</t>
  </si>
  <si>
    <t>Controlled introduction, dual-running and retirement of adaptors as functions migrate off legacy.</t>
  </si>
  <si>
    <t>Ensures tactical adaptors are actively retired rather than becoming permanent architecture.</t>
  </si>
  <si>
    <t>Process Orchestration</t>
  </si>
  <si>
    <t>Execution and control of longer-running business processes that combine system and human steps - workflow definition, task management, state persistence, exception and escalation handling - implemented on lightweight workflow engines rather than heavyweight enterprise BPM suites.</t>
  </si>
  <si>
    <t>Head of Business Process Architecture</t>
  </si>
  <si>
    <t>Separates the millisecond technical flow from the multi-day business flow. It gives the bank one place to express authorisation hierarchies, four-eyes controls, exception handling and resumable journeys without embedding them in either the channel or the core, which is what makes journeys portable across products and channels.</t>
  </si>
  <si>
    <t>Lightweight third party workflow engine</t>
  </si>
  <si>
    <t>WebMethods BPM/BRM; Modyo Connect; Teller Multi Core; OnBase; DataDog; PMO/RAID governance.</t>
  </si>
  <si>
    <t>Workflow Services</t>
  </si>
  <si>
    <t>Definition, versioning and execution of multi-step business processes spanning services, systems and human participants.</t>
  </si>
  <si>
    <t>Makes process logic explicit and changeable by design authority rather than implicit in code across several systems.</t>
  </si>
  <si>
    <t>WebMethods BPM; Modyo Connect workflow/state-machine; Flow Engineering/Jira work management for delivery; process flows across Apolo, SmartVista and Transact.</t>
  </si>
  <si>
    <t>9.1.1</t>
  </si>
  <si>
    <t>Workflow Definition &amp; Versioning</t>
  </si>
  <si>
    <t>Modelling and version control of process definitions, with controlled promotion across environments.</t>
  </si>
  <si>
    <t>Allows process change at business cadence without a core release.</t>
  </si>
  <si>
    <t>9.1.2</t>
  </si>
  <si>
    <t>Workflow Execution &amp; Step Coordination</t>
  </si>
  <si>
    <t>Runtime execution of process instances, invoking services and awaiting external outcomes.</t>
  </si>
  <si>
    <t>Provides reliable execution of journeys that span days and multiple systems.</t>
  </si>
  <si>
    <t>9.1.3</t>
  </si>
  <si>
    <t>Business Rules Configuration</t>
  </si>
  <si>
    <t>Externalised rules governing routing, thresholds, eligibility and required participants per process type.</t>
  </si>
  <si>
    <t>Keeps policy differences across products, entities and countries configurable rather than forked in code.</t>
  </si>
  <si>
    <t>BRM; WebMethods BRM; Transact AA Framework/Product Catalog; SmartVista parameterization; Merit Crediticio scoring rules.</t>
  </si>
  <si>
    <t>Human Task Management</t>
  </si>
  <si>
    <t>Creation, assignment, prioritisation and completion of human work items arising from automated processes, including work lists and delegation.</t>
  </si>
  <si>
    <t>Integrates the human steps that remain in regulated banking processes without pushing them back into channel applications.</t>
  </si>
  <si>
    <t>Teller Multi Core for assisted branch tasks; OnBase/document workflows; SIWEB/OFI and branch/call-center work queues. No single BPM task tool is fully evidenced.</t>
  </si>
  <si>
    <t>9.2.1</t>
  </si>
  <si>
    <t>Task Assignment &amp; Work List Management</t>
  </si>
  <si>
    <t>Routing of work items to roles, queues and individuals with prioritisation and reassignment.</t>
  </si>
  <si>
    <t>Gives operations one governed inbox instead of per-application task queues.</t>
  </si>
  <si>
    <t>9.2.2</t>
  </si>
  <si>
    <t>Task Interception &amp; Resumption</t>
  </si>
  <si>
    <t>Suspension of a service execution pending human action and resumption on completion.</t>
  </si>
  <si>
    <t>Allows controls to be inserted into automated journeys without redesigning the journey.</t>
  </si>
  <si>
    <t>Process State &amp; Exception Management</t>
  </si>
  <si>
    <t>Durable persistence of long-running process state, together with timeout, escalation, retry and exception handling for stalled or failed instances.</t>
  </si>
  <si>
    <t>Long-running processes fail differently from transactions; explicit state and escalation handling is what prevents silent loss of in-flight business.</t>
  </si>
  <si>
    <t>WebMethods BPM/BRM and Modyo Connect for process state; PMO/RAID escalation; fallback/contingency with Interfaces Temporales and PISA.</t>
  </si>
  <si>
    <t>9.3.1</t>
  </si>
  <si>
    <t>Process State Persistence</t>
  </si>
  <si>
    <t>Durable storage of process instance state, history and pending actions.</t>
  </si>
  <si>
    <t>Guarantees resumability across restarts, deployments and outages.</t>
  </si>
  <si>
    <t>9.3.2</t>
  </si>
  <si>
    <t>Escalation &amp; Timeout Handling</t>
  </si>
  <si>
    <t>Time-based escalation, reminder and reassignment rules for stalled instances.</t>
  </si>
  <si>
    <t>Protects service-level commitments and provides audit evidence of control operation.</t>
  </si>
  <si>
    <t>9.3.3</t>
  </si>
  <si>
    <t>Process Exception Handling</t>
  </si>
  <si>
    <t>Detection, classification and remediation routing of failed or exception-state process instances.</t>
  </si>
  <si>
    <t>Turns exceptions into a managed queue rather than a source of unquantified operational risk.</t>
  </si>
  <si>
    <t>Process Monitoring &amp; Administration</t>
  </si>
  <si>
    <t>Operational visibility into in-flight and completed process instances, with administrative intervention and reporting on cycle time and bottlenecks.</t>
  </si>
  <si>
    <t>Provides the process-level equivalent of distributed tracing and the measurement base for straight-through processing improvement.</t>
  </si>
  <si>
    <t>DataDog for process/platform monitoring; SmartVista Back Office; Transact administration; PMO dashboards for process performance.</t>
  </si>
  <si>
    <t>9.4.1</t>
  </si>
  <si>
    <t>Process Instance Monitoring &amp; Console</t>
  </si>
  <si>
    <t>Operational views of in-flight instances with intervention capability (retry, reassign, cancel).</t>
  </si>
  <si>
    <t>Lets operations resolve stuck business processes without engineering involvement.</t>
  </si>
  <si>
    <t>9.4.2</t>
  </si>
  <si>
    <t>Process Performance Reporting</t>
  </si>
  <si>
    <t>Cycle time, throughput, exception rate and bottleneck analytics by process and product.</t>
  </si>
  <si>
    <t>Quantifies straight-through processing gains attributable to the interoperability programme.</t>
  </si>
  <si>
    <t>Distributed Transactions</t>
  </si>
  <si>
    <t>Atomicity, consistency and recoverability of business operations that span more than one service, platform or data store: transactional coordination, compensation and reversal, transaction state and history, operational control tooling, store-and-forward continuity, and runtime administration of transactional services.</t>
  </si>
  <si>
    <t>The non-negotiable capability in banking. Decomposition is only acceptable if consistency is engineered explicitly rather than inherited from a single database. This domain provides the decision framework (single versus multiple resources, same versus different subdomain, XA versus non-XA) and the operational tooling to retry, reverse and report - which is what allows the bank to break the monolith without accepting data-integrity risk.</t>
  </si>
  <si>
    <t>Third party coordinator + custom services</t>
  </si>
  <si>
    <t>Temenos Transact FT/Payments/GL; BPC SmartVista/SVIP; Hub de Pagos; Kafka/Confluent; Amazon MQ/Kinesis; Interfaces Temporales.</t>
  </si>
  <si>
    <t>Transaction Management</t>
  </si>
  <si>
    <t>Coordination of multi-participant business operations, tracking the success or failure of each step and driving either completion or compensating reversal, with durable recording of state and history.</t>
  </si>
  <si>
    <t>Guarantees that a business transaction spanning legacy, next-gen and third-party systems either completes or is fully unwound, with evidence.</t>
  </si>
  <si>
    <t>Third party coordinator</t>
  </si>
  <si>
    <t>7.1.1</t>
  </si>
  <si>
    <t>Transactional Coordination</t>
  </si>
  <si>
    <t>Coordinator that tracks participant outcomes and decides completion or rollback for a composite operation.</t>
  </si>
  <si>
    <t>Provides a single authoritative decision point for correctness across systems that cannot share a transaction manager.</t>
  </si>
  <si>
    <t>Transact FT/Payments and GL/Accounting; SmartVista transaction processing/SVIP; Hub de Pagos/SPEI; Kafka/Confluent/Amazon MQ; Conductor/Saga planned in roadmap.</t>
  </si>
  <si>
    <t>7.1.2</t>
  </si>
  <si>
    <t>Compensation &amp; Reversal Execution</t>
  </si>
  <si>
    <t>Execution of compensating actions against participants whose work must be undone, driven through a reliable messaging backbone.</t>
  </si>
  <si>
    <t>Enables safe decomposition where two-phase commit is impossible, which is the majority of the hybrid estate.</t>
  </si>
  <si>
    <t>7.1.3</t>
  </si>
  <si>
    <t>Transaction State &amp; History Persistence</t>
  </si>
  <si>
    <t>Durable transaction database recording status, participants, payload references and event history.</t>
  </si>
  <si>
    <t>Supplies the audit trail and recovery source of truth that a distributed transaction no longer has by default.</t>
  </si>
  <si>
    <t>7.1.4</t>
  </si>
  <si>
    <t>Reliable Message Exchange</t>
  </si>
  <si>
    <t>Guaranteed notification of step outcomes and reversal instructions between coordinator and participants.</t>
  </si>
  <si>
    <t>Ensures the correctness decision is never lost in transit; message loss here becomes financial exposure.</t>
  </si>
  <si>
    <t>Transaction Operations &amp; Control</t>
  </si>
  <si>
    <t>Operator-facing tooling to observe, intervene in and report on complex transactions, including retry, cancel and reverse actions and technical plus operational event monitoring.</t>
  </si>
  <si>
    <t>Makes distributed consistency operable by named teams; without it, correctness depends on engineering escalation for every anomaly.</t>
  </si>
  <si>
    <t>Custom or third party</t>
  </si>
  <si>
    <t>7.2.1</t>
  </si>
  <si>
    <t>Transactional Console</t>
  </si>
  <si>
    <t>Operational interface showing the status and history of complex transactions with drill-down to participant level.</t>
  </si>
  <si>
    <t>Gives operations and support direct visibility into cross-system state, removing engineering from the incident path.</t>
  </si>
  <si>
    <t>SmartVista Back Office; Transact operations; DataStage/Data Warehouse reconciliation; GL/Accounting; DataDog transactional event monitoring.</t>
  </si>
  <si>
    <t>7.2.2</t>
  </si>
  <si>
    <t>Retry, Cancel &amp; Reverse Operations</t>
  </si>
  <si>
    <t>Controlled operator-initiated remediation of stuck or failed transactions.</t>
  </si>
  <si>
    <t>Reduces resolution time for exceptions and limits the customer impact of partial failures.</t>
  </si>
  <si>
    <t>7.2.3</t>
  </si>
  <si>
    <t>Transaction Reporting &amp; Reconciliation Support</t>
  </si>
  <si>
    <t>Reporting on transaction outcomes, exceptions and ageing to support reconciliation and control functions.</t>
  </si>
  <si>
    <t>Provides finance and control with the evidence previously supplied implicitly by the core's own journals.</t>
  </si>
  <si>
    <t>7.2.4</t>
  </si>
  <si>
    <t>Transactional Event Monitoring</t>
  </si>
  <si>
    <t>Emission and monitoring of technical health events and business events from the transaction components.</t>
  </si>
  <si>
    <t>Enables automated as well as manual problem resolution, keeping operational cost flat as volumes grow.</t>
  </si>
  <si>
    <t>Store &amp; Forward</t>
  </si>
  <si>
    <t>Persistence and controlled later execution of requests that cannot complete now - because a hosting system is unavailable, or because the user scheduled the action for a future date - comprising request manager, registry, processor, router and console.</t>
  </si>
  <si>
    <t>Delivers service continuity when part of the estate is down and, reusing the same mechanism, supports future-dated instructions such as scheduled payments. It is a primary reason customers do not experience legacy availability limits directly.</t>
  </si>
  <si>
    <t>Amazon MQ/Kinesis and Kafka/Confluent for reliable exchange; Interfaces Temporales with retry/fallback to PISA; batch/COB where synchronous processing is not possible.</t>
  </si>
  <si>
    <t>7.3.1</t>
  </si>
  <si>
    <t>Request Manager &amp; Registry</t>
  </si>
  <si>
    <t>Capture and durable storage of pending requests with all data required for later execution.</t>
  </si>
  <si>
    <t>Converts a backend outage from a failed customer interaction into a deferred one.</t>
  </si>
  <si>
    <t>7.3.2</t>
  </si>
  <si>
    <t>Request Processor &amp; Retry Rules</t>
  </si>
  <si>
    <t>Rule-driven decision on when and how often to retry, using priority, cycle and system-availability signals.</t>
  </si>
  <si>
    <t>Prevents retry storms against recovering systems while honouring business priority.</t>
  </si>
  <si>
    <t>7.3.3</t>
  </si>
  <si>
    <t>Request Router &amp; Forwarding</t>
  </si>
  <si>
    <t>Forwarding of each stored request to the correct business service at execution time.</t>
  </si>
  <si>
    <t>Keeps the mechanism generic, so any eligible service inherits continuity without bespoke code.</t>
  </si>
  <si>
    <t>7.3.4</t>
  </si>
  <si>
    <t>Store &amp; Forward Console</t>
  </si>
  <si>
    <t>Operational monitoring and administration of pending and failed stored requests.</t>
  </si>
  <si>
    <t>Provides accountability for deferred business, which would otherwise be invisible operational risk.</t>
  </si>
  <si>
    <t>Transactional Service Administration (Online Admin)</t>
  </si>
  <si>
    <t>Runtime administration of transactional behaviour: which services are atomic, which are store-and-forward eligible, which require approvals, and the operational overrides available to control functions.</t>
  </si>
  <si>
    <t>Makes transactional characteristics declarative and centrally governed, so behaviour can be adjusted operationally without code change during migration windows.</t>
  </si>
  <si>
    <t>SmartVista administration; Transact Product Catalog/AA Framework; Apigee policy controls; operational overrides via platform admin consoles.</t>
  </si>
  <si>
    <t>7.4.1</t>
  </si>
  <si>
    <t>Service Behaviour Configuration</t>
  </si>
  <si>
    <t>Registration of atomicity, retry eligibility and control requirements per service type.</t>
  </si>
  <si>
    <t>Allows the same service to be governed differently by entity, channel or migration phase.</t>
  </si>
  <si>
    <t>7.4.2</t>
  </si>
  <si>
    <t>Operational Overrides &amp; Controls</t>
  </si>
  <si>
    <t>Administered override, suspension and limit controls over transactional processing.</t>
  </si>
  <si>
    <t>Gives risk and operations a safe lever during cut-over and incident conditions.</t>
  </si>
  <si>
    <t>Event Processing &amp; Reactive Components</t>
  </si>
  <si>
    <t>The asynchronous backbone of the interoperable architecture: event messaging and streaming, guaranteed delivery, event registry and canonical event contracts, multi-protocol messaging, event mesh distribution, complex event processing, and event monitoring.</t>
  </si>
  <si>
    <t>Head of Event &amp; Streaming Platform</t>
  </si>
  <si>
    <t>Events allow systems to interoperate without knowing about each other, which is the deepest form of decoupling available. One event backbone serves channel notification, accounting events, inter-service communication, data platform feeds and monitoring, making it typically the highest-reuse investment in the layer. It is also the cheapest early lever for taking read load off the mainframe with no core change.</t>
  </si>
  <si>
    <t>Third party platform + custom tooling</t>
  </si>
  <si>
    <t>Kafka/Confluent; Amazon MQ; Amazon Kinesis; Temenos Events Framework; Event Processor/Event Router/Event Cleanup; DataDog.</t>
  </si>
  <si>
    <t>Event Messaging</t>
  </si>
  <si>
    <t>Publish and subscribe messaging between components, including topic and queue administration and bridging across the multiple messaging technologies typically present in a bank.</t>
  </si>
  <si>
    <t>Replaces bilateral, synchronous coupling with a shared asynchronous channel, so producers and consumers can change independently.</t>
  </si>
  <si>
    <t>Kafka/Confluent; Amazon MQ; Temenos Events Framework; Event Processor/Event Router/Event Cleanup; MuleSoft for integration messaging.</t>
  </si>
  <si>
    <t>12.1.1</t>
  </si>
  <si>
    <t>Publish / Subscribe Messaging</t>
  </si>
  <si>
    <t>Asynchronous distribution of messages from producers to multiple independent consumers.</t>
  </si>
  <si>
    <t>One publication serves many consumers, which is where most of the integration cost reduction comes from.</t>
  </si>
  <si>
    <t>12.1.2</t>
  </si>
  <si>
    <t>Topic &amp; Subscription Administration</t>
  </si>
  <si>
    <t>Creation, configuration, access control and retention policy of topics and subscriptions.</t>
  </si>
  <si>
    <t>Keeps a shared backbone governable as the number of producers and consumers grows.</t>
  </si>
  <si>
    <t>12.1.3</t>
  </si>
  <si>
    <t>Multi-protocol Messaging</t>
  </si>
  <si>
    <t>Interoperability across messaging technologies and protocols, including legacy queueing estates.</t>
  </si>
  <si>
    <t>Allows the legacy messaging estate to participate during transition instead of being replaced up front.</t>
  </si>
  <si>
    <t>Event Streaming</t>
  </si>
  <si>
    <t>High-throughput, durable, replayable streams of events with retention, partitioning and continuous stream processing, including complex event processing over multiple streams.</t>
  </si>
  <si>
    <t>Provides the real-time data movement capability on which multi-core data aggregation, read offloading and real-time customer context all depend.</t>
  </si>
  <si>
    <t>Amazon Kinesis; Kafka/Confluent; Temenos Events Framework with events such as depositCreated/loanOverdue/payrollCredit.</t>
  </si>
  <si>
    <t>12.2.1</t>
  </si>
  <si>
    <t>Stream Ingestion &amp; Distribution</t>
  </si>
  <si>
    <t>Durable, partitioned, high-volume ingestion and distribution of event streams.</t>
  </si>
  <si>
    <t>Carries core, channel, infrastructure and external data flows on one platform rather than several.</t>
  </si>
  <si>
    <t>12.2.2</t>
  </si>
  <si>
    <t>Stream Retention &amp; Replay</t>
  </si>
  <si>
    <t>Configurable retention allowing consumers to reprocess history from a chosen point.</t>
  </si>
  <si>
    <t>Lets a new consumer or a rebuilt store be initialised without a bespoke extract from the source system.</t>
  </si>
  <si>
    <t>12.2.3</t>
  </si>
  <si>
    <t>Complex Event Processing</t>
  </si>
  <si>
    <t>Correlation, windowing and rule evaluation across one or more streams to derive higher-order events.</t>
  </si>
  <si>
    <t>Turns raw activity into real-time business signals for fraud, limits, alerting and personalisation.</t>
  </si>
  <si>
    <t>Guaranteed Delivery</t>
  </si>
  <si>
    <t>Delivery assurance mechanisms - acknowledgement, idempotency control, redelivery and dead-letter management - that make asynchronous integration safe for financial events.</t>
  </si>
  <si>
    <t>Asynchronous decoupling is only acceptable in banking if delivery is provable; this capability is what makes events usable for accounting and payment flows.</t>
  </si>
  <si>
    <t>Kafka/Confluent and Amazon MQ patterns; no named dead-letter/idempotency product is evidenced; delivery assurance should be covered by event platform controls.</t>
  </si>
  <si>
    <t>12.3.1</t>
  </si>
  <si>
    <t>Delivery Semantics &amp; Idempotency Control</t>
  </si>
  <si>
    <t>Enforcement of at-least-once or effectively-once delivery with consumer-side duplicate suppression.</t>
  </si>
  <si>
    <t>Prevents duplicate financial effect, the principal objection to event-driven core integration.</t>
  </si>
  <si>
    <t>12.3.2</t>
  </si>
  <si>
    <t>Dead Letter &amp; Error Topic Management</t>
  </si>
  <si>
    <t>Isolation, inspection and controlled reprocessing of undeliverable or failed messages.</t>
  </si>
  <si>
    <t>Ensures no financial event is silently lost, and gives operations a bounded queue to work.</t>
  </si>
  <si>
    <t>12.3.3</t>
  </si>
  <si>
    <t>Delivery Assurance Reporting</t>
  </si>
  <si>
    <t>Evidence of publication and consumption completeness for control and reconciliation purposes.</t>
  </si>
  <si>
    <t>Supplies the audit evidence that event-based accounting and reporting flows require.</t>
  </si>
  <si>
    <t>Event Registry &amp; Contract Governance</t>
  </si>
  <si>
    <t>Authoritative catalogue of event definitions and canonical schemas, with versioning, compatibility rules and consumer registration.</t>
  </si>
  <si>
    <t>The asynchronous equivalent of API lifecycle management; without it, an event backbone degrades into an undocumented mesh of private message formats.</t>
  </si>
  <si>
    <t>BIAN/API/event governance; Confluent/Kafka stack; no separate schema registry/catalogue product is explicitly evidenced.</t>
  </si>
  <si>
    <t>12.4.1</t>
  </si>
  <si>
    <t>Event Definitions &amp; Canonical Schemas</t>
  </si>
  <si>
    <t>Published, standards-aligned event contracts (BIAN-aligned or canonical-custom) with ownership.</t>
  </si>
  <si>
    <t>Makes events reusable across domains rather than point solutions between two teams.</t>
  </si>
  <si>
    <t>12.4.2</t>
  </si>
  <si>
    <t>Schema Versioning &amp; Compatibility Control</t>
  </si>
  <si>
    <t>Enforced compatibility rules and controlled evolution of event schemas.</t>
  </si>
  <si>
    <t>Allows producers to evolve without breaking the consumers they cannot see.</t>
  </si>
  <si>
    <t>12.4.3</t>
  </si>
  <si>
    <t>Event Catalogue &amp; Consumer Registration</t>
  </si>
  <si>
    <t>Discoverable inventory of events with registered consumers and dependency visibility.</t>
  </si>
  <si>
    <t>Establishes the dependency map needed before any producing system can be safely modernised.</t>
  </si>
  <si>
    <t>Event Mesh &amp; Routing</t>
  </si>
  <si>
    <t>Clustered, policy-based routing of events across domains, environments, regions and entities, presenting one logical event fabric over distributed infrastructure.</t>
  </si>
  <si>
    <t>The mechanism by which a multi-entity, multi-country group shares real-time information without building bilateral links between every pair of platforms.</t>
  </si>
  <si>
    <t>Kafka/Confluent routing; Amazon Kinesis; AWS multi-region/DR considerations; event routing via Event Router and integration layer.</t>
  </si>
  <si>
    <t>12.5.1</t>
  </si>
  <si>
    <t>Event Routing &amp; Clustering</t>
  </si>
  <si>
    <t>Policy-driven routing and cluster federation across brokers and environments.</t>
  </si>
  <si>
    <t>Keeps the fabric logically single while physically distributed, which is what enables group-level reuse.</t>
  </si>
  <si>
    <t>12.5.2</t>
  </si>
  <si>
    <t>Cross-Domain &amp; Cross-Region Distribution</t>
  </si>
  <si>
    <t>Controlled propagation of events between domains, regions and legal entities with filtering.</t>
  </si>
  <si>
    <t>Supports data residency and entity segregation obligations while retaining group-wide interoperability.</t>
  </si>
  <si>
    <t>Event Monitoring</t>
  </si>
  <si>
    <t>Operational monitoring of the event backbone - throughput, consumer lag, error rates, schema violations - and traceability of individual events for audit and investigation.</t>
  </si>
  <si>
    <t>Asynchronous flows fail silently by nature; monitoring is what converts them from an operational blind spot into a governed channel.</t>
  </si>
  <si>
    <t>DataDog event-flow/consumer-lag monitoring target; Exabeam/CloudTrail for audit; Event Processor/Router telemetry.</t>
  </si>
  <si>
    <t>12.6.1</t>
  </si>
  <si>
    <t>Event Flow &amp; Consumer Lag Monitoring</t>
  </si>
  <si>
    <t>Monitoring of publication rates, backlog and consumer lag against thresholds.</t>
  </si>
  <si>
    <t>Detects a stalled consumer before downstream business data becomes materially stale.</t>
  </si>
  <si>
    <t>12.6.2</t>
  </si>
  <si>
    <t>Event Auditing &amp; Traceability</t>
  </si>
  <si>
    <t>Correlated tracing of individual events across producers, brokers and consumers.</t>
  </si>
  <si>
    <t>Extends end-to-end traceability across the asynchronous segments of a journey, not just the synchronous ones.</t>
  </si>
  <si>
    <t>Omnichannel &amp; Caching Components</t>
  </si>
  <si>
    <t>Cross-channel context and high-performance data serving: omnichannel data store and access services, distributed and in-memory caching, session caching and inter-domain session replication, transaction cache and low-latency read serving, and static content acceleration.</t>
  </si>
  <si>
    <t>Head of Channels Architecture</t>
  </si>
  <si>
    <t>Holds cross-channel context so a journey interrupted in one channel resumes in another, and serves channels at latencies the core cannot meet. Business effect is direct and measurable: better omnichannel experience, lower abandonment in onboarding and origination, operational efficiency, and continuity when a backend is unavailable.</t>
  </si>
  <si>
    <t>Third party technology + custom services</t>
  </si>
  <si>
    <t>App BanCoppel, Web/OFI, Sucursal, ATM, CAT and Teller Multi Core; Apificación de Canales; Golden Record/Party-CIF; Apolo onboarding.</t>
  </si>
  <si>
    <t>Omnichannel Data Management</t>
  </si>
  <si>
    <t>Temporary and working storage of in-progress interaction data, with access services that let any channel read and continue a journey started elsewhere.</t>
  </si>
  <si>
    <t>Makes the journey, rather than the channel, the unit of design - the practical foundation of a genuine omnichannel proposition.</t>
  </si>
  <si>
    <t>6.1.1</t>
  </si>
  <si>
    <t>Omnichannel Data Store</t>
  </si>
  <si>
    <t>Durable working store for partially completed interactions and journey state across channels.</t>
  </si>
  <si>
    <t>Preserves customer effort when a session is interrupted, directly reducing abandonment.</t>
  </si>
  <si>
    <t>6.1.2</t>
  </si>
  <si>
    <t>Omnichannel Data Access Services</t>
  </si>
  <si>
    <t>Standard services through which channels read, update and complete stored journey data.</t>
  </si>
  <si>
    <t>Prevents each channel building a private continuation mechanism that cannot interoperate.</t>
  </si>
  <si>
    <t>6.1.3</t>
  </si>
  <si>
    <t>Journey Resumption &amp; Auto-Completion</t>
  </si>
  <si>
    <t>Retrieval and pre-population of previously captured data when a customer resumes on the same or a different channel.</t>
  </si>
  <si>
    <t>Improves conversion in onboarding and origination, where drop-off is most costly.</t>
  </si>
  <si>
    <t>Caching Components</t>
  </si>
  <si>
    <t>Distributed and in-memory caching of reference and frequently accessed data, with invalidation and refresh control, plus acceleration of static content delivery.</t>
  </si>
  <si>
    <t>Decouples channel responsiveness from backend capacity, which both protects legacy systems and improves customer experience at the same time.</t>
  </si>
  <si>
    <t>App BanCoppel/Web/Branch/ATM/CAT/Teller; Apolo/Modyo; Apificación de Canales; Redis; CloudFront; Golden Record.</t>
  </si>
  <si>
    <t>6.2.1</t>
  </si>
  <si>
    <t>Distributed / In-Memory Cache</t>
  </si>
  <si>
    <t>Low-latency, high-throughput caching of reference and hot data close to consuming services.</t>
  </si>
  <si>
    <t>Removes repetitive load from constrained cores, protecting both cost and response time.</t>
  </si>
  <si>
    <t>Redis in Apolo stack; Modyo/AWS CloudFront for static content; YugabyteDB for operational data. Cache invalidation tool not specifically named.</t>
  </si>
  <si>
    <t>6.2.2</t>
  </si>
  <si>
    <t>Cache Invalidation &amp; Refresh Control</t>
  </si>
  <si>
    <t>Policy and event-driven invalidation and refresh to bound staleness.</t>
  </si>
  <si>
    <t>Keeps cached data trustworthy, which is the condition for using it in customer-facing decisions.</t>
  </si>
  <si>
    <t>6.2.3</t>
  </si>
  <si>
    <t>Static Content Acceleration</t>
  </si>
  <si>
    <t>Edge and content-delivery caching of static assets consumed by digital channels.</t>
  </si>
  <si>
    <t>Improves perceived performance and reduces origin infrastructure cost.</t>
  </si>
  <si>
    <t>AWS CloudFront used by Modyo Platform; AWS WAF/Imperva for protected static and web content delivery.</t>
  </si>
  <si>
    <t>Session Management &amp; Replication</t>
  </si>
  <si>
    <t>Caching and replication of session state across instances, availability zones and domains so that channel sessions survive failure and cross domain boundaries.</t>
  </si>
  <si>
    <t>Provides continuity of authenticated interaction, without which elastic scaling and rolling deployment would be visible to customers as dropped sessions.</t>
  </si>
  <si>
    <t>Redis and Modyo/Apolo session support are evidenced; no separate enterprise session-replication product is named.</t>
  </si>
  <si>
    <t>6.3.1</t>
  </si>
  <si>
    <t>Session Caching</t>
  </si>
  <si>
    <t>Fast storage and retrieval of session context for authenticated interactions.</t>
  </si>
  <si>
    <t>Enables stateless services to scale elastically while preserving customer session continuity.</t>
  </si>
  <si>
    <t>6.3.2</t>
  </si>
  <si>
    <t>Inter-Domain Session Replication</t>
  </si>
  <si>
    <t>Replication of session state across domains and instances, typically on a distributed cache.</t>
  </si>
  <si>
    <t>Allows a customer to move across products and domains within one authenticated session.</t>
  </si>
  <si>
    <t>Transaction Cache &amp; Low-Latency Read Serving</t>
  </si>
  <si>
    <t>Caching of in-flight transaction data and of frequently requested read views, served to channels independently of the system of record.</t>
  </si>
  <si>
    <t>The practical mechanism for offloading read traffic from constrained cores - typically the fastest available lever on MIPS and response time, requiring no core change.</t>
  </si>
  <si>
    <t>Custom on third party technology</t>
  </si>
  <si>
    <t>6.4.1</t>
  </si>
  <si>
    <t>In-Flight Transaction Caching</t>
  </si>
  <si>
    <t>Short-lived caching of transaction data required across steps of a composed operation.</t>
  </si>
  <si>
    <t>Avoids repeated backend calls within a single journey, cutting both latency and load.</t>
  </si>
  <si>
    <t>No specific transaction-cache product is evidenced; related platforms are Redis, YugabyteDB, Transact TDH and SmartVista operational stores.</t>
  </si>
  <si>
    <t>6.4.2</t>
  </si>
  <si>
    <t>Low-Latency Read Serving</t>
  </si>
  <si>
    <t>Serving of read views to channels from a cached or replicated store rather than the system of record.</t>
  </si>
  <si>
    <t>Delivers immediate cost and performance relief on legacy platforms while modernisation proceeds behind it.</t>
  </si>
  <si>
    <t>6.4.3</t>
  </si>
  <si>
    <t>Read Consistency Management</t>
  </si>
  <si>
    <t>Explicit staleness bounds, refresh triggers and consistency indicators for served read views.</t>
  </si>
  <si>
    <t>Makes the trade-off between freshness and load an engineered, auditable decision rather than an implicit risk.</t>
  </si>
  <si>
    <t>Data Delivery</t>
  </si>
  <si>
    <t>Two halves of one domain. Data catalogue and modelling: catalogue and inventory, metadata management, lineage, knowledge graph and enrichment, profiling and quality, governance, access and privacy. Data pipelines and delivery: batch and stream integration, replication, virtualisation, the operational data store and unified data model, multi-speed delivery, and the consumption services above them.</t>
  </si>
  <si>
    <t>Chief Data Officer / Head of Data Architecture</t>
  </si>
  <si>
    <t>Interoperability is as much about data as about services. This domain provides the standardised, real-time, multi-core aggregated view that lets channels and analytics consume the bank's data rather than a specific core's data - removing direct mainframe access and eliminating single-core lock-in. Multi-speed delivery reconciles batch and streaming rates so large volumes are processed without penalising either read or write paths.</t>
  </si>
  <si>
    <t>Third party platform + custom models</t>
  </si>
  <si>
    <t>DataStage; Data Warehouse; Temenos Data Hub; YugabyteDB; Informix/PISA; Oracle; OnBase; Bajaware/Risklogic; Golden Record.</t>
  </si>
  <si>
    <t>Data Catalogue &amp; Modelling</t>
  </si>
  <si>
    <t>Discovery, description, governance and quality management of data assets: catalogue and inventory, metadata (passive, runtime and active), lineage, semantic enrichment, profiling, and access and privacy control.</t>
  </si>
  <si>
    <t>Data can only be shared safely if it is described and governed; the catalogue is what makes a shared data layer usable by teams that did not create the data.</t>
  </si>
  <si>
    <t>Data Warehouse; DataStage ETL; Temenos Data Hub (TDH); Golden Record/Party-CIF; Risklogic/Bajaware feeds; data governance/privacy controls.</t>
  </si>
  <si>
    <t>11.1.1</t>
  </si>
  <si>
    <t>Data Catalogue &amp; Inventory</t>
  </si>
  <si>
    <t>Searchable inventory of data assets, domains, owners and definitions across the estate.</t>
  </si>
  <si>
    <t>Ends per-project data archaeology, the largest hidden cost in data-dependent delivery.</t>
  </si>
  <si>
    <t>11.1.2</t>
  </si>
  <si>
    <t>Metadata Management</t>
  </si>
  <si>
    <t>Management of passive, runtime and active metadata, including inference and automated recommendation.</t>
  </si>
  <si>
    <t>Keeps the catalogue current from actual usage rather than from documentation effort.</t>
  </si>
  <si>
    <t>11.1.3</t>
  </si>
  <si>
    <t>Data Lineage</t>
  </si>
  <si>
    <t>End-to-end traceability of data origin, transformation and consumption paths.</t>
  </si>
  <si>
    <t>Required to evidence regulatory reporting correctness once data traverses many components.</t>
  </si>
  <si>
    <t>11.1.4</t>
  </si>
  <si>
    <t>Knowledge Graph &amp; Enrichment</t>
  </si>
  <si>
    <t>Semantic mapping, ontology notation and graph-based relationship enrichment across data domains.</t>
  </si>
  <si>
    <t>Supports the individually-oriented data view that personalisation and bank-of-one propositions depend on.</t>
  </si>
  <si>
    <t>No knowledge graph tool is evidenced. Related data foundation: Data Warehouse, DataStage, TDH, Golden Record/Party-CIF and data governance practices.</t>
  </si>
  <si>
    <t>11.1.5</t>
  </si>
  <si>
    <t>Data Profiling &amp; Quality</t>
  </si>
  <si>
    <t>Automated profiling, rule-based quality measurement and remediation workflow.</t>
  </si>
  <si>
    <t>Prevents the shared data layer propagating defects at greater scale than the silos it replaced.</t>
  </si>
  <si>
    <t>11.1.6</t>
  </si>
  <si>
    <t>Data Governance, Access &amp; Privacy</t>
  </si>
  <si>
    <t>Ownership, classification, entitlement, retention and privacy controls over data assets.</t>
  </si>
  <si>
    <t>Makes broad data sharing compatible with privacy and residency obligations.</t>
  </si>
  <si>
    <t>Data Pipelines &amp; Delivery</t>
  </si>
  <si>
    <t>Movement of data between sources, stores and consumers at the required latency: batch integration, stream integration, replication and virtualised access, from legacy systems, files, lakes, cloud stores and external providers.</t>
  </si>
  <si>
    <t>The physical plumbing of data decoupling; it is what allows consumers to be served without granting them access to systems of record.</t>
  </si>
  <si>
    <t>DataStage ETL/ELT; Data Warehouse; TDH; PISA/Informix extraction; Oracle/YugabyteDB; batch/COB pipelines; DataDog monitoring.</t>
  </si>
  <si>
    <t>11.2.1</t>
  </si>
  <si>
    <t>Batch Data Integration</t>
  </si>
  <si>
    <t>Scheduled extraction, transformation and loading of data at file or set level.</t>
  </si>
  <si>
    <t>Covers the substantial residual batch estate under the same governance as real-time flows.</t>
  </si>
  <si>
    <t>11.2.2</t>
  </si>
  <si>
    <t>Stream Data Integration</t>
  </si>
  <si>
    <t>Continuous, low-latency data movement from operational sources to consumers.</t>
  </si>
  <si>
    <t>Delivers the near-real-time currency that digital journeys and real-time decisioning require.</t>
  </si>
  <si>
    <t>Temenos Data Hub near-real-time extraction; Amazon Kinesis; Kafka/Confluent; Event Framework; DataDog monitoring.</t>
  </si>
  <si>
    <t>11.2.3</t>
  </si>
  <si>
    <t>Data Replication</t>
  </si>
  <si>
    <t>Maintenance of synchronised copies of source data in target stores.</t>
  </si>
  <si>
    <t>Enables read isolation from systems of record without changing the source application.</t>
  </si>
  <si>
    <t>11.2.4</t>
  </si>
  <si>
    <t>Data Virtualisation</t>
  </si>
  <si>
    <t>Federated, query-time access to data across heterogeneous stores without physical movement.</t>
  </si>
  <si>
    <t>Provides fast access to distributed data where physical consolidation cannot be justified.</t>
  </si>
  <si>
    <t>No specific data virtualisation product is evidenced; integration uses APIs, DataStage ETL, TDH, Data Warehouse and service access through Apigee/MuleSoft.</t>
  </si>
  <si>
    <t>11.2.5</t>
  </si>
  <si>
    <t>Pipeline Orchestration &amp; Monitoring</t>
  </si>
  <si>
    <t>Scheduling, dependency management and monitoring of data pipelines with failure handling.</t>
  </si>
  <si>
    <t>Makes data currency an operable service level rather than a best-effort background activity.</t>
  </si>
  <si>
    <t>Operational Data Store &amp; Unified Data Model</t>
  </si>
  <si>
    <t>A standardised operational data model holding a real-time, multi-source view of key business entities, consolidated across legacy and next-generation cores and served to consumers as the bank's data layer.</t>
  </si>
  <si>
    <t>This is the decoupler in data terms. Holding a real-time standardised view consolidated from best-of-breed cores means consumers are not tied to one core and no consumer requires direct mainframe access - the mechanism that most reduces core-modernisation timelines and risk.</t>
  </si>
  <si>
    <t>Golden Record/Party-CIF; Informix/PISA legacy master data; Temenos TDH; Data Warehouse; YugabyteDB/Oracle; cross-core consolidation through APIs and DataStage.</t>
  </si>
  <si>
    <t>11.3.1</t>
  </si>
  <si>
    <t>Unified / Canonical Data Model</t>
  </si>
  <si>
    <t>Standardised entity and attribute model spanning customer, account, product and transaction domains.</t>
  </si>
  <si>
    <t>Gives every consumer one contract for data, so a core replacement does not become a consumer-estate rewrite.</t>
  </si>
  <si>
    <t>11.3.2</t>
  </si>
  <si>
    <t>Cross-Core Real-Time Consolidation</t>
  </si>
  <si>
    <t>Assembly of a current view from multiple concurrent systems of record during coexistence.</t>
  </si>
  <si>
    <t>Makes hybrid-core coexistence invisible to channels, which is what permits incremental migration.</t>
  </si>
  <si>
    <t>11.3.3</t>
  </si>
  <si>
    <t>Multi-Speed Data Delivery Engine</t>
  </si>
  <si>
    <t>Reconciliation of data arriving at different rates from batch pipelines and event streams into one served view.</t>
  </si>
  <si>
    <t>Processes large volumes without penalising read or write paths, sustaining availability and scale.</t>
  </si>
  <si>
    <t>11.3.4</t>
  </si>
  <si>
    <t>Operational Data Store Serving &amp; Access Control</t>
  </si>
  <si>
    <t>Serving of the consolidated model to consumers with entitlement and audit control.</t>
  </si>
  <si>
    <t>Turns the store into a governed product rather than an unmanaged shared database.</t>
  </si>
  <si>
    <t>Data Consumption Services</t>
  </si>
  <si>
    <t>The consumption surface over the data layer: data APIs, analytics and reporting feeds, and governed sandbox provisioning for exploratory and model development work.</t>
  </si>
  <si>
    <t>Ensures the investment in data delivery converts into use; without governed consumption paths, teams revert to direct source access and re-create the coupling that was removed.</t>
  </si>
  <si>
    <t>Custom on third party platform</t>
  </si>
  <si>
    <t>11.4.1</t>
  </si>
  <si>
    <t>Data APIs</t>
  </si>
  <si>
    <t>Contract-governed API access to catalogued data products.</t>
  </si>
  <si>
    <t>Lets application teams consume data through the same governed mechanism as services.</t>
  </si>
  <si>
    <t>OFS/IRIS REST APIs; Apigee/MuleSoft data APIs; Data Warehouse feeds; Bajaware/Risklogic regulatory analytics; Google Analytics; DataStage.</t>
  </si>
  <si>
    <t>11.4.2</t>
  </si>
  <si>
    <t>Analytics &amp; Reporting Feeds</t>
  </si>
  <si>
    <t>Curated feeds to warehouse, lakehouse, business intelligence and regulatory reporting consumers.</t>
  </si>
  <si>
    <t>Removes bespoke extracts from systems of record, one of the most persistent sources of hidden coupling.</t>
  </si>
  <si>
    <t>11.4.3</t>
  </si>
  <si>
    <t>Sandbox Data Provisioning</t>
  </si>
  <si>
    <t>Governed, privacy-controlled provisioning of representative data for development and model work.</t>
  </si>
  <si>
    <t>Enables experimentation and partner certification without extending production data exposure.</t>
  </si>
  <si>
    <t>Homologación de Ambientes with Terraform/Packer/GitHub; sandbox/UAT/pre-prod environments; data anonymization/loading not fully tooled in sources.</t>
  </si>
  <si>
    <t>Operations</t>
  </si>
  <si>
    <t>Cross-cutting runtime primitives the interoperability estate needs in order to be operable and migratable: folio operations, feature flag management, distributed unique identifier and correlation services, and the administrative consoles for the layer.</t>
  </si>
  <si>
    <t>Head of Platform Operations</t>
  </si>
  <si>
    <t>A small domain with disproportionate leverage. Feature flags and distributed identifiers are what make incremental, reversible migration physically possible - you can route a share of traffic to a new core, trace it end to end and roll it back without a release event.</t>
  </si>
  <si>
    <t>PMO/RAID dashboards; Apigee/SmartVista/Transact/DataDog admin consoles; DevSecOps rollback and configuration controls.</t>
  </si>
  <si>
    <t>Folio Operations</t>
  </si>
  <si>
    <t>Grouping of the technical operations that make up a single business transaction under one business reference, with the ability to retrieve, report on and act upon that group as a unit.</t>
  </si>
  <si>
    <t>Restores the business-level unit of work that a monolithic core provided implicitly, which is what keeps reversal, enquiry and reporting meaningful after decomposition.</t>
  </si>
  <si>
    <t>No dedicated folio service is evidenced; related identifiers/reporting are in PMO dashboards, Transact/SmartVista operational records and Data Warehouse reporting.</t>
  </si>
  <si>
    <t>3.1.1</t>
  </si>
  <si>
    <t>Business Reference Grouping</t>
  </si>
  <si>
    <t>Association of all technical operations belonging to one business transaction under a single reference.</t>
  </si>
  <si>
    <t>Gives operations, customers and auditors one identifier for a transaction that physically spans systems.</t>
  </si>
  <si>
    <t>3.1.2</t>
  </si>
  <si>
    <t>Folio Enquiry &amp; Reporting</t>
  </si>
  <si>
    <t>Retrieval and reporting of grouped operations for support, control and customer enquiry.</t>
  </si>
  <si>
    <t>Reduces investigation effort and makes cross-system transactions explainable to non-engineers.</t>
  </si>
  <si>
    <t>Feature Flag Management</t>
  </si>
  <si>
    <t>Runtime configuration of feature availability, allowing behaviour to be enabled, targeted or withdrawn per consumer, entity, channel or traffic share without redeployment.</t>
  </si>
  <si>
    <t>The primary control lever for de-risked cut-over: it converts a migration event into a gradual, observable and reversible transition.</t>
  </si>
  <si>
    <t>Third party or custom</t>
  </si>
  <si>
    <t>Feature flags are referenced as a channel innovation practice, but no tool is named; deployment rollback uses DevSecOps pipelines/Helm and platform rollback controls.</t>
  </si>
  <si>
    <t>3.2.1</t>
  </si>
  <si>
    <t>Feature Toggle Configuration</t>
  </si>
  <si>
    <t>Definition and administration of flags with targeting rules and audit of change.</t>
  </si>
  <si>
    <t>Separates deployment from release, so code can be in production before it is active.</t>
  </si>
  <si>
    <t>3.2.2</t>
  </si>
  <si>
    <t>Progressive Exposure &amp; Rollback Control</t>
  </si>
  <si>
    <t>Traffic-share and cohort-based exposure with immediate withdrawal capability.</t>
  </si>
  <si>
    <t>Limits the blast radius of a core or processor migration to a controlled population.</t>
  </si>
  <si>
    <t>Distributed UUID &amp; Correlation Services</t>
  </si>
  <si>
    <t>Generation of collision-free unique identifiers across distributed components and consistent propagation of correlation identifiers through synchronous and asynchronous paths.</t>
  </si>
  <si>
    <t>The single technical dependency underneath end-to-end traceability, distributed audit and idempotency control; without it, none of those capabilities can function.</t>
  </si>
  <si>
    <t>No standalone UUID/correlation service is evidenced; likely handled by Apigee/MuleSoft/Istio/DataDog patterns and application-level identifiers.</t>
  </si>
  <si>
    <t>3.3.1</t>
  </si>
  <si>
    <t>Unique Identifier Generation</t>
  </si>
  <si>
    <t>Distributed, collision-free identifier generation independent of a central sequence.</t>
  </si>
  <si>
    <t>Removes a central bottleneck and allows independent scaling of every component.</t>
  </si>
  <si>
    <t>3.3.2</t>
  </si>
  <si>
    <t>Correlation Identifier Propagation</t>
  </si>
  <si>
    <t>Consistent creation and forwarding of correlation identifiers across all hops and protocols.</t>
  </si>
  <si>
    <t>Underpins traceability across the technical architecture, including legacy and event segments.</t>
  </si>
  <si>
    <t>Platform Administration Consoles</t>
  </si>
  <si>
    <t>Administrative interfaces for the interoperability layer: service registry administration, runtime configuration, and operational control of shared components.</t>
  </si>
  <si>
    <t>Gives named owners a governed way to change platform behaviour, which is what allows the layer to be operated by an operations function rather than by its builders.</t>
  </si>
  <si>
    <t>Apigee admin/policies; SmartVista Back Office; Transact administration/Product Catalog; DataDog dashboards; Terraform/GitHub configuration management.</t>
  </si>
  <si>
    <t>3.4.1</t>
  </si>
  <si>
    <t>Service Registry Administration</t>
  </si>
  <si>
    <t>Administration of registered services, their metadata, rules and operational characteristics.</t>
  </si>
  <si>
    <t>Keeps the authoritative inventory current, which is the basis for governance and costing.</t>
  </si>
  <si>
    <t>3.4.2</t>
  </si>
  <si>
    <t>Runtime Configuration Administration</t>
  </si>
  <si>
    <t>Controlled administration of runtime parameters with change audit and approval.</t>
  </si>
  <si>
    <t>Enables operational tuning without code change while retaining control evidence.</t>
  </si>
  <si>
    <t>Common Business Services (Cross-Domain Coexistence Services)</t>
  </si>
  <si>
    <t>Standardised, optimised, reusable horizontal business services consumed by multiple product domains - customer data, product catalogue, fees, limit management, currency conversion, accounting, document management, payments, risk scoring, approvals and HSM-backed signing. Built in-house or procured from third parties, and added progressively in line with the functional roadmap.</t>
  </si>
  <si>
    <t>Domain Owners, coordinated by Enterprise Architecture</t>
  </si>
  <si>
    <t>Where interoperability becomes structural coexistence rather than temporary plumbing. Lifting genuinely cross-product functions out of the cores into shared services de-risks core replacement, because the function survives the core, and stops the same logic being re-implemented per product. It is the capability most directly responsible for the observed increase in services shared across multiple business areas.</t>
  </si>
  <si>
    <t>Mixed: in-house build or third party procurement per service</t>
  </si>
  <si>
    <t>Golden Record; Transact Party/CIF/AA/Product Catalog/GL/FT; SmartVista; OnBase; Incode; Hub de Pagos; BRM; Risklogic.</t>
  </si>
  <si>
    <t>Customer &amp; Party Services</t>
  </si>
  <si>
    <t>Shared services providing customer and party master data, relationships and derived attributes to all product domains and channels.</t>
  </si>
  <si>
    <t>Delivers the single customer view that siloed cores cannot provide, and which every personalisation and bank-of-one ambition presupposes.</t>
  </si>
  <si>
    <t>Golden Record; Temenos Party/CIF; Informix/PISA customer master; Incode KYC with INE/RENAPO; Apolo Onboarding.</t>
  </si>
  <si>
    <t>10.1.1</t>
  </si>
  <si>
    <t>Customer Data Services</t>
  </si>
  <si>
    <t>Authoritative access to customer master data, identifiers and attributes as a shared service.</t>
  </si>
  <si>
    <t>Ends the 360-degree view problem structurally rather than through repeated reconciliation.</t>
  </si>
  <si>
    <t>10.1.2</t>
  </si>
  <si>
    <t>Party Relationship Services</t>
  </si>
  <si>
    <t>Management of relationships between parties, accounts, mandates and authorised representatives.</t>
  </si>
  <si>
    <t>Supports commercial and household structures that individual product cores model inconsistently.</t>
  </si>
  <si>
    <t>Product &amp; Pricing Services</t>
  </si>
  <si>
    <t>Shared product catalogue, terms, eligibility and fee and pricing calculation services usable by any product processor or channel.</t>
  </si>
  <si>
    <t>Externalising product definition from the core is what allows new propositions to be launched without a core release, which is the main source of time-to-market gain.</t>
  </si>
  <si>
    <t>Temenos AA Framework and Product Catalog; Interest Engine; Charges; SmartVista product configuration; BRM for pricing/risk rules.</t>
  </si>
  <si>
    <t>10.2.1</t>
  </si>
  <si>
    <t>Product Catalogue Services</t>
  </si>
  <si>
    <t>Central definition of products, variants, terms and eligibility consumed by processors and channels.</t>
  </si>
  <si>
    <t>Makes product change a configuration event rather than a core development project.</t>
  </si>
  <si>
    <t>10.2.2</t>
  </si>
  <si>
    <t>Fees &amp; Pricing Services</t>
  </si>
  <si>
    <t>Centralised calculation and application of fees, charges, rates and discounts.</t>
  </si>
  <si>
    <t>Ensures consistent, auditable pricing across products, channels and entities.</t>
  </si>
  <si>
    <t>Limits &amp; Risk Services</t>
  </si>
  <si>
    <t>Shared limit definition, checking and consumption tracking, and risk and credit scoring services callable from any journey.</t>
  </si>
  <si>
    <t>Places risk controls at the interoperability layer so they apply uniformly regardless of which core or channel originates the transaction.</t>
  </si>
  <si>
    <t>BRM; Merit Crediticio; Transact Limits; Risklogic; Buró/SIC integrations; SmartVista fraud/risk controls; PAST.DUE collections.</t>
  </si>
  <si>
    <t>10.3.1</t>
  </si>
  <si>
    <t>Limit Management Services</t>
  </si>
  <si>
    <t>Definition, real-time checking and consumption tracking of customer, product and counterparty limits.</t>
  </si>
  <si>
    <t>Applies one consistent control across a multi-core estate, closing a common gap during coexistence.</t>
  </si>
  <si>
    <t>10.3.2</t>
  </si>
  <si>
    <t>Risk Scoring Services</t>
  </si>
  <si>
    <t>Shared scoring and decisioning services invoked in origination, servicing and monitoring flows.</t>
  </si>
  <si>
    <t>Allows model improvements to reach every channel and product at once.</t>
  </si>
  <si>
    <t>Financial &amp; Accounting Services</t>
  </si>
  <si>
    <t>Shared accounting event generation and ledger posting, currency conversion, and payment execution services used across product domains.</t>
  </si>
  <si>
    <t>Preserves financial integrity and one accounting truth while the processing estate is decomposed and partially replaced.</t>
  </si>
  <si>
    <t>Transact GL/Accounting and PRD.DES.ACCOUNTING; Funds Transfer/FT; Hub de Pagos/SPEI; SmartVista payments; PISA ledger during coexistence.</t>
  </si>
  <si>
    <t>10.4.1</t>
  </si>
  <si>
    <t>Accounting &amp; Ledger Posting Services</t>
  </si>
  <si>
    <t>Generation and posting of accounting events from business transactions to the ledger.</t>
  </si>
  <si>
    <t>Keeps the general ledger authoritative and consistent regardless of which processor executed the transaction.</t>
  </si>
  <si>
    <t>10.4.2</t>
  </si>
  <si>
    <t>Currency Conversion Services</t>
  </si>
  <si>
    <t>Central rate sourcing, conversion and rounding rules as a shared service.</t>
  </si>
  <si>
    <t>Removes duplicated and divergent conversion logic across products and entities.</t>
  </si>
  <si>
    <t>10.4.3</t>
  </si>
  <si>
    <t>Payments Services</t>
  </si>
  <si>
    <t>Shared payment initiation, validation, routing and status services across products and channels.</t>
  </si>
  <si>
    <t>Concentrates scheme and regulatory change in one component instead of every product core.</t>
  </si>
  <si>
    <t>Document &amp; Content Services</t>
  </si>
  <si>
    <t>Shared document generation, capture, storage, retrieval and retention services supporting customer and regulatory documentation across all products.</t>
  </si>
  <si>
    <t>Removes per-product document handling, which is one of the most duplicated and least differentiating functions in a banking estate.</t>
  </si>
  <si>
    <t>OnBase by Hyland for digital files; Modyo/Apolo document capture; Amazon Pinpoint for WelcomeKit; Incode document capture.</t>
  </si>
  <si>
    <t>10.5.1</t>
  </si>
  <si>
    <t>Document Generation &amp; Composition</t>
  </si>
  <si>
    <t>Template-driven generation of customer and regulatory documents from business events.</t>
  </si>
  <si>
    <t>Ensures consistent, compliant output across products and channels.</t>
  </si>
  <si>
    <t>10.5.2</t>
  </si>
  <si>
    <t>Document Capture, Storage &amp; Retrieval</t>
  </si>
  <si>
    <t>Capture, indexing, secure storage and retrieval of documents with retention policy.</t>
  </si>
  <si>
    <t>Provides a single evidence repository, simplifying both servicing and audit.</t>
  </si>
  <si>
    <t>Control &amp; Trust Services</t>
  </si>
  <si>
    <t>Shared control services applied across business journeys: approvals and authorisation hierarchies, and HSM-backed signing and verification of business instructions.</t>
  </si>
  <si>
    <t>Makes mandatory controls a reusable service invoked by any journey, so control strength does not depend on which product or channel implemented it.</t>
  </si>
  <si>
    <t>10.6.1</t>
  </si>
  <si>
    <t>Approvals Services</t>
  </si>
  <si>
    <t>Interception of service execution for approval, evaluation of role and rule-based authorisation, and completion or rejection.</t>
  </si>
  <si>
    <t>Applies four-eyes and mandate controls uniformly across products, channels and entities.</t>
  </si>
  <si>
    <t>Incode biometric verification and NOM-151 signing; Apolo onboarding approvals; Azure AD/OAuth for access verification; branch/Teller approval flows.</t>
  </si>
  <si>
    <t>10.6.2</t>
  </si>
  <si>
    <t>Signing &amp; Verification Services</t>
  </si>
  <si>
    <t>HSM-backed signing and verification of business instructions and documents as a shared service.</t>
  </si>
  <si>
    <t>Provides non-repudiation at the business layer, which becomes essential once instructions cross system boundaries.</t>
  </si>
  <si>
    <t>Interoperability / Composability Architecture - Capability Hierarchy | Platform = L0 capability domain, Sub-Platform = L1 capability group, Process = L2 capability</t>
  </si>
  <si>
    <t xml:space="preserve">Platform  PID </t>
  </si>
  <si>
    <t>Platform</t>
  </si>
  <si>
    <t>Platform  Description</t>
  </si>
  <si>
    <t>Sub - Platform  PID</t>
  </si>
  <si>
    <t>Sub - Platform</t>
  </si>
  <si>
    <t>Sub - Platform Description</t>
  </si>
  <si>
    <t>Process ID</t>
  </si>
  <si>
    <t>Processes</t>
  </si>
  <si>
    <t>Description/Definition</t>
  </si>
  <si>
    <t>The capability to design, publish, secure, version, meter and retire the bank's synchronous service contracts, together with the developer-facing estate that surrounds them (catalogue, portal, sandbox). Covers both the runtime plane (gateway mediation, routing, traffic policy) and the control plane (lifecycle, policy administration, analytics).  |  PURPOSE: Primary decoupling instrument of the interoperable architecture. A stable, standards-based contract (BIAN-aligned or canonical-custom) allows a channel to be re-platformed without touching a core, and a core to be replaced without touching a channel. It is also the semantic control point where a request stops being a call to a specific system and becomes a call to a banking capability.</t>
  </si>
  <si>
    <t>Runtime plane that terminates, validates, mediates and routes API traffic between consumers and providers, applying policy at the point of invocation rather than inside application code.  |  PURPOSE: Enforces the contract at runtime, so decoupling is guaranteed by the platform instead of by developer discipline.</t>
  </si>
  <si>
    <t>Control plane that governs an API from design and contract definition through publication, versioning, change notification and eventual retirement.  |  PURPOSE: Turns interfaces into managed enterprise assets with a controlled change path, which is the precondition for reuse across entities and countries.</t>
  </si>
  <si>
    <t>Administration, policy configuration, operation and commercial instrumentation of the API management platform itself, across on-premise, cloud or hybrid topologies.  |  PURPOSE: Keeps policy centrally administered and consistently applied, so security and traffic rules do not fragment per API team.</t>
  </si>
  <si>
    <t>Self-service surface where internal and external developers discover, evaluate, register for and support themselves on published interfaces.  |  PURPOSE: Reuse only happens if capabilities are findable. The portal converts a technical inventory into a consumable product catalogue.</t>
  </si>
  <si>
    <t>Controlled ingress and egress across the bank's trust boundary in three modalities - API, file and event - in both inbound and outbound directions, plus the specialised edges required for regulated and partner traffic (Open Banking edge, filter edge, security token service, partner sandbox, switching).  |  PURPOSE: Interoperability is not only internal. This domain concentrates network zoning, protocol termination, encryption and traffic policy for all external counterparties (central bank, card processors, payment schemes, bureaus, fintechs, corporate channels) so that ecosystem participation becomes a configuration exercise rather than a project. It is also where most banks find asymmetry: inbound API gateways are mature while outbound file and event gateways are undefined, and that gap sits on the critical path.</t>
  </si>
  <si>
    <t>Managed entry points for traffic originating outside the bank's trust boundary, across API, file and event channels, including identity assertion exchange at the edge.  |  PURPOSE: Gives the bank one governed front door per modality instead of a proliferation of bilateral connections with inconsistent controls.</t>
  </si>
  <si>
    <t>Managed exit points for bank-originated traffic to downstream counterparties, across API, file and event channels, including transaction switching to schemes and processors.  |  PURPOSE: Externalises counterparty-specific connectivity and credentials from application code, so a provider can be replaced without touching business services.</t>
  </si>
  <si>
    <t>Specialised external-facing edges for regulated open banking traffic, partner onboarding and controlled experimentation, including filtering edges and marketplace exposure.  |  PURPOSE: Where the interoperability layer becomes a business channel: it turns internal capabilities into consumable, contracted products for third parties.</t>
  </si>
  <si>
    <t>Network segmentation, DMZ exposure model, transport security termination and connectivity management underpinning all gateway modalities.  |  PURPOSE: Establishes the trust topology within which every other gateway capability operates; without it, decoupling increases exposure rather than containing it.</t>
  </si>
  <si>
    <t>End-to-end protection of the interoperability layer itself: identity and access management, crypto services, certificate and secret management, threat protection, vulnerability and threat management, and security monitoring and response across the API, event, file and container estates.  |  PURPOSE: Decoupling multiplies the number of network hops, credentials and trust relationships in the estate. Without a kernel-level security capability, every new service re-implements its own controls and the attack surface grows faster than the functionality. The design objective is that security is inherited from the platform, not coded per service - which is also what flattens the vulnerability remediation cost curve as service counts grow into the hundreds.</t>
  </si>
  <si>
    <t>Authentication, authorisation, token and session services for customers, employees, partners and machine identities consuming the interoperability layer.  |  PURPOSE: Provides the single authoritative answer to who is calling and what they may do, so entitlement logic is removed from business services.</t>
  </si>
  <si>
    <t>Shared cryptographic operations - signing, encryption, end-to-end payload protection - delivered as callable services backed by hardware security modules and managed key stores.  |  PURPOSE: Concentrates the highest-assurance controls in one certified component, so cryptography is consumed rather than reimplemented.</t>
  </si>
  <si>
    <t>Issuance, distribution, rotation, revocation and audit of certificates and application secrets consumed by services, gateways and pipelines.  |  PURPOSE: Automates the operational hygiene that fails most often at scale; expired certificates and hard-coded secrets are among the most frequent causes of outage and audit finding in distributed estates.</t>
  </si>
  <si>
    <t>Detection and mitigation of hostile traffic and runtime attack techniques at the perimeter, at the API layer and inside the container and streaming platforms.  |  PURPOSE: Protects the widened attack surface that decoupling necessarily creates, at the layers where exposure is greatest.</t>
  </si>
  <si>
    <t>Continuous identification, prioritisation and remediation of vulnerabilities across libraries, images, platforms and interfaces, including adversarial testing.  |  PURPOSE: Directly addresses the cost and time spent managing vulnerabilities across a large microservice estate - the stated objective behind curating base libraries and eliminating unnecessary dependencies.</t>
  </si>
  <si>
    <t>Security-specific telemetry, correlation, alerting, dashboards and automated response built on the shared observability backbone.  |  PURPOSE: Closes the most frequently observed gap in interoperability programmes: security telemetry exists in fragments and there is no automated response capability.</t>
  </si>
  <si>
    <t>Instrumentation and evidence across the distributed estate: log aggregation and operational logging, audit logging, distributed and end-to-end tracing, health and API monitoring, alerting, metrics and analytics, and technical and business dashboards.  |  PURPOSE: The hardest consequence of composability is that no single system holds the end-to-end truth about a transaction any more; observability restores it. Executively, this capability converts the interoperability layer from a technical asset into a business-service-level risk and performance instrument - the same telemetry that drives incident response drives the IT-risk-by-business-service view used to steer the modernisation programme.</t>
  </si>
  <si>
    <t>Continuous collection and evaluation of the health and availability of platform components, interfaces and dependencies, with threshold and anomaly-based alerting.  |  PURPOSE: Detects degradation before customers do, which matters more in a composed estate where one weak dependency degrades many journeys.</t>
  </si>
  <si>
    <t>Structured collection, normalisation, indexing, retention and rotation of technical, operational and audit logs from every component in the interoperability layer.  |  PURPOSE: Provides the forensic and audit substrate for a distributed estate where no single application log tells the whole story.</t>
  </si>
  <si>
    <t>Propagation and reconstruction of the full execution path of a request across services, platforms, protocols and asynchronous hops, based on a consistently propagated correlation identifier.  |  PURPOSE: The single most important observability capability in an interoperable architecture: it is what makes a distributed transaction explainable end to end, across legacy and next-gen alike.</t>
  </si>
  <si>
    <t>Derivation, storage and analysis of technical and business metrics from telemetry, including automated correlation and machine-learning-assisted detection, and periodic reporting.  |  PURPOSE: Turns raw telemetry into the management information used to evidence the interoperability business case and to steer platform investment.</t>
  </si>
  <si>
    <t>Role-oriented visualisation of platform and business telemetry for engineering, operations, security, business and executive audiences.  |  PURPOSE: Converts observability from an engineering tool into a shared management instrument, including the business-service-level IT risk view.</t>
  </si>
  <si>
    <t>The runtime foundation of the interoperability layer: microservices framework and kernel services, base libraries and language runtimes, container and serverless platform, service discovery and mesh, configuration automation, deployment and test engineering, and infrastructure resilience.  |  PURPOSE: Determines the marginal cost of adding a component to the architecture. A curated, standards-enforced stack - allowed technologies governed centrally, unnecessary libraries eliminated - delivers the deployment agility and elastic scaling the business case attributes to composability, and keeps hundreds of services governable by a small platform team.</t>
  </si>
  <si>
    <t>The opinionated development and runtime framework that hosts self-sufficient services irrespective of business domain, including shared base libraries, approved language runtimes, kernel services, service discovery and service mesh integration.  |  PURPOSE: The framework is where cross-cutting concerns are inherited rather than rebuilt; its quality sets the productivity ceiling for every domain team.</t>
  </si>
  <si>
    <t>Container orchestration, serverless execution and image management providing the elastic compute substrate for interoperability components.  |  PURPOSE: Provides deployment agility and demand-driven scaling, and is the practical vehicle for portability across cloud providers and hybrid environments.</t>
  </si>
  <si>
    <t>Declarative, automated provisioning and configuration of platform components and environments, including centralised application configuration services.  |  PURPOSE: Removes the environment inconsistency that otherwise makes distributed testing unreliable and releases unpredictable.</t>
  </si>
  <si>
    <t>Automated build, test and release mechanics for interoperability components, including controlled rollout techniques and automated regression testing.  |  PURPOSE: Deployment control is what makes incremental, reversible modernisation possible in practice rather than only in the roadmap.</t>
  </si>
  <si>
    <t>Engineering and validation of the layer's ability to withstand and recover from component failure, including deliberate failure injection, high availability design and recovery services.  |  PURPOSE: In a composed architecture, aggregate availability is a product of many dependencies; resilience must therefore be engineered and tested rather than assumed.</t>
  </si>
  <si>
    <t>Composition of fine-grained services into complex business services across heterogeneous platforms - synchronously or asynchronously, sequentially or in parallel - through a service orchestrator, an integration and mediation framework, context management and legacy adaptors.  |  PURPOSE: This is where best-of-breed coexistence stops being a diagram and becomes executable: one business service can span a next-gen core, a SaaS product processor and a mainframe subdomain while the consumer sees a single call. Moving orchestration out of hard-coded core programs into a declarative framework is typically the largest single productivity gain in the layer and the precondition for decommissioning legacy middleware.</t>
  </si>
  <si>
    <t>The engine that decomposes a complex service into an ordered or parallel set of fine-grained service invocations and manages their execution, results and exceptions.  |  PURPOSE: Concentrates cross-system business logic in one governed, visible place instead of dispersing it across channels and cores.</t>
  </si>
  <si>
    <t>Transformation, mapping and protocol-bridging services that reconcile differing data contracts, formats and communication mechanisms between participating platforms.  |  PURPOSE: Absorbs heterogeneity so that adding a new processor or provider is an adaptor exercise rather than a change to the consuming estate.</t>
  </si>
  <si>
    <t>Capture, propagation and consistent availability of execution context - identity, channel, entity, locale, correlation, entitlements - across every hop of a composed service.  |  PURPOSE: Without propagated context, distributed audit, entitlement enforcement and tracing all break at the first system boundary.</t>
  </si>
  <si>
    <t>Service wrappers and platform-specific adaptors that expose legacy-resident functions as standard APIs and events, bridging from the microservices architecture to mainframe and proprietary platforms.  |  PURPOSE: The workhorse coexistence capability: it makes legacy function consumable by modern journeys without modifying legacy code, which is what allows modernisation to be incremental and reversible.</t>
  </si>
  <si>
    <t>Execution and control of longer-running business processes that combine system and human steps - workflow definition, task management, state persistence, exception and escalation handling - implemented on lightweight workflow engines rather than heavyweight enterprise BPM suites.  |  PURPOSE: Separates the millisecond technical flow from the multi-day business flow. It gives the bank one place to express authorisation hierarchies, four-eyes controls, exception handling and resumable journeys without embedding them in either the channel or the core, which is what makes journeys portable across products and channels.</t>
  </si>
  <si>
    <t>Definition, versioning and execution of multi-step business processes spanning services, systems and human participants.  |  PURPOSE: Makes process logic explicit and changeable by design authority rather than implicit in code across several systems.</t>
  </si>
  <si>
    <t>Creation, assignment, prioritisation and completion of human work items arising from automated processes, including work lists and delegation.  |  PURPOSE: Integrates the human steps that remain in regulated banking processes without pushing them back into channel applications.</t>
  </si>
  <si>
    <t>Durable persistence of long-running process state, together with timeout, escalation, retry and exception handling for stalled or failed instances.  |  PURPOSE: Long-running processes fail differently from transactions; explicit state and escalation handling is what prevents silent loss of in-flight business.</t>
  </si>
  <si>
    <t>Operational visibility into in-flight and completed process instances, with administrative intervention and reporting on cycle time and bottlenecks.  |  PURPOSE: Provides the process-level equivalent of distributed tracing and the measurement base for straight-through processing improvement.</t>
  </si>
  <si>
    <t>Atomicity, consistency and recoverability of business operations that span more than one service, platform or data store: transactional coordination, compensation and reversal, transaction state and history, operational control tooling, store-and-forward continuity, and runtime administration of transactional services.  |  PURPOSE: The non-negotiable capability in banking. Decomposition is only acceptable if consistency is engineered explicitly rather than inherited from a single database. This domain provides the decision framework (single versus multiple resources, same versus different subdomain, XA versus non-XA) and the operational tooling to retry, reverse and report - which is what allows the bank to break the monolith without accepting data-integrity risk.</t>
  </si>
  <si>
    <t>Coordination of multi-participant business operations, tracking the success or failure of each step and driving either completion or compensating reversal, with durable recording of state and history.  |  PURPOSE: Guarantees that a business transaction spanning legacy, next-gen and third-party systems either completes or is fully unwound, with evidence.</t>
  </si>
  <si>
    <t>Operator-facing tooling to observe, intervene in and report on complex transactions, including retry, cancel and reverse actions and technical plus operational event monitoring.  |  PURPOSE: Makes distributed consistency operable by named teams; without it, correctness depends on engineering escalation for every anomaly.</t>
  </si>
  <si>
    <t>Persistence and controlled later execution of requests that cannot complete now - because a hosting system is unavailable, or because the user scheduled the action for a future date - comprising request manager, registry, processor, router and console.  |  PURPOSE: Delivers service continuity when part of the estate is down and, reusing the same mechanism, supports future-dated instructions such as scheduled payments. It is a primary reason customers do not experience legacy availability limits directly.</t>
  </si>
  <si>
    <t>Runtime administration of transactional behaviour: which services are atomic, which are store-and-forward eligible, which require approvals, and the operational overrides available to control functions.  |  PURPOSE: Makes transactional characteristics declarative and centrally governed, so behaviour can be adjusted operationally without code change during migration windows.</t>
  </si>
  <si>
    <t>The asynchronous backbone of the interoperable architecture: event messaging and streaming, guaranteed delivery, event registry and canonical event contracts, multi-protocol messaging, event mesh distribution, complex event processing, and event monitoring.  |  PURPOSE: Events allow systems to interoperate without knowing about each other, which is the deepest form of decoupling available. One event backbone serves channel notification, accounting events, inter-service communication, data platform feeds and monitoring, making it typically the highest-reuse investment in the layer. It is also the cheapest early lever for taking read load off the mainframe with no core change.</t>
  </si>
  <si>
    <t>Publish and subscribe messaging between components, including topic and queue administration and bridging across the multiple messaging technologies typically present in a bank.  |  PURPOSE: Replaces bilateral, synchronous coupling with a shared asynchronous channel, so producers and consumers can change independently.</t>
  </si>
  <si>
    <t>High-throughput, durable, replayable streams of events with retention, partitioning and continuous stream processing, including complex event processing over multiple streams.  |  PURPOSE: Provides the real-time data movement capability on which multi-core data aggregation, read offloading and real-time customer context all depend.</t>
  </si>
  <si>
    <t>Delivery assurance mechanisms - acknowledgement, idempotency control, redelivery and dead-letter management - that make asynchronous integration safe for financial events.  |  PURPOSE: Asynchronous decoupling is only acceptable in banking if delivery is provable; this capability is what makes events usable for accounting and payment flows.</t>
  </si>
  <si>
    <t>Authoritative catalogue of event definitions and canonical schemas, with versioning, compatibility rules and consumer registration.  |  PURPOSE: The asynchronous equivalent of API lifecycle management; without it, an event backbone degrades into an undocumented mesh of private message formats.</t>
  </si>
  <si>
    <t>Clustered, policy-based routing of events across domains, environments, regions and entities, presenting one logical event fabric over distributed infrastructure.  |  PURPOSE: The mechanism by which a multi-entity, multi-country group shares real-time information without building bilateral links between every pair of platforms.</t>
  </si>
  <si>
    <t>Operational monitoring of the event backbone - throughput, consumer lag, error rates, schema violations - and traceability of individual events for audit and investigation.  |  PURPOSE: Asynchronous flows fail silently by nature; monitoring is what converts them from an operational blind spot into a governed channel.</t>
  </si>
  <si>
    <t>Cross-channel context and high-performance data serving: omnichannel data store and access services, distributed and in-memory caching, session caching and inter-domain session replication, transaction cache and low-latency read serving, and static content acceleration.  |  PURPOSE: Holds cross-channel context so a journey interrupted in one channel resumes in another, and serves channels at latencies the core cannot meet. Business effect is direct and measurable: better omnichannel experience, lower abandonment in onboarding and origination, operational efficiency, and continuity when a backend is unavailable.</t>
  </si>
  <si>
    <t>Temporary and working storage of in-progress interaction data, with access services that let any channel read and continue a journey started elsewhere.  |  PURPOSE: Makes the journey, rather than the channel, the unit of design - the practical foundation of a genuine omnichannel proposition.</t>
  </si>
  <si>
    <t>Distributed and in-memory caching of reference and frequently accessed data, with invalidation and refresh control, plus acceleration of static content delivery.  |  PURPOSE: Decouples channel responsiveness from backend capacity, which both protects legacy systems and improves customer experience at the same time.</t>
  </si>
  <si>
    <t>Caching and replication of session state across instances, availability zones and domains so that channel sessions survive failure and cross domain boundaries.  |  PURPOSE: Provides continuity of authenticated interaction, without which elastic scaling and rolling deployment would be visible to customers as dropped sessions.</t>
  </si>
  <si>
    <t>Caching of in-flight transaction data and of frequently requested read views, served to channels independently of the system of record.  |  PURPOSE: The practical mechanism for offloading read traffic from constrained cores - typically the fastest available lever on MIPS and response time, requiring no core change.</t>
  </si>
  <si>
    <t>Two halves of one domain. Data catalogue and modelling: catalogue and inventory, metadata management, lineage, knowledge graph and enrichment, profiling and quality, governance, access and privacy. Data pipelines and delivery: batch and stream integration, replication, virtualisation, the operational data store and unified data model, multi-speed delivery, and the consumption services above them.  |  PURPOSE: Interoperability is as much about data as about services. This domain provides the standardised, real-time, multi-core aggregated view that lets channels and analytics consume the bank's data rather than a specific core's data - removing direct mainframe access and eliminating single-core lock-in. Multi-speed delivery reconciles batch and streaming rates so large volumes are processed without penalising either read or write paths.</t>
  </si>
  <si>
    <t>Discovery, description, governance and quality management of data assets: catalogue and inventory, metadata (passive, runtime and active), lineage, semantic enrichment, profiling, and access and privacy control.  |  PURPOSE: Data can only be shared safely if it is described and governed; the catalogue is what makes a shared data layer usable by teams that did not create the data.</t>
  </si>
  <si>
    <t>Movement of data between sources, stores and consumers at the required latency: batch integration, stream integration, replication and virtualised access, from legacy systems, files, lakes, cloud stores and external providers.  |  PURPOSE: The physical plumbing of data decoupling; it is what allows consumers to be served without granting them access to systems of record.</t>
  </si>
  <si>
    <t>A standardised operational data model holding a real-time, multi-source view of key business entities, consolidated across legacy and next-generation cores and served to consumers as the bank's data layer.  |  PURPOSE: This is the decoupler in data terms. Holding a real-time standardised view consolidated from best-of-breed cores means consumers are not tied to one core and no consumer requires direct mainframe access - the mechanism that most reduces core-modernisation timelines and risk.</t>
  </si>
  <si>
    <t>The consumption surface over the data layer: data APIs, analytics and reporting feeds, and governed sandbox provisioning for exploratory and model development work.  |  PURPOSE: Ensures the investment in data delivery converts into use; without governed consumption paths, teams revert to direct source access and re-create the coupling that was removed.</t>
  </si>
  <si>
    <t>Cross-cutting runtime primitives the interoperability estate needs in order to be operable and migratable: folio operations, feature flag management, distributed unique identifier and correlation services, and the administrative consoles for the layer.  |  PURPOSE: A small domain with disproportionate leverage. Feature flags and distributed identifiers are what make incremental, reversible migration physically possible - you can route a share of traffic to a new core, trace it end to end and roll it back without a release event.</t>
  </si>
  <si>
    <t>Grouping of the technical operations that make up a single business transaction under one business reference, with the ability to retrieve, report on and act upon that group as a unit.  |  PURPOSE: Restores the business-level unit of work that a monolithic core provided implicitly, which is what keeps reversal, enquiry and reporting meaningful after decomposition.</t>
  </si>
  <si>
    <t>Runtime configuration of feature availability, allowing behaviour to be enabled, targeted or withdrawn per consumer, entity, channel or traffic share without redeployment.  |  PURPOSE: The primary control lever for de-risked cut-over: it converts a migration event into a gradual, observable and reversible transition.</t>
  </si>
  <si>
    <t>Generation of collision-free unique identifiers across distributed components and consistent propagation of correlation identifiers through synchronous and asynchronous paths.  |  PURPOSE: The single technical dependency underneath end-to-end traceability, distributed audit and idempotency control; without it, none of those capabilities can function.</t>
  </si>
  <si>
    <t>Administrative interfaces for the interoperability layer: service registry administration, runtime configuration, and operational control of shared components.  |  PURPOSE: Gives named owners a governed way to change platform behaviour, which is what allows the layer to be operated by an operations function rather than by its builders.</t>
  </si>
  <si>
    <t>Standardised, optimised, reusable horizontal business services consumed by multiple product domains - customer data, product catalogue, fees, limit management, currency conversion, accounting, document management, payments, risk scoring, approvals and HSM-backed signing. Built in-house or procured from third parties, and added progressively in line with the functional roadmap.  |  PURPOSE: Where interoperability becomes structural coexistence rather than temporary plumbing. Lifting genuinely cross-product functions out of the cores into shared services de-risks core replacement, because the function survives the core, and stops the same logic being re-implemented per product. It is the capability most directly responsible for the observed increase in services shared across multiple business areas.</t>
  </si>
  <si>
    <t>Shared services providing customer and party master data, relationships and derived attributes to all product domains and channels.  |  PURPOSE: Delivers the single customer view that siloed cores cannot provide, and which every personalisation and bank-of-one ambition presupposes.</t>
  </si>
  <si>
    <t>Shared product catalogue, terms, eligibility and fee and pricing calculation services usable by any product processor or channel.  |  PURPOSE: Externalising product definition from the core is what allows new propositions to be launched without a core release, which is the main source of time-to-market gain.</t>
  </si>
  <si>
    <t>Shared limit definition, checking and consumption tracking, and risk and credit scoring services callable from any journey.  |  PURPOSE: Places risk controls at the interoperability layer so they apply uniformly regardless of which core or channel originates the transaction.</t>
  </si>
  <si>
    <t>Shared accounting event generation and ledger posting, currency conversion, and payment execution services used across product domains.  |  PURPOSE: Preserves financial integrity and one accounting truth while the processing estate is decomposed and partially replaced.</t>
  </si>
  <si>
    <t>Shared document generation, capture, storage, retrieval and retention services supporting customer and regulatory documentation across all products.  |  PURPOSE: Removes per-product document handling, which is one of the most duplicated and least differentiating functions in a banking estate.</t>
  </si>
  <si>
    <t>Shared control services applied across business journeys: approvals and authorisation hierarchies, and HSM-backed signing and verification of business instructions.  |  PURPOSE: Makes mandatory controls a reusable service invoked by any journey, so control strength does not depend on which product or channel implemented it.</t>
  </si>
  <si>
    <t>=SUBSTITUTE(TRANSLATE(SUBSTITUTE('__TR_VERTICAL'!C1,"PID","XQZ0QX"),"en","es"),"XQZ0QX","PID")</t>
  </si>
  <si>
    <t>Arquitectura de Interoperabilidad / Componibilidad - Jerarquía de Capacidades | Plataforma = dominio de capacidad L0, Subplataforma = grupo de capacidades L1, Proceso = capacidad L2</t>
  </si>
  <si>
    <t>PID de Plataforma</t>
  </si>
  <si>
    <t>Plataforma</t>
  </si>
  <si>
    <t>Descripción de la Plataforma</t>
  </si>
  <si>
    <t>PID de Subplataforma</t>
  </si>
  <si>
    <t>Subplataforma</t>
  </si>
  <si>
    <t>Descripción de la Subplataforma</t>
  </si>
  <si>
    <t>ID de Proceso</t>
  </si>
  <si>
    <t>Procesos</t>
  </si>
  <si>
    <t>Descripción/Definición</t>
  </si>
  <si>
    <t>Propósito en la Arquitectura Interoperable</t>
  </si>
  <si>
    <t>Soluciones BanCoppel Utilizadas (Proyecto)</t>
  </si>
  <si>
    <t>Nivel</t>
  </si>
  <si>
    <t>Secuencia</t>
  </si>
  <si>
    <t>Nombre</t>
  </si>
  <si>
    <t>Descripción</t>
  </si>
  <si>
    <t>Propietario del proceso</t>
  </si>
  <si>
    <t>Nivel de interoperabilidad</t>
  </si>
  <si>
    <t>Núcleo o dominio</t>
  </si>
  <si>
    <t>Propósito en la arquitectura interoperable</t>
  </si>
  <si>
    <t>Estrategia de Abastecimiento (Indicativo)</t>
  </si>
  <si>
    <t>Soluciones BanCoppel utilizadas (proyecto)</t>
  </si>
  <si>
    <t>Gestión API</t>
  </si>
  <si>
    <t>La capacidad de diseñar, publicar, asegurar, versionar, medir y retirar los contratos de servicios síncronos del banco, junto con el conjunto de viviendas orientadas al promotor que los rodea (catálogo, portal, sandbox). Cubre tanto el plano de ejecución (mediación de pasarela, enrutamiento, política de tráfico) como el plano de control (ciclo de vida, administración de políticas, análisis).</t>
  </si>
  <si>
    <t>Jefe de API y Arquitectura de Integración</t>
  </si>
  <si>
    <t>Núcleo y Plataforma</t>
  </si>
  <si>
    <t>Instrumento principal de desacoplamiento de la arquitectura interoperable. Un contrato estable basado en estándares (alineado con BIAN o personalizado canónico) permite que un canal se re-platforme sin tocar un núcleo, y que un núcleo sea reemplazado sin tocar un canal. También es el punto de control semántico donde una petición deja de ser una llamada a un sistema específico y pasa a llamar a una capacidad bancaria.</t>
  </si>
  <si>
    <t>Plataforma de terceros + políticas personalizadas</t>
  </si>
  <si>
    <t>Apigee API Management/Gateway; MuleSoft; WebMethods; BIAN alineado APIs; Transact OFS/IRIS REST APIs; Modyo Connect/Amazon API Gateway para flujos Apolo.</t>
  </si>
  <si>
    <t>Pasarela API y Mediación en tiempo de ejecución</t>
  </si>
  <si>
    <t>Plano de ejecución que termina, valida, media y enruta el tráfico API entre consumidores y proveedores, aplicando la política en el punto de invocación en lugar de dentro del código de la aplicación.</t>
  </si>
  <si>
    <t>Hace cumplir el contrato en tiempo de ejecución, así que el desacoplamiento está garantizado por la plataforma en lugar de por la disciplina del desarrollador.</t>
  </si>
  <si>
    <t>Terceros</t>
  </si>
  <si>
    <t>Apigee API Gateway/API Management; integración/orquestación MuleSoft; WebMethods BPM/BRM; BIAN alineado APIs; Transact OFS/IRIS REST APIs.</t>
  </si>
  <si>
    <t>Enrutamiento</t>
  </si>
  <si>
    <t>Resolución de un contrato lógico API a uno o más puntos finales físicos de servicio, incluyendo enrutamiento basado en host, versión y entorno.</t>
  </si>
  <si>
    <t>Permite la reubicación del backend, la re-plataforma y el doble funcionamiento de procesadores antiguos y nuevos sin ningún cambio de consumidor.</t>
  </si>
  <si>
    <t>Mediación y transformación del mensaje</t>
  </si>
  <si>
    <t>Adaptación de protocolos y cargas útiles en el edge (REST, SOAP, gRPC, protocolos heredados), incluyendo manipulación de cabeceras y mapeo canónico-nativo.</t>
  </si>
  <si>
    <t>Absorbe la heterogeneidad técnica de un conjunto híbrido de núcleo, de modo que los consumidores solo ven un estilo de interfaz.</t>
  </si>
  <si>
    <t>API Gestión de Tráfico</t>
  </si>
  <si>
    <t>Cuotas, límite de tarifa, limitación, arresto de picos y políticas de calidad de servicio aplicadas por consumidor, por API y por nivel.</t>
  </si>
  <si>
    <t>Protege la capacidad finita heredada (MIPS, pools de conexión) frente a una demanda digital ilimitada y convierte la capacidad en un recurso gobernado y con precio.</t>
  </si>
  <si>
    <t>Validación de mensajes y protección de carga útil</t>
  </si>
  <si>
    <t>Validación de esquema, tamaño y contenido de mensajes entrantes y salientes, incluyendo protección contra ataques basados en contenido.</t>
  </si>
  <si>
    <t>Detiene el tráfico malformado y hostil antes de que llegue al parque de procesamiento, donde la remediación es mucho más cara.</t>
  </si>
  <si>
    <t>Gestión de errores y normalización de fallos</t>
  </si>
  <si>
    <t>Taxonomía de errores estandarizada, mapeo de fallos y códigos de respuesta a través de backends heterogéneos.</t>
  </si>
  <si>
    <t>Evita que la semántica de error específica del backend se filtre en los canales, que es una de las fuentes más comunes de acoplamiento oculto.</t>
  </si>
  <si>
    <t>Gestión del ciclo de vida API</t>
  </si>
  <si>
    <t>Plano de control que gobierna un API desde el diseño y la definición del contrato hasta la publicación, el cambio de versiones, la notificación de cambios y su eventual retirada.</t>
  </si>
  <si>
    <t>Convierte las interfaces en activos empresariales gestionados con una ruta de cambio controlada, que es la condición previa para su reutilización entre entidades y países.</t>
  </si>
  <si>
    <t>Proceso de terceros + gobernanza</t>
  </si>
  <si>
    <t>Estándares BIAN API; Apigee API ciclo de vida/gobernanza; documentación al estilo OpenAPI/Swagger API para OfiWeb/Canales; El cambio API está controlado por la gobernanza de la arquitectura.</t>
  </si>
  <si>
    <t>Normas de diseño y contratos API</t>
  </si>
  <si>
    <t>Definición y aplicación de estándares de interfaz, nombres canónicos o alineados con BIAN, y puertas de revisión de diseño antes de la publicación.</t>
  </si>
  <si>
    <t>Garantiza que las nuevas interfaces aumenten la reutilización en lugar de añadir otra integración personalizada para mantener.</t>
  </si>
  <si>
    <t>Versionado API</t>
  </si>
  <si>
    <t>Soporte simultáneo de múltiples versiones de contrato con reglas definidas de compatibilidad y deprecación.</t>
  </si>
  <si>
    <t>Desacopla los ciclos de lanzamiento entre consumidores y proveedores, de modo que ningún cambio individual requiera un despliegue sincronizado de big bang.</t>
  </si>
  <si>
    <t>Notificación de publicación y cambio API</t>
  </si>
  <si>
    <t>Promoción de APIs en entornos y notificación proactiva de cambios de contrato a los consumidores registrados.</t>
  </si>
  <si>
    <t>Elimina la sobrecarga de coordinación que de otro modo hace que los equipos eviten reutilizar una interfaz compartida.</t>
  </si>
  <si>
    <t>API Depreciación y Retiro</t>
  </si>
  <si>
    <t>Un control de la desaparición de interfaces, incluyendo el seguimiento de migración del consumidor y la aplicación de fechas de fin de vida.</t>
  </si>
  <si>
    <t>Evita que la capa de interoperabilidad acumule la misma deuda de interfaz que fue creada para eliminar.</t>
  </si>
  <si>
    <t>API Manager (Administración de Plataforma)</t>
  </si>
  <si>
    <t>Administración, configuración de políticas, operación e instrumentación comercial de la propia plataforma de gestión API, tanto en topologías locales, en la nube como en la nube o híbridas.</t>
  </si>
  <si>
    <t>Mantiene la política administrada de forma centralizada y aplicada de forma consistente, para que las normas de seguridad y tráfico no se fragmenten por equipo API.</t>
  </si>
  <si>
    <t>Administración y políticas de la plataforma Apigee; Monitorización DataDog/API; tuberías DevSecOps; GCP alojado en Apigee con proveedores AWS/locales.</t>
  </si>
  <si>
    <t>Administración y Seguimiento de Políticas</t>
  </si>
  <si>
    <t>Definición central, asignación y auditoría de políticas de pasarela (seguridad, tráfico, mediación, caché) a lo largo del patrimonio API.</t>
  </si>
  <si>
    <t>Convierte la política en un elemento de configuración gobernado en lugar de código embebido, permitiendo cambios a nivel de estado en una sola acción.</t>
  </si>
  <si>
    <t>API Monitorización, Analítica y Monetización</t>
  </si>
  <si>
    <t>Métricas de consumo, latencia y análisis de errores por API y por consumidor, con base de medición para devolución interna o monetización de socios.</t>
  </si>
  <si>
    <t>Proporciona la base de evidencia para las afirmaciones de reutilización, la planificación de capacidades y los modelos comerciales de ecosistemas.</t>
  </si>
  <si>
    <t>Despliegue y operaciones de la plataforma</t>
  </si>
  <si>
    <t>Topología de despliegue, automatización, actualización y soporte operativo de la plataforma de gestión API.</t>
  </si>
  <si>
    <t>Garantiza que la capa de desacoplamiento sea en sí misma resiliente y actualizable, ya que se convierte en un punto único de dependencia para todo el tráfico.</t>
  </si>
  <si>
    <t>Portal y catálogo para desarrolladores</t>
  </si>
  <si>
    <t>Superficie de autoservicio donde desarrolladores internos y externos descubren, evalúan, se registran y se apoyan en interfaces publicadas.</t>
  </si>
  <si>
    <t>La reutilización solo ocurre si se pueden encontrar capacidades. El portal convierte un inventario técnico en un catálogo de productos consumibles.</t>
  </si>
  <si>
    <t>Catálogo/gobernanza API para Apificación de Canales y OfiWeb; Apigee como plano de gestión API. No se evidencia explícitamente ninguna herramienta de portal para desarrolladores independiente.</t>
  </si>
  <si>
    <t>Catálogo, documentación y descubrimiento de metadatos API</t>
  </si>
  <si>
    <t>Inventario consultable de interfaces publicadas con especificaciones, ejemplos y metadatos.</t>
  </si>
  <si>
    <t>Elimina el coste de redescubrimiento que impulsa a los equipos a construir una integración paralela punto a punto.</t>
  </si>
  <si>
    <t>Registro de desarrolladores y autoservicio</t>
  </si>
  <si>
    <t>Incorporación, emisión de credenciales, registro de solicitudes y gestión de derechos para consumidores de API.</t>
  </si>
  <si>
    <t>Elimina el control humano del camino de consumo, que es lo que hace que la reutilización interna y la incorporación de parejas sea rápida.</t>
  </si>
  <si>
    <t>Colaboración, comunidad y autoapoyo</t>
  </si>
  <si>
    <t>Informes de problemas, bucles de retroalimentación, guía de uso, SDKs y ejemplos de referencia para equipos que consumen.</t>
  </si>
  <si>
    <t>Proporciona la capa de habilitación sin la cual una capacidad publicada está técnicamente disponible pero prácticamente no se utiliza.</t>
  </si>
  <si>
    <t>Servicios de Gateway</t>
  </si>
  <si>
    <t>Controlado la entrada y salida a través del límite de confianza del banco en tres modalidades - API, archivo y evento - tanto en direcciones entrantes como salientes, además de los bordes especializados necesarios para tráfico regulado y de socios (borde de Open Banking, borde de filtro, servicio de token de seguridad, sandbox de socios, conmutación).</t>
  </si>
  <si>
    <t>Jefe de Perímetro y Arquitectura de Conectividad</t>
  </si>
  <si>
    <t>La interoperabilidad no es solo interna. Este dominio concentra la zonificación de red, terminación de protocolos, cifrado y política de tráfico para todas las contrapartes externas (banco central, procesadores de tarjetas, esquemas de pago, agencias, fintechs, canales corporativos) de modo que la participación en el ecosistema se convierta en un ejercicio de configuración en lugar de un proyecto. También es donde la mayoría de los bancos encuentran asimetría: las pasarelas API entrantes están maduras mientras que las pasarelas de archivos y eventos salientes están indefinidas, y esa brecha queda en la ruta crítica.</t>
  </si>
  <si>
    <t>Plataforma de terceros + servicios personalizados de borde</t>
  </si>
  <si>
    <t>Gateway Apigee de entrada/salida API; integración MuleSoft/WebMethods; Amazon API Gateway vía Modyo Connect; Borde de servicio EKS/Istio.</t>
  </si>
  <si>
    <t>Servicios de pasarela entrantes</t>
  </si>
  <si>
    <t>Puntos de entrada gestionados para tráfico que se origina fuera del límite de confianza del banco, a través de API, canales de archivos y eventos, incluyendo el intercambio de aserturas de identidad en el borde.</t>
  </si>
  <si>
    <t>Da al banco una puerta principal gobernada por modalidad en lugar de una proliferación de conexiones bilaterales con controles inconsistentes.</t>
  </si>
  <si>
    <t>Pasarela entrante API</t>
  </si>
  <si>
    <t>Terminación, autenticación, aplicación de políticas y enrutamiento del tráfico API síncrono procedente de canales, socios y terceros.</t>
  </si>
  <si>
    <t>Punto único de aplicación para demanda síncrona externa, desacoplando a las contrapartes de la topología interna del servicio.</t>
  </si>
  <si>
    <t>Pasarela de Archivos Entrantes</t>
  </si>
  <si>
    <t>Recepción segura, validación, escaneo de virus y transferencia de archivos originados externamente, reemplazando la transferencia punto a punto no gestionada.</t>
  </si>
  <si>
    <t>Coloca el gran conjunto residual de lotes bajo el mismo régimen de control y observabilidad que el tráfico API.</t>
  </si>
  <si>
    <t>DataStage ETL; interfaces batch/COB; Flujos de documentos OnBase; Interfaces de archivos/datos heredados PISA/Informix. No se evidencia explícitamente ningún producto dedicado MFT.</t>
  </si>
  <si>
    <t>Pasarela entrante EventHub</t>
  </si>
  <si>
    <t>Gestión controlada de eventos y mensajes publicados externamente en la columna vertebral interna de eventos.</t>
  </si>
  <si>
    <t>Permite la integración en tiempo real del ecosistema (esquemas, agregadores, datos de mercado) sin exponer temas internos.</t>
  </si>
  <si>
    <t>Kafka/Confluent; Amazon MQ; Amazon Kinesis; Temenos Events Framework; Componentes de procesador de eventos/router de eventos/limpieza de eventos.</t>
  </si>
  <si>
    <t>Servicio de Token de Seguridad (STS)</t>
  </si>
  <si>
    <t>Emisión, intercambio y validación de tokens de seguridad en el perímetro, traduciendo las afirmaciones de identidad externas en credenciales internas.</t>
  </si>
  <si>
    <t>Permite respetar las identidades federadas y de socios sin extender los límites internos de fideicomiso.</t>
  </si>
  <si>
    <t>OAuth 2.0 vía Apigee; Azure AD / Microsoft Entra ID; Token Party Identity; tokens de aplicación/usuario gestionados mediante la seguridad API.</t>
  </si>
  <si>
    <t>Servicios de Pasarela de Salida</t>
  </si>
  <si>
    <t>Gestionó puntos de salida para tráfico originado por bancos hacia contrapartes aguas abajo, a través de API, canales de archivos y eventos, incluyendo el cambio de transacciones a esquemas y procesadores.</t>
  </si>
  <si>
    <t>Externaliza la conectividad y credenciales específicas de la contraparte del código de la aplicación, de modo que un proveedor puede ser reemplazado sin tocar los servicios empresariales.</t>
  </si>
  <si>
    <t>Tercero + personalizado</t>
  </si>
  <si>
    <t>Pasarela API de salida</t>
  </si>
  <si>
    <t>Mediación de salida, inyección de credenciales, reintentos y control de circuitos para llamadas a proveedores externos, expuesto a través de un DMZ.</t>
  </si>
  <si>
    <t>Convierte la sustitución por terceros en un cambio de configuración de gateway en lugar de un proyecto de desarrollo.</t>
  </si>
  <si>
    <t>Pasarela de Archivos Salientes</t>
  </si>
  <si>
    <t>Generación, cifrado, programación y transmisión gestionada de archivos salientes, sustituyendo a los arreglos SFTP no gestionados.</t>
  </si>
  <si>
    <t>Cierra la brecha de control y observabilidad más común en el estado externo.</t>
  </si>
  <si>
    <t>Pasarela EventHub de salida</t>
  </si>
  <si>
    <t>Publicación controlada de eventos internos a suscriptores externos mediante filtrado y gobernanza contractual.</t>
  </si>
  <si>
    <t>Permite al banco ofrecer productos de datos en tiempo real al ecosistema sin conceder acceso a temas internos.</t>
  </si>
  <si>
    <t>Conmutación</t>
  </si>
  <si>
    <t>Enrutamiento y adaptación de protocolos del tráfico de transacciones a esquemas, procesadores y redes interbancarias, incluyendo la conmutación por error entre proveedores.</t>
  </si>
  <si>
    <t>Proporciona redundancia de proveedores y enrutamiento de menor coste como propiedad arquitectónica más que como resultado de negociación.</t>
  </si>
  <si>
    <t>BPC SmartVista/SVIP para conmutación y procesamiento de tarjetas; Hub de Pagos para SPEI, dispersión de nóminas y pagos multiplataforma; coexistencia legada con IST/PISA.</t>
  </si>
  <si>
    <t>Ecosistema y ventaja bancaria abierta</t>
  </si>
  <si>
    <t>Bordes externos especializados para tráfico regulado de banca abierta, incorporación de socios y experimentación controlada, incluyendo bordes de filtrado y exposición al mercado.</t>
  </si>
  <si>
    <t>Donde la capa de interoperabilidad se convierte en un canal de negocio: convierte capacidades internas en productos consumibles y contratados para terceros.</t>
  </si>
  <si>
    <t>No se evidencia ningún producto específico de mercado abierto o sandbox asociado; las capacidades adyacentes utilizan entornos Apigee, API Gateway, BIAN APIs y entornos sandbox/UAT.</t>
  </si>
  <si>
    <t>Borde de la Banca Abierta</t>
  </si>
  <si>
    <t>Exposición conforme a la normativa de cuentas, pagos y datos APIs con consentimiento, obligaciones sólidas de autenticación e informe.</t>
  </si>
  <si>
    <t>Cumple con los mandatos regulatorios en una plataforma compartida en lugar de como un silo aislado de cumplimiento.</t>
  </si>
  <si>
    <t>Borde del filtro</t>
  </si>
  <si>
    <t>Filtrado y filtro de tráfico externo basado en contenido, consumidores y geografía antes de la pasarela API.</t>
  </si>
  <si>
    <t>Reduce la carga hostil y fuera de la política antes de que consuma la capacidad de gateway o backend.</t>
  </si>
  <si>
    <t>Imperva WAF / Cloud Armor; AWS Shield; Zscaler TLS terminación; VPN/Direct Connect; Reglas Tetration; AWS/GCP/zonificación de red local.</t>
  </si>
  <si>
    <t>Sandbox de socios</t>
  </si>
  <si>
    <t>Entorno aislado no productivo con datos representativos para el desarrollo y certificación de socios y fintech.</t>
  </si>
  <si>
    <t>Comprime la incorporación de socios de meses a semanas, que es la limitación práctica en la estrategia del ecosistema.</t>
  </si>
  <si>
    <t>Mercado API</t>
  </si>
  <si>
    <t>Catálogo comercial para envases, publicaciones y capacidades de contratación bancarias para consumidores externos.</t>
  </si>
  <si>
    <t>Proporciona la interfaz para modelos de negocio no lineales de capacidad como producto.</t>
  </si>
  <si>
    <t>Zonificación perimetral y conectividad</t>
  </si>
  <si>
    <t>Segmentación de red, modelo de exposición DMZ, terminación de seguridad del transporte y gestión de conectividad que sustentan todas las modalidades de gateway.</t>
  </si>
  <si>
    <t>Establece la topología de confianza dentro de la cual operan todas las demás capacidades de pasarela; Sin él, el desacoplamiento aumenta la exposición en lugar de contenerla.</t>
  </si>
  <si>
    <t>Zonificación de red y exposición DMZ</t>
  </si>
  <si>
    <t>Definición y aplicación de zonas de seguridad, y el patrón DMZ mediante el cual las capacidades internas se exponen externamente.</t>
  </si>
  <si>
    <t>Garantiza que las nuevas interfaces externas hereden un modelo de exposición aprobado en lugar de negociar uno por proyecto.</t>
  </si>
  <si>
    <t>Terminación de la seguridad del transporte</t>
  </si>
  <si>
    <t>Terminación TLS, autenticación mutua y gestión de políticas de cifrado en el edge.</t>
  </si>
  <si>
    <t>Centraliza la moneda criptográfica, de modo que las deprecaciones de protocolo se gestionan una vez en vez de por aplicación.</t>
  </si>
  <si>
    <t>Gestión de la conectividad externa</t>
  </si>
  <si>
    <t>Registro, credenciales, endpoints y monitorización operativa de las conexiones de contraparte.</t>
  </si>
  <si>
    <t>Crea un inventario autoritativo de dependencias externas, que es un requisito previo para la gestión de riesgos de terceros.</t>
  </si>
  <si>
    <t>Seguridad</t>
  </si>
  <si>
    <t>Protección de extremo a extremo de la propia capa de interoperabilidad: gestión de identidad y acceso, servicios criptográficos, gestión de certificados y secretos, protección contra amenazas, gestión de vulnerabilidades y amenazas, y monitorización y respuesta de seguridad en los conjuntos API, eventos, archivos y contenedores.</t>
  </si>
  <si>
    <t>CISO / Responsable de Arquitectura de Seguridad</t>
  </si>
  <si>
    <t>El desacoplamiento multiplica el número de saltos de red, credenciales y relaciones de confianza en el patrimonio. Sin una capacidad de seguridad a nivel de núcleo, cada nuevo servicio reimplementa sus propios controles y la superficie de ataque crece más rápido que la funcionalidad. El objetivo de diseño es que la seguridad se herede de la plataforma, no se codifica por servicio, lo que también aplana la curva de costes de remediación de vulnerabilidades a medida que el número de servicios crece hasta cientos.</t>
  </si>
  <si>
    <t>Servicios heredados de terceros + plataforma</t>
  </si>
  <si>
    <t>Gestión de Identidad y Acceso</t>
  </si>
  <si>
    <t>Servicios de autenticación, autorización, token y sesión para clientes, empleados, socios e identidades de máquinas que consumen la capa de interoperabilidad.</t>
  </si>
  <si>
    <t>Proporciona la única respuesta autorizada sobre quién llama y qué puede hacer, por lo que la lógica de derechos se elimina de los servicios empresariales.</t>
  </si>
  <si>
    <t>OAuth 2.0 vía Apigee; Azure AD / Microsoft Entra ID; Token Party Identity; Incode identidad/KYC; HashiCorp Vault para soporte de credenciales.</t>
  </si>
  <si>
    <t>Servicios de autenticación</t>
  </si>
  <si>
    <t>Verificación de la identidad del usuario y del sistema, incluyendo autenticación multifactor y step-up, como un servicio compartido.</t>
  </si>
  <si>
    <t>Elimina las implementaciones de autenticación por aplicación, que son la principal fuente de una fuerza de control inconsistente.</t>
  </si>
  <si>
    <t>Servicios de autorización</t>
  </si>
  <si>
    <t>Evaluación centralizada de derechos y invocación de políticas en servicio, incluyendo decisiones basadas en roles y atributos.</t>
  </si>
  <si>
    <t>Mantiene la coherencia de la autorización mientras los servicios se recomponen entre proveedores tradicionales, de nueva generación y terceros.</t>
  </si>
  <si>
    <t>Token de acceso y inicio de sesión único</t>
  </si>
  <si>
    <t>Emisión, actualización, introspección y revocación de tokens de acceso, y propagación de identidad entre salto de servicio.</t>
  </si>
  <si>
    <t>Preserva la identidad del llamante de extremo a extremo mediante orquestaciones, lo que hace posible la auditoría distribuida.</t>
  </si>
  <si>
    <t>Servicios de Sesión</t>
  </si>
  <si>
    <t>Creación, validación, tiempo de espera y terminación de sesiones entre canales y dominios.</t>
  </si>
  <si>
    <t>Permite la continuidad omnicanal sin que cada canal mantenga el estado de sesión privada.</t>
  </si>
  <si>
    <t>Administración de Usuarios, Políticas y Credenciales</t>
  </si>
  <si>
    <t>Administración de identidades, derechos, almacenes de pólizas y credenciales de máquinas.</t>
  </si>
  <si>
    <t>Ofrece a auditores y operadores un lugar para evidenciar y cambiar el acceso en todo el ámbito de interoperabilidad.</t>
  </si>
  <si>
    <t>Servicios cripto</t>
  </si>
  <si>
    <t>Operaciones criptográficas compartidas —firma, cifrado, protección de carga útil de extremo a extremo— se entregaban como servicios llamables respaldados por módulos de seguridad de hardware y almacenes de claves gestionados.</t>
  </si>
  <si>
    <t>Concentra los controles de mayor garantía en un solo componente certificado, de modo que la criptografía se consume en lugar de reimplementarse.</t>
  </si>
  <si>
    <t>Terceros (respaldado por HSM)</t>
  </si>
  <si>
    <t>cifrado AES-256; TLS/SSL; Gestión de claves HSM; Oracle TDE; Istio mTLS; Firma Incode/NOM-151 para contratos de incorporación.</t>
  </si>
  <si>
    <t>Operaciones Emblemáticas</t>
  </si>
  <si>
    <t>Generación y verificación de firma digital para transacciones, documentos y mensajes intersistemas.</t>
  </si>
  <si>
    <t>Proporciona la no repudiación a través de los límites del sistema, lo cual se vuelve esencial una vez que una transacción abarca varias plataformas.</t>
  </si>
  <si>
    <t>Operaciones de cifrado</t>
  </si>
  <si>
    <t>Servicios de cifrado y descifrado para datos en tránsito y en reposo, incluyendo la tokenización de campos sensibles.</t>
  </si>
  <si>
    <t>Permite que los datos sensibles atraviesen un patrimonio distribuido sin ampliar el alcance de cumplimiento de cada componente que pasa.</t>
  </si>
  <si>
    <t>Cifrado de extremo a extremo</t>
  </si>
  <si>
    <t>Protección a nivel de carga útil mantenida desde el canal de origen hasta el procesador final, independientemente de los saltos de transporte.</t>
  </si>
  <si>
    <t>Mantiene los datos confidenciales entre intermediarios, lo cual es una condición previa para usar procesadores de terceros y SaaS.</t>
  </si>
  <si>
    <t>Almacenamiento de claves y gestión HSM</t>
  </si>
  <si>
    <t>Gestión del ciclo de vida de las claves criptográficas y los módulos de hardware que las protegen.</t>
  </si>
  <si>
    <t>Previene la expansión de llaves, el modo de fallo que suele bloquear la migración en la nube de cargas de trabajo reguladas.</t>
  </si>
  <si>
    <t>Gestión de certificados y secretos</t>
  </si>
  <si>
    <t>Emisión, distribución, rotación, revocación y auditoría de certificados y secretos de aplicaciones consumidos por servicios, gateways y pipelines.</t>
  </si>
  <si>
    <t>Automatiza la higiene operativa que suele fallar a gran escala; Los certificados caducados y los secretos codificados en forma dura son algunas de las causas más frecuentes de interrupciones y hallazgos de auditorías en herencias distribuidas.</t>
  </si>
  <si>
    <t>HashiCorp Vault; AWS Secrets Manager; Kubernetes Secretos; gestión de certificados SSL; HSM para operaciones clave críticas.</t>
  </si>
  <si>
    <t>Gestión de Certificados</t>
  </si>
  <si>
    <t>Emisión automatizada de certificados, inventario, monitorización de caducidad, renovación y revocación en toda la herencia.</t>
  </si>
  <si>
    <t>Elimina una causa principal de interrupciones autoinfligidas a medida que el número de puntos finales cifrados se multiplica.</t>
  </si>
  <si>
    <t>Gestión secreta</t>
  </si>
  <si>
    <t>Almacenamiento centralizado, inyección dinámica, rotación y auditoría de credenciales, claves API y cadenas de conexión.</t>
  </si>
  <si>
    <t>Elimina secretos del código y la configuración, convirtiendo la rotación de credenciales en una operación rutinaria de plataforma.</t>
  </si>
  <si>
    <t>Protección contra amenazas</t>
  </si>
  <si>
    <t>Detección y mitigación de tráfico hostil y técnicas de ataque en tiempo de ejecución en el perímetro, en la capa API y dentro del contenedor y plataformas de streaming.</t>
  </si>
  <si>
    <t>Protege la superficie de ataque ensanchada que necesariamente crea el desacoplamiento, en las capas donde la exposición es mayor.</t>
  </si>
  <si>
    <t>Imperva WAF; Cloud Armor; AWS Shield; Apigee OAuth/limitación de tasa; malla de servicio Istio; Exabeam SIEM; HashiCorp Vault y controles de endurecimiento.</t>
  </si>
  <si>
    <t>API Seguridad y Protección por Inyección</t>
  </si>
  <si>
    <t>Protección contra inyección, manipulación de parámetros, autorizaciones fallidas y otras clases de ataque de la capa API, con aplicación de políticas en la puerta de enlace.</t>
  </si>
  <si>
    <t>Protege las interfaces de las que depende el caso de negocio para exponer, por lo que la apertura no se traduce en riesgo.</t>
  </si>
  <si>
    <t>Protección contra amenazas perimetrales</t>
  </si>
  <si>
    <t>Cortafuegos de aplicaciones web, mitigación de denegación de servicio y gestión de bots en el borde de la red.</t>
  </si>
  <si>
    <t>Absorbe tráfico de ataque volumétrico y automatizado antes de que alcance la capacidad de la pasarela o la aplicación.</t>
  </si>
  <si>
    <t>Protección de Carga Útil y Cumplimiento de Cuotas</t>
  </si>
  <si>
    <t>Inspección de cargas útiles, límites de tamaño y esquema, y aplicación de cuotas orientada al abuso.</t>
  </si>
  <si>
    <t>Previene ataques por agotamiento de recursos contra componentes compartidos usados por todos los consumidores.</t>
  </si>
  <si>
    <t>Seguridad en contenedores y streaming</t>
  </si>
  <si>
    <t>Escaneo de imágenes, protección de cargas de trabajo en tiempo de ejecución, validación de políticas de malla de servicio y control de acceso en temas de eventos.</t>
  </si>
  <si>
    <t>Extiende el control a los tiempos de ejecución donde los servicios modernos realmente se ejecutan, en lugar de solo al perímetro.</t>
  </si>
  <si>
    <t>Gestión de vulnerabilidades y amenazas (VTM)</t>
  </si>
  <si>
    <t>Identificación, priorización y remediación continua de vulnerabilidades en bibliotecas, imágenes, plataformas e interfaces, incluyendo pruebas adversariales.</t>
  </si>
  <si>
    <t>Aborda directamente el coste y el tiempo dedicado a gestionar vulnerabilidades en un gran conjunto de microservicios, el objetivo declarado detrás de curar bibliotecas base y eliminar dependencias innecesarias.</t>
  </si>
  <si>
    <t>Tercero + proceso</t>
  </si>
  <si>
    <t>compuertas de seguridad DevSecOps; Prácticas SAST/DAST; SonarQube y OWASP ZAP referenciados para la seguridad de la canalización; endurecer la validación; escaneos de vulnerabilidades.</t>
  </si>
  <si>
    <t>Escaneo y Remediación de Vulnerabilidades</t>
  </si>
  <si>
    <t>Escaneo automatizado de código, dependencias, imágenes e infraestructura con flujo de trabajo de remediación seguido.</t>
  </si>
  <si>
    <t>Convierte un atraso de alertas manuales ilimitado en una pipeline gobernada y medible.</t>
  </si>
  <si>
    <t>Pruebas de penetración y evaluación adversarial</t>
  </si>
  <si>
    <t>Pruebas programadas y dirigidas de interfaces expuestas y componentes de interoperabilidad por equipos especializados.</t>
  </si>
  <si>
    <t>Valida que los controles heredados de la plataforma realmente se mantienen bajo ataque, no solo en el papel.</t>
  </si>
  <si>
    <t>Línea Base de Seguridad y Aplicación de Políticas</t>
  </si>
  <si>
    <t>Definición y aplicación automatizada de librerías aprobadas, tiempos de ejecución y líneas base de configuración.</t>
  </si>
  <si>
    <t>Los estándares centrales controlados por un solo equipo son los que mantienen el esfuerzo de remediación sublineal a medida que crecen los servicios.</t>
  </si>
  <si>
    <t>Observabilidad y respuesta de seguridad</t>
  </si>
  <si>
    <t>Telemetría, correlación, alertas, paneles de control y respuesta automatizada específicos de seguridad se basan en la columna vertebral de observabilidad compartida.</t>
  </si>
  <si>
    <t>Cierra la brecha más observada en los programas de interoperabilidad: la telemetría de seguridad existe en fragmentos y no existe capacidad de respuesta automatizada.</t>
  </si>
  <si>
    <t>Terceros + casos de uso personalizados</t>
  </si>
  <si>
    <t>Exabeam SIEM para detección de amenazas; DataDog para paneles de seguridad/operativos; CloudTrail/CloudWatch donde se utilizan servicios AWS; escalada de incidentes a través de Operaciones/Seguridad.</t>
  </si>
  <si>
    <t>Alertas de seguridad, métricas y paneles de control</t>
  </si>
  <si>
    <t>Recopilación consolidada de eventos de seguridad, correlación y paneles que abarcan capas perimeter, API, contenedor y streaming.</t>
  </si>
  <si>
    <t>Proporciona a la función de seguridad la misma visibilidad de extremo a extremo que el trazado distribuido da a la ingeniería.</t>
  </si>
  <si>
    <t>Automatización de la Respuesta a Incidentes de Seguridad</t>
  </si>
  <si>
    <t>Manuales de contención y remediación orquestados y parcialmente automatizados activados por detecciones de seguridad.</t>
  </si>
  <si>
    <t>Comprime el tiempo de respuesta a un nivel coherente con los canales de distribución en tiempo real y siempre activos.</t>
  </si>
  <si>
    <t>Observabilidad</t>
  </si>
  <si>
    <t>Instrumentación y evidencia en todo el patrimonio distribuido: agregación de registros y registro operativo, registro de auditorías, rastreo distribuido y de extremo a extremo, monitorización de salud y API, alertas, métricas y analíticas, y paneles técnicos y empresariales.</t>
  </si>
  <si>
    <t>Jefe de Ingeniería de Plataformas y SRE</t>
  </si>
  <si>
    <t>La consecuencia más difícil de la componibilidad es que ningún sistema único mantiene ya la verdad de extremo a extremo sobre una transacción; La observabilidad la restaura. Ejecutivamente, esta capacidad convierte la capa de interoperabilidad de un activo técnico en un instrumento de riesgo y rendimiento a nivel de servicio empresarial; la misma telemetría que impulsa la respuesta a incidentes impulsa la visión de riesgo por servicio empresarial de IT utilizada para guiar el programa de modernización.</t>
  </si>
  <si>
    <t>Plataforma de terceros + casos de uso personalizados</t>
  </si>
  <si>
    <t>DataDog; Exabeam; CloudWatch/CloudTrail; Apigee analítica; Google Analytics; Data Warehouse informando.</t>
  </si>
  <si>
    <t>Monitorización</t>
  </si>
  <si>
    <t>Recogida y evaluación continua del estado y disponibilidad de componentes, interfaces y dependencias de la plataforma, con alertas basadas en umbrales y anomalías.</t>
  </si>
  <si>
    <t>Detecta la degradación antes que los clientes, lo cual importa más en una urbanización compuesta donde una dependencia débil degrada muchos viajes.</t>
  </si>
  <si>
    <t>Monitorización DataDog, paneles de control y alertas; CloudWatch/CloudTrail para componentes AWS; Apigee analítica; comprobaciones de salud de la plataforma en Apolo, Transact y SmartVista.</t>
  </si>
  <si>
    <t>Monitorización de la salud</t>
  </si>
  <si>
    <t>Comprobaciones de vivencia, preparación y salud de dependencias para servicios, tiempos de ejecución y componentes de infraestructura.</t>
  </si>
  <si>
    <t>Permite la recuperación automatizada y el desplazamiento de tráfico en lugar de diagnósticos manuales.</t>
  </si>
  <si>
    <t>Monitorización de la salud y disponibilidad API</t>
  </si>
  <si>
    <t>Monitorización de disponibilidad, latencia, saturación y tasa de errores por interfaz y por consumidor.</t>
  </si>
  <si>
    <t>Hace que los contratos publicados sean medibles en función de los niveles de servicio, lo que permite confiar en la reutilización interna.</t>
  </si>
  <si>
    <t>Alertas y notificaciones</t>
  </si>
  <si>
    <t>Generación de alertas basadas en reglas y umbrales con enrutamiento al canal correspondiente (ITSM, mensajería, correo, llamada de guardia).</t>
  </si>
  <si>
    <t>Garantiza que la detección llegue a un propietario responsable; la telemetría no enrutada no tiene valor operativo.</t>
  </si>
  <si>
    <t>Monitorización de capacidad y tasa de eventos</t>
  </si>
  <si>
    <t>Medición del rendimiento, tasas de eventos y consumo de recursos para apoyar la planificación de capacidad.</t>
  </si>
  <si>
    <t>Aborda directamente las brechas de rendimiento y planes de capacidad que normalmente se encuentran en el estado de integración en estado actual.</t>
  </si>
  <si>
    <t>Recogida estructurada, normalización, indexación, retención y rotación de registros técnicos, operativos y de auditoría de cada componente de la capa de interoperabilidad.</t>
  </si>
  <si>
    <t>Proporciona el fundamento forense y de auditoría para un patrimonio distribuido donde ningún registro de aplicación único cuente toda la historia.</t>
  </si>
  <si>
    <t>Registros/monitores DataDog; Exabeam SIEM; AWS CloudTrail/CloudWatch; registros de auditoría de Apigee, Transact, SmartVista y flujos regulatorios/de reportes.</t>
  </si>
  <si>
    <t>Agregación de logarítmicas</t>
  </si>
  <si>
    <t>Recogida centralizada e indexación de registros de servicios, gateways, tiempos de ejecución y pipelines.</t>
  </si>
  <si>
    <t>Elimina la búsqueda de troncos por sistema, que es el mayor componente individual del tiempo medio de diagnóstico.</t>
  </si>
  <si>
    <t>Servicios de Registro Operativo</t>
  </si>
  <si>
    <t>Bibliotecas estándar de registro, formatos y convenciones de severidad consumidos por los equipos de aplicaciones.</t>
  </si>
  <si>
    <t>Hace que los registros sean correlacionados con la máquina por diseño en lugar de analizados retrospectivamente.</t>
  </si>
  <si>
    <t>Registro de auditoría</t>
  </si>
  <si>
    <t>Registro inmutable de eventos relevantes para la seguridad y para el negocio con retención definida.</t>
  </si>
  <si>
    <t>Cumple obligaciones de evidencia regulatoria que los núcleos heredados cumplían implícitamente a través de sus propias revistas.</t>
  </si>
  <si>
    <t>Retención y rotación de troncos</t>
  </si>
  <si>
    <t>Niveles de retención basados en políticas, archivo y rotación entre almacenamiento caliente, caliente y frío.</t>
  </si>
  <si>
    <t>Controla la curva de coste de observabilidad, que de otro modo escala más rápido que el propio conjunto.</t>
  </si>
  <si>
    <t>Trazado</t>
  </si>
  <si>
    <t>Propagación y reconstrucción del camino completo de ejecución de una solicitud a través de servicios, plataformas, protocolos y saltos asincrónicos, basándose en un identificador de correlación propagado de forma consistente.</t>
  </si>
  <si>
    <t>La capacidad de observabilidad más importante en una arquitectura interoperable: es lo que hace que una transacción distribuida sea explicable de principio a fin, tanto en la generación heredada como en la de próxima generación.</t>
  </si>
  <si>
    <t>Instrumentación de terceros + personalizada</t>
  </si>
  <si>
    <t>DataDog APM/trazado está previsto como observabilidad avanzada; Istio soporta telemetría a nivel de servicio. El servicio de identidad de correlación no se menciona explícitamente.</t>
  </si>
  <si>
    <t>Trazado distribuido</t>
  </si>
  <si>
    <t>Recogida y ensamblado entre invocaciones de servicio síncronas, con atribución de latencia por salto.</t>
  </si>
  <si>
    <t>Localiza la verdadera limitación en un viaje compuesto en lugar de asignar la culpa por inferencia.</t>
  </si>
  <si>
    <t>Trazado de extremo a extremo (identidad de correlación)</t>
  </si>
  <si>
    <t>Propagación consistente de identificadores de correlación a través de canales, orquestaciones, eventos y adaptadores heredados.</t>
  </si>
  <si>
    <t>Ofrece trazabilidad a lo largo de toda la arquitectura técnica, incluyendo segmentos asincrónicos y mainframe.</t>
  </si>
  <si>
    <t>Métricas, Análisis e Informes</t>
  </si>
  <si>
    <t>Derivación, almacenamiento y análisis de métricas técnicas y empresariales a partir de la telemetría, incluyendo correlación automatizada y detección asistida por aprendizaje automático, así como informes periódicos.</t>
  </si>
  <si>
    <t>Convierte la telemetría en bruto en la información de gestión utilizada para demostrar el caso de negocio de interoperabilidad y dirigir la inversión de la plataforma.</t>
  </si>
  <si>
    <t>KPIs DataDog; Apigee analítica; Google Analytics para comportamiento digital; Data Warehouse/DataStage para reportar alimentaciones; salpicaderos ejecutivos PMO.</t>
  </si>
  <si>
    <t>Métricas y Analítica</t>
  </si>
  <si>
    <t>Recogida, agregación y análisis de métricas de series temporales, incluyendo correlación negocio-evento y detección de anomalías.</t>
  </si>
  <si>
    <t>Proporciona la base de medición para las reclamaciones de reutilización, tiempo de lanzamiento al mercado y costes presentadas en el caso de negocio del programa.</t>
  </si>
  <si>
    <t>Reportajes</t>
  </si>
  <si>
    <t>Informes operativos programados y bajo demanda, de nivel de servicio y de cumplimiento.</t>
  </si>
  <si>
    <t>Proporciona el paquete de evidencia recurrente para foros de riesgo, auditoría y gobernanza de servicios.</t>
  </si>
  <si>
    <t>Paneles</t>
  </si>
  <si>
    <t>Visualización orientada a roles de la plataforma y la telemetría empresarial para audiencias de ingeniería, operaciones, seguridad, empresarial y ejecutivos.</t>
  </si>
  <si>
    <t>Convierte la observabilidad de una herramienta de ingeniería en un instrumento de gestión compartido, incluyendo la vista de riesgo a nivel de servicio empresarial IT.</t>
  </si>
  <si>
    <t>paneles técnicos DataDog; PMO / paneles ejecutivos; paneles regulatorios y empresariales mediante Data Warehouse, Bajaware/Risklogic e informes de proyectos.</t>
  </si>
  <si>
    <t>Paneles técnicos</t>
  </si>
  <si>
    <t>Vistas de componentes, servicios e infraestructura para los equipos de ingeniería y operaciones.</t>
  </si>
  <si>
    <t>Reduce el triaje y apoya la propiedad de los servicios a nivel de equipo.</t>
  </si>
  <si>
    <t>Paneles de control empresariales</t>
  </si>
  <si>
    <t>Vistas a nivel de negocio y de trayectos sobre volumen, tasa de éxito y flujo de valor.</t>
  </si>
  <si>
    <t>Permite a los directivos ver la modernización, el progreso y el riesgo en términos empresariales en lugar de en términos componentes.</t>
  </si>
  <si>
    <t>Infraestructura (Pila Tecnológica)</t>
  </si>
  <si>
    <t>La base en tiempo de ejecución de la capa de interoperabilidad: el marco de microservicios y los servicios del núcleo, bibliotecas base y tiempos de ejecución del lenguaje, plataforma contenedor y serverless, descubrimiento y malla de servicios, automatización de configuración, ingeniería de despliegue y pruebas, y resiliencia de infraestructura.</t>
  </si>
  <si>
    <t>Jefe de Ingeniería de la Nube y Plataformas</t>
  </si>
  <si>
    <t>Determina el coste marginal de añadir un componente a la arquitectura. Una pila curada y aplicada por estándares —permitió tecnologías gobernadas centralmente, eliminar bibliotecas innecesarias— ofrece agilidad de despliegue y elástica escalando los atributos del caso de negocio hasta la componibilidad, y mantiene cientos de servicios gobernables por un pequeño equipo de plataforma.</t>
  </si>
  <si>
    <t>Código abierto + de terceros, comisariado centralmente</t>
  </si>
  <si>
    <t>AWS, GCP e infraestructura híbrida local; EKS/Kubernetes; Terraform/Packer/GitHub IaC; DevSecOps CI/CD; DataDog; Bóveda.</t>
  </si>
  <si>
    <t>Marco de Microservicios</t>
  </si>
  <si>
    <t>El marco de desarrollo y ejecución opinado que aloja servicios autosuficientes independientemente del dominio de negocio, incluyendo bibliotecas base compartidas, entornos de ejecución aprobados por lenguajes, servicios del kernel, descubrimiento de servicios e integración de mallas de servicios.</t>
  </si>
  <si>
    <t>El marco es donde se heredan las preocupaciones transversales en lugar de reconstruirse; Su calidad establece el techo de productividad para cada equipo de dominio.</t>
  </si>
  <si>
    <t>Código abierto, seleccionado internamente</t>
  </si>
  <si>
    <t>microservicios Spring Boot; microservicios Modyo Connect; Temenos DES API/componentes; EKS/ECS/Fargate; Kubernetes; Mesh de servicio Istio.</t>
  </si>
  <si>
    <t>Bibliotecas base</t>
  </si>
  <si>
    <t>Bibliotecas comunes seleccionadas y versionadas que proporcionan registro, seguridad, resiliencia, configuración e integración de telemetría.</t>
  </si>
  <si>
    <t>Estandariza el comportamiento no funcional y reduce la superficie de vulnerabilidad eliminando dependencias innecesarias.</t>
  </si>
  <si>
    <t>Tiempos de ejecución del lenguaje</t>
  </si>
  <si>
    <t>Conjunto regulado de tiempos de ejecución aprobados y versiones con rutas de actualización definidas.</t>
  </si>
  <si>
    <t>Previene la expansión tecnológica que haría imposible la remediación a nivel de plataforma y la planificación de competencias.</t>
  </si>
  <si>
    <t>Servicios del núcleo</t>
  </si>
  <si>
    <t>Servicios fundacionales de plataforma consumidos por todos los dominios, incluido el inventario formal de servicios que los registra.</t>
  </si>
  <si>
    <t>Un inventario autorizado es la condición previa para regular la reutilización y para calcular el coste del patrimonio.</t>
  </si>
  <si>
    <t>Descubrimiento del servicio</t>
  </si>
  <si>
    <t>Registro dinámico y resolución de instancias de servicio en tiempo de ejecución.</t>
  </si>
  <si>
    <t>Permite un escalado elástico y reubicación sin configuración estática del extremo.</t>
  </si>
  <si>
    <t>Mesh de servicio Istio en Kubernetes/EKS; Descubrimiento de servicios EKS y balanceo de carga para microservicios.</t>
  </si>
  <si>
    <t>Malla de servicio</t>
  </si>
  <si>
    <t>Control basado en sidecar del tráfico de servicio a servicio, incluyendo autenticación mutua y validación de token en la capa de plataforma.</t>
  </si>
  <si>
    <t>Desplaza la seguridad interservicios y el control de tráfico fuera del código de la aplicación, simplificando cada servicio.</t>
  </si>
  <si>
    <t>Contenedor y plataforma de ejecución</t>
  </si>
  <si>
    <t>Orquestación de contenedores, ejecución serverless y gestión de imágenes proporcionan el sustrato elástico de cómputo para componentes de interoperabilidad.</t>
  </si>
  <si>
    <t>Proporciona agilidad en el despliegue y escalabilidad impulsada por la demanda, y es el vehículo práctico para la portabilidad entre proveedores de nube y entornos híbridos.</t>
  </si>
  <si>
    <t>Amazon EKS/Kubernetes; ECS/Fargate para Modyo Connect; OpenShift referenciado en el panel técnico; Docker/registro de contenedores.</t>
  </si>
  <si>
    <t>Orquestación en contenedores</t>
  </si>
  <si>
    <t>Programación, escalado, auto-reparación y colocación de carga de trabajo de servicios contenedores.</t>
  </si>
  <si>
    <t>Ofrece la elasticidad que las arquitecturas desacopladas necesitan para atender económicamente la demanda digital de forma económica.</t>
  </si>
  <si>
    <t>Tiempo de ejecución sin servidor</t>
  </si>
  <si>
    <t>Ejecución activada por eventos y basada en consumo para funciones ligeras y de ráfagas.</t>
  </si>
  <si>
    <t>Extiende los modelos de costes basados en el consumo a cargas de trabajo de integración y transformación de datos.</t>
  </si>
  <si>
    <t>No se evidencia explícitamente ningún tiempo de ejecución serverless dedicado; los servicios gestionados adyacentes AWS incluyen Amazon API Gateway, CloudFront, Pinpoint, MQ y Kinesis.</t>
  </si>
  <si>
    <t>Gestión de imágenes y artefactos</t>
  </si>
  <si>
    <t>Registro, streaming, firma y promoción de imágenes en tiempo real y artefactos de construcción.</t>
  </si>
  <si>
    <t>Garantiza la procedencia y la velocidad de despliegue, ambos requisitos previos para una alta frecuencia de lanzamientos.</t>
  </si>
  <si>
    <t>Imágenes doradas Packer; repositorios GitHub; registro de contenedores/ECR área de decisión; Helm Charts; Tuberías de artefactos DevSecOps.</t>
  </si>
  <si>
    <t>Automatización de configuración de plataformas</t>
  </si>
  <si>
    <t>Provisión y configuración declarativa y automatizada de componentes y entornos de plataforma, incluyendo servicios centralizados de configuración de aplicaciones.</t>
  </si>
  <si>
    <t>Elimina la inconsistencia en el entorno que hace que las pruebas distribuidas sean poco fiables y las versiones impredecibles.</t>
  </si>
  <si>
    <t>Código abierto + terceros</t>
  </si>
  <si>
    <t>Terraform + Packer + GitHub; módulos IaC; Homologación de Ambientes; posibles patrones Ansible/CloudFormation; Vault/Secrets para seguridad de configuración.</t>
  </si>
  <si>
    <t>Infraestructura y Provisión de Plataformas</t>
  </si>
  <si>
    <t>Provisión automatizada y controlada por versiones de los componentes de infraestructura y plataforma de los que depende la capa.</t>
  </si>
  <si>
    <t>Hace que la capa de interoperabilidad sea reproducible entre entornos, regiones y entidades.</t>
  </si>
  <si>
    <t>Gestión de configuración</t>
  </si>
  <si>
    <t>La configuración externalizada y consciente del entorno sirvió a los servicios en tiempo de ejecución.</t>
  </si>
  <si>
    <t>Permite el cambio de comportamiento sin reubicación, lo cual es esencial para el control de la coexistencia.</t>
  </si>
  <si>
    <t>Gestión del medio ambiente</t>
  </si>
  <si>
    <t>Definición, provisión y ciclo de vida de toda la cadena de entorno con sus correspondientes backends.</t>
  </si>
  <si>
    <t>Aborda el bloqueador común donde no existe una cadena de entorno completa alineada con backend para las pruebas de integración.</t>
  </si>
  <si>
    <t>Despliegue e ingeniería de lanzamiento</t>
  </si>
  <si>
    <t>Mecánicas automatizadas de compilación, prueba y lanzamiento para componentes de interoperabilidad, incluyendo técnicas de despliegue controlado y pruebas de regresión automatizadas.</t>
  </si>
  <si>
    <t>El control del despliegue es lo que hace posible en la práctica una modernización incremental y reversible, y no solo en la hoja de ruta.</t>
  </si>
  <si>
    <t>tuberías DevSecOps CI/CD; GitLab CI o Jenkins bajo decisión; Helm Charts; pruebas automatizadas; Prácticas de despliegue azul-verde/canario.</t>
  </si>
  <si>
    <t>Estrategias de despliegue</t>
  </si>
  <si>
    <t>Mecanismos de despliegue controlados con exposición progresiva y capacidad de retroceso rápido.</t>
  </si>
  <si>
    <t>Permite desplazar y revertir gradualmente el tráfico de migración de núcleos sin un evento de liberación.</t>
  </si>
  <si>
    <t>Pruebas automatizadas</t>
  </si>
  <si>
    <t>Pruebas automatizadas de unidades, contratos, integración y regresión a través de los límites de servicio e interfaz.</t>
  </si>
  <si>
    <t>Las pruebas por contrato son la única forma económica de mantener la compatibilidad de cientos de servicios lanzados de forma independiente.</t>
  </si>
  <si>
    <t>Resiliencia de infraestructuras</t>
  </si>
  <si>
    <t>Ingeniería y validación de la capacidad de la capa para resistir y recuperarse de fallos en componentes, incluyendo inyección deliberada de fallos, diseño de alta disponibilidad y servicios de recuperación.</t>
  </si>
  <si>
    <t>En una arquitectura compuesta, la disponibilidad agregada es producto de muchas dependencias; Por tanto, la resiliencia debe ser diseñada y puesta a prueba, no asumida.</t>
  </si>
  <si>
    <t>Práctica de terceros + ingeniería</t>
  </si>
  <si>
    <t>arquitectura multi-AZ/DR DR; Entornos de producción y DR Producción; Oracle Data Guard/R-SYNC para SmartVista; Copia de seguridad/restauración y DR regional.</t>
  </si>
  <si>
    <t>Alta Disponibilidad y Conmutación por Error</t>
  </si>
  <si>
    <t>Redundancia, despliegue multizona y conmutación automática por error para componentes de interoperabilidad.</t>
  </si>
  <si>
    <t>Evita que la capa de abstracción se convierta en un único punto de fallo para cada canal y producto.</t>
  </si>
  <si>
    <t>Pruebas de resiliencia e inyección de fallos</t>
  </si>
  <si>
    <t>Introducción deliberada y controlada de condiciones de fallo en entornos no productivos para validar el comportamiento de recuperación.</t>
  </si>
  <si>
    <t>Aflora modos de fallo no reproducibles antes de que aparezcan en incidentes de producción.</t>
  </si>
  <si>
    <t>Servicios de Recuperación</t>
  </si>
  <si>
    <t>Procedimientos automatizados de detección, aislamiento y restauración de componentes degradados.</t>
  </si>
  <si>
    <t>Reduce el coste operativo de gestionar una urbanización distribuida a gran escala.</t>
  </si>
  <si>
    <t>Orquestación de Servicio</t>
  </si>
  <si>
    <t>Composición de servicios de grano fino en servicios empresariales complejos a través de plataformas heterogéneas —de forma sincrónica o asíncrona, secuencial o en paralelo— a través de un orquestador de servicios, un marco de integración y mediación, gestión de contexto y adaptadores heredados.</t>
  </si>
  <si>
    <t>Arquitecto Jefe - Capa de Interoperabilidad</t>
  </si>
  <si>
    <t>Capacidad de dominio</t>
  </si>
  <si>
    <t>Aquí es donde la convivencia entre los mejores de la generación deja de ser un diagrama y se convierte en ejecutable: un servicio empresarial puede abarcar un núcleo de próxima generación, un procesador de producto SaaS y un subdominio de mainframe mientras el consumidor ve una sola llamada. Mover la orquestación de programas centrales codificados directamente a un marco declarativo suele ser la mayor ganancia de productividad individual en la capa y la condición previa para desmantelar middleware heredado.</t>
  </si>
  <si>
    <t>Marco de terceros + servicios personalizados</t>
  </si>
  <si>
    <t>MuleSoft; WebMethods; Apigee; Modyo Connect; Servicios BIAN; Interfaces Temporales/Estrangulador Figura; Transact OFS/IRIS APIs.</t>
  </si>
  <si>
    <t>Orquestador de Servicio</t>
  </si>
  <si>
    <t>El motor que descompone un servicio complejo en un conjunto ordenado o paralelo de invocaciones de servicio de grano minucioso y gestiona su ejecución, resultados y excepciones.</t>
  </si>
  <si>
    <t>Concentra la lógica de negocio entre sistemas en un solo lugar gobernado y visible en lugar de dispersarla entre canales y núcleos.</t>
  </si>
  <si>
    <t>orquestación MuleSoft; Software AG WebMethods BPM/BRM; Gestión de invocaciones Apigee; orquestación de flujo estilo máquina de estados Modyo Connect; Diagnóstico DataDog.</t>
  </si>
  <si>
    <t>Composición y secuenciación de servicios</t>
  </si>
  <si>
    <t>Definición y ejecución de servicios compuestos a partir de pasos detallados, con configuración declarativa o visual.</t>
  </si>
  <si>
    <t>Aumenta la productividad en la entrega y hace que la lógica entre sistemas sea revisable por arquitectura y auditoría.</t>
  </si>
  <si>
    <t>Control de ejecución paralela y condicional</t>
  </si>
  <si>
    <t>Ejecución concurrente y condicionada por reglas de pasos de orquestación con agregación de resultados.</t>
  </si>
  <si>
    <t>Mantiene los tiempos de respuesta aceptables cuando un viaje requiere varios sistemas de backend.</t>
  </si>
  <si>
    <t>Gestión de invocaciones</t>
  </si>
  <si>
    <t>Gestión de estilos de invocación síncronos y asíncronos, tiempos de espera, intentos de repetición y manejo de fallos parciales.</t>
  </si>
  <si>
    <t>Permite que cada plataforma participante se integre en el estilo que realmente soporta, sin penalizar al consumidor.</t>
  </si>
  <si>
    <t>Monitorización y diagnóstico de orquestación</t>
  </si>
  <si>
    <t>Instrumentación de la ejecución de orquestación con emisión de eventos técnicos y empresariales.</t>
  </si>
  <si>
    <t>Hace que los servicios compuestos sean operativos, lo cual es la condición práctica para confiarles los viajes de ingresos.</t>
  </si>
  <si>
    <t>Marco de Integración y Mediación</t>
  </si>
  <si>
    <t>Servicios de transformación, mapeo y puente de protocolos que reconcilian diferentes contratos, formatos y mecanismos de comunicación entre plataformas participantes.</t>
  </si>
  <si>
    <t>Absorbe la heterogeneidad, de modo que añadir un nuevo procesador o proveedor es un ejercicio de adaptación en lugar de un cambio en el estado consumidor.</t>
  </si>
  <si>
    <t>Transformación y Mapeo de Mensajes</t>
  </si>
  <si>
    <t>Mapeado declarativo entre estructuras de mensajes canónicas y nativas, incluyendo enriquecimiento y predeterminación.</t>
  </si>
  <si>
    <t>Mantiene el contrato canónico estable mientras los formatos nativos cambian por debajo.</t>
  </si>
  <si>
    <t>Transformación MuleSoft y puente de protocolo; Contratos Apigee API; diseño canónico de servicios BIAN; DataStage para transformación de datos; Documentación OpenAPI/Swagger API.</t>
  </si>
  <si>
    <t>Puente de protocolo</t>
  </si>
  <si>
    <t>Adaptación entre mecanismos de comunicación (REST, gRPC, mensajería, archivos, protocolos de transacciones heredados).</t>
  </si>
  <si>
    <t>Permite que los protocolos heredados participen en los viajes modernos sin forzar una reescritura como condición previa.</t>
  </si>
  <si>
    <t>Mapeo dinámico de datos y gobernanza de esquemas</t>
  </si>
  <si>
    <t>Definiciones de mapeo configurables y versionadas y contratos de esquema mantenidos fuera del código de aplicación.</t>
  </si>
  <si>
    <t>Convierte el cambio de contrato en un evento de configuración controlado, aislando la plataforma de cambios externos en el sistema.</t>
  </si>
  <si>
    <t>Gestión del contexto</t>
  </si>
  <si>
    <t>Captura, propagación y disponibilidad consistente del contexto de ejecución —identidad, canal, entidad, ubicación, correlación, derechos— en cada salto de un servicio compuesto.</t>
  </si>
  <si>
    <t>Sin contexto propagado, la auditoría distribuida, la aplicación de derechos y el rastreo se rompen en el primer límite del sistema.</t>
  </si>
  <si>
    <t>Costumbres</t>
  </si>
  <si>
    <t>Disco de Oro / Party-CIF; Catálogo de productos Transact y marco AA; BRM; Propagación del contexto Apigee/MuleSoft; No es un producto de registro separado en las fuentes.</t>
  </si>
  <si>
    <t>Propagación del contexto de la solicitud</t>
  </si>
  <si>
    <t>Transmisión estandarizada del contexto del llamador, canal y correlación a través de todos los saltos de orquestación.</t>
  </si>
  <si>
    <t>Permite una autorización, auditoría y rastreo consistentes independientemente de cuántos sistemas participen.</t>
  </si>
  <si>
    <t>Registro de Servicios y Configuración de Reglas</t>
  </si>
  <si>
    <t>Registro de servicios con sus características de ejecución, reglas y metadatos administrativos.</t>
  </si>
  <si>
    <t>Hace que el comportamiento del servicio (atomicidad, aprobaciones, elegibilidad para reintentos) sea declarativo y gobernado centralmente.</t>
  </si>
  <si>
    <t>Adaptadores heredados</t>
  </si>
  <si>
    <t>envoltorios de servicio y adaptadores específicos de plataforma que exponen funciones residentes heredadas como APIs estándar y eventos, conectando desde la arquitectura de microservicios hasta mainframes y plataformas propietarias.</t>
  </si>
  <si>
    <t>La capacidad de coexistencia de caballo de batalla: hace que la función heredada sea consumible por los viajes modernos sin modificar el código heredado, lo que permite que la modernización sea incremental y reversible.</t>
  </si>
  <si>
    <t>Interfaces temporales usando Strangler Fig/ByPass; Envoltorios PISA/Informix; Apificación OfiWeb; Teller Multi Core; interfaces batch/COB y hoja de ruta de desmantelamiento.</t>
  </si>
  <si>
    <t>Envoltorios de servicio y exposición de servicios heredados</t>
  </si>
  <si>
    <t>Microservicios que exponen transacciones heredadas como APIs adecuados para orquestación.</t>
  </si>
  <si>
    <t>Desbloquea décadas de funciones empresariales integradas para su reutilización sin necesidad de reescribir.</t>
  </si>
  <si>
    <t>Adaptadores de plataforma</t>
  </si>
  <si>
    <t>Conectividad específica de la plataforma y adaptadores de protocolo para mainframe y entornos propietarios, incluyendo enrutamiento de transacciones.</t>
  </si>
  <si>
    <t>Aísla mecánicas específicas de la plataforma en un componente reemplazable, por lo que el familiar no está acoplado a opciones tecnológicas heredadas.</t>
  </si>
  <si>
    <t>Interfaces de lote y sincronización de datos heredadas</t>
  </si>
  <si>
    <t>Se requieren mecanismos de sincronización por lotes y de datos junto con acceso en tiempo real a plataformas heredadas.</t>
  </si>
  <si>
    <t>Cubre la realidad residual por lotes que las estrategias puras API suelen subestimar.</t>
  </si>
  <si>
    <t>Ciclo de vida del adaptador y desmantelamiento</t>
  </si>
  <si>
    <t>Introducción controlada, doble funcionamiento y retirada de adaptadores a medida que las funciones migran fuera del legado.</t>
  </si>
  <si>
    <t>Garantiza que los adaptadores tácticos se retiren activamente en lugar de convertirse en arquitectura permanente.</t>
  </si>
  <si>
    <t>Orquestación de procesos</t>
  </si>
  <si>
    <t>Ejecución y control de procesos empresariales de mayor duración que combinan pasos del sistema y humanos — definición de flujos de trabajo, gestión de tareas, persistencia de estado, gestión de excepciones y escalada — implementados en motores de flujo de trabajo ligeros en lugar de en suites empresariales BPM de gran tamaño.</t>
  </si>
  <si>
    <t>Jefe de Arquitectura de Procesos de Negocio</t>
  </si>
  <si>
    <t>Separa el flujo técnico de milisegundos del flujo de negocio de varios días. Ofrece al banco un lugar para expresar jerarquías de autorización, controles de cuatro ojos, gestión de excepciones y viajes reanudables sin incrustarlos ni en el canal ni en el núcleo, lo que hace que los viajes sean portátiles entre productos y canales.</t>
  </si>
  <si>
    <t>Motor de flujo de trabajo ligero de terceros</t>
  </si>
  <si>
    <t>WebMethods BPM/BRM; Modyo Connect; Teller Multi Core; OnBase; DataDog; Gobernanza PMO/RAID.</t>
  </si>
  <si>
    <t>Servicios de flujo de trabajo</t>
  </si>
  <si>
    <t>Definición, versión y ejecución de procesos empresariales de varios pasos que abarcan servicios, sistemas y participantes humanos.</t>
  </si>
  <si>
    <t>Hace que la lógica de procesos sea explícita y modificable según la autoridad de diseño en lugar de implícita en el código entre varios sistemas.</t>
  </si>
  <si>
    <t>WebMethods BPM; Flujo de trabajo/máquina de estados Modyo Connect; Gestión de trabajos de Ingeniería de Flujos/Jira para la entrega; el proceso fluye a través de Apolo, SmartVista y Transact.</t>
  </si>
  <si>
    <t>Definición y Versionado de Flujos de Trabajo</t>
  </si>
  <si>
    <t>Modelado y control de versiones de definiciones de procesos, con promoción controlada entre entornos.</t>
  </si>
  <si>
    <t>Permite cambiar procesos a ritmo empresarial sin necesidad de una liberación de núcleos.</t>
  </si>
  <si>
    <t>Ejecución de flujos de trabajo y coordinación de pasos</t>
  </si>
  <si>
    <t>Ejecución en tiempo de ejecución de instancias de proceso, invocación de servicios y espera de resultados externos.</t>
  </si>
  <si>
    <t>Proporciona una ejecución fiable de viajes que abarcan días y múltiples sistemas.</t>
  </si>
  <si>
    <t>Configuración de reglas de negocio</t>
  </si>
  <si>
    <t>Normas externalizadas que regulan el enrutamiento, umbrales, elegibilidad y los participantes requeridos por tipo de proceso.</t>
  </si>
  <si>
    <t>Mantiene configurables las diferencias de políticas entre productos, entidades y países en lugar de bifurcadas en el código.</t>
  </si>
  <si>
    <t>BRM; WebMethods BRM; Transact Marco AA Catálogo de Productos; Parametrización SmartVista; Reglas de puntuación de Merit Crediticio.</t>
  </si>
  <si>
    <t>Gestión de tareas humanas</t>
  </si>
  <si>
    <t>Creación, asignación, priorización y finalización de tareas humanas derivadas de procesos automatizados, incluyendo listas de trabajo y delegación.</t>
  </si>
  <si>
    <t>Integra los pasos humanos que permanecen en los procesos bancarios regulados sin empujarlos de nuevo a las aplicaciones de canal.</t>
  </si>
  <si>
    <t>Teller Multi Core para tareas de ramificación asistida; OnBase/flujos de trabajo de documentos; SIWEB/OFI y las colas de trabajo de sucursales/centros de llamadas. No hay ninguna herramienta de tarea BPM completamente evidenciada.</t>
  </si>
  <si>
    <t>Asignación de tareas y gestión de listas de trabajo</t>
  </si>
  <si>
    <t>Enrutamiento de elementos de trabajo a roles, colas e individuos con priorización y reasignación.</t>
  </si>
  <si>
    <t>Da a las operaciones una bandeja de entrada gobernada en lugar de colas por tarea por aplicación.</t>
  </si>
  <si>
    <t>Intercepción y Reanudación de Tareas</t>
  </si>
  <si>
    <t>Suspensión de la ejecución de un servicio pendiente de acción humana y reanudación al finalizar.</t>
  </si>
  <si>
    <t>Permite insertar controles en viajes automatizados sin necesidad de rediseñar el recorrido.</t>
  </si>
  <si>
    <t>Estado de Proceso y Gestión de Excepciones</t>
  </si>
  <si>
    <t>Persistencia duradera del estado de proceso de larga duración, junto con el tiempo de espera, la escalada, el reintento y la gestión de excepciones para instancias estancadas o fallidas.</t>
  </si>
  <si>
    <t>Los procesos de larga duración fallan de forma diferente a las transacciones; La gestión explícita del estado y la escalada es lo que evita la pérdida silenciosa de clientes a bordo.</t>
  </si>
  <si>
    <t>WebMethods BPM/BRM y Modyo Connect para el estado del proceso; PMO/escalada RAID; Reserva de contingencia con Interfaces Temporales y PISA.</t>
  </si>
  <si>
    <t>Persistencia del estado del proceso</t>
  </si>
  <si>
    <t>Almacenamiento duradero del estado de la instancia de proceso, historial y acciones pendientes.</t>
  </si>
  <si>
    <t>Garantiza la reanudabilidad en reinicios, despliegues y interrupciones.</t>
  </si>
  <si>
    <t>Escalada y gestión del tiempo de espera</t>
  </si>
  <si>
    <t>Reglas de escalada, recordatorio y reasignación basadas en tiempo para instancias estancadas.</t>
  </si>
  <si>
    <t>Protege los compromisos de nivel de servicio y proporciona evidencia de auditoría sobre la operación de control.</t>
  </si>
  <si>
    <t>Manejo de excepciones de procesos</t>
  </si>
  <si>
    <t>Detección, clasificación y remediación del enrutamiento de instancias de procesos fallidos o en estado de excepción.</t>
  </si>
  <si>
    <t>Convierte las excepciones en una cola gestionada en lugar de en una fuente de riesgo operativo no cuantificado.</t>
  </si>
  <si>
    <t>Supervisión y administración de procesos</t>
  </si>
  <si>
    <t>Visibilidad operativa de instancias en vuelo y de procesos completados, con intervención administrativa e informes sobre tiempos de ciclo y cuellos de botella.</t>
  </si>
  <si>
    <t>Proporciona el equivalente a nivel de proceso del trazado distribuido y la base de medición para la mejora del procesamiento directo.</t>
  </si>
  <si>
    <t>DataDog para monitorización de procesos/plataformas; SmartVista Back Office; administración Transact; Paneles PMO para el rendimiento de procesos.</t>
  </si>
  <si>
    <t>Monitorización de instancias de procesos y consola</t>
  </si>
  <si>
    <t>Vistas operativas de instancias en vuelo con capacidad de intervención (reintentar, reasignar, cancelar).</t>
  </si>
  <si>
    <t>Permite que las operaciones resuelvan procesos empresariales atascados sin la intervención de ingeniería.</t>
  </si>
  <si>
    <t>Informes sobre el rendimiento de procesos</t>
  </si>
  <si>
    <t>Tiempo de ciclo, rendimiento, tasa de excepción y análisis de cuello de botella por proceso y producto.</t>
  </si>
  <si>
    <t>Cuantifica los avances en procesamiento directo atribuidos al programa de interoperabilidad.</t>
  </si>
  <si>
    <t>Transactions distribuidos</t>
  </si>
  <si>
    <t>Atomicidad, consistencia y recuperabilidad de las operaciones empresariales que abarcan más de un servicio, plataforma o almacén de datos: coordinación transaccional, compensación y reversión, estado e historial de transacciones, herramientas de control operativo, continuidad de almacenamiento y reenvío, y administración en tiempo de ejecución de servicios transaccionales.</t>
  </si>
  <si>
    <t>La capacidad innegociable en la banca. La descomposición solo es aceptable si la consistencia se diseña explícitamente en lugar de heredarse de una sola base de datos. Este dominio proporciona el marco de decisión (recurso único frente a múltiple, igual frente a subdominio diferente, XA frente a no XA) y las herramientas operativas para reintentar, revertir e informar, lo que permite al banco romper el monolito sin aceptar el riesgo de integridad de los datos.</t>
  </si>
  <si>
    <t>Coordinador de terceros + servicios personalizados</t>
  </si>
  <si>
    <t>Temenos Transact FT/Pagos/GL; BPC SmartVista/SVIP; Hub de Pagos; Kafka/Confluent; Amazon MQ/Kinesis; Interfaces Temporales.</t>
  </si>
  <si>
    <t>Gestión Transaction</t>
  </si>
  <si>
    <t>Coordinación de operaciones empresariales con múltiples participantes, seguimiento del éxito o fracaso de cada paso y impulsando la reversión completa o compensatoria, con registro duradero del estado y la historia.</t>
  </si>
  <si>
    <t>Garantiza que una transacción comercial que abarque sistemas legados, de nueva generación y de terceros se complete o se deshace por completo, con pruebas.</t>
  </si>
  <si>
    <t>Coordinador de terceros</t>
  </si>
  <si>
    <t>Transactional Coordinación</t>
  </si>
  <si>
    <t>Coordinador que hace seguimiento de los resultados de los participantes y decide la finalización o la retrocesa de una operación compuesta.</t>
  </si>
  <si>
    <t>Proporciona un único punto de decisión autoritativo para la corrección entre sistemas que no pueden compartir un gestor de transacciones.</t>
  </si>
  <si>
    <t>Transact FT/Pagos y GL/Contabilidad; Procesamiento de transacciones SmartVista/SVIP; Hub de Pagos/SPEI; Kafka/Confluent/Amazon MQ; Director/Saga planeado en la hoja de ruta.</t>
  </si>
  <si>
    <t>Ejecución de compensación y reversión</t>
  </si>
  <si>
    <t>Ejecución de acciones compensatorias contra participantes cuyo trabajo debe ser deshecho, impulsada por una columna vertebral fiable de mensajería.</t>
  </si>
  <si>
    <t>Permite la descomposición segura donde el commit bifásico es imposible, que es la mayor parte del estado híbrido.</t>
  </si>
  <si>
    <t>Estado Transaction y persistencia histórica</t>
  </si>
  <si>
    <t>Registro duradero de la base de datos de transacciones, estado, participantes, referencias a la carga útil e historial de eventos.</t>
  </si>
  <si>
    <t>Proporciona la pista de auditoría y la fuente de verdad de recuperación que una transacción distribuida ya no tiene por defecto.</t>
  </si>
  <si>
    <t>Intercambio de mensajes fiable</t>
  </si>
  <si>
    <t>Notificación garantizada de los resultados de los pasos e instrucciones de reversión entre coordinador y participantes.</t>
  </si>
  <si>
    <t>Garantiza que la decisión de corrección nunca se pierda en el tránsito; La pérdida de mensajes aquí se convierte en exposición financiera.</t>
  </si>
  <si>
    <t>Transaction Operaciones y Control</t>
  </si>
  <si>
    <t>Herramientas orientadas al operador para observar, intervenir e informar sobre transacciones complejas, incluyendo reintentos, cancelaciones y reversiones de acciones, así como la monitorización de eventos técnicos y operativos.</t>
  </si>
  <si>
    <t>Hace que la consistencia distribuida sea operativa por equipos nombrados; Sin él, la corrección depende de la escalada de ingeniería para cada anomalía.</t>
  </si>
  <si>
    <t>Personalizado o de terceros</t>
  </si>
  <si>
    <t>Consola Transactional</t>
  </si>
  <si>
    <t>Interfaz operativa que muestra el estado e historial de transacciones complejas con desentrañecimiento hasta el nivel del participante.</t>
  </si>
  <si>
    <t>Proporciona a las operaciones y al soporte visibilidad directa del estado entre sistemas, eliminando la ingeniería del camino del incidente.</t>
  </si>
  <si>
    <t>SmartVista Back Office; operaciones Transact; Conciliación DataStage/Data Warehouse; GL/Contabilidad; Monitorización de eventos transaccionales DataDog.</t>
  </si>
  <si>
    <t>Reintentar, cancelar y revertir operaciones</t>
  </si>
  <si>
    <t>Remediación controlada iniciada por el operador de transacciones atascadas o fallidas.</t>
  </si>
  <si>
    <t>Reduce el tiempo de resolución de las excepciones y limita el impacto en el cliente de fallos parciales.</t>
  </si>
  <si>
    <t>Soporte para la Notificación y Conciliación Transaction</t>
  </si>
  <si>
    <t>Informar sobre resultados de transacciones, excepciones y envejecimiento para apoyar funciones de conciliación y control.</t>
  </si>
  <si>
    <t>Proporciona financiación y control con la evidencia previamente proporcionada implícitamente por los propios diarios del núcleo.</t>
  </si>
  <si>
    <t>Monitorización de eventos Transactional</t>
  </si>
  <si>
    <t>Emisiones y monitorización de eventos técnicos de salud y eventos empresariales de los componentes de la transacción.</t>
  </si>
  <si>
    <t>Permite la resolución automatizada y manual de problemas, manteniendo el coste operativo estable a medida que crecen los volúmenes.</t>
  </si>
  <si>
    <t>Almacenar y reenviar</t>
  </si>
  <si>
    <t>Persistencia y ejecución posterior controlada de peticiones que no pueden completarse ahora —porque un sistema alojador no está disponible, o porque el usuario programó la acción para una fecha futura— que incluye gestor de solicitudes, registro, procesador, router y consola.</t>
  </si>
  <si>
    <t>Ofrece continuidad del servicio cuando parte del patrimonio está caída y, reutilizando el mismo mecanismo, soporta instrucciones con fecha futura como pagos programados. Es una razón principal por la que los clientes no experimentan directamente los límites de disponibilidad heredados.</t>
  </si>
  <si>
    <t>Amazon MQ/Kinesis y Kafka/Confluent para intercambio fiable; Interfaces Temporales con reintentos/fallback a PISA; batch/COB donde el procesamiento síncrono no es posible.</t>
  </si>
  <si>
    <t>Gestor de Solicitudes y Registro</t>
  </si>
  <si>
    <t>Captura y almacenamiento duradero de las solicitudes pendientes con todos los datos necesarios para su ejecución posterior.</t>
  </si>
  <si>
    <t>Convierte una interrupción de backend de una interacción fallida con el cliente en una diferida.</t>
  </si>
  <si>
    <t>Reglas de procesador de peticiones y reintentos</t>
  </si>
  <si>
    <t>Decisión basada en reglas sobre cuándo y con qué frecuencia reintentar, usando señales de prioridad, ciclo y disponibilidad del sistema.</t>
  </si>
  <si>
    <t>Previene tormentas de reintentos contra sistemas en recuperación mientras respeta la prioridad empresarial.</t>
  </si>
  <si>
    <t>Enrutador de Solicitudes y Reenvío</t>
  </si>
  <si>
    <t>Reenvío de cada solicitud almacenada al servicio empresarial correcto en el momento de la ejecución.</t>
  </si>
  <si>
    <t>Mantiene el mecanismo genérico, así que cualquier servicio elegible hereda la continuidad sin código personalizado.</t>
  </si>
  <si>
    <t>Almacenar y reenviar la consola</t>
  </si>
  <si>
    <t>Monitorización operativa y administración de solicitudes almacenadas pendientes y fallidas.</t>
  </si>
  <si>
    <t>Proporciona responsabilidad para el negocio diferido, que de otro modo sería un riesgo operativo invisible.</t>
  </si>
  <si>
    <t>Transactional Administración de Servicios (Administración en línea)</t>
  </si>
  <si>
    <t>Administración en tiempo de ejecución del comportamiento transaccional: qué servicios son atómicos, cuáles son elegibles para almacenar y reenviar, cuáles requieren aprobaciones y las sobreescrituras operativas disponibles para las funciones de control.</t>
  </si>
  <si>
    <t>Hace que las características transaccionales sean declarativas y gobernadas centralmente, para que el comportamiento pueda ajustarse operativamente sin cambiar el código durante las ventanas de migración.</t>
  </si>
  <si>
    <t>administración SmartVista; Catálogo de productos Transact/Marco AA; controles de política Apigee; Anulaciones operativas a través de las consolas de administración de la plataforma.</t>
  </si>
  <si>
    <t>Configuración del comportamiento del servicio</t>
  </si>
  <si>
    <t>Registro de atomicidad, elegibilidad para reintentos y requisitos de control por tipo de servicio.</t>
  </si>
  <si>
    <t>Permite que el mismo servicio esté gobernado de forma diferente según la entidad, el canal o la fase de migración.</t>
  </si>
  <si>
    <t>Anulaciones y controles operativos</t>
  </si>
  <si>
    <t>Administró controles de anulación, suspensión y límite sobre el procesamiento transaccional.</t>
  </si>
  <si>
    <t>Proporciona a riesgo y operación una palanca segura durante cortes y condiciones de incidente.</t>
  </si>
  <si>
    <t>Procesamiento de eventos y componentes reactivos</t>
  </si>
  <si>
    <t>La columna vertebral asíncrona de la arquitectura interoperable: mensajería y transmisión de eventos, entrega garantizada, registros de eventos y contratos de eventos canónicos, mensajería multiprotocolo, distribución de mallas de eventos, procesamiento complejo de eventos y monitorización de eventos.</t>
  </si>
  <si>
    <t>Responsable de Plataforma de Eventos y Streaming</t>
  </si>
  <si>
    <t>Los eventos permiten que los sistemas interoperen sin conocerse entre sí, que es la forma más profunda de desacoplamiento disponible. Una de las redes troncales de eventos sirve para notificaciones de canales, eventos contables, comunicación entre servicios, feeds de plataformas de datos y monitorización, lo que suele ser la inversión de mayor reutilización en la capa. También es la palanca inicial más barata para quitar carga de lectura del mainframe sin cambios en el núcleo.</t>
  </si>
  <si>
    <t>Plataforma de terceros + herramientas personalizadas</t>
  </si>
  <si>
    <t>Kafka/Confluent; Amazon MQ; Amazon Kinesis; Temenos Events Framework; Procesador de eventos/Router de eventos/Limpieza de eventos; DataDog.</t>
  </si>
  <si>
    <t>Mensajería de eventos</t>
  </si>
  <si>
    <t>Publicar y suscribirse a mensajes entre componentes, incluyendo la administración de temas y colas, y el puente entre las múltiples tecnologías de mensajería que normalmente existen en un banco.</t>
  </si>
  <si>
    <t>Sustituye el acoplamiento bilateral y síncrono por un canal asíncrono compartido, de modo que productores y consumidores puedan cambiar de forma independiente.</t>
  </si>
  <si>
    <t>Kafka/Confluent; Amazon MQ; Temenos Events Framework; Procesador de eventos/Router de eventos/Limpieza de eventos; MuleSoft para mensajería de integración.</t>
  </si>
  <si>
    <t>Publicar / Suscribirse Mensajería</t>
  </si>
  <si>
    <t>Distribución asíncrona de mensajes de los productores a múltiples consumidores independientes.</t>
  </si>
  <si>
    <t>Una publicación atiende a muchos consumidores, y ahí es donde proviene la mayor parte de la reducción de costes de integración.</t>
  </si>
  <si>
    <t>Administración de temas y suscripciones</t>
  </si>
  <si>
    <t>Creación, configuración, control de acceso y política de retención de temas y suscripciones.</t>
  </si>
  <si>
    <t>Mantiene una columna vertebral compartida gobernable a medida que crece el número de productores y consumidores.</t>
  </si>
  <si>
    <t>Mensajería multiprotocolo</t>
  </si>
  <si>
    <t>Interoperabilidad entre tecnologías y protocolos de mensajería, incluyendo las colas heredadas.</t>
  </si>
  <si>
    <t>Permite que el patrimonio de mensajería heredado participe durante la transición en lugar de ser reemplazado al principio.</t>
  </si>
  <si>
    <t>Retransmisión de eventos</t>
  </si>
  <si>
    <t>Flujos de eventos de alto rendimiento, duraderos y reproducibles con retención, partición y procesamiento continuo de flujos, incluyendo procesamiento complejo de eventos a lo largo de múltiples flujos.</t>
  </si>
  <si>
    <t>Proporciona la capacidad de movimiento de datos en tiempo real de la cual dependen la agregación de datos multinúcleo, la descarga de lecturas y el contexto en tiempo real del cliente.</t>
  </si>
  <si>
    <t>Amazon Kinesis; Kafka/Confluent; Temenos Events Framework con eventos como depositCreated/loanOverdue/payrollCredit.</t>
  </si>
  <si>
    <t>Ingestión y distribución de corrientes</t>
  </si>
  <si>
    <t>Ingestión y distribución duradera, particionada y de alto volumen de flujos de eventos.</t>
  </si>
  <si>
    <t>Transporta los flujos de datos centrales, de canal, de infraestructura y externos en una plataforma en lugar de varias.</t>
  </si>
  <si>
    <t>Retención y reposición de reproducciones</t>
  </si>
  <si>
    <t>Retención configurable que permite a los consumidores reprocesar el historial desde un punto elegido.</t>
  </si>
  <si>
    <t>Permite inicializar un nuevo consumidor o una tienda reconstruida sin un extracto personalizado del sistema fuente.</t>
  </si>
  <si>
    <t>Procesamiento complejo de eventos</t>
  </si>
  <si>
    <t>Evaluación de correlación, ventanas y reglas a través de uno o más flujos para derivar eventos de orden superior.</t>
  </si>
  <si>
    <t>Convierte la actividad bruta en señales empresariales en tiempo real para fraude, límites, alertas y personalización.</t>
  </si>
  <si>
    <t>Entrega garantizada</t>
  </si>
  <si>
    <t>Mecanismos de garantía de entrega —acuse de reconocimiento, control de idempotencia, reentrega y gestión de cartas muertas— que hacen que la integración asincrónica sea segura para eventos financieros.</t>
  </si>
  <si>
    <t>El desacoplamiento asíncrono solo es aceptable en banca si la entrega es demostrable; Esta capacidad es lo que hace que los eventos sean útiles para la contabilidad y los flujos de pago.</t>
  </si>
  <si>
    <t>patrones Kafka/Confluent y Amazon MQ; no se evidencia ningún producto de letra muerta/idempotencia con nombre; La garantía de entrega debe estar cubierta por los controles de la plataforma de eventos.</t>
  </si>
  <si>
    <t>Semántica de entrega y control de idempotencia</t>
  </si>
  <si>
    <t>Aplicación de la entrega al menos una o efectivamente una vez con supresión de duplicados del lado del consumidor.</t>
  </si>
  <si>
    <t>Previene el efecto financiero duplicado, la principal objeción a la integración de núcleos orientados a eventos.</t>
  </si>
  <si>
    <t>Gestión de Temas de Carta Seca y Errores</t>
  </si>
  <si>
    <t>Aislamiento, inspección y reprocesamiento controlado de mensajes no entregables o fallidos.</t>
  </si>
  <si>
    <t>Garantiza que ningún evento financiero se pierda silenciosamente y da a las operaciones una cola acotada para trabajar.</t>
  </si>
  <si>
    <t>Informes de Garantía de Entrega</t>
  </si>
  <si>
    <t>Evidencia de la exhaustividad de publicación y consumo para fines de control y reconciliación.</t>
  </si>
  <si>
    <t>Proporciona la evidencia de auditoría que requieren la contabilidad y los flujos de informes basados en eventos.</t>
  </si>
  <si>
    <t>Registro de Eventos y Gobernanza de Contratos</t>
  </si>
  <si>
    <t>Catálogo autorizado de definiciones de eventos y esquemas canónicos, con versionado, reglas de compatibilidad y registro de consumidores.</t>
  </si>
  <si>
    <t>El equivalente asíncrono de la gestión del ciclo de vida API; Sin ella, una columna vertebral de eventos se degrada en una malla no documentada de formatos de mensajes privados.</t>
  </si>
  <si>
    <t>BIAN/API/gobernanza de eventos; pila Confluent/Kafka; No se evidencia explícitamente ningún producto de registro o catálogo de esquemas separados.</t>
  </si>
  <si>
    <t>Definiciones de eventos y esquemas canónicos</t>
  </si>
  <si>
    <t>Contratos de eventos publicados y alineados con estándares (alineados BIAN o personalizados canónicos) con la propiedad.</t>
  </si>
  <si>
    <t>Hace que los eventos sean reutilizables entre dominios en lugar de soluciones puntuales entre dos equipos.</t>
  </si>
  <si>
    <t>Versionado de esquemas y control de compatibilidad</t>
  </si>
  <si>
    <t>Reglas de compatibilidad impuestas y evolución controlada de los esquemas de eventos.</t>
  </si>
  <si>
    <t>Permite a los productores evolucionar sin romper a los consumidores que no pueden ver.</t>
  </si>
  <si>
    <t>Catálogo de eventos y registro de consumidores</t>
  </si>
  <si>
    <t>Inventario descubrible de eventos con consumidores registrados y la visibilidad de dependencias.</t>
  </si>
  <si>
    <t>Establece el mapa de dependencias necesario antes de que cualquier sistema productor pueda modernizarse de forma segura.</t>
  </si>
  <si>
    <t>Malla de eventos y enrutamiento</t>
  </si>
  <si>
    <t>Enrutamiento en clústeres y basado en políticas de eventos entre dominios, entornos, regiones y entidades, presentando un único tejido lógico de eventos sobre infraestructura distribuida.</t>
  </si>
  <si>
    <t>El mecanismo mediante el cual un grupo multi-entidad y multipaís comparte información en tiempo real sin construir vínculos bilaterales entre cada par de plataformas.</t>
  </si>
  <si>
    <t>enrutamiento Kafka/Confluent; Amazon Kinesis; consideraciones multirregión/DR; enrutamiento de eventos mediante Event Router y capa de integración.</t>
  </si>
  <si>
    <t>Enrutamiento y agrupamiento de eventos</t>
  </si>
  <si>
    <t>Enrutamiento orientado a políticas y federación de clústeres entre brokers y entornos.</t>
  </si>
  <si>
    <t>Mantiene la tela lógicamente única mientras está físicamente distribuida, lo que permite la reutilización a nivel de grupo.</t>
  </si>
  <si>
    <t>Distribución entre dominios y regiones</t>
  </si>
  <si>
    <t>Propagación controlada de eventos entre dominios, regiones y entidades legales mediante filtrado.</t>
  </si>
  <si>
    <t>Soporta obligaciones de residencia de datos y segregación de entidades, manteniendo la interoperabilidad a nivel de grupo.</t>
  </si>
  <si>
    <t>Monitorización de Eventos</t>
  </si>
  <si>
    <t>Monitorización operativa de la columna vertebral de eventos - rendimiento, retraso del consumidor, tasas de error, violaciones del esquema - y trazabilidad de eventos individuales para auditoría e investigación.</t>
  </si>
  <si>
    <t>Los flujos asíncronos fallan silenciosamente por naturaleza; La monitorización es lo que convierte a los usuarios de un punto ciego operativo a un canal gobernado.</t>
  </si>
  <si>
    <t>Objetivo de monitorización de flujo de eventos/retardo de consumo DataDog; Exabeam/CloudTrail para auditoría; Telemetría de procesador de eventos/router.</t>
  </si>
  <si>
    <t>Monitorización del flujo de eventos y lag del consumidor</t>
  </si>
  <si>
    <t>El seguimiento de las tasas de publicación, el retraso y el retraso de los consumidores respecto a los umbrales.</t>
  </si>
  <si>
    <t>Detecta un consumidor estancado antes de que los datos empresariales aguas abajo se vuelvan materialmente obsoletos.</t>
  </si>
  <si>
    <t>Auditoría y Trazabilidad de Eventos</t>
  </si>
  <si>
    <t>Rastreo correlacionado de eventos individuales entre productores, corredores y consumidores.</t>
  </si>
  <si>
    <t>Extiende la trazabilidad de extremo a extremo entre los segmentos asíncronos de un viaje, no solo los síncronos.</t>
  </si>
  <si>
    <t>Omnicanal y componentes de caché</t>
  </si>
  <si>
    <t>Servicio de datos de contexto y alto rendimiento entre canales: almacenamiento y acceso a datos omnicanal, caché distribuida y en memoria, caché de sesión y replicación de sesiones entre dominios, caché de transacciones y servicio de lecturas de baja latencia, y aceleración de contenido estático.</t>
  </si>
  <si>
    <t>Jefe de Arquitectura de Canales</t>
  </si>
  <si>
    <t>Contiene contexto entre canales para que un viaje interrumpido en un canal se reanude en otro, y sirve a canales a latencias que el núcleo no puede alcanzar. El efecto empresarial es directo y medible: mejor experiencia omnicanal, menor abandono en la incorporación y originación, eficiencia operativa y continuidad cuando no hay backend disponible.</t>
  </si>
  <si>
    <t>Tecnología de terceros + servicios personalizados</t>
  </si>
  <si>
    <t>App BanCoppel, Web/OFI, Sucursal, ATM, CAT y Teller Multi Core; Apificación de Canales; Disco de Oro/Party-CIF; Incorporación de Apolo.</t>
  </si>
  <si>
    <t>Gestión de Datos Omnicanal</t>
  </si>
  <si>
    <t>Almacenamiento temporal y funcional de datos de interacción en curso, con servicios de acceso que permiten a cualquier canal leer y continuar un viaje iniciado en otro lugar.</t>
  </si>
  <si>
    <t>Convierte el viaje, más que el canal, en la unidad de diseño: la base práctica de una propuesta omnicanal genuina.</t>
  </si>
  <si>
    <t>Almacenamiento de datos omnicanal</t>
  </si>
  <si>
    <t>Almacenamiento duradero y funcional para interacciones parcialmente completas y estado de viaje a través de canales.</t>
  </si>
  <si>
    <t>Preserva el esfuerzo del cliente cuando una sesión se interrumpe, reduciendo directamente el abandono.</t>
  </si>
  <si>
    <t>Servicios de acceso a datos omnicanal</t>
  </si>
  <si>
    <t>Servicios estándar a través de los cuales los canales leen, actualizan y completan los datos almacenados del trayecto.</t>
  </si>
  <si>
    <t>Impide que cada canal construya un mecanismo de continuación privado que no pueda interoperar.</t>
  </si>
  <si>
    <t>Reanudación y Completación Automática del Viaje</t>
  </si>
  <si>
    <t>Recuperación y prepoblación de datos previamente capturados cuando un cliente reanuda en el mismo canal o en otro diferente.</t>
  </si>
  <si>
    <t>Mejora la conversión en la incorporación y la originación, donde la caída es más costosa.</t>
  </si>
  <si>
    <t>Componentes de caché</t>
  </si>
  <si>
    <t>Caché distribuida y en memoria de datos de referencia y de acceso frecuente, con control de invalidación y refresco, además de aceleración de la entrega de contenido estático.</t>
  </si>
  <si>
    <t>Desacopla la capacidad de respuesta del canal de la capacidad de backend, lo que protege los sistemas heredados y mejora la experiencia del cliente al mismo tiempo.</t>
  </si>
  <si>
    <t>App BanCoppel/Web/Branch/ATM/CAT/Teller; Apolo/Modyo; Apificación de Canales; Redis; CloudFront; Disco de oro.</t>
  </si>
  <si>
    <t>Caché distribuida / en memoria</t>
  </si>
  <si>
    <t>Caché de baja latencia y alto rendimiento de datos de referencia y calientes cerca de consumir servicios.</t>
  </si>
  <si>
    <t>Elimina la carga repetitiva de los núcleos restringidos, protegiendo tanto el coste como el tiempo de respuesta.</t>
  </si>
  <si>
    <t>Redis en la pila Apolo; Modyo/AWS CloudFront para contenido estático; YugabyteDB para datos operativos. Herramienta de invalidación de caché no especificada.</t>
  </si>
  <si>
    <t>Invalidación de caché y control de actualización</t>
  </si>
  <si>
    <t>Invalidación impulsada por políticas y eventos y actualización a la estancación atada.</t>
  </si>
  <si>
    <t>Mantiene los datos en caché fiables, que es la condición para usarlos en decisiones orientadas al cliente.</t>
  </si>
  <si>
    <t>Aceleración de contenido estático</t>
  </si>
  <si>
    <t>Caché de borde y entrega de contenido de activos estáticos consumidos por canales digitales.</t>
  </si>
  <si>
    <t>Mejora el rendimiento percibido y reduce el coste de la infraestructura de origen.</t>
  </si>
  <si>
    <t>AWS CloudFront utilizado por la plataforma Modyo; AWS WAF/Imperva para la entrega protegida de contenido estático y web.</t>
  </si>
  <si>
    <t>Gestión y replicación de sesiones</t>
  </si>
  <si>
    <t>Almacenamiento en caché y replicación del estado de la sesión entre instancias, zonas de disponibilidad y dominios para que las sesiones de canal sobrevivan a fallos y crucen límites de dominio.</t>
  </si>
  <si>
    <t>Proporciona continuidad de interacción autenticada, sin la cual el escalado elástico y el despliegue rolling serían visibles para los clientes como sesiones eliminadas.</t>
  </si>
  <si>
    <t>Se evidencia el soporte para sesiones de Redis y Modyo/Apolo; No se menciona ningún producto separado de replicación de sesiones empresariales.</t>
  </si>
  <si>
    <t>Almacenamiento en caché de sesiones</t>
  </si>
  <si>
    <t>Almacenamiento rápido y recuperación del contexto de sesión para interacciones autenticadas.</t>
  </si>
  <si>
    <t>Permite que los servicios sin estado escalen de forma elástica mientras preservan la continuidad de las sesiones del cliente.</t>
  </si>
  <si>
    <t>Replicación de sesiones entre dominios</t>
  </si>
  <si>
    <t>Replicación del estado de sesión entre dominios e instancias, normalmente en una caché distribuida.</t>
  </si>
  <si>
    <t>Permite que un cliente se mueva entre productos y dominios dentro de una sesión autenticada.</t>
  </si>
  <si>
    <t>Caché Transaction y servicio de lectura de baja latencia</t>
  </si>
  <si>
    <t>El almacenamiento en caché de los datos de transacciones en vuelo y de las vistas de lectura frecuentemente solicitadas, servía a los canales de forma independiente del sistema de registro.</t>
  </si>
  <si>
    <t>El mecanismo práctico para descargar tráfico de lectura de núcleos restringidos —típicamente la palanca más rápida disponible en MIPS y tiempo de respuesta, sin necesidad de cambios de núcleo.</t>
  </si>
  <si>
    <t>Personalización en tecnología de terceros</t>
  </si>
  <si>
    <t>Caché Transaction en vuelo</t>
  </si>
  <si>
    <t>Se requiere almacenamiento en caché de corta duración de los datos de transacciones a lo largo de los pasos de una operación compuesta.</t>
  </si>
  <si>
    <t>Evita llamadas repetidas en el backend en un solo viaje, reduciendo tanto la latencia como la carga.</t>
  </si>
  <si>
    <t>No se evidencia ningún producto específico de transacción-caché; las plataformas relacionadas son los almacenes operativos Redis, YugabyteDB, Transact, TDH y SmartVista.</t>
  </si>
  <si>
    <t>Servicio de lectura con baja latencia</t>
  </si>
  <si>
    <t>Servicio de vistas leídas a canales desde una memoria almacenada en caché o replicada en lugar del sistema de registro.</t>
  </si>
  <si>
    <t>Ofrece un alivio inmediato de costes y rendimiento en plataformas heredadas mientras la modernización avanza detrás.</t>
  </si>
  <si>
    <t>Lee Gestión de Consistencia</t>
  </si>
  <si>
    <t>Límites explícitos de anticuación, disparadores de actualización e indicadores de consistencia para las vistas de lecturas servidas.</t>
  </si>
  <si>
    <t>Convierte el equilibrio entre frescura y carga en una decisión ingenierizada y auditable, en lugar de un riesgo implícito.</t>
  </si>
  <si>
    <t>Entrega de datos</t>
  </si>
  <si>
    <t>Dos mitades de un mismo dominio. Catálogo y modelado de datos: catálogo e inventario, gestión de metadatos, linaje, grafo de conocimiento y enriquecimiento, perfilado y calidad, gobernanza, acceso y privacidad. Canalizaciones y entrega de datos: integración por lotes y flujos, replicación, virtualización, el almacenamiento operativo de datos y el modelo unificado de datos, entrega a múltiples velocidades y los servicios de consumo que se encuentran por encima de ellos.</t>
  </si>
  <si>
    <t>Director de Datos / Jefe de Arquitectura de Datos</t>
  </si>
  <si>
    <t>La interoperabilidad tiene tanto que ver con los datos como con los servicios. Este dominio proporciona la vista agregada estandarizada en tiempo real y multinúcleo que permite a los canales y a los análisis consumir los datos del banco en lugar de los datos de un núcleo específico, eliminando el acceso directo a mainframes y eliminando el bloqueo de núcleo único. La entrega a múltiples velocidades concilia las velocidades por lotes y de streaming, de modo que grandes volúmenes se procesan sin penalizar ni las rutas de lectura ni de escritura.</t>
  </si>
  <si>
    <t>Plataforma de terceros + modelos personalizados</t>
  </si>
  <si>
    <t>DataStage; Data Warehouse; Centro de Datos Temenos; YugabyteDB; Informix/PISA; Oracle; OnBase; Bajaware/Risklogic; Disco de oro.</t>
  </si>
  <si>
    <t>Catálogo de datos y modelado</t>
  </si>
  <si>
    <t>Descubrimiento, descripción, gobernanza y gestión de calidad de los activos de datos: catálogo e inventario, metadatos (pasivos, en tiempo de ejecución y activos), linaje, enriquecimiento semántico, perfilado y control de acceso y privacidad.</t>
  </si>
  <si>
    <t>Los datos solo pueden compartirse de forma segura si están descritos y regulados; El catálogo es lo que hace que una capa de datos compartida sea utilizable por equipos que no crearon los datos.</t>
  </si>
  <si>
    <t>Data Warehouse; DataStage ETL; Centro de Datos Temenos (TDH); Disco de Oro/Party-CIF; Alimentaciones Risklogic/Bajaware; Gobernanza de datos/controles de privacidad.</t>
  </si>
  <si>
    <t>Catálogo de datos e inventario</t>
  </si>
  <si>
    <t>Inventario consultable de activos de datos, dominios, propietarios y definiciones en todo el patrimonio.</t>
  </si>
  <si>
    <t>Termina la arqueología de datos por proyecto, el mayor coste oculto en la entrega dependiente de los datos.</t>
  </si>
  <si>
    <t>Gestión de metadatos</t>
  </si>
  <si>
    <t>Gestión de metadatos pasivos, en tiempo de ejecución y activos, incluyendo inferencia y recomendaciones automatizadas.</t>
  </si>
  <si>
    <t>Mantiene el catálogo actualizado por su uso real en lugar de por el esfuerzo documental.</t>
  </si>
  <si>
    <t>Linaje de datos</t>
  </si>
  <si>
    <t>Trazabilidad de extremo a extremo del origen, transformación y rutas de consumo de los datos.</t>
  </si>
  <si>
    <t>Se requiere demostrar la corrección regulatoria de los informes una vez que los datos atraviesan muchos componentes.</t>
  </si>
  <si>
    <t>Mapeo semántico, notación de ontologías y enriquecimiento de relaciones basado en grafos entre dominios de datos.</t>
  </si>
  <si>
    <t>Soporta la visión de datos orientada a la individualidad de la que dependen la personalización y las proposiciones de banco de uno.</t>
  </si>
  <si>
    <t>No se evidencia ninguna herramienta de grafo de conocimiento. Base de datos relacionados: Data Warehouse, DataStage, TDH, Golden Record/Party-CIF y prácticas de gobernanza de datos.</t>
  </si>
  <si>
    <t>Perfilado y calidad de datos</t>
  </si>
  <si>
    <t>Perfilado automatizado, medición de calidad basada en reglas y flujo de trabajo de remediación.</t>
  </si>
  <si>
    <t>Evita que la capa de datos compartida propague defectos a mayor escala que los silos que reemplazó.</t>
  </si>
  <si>
    <t>Gobernanza de Datos, Acceso y Privacidad</t>
  </si>
  <si>
    <t>Propiedad, clasificación, derecho, retención y controles de privacidad sobre los activos de datos.</t>
  </si>
  <si>
    <t>Hace que el intercambio amplio de datos sea compatible con las obligaciones de privacidad y residencia.</t>
  </si>
  <si>
    <t>Canalizaciones y Entrega de Datos</t>
  </si>
  <si>
    <t>Movimiento de datos entre fuentes, almacenes y consumidores con la latencia requerida: integración por lotes, integración de flujos, replicación y acceso virtualizado, desde sistemas heredados, archivos, lagos, almacenes en la nube y proveedores externos.</t>
  </si>
  <si>
    <t>La tubería física del desacoplamiento de datos; Es lo que permite que los consumidores sean atendidos sin darles acceso a los sistemas de registro.</t>
  </si>
  <si>
    <t>DataStage ETL/ELT; Data Warehouse; TDH; Extracción PISA/Informix; Oracle/YugabyteDB; pipelines batch/COB; Monitorización DataDog.</t>
  </si>
  <si>
    <t>Integración de Datos por Lotes</t>
  </si>
  <si>
    <t>Extracción programada, transformación y carga de datos a nivel de archivo o conjunto.</t>
  </si>
  <si>
    <t>Cubre el importante patrimonio residual de lotes bajo la misma gobernanza que los flujos en tiempo real.</t>
  </si>
  <si>
    <t>Integración de Datos de Flujo</t>
  </si>
  <si>
    <t>Movimiento continuo y de baja latencia de datos desde fuentes operativas hacia consumidores.</t>
  </si>
  <si>
    <t>Ofrece la moneda casi en tiempo real que requieren los viajes digitales y la toma de decisiones en tiempo real.</t>
  </si>
  <si>
    <t>Extracción casi en tiempo real del Centro de Datos Temenos; Amazon Kinesis; Kafka/Confluent; Marco de eventos; Monitorización DataDog.</t>
  </si>
  <si>
    <t>Replicación de datos</t>
  </si>
  <si>
    <t>Mantenimiento de copias sincronizadas de datos fuente en almacenes objetivo.</t>
  </si>
  <si>
    <t>Permite aislamiento de lectura desde sistemas de registro sin cambiar la aplicación fuente.</t>
  </si>
  <si>
    <t>Virtualización de datos</t>
  </si>
  <si>
    <t>Acceso federado en tiempo de consulta a datos entre almacenes heterogéneos sin movimiento físico.</t>
  </si>
  <si>
    <t>Proporciona acceso rápido a datos distribuidos donde la consolidación física no puede justificarse.</t>
  </si>
  <si>
    <t>No se evidencia ningún producto específico de virtualización de datos; la integración utiliza APIs, DataStage ETL, TDH, Data Warehouse y acceso al servicio a través de Apigee/MuleSoft.</t>
  </si>
  <si>
    <t>Orquestación y monitorización de tuberías</t>
  </si>
  <si>
    <t>Programación, gestión de dependencias y monitorización de canalizaciones de datos con gestión de fallos.</t>
  </si>
  <si>
    <t>Convierte la actualización de datos en un nivel de servicio operable en lugar de una actividad de fondo de mejor esfuerzo.</t>
  </si>
  <si>
    <t>Almacenamiento de Datos Operativos y Modelo Unificado de Datos</t>
  </si>
  <si>
    <t>Un modelo de datos operativos estandarizado que ofrece una visión en tiempo real y multifuente de las principales entidades empresariales, consolidado entre núcleos heredados y de próxima generación y que sirve para los consumidores como capa de datos del banco.</t>
  </si>
  <si>
    <t>Esto es el desacoplador en términos de datos. Mantener una visión estandarizada en tiempo real consolidada a partir de núcleos de primera categoría significa que los consumidores no están atados a un solo núcleo y ningún consumidor necesita acceso directo a mainframe, el mecanismo que más reduce los plazos y riesgos de modernización de núcleos.</t>
  </si>
  <si>
    <t>Disco de Oro/Party-CIF; Informix/PISA datos maestros heredados; Temenos TDH; Data Warehouse; YugabyteDB/Oracle; consolidación cross-core a través de APIs y DataStage.</t>
  </si>
  <si>
    <t>Modelo de datos unificado / canónico</t>
  </si>
  <si>
    <t>Modelo estandarizado de entidades y atributos que abarca los dominios del cliente, la cuenta, el producto y la transacción.</t>
  </si>
  <si>
    <t>Da a cada consumidor un contrato para los datos, para que un reemplazo del núcleo no se convierta en una reescritura del mercado de consumidores.</t>
  </si>
  <si>
    <t>Consolidación en tiempo real entre núcleos</t>
  </si>
  <si>
    <t>Ensamblaje de una vista actual de múltiples sistemas de registro concurrentes durante la coexistencia.</t>
  </si>
  <si>
    <t>Hace que la coexistencia híbrida sea invisible a los canales, lo que permite la migración incremental.</t>
  </si>
  <si>
    <t>Motor de entrega de datos de múltiples velocidades</t>
  </si>
  <si>
    <t>Conciliación de datos que llegan a diferentes velocidades de pipelines por lotes y flujos de eventos en una sola vista servida.</t>
  </si>
  <si>
    <t>Procesa volúmenes grandes sin penalizar las rutas de lectura o escritura, manteniendo la disponibilidad y la escalabilidad.</t>
  </si>
  <si>
    <t>Servicio de Almacenamiento de Datos Operativo y Control de Acceso</t>
  </si>
  <si>
    <t>Servir el modelo consolidado a los consumidores con derecho y control de auditoría.</t>
  </si>
  <si>
    <t>Convierte la tienda en un producto gobernado en lugar de una base de datos compartida no gestionada.</t>
  </si>
  <si>
    <t>Servicios de Consumo de Datos</t>
  </si>
  <si>
    <t>La superficie de consumo sobre la capa de datos: datos APIs, fuentes de análisis e informes, y provisión sandbox gobernada para trabajos exploratorios y de desarrollo de modelos.</t>
  </si>
  <si>
    <t>Garantiza que la inversión en la entrega de datos se convierta en uso; Sin rutas de consumo gobernadas, los equipos vuelven al acceso directo al código fuente y recrean el acoplamiento que se eliminó.</t>
  </si>
  <si>
    <t>Personalizado en plataforma de terceros</t>
  </si>
  <si>
    <t>Acceso API a productos de datos catalogados con regulación contractual.</t>
  </si>
  <si>
    <t>Permite a los equipos de aplicaciones consumir datos a través del mismo mecanismo gobernado que los servicios.</t>
  </si>
  <si>
    <t>OFS/IRIS REST APIs; Apigee/MuleSoft datos APIs; Alimentaciones Data Warehouse; Bajaware/Risklogic analítica regulatoria; Google Analytics; DataStage.</t>
  </si>
  <si>
    <t>Fuentes de Analítica e Informes</t>
  </si>
  <si>
    <t>Fuentes seleccionadas para consumidores de almacenes, casas de lago, inteligencia empresarial y informes regulatorios.</t>
  </si>
  <si>
    <t>Elimina extractos a medida de los sistemas de registro, una de las fuentes más persistentes de acoplamiento oculto.</t>
  </si>
  <si>
    <t>Provisión de datos sandbox</t>
  </si>
  <si>
    <t>Provisión gobernada y controlada por la privacidad de datos representativos para desarrollo y trabajo con modelos.</t>
  </si>
  <si>
    <t>Permite la experimentación y la certificación de socios sin extender la exposición de datos de producción.</t>
  </si>
  <si>
    <t>Homologación de Ambientes con Terraform/Packer/GitHub; entornos sandbox/UAT/pre-prod; La anonimización/carga de datos no está completamente adaptada en las fuentes.</t>
  </si>
  <si>
    <t>Operaciones</t>
  </si>
  <si>
    <t>Primitivas de ejecución transversales que el conjunto de interoperabilidad necesita para ser operable y migrable: operaciones de folio, gestión de banderas de características, identificadores únicos distribuidos y servicios de correlación, y las consolas administrativas para la capa.</t>
  </si>
  <si>
    <t>Jefe de Operaciones de Plataforma</t>
  </si>
  <si>
    <t>Un dominio pequeño con un apalancamiento desproporcionado. Las feature flags y los identificadores distribuidos son lo que hace que la migración incremental y reversible sea físicamente posible: puedes enrutar una parte del tráfico a un nuevo núcleo, rastrearlo de extremo a extremo y revertirlo sin un evento de liberación.</t>
  </si>
  <si>
    <t>paneles PMO/RAID; Consolas de administración Apigee/SmartVista/Transact/DataDog; Rollback DevSecOps y controles de configuración.</t>
  </si>
  <si>
    <t>Operaciones de Folio</t>
  </si>
  <si>
    <t>Agrupación de las operaciones técnicas que conforman una única transacción empresarial bajo una única referencia empresarial, con la capacidad de recuperar, informar y actuar sobre ese grupo como una unidad.</t>
  </si>
  <si>
    <t>Restaura la unidad de trabajo a nivel de negocio que un núcleo monolítico proporcionaba implícitamente, que es lo que mantiene la reversión, la investigación y la información significativas tras la descomposición.</t>
  </si>
  <si>
    <t>No se evidencia ningún servicio dedicado en folio; los identificadores/informes relacionados están en los paneles PMO, en los registros operativos Transact/SmartVista y en los informes Data Warehouse.</t>
  </si>
  <si>
    <t>Agrupación de Referencia Empresarial</t>
  </si>
  <si>
    <t>Asociación de todas las operaciones técnicas pertenecientes a una sola transacción comercial bajo una única referencia.</t>
  </si>
  <si>
    <t>Proporciona a operaciones, clientes y auditores un identificador para una transacción que abarca físicamente sistemas.</t>
  </si>
  <si>
    <t>Consulta y Reporte de Folio</t>
  </si>
  <si>
    <t>Recuperación e informe de operaciones agrupadas para soporte, control y consulta al cliente.</t>
  </si>
  <si>
    <t>Reduce el esfuerzo de investigación y hace que las transacciones entre sistemas sean explicables para los no ingenieros.</t>
  </si>
  <si>
    <t>Gestión de banderas de características</t>
  </si>
  <si>
    <t>Configuración en tiempo de ejecución de la disponibilidad de funcionalidades, permitiendo activar, dirigirse o retirar comportamientos por consumidor, entidad, canal o compartición de tráfico sin necesidad de reimplementación.</t>
  </si>
  <si>
    <t>La palanca de control principal para el corte de riesgo reducido: convierte un evento migratorio en una transición gradual, observable y reversible.</t>
  </si>
  <si>
    <t>Terceros o personalizados</t>
  </si>
  <si>
    <t>Las banderas de funcionalidad se mencionan como una práctica de innovación en el canal, pero no se menciona ninguna herramienta; el rollback de despliegue utiliza pipelines/Helm DevSecOps y controles de rollback de plataforma.</t>
  </si>
  <si>
    <t>Configuración de alternancia de funciones</t>
  </si>
  <si>
    <t>Definición y administración de banderas con reglas de selección y auditoría de cambios.</t>
  </si>
  <si>
    <t>Separa el despliegue del lanzamiento, para que el código pueda estar en producción antes de estar activo.</t>
  </si>
  <si>
    <t>Exposición progresiva y control de retroceso</t>
  </si>
  <si>
    <t>Participación en tráfico y exposición basada en cohortes con capacidad de retirada inmediata.</t>
  </si>
  <si>
    <t>Limita el radio de explosión de la migración de un núcleo o procesador a una población controlada.</t>
  </si>
  <si>
    <t>UUID distribuidos y servicios de correlación</t>
  </si>
  <si>
    <t>Generación de identificadores únicos libres de colisiones entre componentes distribuidos y propagación consistente de identificadores de correlación a través de caminos síncronos y asíncronos.</t>
  </si>
  <si>
    <t>La dependencia técnica única bajo la trazabilidad de extremo a extremo, auditoría distribuida y control de idempotencia; Sin ella, ninguna de esas capacidades podría funcionar.</t>
  </si>
  <si>
    <t>No se evidencia ningún servicio de correlación UUID o de forma independiente; probablemente gestionados por patrones Apigee/MuleSoft/Istio/DataDog e identificadores a nivel de aplicación.</t>
  </si>
  <si>
    <t>Generación de identificadores únicos</t>
  </si>
  <si>
    <t>Generación distribuida y libre de colisiones, independiente de una secuencia central.</t>
  </si>
  <si>
    <t>Elimina un cuello de botella central y permite una escala independiente de cada componente.</t>
  </si>
  <si>
    <t>Propagación del identificador de correlación</t>
  </si>
  <si>
    <t>Creación y reenvío consistente de identificadores de correlación en todos los saltos y protocolos.</t>
  </si>
  <si>
    <t>Sustenta la trazabilidad en toda la arquitectura técnica, incluyendo segmentos heredados y de eventos.</t>
  </si>
  <si>
    <t>Consolas de Administración de Plataforma</t>
  </si>
  <si>
    <t>Interfaces administrativas para la capa de interoperabilidad: administración del registro de servicios, configuración en tiempo de ejecución y control operativo de componentes compartidos.</t>
  </si>
  <si>
    <t>Proporciona a los propietarios nombrados una forma gobernada de cambiar el comportamiento de la plataforma, que es lo que permite que la capa sea operada por una función de operaciones en lugar de por sus creadores.</t>
  </si>
  <si>
    <t>Apigee admin/policies; SmartVista Back Office; Administración/Catálogo de productos Transact; paneles DataDog; Gestión de configuración Terraform/GitHub.</t>
  </si>
  <si>
    <t>Administración del Registro de Servicios</t>
  </si>
  <si>
    <t>Administración de servicios registrados, sus metadatos, normas y características operativas.</t>
  </si>
  <si>
    <t>Mantiene actualizado el inventario autoritario, que es la base para la gobernanza y el cálculo de costes.</t>
  </si>
  <si>
    <t>Administración de Configuración en Tiempo de Ejecución</t>
  </si>
  <si>
    <t>Administración controlada de los parámetros de ejecución con auditoría y aprobación de cambios.</t>
  </si>
  <si>
    <t>Permite el ajuste operativo sin cambios de código mientras conserva la evidencia de control.</t>
  </si>
  <si>
    <t>Servicios Empresariales Comunes (Servicios de Coexistencia entre Dominios)</t>
  </si>
  <si>
    <t>Servicios empresariales horizontales estandarizados, optimizados y reutilizables consumidos por múltiples dominios de producto: datos de clientes, catálogo de productos, comisiones, gestión de límites, conversión de divisas, contabilidad, gestión documental, pagos, puntuación de riesgos, aprobaciones y firma respaldada por HSM. Construido internamente o adquirido a terceros, y añadido progresivamente en línea con la hoja de ruta funcional.</t>
  </si>
  <si>
    <t>Propietarios de Dominio, coordinados por Enterprise Architecture</t>
  </si>
  <si>
    <t>Donde la interoperabilidad se convierte en coexistencia estructural en lugar de fontanería temporal. Extraer funciones genuinamente cruzadas de productos de los núcleos a servicios compartidos reduce el riesgo de reemplazo de núcleos, porque la función sobrevive al núcleo y evita que la misma lógica se reimplemente por producto. Es la capacidad más directamente responsable del aumento observado de servicios compartidos entre múltiples áreas de negocio.</t>
  </si>
  <si>
    <t>Mixto: construcción interna o contratación externa por servicio</t>
  </si>
  <si>
    <t>Disco de Oro; Transact Fiesta/CIF/AA/Catálogo de productos/GL/FT; SmartVista; OnBase; Incode; Hub de Pagos; BRM; Risklogic.</t>
  </si>
  <si>
    <t>Servicios al Cliente y Grupos</t>
  </si>
  <si>
    <t>Servicios compartidos que proporcionan datos maestros de clientes y partes, relaciones y atributos derivados a todos los dominios y canales de producto.</t>
  </si>
  <si>
    <t>Ofrece la visión única del cliente que los núcleos aislados no pueden ofrecer, y que toda personalización y ambición de un banco de uno presupone.</t>
  </si>
  <si>
    <t>Disco de Oro; Temenos Fiesta/CIF; Informix/PISA maestro de clientes; Incode KYC con INE/RENAPO; Incorporación de Apolo.</t>
  </si>
  <si>
    <t>Servicios de Datos para Clientes</t>
  </si>
  <si>
    <t>Acceso autorizado a los datos maestros del cliente, identificadores y atributos como servicio compartido.</t>
  </si>
  <si>
    <t>Resuelve el problema de la visión de 360 grados estructuralmente en lugar de mediante una reconciliación repetida.</t>
  </si>
  <si>
    <t>Servicios de Relaciones con las Partes</t>
  </si>
  <si>
    <t>Gestión de las relaciones entre partes, cuentas, mandatos y representantes autorizados.</t>
  </si>
  <si>
    <t>Soporta estructuras comerciales y domésticas que los núcleos individuales de producto modelan de forma inconsistente.</t>
  </si>
  <si>
    <t>Productos y Servicios de Fijación de Precios</t>
  </si>
  <si>
    <t>Catálogo compartido de productos, términos, requisitos y servicios de cálculo de tarifas y precios utilizables por cualquier procesador o canal de productos.</t>
  </si>
  <si>
    <t>Externalizar la definición del producto desde el núcleo es lo que permite lanzar nuevas propuestas sin un lanzamiento central, que es la principal fuente de ganancia en el tiempo de salida al mercado.</t>
  </si>
  <si>
    <t>Temenos Marco AA y catálogo de productos; Motor de interés; Cargos; Configuración del producto SmartVista; BRM para las reglas de precios/riesgo.</t>
  </si>
  <si>
    <t>Servicios de catálogo de productos</t>
  </si>
  <si>
    <t>Definición central de productos, variantes, términos y elegibilidad consumidos por los procesadores y canales.</t>
  </si>
  <si>
    <t>Convierte el cambio de producto en un evento de configuración en lugar de en un proyecto de desarrollo central.</t>
  </si>
  <si>
    <t>Servicios de Tarifas y Precios</t>
  </si>
  <si>
    <t>Cálculo centralizado y aplicación de tasas, cargos, tarifas y descuentos.</t>
  </si>
  <si>
    <t>Garantiza precios coherentes y auditables entre productos, canales y entidades.</t>
  </si>
  <si>
    <t>Servicios de Límites y Riesgos</t>
  </si>
  <si>
    <t>Definición de límite compartido, control de cuentas y seguimiento de consumo, y servicios de evaluación de riesgos y crédito que se pueden llamar desde cualquier viaje.</t>
  </si>
  <si>
    <t>Coloca los controles de riesgo en la capa de interoperabilidad para que se apliquen de forma uniforme independientemente de qué núcleo o canal origina la transacción.</t>
  </si>
  <si>
    <t>BRM; Merit Crediticio; Límites Transact; Risklogic; integraciones Buró/SIC; Control de fraude/riesgo SmartVista; PAST. Colecciones DUE.</t>
  </si>
  <si>
    <t>Servicios de Gestión de Límites</t>
  </si>
  <si>
    <t>Definición, comprobación en tiempo real y seguimiento del consumo de límites de clientes, productos y contrapartes.</t>
  </si>
  <si>
    <t>Aplica un control consistente a lo largo de un conjunto multinúcleo, cerrando una brecha común durante la coexistencia.</t>
  </si>
  <si>
    <t>Servicios de Puntuación de Riesgos</t>
  </si>
  <si>
    <t>Servicios compartidos de puntuación y toma de decisiones invocados en los flujos de originación, mantenimiento y monitorización.</t>
  </si>
  <si>
    <t>Permite que las mejoras de los modelos lleguen a todos los canales y productos a la vez.</t>
  </si>
  <si>
    <t>Servicios Financieros y Contables</t>
  </si>
  <si>
    <t>Generación de eventos contables compartidos y publicación de libros mayores, conversión de divisas y servicios de ejecución de pagos utilizados entre dominios de producto.</t>
  </si>
  <si>
    <t>Preserva la integridad financiera y una verdad contable mientras el patrimonio de procesamiento se descompone y se reemplaza parcialmente.</t>
  </si>
  <si>
    <t>Transact GL/Contabilidad y PRD. DES. ACCOUNTING; Transferencia de fondos/FT; Hub de Pagos/SPEI; Pagos SmartVista; Libro mayor PISA durante la coexistencia.</t>
  </si>
  <si>
    <t>Servicios de Contabilidad y Publicación de Libros Mayores</t>
  </si>
  <si>
    <t>Generación y publicación de eventos contables desde transacciones comerciales hasta el libro mayor.</t>
  </si>
  <si>
    <t>Mantiene el libro mayor autoritativo y consistente independientemente del procesador que ejecutó la transacción.</t>
  </si>
  <si>
    <t>Servicios de conversión de moneda</t>
  </si>
  <si>
    <t>Reglas centrales de obtención, conversión y redondeo como servicio compartido.</t>
  </si>
  <si>
    <t>Elimina la lógica de conversión duplicada y divergente entre productos y entidades.</t>
  </si>
  <si>
    <t>Servicios de Pagos</t>
  </si>
  <si>
    <t>Servicios compartidos de iniciación, validación, enrutamiento y estado de pagos entre productos y canales.</t>
  </si>
  <si>
    <t>Concentra el esquema y el cambio regulatorio en un solo componente en lugar de en todos los núcleos del producto.</t>
  </si>
  <si>
    <t>Servicios de Documentos y Contenidos</t>
  </si>
  <si>
    <t>Servicios compartidos de generación, captura, almacenamiento, recuperación y retención de documentos que apoyan la documentación del cliente y regulatoria en todos los productos.</t>
  </si>
  <si>
    <t>Elimina la gestión de documentos por producto, que es una de las funciones más duplicadas y menos diferenciatorias en un patrimonio bancario.</t>
  </si>
  <si>
    <t>OnBase de Hyland para archivos digitales; captura de documentos Modyo/Apolo; Amazon Pinpoint para WelcomeKit; Captura de documentos Incode.</t>
  </si>
  <si>
    <t>Generación y composición de documentos</t>
  </si>
  <si>
    <t>Generación basada en plantillas de documentos para clientes y regulatorios a partir de eventos empresariales.</t>
  </si>
  <si>
    <t>Garantiza una salida consistente y conforme a través de productos y canales.</t>
  </si>
  <si>
    <t>Captura, almacenamiento y recuperación de documentos</t>
  </si>
  <si>
    <t>Capturar, indexar, almacenar y recuperar documentos de forma segura con política de retención.</t>
  </si>
  <si>
    <t>Proporciona un único repositorio de evidencias, simplificando tanto el servicio como la auditoría.</t>
  </si>
  <si>
    <t>Control y Servicios de Confianza</t>
  </si>
  <si>
    <t>Servicios de control compartido aplicados a lo largo de los recorridos empresariales: aprobaciones y jerarquías de autorización, y firma y verificación de instrucciones empresariales respaldadas por HSM.</t>
  </si>
  <si>
    <t>Convierte los controles obligatorios en un servicio reutilizable invocado por cualquier viaje, de modo que la potencia del control no depende del producto o canal que los implemente.</t>
  </si>
  <si>
    <t>Servicios de Aprobación</t>
  </si>
  <si>
    <t>Intercepción de la ejecución del servicio para aprobación, evaluación de roles y autorización basada en reglas, y finalización o rechazo.</t>
  </si>
  <si>
    <t>Aplica controles de cuatro ojos y de mandatos de forma uniforme en productos, canales y entidades.</t>
  </si>
  <si>
    <t>verificación biométrica Incode y firma NOM-151; aprobaciones de incorporación Apolo; Azure AD/OAuth para verificación de acceso; flujo de aprobación de sucursal/cajero.</t>
  </si>
  <si>
    <t>Servicios de Firma y Verificación</t>
  </si>
  <si>
    <t>Firma y verificación respaldada por HSM de instrucciones y documentos empresariales como un servicio compartido.</t>
  </si>
  <si>
    <t>Proporciona no repudiación en la capa de negocio, que se vuelve esencial una vez que las instrucciones cruzan los límites del sistema.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</si>
</sst>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name val="Calibri"/>
      <family val="2"/>
    </font>
    <font>
      <b/>
      <sz val="11"/>
      <name val="Calibri"/>
      <family val="2"/>
    </font>
    <font>
      <sz val="11"/>
      <color rgb="FF000000"/>
      <name val="Calibri"/>
      <family val="2"/>
    </font>
    <font>
      <sz val="11"/>
      <color rgb="FF4F81BD"/>
      <name val="Calibri"/>
      <family val="2"/>
    </font>
    <font>
      <sz val="11"/>
      <color rgb="FF00B050"/>
      <name val="Calibri"/>
      <family val="2"/>
    </font>
    <font>
      <b/>
      <sz val="12"/>
      <color rgb="FF00B0F0"/>
      <name val="Arial"/>
      <family val="2"/>
    </font>
  </fonts>
  <fills count="8">
    <fill>
      <patternFill patternType="none"/>
    </fill>
    <fill>
      <patternFill patternType="gray125"/>
    </fill>
    <fill>
      <patternFill patternType="solid">
        <fgColor rgb="FF00B0F0"/>
      </patternFill>
    </fill>
    <fill>
      <patternFill patternType="solid">
        <fgColor rgb="FFB8CCE4"/>
      </patternFill>
    </fill>
    <fill>
      <patternFill patternType="solid">
        <fgColor rgb="FFFFFFFF"/>
      </patternFill>
    </fill>
    <fill>
      <patternFill patternType="solid">
        <fgColor rgb="FF00B0F0"/>
        <bgColor rgb="FF000000"/>
      </patternFill>
    </fill>
    <fill>
      <patternFill patternType="solid">
        <fgColor rgb="FFB8CCE4"/>
        <bgColor rgb="FF000000"/>
      </patternFill>
    </fill>
    <fill>
      <patternFill patternType="solid">
        <fgColor rgb="FFFFFFFF"/>
        <bgColor rgb="FF000000"/>
      </patternFill>
    </fill>
  </fills>
  <borders count="1">
    <border>
      <left/>
      <right/>
      <top/>
      <bottom/>
      <diagonal/>
    </border>
  </borders>
  <cellStyleXfs count="1">
    <xf numFmtId="0" fontId="0" fillId="0" borderId="0"/>
  </cellStyleXfs>
  <cellXfs count="17">
    <xf numFmtId="0" fontId="0" fillId="0" borderId="0" xfId="0"/>
    <xf numFmtId="0" fontId="2" fillId="2" borderId="0" xfId="0" applyFont="1" applyFill="1" applyAlignment="1">
      <alignment wrapText="1"/>
    </xf>
    <xf numFmtId="0" fontId="3" fillId="3" borderId="0" xfId="0" applyFont="1" applyFill="1" applyAlignment="1">
      <alignment vertical="top" wrapText="1"/>
    </xf>
    <xf numFmtId="0" fontId="4" fillId="4" borderId="0" xfId="0" applyFont="1" applyFill="1" applyAlignment="1">
      <alignment vertical="top" wrapText="1"/>
    </xf>
    <xf numFmtId="0" fontId="5" fillId="4" borderId="0" xfId="0" applyFont="1" applyFill="1" applyAlignment="1">
      <alignment vertical="top" wrapText="1"/>
    </xf>
    <xf numFmtId="0" fontId="1" fillId="4" borderId="0" xfId="0" applyFont="1" applyFill="1" applyAlignment="1">
      <alignment vertical="top" wrapText="1"/>
    </xf>
    <xf numFmtId="0" fontId="2" fillId="2" borderId="0" xfId="0" applyFont="1" applyFill="1" applyAlignment="1">
      <alignment vertical="top" wrapText="1"/>
    </xf>
    <xf numFmtId="49" fontId="2" fillId="5" borderId="0" xfId="0" applyNumberFormat="1" applyFont="1" applyFill="1" applyAlignment="1">
      <alignment horizontal="right" vertical="top" wrapText="1"/>
    </xf>
    <xf numFmtId="49" fontId="3" fillId="6" borderId="0" xfId="0" applyNumberFormat="1" applyFont="1" applyFill="1" applyAlignment="1">
      <alignment horizontal="right" vertical="top" wrapText="1"/>
    </xf>
    <xf numFmtId="49" fontId="4" fillId="7" borderId="0" xfId="0" applyNumberFormat="1" applyFont="1" applyFill="1" applyAlignment="1">
      <alignment horizontal="right" vertical="top" wrapText="1"/>
    </xf>
    <xf numFmtId="49" fontId="5" fillId="7" borderId="0" xfId="0" applyNumberFormat="1" applyFont="1" applyFill="1" applyAlignment="1">
      <alignment horizontal="right" vertical="top" wrapText="1"/>
    </xf>
    <xf numFmtId="0" fontId="0" fillId="0" borderId="0" xfId="0" applyAlignment="1">
      <alignment horizontal="right" vertical="top"/>
    </xf>
    <xf numFmtId="49" fontId="1" fillId="4" borderId="0" xfId="0" applyNumberFormat="1" applyFont="1" applyFill="1" applyAlignment="1">
      <alignment vertical="top" wrapText="1"/>
    </xf>
    <xf numFmtId="49" fontId="0" fillId="0" borderId="0" xfId="0" applyNumberFormat="1"/>
    <xf numFmtId="0" fontId="6" fillId="0" borderId="0" xfId="0" applyFont="1" applyAlignment="1">
      <alignment vertical="center" wrapText="1"/>
    </xf>
    <xf numFmtId="0" fontId="0" fillId="0" borderId="0" xfId="0"/>
    <xf numFmtId="49" fontId="3" fillId="0" borderId="0" xfId="0" applyNumberFormat="1" applyFont="1" applyAlignment="1">
      <alignment horizontal="righ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0"/>
  <sheetViews>
    <sheetView tabSelected="1" zoomScale="85" zoomScaleNormal="85" workbookViewId="0">
      <pane xSplit="3" ySplit="4" topLeftCell="D116" activePane="bottomRight" state="frozen"/>
      <selection pane="topRight"/>
      <selection pane="bottomLeft"/>
      <selection pane="bottomRight" activeCell="D126" sqref="D126"/>
    </sheetView>
  </sheetViews>
  <sheetFormatPr defaultRowHeight="15" x14ac:dyDescent="0.25"/>
  <cols>
    <col min="1" max="1" width="8" customWidth="1"/>
    <col min="2" max="2" width="10" customWidth="1"/>
    <col min="3" max="3" width="10" style="11" customWidth="1"/>
    <col min="4" max="4" width="44" customWidth="1"/>
    <col min="5" max="5" width="86" customWidth="1"/>
    <col min="6" max="6" width="34" customWidth="1"/>
    <col min="7" max="7" width="12" customWidth="1"/>
    <col min="8" max="8" width="20" customWidth="1"/>
    <col min="9" max="9" width="86" customWidth="1"/>
    <col min="10" max="10" width="34" customWidth="1"/>
    <col min="11" max="11" width="55" customWidth="1"/>
  </cols>
  <sheetData>
    <row r="1" spans="1:11" x14ac:dyDescent="0.25">
      <c r="C1" s="16"/>
    </row>
    <row r="2" spans="1:11" x14ac:dyDescent="0.25">
      <c r="C2" s="16"/>
    </row>
    <row r="3" spans="1:11" x14ac:dyDescent="0.25">
      <c r="C3" s="16"/>
    </row>
    <row r="4" spans="1:11" ht="30" customHeight="1" x14ac:dyDescent="0.25">
      <c r="A4" s="1" t="s">
        <v>1187</v>
      </c>
      <c r="B4" s="1" t="s">
        <v>1188</v>
      </c>
      <c r="C4" s="7" t="s">
        <v>1174</v>
      </c>
      <c r="D4" s="1" t="s">
        <v>1189</v>
      </c>
      <c r="E4" s="1" t="s">
        <v>1190</v>
      </c>
      <c r="F4" s="1" t="s">
        <v>1191</v>
      </c>
      <c r="G4" s="1" t="s">
        <v>1192</v>
      </c>
      <c r="H4" s="1" t="s">
        <v>1193</v>
      </c>
      <c r="I4" s="1" t="s">
        <v>1194</v>
      </c>
      <c r="J4" s="1" t="s">
        <v>1195</v>
      </c>
      <c r="K4" s="6" t="s">
        <v>1196</v>
      </c>
    </row>
    <row r="5" spans="1:11" ht="75" customHeight="1" x14ac:dyDescent="0.25">
      <c r="A5" s="2">
        <v>1</v>
      </c>
      <c r="B5" s="2">
        <v>1</v>
      </c>
      <c r="C5" s="8">
        <v>5</v>
      </c>
      <c r="D5" s="2" t="s">
        <v>1197</v>
      </c>
      <c r="E5" s="2" t="s">
        <v>1198</v>
      </c>
      <c r="F5" s="2" t="s">
        <v>1199</v>
      </c>
      <c r="G5" s="2" t="s">
        <v>14</v>
      </c>
      <c r="H5" s="2" t="s">
        <v>1200</v>
      </c>
      <c r="I5" s="2" t="s">
        <v>1201</v>
      </c>
      <c r="J5" s="2" t="s">
        <v>1202</v>
      </c>
      <c r="K5" s="2" t="s">
        <v>1203</v>
      </c>
    </row>
    <row r="6" spans="1:11" ht="45" customHeight="1" x14ac:dyDescent="0.25">
      <c r="A6" s="3">
        <v>2</v>
      </c>
      <c r="B6" s="3">
        <v>1</v>
      </c>
      <c r="C6" s="9">
        <v>5.0999999999999996</v>
      </c>
      <c r="D6" s="3" t="s">
        <v>1204</v>
      </c>
      <c r="E6" s="3" t="s">
        <v>1205</v>
      </c>
      <c r="F6" s="3" t="s">
        <v>1199</v>
      </c>
      <c r="G6" s="3" t="s">
        <v>21</v>
      </c>
      <c r="H6" s="3" t="s">
        <v>1200</v>
      </c>
      <c r="I6" s="3" t="s">
        <v>1206</v>
      </c>
      <c r="J6" s="3" t="s">
        <v>1207</v>
      </c>
      <c r="K6" s="3" t="s">
        <v>1208</v>
      </c>
    </row>
    <row r="7" spans="1:11" ht="45" customHeight="1" x14ac:dyDescent="0.25">
      <c r="A7" s="4">
        <v>3</v>
      </c>
      <c r="B7" s="4">
        <v>1</v>
      </c>
      <c r="C7" s="10" t="s">
        <v>25</v>
      </c>
      <c r="D7" s="4" t="s">
        <v>1209</v>
      </c>
      <c r="E7" s="4" t="s">
        <v>1210</v>
      </c>
      <c r="F7" s="4" t="s">
        <v>1199</v>
      </c>
      <c r="G7" s="4" t="s">
        <v>28</v>
      </c>
      <c r="H7" s="4" t="s">
        <v>1200</v>
      </c>
      <c r="I7" s="4" t="s">
        <v>1211</v>
      </c>
      <c r="J7" s="4" t="s">
        <v>1207</v>
      </c>
      <c r="K7" s="4" t="s">
        <v>1208</v>
      </c>
    </row>
    <row r="8" spans="1:11" ht="45" customHeight="1" x14ac:dyDescent="0.25">
      <c r="A8" s="4">
        <v>3</v>
      </c>
      <c r="B8" s="4">
        <v>2</v>
      </c>
      <c r="C8" s="10" t="s">
        <v>30</v>
      </c>
      <c r="D8" s="4" t="s">
        <v>1212</v>
      </c>
      <c r="E8" s="4" t="s">
        <v>1213</v>
      </c>
      <c r="F8" s="4" t="s">
        <v>1199</v>
      </c>
      <c r="G8" s="4" t="s">
        <v>28</v>
      </c>
      <c r="H8" s="4" t="s">
        <v>1200</v>
      </c>
      <c r="I8" s="4" t="s">
        <v>1214</v>
      </c>
      <c r="J8" s="4" t="s">
        <v>1207</v>
      </c>
      <c r="K8" s="4" t="s">
        <v>1208</v>
      </c>
    </row>
    <row r="9" spans="1:11" ht="45" customHeight="1" x14ac:dyDescent="0.25">
      <c r="A9" s="4">
        <v>3</v>
      </c>
      <c r="B9" s="4">
        <v>3</v>
      </c>
      <c r="C9" s="10" t="s">
        <v>34</v>
      </c>
      <c r="D9" s="4" t="s">
        <v>1215</v>
      </c>
      <c r="E9" s="4" t="s">
        <v>1216</v>
      </c>
      <c r="F9" s="4" t="s">
        <v>1199</v>
      </c>
      <c r="G9" s="4" t="s">
        <v>28</v>
      </c>
      <c r="H9" s="4" t="s">
        <v>1200</v>
      </c>
      <c r="I9" s="4" t="s">
        <v>1217</v>
      </c>
      <c r="J9" s="4" t="s">
        <v>1207</v>
      </c>
      <c r="K9" s="4" t="s">
        <v>1208</v>
      </c>
    </row>
    <row r="10" spans="1:11" ht="45" customHeight="1" x14ac:dyDescent="0.25">
      <c r="A10" s="4">
        <v>3</v>
      </c>
      <c r="B10" s="4">
        <v>4</v>
      </c>
      <c r="C10" s="10" t="s">
        <v>38</v>
      </c>
      <c r="D10" s="4" t="s">
        <v>1218</v>
      </c>
      <c r="E10" s="4" t="s">
        <v>1219</v>
      </c>
      <c r="F10" s="4" t="s">
        <v>1199</v>
      </c>
      <c r="G10" s="4" t="s">
        <v>28</v>
      </c>
      <c r="H10" s="4" t="s">
        <v>1200</v>
      </c>
      <c r="I10" s="4" t="s">
        <v>1220</v>
      </c>
      <c r="J10" s="4" t="s">
        <v>1207</v>
      </c>
      <c r="K10" s="4" t="s">
        <v>1208</v>
      </c>
    </row>
    <row r="11" spans="1:11" ht="45" customHeight="1" x14ac:dyDescent="0.25">
      <c r="A11" s="4">
        <v>3</v>
      </c>
      <c r="B11" s="4">
        <v>5</v>
      </c>
      <c r="C11" s="10" t="s">
        <v>42</v>
      </c>
      <c r="D11" s="4" t="s">
        <v>1221</v>
      </c>
      <c r="E11" s="4" t="s">
        <v>1222</v>
      </c>
      <c r="F11" s="4" t="s">
        <v>1199</v>
      </c>
      <c r="G11" s="4" t="s">
        <v>28</v>
      </c>
      <c r="H11" s="4" t="s">
        <v>1200</v>
      </c>
      <c r="I11" s="4" t="s">
        <v>1223</v>
      </c>
      <c r="J11" s="4" t="s">
        <v>1207</v>
      </c>
      <c r="K11" s="4" t="s">
        <v>1208</v>
      </c>
    </row>
    <row r="12" spans="1:11" ht="45" customHeight="1" x14ac:dyDescent="0.25">
      <c r="A12" s="3">
        <v>2</v>
      </c>
      <c r="B12" s="3">
        <v>2</v>
      </c>
      <c r="C12" s="9">
        <v>5.2</v>
      </c>
      <c r="D12" s="3" t="s">
        <v>1224</v>
      </c>
      <c r="E12" s="3" t="s">
        <v>1225</v>
      </c>
      <c r="F12" s="3" t="s">
        <v>1199</v>
      </c>
      <c r="G12" s="3" t="s">
        <v>21</v>
      </c>
      <c r="H12" s="3" t="s">
        <v>1200</v>
      </c>
      <c r="I12" s="3" t="s">
        <v>1226</v>
      </c>
      <c r="J12" s="3" t="s">
        <v>1227</v>
      </c>
      <c r="K12" s="3" t="s">
        <v>1228</v>
      </c>
    </row>
    <row r="13" spans="1:11" ht="45" customHeight="1" x14ac:dyDescent="0.25">
      <c r="A13" s="4">
        <v>3</v>
      </c>
      <c r="B13" s="4">
        <v>1</v>
      </c>
      <c r="C13" s="10" t="s">
        <v>51</v>
      </c>
      <c r="D13" s="4" t="s">
        <v>1229</v>
      </c>
      <c r="E13" s="4" t="s">
        <v>1230</v>
      </c>
      <c r="F13" s="4" t="s">
        <v>1199</v>
      </c>
      <c r="G13" s="4" t="s">
        <v>28</v>
      </c>
      <c r="H13" s="4" t="s">
        <v>1200</v>
      </c>
      <c r="I13" s="4" t="s">
        <v>1231</v>
      </c>
      <c r="J13" s="4" t="s">
        <v>1227</v>
      </c>
      <c r="K13" s="4" t="s">
        <v>1228</v>
      </c>
    </row>
    <row r="14" spans="1:11" ht="45" customHeight="1" x14ac:dyDescent="0.25">
      <c r="A14" s="4">
        <v>3</v>
      </c>
      <c r="B14" s="4">
        <v>2</v>
      </c>
      <c r="C14" s="10" t="s">
        <v>55</v>
      </c>
      <c r="D14" s="4" t="s">
        <v>1232</v>
      </c>
      <c r="E14" s="4" t="s">
        <v>1233</v>
      </c>
      <c r="F14" s="4" t="s">
        <v>1199</v>
      </c>
      <c r="G14" s="4" t="s">
        <v>28</v>
      </c>
      <c r="H14" s="4" t="s">
        <v>1200</v>
      </c>
      <c r="I14" s="4" t="s">
        <v>1234</v>
      </c>
      <c r="J14" s="4" t="s">
        <v>1227</v>
      </c>
      <c r="K14" s="4" t="s">
        <v>1228</v>
      </c>
    </row>
    <row r="15" spans="1:11" ht="45" customHeight="1" x14ac:dyDescent="0.25">
      <c r="A15" s="4">
        <v>3</v>
      </c>
      <c r="B15" s="4">
        <v>3</v>
      </c>
      <c r="C15" s="10" t="s">
        <v>59</v>
      </c>
      <c r="D15" s="4" t="s">
        <v>1235</v>
      </c>
      <c r="E15" s="4" t="s">
        <v>1236</v>
      </c>
      <c r="F15" s="4" t="s">
        <v>1199</v>
      </c>
      <c r="G15" s="4" t="s">
        <v>28</v>
      </c>
      <c r="H15" s="4" t="s">
        <v>1200</v>
      </c>
      <c r="I15" s="4" t="s">
        <v>1237</v>
      </c>
      <c r="J15" s="4" t="s">
        <v>1227</v>
      </c>
      <c r="K15" s="4" t="s">
        <v>1228</v>
      </c>
    </row>
    <row r="16" spans="1:11" ht="45" customHeight="1" x14ac:dyDescent="0.25">
      <c r="A16" s="4">
        <v>3</v>
      </c>
      <c r="B16" s="4">
        <v>4</v>
      </c>
      <c r="C16" s="10" t="s">
        <v>63</v>
      </c>
      <c r="D16" s="4" t="s">
        <v>1238</v>
      </c>
      <c r="E16" s="4" t="s">
        <v>1239</v>
      </c>
      <c r="F16" s="4" t="s">
        <v>1199</v>
      </c>
      <c r="G16" s="4" t="s">
        <v>28</v>
      </c>
      <c r="H16" s="4" t="s">
        <v>1200</v>
      </c>
      <c r="I16" s="4" t="s">
        <v>1240</v>
      </c>
      <c r="J16" s="4" t="s">
        <v>1227</v>
      </c>
      <c r="K16" s="4" t="s">
        <v>1228</v>
      </c>
    </row>
    <row r="17" spans="1:11" ht="45" customHeight="1" x14ac:dyDescent="0.25">
      <c r="A17" s="3">
        <v>2</v>
      </c>
      <c r="B17" s="3">
        <v>3</v>
      </c>
      <c r="C17" s="9">
        <v>5.3</v>
      </c>
      <c r="D17" s="3" t="s">
        <v>1241</v>
      </c>
      <c r="E17" s="3" t="s">
        <v>1242</v>
      </c>
      <c r="F17" s="3" t="s">
        <v>1199</v>
      </c>
      <c r="G17" s="3" t="s">
        <v>21</v>
      </c>
      <c r="H17" s="3" t="s">
        <v>1200</v>
      </c>
      <c r="I17" s="3" t="s">
        <v>1243</v>
      </c>
      <c r="J17" s="3" t="s">
        <v>1207</v>
      </c>
      <c r="K17" s="3" t="s">
        <v>1244</v>
      </c>
    </row>
    <row r="18" spans="1:11" ht="45" customHeight="1" x14ac:dyDescent="0.25">
      <c r="A18" s="4">
        <v>3</v>
      </c>
      <c r="B18" s="4">
        <v>1</v>
      </c>
      <c r="C18" s="10" t="s">
        <v>71</v>
      </c>
      <c r="D18" s="4" t="s">
        <v>1245</v>
      </c>
      <c r="E18" s="4" t="s">
        <v>1246</v>
      </c>
      <c r="F18" s="4" t="s">
        <v>1199</v>
      </c>
      <c r="G18" s="4" t="s">
        <v>28</v>
      </c>
      <c r="H18" s="4" t="s">
        <v>1200</v>
      </c>
      <c r="I18" s="4" t="s">
        <v>1247</v>
      </c>
      <c r="J18" s="4" t="s">
        <v>1207</v>
      </c>
      <c r="K18" s="4" t="s">
        <v>1244</v>
      </c>
    </row>
    <row r="19" spans="1:11" ht="45" customHeight="1" x14ac:dyDescent="0.25">
      <c r="A19" s="4">
        <v>3</v>
      </c>
      <c r="B19" s="4">
        <v>2</v>
      </c>
      <c r="C19" s="10" t="s">
        <v>75</v>
      </c>
      <c r="D19" s="4" t="s">
        <v>1248</v>
      </c>
      <c r="E19" s="4" t="s">
        <v>1249</v>
      </c>
      <c r="F19" s="4" t="s">
        <v>1199</v>
      </c>
      <c r="G19" s="4" t="s">
        <v>28</v>
      </c>
      <c r="H19" s="4" t="s">
        <v>1200</v>
      </c>
      <c r="I19" s="4" t="s">
        <v>1250</v>
      </c>
      <c r="J19" s="4" t="s">
        <v>1207</v>
      </c>
      <c r="K19" s="4" t="s">
        <v>1244</v>
      </c>
    </row>
    <row r="20" spans="1:11" ht="45" customHeight="1" x14ac:dyDescent="0.25">
      <c r="A20" s="4">
        <v>3</v>
      </c>
      <c r="B20" s="4">
        <v>3</v>
      </c>
      <c r="C20" s="10" t="s">
        <v>79</v>
      </c>
      <c r="D20" s="4" t="s">
        <v>1251</v>
      </c>
      <c r="E20" s="4" t="s">
        <v>1252</v>
      </c>
      <c r="F20" s="4" t="s">
        <v>1199</v>
      </c>
      <c r="G20" s="4" t="s">
        <v>28</v>
      </c>
      <c r="H20" s="4" t="s">
        <v>1200</v>
      </c>
      <c r="I20" s="4" t="s">
        <v>1253</v>
      </c>
      <c r="J20" s="4" t="s">
        <v>1207</v>
      </c>
      <c r="K20" s="4" t="s">
        <v>1244</v>
      </c>
    </row>
    <row r="21" spans="1:11" ht="45" customHeight="1" x14ac:dyDescent="0.25">
      <c r="A21" s="3">
        <v>2</v>
      </c>
      <c r="B21" s="3">
        <v>4</v>
      </c>
      <c r="C21" s="9">
        <v>5.4</v>
      </c>
      <c r="D21" s="3" t="s">
        <v>1254</v>
      </c>
      <c r="E21" s="3" t="s">
        <v>1255</v>
      </c>
      <c r="F21" s="3" t="s">
        <v>1199</v>
      </c>
      <c r="G21" s="3" t="s">
        <v>21</v>
      </c>
      <c r="H21" s="3" t="s">
        <v>1200</v>
      </c>
      <c r="I21" s="3" t="s">
        <v>1256</v>
      </c>
      <c r="J21" s="3" t="s">
        <v>1207</v>
      </c>
      <c r="K21" s="3" t="s">
        <v>1257</v>
      </c>
    </row>
    <row r="22" spans="1:11" ht="45" customHeight="1" x14ac:dyDescent="0.25">
      <c r="A22" s="4">
        <v>3</v>
      </c>
      <c r="B22" s="4">
        <v>1</v>
      </c>
      <c r="C22" s="10" t="s">
        <v>87</v>
      </c>
      <c r="D22" s="4" t="s">
        <v>1258</v>
      </c>
      <c r="E22" s="4" t="s">
        <v>1259</v>
      </c>
      <c r="F22" s="4" t="s">
        <v>1199</v>
      </c>
      <c r="G22" s="4" t="s">
        <v>28</v>
      </c>
      <c r="H22" s="4" t="s">
        <v>1200</v>
      </c>
      <c r="I22" s="4" t="s">
        <v>1260</v>
      </c>
      <c r="J22" s="4" t="s">
        <v>1207</v>
      </c>
      <c r="K22" s="4" t="s">
        <v>1257</v>
      </c>
    </row>
    <row r="23" spans="1:11" ht="45" customHeight="1" x14ac:dyDescent="0.25">
      <c r="A23" s="4">
        <v>3</v>
      </c>
      <c r="B23" s="4">
        <v>2</v>
      </c>
      <c r="C23" s="10" t="s">
        <v>91</v>
      </c>
      <c r="D23" s="4" t="s">
        <v>1261</v>
      </c>
      <c r="E23" s="4" t="s">
        <v>1262</v>
      </c>
      <c r="F23" s="4" t="s">
        <v>1199</v>
      </c>
      <c r="G23" s="4" t="s">
        <v>28</v>
      </c>
      <c r="H23" s="4" t="s">
        <v>1200</v>
      </c>
      <c r="I23" s="4" t="s">
        <v>1263</v>
      </c>
      <c r="J23" s="4" t="s">
        <v>1207</v>
      </c>
      <c r="K23" s="4" t="s">
        <v>1257</v>
      </c>
    </row>
    <row r="24" spans="1:11" ht="45" customHeight="1" x14ac:dyDescent="0.25">
      <c r="A24" s="4">
        <v>3</v>
      </c>
      <c r="B24" s="4">
        <v>3</v>
      </c>
      <c r="C24" s="10" t="s">
        <v>95</v>
      </c>
      <c r="D24" s="4" t="s">
        <v>1264</v>
      </c>
      <c r="E24" s="4" t="s">
        <v>1265</v>
      </c>
      <c r="F24" s="4" t="s">
        <v>1199</v>
      </c>
      <c r="G24" s="4" t="s">
        <v>28</v>
      </c>
      <c r="H24" s="4" t="s">
        <v>1200</v>
      </c>
      <c r="I24" s="4" t="s">
        <v>1266</v>
      </c>
      <c r="J24" s="4" t="s">
        <v>1207</v>
      </c>
      <c r="K24" s="4" t="s">
        <v>1257</v>
      </c>
    </row>
    <row r="25" spans="1:11" ht="90" customHeight="1" x14ac:dyDescent="0.25">
      <c r="A25" s="2">
        <v>1</v>
      </c>
      <c r="B25" s="2">
        <v>2</v>
      </c>
      <c r="C25" s="8">
        <v>4</v>
      </c>
      <c r="D25" s="2" t="s">
        <v>1267</v>
      </c>
      <c r="E25" s="2" t="s">
        <v>1268</v>
      </c>
      <c r="F25" s="2" t="s">
        <v>1269</v>
      </c>
      <c r="G25" s="2" t="s">
        <v>14</v>
      </c>
      <c r="H25" s="2" t="s">
        <v>1200</v>
      </c>
      <c r="I25" s="2" t="s">
        <v>1270</v>
      </c>
      <c r="J25" s="2" t="s">
        <v>1271</v>
      </c>
      <c r="K25" s="2" t="s">
        <v>1272</v>
      </c>
    </row>
    <row r="26" spans="1:11" ht="45" customHeight="1" x14ac:dyDescent="0.25">
      <c r="A26" s="3">
        <v>2</v>
      </c>
      <c r="B26" s="3">
        <v>1</v>
      </c>
      <c r="C26" s="9">
        <v>4.0999999999999996</v>
      </c>
      <c r="D26" s="3" t="s">
        <v>1273</v>
      </c>
      <c r="E26" s="3" t="s">
        <v>1274</v>
      </c>
      <c r="F26" s="3" t="s">
        <v>1269</v>
      </c>
      <c r="G26" s="3" t="s">
        <v>21</v>
      </c>
      <c r="H26" s="3" t="s">
        <v>1200</v>
      </c>
      <c r="I26" s="3" t="s">
        <v>1275</v>
      </c>
      <c r="J26" s="3" t="s">
        <v>1207</v>
      </c>
      <c r="K26" s="3" t="s">
        <v>1272</v>
      </c>
    </row>
    <row r="27" spans="1:11" ht="45" customHeight="1" x14ac:dyDescent="0.25">
      <c r="A27" s="4">
        <v>3</v>
      </c>
      <c r="B27" s="4">
        <v>1</v>
      </c>
      <c r="C27" s="10" t="s">
        <v>108</v>
      </c>
      <c r="D27" s="4" t="s">
        <v>1276</v>
      </c>
      <c r="E27" s="4" t="s">
        <v>1277</v>
      </c>
      <c r="F27" s="4" t="s">
        <v>1269</v>
      </c>
      <c r="G27" s="4" t="s">
        <v>28</v>
      </c>
      <c r="H27" s="4" t="s">
        <v>1200</v>
      </c>
      <c r="I27" s="4" t="s">
        <v>1278</v>
      </c>
      <c r="J27" s="4" t="s">
        <v>1207</v>
      </c>
      <c r="K27" s="4" t="s">
        <v>1272</v>
      </c>
    </row>
    <row r="28" spans="1:11" ht="45" customHeight="1" x14ac:dyDescent="0.25">
      <c r="A28" s="4">
        <v>3</v>
      </c>
      <c r="B28" s="4">
        <v>2</v>
      </c>
      <c r="C28" s="10" t="s">
        <v>112</v>
      </c>
      <c r="D28" s="4" t="s">
        <v>1279</v>
      </c>
      <c r="E28" s="4" t="s">
        <v>1280</v>
      </c>
      <c r="F28" s="4" t="s">
        <v>1269</v>
      </c>
      <c r="G28" s="4" t="s">
        <v>28</v>
      </c>
      <c r="H28" s="4" t="s">
        <v>1200</v>
      </c>
      <c r="I28" s="4" t="s">
        <v>1281</v>
      </c>
      <c r="J28" s="4" t="s">
        <v>1207</v>
      </c>
      <c r="K28" s="4" t="s">
        <v>1282</v>
      </c>
    </row>
    <row r="29" spans="1:11" ht="45" customHeight="1" x14ac:dyDescent="0.25">
      <c r="A29" s="4">
        <v>3</v>
      </c>
      <c r="B29" s="4">
        <v>3</v>
      </c>
      <c r="C29" s="10" t="s">
        <v>117</v>
      </c>
      <c r="D29" s="4" t="s">
        <v>1283</v>
      </c>
      <c r="E29" s="4" t="s">
        <v>1284</v>
      </c>
      <c r="F29" s="4" t="s">
        <v>1269</v>
      </c>
      <c r="G29" s="4" t="s">
        <v>28</v>
      </c>
      <c r="H29" s="4" t="s">
        <v>1200</v>
      </c>
      <c r="I29" s="4" t="s">
        <v>1285</v>
      </c>
      <c r="J29" s="4" t="s">
        <v>1207</v>
      </c>
      <c r="K29" s="4" t="s">
        <v>1286</v>
      </c>
    </row>
    <row r="30" spans="1:11" ht="45" customHeight="1" x14ac:dyDescent="0.25">
      <c r="A30" s="4">
        <v>3</v>
      </c>
      <c r="B30" s="4">
        <v>4</v>
      </c>
      <c r="C30" s="10" t="s">
        <v>122</v>
      </c>
      <c r="D30" s="4" t="s">
        <v>1287</v>
      </c>
      <c r="E30" s="4" t="s">
        <v>1288</v>
      </c>
      <c r="F30" s="4" t="s">
        <v>1269</v>
      </c>
      <c r="G30" s="4" t="s">
        <v>28</v>
      </c>
      <c r="H30" s="4" t="s">
        <v>1200</v>
      </c>
      <c r="I30" s="4" t="s">
        <v>1289</v>
      </c>
      <c r="J30" s="4" t="s">
        <v>1207</v>
      </c>
      <c r="K30" s="4" t="s">
        <v>1290</v>
      </c>
    </row>
    <row r="31" spans="1:11" ht="45" customHeight="1" x14ac:dyDescent="0.25">
      <c r="A31" s="3">
        <v>2</v>
      </c>
      <c r="B31" s="3">
        <v>2</v>
      </c>
      <c r="C31" s="9">
        <v>4.2</v>
      </c>
      <c r="D31" s="3" t="s">
        <v>1291</v>
      </c>
      <c r="E31" s="3" t="s">
        <v>1292</v>
      </c>
      <c r="F31" s="3" t="s">
        <v>1269</v>
      </c>
      <c r="G31" s="3" t="s">
        <v>21</v>
      </c>
      <c r="H31" s="3" t="s">
        <v>1200</v>
      </c>
      <c r="I31" s="3" t="s">
        <v>1293</v>
      </c>
      <c r="J31" s="3" t="s">
        <v>1294</v>
      </c>
      <c r="K31" s="3" t="s">
        <v>1272</v>
      </c>
    </row>
    <row r="32" spans="1:11" ht="45" customHeight="1" x14ac:dyDescent="0.25">
      <c r="A32" s="4">
        <v>3</v>
      </c>
      <c r="B32" s="4">
        <v>1</v>
      </c>
      <c r="C32" s="10" t="s">
        <v>131</v>
      </c>
      <c r="D32" s="4" t="s">
        <v>1295</v>
      </c>
      <c r="E32" s="4" t="s">
        <v>1296</v>
      </c>
      <c r="F32" s="4" t="s">
        <v>1269</v>
      </c>
      <c r="G32" s="4" t="s">
        <v>28</v>
      </c>
      <c r="H32" s="4" t="s">
        <v>1200</v>
      </c>
      <c r="I32" s="4" t="s">
        <v>1297</v>
      </c>
      <c r="J32" s="4" t="s">
        <v>1294</v>
      </c>
      <c r="K32" s="4" t="s">
        <v>1272</v>
      </c>
    </row>
    <row r="33" spans="1:11" ht="45" customHeight="1" x14ac:dyDescent="0.25">
      <c r="A33" s="4">
        <v>3</v>
      </c>
      <c r="B33" s="4">
        <v>2</v>
      </c>
      <c r="C33" s="10" t="s">
        <v>135</v>
      </c>
      <c r="D33" s="4" t="s">
        <v>1298</v>
      </c>
      <c r="E33" s="4" t="s">
        <v>1299</v>
      </c>
      <c r="F33" s="4" t="s">
        <v>1269</v>
      </c>
      <c r="G33" s="4" t="s">
        <v>28</v>
      </c>
      <c r="H33" s="4" t="s">
        <v>1200</v>
      </c>
      <c r="I33" s="4" t="s">
        <v>1300</v>
      </c>
      <c r="J33" s="4" t="s">
        <v>1294</v>
      </c>
      <c r="K33" s="4" t="s">
        <v>1282</v>
      </c>
    </row>
    <row r="34" spans="1:11" ht="45" customHeight="1" x14ac:dyDescent="0.25">
      <c r="A34" s="4">
        <v>3</v>
      </c>
      <c r="B34" s="4">
        <v>3</v>
      </c>
      <c r="C34" s="10" t="s">
        <v>139</v>
      </c>
      <c r="D34" s="4" t="s">
        <v>1301</v>
      </c>
      <c r="E34" s="4" t="s">
        <v>1302</v>
      </c>
      <c r="F34" s="4" t="s">
        <v>1269</v>
      </c>
      <c r="G34" s="4" t="s">
        <v>28</v>
      </c>
      <c r="H34" s="4" t="s">
        <v>1200</v>
      </c>
      <c r="I34" s="4" t="s">
        <v>1303</v>
      </c>
      <c r="J34" s="4" t="s">
        <v>1294</v>
      </c>
      <c r="K34" s="4" t="s">
        <v>1286</v>
      </c>
    </row>
    <row r="35" spans="1:11" ht="45" customHeight="1" x14ac:dyDescent="0.25">
      <c r="A35" s="4">
        <v>3</v>
      </c>
      <c r="B35" s="4">
        <v>4</v>
      </c>
      <c r="C35" s="10" t="s">
        <v>143</v>
      </c>
      <c r="D35" s="4" t="s">
        <v>1304</v>
      </c>
      <c r="E35" s="4" t="s">
        <v>1305</v>
      </c>
      <c r="F35" s="4" t="s">
        <v>1269</v>
      </c>
      <c r="G35" s="4" t="s">
        <v>28</v>
      </c>
      <c r="H35" s="4" t="s">
        <v>1200</v>
      </c>
      <c r="I35" s="4" t="s">
        <v>1306</v>
      </c>
      <c r="J35" s="4" t="s">
        <v>1294</v>
      </c>
      <c r="K35" s="4" t="s">
        <v>1307</v>
      </c>
    </row>
    <row r="36" spans="1:11" ht="45" customHeight="1" x14ac:dyDescent="0.25">
      <c r="A36" s="3">
        <v>2</v>
      </c>
      <c r="B36" s="3">
        <v>3</v>
      </c>
      <c r="C36" s="9">
        <v>4.3</v>
      </c>
      <c r="D36" s="3" t="s">
        <v>1308</v>
      </c>
      <c r="E36" s="3" t="s">
        <v>1309</v>
      </c>
      <c r="F36" s="3" t="s">
        <v>1269</v>
      </c>
      <c r="G36" s="3" t="s">
        <v>21</v>
      </c>
      <c r="H36" s="3" t="s">
        <v>1200</v>
      </c>
      <c r="I36" s="3" t="s">
        <v>1310</v>
      </c>
      <c r="J36" s="3" t="s">
        <v>1294</v>
      </c>
      <c r="K36" s="3" t="s">
        <v>1311</v>
      </c>
    </row>
    <row r="37" spans="1:11" ht="45" customHeight="1" x14ac:dyDescent="0.25">
      <c r="A37" s="4">
        <v>3</v>
      </c>
      <c r="B37" s="4">
        <v>1</v>
      </c>
      <c r="C37" s="10" t="s">
        <v>152</v>
      </c>
      <c r="D37" s="4" t="s">
        <v>1312</v>
      </c>
      <c r="E37" s="4" t="s">
        <v>1313</v>
      </c>
      <c r="F37" s="4" t="s">
        <v>1269</v>
      </c>
      <c r="G37" s="4" t="s">
        <v>28</v>
      </c>
      <c r="H37" s="4" t="s">
        <v>1200</v>
      </c>
      <c r="I37" s="4" t="s">
        <v>1314</v>
      </c>
      <c r="J37" s="4" t="s">
        <v>1294</v>
      </c>
      <c r="K37" s="4" t="s">
        <v>1311</v>
      </c>
    </row>
    <row r="38" spans="1:11" ht="45" customHeight="1" x14ac:dyDescent="0.25">
      <c r="A38" s="4">
        <v>3</v>
      </c>
      <c r="B38" s="4">
        <v>2</v>
      </c>
      <c r="C38" s="10" t="s">
        <v>156</v>
      </c>
      <c r="D38" s="4" t="s">
        <v>1315</v>
      </c>
      <c r="E38" s="4" t="s">
        <v>1316</v>
      </c>
      <c r="F38" s="4" t="s">
        <v>1269</v>
      </c>
      <c r="G38" s="4" t="s">
        <v>28</v>
      </c>
      <c r="H38" s="4" t="s">
        <v>1200</v>
      </c>
      <c r="I38" s="4" t="s">
        <v>1317</v>
      </c>
      <c r="J38" s="4" t="s">
        <v>1294</v>
      </c>
      <c r="K38" s="4" t="s">
        <v>1318</v>
      </c>
    </row>
    <row r="39" spans="1:11" ht="45" customHeight="1" x14ac:dyDescent="0.25">
      <c r="A39" s="4">
        <v>3</v>
      </c>
      <c r="B39" s="4">
        <v>3</v>
      </c>
      <c r="C39" s="10" t="s">
        <v>161</v>
      </c>
      <c r="D39" s="4" t="s">
        <v>1319</v>
      </c>
      <c r="E39" s="4" t="s">
        <v>1320</v>
      </c>
      <c r="F39" s="4" t="s">
        <v>1269</v>
      </c>
      <c r="G39" s="4" t="s">
        <v>28</v>
      </c>
      <c r="H39" s="4" t="s">
        <v>1200</v>
      </c>
      <c r="I39" s="4" t="s">
        <v>1321</v>
      </c>
      <c r="J39" s="4" t="s">
        <v>1294</v>
      </c>
      <c r="K39" s="4" t="s">
        <v>1311</v>
      </c>
    </row>
    <row r="40" spans="1:11" ht="45" customHeight="1" x14ac:dyDescent="0.25">
      <c r="A40" s="4">
        <v>3</v>
      </c>
      <c r="B40" s="4">
        <v>4</v>
      </c>
      <c r="C40" s="10" t="s">
        <v>165</v>
      </c>
      <c r="D40" s="4" t="s">
        <v>1322</v>
      </c>
      <c r="E40" s="4" t="s">
        <v>1323</v>
      </c>
      <c r="F40" s="4" t="s">
        <v>1269</v>
      </c>
      <c r="G40" s="4" t="s">
        <v>28</v>
      </c>
      <c r="H40" s="4" t="s">
        <v>1200</v>
      </c>
      <c r="I40" s="4" t="s">
        <v>1324</v>
      </c>
      <c r="J40" s="4" t="s">
        <v>1294</v>
      </c>
      <c r="K40" s="4" t="s">
        <v>1311</v>
      </c>
    </row>
    <row r="41" spans="1:11" ht="45" customHeight="1" x14ac:dyDescent="0.25">
      <c r="A41" s="3">
        <v>2</v>
      </c>
      <c r="B41" s="3">
        <v>4</v>
      </c>
      <c r="C41" s="9">
        <v>4.4000000000000004</v>
      </c>
      <c r="D41" s="3" t="s">
        <v>1325</v>
      </c>
      <c r="E41" s="3" t="s">
        <v>1326</v>
      </c>
      <c r="F41" s="3" t="s">
        <v>1269</v>
      </c>
      <c r="G41" s="3" t="s">
        <v>21</v>
      </c>
      <c r="H41" s="3" t="s">
        <v>1200</v>
      </c>
      <c r="I41" s="3" t="s">
        <v>1327</v>
      </c>
      <c r="J41" s="3" t="s">
        <v>1207</v>
      </c>
      <c r="K41" s="3" t="s">
        <v>1318</v>
      </c>
    </row>
    <row r="42" spans="1:11" ht="45" customHeight="1" x14ac:dyDescent="0.25">
      <c r="A42" s="4">
        <v>3</v>
      </c>
      <c r="B42" s="4">
        <v>1</v>
      </c>
      <c r="C42" s="10" t="s">
        <v>172</v>
      </c>
      <c r="D42" s="4" t="s">
        <v>1328</v>
      </c>
      <c r="E42" s="4" t="s">
        <v>1329</v>
      </c>
      <c r="F42" s="4" t="s">
        <v>1269</v>
      </c>
      <c r="G42" s="4" t="s">
        <v>28</v>
      </c>
      <c r="H42" s="4" t="s">
        <v>1200</v>
      </c>
      <c r="I42" s="4" t="s">
        <v>1330</v>
      </c>
      <c r="J42" s="4" t="s">
        <v>1207</v>
      </c>
      <c r="K42" s="4" t="s">
        <v>1318</v>
      </c>
    </row>
    <row r="43" spans="1:11" ht="45" customHeight="1" x14ac:dyDescent="0.25">
      <c r="A43" s="4">
        <v>3</v>
      </c>
      <c r="B43" s="4">
        <v>2</v>
      </c>
      <c r="C43" s="10" t="s">
        <v>176</v>
      </c>
      <c r="D43" s="4" t="s">
        <v>1331</v>
      </c>
      <c r="E43" s="4" t="s">
        <v>1332</v>
      </c>
      <c r="F43" s="4" t="s">
        <v>1269</v>
      </c>
      <c r="G43" s="4" t="s">
        <v>28</v>
      </c>
      <c r="H43" s="4" t="s">
        <v>1200</v>
      </c>
      <c r="I43" s="4" t="s">
        <v>1333</v>
      </c>
      <c r="J43" s="4" t="s">
        <v>1207</v>
      </c>
      <c r="K43" s="4" t="s">
        <v>1318</v>
      </c>
    </row>
    <row r="44" spans="1:11" ht="45" customHeight="1" x14ac:dyDescent="0.25">
      <c r="A44" s="4">
        <v>3</v>
      </c>
      <c r="B44" s="4">
        <v>3</v>
      </c>
      <c r="C44" s="10" t="s">
        <v>180</v>
      </c>
      <c r="D44" s="4" t="s">
        <v>1334</v>
      </c>
      <c r="E44" s="4" t="s">
        <v>1335</v>
      </c>
      <c r="F44" s="4" t="s">
        <v>1269</v>
      </c>
      <c r="G44" s="4" t="s">
        <v>28</v>
      </c>
      <c r="H44" s="4" t="s">
        <v>1200</v>
      </c>
      <c r="I44" s="4" t="s">
        <v>1336</v>
      </c>
      <c r="J44" s="4" t="s">
        <v>1207</v>
      </c>
      <c r="K44" s="4" t="s">
        <v>1318</v>
      </c>
    </row>
    <row r="45" spans="1:11" ht="75" customHeight="1" x14ac:dyDescent="0.25">
      <c r="A45" s="2">
        <v>1</v>
      </c>
      <c r="B45" s="2">
        <v>3</v>
      </c>
      <c r="C45" s="8">
        <v>1</v>
      </c>
      <c r="D45" s="2" t="s">
        <v>1337</v>
      </c>
      <c r="E45" s="2" t="s">
        <v>1338</v>
      </c>
      <c r="F45" s="2" t="s">
        <v>1339</v>
      </c>
      <c r="G45" s="2" t="s">
        <v>14</v>
      </c>
      <c r="H45" s="2" t="s">
        <v>1200</v>
      </c>
      <c r="I45" s="2" t="s">
        <v>1340</v>
      </c>
      <c r="J45" s="2" t="s">
        <v>1341</v>
      </c>
      <c r="K45" s="2" t="s">
        <v>189</v>
      </c>
    </row>
    <row r="46" spans="1:11" ht="45" customHeight="1" x14ac:dyDescent="0.25">
      <c r="A46" s="3">
        <v>2</v>
      </c>
      <c r="B46" s="3">
        <v>1</v>
      </c>
      <c r="C46" s="9">
        <v>1.1000000000000001</v>
      </c>
      <c r="D46" s="3" t="s">
        <v>1342</v>
      </c>
      <c r="E46" s="3" t="s">
        <v>1343</v>
      </c>
      <c r="F46" s="3" t="s">
        <v>1339</v>
      </c>
      <c r="G46" s="3" t="s">
        <v>21</v>
      </c>
      <c r="H46" s="3" t="s">
        <v>1200</v>
      </c>
      <c r="I46" s="3" t="s">
        <v>1344</v>
      </c>
      <c r="J46" s="3" t="s">
        <v>1207</v>
      </c>
      <c r="K46" s="3" t="s">
        <v>1345</v>
      </c>
    </row>
    <row r="47" spans="1:11" ht="45" customHeight="1" x14ac:dyDescent="0.25">
      <c r="A47" s="4">
        <v>3</v>
      </c>
      <c r="B47" s="4">
        <v>1</v>
      </c>
      <c r="C47" s="10" t="s">
        <v>194</v>
      </c>
      <c r="D47" s="4" t="s">
        <v>1346</v>
      </c>
      <c r="E47" s="4" t="s">
        <v>1347</v>
      </c>
      <c r="F47" s="4" t="s">
        <v>1339</v>
      </c>
      <c r="G47" s="4" t="s">
        <v>28</v>
      </c>
      <c r="H47" s="4" t="s">
        <v>1200</v>
      </c>
      <c r="I47" s="4" t="s">
        <v>1348</v>
      </c>
      <c r="J47" s="4" t="s">
        <v>1207</v>
      </c>
      <c r="K47" s="4" t="s">
        <v>1345</v>
      </c>
    </row>
    <row r="48" spans="1:11" ht="45" customHeight="1" x14ac:dyDescent="0.25">
      <c r="A48" s="4">
        <v>3</v>
      </c>
      <c r="B48" s="4">
        <v>2</v>
      </c>
      <c r="C48" s="10" t="s">
        <v>198</v>
      </c>
      <c r="D48" s="4" t="s">
        <v>1349</v>
      </c>
      <c r="E48" s="4" t="s">
        <v>1350</v>
      </c>
      <c r="F48" s="4" t="s">
        <v>1339</v>
      </c>
      <c r="G48" s="4" t="s">
        <v>28</v>
      </c>
      <c r="H48" s="4" t="s">
        <v>1200</v>
      </c>
      <c r="I48" s="4" t="s">
        <v>1351</v>
      </c>
      <c r="J48" s="4" t="s">
        <v>1207</v>
      </c>
      <c r="K48" s="4" t="s">
        <v>1345</v>
      </c>
    </row>
    <row r="49" spans="1:11" ht="45" customHeight="1" x14ac:dyDescent="0.25">
      <c r="A49" s="4">
        <v>3</v>
      </c>
      <c r="B49" s="4">
        <v>3</v>
      </c>
      <c r="C49" s="10" t="s">
        <v>202</v>
      </c>
      <c r="D49" s="4" t="s">
        <v>1352</v>
      </c>
      <c r="E49" s="4" t="s">
        <v>1353</v>
      </c>
      <c r="F49" s="4" t="s">
        <v>1339</v>
      </c>
      <c r="G49" s="4" t="s">
        <v>28</v>
      </c>
      <c r="H49" s="4" t="s">
        <v>1200</v>
      </c>
      <c r="I49" s="4" t="s">
        <v>1354</v>
      </c>
      <c r="J49" s="4" t="s">
        <v>1207</v>
      </c>
      <c r="K49" s="4" t="s">
        <v>1345</v>
      </c>
    </row>
    <row r="50" spans="1:11" ht="45" customHeight="1" x14ac:dyDescent="0.25">
      <c r="A50" s="4">
        <v>3</v>
      </c>
      <c r="B50" s="4">
        <v>4</v>
      </c>
      <c r="C50" s="10" t="s">
        <v>206</v>
      </c>
      <c r="D50" s="4" t="s">
        <v>1355</v>
      </c>
      <c r="E50" s="4" t="s">
        <v>1356</v>
      </c>
      <c r="F50" s="4" t="s">
        <v>1339</v>
      </c>
      <c r="G50" s="4" t="s">
        <v>28</v>
      </c>
      <c r="H50" s="4" t="s">
        <v>1200</v>
      </c>
      <c r="I50" s="4" t="s">
        <v>1357</v>
      </c>
      <c r="J50" s="4" t="s">
        <v>1207</v>
      </c>
      <c r="K50" s="4" t="s">
        <v>1345</v>
      </c>
    </row>
    <row r="51" spans="1:11" ht="45" customHeight="1" x14ac:dyDescent="0.25">
      <c r="A51" s="4">
        <v>3</v>
      </c>
      <c r="B51" s="4">
        <v>5</v>
      </c>
      <c r="C51" s="10" t="s">
        <v>210</v>
      </c>
      <c r="D51" s="4" t="s">
        <v>1358</v>
      </c>
      <c r="E51" s="4" t="s">
        <v>1359</v>
      </c>
      <c r="F51" s="4" t="s">
        <v>1339</v>
      </c>
      <c r="G51" s="4" t="s">
        <v>28</v>
      </c>
      <c r="H51" s="4" t="s">
        <v>1200</v>
      </c>
      <c r="I51" s="4" t="s">
        <v>1360</v>
      </c>
      <c r="J51" s="4" t="s">
        <v>1207</v>
      </c>
      <c r="K51" s="4" t="s">
        <v>1345</v>
      </c>
    </row>
    <row r="52" spans="1:11" ht="45" customHeight="1" x14ac:dyDescent="0.25">
      <c r="A52" s="3">
        <v>2</v>
      </c>
      <c r="B52" s="3">
        <v>2</v>
      </c>
      <c r="C52" s="9">
        <v>1.2</v>
      </c>
      <c r="D52" s="3" t="s">
        <v>1361</v>
      </c>
      <c r="E52" s="3" t="s">
        <v>1362</v>
      </c>
      <c r="F52" s="3" t="s">
        <v>1339</v>
      </c>
      <c r="G52" s="3" t="s">
        <v>21</v>
      </c>
      <c r="H52" s="3" t="s">
        <v>1200</v>
      </c>
      <c r="I52" s="3" t="s">
        <v>1363</v>
      </c>
      <c r="J52" s="3" t="s">
        <v>1364</v>
      </c>
      <c r="K52" s="3" t="s">
        <v>1365</v>
      </c>
    </row>
    <row r="53" spans="1:11" ht="45" customHeight="1" x14ac:dyDescent="0.25">
      <c r="A53" s="4">
        <v>3</v>
      </c>
      <c r="B53" s="4">
        <v>1</v>
      </c>
      <c r="C53" s="10" t="s">
        <v>219</v>
      </c>
      <c r="D53" s="4" t="s">
        <v>1366</v>
      </c>
      <c r="E53" s="4" t="s">
        <v>1367</v>
      </c>
      <c r="F53" s="4" t="s">
        <v>1339</v>
      </c>
      <c r="G53" s="4" t="s">
        <v>28</v>
      </c>
      <c r="H53" s="4" t="s">
        <v>1200</v>
      </c>
      <c r="I53" s="4" t="s">
        <v>1368</v>
      </c>
      <c r="J53" s="4" t="s">
        <v>1364</v>
      </c>
      <c r="K53" s="4" t="s">
        <v>1365</v>
      </c>
    </row>
    <row r="54" spans="1:11" ht="45" customHeight="1" x14ac:dyDescent="0.25">
      <c r="A54" s="4">
        <v>3</v>
      </c>
      <c r="B54" s="4">
        <v>2</v>
      </c>
      <c r="C54" s="10" t="s">
        <v>223</v>
      </c>
      <c r="D54" s="4" t="s">
        <v>1369</v>
      </c>
      <c r="E54" s="4" t="s">
        <v>1370</v>
      </c>
      <c r="F54" s="4" t="s">
        <v>1339</v>
      </c>
      <c r="G54" s="4" t="s">
        <v>28</v>
      </c>
      <c r="H54" s="4" t="s">
        <v>1200</v>
      </c>
      <c r="I54" s="4" t="s">
        <v>1371</v>
      </c>
      <c r="J54" s="4" t="s">
        <v>1364</v>
      </c>
      <c r="K54" s="4" t="s">
        <v>1365</v>
      </c>
    </row>
    <row r="55" spans="1:11" ht="45" customHeight="1" x14ac:dyDescent="0.25">
      <c r="A55" s="4">
        <v>3</v>
      </c>
      <c r="B55" s="4">
        <v>3</v>
      </c>
      <c r="C55" s="10" t="s">
        <v>227</v>
      </c>
      <c r="D55" s="4" t="s">
        <v>1372</v>
      </c>
      <c r="E55" s="4" t="s">
        <v>1373</v>
      </c>
      <c r="F55" s="4" t="s">
        <v>1339</v>
      </c>
      <c r="G55" s="4" t="s">
        <v>28</v>
      </c>
      <c r="H55" s="4" t="s">
        <v>1200</v>
      </c>
      <c r="I55" s="4" t="s">
        <v>1374</v>
      </c>
      <c r="J55" s="4" t="s">
        <v>1364</v>
      </c>
      <c r="K55" s="4" t="s">
        <v>1365</v>
      </c>
    </row>
    <row r="56" spans="1:11" ht="45" customHeight="1" x14ac:dyDescent="0.25">
      <c r="A56" s="4">
        <v>3</v>
      </c>
      <c r="B56" s="4">
        <v>4</v>
      </c>
      <c r="C56" s="10" t="s">
        <v>231</v>
      </c>
      <c r="D56" s="4" t="s">
        <v>1375</v>
      </c>
      <c r="E56" s="4" t="s">
        <v>1376</v>
      </c>
      <c r="F56" s="4" t="s">
        <v>1339</v>
      </c>
      <c r="G56" s="4" t="s">
        <v>28</v>
      </c>
      <c r="H56" s="4" t="s">
        <v>1200</v>
      </c>
      <c r="I56" s="4" t="s">
        <v>1377</v>
      </c>
      <c r="J56" s="4" t="s">
        <v>1364</v>
      </c>
      <c r="K56" s="4" t="s">
        <v>1365</v>
      </c>
    </row>
    <row r="57" spans="1:11" ht="45" customHeight="1" x14ac:dyDescent="0.25">
      <c r="A57" s="3">
        <v>2</v>
      </c>
      <c r="B57" s="3">
        <v>3</v>
      </c>
      <c r="C57" s="9">
        <v>1.3</v>
      </c>
      <c r="D57" s="3" t="s">
        <v>1378</v>
      </c>
      <c r="E57" s="3" t="s">
        <v>1379</v>
      </c>
      <c r="F57" s="3" t="s">
        <v>1339</v>
      </c>
      <c r="G57" s="3" t="s">
        <v>21</v>
      </c>
      <c r="H57" s="3" t="s">
        <v>1200</v>
      </c>
      <c r="I57" s="3" t="s">
        <v>1380</v>
      </c>
      <c r="J57" s="3" t="s">
        <v>1207</v>
      </c>
      <c r="K57" s="3" t="s">
        <v>1381</v>
      </c>
    </row>
    <row r="58" spans="1:11" ht="45" customHeight="1" x14ac:dyDescent="0.25">
      <c r="A58" s="4">
        <v>3</v>
      </c>
      <c r="B58" s="4">
        <v>1</v>
      </c>
      <c r="C58" s="10" t="s">
        <v>239</v>
      </c>
      <c r="D58" s="4" t="s">
        <v>1382</v>
      </c>
      <c r="E58" s="4" t="s">
        <v>1383</v>
      </c>
      <c r="F58" s="4" t="s">
        <v>1339</v>
      </c>
      <c r="G58" s="4" t="s">
        <v>28</v>
      </c>
      <c r="H58" s="4" t="s">
        <v>1200</v>
      </c>
      <c r="I58" s="4" t="s">
        <v>1384</v>
      </c>
      <c r="J58" s="4" t="s">
        <v>1207</v>
      </c>
      <c r="K58" s="4" t="s">
        <v>1381</v>
      </c>
    </row>
    <row r="59" spans="1:11" ht="45" customHeight="1" x14ac:dyDescent="0.25">
      <c r="A59" s="4">
        <v>3</v>
      </c>
      <c r="B59" s="4">
        <v>2</v>
      </c>
      <c r="C59" s="10" t="s">
        <v>243</v>
      </c>
      <c r="D59" s="4" t="s">
        <v>1385</v>
      </c>
      <c r="E59" s="4" t="s">
        <v>1386</v>
      </c>
      <c r="F59" s="4" t="s">
        <v>1339</v>
      </c>
      <c r="G59" s="4" t="s">
        <v>28</v>
      </c>
      <c r="H59" s="4" t="s">
        <v>1200</v>
      </c>
      <c r="I59" s="4" t="s">
        <v>1387</v>
      </c>
      <c r="J59" s="4" t="s">
        <v>1207</v>
      </c>
      <c r="K59" s="4" t="s">
        <v>1381</v>
      </c>
    </row>
    <row r="60" spans="1:11" ht="45" customHeight="1" x14ac:dyDescent="0.25">
      <c r="A60" s="3">
        <v>2</v>
      </c>
      <c r="B60" s="3">
        <v>4</v>
      </c>
      <c r="C60" s="9">
        <v>1.4</v>
      </c>
      <c r="D60" s="3" t="s">
        <v>1388</v>
      </c>
      <c r="E60" s="3" t="s">
        <v>1389</v>
      </c>
      <c r="F60" s="3" t="s">
        <v>1339</v>
      </c>
      <c r="G60" s="3" t="s">
        <v>21</v>
      </c>
      <c r="H60" s="3" t="s">
        <v>1200</v>
      </c>
      <c r="I60" s="3" t="s">
        <v>1390</v>
      </c>
      <c r="J60" s="3" t="s">
        <v>1207</v>
      </c>
      <c r="K60" s="3" t="s">
        <v>1391</v>
      </c>
    </row>
    <row r="61" spans="1:11" ht="45" customHeight="1" x14ac:dyDescent="0.25">
      <c r="A61" s="4">
        <v>3</v>
      </c>
      <c r="B61" s="4">
        <v>1</v>
      </c>
      <c r="C61" s="10" t="s">
        <v>251</v>
      </c>
      <c r="D61" s="4" t="s">
        <v>1392</v>
      </c>
      <c r="E61" s="4" t="s">
        <v>1393</v>
      </c>
      <c r="F61" s="4" t="s">
        <v>1339</v>
      </c>
      <c r="G61" s="4" t="s">
        <v>28</v>
      </c>
      <c r="H61" s="4" t="s">
        <v>1200</v>
      </c>
      <c r="I61" s="4" t="s">
        <v>1394</v>
      </c>
      <c r="J61" s="4" t="s">
        <v>1207</v>
      </c>
      <c r="K61" s="4" t="s">
        <v>1391</v>
      </c>
    </row>
    <row r="62" spans="1:11" ht="45" customHeight="1" x14ac:dyDescent="0.25">
      <c r="A62" s="4">
        <v>3</v>
      </c>
      <c r="B62" s="4">
        <v>2</v>
      </c>
      <c r="C62" s="10" t="s">
        <v>255</v>
      </c>
      <c r="D62" s="4" t="s">
        <v>1395</v>
      </c>
      <c r="E62" s="4" t="s">
        <v>1396</v>
      </c>
      <c r="F62" s="4" t="s">
        <v>1339</v>
      </c>
      <c r="G62" s="4" t="s">
        <v>28</v>
      </c>
      <c r="H62" s="4" t="s">
        <v>1200</v>
      </c>
      <c r="I62" s="4" t="s">
        <v>1397</v>
      </c>
      <c r="J62" s="4" t="s">
        <v>1207</v>
      </c>
      <c r="K62" s="4" t="s">
        <v>1391</v>
      </c>
    </row>
    <row r="63" spans="1:11" ht="45" customHeight="1" x14ac:dyDescent="0.25">
      <c r="A63" s="4">
        <v>3</v>
      </c>
      <c r="B63" s="4">
        <v>3</v>
      </c>
      <c r="C63" s="10" t="s">
        <v>259</v>
      </c>
      <c r="D63" s="4" t="s">
        <v>1398</v>
      </c>
      <c r="E63" s="4" t="s">
        <v>1399</v>
      </c>
      <c r="F63" s="4" t="s">
        <v>1339</v>
      </c>
      <c r="G63" s="4" t="s">
        <v>28</v>
      </c>
      <c r="H63" s="4" t="s">
        <v>1200</v>
      </c>
      <c r="I63" s="4" t="s">
        <v>1400</v>
      </c>
      <c r="J63" s="4" t="s">
        <v>1207</v>
      </c>
      <c r="K63" s="4" t="s">
        <v>1391</v>
      </c>
    </row>
    <row r="64" spans="1:11" ht="45" customHeight="1" x14ac:dyDescent="0.25">
      <c r="A64" s="4">
        <v>3</v>
      </c>
      <c r="B64" s="4">
        <v>4</v>
      </c>
      <c r="C64" s="10" t="s">
        <v>263</v>
      </c>
      <c r="D64" s="4" t="s">
        <v>1401</v>
      </c>
      <c r="E64" s="4" t="s">
        <v>1402</v>
      </c>
      <c r="F64" s="4" t="s">
        <v>1339</v>
      </c>
      <c r="G64" s="4" t="s">
        <v>28</v>
      </c>
      <c r="H64" s="4" t="s">
        <v>1200</v>
      </c>
      <c r="I64" s="4" t="s">
        <v>1403</v>
      </c>
      <c r="J64" s="4" t="s">
        <v>1207</v>
      </c>
      <c r="K64" s="4" t="s">
        <v>1391</v>
      </c>
    </row>
    <row r="65" spans="1:11" ht="45" customHeight="1" x14ac:dyDescent="0.25">
      <c r="A65" s="3">
        <v>2</v>
      </c>
      <c r="B65" s="3">
        <v>5</v>
      </c>
      <c r="C65" s="9">
        <v>1.5</v>
      </c>
      <c r="D65" s="3" t="s">
        <v>1404</v>
      </c>
      <c r="E65" s="3" t="s">
        <v>1405</v>
      </c>
      <c r="F65" s="3" t="s">
        <v>1339</v>
      </c>
      <c r="G65" s="3" t="s">
        <v>21</v>
      </c>
      <c r="H65" s="3" t="s">
        <v>1200</v>
      </c>
      <c r="I65" s="3" t="s">
        <v>1406</v>
      </c>
      <c r="J65" s="3" t="s">
        <v>1407</v>
      </c>
      <c r="K65" s="3" t="s">
        <v>1408</v>
      </c>
    </row>
    <row r="66" spans="1:11" ht="45" customHeight="1" x14ac:dyDescent="0.25">
      <c r="A66" s="4">
        <v>3</v>
      </c>
      <c r="B66" s="4">
        <v>1</v>
      </c>
      <c r="C66" s="10" t="s">
        <v>272</v>
      </c>
      <c r="D66" s="4" t="s">
        <v>1409</v>
      </c>
      <c r="E66" s="4" t="s">
        <v>1410</v>
      </c>
      <c r="F66" s="4" t="s">
        <v>1339</v>
      </c>
      <c r="G66" s="4" t="s">
        <v>28</v>
      </c>
      <c r="H66" s="4" t="s">
        <v>1200</v>
      </c>
      <c r="I66" s="4" t="s">
        <v>1411</v>
      </c>
      <c r="J66" s="4" t="s">
        <v>1407</v>
      </c>
      <c r="K66" s="4" t="s">
        <v>1408</v>
      </c>
    </row>
    <row r="67" spans="1:11" ht="45" customHeight="1" x14ac:dyDescent="0.25">
      <c r="A67" s="4">
        <v>3</v>
      </c>
      <c r="B67" s="4">
        <v>2</v>
      </c>
      <c r="C67" s="10" t="s">
        <v>276</v>
      </c>
      <c r="D67" s="4" t="s">
        <v>1412</v>
      </c>
      <c r="E67" s="4" t="s">
        <v>1413</v>
      </c>
      <c r="F67" s="4" t="s">
        <v>1339</v>
      </c>
      <c r="G67" s="4" t="s">
        <v>28</v>
      </c>
      <c r="H67" s="4" t="s">
        <v>1200</v>
      </c>
      <c r="I67" s="4" t="s">
        <v>1414</v>
      </c>
      <c r="J67" s="4" t="s">
        <v>1407</v>
      </c>
      <c r="K67" s="4" t="s">
        <v>1408</v>
      </c>
    </row>
    <row r="68" spans="1:11" ht="45" customHeight="1" x14ac:dyDescent="0.25">
      <c r="A68" s="4">
        <v>3</v>
      </c>
      <c r="B68" s="4">
        <v>3</v>
      </c>
      <c r="C68" s="10" t="s">
        <v>280</v>
      </c>
      <c r="D68" s="4" t="s">
        <v>1415</v>
      </c>
      <c r="E68" s="4" t="s">
        <v>1416</v>
      </c>
      <c r="F68" s="4" t="s">
        <v>1339</v>
      </c>
      <c r="G68" s="4" t="s">
        <v>28</v>
      </c>
      <c r="H68" s="4" t="s">
        <v>1200</v>
      </c>
      <c r="I68" s="4" t="s">
        <v>1417</v>
      </c>
      <c r="J68" s="4" t="s">
        <v>1407</v>
      </c>
      <c r="K68" s="4" t="s">
        <v>1408</v>
      </c>
    </row>
    <row r="69" spans="1:11" ht="45" customHeight="1" x14ac:dyDescent="0.25">
      <c r="A69" s="3">
        <v>2</v>
      </c>
      <c r="B69" s="3">
        <v>6</v>
      </c>
      <c r="C69" s="9">
        <v>1.6</v>
      </c>
      <c r="D69" s="3" t="s">
        <v>1418</v>
      </c>
      <c r="E69" s="3" t="s">
        <v>1419</v>
      </c>
      <c r="F69" s="3" t="s">
        <v>1339</v>
      </c>
      <c r="G69" s="3" t="s">
        <v>21</v>
      </c>
      <c r="H69" s="3" t="s">
        <v>1200</v>
      </c>
      <c r="I69" s="3" t="s">
        <v>1420</v>
      </c>
      <c r="J69" s="3" t="s">
        <v>1421</v>
      </c>
      <c r="K69" s="3" t="s">
        <v>1422</v>
      </c>
    </row>
    <row r="70" spans="1:11" ht="45" customHeight="1" x14ac:dyDescent="0.25">
      <c r="A70" s="4">
        <v>3</v>
      </c>
      <c r="B70" s="4">
        <v>1</v>
      </c>
      <c r="C70" s="10" t="s">
        <v>289</v>
      </c>
      <c r="D70" s="4" t="s">
        <v>1423</v>
      </c>
      <c r="E70" s="4" t="s">
        <v>1424</v>
      </c>
      <c r="F70" s="4" t="s">
        <v>1339</v>
      </c>
      <c r="G70" s="4" t="s">
        <v>28</v>
      </c>
      <c r="H70" s="4" t="s">
        <v>1200</v>
      </c>
      <c r="I70" s="4" t="s">
        <v>1425</v>
      </c>
      <c r="J70" s="4" t="s">
        <v>1421</v>
      </c>
      <c r="K70" s="4" t="s">
        <v>1422</v>
      </c>
    </row>
    <row r="71" spans="1:11" ht="45" customHeight="1" x14ac:dyDescent="0.25">
      <c r="A71" s="4">
        <v>3</v>
      </c>
      <c r="B71" s="4">
        <v>2</v>
      </c>
      <c r="C71" s="10" t="s">
        <v>293</v>
      </c>
      <c r="D71" s="4" t="s">
        <v>1426</v>
      </c>
      <c r="E71" s="4" t="s">
        <v>1427</v>
      </c>
      <c r="F71" s="4" t="s">
        <v>1339</v>
      </c>
      <c r="G71" s="4" t="s">
        <v>28</v>
      </c>
      <c r="H71" s="4" t="s">
        <v>1200</v>
      </c>
      <c r="I71" s="4" t="s">
        <v>1428</v>
      </c>
      <c r="J71" s="4" t="s">
        <v>1421</v>
      </c>
      <c r="K71" s="4" t="s">
        <v>1422</v>
      </c>
    </row>
    <row r="72" spans="1:11" ht="75" customHeight="1" x14ac:dyDescent="0.25">
      <c r="A72" s="2">
        <v>1</v>
      </c>
      <c r="B72" s="2">
        <v>4</v>
      </c>
      <c r="C72" s="8">
        <v>2</v>
      </c>
      <c r="D72" s="2" t="s">
        <v>1429</v>
      </c>
      <c r="E72" s="2" t="s">
        <v>1430</v>
      </c>
      <c r="F72" s="2" t="s">
        <v>1431</v>
      </c>
      <c r="G72" s="2" t="s">
        <v>14</v>
      </c>
      <c r="H72" s="2" t="s">
        <v>1200</v>
      </c>
      <c r="I72" s="2" t="s">
        <v>1432</v>
      </c>
      <c r="J72" s="2" t="s">
        <v>1433</v>
      </c>
      <c r="K72" s="2" t="s">
        <v>1434</v>
      </c>
    </row>
    <row r="73" spans="1:11" ht="45" customHeight="1" x14ac:dyDescent="0.25">
      <c r="A73" s="3">
        <v>2</v>
      </c>
      <c r="B73" s="3">
        <v>1</v>
      </c>
      <c r="C73" s="9">
        <v>2.1</v>
      </c>
      <c r="D73" s="3" t="s">
        <v>1435</v>
      </c>
      <c r="E73" s="3" t="s">
        <v>1436</v>
      </c>
      <c r="F73" s="3" t="s">
        <v>1431</v>
      </c>
      <c r="G73" s="3" t="s">
        <v>21</v>
      </c>
      <c r="H73" s="3" t="s">
        <v>1200</v>
      </c>
      <c r="I73" s="3" t="s">
        <v>1437</v>
      </c>
      <c r="J73" s="3" t="s">
        <v>1207</v>
      </c>
      <c r="K73" s="3" t="s">
        <v>1438</v>
      </c>
    </row>
    <row r="74" spans="1:11" ht="45" customHeight="1" x14ac:dyDescent="0.25">
      <c r="A74" s="4">
        <v>3</v>
      </c>
      <c r="B74" s="4">
        <v>1</v>
      </c>
      <c r="C74" s="10" t="s">
        <v>307</v>
      </c>
      <c r="D74" s="4" t="s">
        <v>1439</v>
      </c>
      <c r="E74" s="4" t="s">
        <v>1440</v>
      </c>
      <c r="F74" s="4" t="s">
        <v>1431</v>
      </c>
      <c r="G74" s="4" t="s">
        <v>28</v>
      </c>
      <c r="H74" s="4" t="s">
        <v>1200</v>
      </c>
      <c r="I74" s="4" t="s">
        <v>1441</v>
      </c>
      <c r="J74" s="4" t="s">
        <v>1207</v>
      </c>
      <c r="K74" s="4" t="s">
        <v>1438</v>
      </c>
    </row>
    <row r="75" spans="1:11" ht="45" customHeight="1" x14ac:dyDescent="0.25">
      <c r="A75" s="4">
        <v>3</v>
      </c>
      <c r="B75" s="4">
        <v>2</v>
      </c>
      <c r="C75" s="10" t="s">
        <v>311</v>
      </c>
      <c r="D75" s="4" t="s">
        <v>1442</v>
      </c>
      <c r="E75" s="4" t="s">
        <v>1443</v>
      </c>
      <c r="F75" s="4" t="s">
        <v>1431</v>
      </c>
      <c r="G75" s="4" t="s">
        <v>28</v>
      </c>
      <c r="H75" s="4" t="s">
        <v>1200</v>
      </c>
      <c r="I75" s="4" t="s">
        <v>1444</v>
      </c>
      <c r="J75" s="4" t="s">
        <v>1207</v>
      </c>
      <c r="K75" s="4" t="s">
        <v>1438</v>
      </c>
    </row>
    <row r="76" spans="1:11" ht="45" customHeight="1" x14ac:dyDescent="0.25">
      <c r="A76" s="4">
        <v>3</v>
      </c>
      <c r="B76" s="4">
        <v>3</v>
      </c>
      <c r="C76" s="10" t="s">
        <v>315</v>
      </c>
      <c r="D76" s="4" t="s">
        <v>1445</v>
      </c>
      <c r="E76" s="4" t="s">
        <v>1446</v>
      </c>
      <c r="F76" s="4" t="s">
        <v>1431</v>
      </c>
      <c r="G76" s="4" t="s">
        <v>28</v>
      </c>
      <c r="H76" s="4" t="s">
        <v>1200</v>
      </c>
      <c r="I76" s="4" t="s">
        <v>1447</v>
      </c>
      <c r="J76" s="4" t="s">
        <v>1207</v>
      </c>
      <c r="K76" s="4" t="s">
        <v>1438</v>
      </c>
    </row>
    <row r="77" spans="1:11" ht="45" customHeight="1" x14ac:dyDescent="0.25">
      <c r="A77" s="4">
        <v>3</v>
      </c>
      <c r="B77" s="4">
        <v>4</v>
      </c>
      <c r="C77" s="10" t="s">
        <v>319</v>
      </c>
      <c r="D77" s="4" t="s">
        <v>1448</v>
      </c>
      <c r="E77" s="4" t="s">
        <v>1449</v>
      </c>
      <c r="F77" s="4" t="s">
        <v>1431</v>
      </c>
      <c r="G77" s="4" t="s">
        <v>28</v>
      </c>
      <c r="H77" s="4" t="s">
        <v>1200</v>
      </c>
      <c r="I77" s="4" t="s">
        <v>1450</v>
      </c>
      <c r="J77" s="4" t="s">
        <v>1207</v>
      </c>
      <c r="K77" s="4" t="s">
        <v>1438</v>
      </c>
    </row>
    <row r="78" spans="1:11" ht="45" customHeight="1" x14ac:dyDescent="0.25">
      <c r="A78" s="3">
        <v>2</v>
      </c>
      <c r="B78" s="3">
        <v>2</v>
      </c>
      <c r="C78" s="9">
        <v>2.2000000000000002</v>
      </c>
      <c r="D78" s="3" t="s">
        <v>323</v>
      </c>
      <c r="E78" s="3" t="s">
        <v>1451</v>
      </c>
      <c r="F78" s="3" t="s">
        <v>1431</v>
      </c>
      <c r="G78" s="3" t="s">
        <v>21</v>
      </c>
      <c r="H78" s="3" t="s">
        <v>1200</v>
      </c>
      <c r="I78" s="3" t="s">
        <v>1452</v>
      </c>
      <c r="J78" s="3" t="s">
        <v>1207</v>
      </c>
      <c r="K78" s="3" t="s">
        <v>1453</v>
      </c>
    </row>
    <row r="79" spans="1:11" ht="45" customHeight="1" x14ac:dyDescent="0.25">
      <c r="A79" s="4">
        <v>3</v>
      </c>
      <c r="B79" s="4">
        <v>1</v>
      </c>
      <c r="C79" s="10" t="s">
        <v>327</v>
      </c>
      <c r="D79" s="4" t="s">
        <v>1454</v>
      </c>
      <c r="E79" s="4" t="s">
        <v>1455</v>
      </c>
      <c r="F79" s="4" t="s">
        <v>1431</v>
      </c>
      <c r="G79" s="4" t="s">
        <v>28</v>
      </c>
      <c r="H79" s="4" t="s">
        <v>1200</v>
      </c>
      <c r="I79" s="4" t="s">
        <v>1456</v>
      </c>
      <c r="J79" s="4" t="s">
        <v>1207</v>
      </c>
      <c r="K79" s="4" t="s">
        <v>1453</v>
      </c>
    </row>
    <row r="80" spans="1:11" ht="45" customHeight="1" x14ac:dyDescent="0.25">
      <c r="A80" s="4">
        <v>3</v>
      </c>
      <c r="B80" s="4">
        <v>2</v>
      </c>
      <c r="C80" s="10" t="s">
        <v>331</v>
      </c>
      <c r="D80" s="4" t="s">
        <v>1457</v>
      </c>
      <c r="E80" s="4" t="s">
        <v>1458</v>
      </c>
      <c r="F80" s="4" t="s">
        <v>1431</v>
      </c>
      <c r="G80" s="4" t="s">
        <v>28</v>
      </c>
      <c r="H80" s="4" t="s">
        <v>1200</v>
      </c>
      <c r="I80" s="4" t="s">
        <v>1459</v>
      </c>
      <c r="J80" s="4" t="s">
        <v>1207</v>
      </c>
      <c r="K80" s="4" t="s">
        <v>1453</v>
      </c>
    </row>
    <row r="81" spans="1:11" ht="45" customHeight="1" x14ac:dyDescent="0.25">
      <c r="A81" s="4">
        <v>3</v>
      </c>
      <c r="B81" s="4">
        <v>3</v>
      </c>
      <c r="C81" s="10" t="s">
        <v>335</v>
      </c>
      <c r="D81" s="4" t="s">
        <v>1460</v>
      </c>
      <c r="E81" s="4" t="s">
        <v>1461</v>
      </c>
      <c r="F81" s="4" t="s">
        <v>1431</v>
      </c>
      <c r="G81" s="4" t="s">
        <v>28</v>
      </c>
      <c r="H81" s="4" t="s">
        <v>1200</v>
      </c>
      <c r="I81" s="4" t="s">
        <v>1462</v>
      </c>
      <c r="J81" s="4" t="s">
        <v>1207</v>
      </c>
      <c r="K81" s="4" t="s">
        <v>1453</v>
      </c>
    </row>
    <row r="82" spans="1:11" ht="45" customHeight="1" x14ac:dyDescent="0.25">
      <c r="A82" s="4">
        <v>3</v>
      </c>
      <c r="B82" s="4">
        <v>4</v>
      </c>
      <c r="C82" s="10" t="s">
        <v>339</v>
      </c>
      <c r="D82" s="4" t="s">
        <v>1463</v>
      </c>
      <c r="E82" s="4" t="s">
        <v>1464</v>
      </c>
      <c r="F82" s="4" t="s">
        <v>1431</v>
      </c>
      <c r="G82" s="4" t="s">
        <v>28</v>
      </c>
      <c r="H82" s="4" t="s">
        <v>1200</v>
      </c>
      <c r="I82" s="4" t="s">
        <v>1465</v>
      </c>
      <c r="J82" s="4" t="s">
        <v>1207</v>
      </c>
      <c r="K82" s="4" t="s">
        <v>1453</v>
      </c>
    </row>
    <row r="83" spans="1:11" ht="45" customHeight="1" x14ac:dyDescent="0.25">
      <c r="A83" s="3">
        <v>2</v>
      </c>
      <c r="B83" s="3">
        <v>3</v>
      </c>
      <c r="C83" s="9">
        <v>2.2999999999999998</v>
      </c>
      <c r="D83" s="3" t="s">
        <v>1466</v>
      </c>
      <c r="E83" s="3" t="s">
        <v>1467</v>
      </c>
      <c r="F83" s="3" t="s">
        <v>1431</v>
      </c>
      <c r="G83" s="3" t="s">
        <v>21</v>
      </c>
      <c r="H83" s="3" t="s">
        <v>1200</v>
      </c>
      <c r="I83" s="3" t="s">
        <v>1468</v>
      </c>
      <c r="J83" s="3" t="s">
        <v>1469</v>
      </c>
      <c r="K83" s="3" t="s">
        <v>1470</v>
      </c>
    </row>
    <row r="84" spans="1:11" ht="45" customHeight="1" x14ac:dyDescent="0.25">
      <c r="A84" s="4">
        <v>3</v>
      </c>
      <c r="B84" s="4">
        <v>1</v>
      </c>
      <c r="C84" s="10" t="s">
        <v>348</v>
      </c>
      <c r="D84" s="4" t="s">
        <v>1471</v>
      </c>
      <c r="E84" s="4" t="s">
        <v>1472</v>
      </c>
      <c r="F84" s="4" t="s">
        <v>1431</v>
      </c>
      <c r="G84" s="4" t="s">
        <v>28</v>
      </c>
      <c r="H84" s="4" t="s">
        <v>1200</v>
      </c>
      <c r="I84" s="4" t="s">
        <v>1473</v>
      </c>
      <c r="J84" s="4" t="s">
        <v>1469</v>
      </c>
      <c r="K84" s="4" t="s">
        <v>1470</v>
      </c>
    </row>
    <row r="85" spans="1:11" ht="45" customHeight="1" x14ac:dyDescent="0.25">
      <c r="A85" s="4">
        <v>3</v>
      </c>
      <c r="B85" s="4">
        <v>2</v>
      </c>
      <c r="C85" s="10" t="s">
        <v>352</v>
      </c>
      <c r="D85" s="4" t="s">
        <v>1474</v>
      </c>
      <c r="E85" s="4" t="s">
        <v>1475</v>
      </c>
      <c r="F85" s="4" t="s">
        <v>1431</v>
      </c>
      <c r="G85" s="4" t="s">
        <v>28</v>
      </c>
      <c r="H85" s="4" t="s">
        <v>1200</v>
      </c>
      <c r="I85" s="4" t="s">
        <v>1476</v>
      </c>
      <c r="J85" s="4" t="s">
        <v>1469</v>
      </c>
      <c r="K85" s="4" t="s">
        <v>1470</v>
      </c>
    </row>
    <row r="86" spans="1:11" ht="45" customHeight="1" x14ac:dyDescent="0.25">
      <c r="A86" s="3">
        <v>2</v>
      </c>
      <c r="B86" s="3">
        <v>4</v>
      </c>
      <c r="C86" s="9">
        <v>2.4</v>
      </c>
      <c r="D86" s="3" t="s">
        <v>1477</v>
      </c>
      <c r="E86" s="3" t="s">
        <v>1478</v>
      </c>
      <c r="F86" s="3" t="s">
        <v>1431</v>
      </c>
      <c r="G86" s="3" t="s">
        <v>21</v>
      </c>
      <c r="H86" s="3" t="s">
        <v>1200</v>
      </c>
      <c r="I86" s="3" t="s">
        <v>1479</v>
      </c>
      <c r="J86" s="3" t="s">
        <v>1294</v>
      </c>
      <c r="K86" s="3" t="s">
        <v>1480</v>
      </c>
    </row>
    <row r="87" spans="1:11" ht="45" customHeight="1" x14ac:dyDescent="0.25">
      <c r="A87" s="4">
        <v>3</v>
      </c>
      <c r="B87" s="4">
        <v>1</v>
      </c>
      <c r="C87" s="10" t="s">
        <v>360</v>
      </c>
      <c r="D87" s="4" t="s">
        <v>1481</v>
      </c>
      <c r="E87" s="4" t="s">
        <v>1482</v>
      </c>
      <c r="F87" s="4" t="s">
        <v>1431</v>
      </c>
      <c r="G87" s="4" t="s">
        <v>28</v>
      </c>
      <c r="H87" s="4" t="s">
        <v>1200</v>
      </c>
      <c r="I87" s="4" t="s">
        <v>1483</v>
      </c>
      <c r="J87" s="4" t="s">
        <v>1294</v>
      </c>
      <c r="K87" s="4" t="s">
        <v>1480</v>
      </c>
    </row>
    <row r="88" spans="1:11" ht="45" customHeight="1" x14ac:dyDescent="0.25">
      <c r="A88" s="4">
        <v>3</v>
      </c>
      <c r="B88" s="4">
        <v>2</v>
      </c>
      <c r="C88" s="10" t="s">
        <v>364</v>
      </c>
      <c r="D88" s="4" t="s">
        <v>1484</v>
      </c>
      <c r="E88" s="4" t="s">
        <v>1485</v>
      </c>
      <c r="F88" s="4" t="s">
        <v>1431</v>
      </c>
      <c r="G88" s="4" t="s">
        <v>28</v>
      </c>
      <c r="H88" s="4" t="s">
        <v>1200</v>
      </c>
      <c r="I88" s="4" t="s">
        <v>1486</v>
      </c>
      <c r="J88" s="4" t="s">
        <v>1294</v>
      </c>
      <c r="K88" s="4" t="s">
        <v>1480</v>
      </c>
    </row>
    <row r="89" spans="1:11" ht="45" customHeight="1" x14ac:dyDescent="0.25">
      <c r="A89" s="3">
        <v>2</v>
      </c>
      <c r="B89" s="3">
        <v>5</v>
      </c>
      <c r="C89" s="9">
        <v>2.5</v>
      </c>
      <c r="D89" s="3" t="s">
        <v>1487</v>
      </c>
      <c r="E89" s="3" t="s">
        <v>1488</v>
      </c>
      <c r="F89" s="3" t="s">
        <v>1431</v>
      </c>
      <c r="G89" s="3" t="s">
        <v>21</v>
      </c>
      <c r="H89" s="3" t="s">
        <v>1200</v>
      </c>
      <c r="I89" s="3" t="s">
        <v>1489</v>
      </c>
      <c r="J89" s="3" t="s">
        <v>1207</v>
      </c>
      <c r="K89" s="3" t="s">
        <v>1490</v>
      </c>
    </row>
    <row r="90" spans="1:11" ht="45" customHeight="1" x14ac:dyDescent="0.25">
      <c r="A90" s="4">
        <v>3</v>
      </c>
      <c r="B90" s="4">
        <v>1</v>
      </c>
      <c r="C90" s="10" t="s">
        <v>372</v>
      </c>
      <c r="D90" s="4" t="s">
        <v>1491</v>
      </c>
      <c r="E90" s="4" t="s">
        <v>1492</v>
      </c>
      <c r="F90" s="4" t="s">
        <v>1431</v>
      </c>
      <c r="G90" s="4" t="s">
        <v>28</v>
      </c>
      <c r="H90" s="4" t="s">
        <v>1200</v>
      </c>
      <c r="I90" s="4" t="s">
        <v>1493</v>
      </c>
      <c r="J90" s="4" t="s">
        <v>1207</v>
      </c>
      <c r="K90" s="4" t="s">
        <v>1490</v>
      </c>
    </row>
    <row r="91" spans="1:11" ht="45" customHeight="1" x14ac:dyDescent="0.25">
      <c r="A91" s="4">
        <v>3</v>
      </c>
      <c r="B91" s="4">
        <v>2</v>
      </c>
      <c r="C91" s="10" t="s">
        <v>376</v>
      </c>
      <c r="D91" s="4" t="s">
        <v>1494</v>
      </c>
      <c r="E91" s="4" t="s">
        <v>1495</v>
      </c>
      <c r="F91" s="4" t="s">
        <v>1431</v>
      </c>
      <c r="G91" s="4" t="s">
        <v>28</v>
      </c>
      <c r="H91" s="4" t="s">
        <v>1200</v>
      </c>
      <c r="I91" s="4" t="s">
        <v>1496</v>
      </c>
      <c r="J91" s="4" t="s">
        <v>1207</v>
      </c>
      <c r="K91" s="4" t="s">
        <v>1490</v>
      </c>
    </row>
    <row r="92" spans="1:11" ht="60" customHeight="1" x14ac:dyDescent="0.25">
      <c r="A92" s="2">
        <v>1</v>
      </c>
      <c r="B92" s="2">
        <v>5</v>
      </c>
      <c r="C92" s="8">
        <v>13</v>
      </c>
      <c r="D92" s="2" t="s">
        <v>1497</v>
      </c>
      <c r="E92" s="2" t="s">
        <v>1498</v>
      </c>
      <c r="F92" s="2" t="s">
        <v>1499</v>
      </c>
      <c r="G92" s="2" t="s">
        <v>14</v>
      </c>
      <c r="H92" s="2" t="s">
        <v>1200</v>
      </c>
      <c r="I92" s="2" t="s">
        <v>1500</v>
      </c>
      <c r="J92" s="2" t="s">
        <v>1501</v>
      </c>
      <c r="K92" s="2" t="s">
        <v>1502</v>
      </c>
    </row>
    <row r="93" spans="1:11" ht="45" customHeight="1" x14ac:dyDescent="0.25">
      <c r="A93" s="3">
        <v>2</v>
      </c>
      <c r="B93" s="3">
        <v>1</v>
      </c>
      <c r="C93" s="9">
        <v>13.1</v>
      </c>
      <c r="D93" s="3" t="s">
        <v>1503</v>
      </c>
      <c r="E93" s="3" t="s">
        <v>1504</v>
      </c>
      <c r="F93" s="3" t="s">
        <v>1499</v>
      </c>
      <c r="G93" s="3" t="s">
        <v>21</v>
      </c>
      <c r="H93" s="3" t="s">
        <v>1200</v>
      </c>
      <c r="I93" s="3" t="s">
        <v>1505</v>
      </c>
      <c r="J93" s="3" t="s">
        <v>1506</v>
      </c>
      <c r="K93" s="3" t="s">
        <v>1507</v>
      </c>
    </row>
    <row r="94" spans="1:11" ht="45" customHeight="1" x14ac:dyDescent="0.25">
      <c r="A94" s="4">
        <v>3</v>
      </c>
      <c r="B94" s="4">
        <v>1</v>
      </c>
      <c r="C94" s="10" t="s">
        <v>391</v>
      </c>
      <c r="D94" s="4" t="s">
        <v>1508</v>
      </c>
      <c r="E94" s="4" t="s">
        <v>1509</v>
      </c>
      <c r="F94" s="4" t="s">
        <v>1499</v>
      </c>
      <c r="G94" s="4" t="s">
        <v>28</v>
      </c>
      <c r="H94" s="4" t="s">
        <v>1200</v>
      </c>
      <c r="I94" s="4" t="s">
        <v>1510</v>
      </c>
      <c r="J94" s="4" t="s">
        <v>1506</v>
      </c>
      <c r="K94" s="4" t="s">
        <v>1507</v>
      </c>
    </row>
    <row r="95" spans="1:11" ht="45" customHeight="1" x14ac:dyDescent="0.25">
      <c r="A95" s="4">
        <v>3</v>
      </c>
      <c r="B95" s="4">
        <v>2</v>
      </c>
      <c r="C95" s="10" t="s">
        <v>395</v>
      </c>
      <c r="D95" s="4" t="s">
        <v>1511</v>
      </c>
      <c r="E95" s="4" t="s">
        <v>1512</v>
      </c>
      <c r="F95" s="4" t="s">
        <v>1499</v>
      </c>
      <c r="G95" s="4" t="s">
        <v>28</v>
      </c>
      <c r="H95" s="4" t="s">
        <v>1200</v>
      </c>
      <c r="I95" s="4" t="s">
        <v>1513</v>
      </c>
      <c r="J95" s="4" t="s">
        <v>1506</v>
      </c>
      <c r="K95" s="4" t="s">
        <v>1507</v>
      </c>
    </row>
    <row r="96" spans="1:11" ht="45" customHeight="1" x14ac:dyDescent="0.25">
      <c r="A96" s="4">
        <v>3</v>
      </c>
      <c r="B96" s="4">
        <v>3</v>
      </c>
      <c r="C96" s="10" t="s">
        <v>399</v>
      </c>
      <c r="D96" s="4" t="s">
        <v>1514</v>
      </c>
      <c r="E96" s="4" t="s">
        <v>1515</v>
      </c>
      <c r="F96" s="4" t="s">
        <v>1499</v>
      </c>
      <c r="G96" s="4" t="s">
        <v>28</v>
      </c>
      <c r="H96" s="4" t="s">
        <v>1200</v>
      </c>
      <c r="I96" s="4" t="s">
        <v>1516</v>
      </c>
      <c r="J96" s="4" t="s">
        <v>1506</v>
      </c>
      <c r="K96" s="4" t="s">
        <v>1507</v>
      </c>
    </row>
    <row r="97" spans="1:11" ht="45" customHeight="1" x14ac:dyDescent="0.25">
      <c r="A97" s="4">
        <v>3</v>
      </c>
      <c r="B97" s="4">
        <v>4</v>
      </c>
      <c r="C97" s="10" t="s">
        <v>403</v>
      </c>
      <c r="D97" s="4" t="s">
        <v>1517</v>
      </c>
      <c r="E97" s="4" t="s">
        <v>1518</v>
      </c>
      <c r="F97" s="4" t="s">
        <v>1499</v>
      </c>
      <c r="G97" s="4" t="s">
        <v>28</v>
      </c>
      <c r="H97" s="4" t="s">
        <v>1200</v>
      </c>
      <c r="I97" s="4" t="s">
        <v>1519</v>
      </c>
      <c r="J97" s="4" t="s">
        <v>1506</v>
      </c>
      <c r="K97" s="4" t="s">
        <v>1520</v>
      </c>
    </row>
    <row r="98" spans="1:11" ht="45" customHeight="1" x14ac:dyDescent="0.25">
      <c r="A98" s="4">
        <v>3</v>
      </c>
      <c r="B98" s="4">
        <v>5</v>
      </c>
      <c r="C98" s="10" t="s">
        <v>408</v>
      </c>
      <c r="D98" s="4" t="s">
        <v>1521</v>
      </c>
      <c r="E98" s="4" t="s">
        <v>1522</v>
      </c>
      <c r="F98" s="4" t="s">
        <v>1499</v>
      </c>
      <c r="G98" s="4" t="s">
        <v>28</v>
      </c>
      <c r="H98" s="4" t="s">
        <v>1200</v>
      </c>
      <c r="I98" s="4" t="s">
        <v>1523</v>
      </c>
      <c r="J98" s="4" t="s">
        <v>1506</v>
      </c>
      <c r="K98" s="4" t="s">
        <v>1520</v>
      </c>
    </row>
    <row r="99" spans="1:11" ht="45" customHeight="1" x14ac:dyDescent="0.25">
      <c r="A99" s="3">
        <v>2</v>
      </c>
      <c r="B99" s="3">
        <v>2</v>
      </c>
      <c r="C99" s="9">
        <v>13.2</v>
      </c>
      <c r="D99" s="3" t="s">
        <v>1524</v>
      </c>
      <c r="E99" s="3" t="s">
        <v>1525</v>
      </c>
      <c r="F99" s="3" t="s">
        <v>1499</v>
      </c>
      <c r="G99" s="3" t="s">
        <v>21</v>
      </c>
      <c r="H99" s="3" t="s">
        <v>1200</v>
      </c>
      <c r="I99" s="3" t="s">
        <v>1526</v>
      </c>
      <c r="J99" s="3" t="s">
        <v>1207</v>
      </c>
      <c r="K99" s="3" t="s">
        <v>1527</v>
      </c>
    </row>
    <row r="100" spans="1:11" ht="45" customHeight="1" x14ac:dyDescent="0.25">
      <c r="A100" s="4">
        <v>3</v>
      </c>
      <c r="B100" s="4">
        <v>1</v>
      </c>
      <c r="C100" s="10" t="s">
        <v>416</v>
      </c>
      <c r="D100" s="4" t="s">
        <v>1528</v>
      </c>
      <c r="E100" s="4" t="s">
        <v>1529</v>
      </c>
      <c r="F100" s="4" t="s">
        <v>1499</v>
      </c>
      <c r="G100" s="4" t="s">
        <v>28</v>
      </c>
      <c r="H100" s="4" t="s">
        <v>1200</v>
      </c>
      <c r="I100" s="4" t="s">
        <v>1530</v>
      </c>
      <c r="J100" s="4" t="s">
        <v>1207</v>
      </c>
      <c r="K100" s="4" t="s">
        <v>1527</v>
      </c>
    </row>
    <row r="101" spans="1:11" ht="45" customHeight="1" x14ac:dyDescent="0.25">
      <c r="A101" s="4">
        <v>3</v>
      </c>
      <c r="B101" s="4">
        <v>2</v>
      </c>
      <c r="C101" s="10" t="s">
        <v>420</v>
      </c>
      <c r="D101" s="4" t="s">
        <v>1531</v>
      </c>
      <c r="E101" s="4" t="s">
        <v>1532</v>
      </c>
      <c r="F101" s="4" t="s">
        <v>1499</v>
      </c>
      <c r="G101" s="4" t="s">
        <v>28</v>
      </c>
      <c r="H101" s="4" t="s">
        <v>1200</v>
      </c>
      <c r="I101" s="4" t="s">
        <v>1533</v>
      </c>
      <c r="J101" s="4" t="s">
        <v>1207</v>
      </c>
      <c r="K101" s="4" t="s">
        <v>1534</v>
      </c>
    </row>
    <row r="102" spans="1:11" ht="45" customHeight="1" x14ac:dyDescent="0.25">
      <c r="A102" s="4">
        <v>3</v>
      </c>
      <c r="B102" s="4">
        <v>3</v>
      </c>
      <c r="C102" s="10" t="s">
        <v>425</v>
      </c>
      <c r="D102" s="4" t="s">
        <v>1535</v>
      </c>
      <c r="E102" s="4" t="s">
        <v>1536</v>
      </c>
      <c r="F102" s="4" t="s">
        <v>1499</v>
      </c>
      <c r="G102" s="4" t="s">
        <v>28</v>
      </c>
      <c r="H102" s="4" t="s">
        <v>1200</v>
      </c>
      <c r="I102" s="4" t="s">
        <v>1537</v>
      </c>
      <c r="J102" s="4" t="s">
        <v>1207</v>
      </c>
      <c r="K102" s="4" t="s">
        <v>1538</v>
      </c>
    </row>
    <row r="103" spans="1:11" ht="45" customHeight="1" x14ac:dyDescent="0.25">
      <c r="A103" s="3">
        <v>2</v>
      </c>
      <c r="B103" s="3">
        <v>3</v>
      </c>
      <c r="C103" s="9">
        <v>13.3</v>
      </c>
      <c r="D103" s="3" t="s">
        <v>1539</v>
      </c>
      <c r="E103" s="3" t="s">
        <v>1540</v>
      </c>
      <c r="F103" s="3" t="s">
        <v>1499</v>
      </c>
      <c r="G103" s="3" t="s">
        <v>21</v>
      </c>
      <c r="H103" s="3" t="s">
        <v>1200</v>
      </c>
      <c r="I103" s="3" t="s">
        <v>1541</v>
      </c>
      <c r="J103" s="3" t="s">
        <v>1542</v>
      </c>
      <c r="K103" s="3" t="s">
        <v>1543</v>
      </c>
    </row>
    <row r="104" spans="1:11" ht="45" customHeight="1" x14ac:dyDescent="0.25">
      <c r="A104" s="4">
        <v>3</v>
      </c>
      <c r="B104" s="4">
        <v>1</v>
      </c>
      <c r="C104" s="10" t="s">
        <v>435</v>
      </c>
      <c r="D104" s="4" t="s">
        <v>1544</v>
      </c>
      <c r="E104" s="4" t="s">
        <v>1545</v>
      </c>
      <c r="F104" s="4" t="s">
        <v>1499</v>
      </c>
      <c r="G104" s="4" t="s">
        <v>28</v>
      </c>
      <c r="H104" s="4" t="s">
        <v>1200</v>
      </c>
      <c r="I104" s="4" t="s">
        <v>1546</v>
      </c>
      <c r="J104" s="4" t="s">
        <v>1542</v>
      </c>
      <c r="K104" s="4" t="s">
        <v>1543</v>
      </c>
    </row>
    <row r="105" spans="1:11" ht="45" customHeight="1" x14ac:dyDescent="0.25">
      <c r="A105" s="4">
        <v>3</v>
      </c>
      <c r="B105" s="4">
        <v>2</v>
      </c>
      <c r="C105" s="10" t="s">
        <v>439</v>
      </c>
      <c r="D105" s="4" t="s">
        <v>1547</v>
      </c>
      <c r="E105" s="4" t="s">
        <v>1548</v>
      </c>
      <c r="F105" s="4" t="s">
        <v>1499</v>
      </c>
      <c r="G105" s="4" t="s">
        <v>28</v>
      </c>
      <c r="H105" s="4" t="s">
        <v>1200</v>
      </c>
      <c r="I105" s="4" t="s">
        <v>1549</v>
      </c>
      <c r="J105" s="4" t="s">
        <v>1542</v>
      </c>
      <c r="K105" s="4" t="s">
        <v>1543</v>
      </c>
    </row>
    <row r="106" spans="1:11" ht="45" customHeight="1" x14ac:dyDescent="0.25">
      <c r="A106" s="4">
        <v>3</v>
      </c>
      <c r="B106" s="4">
        <v>3</v>
      </c>
      <c r="C106" s="10" t="s">
        <v>443</v>
      </c>
      <c r="D106" s="4" t="s">
        <v>1550</v>
      </c>
      <c r="E106" s="4" t="s">
        <v>1551</v>
      </c>
      <c r="F106" s="4" t="s">
        <v>1499</v>
      </c>
      <c r="G106" s="4" t="s">
        <v>28</v>
      </c>
      <c r="H106" s="4" t="s">
        <v>1200</v>
      </c>
      <c r="I106" s="4" t="s">
        <v>1552</v>
      </c>
      <c r="J106" s="4" t="s">
        <v>1542</v>
      </c>
      <c r="K106" s="4" t="s">
        <v>1543</v>
      </c>
    </row>
    <row r="107" spans="1:11" ht="45" customHeight="1" x14ac:dyDescent="0.25">
      <c r="A107" s="3">
        <v>2</v>
      </c>
      <c r="B107" s="3">
        <v>4</v>
      </c>
      <c r="C107" s="9">
        <v>13.4</v>
      </c>
      <c r="D107" s="3" t="s">
        <v>1553</v>
      </c>
      <c r="E107" s="3" t="s">
        <v>1554</v>
      </c>
      <c r="F107" s="3" t="s">
        <v>1499</v>
      </c>
      <c r="G107" s="3" t="s">
        <v>21</v>
      </c>
      <c r="H107" s="3" t="s">
        <v>1200</v>
      </c>
      <c r="I107" s="3" t="s">
        <v>1555</v>
      </c>
      <c r="J107" s="3" t="s">
        <v>1542</v>
      </c>
      <c r="K107" s="3" t="s">
        <v>1556</v>
      </c>
    </row>
    <row r="108" spans="1:11" ht="45" customHeight="1" x14ac:dyDescent="0.25">
      <c r="A108" s="4">
        <v>3</v>
      </c>
      <c r="B108" s="4">
        <v>1</v>
      </c>
      <c r="C108" s="10" t="s">
        <v>451</v>
      </c>
      <c r="D108" s="4" t="s">
        <v>1557</v>
      </c>
      <c r="E108" s="4" t="s">
        <v>1558</v>
      </c>
      <c r="F108" s="4" t="s">
        <v>1499</v>
      </c>
      <c r="G108" s="4" t="s">
        <v>28</v>
      </c>
      <c r="H108" s="4" t="s">
        <v>1200</v>
      </c>
      <c r="I108" s="4" t="s">
        <v>1559</v>
      </c>
      <c r="J108" s="4" t="s">
        <v>1542</v>
      </c>
      <c r="K108" s="4" t="s">
        <v>1556</v>
      </c>
    </row>
    <row r="109" spans="1:11" ht="45" customHeight="1" x14ac:dyDescent="0.25">
      <c r="A109" s="4">
        <v>3</v>
      </c>
      <c r="B109" s="4">
        <v>2</v>
      </c>
      <c r="C109" s="10" t="s">
        <v>455</v>
      </c>
      <c r="D109" s="4" t="s">
        <v>1560</v>
      </c>
      <c r="E109" s="4" t="s">
        <v>1561</v>
      </c>
      <c r="F109" s="4" t="s">
        <v>1499</v>
      </c>
      <c r="G109" s="4" t="s">
        <v>28</v>
      </c>
      <c r="H109" s="4" t="s">
        <v>1200</v>
      </c>
      <c r="I109" s="4" t="s">
        <v>1562</v>
      </c>
      <c r="J109" s="4" t="s">
        <v>1542</v>
      </c>
      <c r="K109" s="4" t="s">
        <v>1556</v>
      </c>
    </row>
    <row r="110" spans="1:11" ht="45" customHeight="1" x14ac:dyDescent="0.25">
      <c r="A110" s="3">
        <v>2</v>
      </c>
      <c r="B110" s="3">
        <v>5</v>
      </c>
      <c r="C110" s="9">
        <v>13.5</v>
      </c>
      <c r="D110" s="3" t="s">
        <v>1563</v>
      </c>
      <c r="E110" s="3" t="s">
        <v>1564</v>
      </c>
      <c r="F110" s="3" t="s">
        <v>1499</v>
      </c>
      <c r="G110" s="3" t="s">
        <v>21</v>
      </c>
      <c r="H110" s="3" t="s">
        <v>1200</v>
      </c>
      <c r="I110" s="3" t="s">
        <v>1565</v>
      </c>
      <c r="J110" s="3" t="s">
        <v>1566</v>
      </c>
      <c r="K110" s="3" t="s">
        <v>1567</v>
      </c>
    </row>
    <row r="111" spans="1:11" ht="45" customHeight="1" x14ac:dyDescent="0.25">
      <c r="A111" s="4">
        <v>3</v>
      </c>
      <c r="B111" s="4">
        <v>1</v>
      </c>
      <c r="C111" s="10" t="s">
        <v>464</v>
      </c>
      <c r="D111" s="4" t="s">
        <v>1568</v>
      </c>
      <c r="E111" s="4" t="s">
        <v>1569</v>
      </c>
      <c r="F111" s="4" t="s">
        <v>1499</v>
      </c>
      <c r="G111" s="4" t="s">
        <v>28</v>
      </c>
      <c r="H111" s="4" t="s">
        <v>1200</v>
      </c>
      <c r="I111" s="4" t="s">
        <v>1570</v>
      </c>
      <c r="J111" s="4" t="s">
        <v>1566</v>
      </c>
      <c r="K111" s="4" t="s">
        <v>1567</v>
      </c>
    </row>
    <row r="112" spans="1:11" ht="45" customHeight="1" x14ac:dyDescent="0.25">
      <c r="A112" s="4">
        <v>3</v>
      </c>
      <c r="B112" s="4">
        <v>2</v>
      </c>
      <c r="C112" s="10" t="s">
        <v>468</v>
      </c>
      <c r="D112" s="4" t="s">
        <v>1571</v>
      </c>
      <c r="E112" s="4" t="s">
        <v>1572</v>
      </c>
      <c r="F112" s="4" t="s">
        <v>1499</v>
      </c>
      <c r="G112" s="4" t="s">
        <v>28</v>
      </c>
      <c r="H112" s="4" t="s">
        <v>1200</v>
      </c>
      <c r="I112" s="4" t="s">
        <v>1573</v>
      </c>
      <c r="J112" s="4" t="s">
        <v>1566</v>
      </c>
      <c r="K112" s="4" t="s">
        <v>1567</v>
      </c>
    </row>
    <row r="113" spans="1:11" ht="45" customHeight="1" x14ac:dyDescent="0.25">
      <c r="A113" s="4">
        <v>3</v>
      </c>
      <c r="B113" s="4">
        <v>3</v>
      </c>
      <c r="C113" s="10" t="s">
        <v>472</v>
      </c>
      <c r="D113" s="4" t="s">
        <v>1574</v>
      </c>
      <c r="E113" s="4" t="s">
        <v>1575</v>
      </c>
      <c r="F113" s="4" t="s">
        <v>1499</v>
      </c>
      <c r="G113" s="4" t="s">
        <v>28</v>
      </c>
      <c r="H113" s="4" t="s">
        <v>1200</v>
      </c>
      <c r="I113" s="4" t="s">
        <v>1576</v>
      </c>
      <c r="J113" s="4" t="s">
        <v>1566</v>
      </c>
      <c r="K113" s="4" t="s">
        <v>1567</v>
      </c>
    </row>
    <row r="114" spans="1:11" ht="75" customHeight="1" x14ac:dyDescent="0.25">
      <c r="A114" s="2">
        <v>1</v>
      </c>
      <c r="B114" s="2">
        <v>6</v>
      </c>
      <c r="C114" s="8">
        <v>8</v>
      </c>
      <c r="D114" s="2" t="s">
        <v>1577</v>
      </c>
      <c r="E114" s="2" t="s">
        <v>1578</v>
      </c>
      <c r="F114" s="2" t="s">
        <v>1579</v>
      </c>
      <c r="G114" s="2" t="s">
        <v>14</v>
      </c>
      <c r="H114" s="2" t="s">
        <v>1580</v>
      </c>
      <c r="I114" s="2" t="s">
        <v>1581</v>
      </c>
      <c r="J114" s="2" t="s">
        <v>1582</v>
      </c>
      <c r="K114" s="2" t="s">
        <v>1583</v>
      </c>
    </row>
    <row r="115" spans="1:11" ht="45" customHeight="1" x14ac:dyDescent="0.25">
      <c r="A115" s="3">
        <v>2</v>
      </c>
      <c r="B115" s="3">
        <v>1</v>
      </c>
      <c r="C115" s="9">
        <v>8.1</v>
      </c>
      <c r="D115" s="3" t="s">
        <v>1584</v>
      </c>
      <c r="E115" s="3" t="s">
        <v>1585</v>
      </c>
      <c r="F115" s="3" t="s">
        <v>1579</v>
      </c>
      <c r="G115" s="3" t="s">
        <v>21</v>
      </c>
      <c r="H115" s="3" t="s">
        <v>1580</v>
      </c>
      <c r="I115" s="3" t="s">
        <v>1586</v>
      </c>
      <c r="J115" s="3" t="s">
        <v>1207</v>
      </c>
      <c r="K115" s="3" t="s">
        <v>1587</v>
      </c>
    </row>
    <row r="116" spans="1:11" ht="45" customHeight="1" x14ac:dyDescent="0.25">
      <c r="A116" s="4">
        <v>3</v>
      </c>
      <c r="B116" s="4">
        <v>1</v>
      </c>
      <c r="C116" s="10" t="s">
        <v>487</v>
      </c>
      <c r="D116" s="4" t="s">
        <v>1588</v>
      </c>
      <c r="E116" s="4" t="s">
        <v>1589</v>
      </c>
      <c r="F116" s="4" t="s">
        <v>1579</v>
      </c>
      <c r="G116" s="4" t="s">
        <v>28</v>
      </c>
      <c r="H116" s="4" t="s">
        <v>1580</v>
      </c>
      <c r="I116" s="4" t="s">
        <v>1590</v>
      </c>
      <c r="J116" s="4" t="s">
        <v>1207</v>
      </c>
      <c r="K116" s="4" t="s">
        <v>1587</v>
      </c>
    </row>
    <row r="117" spans="1:11" ht="45" customHeight="1" x14ac:dyDescent="0.25">
      <c r="A117" s="4">
        <v>3</v>
      </c>
      <c r="B117" s="4">
        <v>2</v>
      </c>
      <c r="C117" s="10" t="s">
        <v>491</v>
      </c>
      <c r="D117" s="4" t="s">
        <v>1591</v>
      </c>
      <c r="E117" s="4" t="s">
        <v>1592</v>
      </c>
      <c r="F117" s="4" t="s">
        <v>1579</v>
      </c>
      <c r="G117" s="4" t="s">
        <v>28</v>
      </c>
      <c r="H117" s="4" t="s">
        <v>1580</v>
      </c>
      <c r="I117" s="4" t="s">
        <v>1593</v>
      </c>
      <c r="J117" s="4" t="s">
        <v>1207</v>
      </c>
      <c r="K117" s="4" t="s">
        <v>1587</v>
      </c>
    </row>
    <row r="118" spans="1:11" ht="45" customHeight="1" x14ac:dyDescent="0.25">
      <c r="A118" s="4">
        <v>3</v>
      </c>
      <c r="B118" s="4">
        <v>3</v>
      </c>
      <c r="C118" s="10" t="s">
        <v>495</v>
      </c>
      <c r="D118" s="4" t="s">
        <v>1594</v>
      </c>
      <c r="E118" s="4" t="s">
        <v>1595</v>
      </c>
      <c r="F118" s="4" t="s">
        <v>1579</v>
      </c>
      <c r="G118" s="4" t="s">
        <v>28</v>
      </c>
      <c r="H118" s="4" t="s">
        <v>1580</v>
      </c>
      <c r="I118" s="4" t="s">
        <v>1596</v>
      </c>
      <c r="J118" s="4" t="s">
        <v>1207</v>
      </c>
      <c r="K118" s="4" t="s">
        <v>1587</v>
      </c>
    </row>
    <row r="119" spans="1:11" ht="45" customHeight="1" x14ac:dyDescent="0.25">
      <c r="A119" s="4">
        <v>3</v>
      </c>
      <c r="B119" s="4">
        <v>4</v>
      </c>
      <c r="C119" s="10" t="s">
        <v>499</v>
      </c>
      <c r="D119" s="4" t="s">
        <v>1597</v>
      </c>
      <c r="E119" s="4" t="s">
        <v>1598</v>
      </c>
      <c r="F119" s="4" t="s">
        <v>1579</v>
      </c>
      <c r="G119" s="4" t="s">
        <v>28</v>
      </c>
      <c r="H119" s="4" t="s">
        <v>1580</v>
      </c>
      <c r="I119" s="4" t="s">
        <v>1599</v>
      </c>
      <c r="J119" s="4" t="s">
        <v>1207</v>
      </c>
      <c r="K119" s="4" t="s">
        <v>1587</v>
      </c>
    </row>
    <row r="120" spans="1:11" ht="45" customHeight="1" x14ac:dyDescent="0.25">
      <c r="A120" s="3">
        <v>2</v>
      </c>
      <c r="B120" s="3">
        <v>2</v>
      </c>
      <c r="C120" s="9">
        <v>8.1999999999999993</v>
      </c>
      <c r="D120" s="3" t="s">
        <v>1600</v>
      </c>
      <c r="E120" s="3" t="s">
        <v>1601</v>
      </c>
      <c r="F120" s="3" t="s">
        <v>1579</v>
      </c>
      <c r="G120" s="3" t="s">
        <v>21</v>
      </c>
      <c r="H120" s="3" t="s">
        <v>1580</v>
      </c>
      <c r="I120" s="3" t="s">
        <v>1602</v>
      </c>
      <c r="J120" s="3" t="s">
        <v>1207</v>
      </c>
      <c r="K120" s="3" t="s">
        <v>1583</v>
      </c>
    </row>
    <row r="121" spans="1:11" ht="45" customHeight="1" x14ac:dyDescent="0.25">
      <c r="A121" s="4">
        <v>3</v>
      </c>
      <c r="B121" s="4">
        <v>1</v>
      </c>
      <c r="C121" s="10" t="s">
        <v>506</v>
      </c>
      <c r="D121" s="4" t="s">
        <v>1603</v>
      </c>
      <c r="E121" s="4" t="s">
        <v>1604</v>
      </c>
      <c r="F121" s="4" t="s">
        <v>1579</v>
      </c>
      <c r="G121" s="4" t="s">
        <v>28</v>
      </c>
      <c r="H121" s="4" t="s">
        <v>1580</v>
      </c>
      <c r="I121" s="4" t="s">
        <v>1605</v>
      </c>
      <c r="J121" s="4" t="s">
        <v>1207</v>
      </c>
      <c r="K121" s="4" t="s">
        <v>1606</v>
      </c>
    </row>
    <row r="122" spans="1:11" ht="45" customHeight="1" x14ac:dyDescent="0.25">
      <c r="A122" s="4">
        <v>3</v>
      </c>
      <c r="B122" s="4">
        <v>2</v>
      </c>
      <c r="C122" s="10" t="s">
        <v>511</v>
      </c>
      <c r="D122" s="4" t="s">
        <v>1607</v>
      </c>
      <c r="E122" s="4" t="s">
        <v>1608</v>
      </c>
      <c r="F122" s="4" t="s">
        <v>1579</v>
      </c>
      <c r="G122" s="4" t="s">
        <v>28</v>
      </c>
      <c r="H122" s="4" t="s">
        <v>1580</v>
      </c>
      <c r="I122" s="4" t="s">
        <v>1609</v>
      </c>
      <c r="J122" s="4" t="s">
        <v>1207</v>
      </c>
      <c r="K122" s="4" t="s">
        <v>1606</v>
      </c>
    </row>
    <row r="123" spans="1:11" ht="45" customHeight="1" x14ac:dyDescent="0.25">
      <c r="A123" s="4">
        <v>3</v>
      </c>
      <c r="B123" s="4">
        <v>3</v>
      </c>
      <c r="C123" s="10" t="s">
        <v>515</v>
      </c>
      <c r="D123" s="4" t="s">
        <v>1610</v>
      </c>
      <c r="E123" s="4" t="s">
        <v>1611</v>
      </c>
      <c r="F123" s="4" t="s">
        <v>1579</v>
      </c>
      <c r="G123" s="4" t="s">
        <v>28</v>
      </c>
      <c r="H123" s="4" t="s">
        <v>1580</v>
      </c>
      <c r="I123" s="4" t="s">
        <v>1612</v>
      </c>
      <c r="J123" s="4" t="s">
        <v>1207</v>
      </c>
      <c r="K123" s="4" t="s">
        <v>1606</v>
      </c>
    </row>
    <row r="124" spans="1:11" ht="45" customHeight="1" x14ac:dyDescent="0.25">
      <c r="A124" s="3">
        <v>2</v>
      </c>
      <c r="B124" s="3">
        <v>3</v>
      </c>
      <c r="C124" s="9">
        <v>8.3000000000000007</v>
      </c>
      <c r="D124" s="3" t="s">
        <v>1613</v>
      </c>
      <c r="E124" s="3" t="s">
        <v>1614</v>
      </c>
      <c r="F124" s="3" t="s">
        <v>1579</v>
      </c>
      <c r="G124" s="3" t="s">
        <v>21</v>
      </c>
      <c r="H124" s="3" t="s">
        <v>1580</v>
      </c>
      <c r="I124" s="3" t="s">
        <v>1615</v>
      </c>
      <c r="J124" s="3" t="s">
        <v>1616</v>
      </c>
      <c r="K124" s="3" t="s">
        <v>1617</v>
      </c>
    </row>
    <row r="125" spans="1:11" ht="45" customHeight="1" x14ac:dyDescent="0.25">
      <c r="A125" s="4">
        <v>3</v>
      </c>
      <c r="B125" s="4">
        <v>1</v>
      </c>
      <c r="C125" s="10" t="s">
        <v>524</v>
      </c>
      <c r="D125" s="4" t="s">
        <v>1618</v>
      </c>
      <c r="E125" s="4" t="s">
        <v>1619</v>
      </c>
      <c r="F125" s="4" t="s">
        <v>1579</v>
      </c>
      <c r="G125" s="4" t="s">
        <v>28</v>
      </c>
      <c r="H125" s="4" t="s">
        <v>1580</v>
      </c>
      <c r="I125" s="4" t="s">
        <v>1620</v>
      </c>
      <c r="J125" s="4" t="s">
        <v>1616</v>
      </c>
      <c r="K125" s="4" t="s">
        <v>1617</v>
      </c>
    </row>
    <row r="126" spans="1:11" ht="45" customHeight="1" x14ac:dyDescent="0.25">
      <c r="A126" s="4">
        <v>3</v>
      </c>
      <c r="B126" s="4">
        <v>2</v>
      </c>
      <c r="C126" s="10" t="s">
        <v>528</v>
      </c>
      <c r="D126" s="4" t="s">
        <v>1621</v>
      </c>
      <c r="E126" s="4" t="s">
        <v>1622</v>
      </c>
      <c r="F126" s="4" t="s">
        <v>1579</v>
      </c>
      <c r="G126" s="4" t="s">
        <v>28</v>
      </c>
      <c r="H126" s="4" t="s">
        <v>1580</v>
      </c>
      <c r="I126" s="4" t="s">
        <v>1623</v>
      </c>
      <c r="J126" s="4" t="s">
        <v>1616</v>
      </c>
      <c r="K126" s="4" t="s">
        <v>1617</v>
      </c>
    </row>
    <row r="127" spans="1:11" ht="45" customHeight="1" x14ac:dyDescent="0.25">
      <c r="A127" s="3">
        <v>2</v>
      </c>
      <c r="B127" s="3">
        <v>4</v>
      </c>
      <c r="C127" s="9">
        <v>8.4</v>
      </c>
      <c r="D127" s="3" t="s">
        <v>1624</v>
      </c>
      <c r="E127" s="3" t="s">
        <v>1625</v>
      </c>
      <c r="F127" s="3" t="s">
        <v>1579</v>
      </c>
      <c r="G127" s="3" t="s">
        <v>21</v>
      </c>
      <c r="H127" s="3" t="s">
        <v>1580</v>
      </c>
      <c r="I127" s="3" t="s">
        <v>1626</v>
      </c>
      <c r="J127" s="3" t="s">
        <v>1616</v>
      </c>
      <c r="K127" s="3" t="s">
        <v>1627</v>
      </c>
    </row>
    <row r="128" spans="1:11" ht="45" customHeight="1" x14ac:dyDescent="0.25">
      <c r="A128" s="4">
        <v>3</v>
      </c>
      <c r="B128" s="4">
        <v>1</v>
      </c>
      <c r="C128" s="10" t="s">
        <v>536</v>
      </c>
      <c r="D128" s="4" t="s">
        <v>1628</v>
      </c>
      <c r="E128" s="4" t="s">
        <v>1629</v>
      </c>
      <c r="F128" s="4" t="s">
        <v>1579</v>
      </c>
      <c r="G128" s="4" t="s">
        <v>28</v>
      </c>
      <c r="H128" s="4" t="s">
        <v>1580</v>
      </c>
      <c r="I128" s="4" t="s">
        <v>1630</v>
      </c>
      <c r="J128" s="4" t="s">
        <v>1616</v>
      </c>
      <c r="K128" s="4" t="s">
        <v>1627</v>
      </c>
    </row>
    <row r="129" spans="1:11" ht="45" customHeight="1" x14ac:dyDescent="0.25">
      <c r="A129" s="4">
        <v>3</v>
      </c>
      <c r="B129" s="4">
        <v>2</v>
      </c>
      <c r="C129" s="10" t="s">
        <v>540</v>
      </c>
      <c r="D129" s="4" t="s">
        <v>1631</v>
      </c>
      <c r="E129" s="4" t="s">
        <v>1632</v>
      </c>
      <c r="F129" s="4" t="s">
        <v>1579</v>
      </c>
      <c r="G129" s="4" t="s">
        <v>28</v>
      </c>
      <c r="H129" s="4" t="s">
        <v>1580</v>
      </c>
      <c r="I129" s="4" t="s">
        <v>1633</v>
      </c>
      <c r="J129" s="4" t="s">
        <v>1616</v>
      </c>
      <c r="K129" s="4" t="s">
        <v>1627</v>
      </c>
    </row>
    <row r="130" spans="1:11" ht="45" customHeight="1" x14ac:dyDescent="0.25">
      <c r="A130" s="4">
        <v>3</v>
      </c>
      <c r="B130" s="4">
        <v>3</v>
      </c>
      <c r="C130" s="10" t="s">
        <v>544</v>
      </c>
      <c r="D130" s="4" t="s">
        <v>1634</v>
      </c>
      <c r="E130" s="4" t="s">
        <v>1635</v>
      </c>
      <c r="F130" s="4" t="s">
        <v>1579</v>
      </c>
      <c r="G130" s="4" t="s">
        <v>28</v>
      </c>
      <c r="H130" s="4" t="s">
        <v>1580</v>
      </c>
      <c r="I130" s="4" t="s">
        <v>1636</v>
      </c>
      <c r="J130" s="4" t="s">
        <v>1616</v>
      </c>
      <c r="K130" s="4" t="s">
        <v>1627</v>
      </c>
    </row>
    <row r="131" spans="1:11" ht="45" customHeight="1" x14ac:dyDescent="0.25">
      <c r="A131" s="4">
        <v>3</v>
      </c>
      <c r="B131" s="4">
        <v>4</v>
      </c>
      <c r="C131" s="10" t="s">
        <v>548</v>
      </c>
      <c r="D131" s="4" t="s">
        <v>1637</v>
      </c>
      <c r="E131" s="4" t="s">
        <v>1638</v>
      </c>
      <c r="F131" s="4" t="s">
        <v>1579</v>
      </c>
      <c r="G131" s="4" t="s">
        <v>28</v>
      </c>
      <c r="H131" s="4" t="s">
        <v>1580</v>
      </c>
      <c r="I131" s="4" t="s">
        <v>1639</v>
      </c>
      <c r="J131" s="4" t="s">
        <v>1616</v>
      </c>
      <c r="K131" s="4" t="s">
        <v>1627</v>
      </c>
    </row>
    <row r="132" spans="1:11" ht="60" customHeight="1" x14ac:dyDescent="0.25">
      <c r="A132" s="2">
        <v>1</v>
      </c>
      <c r="B132" s="2">
        <v>7</v>
      </c>
      <c r="C132" s="8">
        <v>9</v>
      </c>
      <c r="D132" s="2" t="s">
        <v>1640</v>
      </c>
      <c r="E132" s="2" t="s">
        <v>1641</v>
      </c>
      <c r="F132" s="2" t="s">
        <v>1642</v>
      </c>
      <c r="G132" s="2" t="s">
        <v>14</v>
      </c>
      <c r="H132" s="2" t="s">
        <v>1580</v>
      </c>
      <c r="I132" s="2" t="s">
        <v>1643</v>
      </c>
      <c r="J132" s="2" t="s">
        <v>1644</v>
      </c>
      <c r="K132" s="2" t="s">
        <v>1645</v>
      </c>
    </row>
    <row r="133" spans="1:11" ht="45" customHeight="1" x14ac:dyDescent="0.25">
      <c r="A133" s="3">
        <v>2</v>
      </c>
      <c r="B133" s="3">
        <v>1</v>
      </c>
      <c r="C133" s="9">
        <v>9.1</v>
      </c>
      <c r="D133" s="3" t="s">
        <v>1646</v>
      </c>
      <c r="E133" s="3" t="s">
        <v>1647</v>
      </c>
      <c r="F133" s="3" t="s">
        <v>1642</v>
      </c>
      <c r="G133" s="3" t="s">
        <v>21</v>
      </c>
      <c r="H133" s="3" t="s">
        <v>1580</v>
      </c>
      <c r="I133" s="3" t="s">
        <v>1648</v>
      </c>
      <c r="J133" s="3" t="s">
        <v>1207</v>
      </c>
      <c r="K133" s="3" t="s">
        <v>1649</v>
      </c>
    </row>
    <row r="134" spans="1:11" ht="45" customHeight="1" x14ac:dyDescent="0.25">
      <c r="A134" s="4">
        <v>3</v>
      </c>
      <c r="B134" s="4">
        <v>1</v>
      </c>
      <c r="C134" s="10" t="s">
        <v>562</v>
      </c>
      <c r="D134" s="4" t="s">
        <v>1650</v>
      </c>
      <c r="E134" s="4" t="s">
        <v>1651</v>
      </c>
      <c r="F134" s="4" t="s">
        <v>1642</v>
      </c>
      <c r="G134" s="4" t="s">
        <v>28</v>
      </c>
      <c r="H134" s="4" t="s">
        <v>1580</v>
      </c>
      <c r="I134" s="4" t="s">
        <v>1652</v>
      </c>
      <c r="J134" s="4" t="s">
        <v>1207</v>
      </c>
      <c r="K134" s="4" t="s">
        <v>1649</v>
      </c>
    </row>
    <row r="135" spans="1:11" ht="45" customHeight="1" x14ac:dyDescent="0.25">
      <c r="A135" s="4">
        <v>3</v>
      </c>
      <c r="B135" s="4">
        <v>2</v>
      </c>
      <c r="C135" s="10" t="s">
        <v>566</v>
      </c>
      <c r="D135" s="4" t="s">
        <v>1653</v>
      </c>
      <c r="E135" s="4" t="s">
        <v>1654</v>
      </c>
      <c r="F135" s="4" t="s">
        <v>1642</v>
      </c>
      <c r="G135" s="4" t="s">
        <v>28</v>
      </c>
      <c r="H135" s="4" t="s">
        <v>1580</v>
      </c>
      <c r="I135" s="4" t="s">
        <v>1655</v>
      </c>
      <c r="J135" s="4" t="s">
        <v>1207</v>
      </c>
      <c r="K135" s="4" t="s">
        <v>1649</v>
      </c>
    </row>
    <row r="136" spans="1:11" ht="45" customHeight="1" x14ac:dyDescent="0.25">
      <c r="A136" s="4">
        <v>3</v>
      </c>
      <c r="B136" s="4">
        <v>3</v>
      </c>
      <c r="C136" s="10" t="s">
        <v>570</v>
      </c>
      <c r="D136" s="4" t="s">
        <v>1656</v>
      </c>
      <c r="E136" s="4" t="s">
        <v>1657</v>
      </c>
      <c r="F136" s="4" t="s">
        <v>1642</v>
      </c>
      <c r="G136" s="4" t="s">
        <v>28</v>
      </c>
      <c r="H136" s="4" t="s">
        <v>1580</v>
      </c>
      <c r="I136" s="4" t="s">
        <v>1658</v>
      </c>
      <c r="J136" s="4" t="s">
        <v>1207</v>
      </c>
      <c r="K136" s="4" t="s">
        <v>1659</v>
      </c>
    </row>
    <row r="137" spans="1:11" ht="45" customHeight="1" x14ac:dyDescent="0.25">
      <c r="A137" s="3">
        <v>2</v>
      </c>
      <c r="B137" s="3">
        <v>2</v>
      </c>
      <c r="C137" s="9">
        <v>9.1999999999999993</v>
      </c>
      <c r="D137" s="3" t="s">
        <v>1660</v>
      </c>
      <c r="E137" s="3" t="s">
        <v>1661</v>
      </c>
      <c r="F137" s="3" t="s">
        <v>1642</v>
      </c>
      <c r="G137" s="3" t="s">
        <v>21</v>
      </c>
      <c r="H137" s="3" t="s">
        <v>1580</v>
      </c>
      <c r="I137" s="3" t="s">
        <v>1662</v>
      </c>
      <c r="J137" s="3" t="s">
        <v>1207</v>
      </c>
      <c r="K137" s="3" t="s">
        <v>1663</v>
      </c>
    </row>
    <row r="138" spans="1:11" ht="45" customHeight="1" x14ac:dyDescent="0.25">
      <c r="A138" s="4">
        <v>3</v>
      </c>
      <c r="B138" s="4">
        <v>1</v>
      </c>
      <c r="C138" s="10" t="s">
        <v>579</v>
      </c>
      <c r="D138" s="4" t="s">
        <v>1664</v>
      </c>
      <c r="E138" s="4" t="s">
        <v>1665</v>
      </c>
      <c r="F138" s="4" t="s">
        <v>1642</v>
      </c>
      <c r="G138" s="4" t="s">
        <v>28</v>
      </c>
      <c r="H138" s="4" t="s">
        <v>1580</v>
      </c>
      <c r="I138" s="4" t="s">
        <v>1666</v>
      </c>
      <c r="J138" s="4" t="s">
        <v>1207</v>
      </c>
      <c r="K138" s="4" t="s">
        <v>1663</v>
      </c>
    </row>
    <row r="139" spans="1:11" ht="45" customHeight="1" x14ac:dyDescent="0.25">
      <c r="A139" s="4">
        <v>3</v>
      </c>
      <c r="B139" s="4">
        <v>2</v>
      </c>
      <c r="C139" s="10" t="s">
        <v>583</v>
      </c>
      <c r="D139" s="4" t="s">
        <v>1667</v>
      </c>
      <c r="E139" s="4" t="s">
        <v>1668</v>
      </c>
      <c r="F139" s="4" t="s">
        <v>1642</v>
      </c>
      <c r="G139" s="4" t="s">
        <v>28</v>
      </c>
      <c r="H139" s="4" t="s">
        <v>1580</v>
      </c>
      <c r="I139" s="4" t="s">
        <v>1669</v>
      </c>
      <c r="J139" s="4" t="s">
        <v>1207</v>
      </c>
      <c r="K139" s="4" t="s">
        <v>1663</v>
      </c>
    </row>
    <row r="140" spans="1:11" ht="45" customHeight="1" x14ac:dyDescent="0.25">
      <c r="A140" s="3">
        <v>2</v>
      </c>
      <c r="B140" s="3">
        <v>3</v>
      </c>
      <c r="C140" s="9">
        <v>9.3000000000000007</v>
      </c>
      <c r="D140" s="3" t="s">
        <v>1670</v>
      </c>
      <c r="E140" s="3" t="s">
        <v>1671</v>
      </c>
      <c r="F140" s="3" t="s">
        <v>1642</v>
      </c>
      <c r="G140" s="3" t="s">
        <v>21</v>
      </c>
      <c r="H140" s="3" t="s">
        <v>1580</v>
      </c>
      <c r="I140" s="3" t="s">
        <v>1672</v>
      </c>
      <c r="J140" s="3" t="s">
        <v>1294</v>
      </c>
      <c r="K140" s="3" t="s">
        <v>1673</v>
      </c>
    </row>
    <row r="141" spans="1:11" ht="45" customHeight="1" x14ac:dyDescent="0.25">
      <c r="A141" s="4">
        <v>3</v>
      </c>
      <c r="B141" s="4">
        <v>1</v>
      </c>
      <c r="C141" s="10" t="s">
        <v>591</v>
      </c>
      <c r="D141" s="4" t="s">
        <v>1674</v>
      </c>
      <c r="E141" s="4" t="s">
        <v>1675</v>
      </c>
      <c r="F141" s="4" t="s">
        <v>1642</v>
      </c>
      <c r="G141" s="4" t="s">
        <v>28</v>
      </c>
      <c r="H141" s="4" t="s">
        <v>1580</v>
      </c>
      <c r="I141" s="4" t="s">
        <v>1676</v>
      </c>
      <c r="J141" s="4" t="s">
        <v>1294</v>
      </c>
      <c r="K141" s="4" t="s">
        <v>1673</v>
      </c>
    </row>
    <row r="142" spans="1:11" ht="45" customHeight="1" x14ac:dyDescent="0.25">
      <c r="A142" s="4">
        <v>3</v>
      </c>
      <c r="B142" s="4">
        <v>2</v>
      </c>
      <c r="C142" s="10" t="s">
        <v>595</v>
      </c>
      <c r="D142" s="4" t="s">
        <v>1677</v>
      </c>
      <c r="E142" s="4" t="s">
        <v>1678</v>
      </c>
      <c r="F142" s="4" t="s">
        <v>1642</v>
      </c>
      <c r="G142" s="4" t="s">
        <v>28</v>
      </c>
      <c r="H142" s="4" t="s">
        <v>1580</v>
      </c>
      <c r="I142" s="4" t="s">
        <v>1679</v>
      </c>
      <c r="J142" s="4" t="s">
        <v>1294</v>
      </c>
      <c r="K142" s="4" t="s">
        <v>1673</v>
      </c>
    </row>
    <row r="143" spans="1:11" ht="45" customHeight="1" x14ac:dyDescent="0.25">
      <c r="A143" s="4">
        <v>3</v>
      </c>
      <c r="B143" s="4">
        <v>3</v>
      </c>
      <c r="C143" s="10" t="s">
        <v>599</v>
      </c>
      <c r="D143" s="4" t="s">
        <v>1680</v>
      </c>
      <c r="E143" s="4" t="s">
        <v>1681</v>
      </c>
      <c r="F143" s="4" t="s">
        <v>1642</v>
      </c>
      <c r="G143" s="4" t="s">
        <v>28</v>
      </c>
      <c r="H143" s="4" t="s">
        <v>1580</v>
      </c>
      <c r="I143" s="4" t="s">
        <v>1682</v>
      </c>
      <c r="J143" s="4" t="s">
        <v>1294</v>
      </c>
      <c r="K143" s="4" t="s">
        <v>1673</v>
      </c>
    </row>
    <row r="144" spans="1:11" ht="45" customHeight="1" x14ac:dyDescent="0.25">
      <c r="A144" s="3">
        <v>2</v>
      </c>
      <c r="B144" s="3">
        <v>4</v>
      </c>
      <c r="C144" s="9">
        <v>9.4</v>
      </c>
      <c r="D144" s="3" t="s">
        <v>1683</v>
      </c>
      <c r="E144" s="3" t="s">
        <v>1684</v>
      </c>
      <c r="F144" s="3" t="s">
        <v>1642</v>
      </c>
      <c r="G144" s="3" t="s">
        <v>21</v>
      </c>
      <c r="H144" s="3" t="s">
        <v>1580</v>
      </c>
      <c r="I144" s="3" t="s">
        <v>1685</v>
      </c>
      <c r="J144" s="3" t="s">
        <v>1207</v>
      </c>
      <c r="K144" s="3" t="s">
        <v>1686</v>
      </c>
    </row>
    <row r="145" spans="1:11" ht="45" customHeight="1" x14ac:dyDescent="0.25">
      <c r="A145" s="4">
        <v>3</v>
      </c>
      <c r="B145" s="4">
        <v>1</v>
      </c>
      <c r="C145" s="10" t="s">
        <v>607</v>
      </c>
      <c r="D145" s="4" t="s">
        <v>1687</v>
      </c>
      <c r="E145" s="4" t="s">
        <v>1688</v>
      </c>
      <c r="F145" s="4" t="s">
        <v>1642</v>
      </c>
      <c r="G145" s="4" t="s">
        <v>28</v>
      </c>
      <c r="H145" s="4" t="s">
        <v>1580</v>
      </c>
      <c r="I145" s="4" t="s">
        <v>1689</v>
      </c>
      <c r="J145" s="4" t="s">
        <v>1207</v>
      </c>
      <c r="K145" s="4" t="s">
        <v>1686</v>
      </c>
    </row>
    <row r="146" spans="1:11" ht="45" customHeight="1" x14ac:dyDescent="0.25">
      <c r="A146" s="4">
        <v>3</v>
      </c>
      <c r="B146" s="4">
        <v>2</v>
      </c>
      <c r="C146" s="10" t="s">
        <v>611</v>
      </c>
      <c r="D146" s="4" t="s">
        <v>1690</v>
      </c>
      <c r="E146" s="4" t="s">
        <v>1691</v>
      </c>
      <c r="F146" s="4" t="s">
        <v>1642</v>
      </c>
      <c r="G146" s="4" t="s">
        <v>28</v>
      </c>
      <c r="H146" s="4" t="s">
        <v>1580</v>
      </c>
      <c r="I146" s="4" t="s">
        <v>1692</v>
      </c>
      <c r="J146" s="4" t="s">
        <v>1207</v>
      </c>
      <c r="K146" s="4" t="s">
        <v>1686</v>
      </c>
    </row>
    <row r="147" spans="1:11" ht="75" customHeight="1" x14ac:dyDescent="0.25">
      <c r="A147" s="2">
        <v>1</v>
      </c>
      <c r="B147" s="2">
        <v>8</v>
      </c>
      <c r="C147" s="8">
        <v>7</v>
      </c>
      <c r="D147" s="2" t="s">
        <v>1693</v>
      </c>
      <c r="E147" s="2" t="s">
        <v>1694</v>
      </c>
      <c r="F147" s="2" t="s">
        <v>1579</v>
      </c>
      <c r="G147" s="2" t="s">
        <v>14</v>
      </c>
      <c r="H147" s="2" t="s">
        <v>1580</v>
      </c>
      <c r="I147" s="2" t="s">
        <v>1695</v>
      </c>
      <c r="J147" s="2" t="s">
        <v>1696</v>
      </c>
      <c r="K147" s="2" t="s">
        <v>1697</v>
      </c>
    </row>
    <row r="148" spans="1:11" ht="45" customHeight="1" x14ac:dyDescent="0.25">
      <c r="A148" s="3">
        <v>2</v>
      </c>
      <c r="B148" s="3">
        <v>1</v>
      </c>
      <c r="C148" s="9">
        <v>7.1</v>
      </c>
      <c r="D148" s="3" t="s">
        <v>1698</v>
      </c>
      <c r="E148" s="3" t="s">
        <v>1699</v>
      </c>
      <c r="F148" s="3" t="s">
        <v>1579</v>
      </c>
      <c r="G148" s="3" t="s">
        <v>21</v>
      </c>
      <c r="H148" s="3" t="s">
        <v>1580</v>
      </c>
      <c r="I148" s="3" t="s">
        <v>1700</v>
      </c>
      <c r="J148" s="3" t="s">
        <v>1701</v>
      </c>
      <c r="K148" s="3" t="s">
        <v>1697</v>
      </c>
    </row>
    <row r="149" spans="1:11" ht="45" customHeight="1" x14ac:dyDescent="0.25">
      <c r="A149" s="4">
        <v>3</v>
      </c>
      <c r="B149" s="4">
        <v>1</v>
      </c>
      <c r="C149" s="10" t="s">
        <v>624</v>
      </c>
      <c r="D149" s="4" t="s">
        <v>1702</v>
      </c>
      <c r="E149" s="4" t="s">
        <v>1703</v>
      </c>
      <c r="F149" s="4" t="s">
        <v>1579</v>
      </c>
      <c r="G149" s="4" t="s">
        <v>28</v>
      </c>
      <c r="H149" s="4" t="s">
        <v>1580</v>
      </c>
      <c r="I149" s="4" t="s">
        <v>1704</v>
      </c>
      <c r="J149" s="4" t="s">
        <v>1701</v>
      </c>
      <c r="K149" s="4" t="s">
        <v>1705</v>
      </c>
    </row>
    <row r="150" spans="1:11" ht="45" customHeight="1" x14ac:dyDescent="0.25">
      <c r="A150" s="4">
        <v>3</v>
      </c>
      <c r="B150" s="4">
        <v>2</v>
      </c>
      <c r="C150" s="10" t="s">
        <v>629</v>
      </c>
      <c r="D150" s="4" t="s">
        <v>1706</v>
      </c>
      <c r="E150" s="4" t="s">
        <v>1707</v>
      </c>
      <c r="F150" s="4" t="s">
        <v>1579</v>
      </c>
      <c r="G150" s="4" t="s">
        <v>28</v>
      </c>
      <c r="H150" s="4" t="s">
        <v>1580</v>
      </c>
      <c r="I150" s="4" t="s">
        <v>1708</v>
      </c>
      <c r="J150" s="4" t="s">
        <v>1701</v>
      </c>
      <c r="K150" s="4" t="s">
        <v>1705</v>
      </c>
    </row>
    <row r="151" spans="1:11" ht="45" customHeight="1" x14ac:dyDescent="0.25">
      <c r="A151" s="4">
        <v>3</v>
      </c>
      <c r="B151" s="4">
        <v>3</v>
      </c>
      <c r="C151" s="10" t="s">
        <v>633</v>
      </c>
      <c r="D151" s="4" t="s">
        <v>1709</v>
      </c>
      <c r="E151" s="4" t="s">
        <v>1710</v>
      </c>
      <c r="F151" s="4" t="s">
        <v>1579</v>
      </c>
      <c r="G151" s="4" t="s">
        <v>28</v>
      </c>
      <c r="H151" s="4" t="s">
        <v>1580</v>
      </c>
      <c r="I151" s="4" t="s">
        <v>1711</v>
      </c>
      <c r="J151" s="4" t="s">
        <v>1701</v>
      </c>
      <c r="K151" s="4" t="s">
        <v>1705</v>
      </c>
    </row>
    <row r="152" spans="1:11" ht="45" customHeight="1" x14ac:dyDescent="0.25">
      <c r="A152" s="4">
        <v>3</v>
      </c>
      <c r="B152" s="4">
        <v>4</v>
      </c>
      <c r="C152" s="10" t="s">
        <v>637</v>
      </c>
      <c r="D152" s="4" t="s">
        <v>1712</v>
      </c>
      <c r="E152" s="4" t="s">
        <v>1713</v>
      </c>
      <c r="F152" s="4" t="s">
        <v>1579</v>
      </c>
      <c r="G152" s="4" t="s">
        <v>28</v>
      </c>
      <c r="H152" s="4" t="s">
        <v>1580</v>
      </c>
      <c r="I152" s="4" t="s">
        <v>1714</v>
      </c>
      <c r="J152" s="4" t="s">
        <v>1701</v>
      </c>
      <c r="K152" s="4" t="s">
        <v>1705</v>
      </c>
    </row>
    <row r="153" spans="1:11" ht="45" customHeight="1" x14ac:dyDescent="0.25">
      <c r="A153" s="3">
        <v>2</v>
      </c>
      <c r="B153" s="3">
        <v>2</v>
      </c>
      <c r="C153" s="9">
        <v>7.2</v>
      </c>
      <c r="D153" s="3" t="s">
        <v>1715</v>
      </c>
      <c r="E153" s="3" t="s">
        <v>1716</v>
      </c>
      <c r="F153" s="3" t="s">
        <v>1579</v>
      </c>
      <c r="G153" s="3" t="s">
        <v>21</v>
      </c>
      <c r="H153" s="3" t="s">
        <v>1580</v>
      </c>
      <c r="I153" s="3" t="s">
        <v>1717</v>
      </c>
      <c r="J153" s="3" t="s">
        <v>1718</v>
      </c>
      <c r="K153" s="3" t="s">
        <v>1697</v>
      </c>
    </row>
    <row r="154" spans="1:11" ht="45" customHeight="1" x14ac:dyDescent="0.25">
      <c r="A154" s="4">
        <v>3</v>
      </c>
      <c r="B154" s="4">
        <v>1</v>
      </c>
      <c r="C154" s="10" t="s">
        <v>645</v>
      </c>
      <c r="D154" s="4" t="s">
        <v>1719</v>
      </c>
      <c r="E154" s="4" t="s">
        <v>1720</v>
      </c>
      <c r="F154" s="4" t="s">
        <v>1579</v>
      </c>
      <c r="G154" s="4" t="s">
        <v>28</v>
      </c>
      <c r="H154" s="4" t="s">
        <v>1580</v>
      </c>
      <c r="I154" s="4" t="s">
        <v>1721</v>
      </c>
      <c r="J154" s="4" t="s">
        <v>1718</v>
      </c>
      <c r="K154" s="4" t="s">
        <v>1722</v>
      </c>
    </row>
    <row r="155" spans="1:11" ht="45" customHeight="1" x14ac:dyDescent="0.25">
      <c r="A155" s="4">
        <v>3</v>
      </c>
      <c r="B155" s="4">
        <v>2</v>
      </c>
      <c r="C155" s="10" t="s">
        <v>650</v>
      </c>
      <c r="D155" s="4" t="s">
        <v>1723</v>
      </c>
      <c r="E155" s="4" t="s">
        <v>1724</v>
      </c>
      <c r="F155" s="4" t="s">
        <v>1579</v>
      </c>
      <c r="G155" s="4" t="s">
        <v>28</v>
      </c>
      <c r="H155" s="4" t="s">
        <v>1580</v>
      </c>
      <c r="I155" s="4" t="s">
        <v>1725</v>
      </c>
      <c r="J155" s="4" t="s">
        <v>1718</v>
      </c>
      <c r="K155" s="4" t="s">
        <v>1722</v>
      </c>
    </row>
    <row r="156" spans="1:11" ht="45" customHeight="1" x14ac:dyDescent="0.25">
      <c r="A156" s="4">
        <v>3</v>
      </c>
      <c r="B156" s="4">
        <v>3</v>
      </c>
      <c r="C156" s="10" t="s">
        <v>654</v>
      </c>
      <c r="D156" s="4" t="s">
        <v>1726</v>
      </c>
      <c r="E156" s="4" t="s">
        <v>1727</v>
      </c>
      <c r="F156" s="4" t="s">
        <v>1579</v>
      </c>
      <c r="G156" s="4" t="s">
        <v>28</v>
      </c>
      <c r="H156" s="4" t="s">
        <v>1580</v>
      </c>
      <c r="I156" s="4" t="s">
        <v>1728</v>
      </c>
      <c r="J156" s="4" t="s">
        <v>1718</v>
      </c>
      <c r="K156" s="4" t="s">
        <v>1722</v>
      </c>
    </row>
    <row r="157" spans="1:11" ht="45" customHeight="1" x14ac:dyDescent="0.25">
      <c r="A157" s="4">
        <v>3</v>
      </c>
      <c r="B157" s="4">
        <v>4</v>
      </c>
      <c r="C157" s="10" t="s">
        <v>658</v>
      </c>
      <c r="D157" s="4" t="s">
        <v>1729</v>
      </c>
      <c r="E157" s="4" t="s">
        <v>1730</v>
      </c>
      <c r="F157" s="4" t="s">
        <v>1579</v>
      </c>
      <c r="G157" s="4" t="s">
        <v>28</v>
      </c>
      <c r="H157" s="4" t="s">
        <v>1580</v>
      </c>
      <c r="I157" s="4" t="s">
        <v>1731</v>
      </c>
      <c r="J157" s="4" t="s">
        <v>1718</v>
      </c>
      <c r="K157" s="4" t="s">
        <v>1722</v>
      </c>
    </row>
    <row r="158" spans="1:11" ht="45" customHeight="1" x14ac:dyDescent="0.25">
      <c r="A158" s="3">
        <v>2</v>
      </c>
      <c r="B158" s="3">
        <v>3</v>
      </c>
      <c r="C158" s="9">
        <v>7.3</v>
      </c>
      <c r="D158" s="3" t="s">
        <v>1732</v>
      </c>
      <c r="E158" s="3" t="s">
        <v>1733</v>
      </c>
      <c r="F158" s="3" t="s">
        <v>1579</v>
      </c>
      <c r="G158" s="3" t="s">
        <v>21</v>
      </c>
      <c r="H158" s="3" t="s">
        <v>1580</v>
      </c>
      <c r="I158" s="3" t="s">
        <v>1734</v>
      </c>
      <c r="J158" s="3" t="s">
        <v>1616</v>
      </c>
      <c r="K158" s="3" t="s">
        <v>1735</v>
      </c>
    </row>
    <row r="159" spans="1:11" ht="45" customHeight="1" x14ac:dyDescent="0.25">
      <c r="A159" s="4">
        <v>3</v>
      </c>
      <c r="B159" s="4">
        <v>1</v>
      </c>
      <c r="C159" s="10" t="s">
        <v>666</v>
      </c>
      <c r="D159" s="4" t="s">
        <v>1736</v>
      </c>
      <c r="E159" s="4" t="s">
        <v>1737</v>
      </c>
      <c r="F159" s="4" t="s">
        <v>1579</v>
      </c>
      <c r="G159" s="4" t="s">
        <v>28</v>
      </c>
      <c r="H159" s="4" t="s">
        <v>1580</v>
      </c>
      <c r="I159" s="4" t="s">
        <v>1738</v>
      </c>
      <c r="J159" s="4" t="s">
        <v>1616</v>
      </c>
      <c r="K159" s="4" t="s">
        <v>1735</v>
      </c>
    </row>
    <row r="160" spans="1:11" ht="45" customHeight="1" x14ac:dyDescent="0.25">
      <c r="A160" s="4">
        <v>3</v>
      </c>
      <c r="B160" s="4">
        <v>2</v>
      </c>
      <c r="C160" s="10" t="s">
        <v>670</v>
      </c>
      <c r="D160" s="4" t="s">
        <v>1739</v>
      </c>
      <c r="E160" s="4" t="s">
        <v>1740</v>
      </c>
      <c r="F160" s="4" t="s">
        <v>1579</v>
      </c>
      <c r="G160" s="4" t="s">
        <v>28</v>
      </c>
      <c r="H160" s="4" t="s">
        <v>1580</v>
      </c>
      <c r="I160" s="4" t="s">
        <v>1741</v>
      </c>
      <c r="J160" s="4" t="s">
        <v>1616</v>
      </c>
      <c r="K160" s="4" t="s">
        <v>1722</v>
      </c>
    </row>
    <row r="161" spans="1:11" ht="45" customHeight="1" x14ac:dyDescent="0.25">
      <c r="A161" s="4">
        <v>3</v>
      </c>
      <c r="B161" s="4">
        <v>3</v>
      </c>
      <c r="C161" s="10" t="s">
        <v>674</v>
      </c>
      <c r="D161" s="4" t="s">
        <v>1742</v>
      </c>
      <c r="E161" s="4" t="s">
        <v>1743</v>
      </c>
      <c r="F161" s="4" t="s">
        <v>1579</v>
      </c>
      <c r="G161" s="4" t="s">
        <v>28</v>
      </c>
      <c r="H161" s="4" t="s">
        <v>1580</v>
      </c>
      <c r="I161" s="4" t="s">
        <v>1744</v>
      </c>
      <c r="J161" s="4" t="s">
        <v>1616</v>
      </c>
      <c r="K161" s="4" t="s">
        <v>1735</v>
      </c>
    </row>
    <row r="162" spans="1:11" ht="45" customHeight="1" x14ac:dyDescent="0.25">
      <c r="A162" s="4">
        <v>3</v>
      </c>
      <c r="B162" s="4">
        <v>4</v>
      </c>
      <c r="C162" s="10" t="s">
        <v>678</v>
      </c>
      <c r="D162" s="4" t="s">
        <v>1745</v>
      </c>
      <c r="E162" s="4" t="s">
        <v>1746</v>
      </c>
      <c r="F162" s="4" t="s">
        <v>1579</v>
      </c>
      <c r="G162" s="4" t="s">
        <v>28</v>
      </c>
      <c r="H162" s="4" t="s">
        <v>1580</v>
      </c>
      <c r="I162" s="4" t="s">
        <v>1747</v>
      </c>
      <c r="J162" s="4" t="s">
        <v>1616</v>
      </c>
      <c r="K162" s="4" t="s">
        <v>1735</v>
      </c>
    </row>
    <row r="163" spans="1:11" ht="45" customHeight="1" x14ac:dyDescent="0.25">
      <c r="A163" s="3">
        <v>2</v>
      </c>
      <c r="B163" s="3">
        <v>4</v>
      </c>
      <c r="C163" s="9">
        <v>7.4</v>
      </c>
      <c r="D163" s="3" t="s">
        <v>1748</v>
      </c>
      <c r="E163" s="3" t="s">
        <v>1749</v>
      </c>
      <c r="F163" s="3" t="s">
        <v>1579</v>
      </c>
      <c r="G163" s="3" t="s">
        <v>21</v>
      </c>
      <c r="H163" s="3" t="s">
        <v>1580</v>
      </c>
      <c r="I163" s="3" t="s">
        <v>1750</v>
      </c>
      <c r="J163" s="3" t="s">
        <v>1616</v>
      </c>
      <c r="K163" s="3" t="s">
        <v>1751</v>
      </c>
    </row>
    <row r="164" spans="1:11" ht="45" customHeight="1" x14ac:dyDescent="0.25">
      <c r="A164" s="4">
        <v>3</v>
      </c>
      <c r="B164" s="4">
        <v>1</v>
      </c>
      <c r="C164" s="10" t="s">
        <v>686</v>
      </c>
      <c r="D164" s="4" t="s">
        <v>1752</v>
      </c>
      <c r="E164" s="4" t="s">
        <v>1753</v>
      </c>
      <c r="F164" s="4" t="s">
        <v>1579</v>
      </c>
      <c r="G164" s="4" t="s">
        <v>28</v>
      </c>
      <c r="H164" s="4" t="s">
        <v>1580</v>
      </c>
      <c r="I164" s="4" t="s">
        <v>1754</v>
      </c>
      <c r="J164" s="4" t="s">
        <v>1616</v>
      </c>
      <c r="K164" s="4" t="s">
        <v>1751</v>
      </c>
    </row>
    <row r="165" spans="1:11" ht="45" customHeight="1" x14ac:dyDescent="0.25">
      <c r="A165" s="4">
        <v>3</v>
      </c>
      <c r="B165" s="4">
        <v>2</v>
      </c>
      <c r="C165" s="10" t="s">
        <v>690</v>
      </c>
      <c r="D165" s="4" t="s">
        <v>1755</v>
      </c>
      <c r="E165" s="4" t="s">
        <v>1756</v>
      </c>
      <c r="F165" s="4" t="s">
        <v>1579</v>
      </c>
      <c r="G165" s="4" t="s">
        <v>28</v>
      </c>
      <c r="H165" s="4" t="s">
        <v>1580</v>
      </c>
      <c r="I165" s="4" t="s">
        <v>1757</v>
      </c>
      <c r="J165" s="4" t="s">
        <v>1616</v>
      </c>
      <c r="K165" s="4" t="s">
        <v>1751</v>
      </c>
    </row>
    <row r="166" spans="1:11" ht="75" customHeight="1" x14ac:dyDescent="0.25">
      <c r="A166" s="2">
        <v>1</v>
      </c>
      <c r="B166" s="2">
        <v>9</v>
      </c>
      <c r="C166" s="8">
        <v>12</v>
      </c>
      <c r="D166" s="2" t="s">
        <v>1758</v>
      </c>
      <c r="E166" s="2" t="s">
        <v>1759</v>
      </c>
      <c r="F166" s="2" t="s">
        <v>1760</v>
      </c>
      <c r="G166" s="2" t="s">
        <v>14</v>
      </c>
      <c r="H166" s="2" t="s">
        <v>1580</v>
      </c>
      <c r="I166" s="2" t="s">
        <v>1761</v>
      </c>
      <c r="J166" s="2" t="s">
        <v>1762</v>
      </c>
      <c r="K166" s="2" t="s">
        <v>1763</v>
      </c>
    </row>
    <row r="167" spans="1:11" ht="45" customHeight="1" x14ac:dyDescent="0.25">
      <c r="A167" s="3">
        <v>2</v>
      </c>
      <c r="B167" s="3">
        <v>1</v>
      </c>
      <c r="C167" s="9">
        <v>12.1</v>
      </c>
      <c r="D167" s="3" t="s">
        <v>1764</v>
      </c>
      <c r="E167" s="3" t="s">
        <v>1765</v>
      </c>
      <c r="F167" s="3" t="s">
        <v>1760</v>
      </c>
      <c r="G167" s="3" t="s">
        <v>21</v>
      </c>
      <c r="H167" s="3" t="s">
        <v>1580</v>
      </c>
      <c r="I167" s="3" t="s">
        <v>1766</v>
      </c>
      <c r="J167" s="3" t="s">
        <v>1207</v>
      </c>
      <c r="K167" s="3" t="s">
        <v>1767</v>
      </c>
    </row>
    <row r="168" spans="1:11" ht="45" customHeight="1" x14ac:dyDescent="0.25">
      <c r="A168" s="4">
        <v>3</v>
      </c>
      <c r="B168" s="4">
        <v>1</v>
      </c>
      <c r="C168" s="10" t="s">
        <v>704</v>
      </c>
      <c r="D168" s="4" t="s">
        <v>1768</v>
      </c>
      <c r="E168" s="4" t="s">
        <v>1769</v>
      </c>
      <c r="F168" s="4" t="s">
        <v>1760</v>
      </c>
      <c r="G168" s="4" t="s">
        <v>28</v>
      </c>
      <c r="H168" s="4" t="s">
        <v>1580</v>
      </c>
      <c r="I168" s="4" t="s">
        <v>1770</v>
      </c>
      <c r="J168" s="4" t="s">
        <v>1207</v>
      </c>
      <c r="K168" s="4" t="s">
        <v>1767</v>
      </c>
    </row>
    <row r="169" spans="1:11" ht="45" customHeight="1" x14ac:dyDescent="0.25">
      <c r="A169" s="4">
        <v>3</v>
      </c>
      <c r="B169" s="4">
        <v>2</v>
      </c>
      <c r="C169" s="10" t="s">
        <v>708</v>
      </c>
      <c r="D169" s="4" t="s">
        <v>1771</v>
      </c>
      <c r="E169" s="4" t="s">
        <v>1772</v>
      </c>
      <c r="F169" s="4" t="s">
        <v>1760</v>
      </c>
      <c r="G169" s="4" t="s">
        <v>28</v>
      </c>
      <c r="H169" s="4" t="s">
        <v>1580</v>
      </c>
      <c r="I169" s="4" t="s">
        <v>1773</v>
      </c>
      <c r="J169" s="4" t="s">
        <v>1207</v>
      </c>
      <c r="K169" s="4" t="s">
        <v>1767</v>
      </c>
    </row>
    <row r="170" spans="1:11" ht="45" customHeight="1" x14ac:dyDescent="0.25">
      <c r="A170" s="4">
        <v>3</v>
      </c>
      <c r="B170" s="4">
        <v>3</v>
      </c>
      <c r="C170" s="10" t="s">
        <v>712</v>
      </c>
      <c r="D170" s="4" t="s">
        <v>1774</v>
      </c>
      <c r="E170" s="4" t="s">
        <v>1775</v>
      </c>
      <c r="F170" s="4" t="s">
        <v>1760</v>
      </c>
      <c r="G170" s="4" t="s">
        <v>28</v>
      </c>
      <c r="H170" s="4" t="s">
        <v>1580</v>
      </c>
      <c r="I170" s="4" t="s">
        <v>1776</v>
      </c>
      <c r="J170" s="4" t="s">
        <v>1207</v>
      </c>
      <c r="K170" s="4" t="s">
        <v>1767</v>
      </c>
    </row>
    <row r="171" spans="1:11" ht="45" customHeight="1" x14ac:dyDescent="0.25">
      <c r="A171" s="3">
        <v>2</v>
      </c>
      <c r="B171" s="3">
        <v>2</v>
      </c>
      <c r="C171" s="9">
        <v>12.2</v>
      </c>
      <c r="D171" s="3" t="s">
        <v>1777</v>
      </c>
      <c r="E171" s="3" t="s">
        <v>1778</v>
      </c>
      <c r="F171" s="3" t="s">
        <v>1760</v>
      </c>
      <c r="G171" s="3" t="s">
        <v>21</v>
      </c>
      <c r="H171" s="3" t="s">
        <v>1580</v>
      </c>
      <c r="I171" s="3" t="s">
        <v>1779</v>
      </c>
      <c r="J171" s="3" t="s">
        <v>1207</v>
      </c>
      <c r="K171" s="3" t="s">
        <v>1780</v>
      </c>
    </row>
    <row r="172" spans="1:11" ht="45" customHeight="1" x14ac:dyDescent="0.25">
      <c r="A172" s="4">
        <v>3</v>
      </c>
      <c r="B172" s="4">
        <v>1</v>
      </c>
      <c r="C172" s="10" t="s">
        <v>720</v>
      </c>
      <c r="D172" s="4" t="s">
        <v>1781</v>
      </c>
      <c r="E172" s="4" t="s">
        <v>1782</v>
      </c>
      <c r="F172" s="4" t="s">
        <v>1760</v>
      </c>
      <c r="G172" s="4" t="s">
        <v>28</v>
      </c>
      <c r="H172" s="4" t="s">
        <v>1580</v>
      </c>
      <c r="I172" s="4" t="s">
        <v>1783</v>
      </c>
      <c r="J172" s="4" t="s">
        <v>1207</v>
      </c>
      <c r="K172" s="4" t="s">
        <v>1780</v>
      </c>
    </row>
    <row r="173" spans="1:11" ht="45" customHeight="1" x14ac:dyDescent="0.25">
      <c r="A173" s="4">
        <v>3</v>
      </c>
      <c r="B173" s="4">
        <v>2</v>
      </c>
      <c r="C173" s="10" t="s">
        <v>724</v>
      </c>
      <c r="D173" s="4" t="s">
        <v>1784</v>
      </c>
      <c r="E173" s="4" t="s">
        <v>1785</v>
      </c>
      <c r="F173" s="4" t="s">
        <v>1760</v>
      </c>
      <c r="G173" s="4" t="s">
        <v>28</v>
      </c>
      <c r="H173" s="4" t="s">
        <v>1580</v>
      </c>
      <c r="I173" s="4" t="s">
        <v>1786</v>
      </c>
      <c r="J173" s="4" t="s">
        <v>1207</v>
      </c>
      <c r="K173" s="4" t="s">
        <v>1780</v>
      </c>
    </row>
    <row r="174" spans="1:11" ht="45" customHeight="1" x14ac:dyDescent="0.25">
      <c r="A174" s="4">
        <v>3</v>
      </c>
      <c r="B174" s="4">
        <v>3</v>
      </c>
      <c r="C174" s="10" t="s">
        <v>728</v>
      </c>
      <c r="D174" s="4" t="s">
        <v>1787</v>
      </c>
      <c r="E174" s="4" t="s">
        <v>1788</v>
      </c>
      <c r="F174" s="4" t="s">
        <v>1760</v>
      </c>
      <c r="G174" s="4" t="s">
        <v>28</v>
      </c>
      <c r="H174" s="4" t="s">
        <v>1580</v>
      </c>
      <c r="I174" s="4" t="s">
        <v>1789</v>
      </c>
      <c r="J174" s="4" t="s">
        <v>1207</v>
      </c>
      <c r="K174" s="4" t="s">
        <v>1780</v>
      </c>
    </row>
    <row r="175" spans="1:11" ht="45" customHeight="1" x14ac:dyDescent="0.25">
      <c r="A175" s="3">
        <v>2</v>
      </c>
      <c r="B175" s="3">
        <v>3</v>
      </c>
      <c r="C175" s="9">
        <v>12.3</v>
      </c>
      <c r="D175" s="3" t="s">
        <v>1790</v>
      </c>
      <c r="E175" s="3" t="s">
        <v>1791</v>
      </c>
      <c r="F175" s="3" t="s">
        <v>1760</v>
      </c>
      <c r="G175" s="3" t="s">
        <v>21</v>
      </c>
      <c r="H175" s="3" t="s">
        <v>1580</v>
      </c>
      <c r="I175" s="3" t="s">
        <v>1792</v>
      </c>
      <c r="J175" s="3" t="s">
        <v>1294</v>
      </c>
      <c r="K175" s="3" t="s">
        <v>1793</v>
      </c>
    </row>
    <row r="176" spans="1:11" ht="45" customHeight="1" x14ac:dyDescent="0.25">
      <c r="A176" s="4">
        <v>3</v>
      </c>
      <c r="B176" s="4">
        <v>1</v>
      </c>
      <c r="C176" s="10" t="s">
        <v>736</v>
      </c>
      <c r="D176" s="4" t="s">
        <v>1794</v>
      </c>
      <c r="E176" s="4" t="s">
        <v>1795</v>
      </c>
      <c r="F176" s="4" t="s">
        <v>1760</v>
      </c>
      <c r="G176" s="4" t="s">
        <v>28</v>
      </c>
      <c r="H176" s="4" t="s">
        <v>1580</v>
      </c>
      <c r="I176" s="4" t="s">
        <v>1796</v>
      </c>
      <c r="J176" s="4" t="s">
        <v>1294</v>
      </c>
      <c r="K176" s="4" t="s">
        <v>1793</v>
      </c>
    </row>
    <row r="177" spans="1:11" ht="45" customHeight="1" x14ac:dyDescent="0.25">
      <c r="A177" s="4">
        <v>3</v>
      </c>
      <c r="B177" s="4">
        <v>2</v>
      </c>
      <c r="C177" s="10" t="s">
        <v>740</v>
      </c>
      <c r="D177" s="4" t="s">
        <v>1797</v>
      </c>
      <c r="E177" s="4" t="s">
        <v>1798</v>
      </c>
      <c r="F177" s="4" t="s">
        <v>1760</v>
      </c>
      <c r="G177" s="4" t="s">
        <v>28</v>
      </c>
      <c r="H177" s="4" t="s">
        <v>1580</v>
      </c>
      <c r="I177" s="4" t="s">
        <v>1799</v>
      </c>
      <c r="J177" s="4" t="s">
        <v>1294</v>
      </c>
      <c r="K177" s="4" t="s">
        <v>1767</v>
      </c>
    </row>
    <row r="178" spans="1:11" ht="45" customHeight="1" x14ac:dyDescent="0.25">
      <c r="A178" s="4">
        <v>3</v>
      </c>
      <c r="B178" s="4">
        <v>3</v>
      </c>
      <c r="C178" s="10" t="s">
        <v>744</v>
      </c>
      <c r="D178" s="4" t="s">
        <v>1800</v>
      </c>
      <c r="E178" s="4" t="s">
        <v>1801</v>
      </c>
      <c r="F178" s="4" t="s">
        <v>1760</v>
      </c>
      <c r="G178" s="4" t="s">
        <v>28</v>
      </c>
      <c r="H178" s="4" t="s">
        <v>1580</v>
      </c>
      <c r="I178" s="4" t="s">
        <v>1802</v>
      </c>
      <c r="J178" s="4" t="s">
        <v>1294</v>
      </c>
      <c r="K178" s="4" t="s">
        <v>1793</v>
      </c>
    </row>
    <row r="179" spans="1:11" ht="45" customHeight="1" x14ac:dyDescent="0.25">
      <c r="A179" s="3">
        <v>2</v>
      </c>
      <c r="B179" s="3">
        <v>4</v>
      </c>
      <c r="C179" s="9">
        <v>12.4</v>
      </c>
      <c r="D179" s="3" t="s">
        <v>1803</v>
      </c>
      <c r="E179" s="3" t="s">
        <v>1804</v>
      </c>
      <c r="F179" s="3" t="s">
        <v>1760</v>
      </c>
      <c r="G179" s="3" t="s">
        <v>21</v>
      </c>
      <c r="H179" s="3" t="s">
        <v>1580</v>
      </c>
      <c r="I179" s="3" t="s">
        <v>1805</v>
      </c>
      <c r="J179" s="3" t="s">
        <v>1227</v>
      </c>
      <c r="K179" s="3" t="s">
        <v>1806</v>
      </c>
    </row>
    <row r="180" spans="1:11" ht="45" customHeight="1" x14ac:dyDescent="0.25">
      <c r="A180" s="4">
        <v>3</v>
      </c>
      <c r="B180" s="4">
        <v>1</v>
      </c>
      <c r="C180" s="10" t="s">
        <v>752</v>
      </c>
      <c r="D180" s="4" t="s">
        <v>1807</v>
      </c>
      <c r="E180" s="4" t="s">
        <v>1808</v>
      </c>
      <c r="F180" s="4" t="s">
        <v>1760</v>
      </c>
      <c r="G180" s="4" t="s">
        <v>28</v>
      </c>
      <c r="H180" s="4" t="s">
        <v>1580</v>
      </c>
      <c r="I180" s="4" t="s">
        <v>1809</v>
      </c>
      <c r="J180" s="4" t="s">
        <v>1227</v>
      </c>
      <c r="K180" s="4" t="s">
        <v>1806</v>
      </c>
    </row>
    <row r="181" spans="1:11" ht="45" customHeight="1" x14ac:dyDescent="0.25">
      <c r="A181" s="4">
        <v>3</v>
      </c>
      <c r="B181" s="4">
        <v>2</v>
      </c>
      <c r="C181" s="10" t="s">
        <v>756</v>
      </c>
      <c r="D181" s="4" t="s">
        <v>1810</v>
      </c>
      <c r="E181" s="4" t="s">
        <v>1811</v>
      </c>
      <c r="F181" s="4" t="s">
        <v>1760</v>
      </c>
      <c r="G181" s="4" t="s">
        <v>28</v>
      </c>
      <c r="H181" s="4" t="s">
        <v>1580</v>
      </c>
      <c r="I181" s="4" t="s">
        <v>1812</v>
      </c>
      <c r="J181" s="4" t="s">
        <v>1227</v>
      </c>
      <c r="K181" s="4" t="s">
        <v>1806</v>
      </c>
    </row>
    <row r="182" spans="1:11" ht="45" customHeight="1" x14ac:dyDescent="0.25">
      <c r="A182" s="4">
        <v>3</v>
      </c>
      <c r="B182" s="4">
        <v>3</v>
      </c>
      <c r="C182" s="10" t="s">
        <v>760</v>
      </c>
      <c r="D182" s="4" t="s">
        <v>1813</v>
      </c>
      <c r="E182" s="4" t="s">
        <v>1814</v>
      </c>
      <c r="F182" s="4" t="s">
        <v>1760</v>
      </c>
      <c r="G182" s="4" t="s">
        <v>28</v>
      </c>
      <c r="H182" s="4" t="s">
        <v>1580</v>
      </c>
      <c r="I182" s="4" t="s">
        <v>1815</v>
      </c>
      <c r="J182" s="4" t="s">
        <v>1227</v>
      </c>
      <c r="K182" s="4" t="s">
        <v>1806</v>
      </c>
    </row>
    <row r="183" spans="1:11" ht="45" customHeight="1" x14ac:dyDescent="0.25">
      <c r="A183" s="3">
        <v>2</v>
      </c>
      <c r="B183" s="3">
        <v>5</v>
      </c>
      <c r="C183" s="9">
        <v>12.5</v>
      </c>
      <c r="D183" s="3" t="s">
        <v>1816</v>
      </c>
      <c r="E183" s="3" t="s">
        <v>1817</v>
      </c>
      <c r="F183" s="3" t="s">
        <v>1760</v>
      </c>
      <c r="G183" s="3" t="s">
        <v>21</v>
      </c>
      <c r="H183" s="3" t="s">
        <v>1580</v>
      </c>
      <c r="I183" s="3" t="s">
        <v>1818</v>
      </c>
      <c r="J183" s="3" t="s">
        <v>1207</v>
      </c>
      <c r="K183" s="3" t="s">
        <v>1819</v>
      </c>
    </row>
    <row r="184" spans="1:11" ht="45" customHeight="1" x14ac:dyDescent="0.25">
      <c r="A184" s="4">
        <v>3</v>
      </c>
      <c r="B184" s="4">
        <v>1</v>
      </c>
      <c r="C184" s="10" t="s">
        <v>768</v>
      </c>
      <c r="D184" s="4" t="s">
        <v>1820</v>
      </c>
      <c r="E184" s="4" t="s">
        <v>1821</v>
      </c>
      <c r="F184" s="4" t="s">
        <v>1760</v>
      </c>
      <c r="G184" s="4" t="s">
        <v>28</v>
      </c>
      <c r="H184" s="4" t="s">
        <v>1580</v>
      </c>
      <c r="I184" s="4" t="s">
        <v>1822</v>
      </c>
      <c r="J184" s="4" t="s">
        <v>1207</v>
      </c>
      <c r="K184" s="4" t="s">
        <v>1819</v>
      </c>
    </row>
    <row r="185" spans="1:11" ht="45" customHeight="1" x14ac:dyDescent="0.25">
      <c r="A185" s="4">
        <v>3</v>
      </c>
      <c r="B185" s="4">
        <v>2</v>
      </c>
      <c r="C185" s="10" t="s">
        <v>772</v>
      </c>
      <c r="D185" s="4" t="s">
        <v>1823</v>
      </c>
      <c r="E185" s="4" t="s">
        <v>1824</v>
      </c>
      <c r="F185" s="4" t="s">
        <v>1760</v>
      </c>
      <c r="G185" s="4" t="s">
        <v>28</v>
      </c>
      <c r="H185" s="4" t="s">
        <v>1580</v>
      </c>
      <c r="I185" s="4" t="s">
        <v>1825</v>
      </c>
      <c r="J185" s="4" t="s">
        <v>1207</v>
      </c>
      <c r="K185" s="4" t="s">
        <v>1819</v>
      </c>
    </row>
    <row r="186" spans="1:11" ht="45" customHeight="1" x14ac:dyDescent="0.25">
      <c r="A186" s="3">
        <v>2</v>
      </c>
      <c r="B186" s="3">
        <v>6</v>
      </c>
      <c r="C186" s="9">
        <v>12.6</v>
      </c>
      <c r="D186" s="3" t="s">
        <v>1826</v>
      </c>
      <c r="E186" s="3" t="s">
        <v>1827</v>
      </c>
      <c r="F186" s="3" t="s">
        <v>1760</v>
      </c>
      <c r="G186" s="3" t="s">
        <v>21</v>
      </c>
      <c r="H186" s="3" t="s">
        <v>1580</v>
      </c>
      <c r="I186" s="3" t="s">
        <v>1828</v>
      </c>
      <c r="J186" s="3" t="s">
        <v>1294</v>
      </c>
      <c r="K186" s="3" t="s">
        <v>1829</v>
      </c>
    </row>
    <row r="187" spans="1:11" ht="45" customHeight="1" x14ac:dyDescent="0.25">
      <c r="A187" s="4">
        <v>3</v>
      </c>
      <c r="B187" s="4">
        <v>1</v>
      </c>
      <c r="C187" s="10" t="s">
        <v>780</v>
      </c>
      <c r="D187" s="4" t="s">
        <v>1830</v>
      </c>
      <c r="E187" s="4" t="s">
        <v>1831</v>
      </c>
      <c r="F187" s="4" t="s">
        <v>1760</v>
      </c>
      <c r="G187" s="4" t="s">
        <v>28</v>
      </c>
      <c r="H187" s="4" t="s">
        <v>1580</v>
      </c>
      <c r="I187" s="4" t="s">
        <v>1832</v>
      </c>
      <c r="J187" s="4" t="s">
        <v>1294</v>
      </c>
      <c r="K187" s="4" t="s">
        <v>1806</v>
      </c>
    </row>
    <row r="188" spans="1:11" ht="45" customHeight="1" x14ac:dyDescent="0.25">
      <c r="A188" s="4">
        <v>3</v>
      </c>
      <c r="B188" s="4">
        <v>2</v>
      </c>
      <c r="C188" s="10" t="s">
        <v>784</v>
      </c>
      <c r="D188" s="4" t="s">
        <v>1833</v>
      </c>
      <c r="E188" s="4" t="s">
        <v>1834</v>
      </c>
      <c r="F188" s="4" t="s">
        <v>1760</v>
      </c>
      <c r="G188" s="4" t="s">
        <v>28</v>
      </c>
      <c r="H188" s="4" t="s">
        <v>1580</v>
      </c>
      <c r="I188" s="4" t="s">
        <v>1835</v>
      </c>
      <c r="J188" s="4" t="s">
        <v>1294</v>
      </c>
      <c r="K188" s="4" t="s">
        <v>1829</v>
      </c>
    </row>
    <row r="189" spans="1:11" ht="60" customHeight="1" x14ac:dyDescent="0.25">
      <c r="A189" s="2">
        <v>1</v>
      </c>
      <c r="B189" s="2">
        <v>10</v>
      </c>
      <c r="C189" s="8">
        <v>6</v>
      </c>
      <c r="D189" s="2" t="s">
        <v>1836</v>
      </c>
      <c r="E189" s="2" t="s">
        <v>1837</v>
      </c>
      <c r="F189" s="2" t="s">
        <v>1838</v>
      </c>
      <c r="G189" s="2" t="s">
        <v>14</v>
      </c>
      <c r="H189" s="2" t="s">
        <v>1580</v>
      </c>
      <c r="I189" s="2" t="s">
        <v>1839</v>
      </c>
      <c r="J189" s="2" t="s">
        <v>1840</v>
      </c>
      <c r="K189" s="2" t="s">
        <v>1841</v>
      </c>
    </row>
    <row r="190" spans="1:11" ht="45" customHeight="1" x14ac:dyDescent="0.25">
      <c r="A190" s="3">
        <v>2</v>
      </c>
      <c r="B190" s="3">
        <v>1</v>
      </c>
      <c r="C190" s="9">
        <v>6.1</v>
      </c>
      <c r="D190" s="3" t="s">
        <v>1842</v>
      </c>
      <c r="E190" s="3" t="s">
        <v>1843</v>
      </c>
      <c r="F190" s="3" t="s">
        <v>1838</v>
      </c>
      <c r="G190" s="3" t="s">
        <v>21</v>
      </c>
      <c r="H190" s="3" t="s">
        <v>1580</v>
      </c>
      <c r="I190" s="3" t="s">
        <v>1844</v>
      </c>
      <c r="J190" s="3" t="s">
        <v>1616</v>
      </c>
      <c r="K190" s="3" t="s">
        <v>1841</v>
      </c>
    </row>
    <row r="191" spans="1:11" ht="45" customHeight="1" x14ac:dyDescent="0.25">
      <c r="A191" s="4">
        <v>3</v>
      </c>
      <c r="B191" s="4">
        <v>1</v>
      </c>
      <c r="C191" s="10" t="s">
        <v>797</v>
      </c>
      <c r="D191" s="4" t="s">
        <v>1845</v>
      </c>
      <c r="E191" s="4" t="s">
        <v>1846</v>
      </c>
      <c r="F191" s="4" t="s">
        <v>1838</v>
      </c>
      <c r="G191" s="4" t="s">
        <v>28</v>
      </c>
      <c r="H191" s="4" t="s">
        <v>1580</v>
      </c>
      <c r="I191" s="4" t="s">
        <v>1847</v>
      </c>
      <c r="J191" s="4" t="s">
        <v>1616</v>
      </c>
      <c r="K191" s="4" t="s">
        <v>1841</v>
      </c>
    </row>
    <row r="192" spans="1:11" ht="45" customHeight="1" x14ac:dyDescent="0.25">
      <c r="A192" s="4">
        <v>3</v>
      </c>
      <c r="B192" s="4">
        <v>2</v>
      </c>
      <c r="C192" s="10" t="s">
        <v>801</v>
      </c>
      <c r="D192" s="4" t="s">
        <v>1848</v>
      </c>
      <c r="E192" s="4" t="s">
        <v>1849</v>
      </c>
      <c r="F192" s="4" t="s">
        <v>1838</v>
      </c>
      <c r="G192" s="4" t="s">
        <v>28</v>
      </c>
      <c r="H192" s="4" t="s">
        <v>1580</v>
      </c>
      <c r="I192" s="4" t="s">
        <v>1850</v>
      </c>
      <c r="J192" s="4" t="s">
        <v>1616</v>
      </c>
      <c r="K192" s="4" t="s">
        <v>1841</v>
      </c>
    </row>
    <row r="193" spans="1:11" ht="45" customHeight="1" x14ac:dyDescent="0.25">
      <c r="A193" s="4">
        <v>3</v>
      </c>
      <c r="B193" s="4">
        <v>3</v>
      </c>
      <c r="C193" s="10" t="s">
        <v>805</v>
      </c>
      <c r="D193" s="4" t="s">
        <v>1851</v>
      </c>
      <c r="E193" s="4" t="s">
        <v>1852</v>
      </c>
      <c r="F193" s="4" t="s">
        <v>1838</v>
      </c>
      <c r="G193" s="4" t="s">
        <v>28</v>
      </c>
      <c r="H193" s="4" t="s">
        <v>1580</v>
      </c>
      <c r="I193" s="4" t="s">
        <v>1853</v>
      </c>
      <c r="J193" s="4" t="s">
        <v>1616</v>
      </c>
      <c r="K193" s="4" t="s">
        <v>1841</v>
      </c>
    </row>
    <row r="194" spans="1:11" ht="45" customHeight="1" x14ac:dyDescent="0.25">
      <c r="A194" s="3">
        <v>2</v>
      </c>
      <c r="B194" s="3">
        <v>2</v>
      </c>
      <c r="C194" s="9">
        <v>6.2</v>
      </c>
      <c r="D194" s="3" t="s">
        <v>1854</v>
      </c>
      <c r="E194" s="3" t="s">
        <v>1855</v>
      </c>
      <c r="F194" s="3" t="s">
        <v>1838</v>
      </c>
      <c r="G194" s="3" t="s">
        <v>21</v>
      </c>
      <c r="H194" s="3" t="s">
        <v>1580</v>
      </c>
      <c r="I194" s="3" t="s">
        <v>1856</v>
      </c>
      <c r="J194" s="3" t="s">
        <v>1207</v>
      </c>
      <c r="K194" s="3" t="s">
        <v>1857</v>
      </c>
    </row>
    <row r="195" spans="1:11" ht="45" customHeight="1" x14ac:dyDescent="0.25">
      <c r="A195" s="4">
        <v>3</v>
      </c>
      <c r="B195" s="4">
        <v>1</v>
      </c>
      <c r="C195" s="10" t="s">
        <v>813</v>
      </c>
      <c r="D195" s="4" t="s">
        <v>1858</v>
      </c>
      <c r="E195" s="4" t="s">
        <v>1859</v>
      </c>
      <c r="F195" s="4" t="s">
        <v>1838</v>
      </c>
      <c r="G195" s="4" t="s">
        <v>28</v>
      </c>
      <c r="H195" s="4" t="s">
        <v>1580</v>
      </c>
      <c r="I195" s="4" t="s">
        <v>1860</v>
      </c>
      <c r="J195" s="4" t="s">
        <v>1207</v>
      </c>
      <c r="K195" s="4" t="s">
        <v>1861</v>
      </c>
    </row>
    <row r="196" spans="1:11" ht="45" customHeight="1" x14ac:dyDescent="0.25">
      <c r="A196" s="4">
        <v>3</v>
      </c>
      <c r="B196" s="4">
        <v>2</v>
      </c>
      <c r="C196" s="10" t="s">
        <v>818</v>
      </c>
      <c r="D196" s="4" t="s">
        <v>1862</v>
      </c>
      <c r="E196" s="4" t="s">
        <v>1863</v>
      </c>
      <c r="F196" s="4" t="s">
        <v>1838</v>
      </c>
      <c r="G196" s="4" t="s">
        <v>28</v>
      </c>
      <c r="H196" s="4" t="s">
        <v>1580</v>
      </c>
      <c r="I196" s="4" t="s">
        <v>1864</v>
      </c>
      <c r="J196" s="4" t="s">
        <v>1207</v>
      </c>
      <c r="K196" s="4" t="s">
        <v>1861</v>
      </c>
    </row>
    <row r="197" spans="1:11" ht="45" customHeight="1" x14ac:dyDescent="0.25">
      <c r="A197" s="4">
        <v>3</v>
      </c>
      <c r="B197" s="4">
        <v>3</v>
      </c>
      <c r="C197" s="10" t="s">
        <v>822</v>
      </c>
      <c r="D197" s="4" t="s">
        <v>1865</v>
      </c>
      <c r="E197" s="4" t="s">
        <v>1866</v>
      </c>
      <c r="F197" s="4" t="s">
        <v>1838</v>
      </c>
      <c r="G197" s="4" t="s">
        <v>28</v>
      </c>
      <c r="H197" s="4" t="s">
        <v>1580</v>
      </c>
      <c r="I197" s="4" t="s">
        <v>1867</v>
      </c>
      <c r="J197" s="4" t="s">
        <v>1207</v>
      </c>
      <c r="K197" s="4" t="s">
        <v>1868</v>
      </c>
    </row>
    <row r="198" spans="1:11" ht="45" customHeight="1" x14ac:dyDescent="0.25">
      <c r="A198" s="3">
        <v>2</v>
      </c>
      <c r="B198" s="3">
        <v>3</v>
      </c>
      <c r="C198" s="9">
        <v>6.3</v>
      </c>
      <c r="D198" s="3" t="s">
        <v>1869</v>
      </c>
      <c r="E198" s="3" t="s">
        <v>1870</v>
      </c>
      <c r="F198" s="3" t="s">
        <v>1838</v>
      </c>
      <c r="G198" s="3" t="s">
        <v>21</v>
      </c>
      <c r="H198" s="3" t="s">
        <v>1580</v>
      </c>
      <c r="I198" s="3" t="s">
        <v>1871</v>
      </c>
      <c r="J198" s="3" t="s">
        <v>1207</v>
      </c>
      <c r="K198" s="3" t="s">
        <v>1872</v>
      </c>
    </row>
    <row r="199" spans="1:11" ht="45" customHeight="1" x14ac:dyDescent="0.25">
      <c r="A199" s="4">
        <v>3</v>
      </c>
      <c r="B199" s="4">
        <v>1</v>
      </c>
      <c r="C199" s="10" t="s">
        <v>831</v>
      </c>
      <c r="D199" s="4" t="s">
        <v>1873</v>
      </c>
      <c r="E199" s="4" t="s">
        <v>1874</v>
      </c>
      <c r="F199" s="4" t="s">
        <v>1838</v>
      </c>
      <c r="G199" s="4" t="s">
        <v>28</v>
      </c>
      <c r="H199" s="4" t="s">
        <v>1580</v>
      </c>
      <c r="I199" s="4" t="s">
        <v>1875</v>
      </c>
      <c r="J199" s="4" t="s">
        <v>1207</v>
      </c>
      <c r="K199" s="4" t="s">
        <v>1872</v>
      </c>
    </row>
    <row r="200" spans="1:11" ht="45" customHeight="1" x14ac:dyDescent="0.25">
      <c r="A200" s="4">
        <v>3</v>
      </c>
      <c r="B200" s="4">
        <v>2</v>
      </c>
      <c r="C200" s="10" t="s">
        <v>835</v>
      </c>
      <c r="D200" s="4" t="s">
        <v>1876</v>
      </c>
      <c r="E200" s="4" t="s">
        <v>1877</v>
      </c>
      <c r="F200" s="4" t="s">
        <v>1838</v>
      </c>
      <c r="G200" s="4" t="s">
        <v>28</v>
      </c>
      <c r="H200" s="4" t="s">
        <v>1580</v>
      </c>
      <c r="I200" s="4" t="s">
        <v>1878</v>
      </c>
      <c r="J200" s="4" t="s">
        <v>1207</v>
      </c>
      <c r="K200" s="4" t="s">
        <v>1872</v>
      </c>
    </row>
    <row r="201" spans="1:11" ht="45" customHeight="1" x14ac:dyDescent="0.25">
      <c r="A201" s="3">
        <v>2</v>
      </c>
      <c r="B201" s="3">
        <v>4</v>
      </c>
      <c r="C201" s="9">
        <v>6.4</v>
      </c>
      <c r="D201" s="3" t="s">
        <v>1879</v>
      </c>
      <c r="E201" s="3" t="s">
        <v>1880</v>
      </c>
      <c r="F201" s="3" t="s">
        <v>1838</v>
      </c>
      <c r="G201" s="3" t="s">
        <v>21</v>
      </c>
      <c r="H201" s="3" t="s">
        <v>1580</v>
      </c>
      <c r="I201" s="3" t="s">
        <v>1881</v>
      </c>
      <c r="J201" s="3" t="s">
        <v>1882</v>
      </c>
      <c r="K201" s="3" t="s">
        <v>1861</v>
      </c>
    </row>
    <row r="202" spans="1:11" ht="45" customHeight="1" x14ac:dyDescent="0.25">
      <c r="A202" s="4">
        <v>3</v>
      </c>
      <c r="B202" s="4">
        <v>1</v>
      </c>
      <c r="C202" s="10" t="s">
        <v>843</v>
      </c>
      <c r="D202" s="4" t="s">
        <v>1883</v>
      </c>
      <c r="E202" s="4" t="s">
        <v>1884</v>
      </c>
      <c r="F202" s="4" t="s">
        <v>1838</v>
      </c>
      <c r="G202" s="4" t="s">
        <v>28</v>
      </c>
      <c r="H202" s="4" t="s">
        <v>1580</v>
      </c>
      <c r="I202" s="4" t="s">
        <v>1885</v>
      </c>
      <c r="J202" s="4" t="s">
        <v>1882</v>
      </c>
      <c r="K202" s="4" t="s">
        <v>1886</v>
      </c>
    </row>
    <row r="203" spans="1:11" ht="45" customHeight="1" x14ac:dyDescent="0.25">
      <c r="A203" s="4">
        <v>3</v>
      </c>
      <c r="B203" s="4">
        <v>2</v>
      </c>
      <c r="C203" s="10" t="s">
        <v>848</v>
      </c>
      <c r="D203" s="4" t="s">
        <v>1887</v>
      </c>
      <c r="E203" s="4" t="s">
        <v>1888</v>
      </c>
      <c r="F203" s="4" t="s">
        <v>1838</v>
      </c>
      <c r="G203" s="4" t="s">
        <v>28</v>
      </c>
      <c r="H203" s="4" t="s">
        <v>1580</v>
      </c>
      <c r="I203" s="4" t="s">
        <v>1889</v>
      </c>
      <c r="J203" s="4" t="s">
        <v>1882</v>
      </c>
      <c r="K203" s="4" t="s">
        <v>1886</v>
      </c>
    </row>
    <row r="204" spans="1:11" ht="45" customHeight="1" x14ac:dyDescent="0.25">
      <c r="A204" s="4">
        <v>3</v>
      </c>
      <c r="B204" s="4">
        <v>3</v>
      </c>
      <c r="C204" s="10" t="s">
        <v>852</v>
      </c>
      <c r="D204" s="4" t="s">
        <v>1890</v>
      </c>
      <c r="E204" s="4" t="s">
        <v>1891</v>
      </c>
      <c r="F204" s="4" t="s">
        <v>1838</v>
      </c>
      <c r="G204" s="4" t="s">
        <v>28</v>
      </c>
      <c r="H204" s="4" t="s">
        <v>1580</v>
      </c>
      <c r="I204" s="4" t="s">
        <v>1892</v>
      </c>
      <c r="J204" s="4" t="s">
        <v>1882</v>
      </c>
      <c r="K204" s="4" t="s">
        <v>1886</v>
      </c>
    </row>
    <row r="205" spans="1:11" ht="75" customHeight="1" x14ac:dyDescent="0.25">
      <c r="A205" s="2">
        <v>1</v>
      </c>
      <c r="B205" s="2">
        <v>11</v>
      </c>
      <c r="C205" s="8">
        <v>11</v>
      </c>
      <c r="D205" s="2" t="s">
        <v>1893</v>
      </c>
      <c r="E205" s="2" t="s">
        <v>1894</v>
      </c>
      <c r="F205" s="2" t="s">
        <v>1895</v>
      </c>
      <c r="G205" s="2" t="s">
        <v>14</v>
      </c>
      <c r="H205" s="2" t="s">
        <v>1580</v>
      </c>
      <c r="I205" s="2" t="s">
        <v>1896</v>
      </c>
      <c r="J205" s="2" t="s">
        <v>1897</v>
      </c>
      <c r="K205" s="2" t="s">
        <v>1898</v>
      </c>
    </row>
    <row r="206" spans="1:11" ht="45" customHeight="1" x14ac:dyDescent="0.25">
      <c r="A206" s="3">
        <v>2</v>
      </c>
      <c r="B206" s="3">
        <v>1</v>
      </c>
      <c r="C206" s="9">
        <v>11.1</v>
      </c>
      <c r="D206" s="3" t="s">
        <v>1899</v>
      </c>
      <c r="E206" s="3" t="s">
        <v>1900</v>
      </c>
      <c r="F206" s="3" t="s">
        <v>1895</v>
      </c>
      <c r="G206" s="3" t="s">
        <v>21</v>
      </c>
      <c r="H206" s="3" t="s">
        <v>1580</v>
      </c>
      <c r="I206" s="3" t="s">
        <v>1901</v>
      </c>
      <c r="J206" s="3" t="s">
        <v>1207</v>
      </c>
      <c r="K206" s="3" t="s">
        <v>1902</v>
      </c>
    </row>
    <row r="207" spans="1:11" ht="45" customHeight="1" x14ac:dyDescent="0.25">
      <c r="A207" s="4">
        <v>3</v>
      </c>
      <c r="B207" s="4">
        <v>1</v>
      </c>
      <c r="C207" s="10" t="s">
        <v>866</v>
      </c>
      <c r="D207" s="4" t="s">
        <v>1903</v>
      </c>
      <c r="E207" s="4" t="s">
        <v>1904</v>
      </c>
      <c r="F207" s="4" t="s">
        <v>1895</v>
      </c>
      <c r="G207" s="4" t="s">
        <v>28</v>
      </c>
      <c r="H207" s="4" t="s">
        <v>1580</v>
      </c>
      <c r="I207" s="4" t="s">
        <v>1905</v>
      </c>
      <c r="J207" s="4" t="s">
        <v>1207</v>
      </c>
      <c r="K207" s="4" t="s">
        <v>1902</v>
      </c>
    </row>
    <row r="208" spans="1:11" ht="45" customHeight="1" x14ac:dyDescent="0.25">
      <c r="A208" s="4">
        <v>3</v>
      </c>
      <c r="B208" s="4">
        <v>2</v>
      </c>
      <c r="C208" s="10" t="s">
        <v>870</v>
      </c>
      <c r="D208" s="4" t="s">
        <v>1906</v>
      </c>
      <c r="E208" s="4" t="s">
        <v>1907</v>
      </c>
      <c r="F208" s="4" t="s">
        <v>1895</v>
      </c>
      <c r="G208" s="4" t="s">
        <v>28</v>
      </c>
      <c r="H208" s="4" t="s">
        <v>1580</v>
      </c>
      <c r="I208" s="4" t="s">
        <v>1908</v>
      </c>
      <c r="J208" s="4" t="s">
        <v>1207</v>
      </c>
      <c r="K208" s="4" t="s">
        <v>1902</v>
      </c>
    </row>
    <row r="209" spans="1:11" ht="45" customHeight="1" x14ac:dyDescent="0.25">
      <c r="A209" s="4">
        <v>3</v>
      </c>
      <c r="B209" s="4">
        <v>3</v>
      </c>
      <c r="C209" s="10" t="s">
        <v>874</v>
      </c>
      <c r="D209" s="4" t="s">
        <v>1909</v>
      </c>
      <c r="E209" s="4" t="s">
        <v>1910</v>
      </c>
      <c r="F209" s="4" t="s">
        <v>1895</v>
      </c>
      <c r="G209" s="4" t="s">
        <v>28</v>
      </c>
      <c r="H209" s="4" t="s">
        <v>1580</v>
      </c>
      <c r="I209" s="4" t="s">
        <v>1911</v>
      </c>
      <c r="J209" s="4" t="s">
        <v>1207</v>
      </c>
      <c r="K209" s="4" t="s">
        <v>1902</v>
      </c>
    </row>
    <row r="210" spans="1:11" ht="45" customHeight="1" x14ac:dyDescent="0.25">
      <c r="A210" s="4">
        <v>3</v>
      </c>
      <c r="B210" s="4">
        <v>4</v>
      </c>
      <c r="C210" s="10" t="s">
        <v>878</v>
      </c>
      <c r="D210" s="4" t="s">
        <v>1909</v>
      </c>
      <c r="E210" s="4" t="s">
        <v>1912</v>
      </c>
      <c r="F210" s="4" t="s">
        <v>1895</v>
      </c>
      <c r="G210" s="4" t="s">
        <v>28</v>
      </c>
      <c r="H210" s="4" t="s">
        <v>1580</v>
      </c>
      <c r="I210" s="4" t="s">
        <v>1913</v>
      </c>
      <c r="J210" s="4" t="s">
        <v>1207</v>
      </c>
      <c r="K210" s="4" t="s">
        <v>1914</v>
      </c>
    </row>
    <row r="211" spans="1:11" ht="45" customHeight="1" x14ac:dyDescent="0.25">
      <c r="A211" s="4">
        <v>3</v>
      </c>
      <c r="B211" s="4">
        <v>5</v>
      </c>
      <c r="C211" s="10" t="s">
        <v>883</v>
      </c>
      <c r="D211" s="4" t="s">
        <v>1915</v>
      </c>
      <c r="E211" s="4" t="s">
        <v>1916</v>
      </c>
      <c r="F211" s="4" t="s">
        <v>1895</v>
      </c>
      <c r="G211" s="4" t="s">
        <v>28</v>
      </c>
      <c r="H211" s="4" t="s">
        <v>1580</v>
      </c>
      <c r="I211" s="4" t="s">
        <v>1917</v>
      </c>
      <c r="J211" s="4" t="s">
        <v>1207</v>
      </c>
      <c r="K211" s="4" t="s">
        <v>1902</v>
      </c>
    </row>
    <row r="212" spans="1:11" ht="45" customHeight="1" x14ac:dyDescent="0.25">
      <c r="A212" s="4">
        <v>3</v>
      </c>
      <c r="B212" s="4">
        <v>6</v>
      </c>
      <c r="C212" s="10" t="s">
        <v>887</v>
      </c>
      <c r="D212" s="4" t="s">
        <v>1918</v>
      </c>
      <c r="E212" s="4" t="s">
        <v>1919</v>
      </c>
      <c r="F212" s="4" t="s">
        <v>1895</v>
      </c>
      <c r="G212" s="4" t="s">
        <v>28</v>
      </c>
      <c r="H212" s="4" t="s">
        <v>1580</v>
      </c>
      <c r="I212" s="4" t="s">
        <v>1920</v>
      </c>
      <c r="J212" s="4" t="s">
        <v>1207</v>
      </c>
      <c r="K212" s="4" t="s">
        <v>1902</v>
      </c>
    </row>
    <row r="213" spans="1:11" ht="45" customHeight="1" x14ac:dyDescent="0.25">
      <c r="A213" s="3">
        <v>2</v>
      </c>
      <c r="B213" s="3">
        <v>2</v>
      </c>
      <c r="C213" s="9">
        <v>11.2</v>
      </c>
      <c r="D213" s="3" t="s">
        <v>1921</v>
      </c>
      <c r="E213" s="3" t="s">
        <v>1922</v>
      </c>
      <c r="F213" s="3" t="s">
        <v>1895</v>
      </c>
      <c r="G213" s="3" t="s">
        <v>21</v>
      </c>
      <c r="H213" s="3" t="s">
        <v>1580</v>
      </c>
      <c r="I213" s="3" t="s">
        <v>1923</v>
      </c>
      <c r="J213" s="3" t="s">
        <v>1207</v>
      </c>
      <c r="K213" s="3" t="s">
        <v>1924</v>
      </c>
    </row>
    <row r="214" spans="1:11" ht="45" customHeight="1" x14ac:dyDescent="0.25">
      <c r="A214" s="4">
        <v>3</v>
      </c>
      <c r="B214" s="4">
        <v>1</v>
      </c>
      <c r="C214" s="10" t="s">
        <v>895</v>
      </c>
      <c r="D214" s="4" t="s">
        <v>1925</v>
      </c>
      <c r="E214" s="4" t="s">
        <v>1926</v>
      </c>
      <c r="F214" s="4" t="s">
        <v>1895</v>
      </c>
      <c r="G214" s="4" t="s">
        <v>28</v>
      </c>
      <c r="H214" s="4" t="s">
        <v>1580</v>
      </c>
      <c r="I214" s="4" t="s">
        <v>1927</v>
      </c>
      <c r="J214" s="4" t="s">
        <v>1207</v>
      </c>
      <c r="K214" s="4" t="s">
        <v>1924</v>
      </c>
    </row>
    <row r="215" spans="1:11" ht="45" customHeight="1" x14ac:dyDescent="0.25">
      <c r="A215" s="4">
        <v>3</v>
      </c>
      <c r="B215" s="4">
        <v>2</v>
      </c>
      <c r="C215" s="10" t="s">
        <v>899</v>
      </c>
      <c r="D215" s="4" t="s">
        <v>1928</v>
      </c>
      <c r="E215" s="4" t="s">
        <v>1929</v>
      </c>
      <c r="F215" s="4" t="s">
        <v>1895</v>
      </c>
      <c r="G215" s="4" t="s">
        <v>28</v>
      </c>
      <c r="H215" s="4" t="s">
        <v>1580</v>
      </c>
      <c r="I215" s="4" t="s">
        <v>1930</v>
      </c>
      <c r="J215" s="4" t="s">
        <v>1207</v>
      </c>
      <c r="K215" s="4" t="s">
        <v>1931</v>
      </c>
    </row>
    <row r="216" spans="1:11" ht="45" customHeight="1" x14ac:dyDescent="0.25">
      <c r="A216" s="4">
        <v>3</v>
      </c>
      <c r="B216" s="4">
        <v>3</v>
      </c>
      <c r="C216" s="10" t="s">
        <v>904</v>
      </c>
      <c r="D216" s="4" t="s">
        <v>1932</v>
      </c>
      <c r="E216" s="4" t="s">
        <v>1933</v>
      </c>
      <c r="F216" s="4" t="s">
        <v>1895</v>
      </c>
      <c r="G216" s="4" t="s">
        <v>28</v>
      </c>
      <c r="H216" s="4" t="s">
        <v>1580</v>
      </c>
      <c r="I216" s="4" t="s">
        <v>1934</v>
      </c>
      <c r="J216" s="4" t="s">
        <v>1207</v>
      </c>
      <c r="K216" s="4" t="s">
        <v>1924</v>
      </c>
    </row>
    <row r="217" spans="1:11" ht="45" customHeight="1" x14ac:dyDescent="0.25">
      <c r="A217" s="4">
        <v>3</v>
      </c>
      <c r="B217" s="4">
        <v>4</v>
      </c>
      <c r="C217" s="10" t="s">
        <v>908</v>
      </c>
      <c r="D217" s="4" t="s">
        <v>1935</v>
      </c>
      <c r="E217" s="4" t="s">
        <v>1936</v>
      </c>
      <c r="F217" s="4" t="s">
        <v>1895</v>
      </c>
      <c r="G217" s="4" t="s">
        <v>28</v>
      </c>
      <c r="H217" s="4" t="s">
        <v>1580</v>
      </c>
      <c r="I217" s="4" t="s">
        <v>1937</v>
      </c>
      <c r="J217" s="4" t="s">
        <v>1207</v>
      </c>
      <c r="K217" s="4" t="s">
        <v>1938</v>
      </c>
    </row>
    <row r="218" spans="1:11" ht="45" customHeight="1" x14ac:dyDescent="0.25">
      <c r="A218" s="4">
        <v>3</v>
      </c>
      <c r="B218" s="4">
        <v>5</v>
      </c>
      <c r="C218" s="10" t="s">
        <v>913</v>
      </c>
      <c r="D218" s="4" t="s">
        <v>1939</v>
      </c>
      <c r="E218" s="4" t="s">
        <v>1940</v>
      </c>
      <c r="F218" s="4" t="s">
        <v>1895</v>
      </c>
      <c r="G218" s="4" t="s">
        <v>28</v>
      </c>
      <c r="H218" s="4" t="s">
        <v>1580</v>
      </c>
      <c r="I218" s="4" t="s">
        <v>1941</v>
      </c>
      <c r="J218" s="4" t="s">
        <v>1207</v>
      </c>
      <c r="K218" s="4" t="s">
        <v>1924</v>
      </c>
    </row>
    <row r="219" spans="1:11" ht="60" customHeight="1" x14ac:dyDescent="0.25">
      <c r="A219" s="3">
        <v>2</v>
      </c>
      <c r="B219" s="3">
        <v>3</v>
      </c>
      <c r="C219" s="9">
        <v>11.3</v>
      </c>
      <c r="D219" s="3" t="s">
        <v>1942</v>
      </c>
      <c r="E219" s="3" t="s">
        <v>1943</v>
      </c>
      <c r="F219" s="3" t="s">
        <v>1895</v>
      </c>
      <c r="G219" s="3" t="s">
        <v>21</v>
      </c>
      <c r="H219" s="3" t="s">
        <v>1580</v>
      </c>
      <c r="I219" s="3" t="s">
        <v>1944</v>
      </c>
      <c r="J219" s="3" t="s">
        <v>1616</v>
      </c>
      <c r="K219" s="3" t="s">
        <v>1945</v>
      </c>
    </row>
    <row r="220" spans="1:11" ht="45" customHeight="1" x14ac:dyDescent="0.25">
      <c r="A220" s="4">
        <v>3</v>
      </c>
      <c r="B220" s="4">
        <v>1</v>
      </c>
      <c r="C220" s="10" t="s">
        <v>921</v>
      </c>
      <c r="D220" s="4" t="s">
        <v>1946</v>
      </c>
      <c r="E220" s="4" t="s">
        <v>1947</v>
      </c>
      <c r="F220" s="4" t="s">
        <v>1895</v>
      </c>
      <c r="G220" s="4" t="s">
        <v>28</v>
      </c>
      <c r="H220" s="4" t="s">
        <v>1580</v>
      </c>
      <c r="I220" s="4" t="s">
        <v>1948</v>
      </c>
      <c r="J220" s="4" t="s">
        <v>1616</v>
      </c>
      <c r="K220" s="4" t="s">
        <v>1945</v>
      </c>
    </row>
    <row r="221" spans="1:11" ht="45" customHeight="1" x14ac:dyDescent="0.25">
      <c r="A221" s="4">
        <v>3</v>
      </c>
      <c r="B221" s="4">
        <v>2</v>
      </c>
      <c r="C221" s="10" t="s">
        <v>925</v>
      </c>
      <c r="D221" s="4" t="s">
        <v>1949</v>
      </c>
      <c r="E221" s="4" t="s">
        <v>1950</v>
      </c>
      <c r="F221" s="4" t="s">
        <v>1895</v>
      </c>
      <c r="G221" s="4" t="s">
        <v>28</v>
      </c>
      <c r="H221" s="4" t="s">
        <v>1580</v>
      </c>
      <c r="I221" s="4" t="s">
        <v>1951</v>
      </c>
      <c r="J221" s="4" t="s">
        <v>1616</v>
      </c>
      <c r="K221" s="4" t="s">
        <v>1945</v>
      </c>
    </row>
    <row r="222" spans="1:11" ht="45" customHeight="1" x14ac:dyDescent="0.25">
      <c r="A222" s="4">
        <v>3</v>
      </c>
      <c r="B222" s="4">
        <v>3</v>
      </c>
      <c r="C222" s="10" t="s">
        <v>929</v>
      </c>
      <c r="D222" s="4" t="s">
        <v>1952</v>
      </c>
      <c r="E222" s="4" t="s">
        <v>1953</v>
      </c>
      <c r="F222" s="4" t="s">
        <v>1895</v>
      </c>
      <c r="G222" s="4" t="s">
        <v>28</v>
      </c>
      <c r="H222" s="4" t="s">
        <v>1580</v>
      </c>
      <c r="I222" s="4" t="s">
        <v>1954</v>
      </c>
      <c r="J222" s="4" t="s">
        <v>1616</v>
      </c>
      <c r="K222" s="4" t="s">
        <v>1945</v>
      </c>
    </row>
    <row r="223" spans="1:11" ht="45" customHeight="1" x14ac:dyDescent="0.25">
      <c r="A223" s="4">
        <v>3</v>
      </c>
      <c r="B223" s="4">
        <v>4</v>
      </c>
      <c r="C223" s="10" t="s">
        <v>933</v>
      </c>
      <c r="D223" s="4" t="s">
        <v>1955</v>
      </c>
      <c r="E223" s="4" t="s">
        <v>1956</v>
      </c>
      <c r="F223" s="4" t="s">
        <v>1895</v>
      </c>
      <c r="G223" s="4" t="s">
        <v>28</v>
      </c>
      <c r="H223" s="4" t="s">
        <v>1580</v>
      </c>
      <c r="I223" s="4" t="s">
        <v>1957</v>
      </c>
      <c r="J223" s="4" t="s">
        <v>1616</v>
      </c>
      <c r="K223" s="4" t="s">
        <v>1945</v>
      </c>
    </row>
    <row r="224" spans="1:11" ht="45" customHeight="1" x14ac:dyDescent="0.25">
      <c r="A224" s="3">
        <v>2</v>
      </c>
      <c r="B224" s="3">
        <v>4</v>
      </c>
      <c r="C224" s="9">
        <v>11.4</v>
      </c>
      <c r="D224" s="3" t="s">
        <v>1958</v>
      </c>
      <c r="E224" s="3" t="s">
        <v>1959</v>
      </c>
      <c r="F224" s="3" t="s">
        <v>1895</v>
      </c>
      <c r="G224" s="3" t="s">
        <v>21</v>
      </c>
      <c r="H224" s="3" t="s">
        <v>1580</v>
      </c>
      <c r="I224" s="3" t="s">
        <v>1960</v>
      </c>
      <c r="J224" s="3" t="s">
        <v>1961</v>
      </c>
      <c r="K224" s="3" t="s">
        <v>1898</v>
      </c>
    </row>
    <row r="225" spans="1:11" ht="45" customHeight="1" x14ac:dyDescent="0.25">
      <c r="A225" s="4">
        <v>3</v>
      </c>
      <c r="B225" s="4">
        <v>1</v>
      </c>
      <c r="C225" s="10" t="s">
        <v>941</v>
      </c>
      <c r="D225" s="4" t="s">
        <v>942</v>
      </c>
      <c r="E225" s="4" t="s">
        <v>1962</v>
      </c>
      <c r="F225" s="4" t="s">
        <v>1895</v>
      </c>
      <c r="G225" s="4" t="s">
        <v>28</v>
      </c>
      <c r="H225" s="4" t="s">
        <v>1580</v>
      </c>
      <c r="I225" s="4" t="s">
        <v>1963</v>
      </c>
      <c r="J225" s="4" t="s">
        <v>1961</v>
      </c>
      <c r="K225" s="4" t="s">
        <v>1964</v>
      </c>
    </row>
    <row r="226" spans="1:11" ht="45" customHeight="1" x14ac:dyDescent="0.25">
      <c r="A226" s="4">
        <v>3</v>
      </c>
      <c r="B226" s="4">
        <v>2</v>
      </c>
      <c r="C226" s="10" t="s">
        <v>946</v>
      </c>
      <c r="D226" s="4" t="s">
        <v>1965</v>
      </c>
      <c r="E226" s="4" t="s">
        <v>1966</v>
      </c>
      <c r="F226" s="4" t="s">
        <v>1895</v>
      </c>
      <c r="G226" s="4" t="s">
        <v>28</v>
      </c>
      <c r="H226" s="4" t="s">
        <v>1580</v>
      </c>
      <c r="I226" s="4" t="s">
        <v>1967</v>
      </c>
      <c r="J226" s="4" t="s">
        <v>1961</v>
      </c>
      <c r="K226" s="4" t="s">
        <v>1964</v>
      </c>
    </row>
    <row r="227" spans="1:11" ht="45" customHeight="1" x14ac:dyDescent="0.25">
      <c r="A227" s="4">
        <v>3</v>
      </c>
      <c r="B227" s="4">
        <v>3</v>
      </c>
      <c r="C227" s="10" t="s">
        <v>950</v>
      </c>
      <c r="D227" s="4" t="s">
        <v>1968</v>
      </c>
      <c r="E227" s="4" t="s">
        <v>1969</v>
      </c>
      <c r="F227" s="4" t="s">
        <v>1895</v>
      </c>
      <c r="G227" s="4" t="s">
        <v>28</v>
      </c>
      <c r="H227" s="4" t="s">
        <v>1580</v>
      </c>
      <c r="I227" s="4" t="s">
        <v>1970</v>
      </c>
      <c r="J227" s="4" t="s">
        <v>1961</v>
      </c>
      <c r="K227" s="4" t="s">
        <v>1971</v>
      </c>
    </row>
    <row r="228" spans="1:11" ht="45" customHeight="1" x14ac:dyDescent="0.25">
      <c r="A228" s="2">
        <v>1</v>
      </c>
      <c r="B228" s="2">
        <v>12</v>
      </c>
      <c r="C228" s="8">
        <v>3</v>
      </c>
      <c r="D228" s="2" t="s">
        <v>1972</v>
      </c>
      <c r="E228" s="2" t="s">
        <v>1973</v>
      </c>
      <c r="F228" s="2" t="s">
        <v>1974</v>
      </c>
      <c r="G228" s="2" t="s">
        <v>14</v>
      </c>
      <c r="H228" s="2" t="s">
        <v>1580</v>
      </c>
      <c r="I228" s="2" t="s">
        <v>1975</v>
      </c>
      <c r="J228" s="2" t="s">
        <v>1616</v>
      </c>
      <c r="K228" s="2" t="s">
        <v>1976</v>
      </c>
    </row>
    <row r="229" spans="1:11" ht="45" customHeight="1" x14ac:dyDescent="0.25">
      <c r="A229" s="3">
        <v>2</v>
      </c>
      <c r="B229" s="3">
        <v>1</v>
      </c>
      <c r="C229" s="9">
        <v>3.1</v>
      </c>
      <c r="D229" s="3" t="s">
        <v>1977</v>
      </c>
      <c r="E229" s="3" t="s">
        <v>1978</v>
      </c>
      <c r="F229" s="3" t="s">
        <v>1974</v>
      </c>
      <c r="G229" s="3" t="s">
        <v>21</v>
      </c>
      <c r="H229" s="3" t="s">
        <v>1580</v>
      </c>
      <c r="I229" s="3" t="s">
        <v>1979</v>
      </c>
      <c r="J229" s="3" t="s">
        <v>1616</v>
      </c>
      <c r="K229" s="3" t="s">
        <v>1980</v>
      </c>
    </row>
    <row r="230" spans="1:11" ht="45" customHeight="1" x14ac:dyDescent="0.25">
      <c r="A230" s="4">
        <v>3</v>
      </c>
      <c r="B230" s="4">
        <v>1</v>
      </c>
      <c r="C230" s="10" t="s">
        <v>964</v>
      </c>
      <c r="D230" s="4" t="s">
        <v>1981</v>
      </c>
      <c r="E230" s="4" t="s">
        <v>1982</v>
      </c>
      <c r="F230" s="4" t="s">
        <v>1974</v>
      </c>
      <c r="G230" s="4" t="s">
        <v>28</v>
      </c>
      <c r="H230" s="4" t="s">
        <v>1580</v>
      </c>
      <c r="I230" s="4" t="s">
        <v>1983</v>
      </c>
      <c r="J230" s="4" t="s">
        <v>1616</v>
      </c>
      <c r="K230" s="4" t="s">
        <v>1980</v>
      </c>
    </row>
    <row r="231" spans="1:11" ht="45" customHeight="1" x14ac:dyDescent="0.25">
      <c r="A231" s="4">
        <v>3</v>
      </c>
      <c r="B231" s="4">
        <v>2</v>
      </c>
      <c r="C231" s="10" t="s">
        <v>968</v>
      </c>
      <c r="D231" s="4" t="s">
        <v>1984</v>
      </c>
      <c r="E231" s="4" t="s">
        <v>1985</v>
      </c>
      <c r="F231" s="4" t="s">
        <v>1974</v>
      </c>
      <c r="G231" s="4" t="s">
        <v>28</v>
      </c>
      <c r="H231" s="4" t="s">
        <v>1580</v>
      </c>
      <c r="I231" s="4" t="s">
        <v>1986</v>
      </c>
      <c r="J231" s="4" t="s">
        <v>1616</v>
      </c>
      <c r="K231" s="4" t="s">
        <v>1980</v>
      </c>
    </row>
    <row r="232" spans="1:11" ht="45" customHeight="1" x14ac:dyDescent="0.25">
      <c r="A232" s="3">
        <v>2</v>
      </c>
      <c r="B232" s="3">
        <v>2</v>
      </c>
      <c r="C232" s="9">
        <v>3.2</v>
      </c>
      <c r="D232" s="3" t="s">
        <v>1987</v>
      </c>
      <c r="E232" s="3" t="s">
        <v>1988</v>
      </c>
      <c r="F232" s="3" t="s">
        <v>1974</v>
      </c>
      <c r="G232" s="3" t="s">
        <v>21</v>
      </c>
      <c r="H232" s="3" t="s">
        <v>1580</v>
      </c>
      <c r="I232" s="3" t="s">
        <v>1989</v>
      </c>
      <c r="J232" s="3" t="s">
        <v>1990</v>
      </c>
      <c r="K232" s="3" t="s">
        <v>1991</v>
      </c>
    </row>
    <row r="233" spans="1:11" ht="45" customHeight="1" x14ac:dyDescent="0.25">
      <c r="A233" s="4">
        <v>3</v>
      </c>
      <c r="B233" s="4">
        <v>1</v>
      </c>
      <c r="C233" s="10" t="s">
        <v>977</v>
      </c>
      <c r="D233" s="4" t="s">
        <v>1992</v>
      </c>
      <c r="E233" s="4" t="s">
        <v>1993</v>
      </c>
      <c r="F233" s="4" t="s">
        <v>1974</v>
      </c>
      <c r="G233" s="4" t="s">
        <v>28</v>
      </c>
      <c r="H233" s="4" t="s">
        <v>1580</v>
      </c>
      <c r="I233" s="4" t="s">
        <v>1994</v>
      </c>
      <c r="J233" s="4" t="s">
        <v>1990</v>
      </c>
      <c r="K233" s="4" t="s">
        <v>1991</v>
      </c>
    </row>
    <row r="234" spans="1:11" ht="45" customHeight="1" x14ac:dyDescent="0.25">
      <c r="A234" s="4">
        <v>3</v>
      </c>
      <c r="B234" s="4">
        <v>2</v>
      </c>
      <c r="C234" s="10" t="s">
        <v>981</v>
      </c>
      <c r="D234" s="4" t="s">
        <v>1995</v>
      </c>
      <c r="E234" s="4" t="s">
        <v>1996</v>
      </c>
      <c r="F234" s="4" t="s">
        <v>1974</v>
      </c>
      <c r="G234" s="4" t="s">
        <v>28</v>
      </c>
      <c r="H234" s="4" t="s">
        <v>1580</v>
      </c>
      <c r="I234" s="4" t="s">
        <v>1997</v>
      </c>
      <c r="J234" s="4" t="s">
        <v>1990</v>
      </c>
      <c r="K234" s="4" t="s">
        <v>1991</v>
      </c>
    </row>
    <row r="235" spans="1:11" ht="45" customHeight="1" x14ac:dyDescent="0.25">
      <c r="A235" s="3">
        <v>2</v>
      </c>
      <c r="B235" s="3">
        <v>3</v>
      </c>
      <c r="C235" s="9">
        <v>3.3</v>
      </c>
      <c r="D235" s="3" t="s">
        <v>1998</v>
      </c>
      <c r="E235" s="3" t="s">
        <v>1999</v>
      </c>
      <c r="F235" s="3" t="s">
        <v>1974</v>
      </c>
      <c r="G235" s="3" t="s">
        <v>21</v>
      </c>
      <c r="H235" s="3" t="s">
        <v>1580</v>
      </c>
      <c r="I235" s="3" t="s">
        <v>2000</v>
      </c>
      <c r="J235" s="3" t="s">
        <v>1616</v>
      </c>
      <c r="K235" s="3" t="s">
        <v>2001</v>
      </c>
    </row>
    <row r="236" spans="1:11" ht="45" customHeight="1" x14ac:dyDescent="0.25">
      <c r="A236" s="4">
        <v>3</v>
      </c>
      <c r="B236" s="4">
        <v>1</v>
      </c>
      <c r="C236" s="10" t="s">
        <v>989</v>
      </c>
      <c r="D236" s="4" t="s">
        <v>2002</v>
      </c>
      <c r="E236" s="4" t="s">
        <v>2003</v>
      </c>
      <c r="F236" s="4" t="s">
        <v>1974</v>
      </c>
      <c r="G236" s="4" t="s">
        <v>28</v>
      </c>
      <c r="H236" s="4" t="s">
        <v>1580</v>
      </c>
      <c r="I236" s="4" t="s">
        <v>2004</v>
      </c>
      <c r="J236" s="4" t="s">
        <v>1616</v>
      </c>
      <c r="K236" s="4" t="s">
        <v>2001</v>
      </c>
    </row>
    <row r="237" spans="1:11" ht="45" customHeight="1" x14ac:dyDescent="0.25">
      <c r="A237" s="4">
        <v>3</v>
      </c>
      <c r="B237" s="4">
        <v>2</v>
      </c>
      <c r="C237" s="10" t="s">
        <v>993</v>
      </c>
      <c r="D237" s="4" t="s">
        <v>2005</v>
      </c>
      <c r="E237" s="4" t="s">
        <v>2006</v>
      </c>
      <c r="F237" s="4" t="s">
        <v>1974</v>
      </c>
      <c r="G237" s="4" t="s">
        <v>28</v>
      </c>
      <c r="H237" s="4" t="s">
        <v>1580</v>
      </c>
      <c r="I237" s="4" t="s">
        <v>2007</v>
      </c>
      <c r="J237" s="4" t="s">
        <v>1616</v>
      </c>
      <c r="K237" s="4" t="s">
        <v>2001</v>
      </c>
    </row>
    <row r="238" spans="1:11" ht="45" customHeight="1" x14ac:dyDescent="0.25">
      <c r="A238" s="3">
        <v>2</v>
      </c>
      <c r="B238" s="3">
        <v>4</v>
      </c>
      <c r="C238" s="9">
        <v>3.4</v>
      </c>
      <c r="D238" s="3" t="s">
        <v>2008</v>
      </c>
      <c r="E238" s="3" t="s">
        <v>2009</v>
      </c>
      <c r="F238" s="3" t="s">
        <v>1974</v>
      </c>
      <c r="G238" s="3" t="s">
        <v>21</v>
      </c>
      <c r="H238" s="3" t="s">
        <v>1580</v>
      </c>
      <c r="I238" s="3" t="s">
        <v>2010</v>
      </c>
      <c r="J238" s="3" t="s">
        <v>1616</v>
      </c>
      <c r="K238" s="3" t="s">
        <v>2011</v>
      </c>
    </row>
    <row r="239" spans="1:11" ht="45" customHeight="1" x14ac:dyDescent="0.25">
      <c r="A239" s="4">
        <v>3</v>
      </c>
      <c r="B239" s="4">
        <v>1</v>
      </c>
      <c r="C239" s="10" t="s">
        <v>1001</v>
      </c>
      <c r="D239" s="4" t="s">
        <v>2012</v>
      </c>
      <c r="E239" s="4" t="s">
        <v>2013</v>
      </c>
      <c r="F239" s="4" t="s">
        <v>1974</v>
      </c>
      <c r="G239" s="4" t="s">
        <v>28</v>
      </c>
      <c r="H239" s="4" t="s">
        <v>1580</v>
      </c>
      <c r="I239" s="4" t="s">
        <v>2014</v>
      </c>
      <c r="J239" s="4" t="s">
        <v>1616</v>
      </c>
      <c r="K239" s="4" t="s">
        <v>2011</v>
      </c>
    </row>
    <row r="240" spans="1:11" ht="45" customHeight="1" x14ac:dyDescent="0.25">
      <c r="A240" s="4">
        <v>3</v>
      </c>
      <c r="B240" s="4">
        <v>2</v>
      </c>
      <c r="C240" s="10" t="s">
        <v>1005</v>
      </c>
      <c r="D240" s="4" t="s">
        <v>2015</v>
      </c>
      <c r="E240" s="4" t="s">
        <v>2016</v>
      </c>
      <c r="F240" s="4" t="s">
        <v>1974</v>
      </c>
      <c r="G240" s="4" t="s">
        <v>28</v>
      </c>
      <c r="H240" s="4" t="s">
        <v>1580</v>
      </c>
      <c r="I240" s="4" t="s">
        <v>2017</v>
      </c>
      <c r="J240" s="4" t="s">
        <v>1616</v>
      </c>
      <c r="K240" s="4" t="s">
        <v>2011</v>
      </c>
    </row>
    <row r="241" spans="1:11" ht="75" customHeight="1" x14ac:dyDescent="0.25">
      <c r="A241" s="2">
        <v>1</v>
      </c>
      <c r="B241" s="2">
        <v>13</v>
      </c>
      <c r="C241" s="8">
        <v>10</v>
      </c>
      <c r="D241" s="2" t="s">
        <v>2018</v>
      </c>
      <c r="E241" s="2" t="s">
        <v>2019</v>
      </c>
      <c r="F241" s="2" t="s">
        <v>2020</v>
      </c>
      <c r="G241" s="2" t="s">
        <v>14</v>
      </c>
      <c r="H241" s="2" t="s">
        <v>1580</v>
      </c>
      <c r="I241" s="2" t="s">
        <v>2021</v>
      </c>
      <c r="J241" s="2" t="s">
        <v>2022</v>
      </c>
      <c r="K241" s="2" t="s">
        <v>2023</v>
      </c>
    </row>
    <row r="242" spans="1:11" ht="45" customHeight="1" x14ac:dyDescent="0.25">
      <c r="A242" s="3">
        <v>2</v>
      </c>
      <c r="B242" s="3">
        <v>1</v>
      </c>
      <c r="C242" s="9">
        <v>10.1</v>
      </c>
      <c r="D242" s="3" t="s">
        <v>2024</v>
      </c>
      <c r="E242" s="3" t="s">
        <v>2025</v>
      </c>
      <c r="F242" s="3" t="s">
        <v>2020</v>
      </c>
      <c r="G242" s="3" t="s">
        <v>21</v>
      </c>
      <c r="H242" s="3" t="s">
        <v>1580</v>
      </c>
      <c r="I242" s="3" t="s">
        <v>2026</v>
      </c>
      <c r="J242" s="3" t="s">
        <v>1718</v>
      </c>
      <c r="K242" s="3" t="s">
        <v>2027</v>
      </c>
    </row>
    <row r="243" spans="1:11" ht="45" customHeight="1" x14ac:dyDescent="0.25">
      <c r="A243" s="4">
        <v>3</v>
      </c>
      <c r="B243" s="4">
        <v>1</v>
      </c>
      <c r="C243" s="10" t="s">
        <v>1019</v>
      </c>
      <c r="D243" s="4" t="s">
        <v>2028</v>
      </c>
      <c r="E243" s="4" t="s">
        <v>2029</v>
      </c>
      <c r="F243" s="4" t="s">
        <v>2020</v>
      </c>
      <c r="G243" s="4" t="s">
        <v>28</v>
      </c>
      <c r="H243" s="4" t="s">
        <v>1580</v>
      </c>
      <c r="I243" s="4" t="s">
        <v>2030</v>
      </c>
      <c r="J243" s="4" t="s">
        <v>1718</v>
      </c>
      <c r="K243" s="4" t="s">
        <v>2027</v>
      </c>
    </row>
    <row r="244" spans="1:11" ht="45" customHeight="1" x14ac:dyDescent="0.25">
      <c r="A244" s="4">
        <v>3</v>
      </c>
      <c r="B244" s="4">
        <v>2</v>
      </c>
      <c r="C244" s="10" t="s">
        <v>1023</v>
      </c>
      <c r="D244" s="4" t="s">
        <v>2031</v>
      </c>
      <c r="E244" s="4" t="s">
        <v>2032</v>
      </c>
      <c r="F244" s="4" t="s">
        <v>2020</v>
      </c>
      <c r="G244" s="4" t="s">
        <v>28</v>
      </c>
      <c r="H244" s="4" t="s">
        <v>1580</v>
      </c>
      <c r="I244" s="4" t="s">
        <v>2033</v>
      </c>
      <c r="J244" s="4" t="s">
        <v>1718</v>
      </c>
      <c r="K244" s="4" t="s">
        <v>2027</v>
      </c>
    </row>
    <row r="245" spans="1:11" ht="45" customHeight="1" x14ac:dyDescent="0.25">
      <c r="A245" s="3">
        <v>2</v>
      </c>
      <c r="B245" s="3">
        <v>2</v>
      </c>
      <c r="C245" s="9">
        <v>10.199999999999999</v>
      </c>
      <c r="D245" s="3" t="s">
        <v>2034</v>
      </c>
      <c r="E245" s="3" t="s">
        <v>2035</v>
      </c>
      <c r="F245" s="3" t="s">
        <v>2020</v>
      </c>
      <c r="G245" s="3" t="s">
        <v>21</v>
      </c>
      <c r="H245" s="3" t="s">
        <v>1580</v>
      </c>
      <c r="I245" s="3" t="s">
        <v>2036</v>
      </c>
      <c r="J245" s="3" t="s">
        <v>1718</v>
      </c>
      <c r="K245" s="3" t="s">
        <v>2037</v>
      </c>
    </row>
    <row r="246" spans="1:11" ht="45" customHeight="1" x14ac:dyDescent="0.25">
      <c r="A246" s="4">
        <v>3</v>
      </c>
      <c r="B246" s="4">
        <v>1</v>
      </c>
      <c r="C246" s="10" t="s">
        <v>1031</v>
      </c>
      <c r="D246" s="4" t="s">
        <v>2038</v>
      </c>
      <c r="E246" s="4" t="s">
        <v>2039</v>
      </c>
      <c r="F246" s="4" t="s">
        <v>2020</v>
      </c>
      <c r="G246" s="4" t="s">
        <v>28</v>
      </c>
      <c r="H246" s="4" t="s">
        <v>1580</v>
      </c>
      <c r="I246" s="4" t="s">
        <v>2040</v>
      </c>
      <c r="J246" s="4" t="s">
        <v>1718</v>
      </c>
      <c r="K246" s="4" t="s">
        <v>2037</v>
      </c>
    </row>
    <row r="247" spans="1:11" ht="45" customHeight="1" x14ac:dyDescent="0.25">
      <c r="A247" s="4">
        <v>3</v>
      </c>
      <c r="B247" s="4">
        <v>2</v>
      </c>
      <c r="C247" s="10" t="s">
        <v>1035</v>
      </c>
      <c r="D247" s="4" t="s">
        <v>2041</v>
      </c>
      <c r="E247" s="4" t="s">
        <v>2042</v>
      </c>
      <c r="F247" s="4" t="s">
        <v>2020</v>
      </c>
      <c r="G247" s="4" t="s">
        <v>28</v>
      </c>
      <c r="H247" s="4" t="s">
        <v>1580</v>
      </c>
      <c r="I247" s="4" t="s">
        <v>2043</v>
      </c>
      <c r="J247" s="4" t="s">
        <v>1718</v>
      </c>
      <c r="K247" s="4" t="s">
        <v>2037</v>
      </c>
    </row>
    <row r="248" spans="1:11" ht="45" customHeight="1" x14ac:dyDescent="0.25">
      <c r="A248" s="3">
        <v>2</v>
      </c>
      <c r="B248" s="3">
        <v>3</v>
      </c>
      <c r="C248" s="9">
        <v>10.3</v>
      </c>
      <c r="D248" s="3" t="s">
        <v>2044</v>
      </c>
      <c r="E248" s="3" t="s">
        <v>2045</v>
      </c>
      <c r="F248" s="3" t="s">
        <v>2020</v>
      </c>
      <c r="G248" s="3" t="s">
        <v>21</v>
      </c>
      <c r="H248" s="3" t="s">
        <v>1580</v>
      </c>
      <c r="I248" s="3" t="s">
        <v>2046</v>
      </c>
      <c r="J248" s="3" t="s">
        <v>1718</v>
      </c>
      <c r="K248" s="3" t="s">
        <v>2047</v>
      </c>
    </row>
    <row r="249" spans="1:11" ht="45" customHeight="1" x14ac:dyDescent="0.25">
      <c r="A249" s="4">
        <v>3</v>
      </c>
      <c r="B249" s="4">
        <v>1</v>
      </c>
      <c r="C249" s="10" t="s">
        <v>1043</v>
      </c>
      <c r="D249" s="4" t="s">
        <v>2048</v>
      </c>
      <c r="E249" s="4" t="s">
        <v>2049</v>
      </c>
      <c r="F249" s="4" t="s">
        <v>2020</v>
      </c>
      <c r="G249" s="4" t="s">
        <v>28</v>
      </c>
      <c r="H249" s="4" t="s">
        <v>1580</v>
      </c>
      <c r="I249" s="4" t="s">
        <v>2050</v>
      </c>
      <c r="J249" s="4" t="s">
        <v>1718</v>
      </c>
      <c r="K249" s="4" t="s">
        <v>2047</v>
      </c>
    </row>
    <row r="250" spans="1:11" ht="45" customHeight="1" x14ac:dyDescent="0.25">
      <c r="A250" s="4">
        <v>3</v>
      </c>
      <c r="B250" s="4">
        <v>2</v>
      </c>
      <c r="C250" s="10" t="s">
        <v>1047</v>
      </c>
      <c r="D250" s="4" t="s">
        <v>2051</v>
      </c>
      <c r="E250" s="4" t="s">
        <v>2052</v>
      </c>
      <c r="F250" s="4" t="s">
        <v>2020</v>
      </c>
      <c r="G250" s="4" t="s">
        <v>28</v>
      </c>
      <c r="H250" s="4" t="s">
        <v>1580</v>
      </c>
      <c r="I250" s="4" t="s">
        <v>2053</v>
      </c>
      <c r="J250" s="4" t="s">
        <v>1718</v>
      </c>
      <c r="K250" s="4" t="s">
        <v>2047</v>
      </c>
    </row>
    <row r="251" spans="1:11" ht="45" customHeight="1" x14ac:dyDescent="0.25">
      <c r="A251" s="3">
        <v>2</v>
      </c>
      <c r="B251" s="3">
        <v>4</v>
      </c>
      <c r="C251" s="9">
        <v>10.4</v>
      </c>
      <c r="D251" s="3" t="s">
        <v>2054</v>
      </c>
      <c r="E251" s="3" t="s">
        <v>2055</v>
      </c>
      <c r="F251" s="3" t="s">
        <v>2020</v>
      </c>
      <c r="G251" s="3" t="s">
        <v>21</v>
      </c>
      <c r="H251" s="3" t="s">
        <v>1580</v>
      </c>
      <c r="I251" s="3" t="s">
        <v>2056</v>
      </c>
      <c r="J251" s="3" t="s">
        <v>1718</v>
      </c>
      <c r="K251" s="3" t="s">
        <v>2057</v>
      </c>
    </row>
    <row r="252" spans="1:11" ht="45" customHeight="1" x14ac:dyDescent="0.25">
      <c r="A252" s="4">
        <v>3</v>
      </c>
      <c r="B252" s="4">
        <v>1</v>
      </c>
      <c r="C252" s="10" t="s">
        <v>1055</v>
      </c>
      <c r="D252" s="4" t="s">
        <v>2058</v>
      </c>
      <c r="E252" s="4" t="s">
        <v>2059</v>
      </c>
      <c r="F252" s="4" t="s">
        <v>2020</v>
      </c>
      <c r="G252" s="4" t="s">
        <v>28</v>
      </c>
      <c r="H252" s="4" t="s">
        <v>1580</v>
      </c>
      <c r="I252" s="4" t="s">
        <v>2060</v>
      </c>
      <c r="J252" s="4" t="s">
        <v>1718</v>
      </c>
      <c r="K252" s="4" t="s">
        <v>2057</v>
      </c>
    </row>
    <row r="253" spans="1:11" ht="45" customHeight="1" x14ac:dyDescent="0.25">
      <c r="A253" s="4">
        <v>3</v>
      </c>
      <c r="B253" s="4">
        <v>2</v>
      </c>
      <c r="C253" s="10" t="s">
        <v>1059</v>
      </c>
      <c r="D253" s="4" t="s">
        <v>2061</v>
      </c>
      <c r="E253" s="4" t="s">
        <v>2062</v>
      </c>
      <c r="F253" s="4" t="s">
        <v>2020</v>
      </c>
      <c r="G253" s="4" t="s">
        <v>28</v>
      </c>
      <c r="H253" s="4" t="s">
        <v>1580</v>
      </c>
      <c r="I253" s="4" t="s">
        <v>2063</v>
      </c>
      <c r="J253" s="4" t="s">
        <v>1718</v>
      </c>
      <c r="K253" s="4" t="s">
        <v>2057</v>
      </c>
    </row>
    <row r="254" spans="1:11" ht="45" customHeight="1" x14ac:dyDescent="0.25">
      <c r="A254" s="4">
        <v>3</v>
      </c>
      <c r="B254" s="4">
        <v>3</v>
      </c>
      <c r="C254" s="10" t="s">
        <v>1063</v>
      </c>
      <c r="D254" s="4" t="s">
        <v>2064</v>
      </c>
      <c r="E254" s="4" t="s">
        <v>2065</v>
      </c>
      <c r="F254" s="4" t="s">
        <v>2020</v>
      </c>
      <c r="G254" s="4" t="s">
        <v>28</v>
      </c>
      <c r="H254" s="4" t="s">
        <v>1580</v>
      </c>
      <c r="I254" s="4" t="s">
        <v>2066</v>
      </c>
      <c r="J254" s="4" t="s">
        <v>1718</v>
      </c>
      <c r="K254" s="4" t="s">
        <v>2057</v>
      </c>
    </row>
    <row r="255" spans="1:11" ht="45" customHeight="1" x14ac:dyDescent="0.25">
      <c r="A255" s="3">
        <v>2</v>
      </c>
      <c r="B255" s="3">
        <v>5</v>
      </c>
      <c r="C255" s="9">
        <v>10.5</v>
      </c>
      <c r="D255" s="3" t="s">
        <v>2067</v>
      </c>
      <c r="E255" s="3" t="s">
        <v>2068</v>
      </c>
      <c r="F255" s="3" t="s">
        <v>2020</v>
      </c>
      <c r="G255" s="3" t="s">
        <v>21</v>
      </c>
      <c r="H255" s="3" t="s">
        <v>1580</v>
      </c>
      <c r="I255" s="3" t="s">
        <v>2069</v>
      </c>
      <c r="J255" s="3" t="s">
        <v>1207</v>
      </c>
      <c r="K255" s="3" t="s">
        <v>2070</v>
      </c>
    </row>
    <row r="256" spans="1:11" ht="45" customHeight="1" x14ac:dyDescent="0.25">
      <c r="A256" s="4">
        <v>3</v>
      </c>
      <c r="B256" s="4">
        <v>1</v>
      </c>
      <c r="C256" s="10" t="s">
        <v>1071</v>
      </c>
      <c r="D256" s="4" t="s">
        <v>2071</v>
      </c>
      <c r="E256" s="4" t="s">
        <v>2072</v>
      </c>
      <c r="F256" s="4" t="s">
        <v>2020</v>
      </c>
      <c r="G256" s="4" t="s">
        <v>28</v>
      </c>
      <c r="H256" s="4" t="s">
        <v>1580</v>
      </c>
      <c r="I256" s="4" t="s">
        <v>2073</v>
      </c>
      <c r="J256" s="4" t="s">
        <v>1207</v>
      </c>
      <c r="K256" s="4" t="s">
        <v>2070</v>
      </c>
    </row>
    <row r="257" spans="1:11" ht="45" customHeight="1" x14ac:dyDescent="0.25">
      <c r="A257" s="4">
        <v>3</v>
      </c>
      <c r="B257" s="4">
        <v>2</v>
      </c>
      <c r="C257" s="10" t="s">
        <v>1075</v>
      </c>
      <c r="D257" s="4" t="s">
        <v>2074</v>
      </c>
      <c r="E257" s="4" t="s">
        <v>2075</v>
      </c>
      <c r="F257" s="4" t="s">
        <v>2020</v>
      </c>
      <c r="G257" s="4" t="s">
        <v>28</v>
      </c>
      <c r="H257" s="4" t="s">
        <v>1580</v>
      </c>
      <c r="I257" s="4" t="s">
        <v>2076</v>
      </c>
      <c r="J257" s="4" t="s">
        <v>1207</v>
      </c>
      <c r="K257" s="4" t="s">
        <v>2070</v>
      </c>
    </row>
    <row r="258" spans="1:11" ht="45" customHeight="1" x14ac:dyDescent="0.25">
      <c r="A258" s="3">
        <v>2</v>
      </c>
      <c r="B258" s="3">
        <v>6</v>
      </c>
      <c r="C258" s="9">
        <v>10.6</v>
      </c>
      <c r="D258" s="3" t="s">
        <v>2077</v>
      </c>
      <c r="E258" s="3" t="s">
        <v>2078</v>
      </c>
      <c r="F258" s="3" t="s">
        <v>2020</v>
      </c>
      <c r="G258" s="3" t="s">
        <v>21</v>
      </c>
      <c r="H258" s="3" t="s">
        <v>1580</v>
      </c>
      <c r="I258" s="3" t="s">
        <v>2079</v>
      </c>
      <c r="J258" s="3" t="s">
        <v>1718</v>
      </c>
      <c r="K258" s="3" t="s">
        <v>2023</v>
      </c>
    </row>
    <row r="259" spans="1:11" ht="45" customHeight="1" x14ac:dyDescent="0.25">
      <c r="A259" s="4">
        <v>3</v>
      </c>
      <c r="B259" s="4">
        <v>1</v>
      </c>
      <c r="C259" s="10" t="s">
        <v>1082</v>
      </c>
      <c r="D259" s="4" t="s">
        <v>2080</v>
      </c>
      <c r="E259" s="4" t="s">
        <v>2081</v>
      </c>
      <c r="F259" s="4" t="s">
        <v>2020</v>
      </c>
      <c r="G259" s="4" t="s">
        <v>28</v>
      </c>
      <c r="H259" s="4" t="s">
        <v>1580</v>
      </c>
      <c r="I259" s="4" t="s">
        <v>2082</v>
      </c>
      <c r="J259" s="4" t="s">
        <v>1718</v>
      </c>
      <c r="K259" s="4" t="s">
        <v>2083</v>
      </c>
    </row>
    <row r="260" spans="1:11" ht="45" customHeight="1" x14ac:dyDescent="0.25">
      <c r="A260" s="4">
        <v>3</v>
      </c>
      <c r="B260" s="4">
        <v>2</v>
      </c>
      <c r="C260" s="10" t="s">
        <v>1087</v>
      </c>
      <c r="D260" s="4" t="s">
        <v>2084</v>
      </c>
      <c r="E260" s="4" t="s">
        <v>2085</v>
      </c>
      <c r="F260" s="4" t="s">
        <v>2020</v>
      </c>
      <c r="G260" s="4" t="s">
        <v>28</v>
      </c>
      <c r="H260" s="4" t="s">
        <v>1580</v>
      </c>
      <c r="I260" s="4" t="s">
        <v>2086</v>
      </c>
      <c r="J260" s="4" t="s">
        <v>1718</v>
      </c>
      <c r="K260" s="4" t="s">
        <v>2083</v>
      </c>
    </row>
  </sheetData>
  <autoFilter ref="A4:K260" xr:uid="{00000000-0001-0000-0000-000000000000}"/>
  <mergeCells count="1">
    <mergeCell ref="C1:C3"/>
  </mergeCell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87"/>
  <sheetViews>
    <sheetView workbookViewId="0">
      <pane ySplit="4" topLeftCell="A5" activePane="bottomLeft" state="frozen"/>
      <selection pane="bottomLeft" activeCell="I5" sqref="I5"/>
    </sheetView>
  </sheetViews>
  <sheetFormatPr defaultRowHeight="15" x14ac:dyDescent="0.25"/>
  <cols>
    <col min="1" max="1" width="14.28515625" customWidth="1"/>
    <col min="2" max="2" width="28.5703125" customWidth="1"/>
    <col min="3" max="3" width="38.140625" customWidth="1"/>
    <col min="4" max="4" width="14.28515625" customWidth="1"/>
    <col min="5" max="5" width="28.5703125" customWidth="1"/>
    <col min="6" max="6" width="38.140625" customWidth="1"/>
    <col min="7" max="7" width="14.28515625" customWidth="1"/>
    <col min="8" max="8" width="28.5703125" customWidth="1"/>
    <col min="9" max="11" width="38.140625" customWidth="1"/>
  </cols>
  <sheetData>
    <row r="1" spans="1:11" ht="27.95" customHeight="1" x14ac:dyDescent="0.25">
      <c r="A1" s="14" t="s">
        <v>1175</v>
      </c>
      <c r="B1" s="15"/>
      <c r="C1" s="15"/>
      <c r="D1" s="15"/>
      <c r="E1" s="15"/>
      <c r="F1" s="15"/>
      <c r="G1" s="15"/>
      <c r="H1" s="15"/>
      <c r="I1" s="15"/>
      <c r="J1" s="15"/>
      <c r="K1" s="15"/>
    </row>
    <row r="2" spans="1:11" ht="27.95" customHeight="1" x14ac:dyDescent="0.25">
      <c r="A2" s="15"/>
      <c r="B2" s="15"/>
      <c r="C2" s="15"/>
      <c r="D2" s="15"/>
      <c r="E2" s="15"/>
      <c r="F2" s="15"/>
      <c r="G2" s="15"/>
      <c r="H2" s="15"/>
      <c r="I2" s="15"/>
      <c r="J2" s="15"/>
      <c r="K2" s="15"/>
    </row>
    <row r="3" spans="1:11" ht="27.95" customHeight="1" x14ac:dyDescent="0.25">
      <c r="A3" s="15"/>
      <c r="B3" s="15"/>
      <c r="C3" s="15"/>
      <c r="D3" s="15"/>
      <c r="E3" s="15"/>
      <c r="F3" s="15"/>
      <c r="G3" s="15"/>
      <c r="H3" s="15"/>
      <c r="I3" s="15"/>
      <c r="J3" s="15"/>
      <c r="K3" s="15"/>
    </row>
    <row r="4" spans="1:11" ht="30" x14ac:dyDescent="0.25">
      <c r="A4" s="1" t="s">
        <v>1176</v>
      </c>
      <c r="B4" s="1" t="s">
        <v>1177</v>
      </c>
      <c r="C4" s="1" t="s">
        <v>1178</v>
      </c>
      <c r="D4" s="1" t="s">
        <v>1179</v>
      </c>
      <c r="E4" s="1" t="s">
        <v>1180</v>
      </c>
      <c r="F4" s="1" t="s">
        <v>1181</v>
      </c>
      <c r="G4" s="1" t="s">
        <v>1182</v>
      </c>
      <c r="H4" s="1" t="s">
        <v>1183</v>
      </c>
      <c r="I4" s="1" t="s">
        <v>1184</v>
      </c>
      <c r="J4" s="1" t="s">
        <v>1185</v>
      </c>
      <c r="K4" s="6" t="s">
        <v>1186</v>
      </c>
    </row>
    <row r="5" spans="1:11" ht="345" x14ac:dyDescent="0.25">
      <c r="A5" s="5">
        <v>5</v>
      </c>
      <c r="B5" s="5" t="str">
        <f>SUBSTITUTE(_xlfn.TRANSLATE(SUBSTITUTE(__TR_HORIZONTAL!B5,"API","XQZ0QX"),"en","es"),"XQZ0QX","API")</f>
        <v>Gestión API</v>
      </c>
      <c r="C5" s="5" t="str">
        <f>SUBSTITUTE(_xlfn.TRANSLATE(SUBSTITUTE(__TR_HORIZONTAL!C5,"BIAN","XQZ0QX"),"en","es"),"XQZ0QX","BIAN")</f>
        <v>La capacidad de diseñar, publicar, asegurar, versionar, medir y retirar los contratos de servicios síncronos del banco, junto con el conjunto de viviendas orientadas al promotor que los rodea (catálogo, portal, sandbox). Cubre tanto el plano de ejecución (mediación de pasarela, enrutamiento, política de tráfico) como el plano de control (ciclo de vida, administración de políticas, análisis).  |  PROPÓSITO: Instrumento principal de desacoplamiento de la arquitectura interoperable. Un contrato estable basado en estándares (alineado con BIAN o personalizado canónico) permite que un canal se re-platforme sin tocar un núcleo, y que un núcleo sea reemplazado sin tocar un canal. También es el punto de control semántico donde una petición deja de ser una llamada a un sistema específico y pasa a llamar a una capacidad bancaria.</v>
      </c>
      <c r="D5" s="5">
        <v>5.0999999999999996</v>
      </c>
      <c r="E5" s="5" t="str">
        <f>SUBSTITUTE(_xlfn.TRANSLATE(SUBSTITUTE(__TR_HORIZONTAL!E5,"API","XQZ0QX"),"en","es"),"XQZ0QX","API")</f>
        <v>Pasarela API y Mediación en tiempo de ejecución</v>
      </c>
      <c r="F5" s="5" t="str">
        <f>SUBSTITUTE(_xlfn.TRANSLATE(SUBSTITUTE(__TR_HORIZONTAL!F5,"API","XQZ0QX"),"en","es"),"XQZ0QX","API")</f>
        <v>Plano de ejecución que termina, valida, media y enruta el tráfico API entre consumidores y proveedores, aplicando la política en el punto de invocación en lugar de dentro del código de la aplicación.  |  PROPÓSITO: Hacer cumplir el contrato en tiempo de ejecución, para que el desacoplamiento esté garantizado por la plataforma en lugar de por la disciplina del desarrollador.</v>
      </c>
      <c r="G5" s="12" t="s">
        <v>25</v>
      </c>
      <c r="H5" s="5" t="str">
        <f>_xlfn.TRANSLATE(__TR_HORIZONTAL!H5,"en","es")</f>
        <v>Enrutamiento</v>
      </c>
      <c r="I5" s="5" t="str">
        <f>SUBSTITUTE(_xlfn.TRANSLATE(SUBSTITUTE(__TR_HORIZONTAL!I5,"API","XQZ0QX"),"en","es"),"XQZ0QX","API")</f>
        <v>Resolución de un contrato lógico API a uno o más puntos finales físicos de servicio, incluyendo enrutamiento basado en host, versión y entorno.</v>
      </c>
      <c r="J5" s="5" t="str">
        <f>_xlfn.TRANSLATE(__TR_HORIZONTAL!J5,"en","es")</f>
        <v>Permite la reubicación del backend, la re-plataforma y el doble funcionamiento de procesadores antiguos y nuevos sin ningún cambio de consumidor.</v>
      </c>
      <c r="K5" s="5" t="str">
        <f>SUBSTITUTE(SUBSTITUTE(SUBSTITUTE(SUBSTITUTE(SUBSTITUTE(SUBSTITUTE(SUBSTITUTE(SUBSTITUTE(SUBSTITUTE(_xlfn.TRANSLATE(SUBSTITUTE(SUBSTITUTE(SUBSTITUTE(SUBSTITUTE(SUBSTITUTE(SUBSTITUTE(SUBSTITUTE(SUBSTITUTE(SUBSTITUTE(__TR_HORIZONTAL!K5,"Apigee API Gateway/API Management","XQZ0QX"),"WebMethods","XQZ1QX"),"MuleSoft","XQZ2QX"),"BPM/BRM","XQZ3QX"),"OFS/IRIS","XQZ4QX"),"REST","XQZ5QX"),"BIAN","XQZ6QX"),"APIs","XQZ7QX"),"API","XQZ8QX"),"en","es"),"XQZ0QX","Apigee API Gateway/API Management"),"XQZ1QX","WebMethods"),"XQZ2QX","MuleSoft"),"XQZ3QX","BPM/BRM"),"XQZ4QX","OFS/IRIS"),"XQZ5QX","REST"),"XQZ6QX","BIAN"),"XQZ7QX","APIs"),"XQZ8QX","API")</f>
        <v>Apigee API Gateway/API Management; integración/orquestación MuleSoft; WebMethods BPM/BRM; BIAN alineado APIs; Transacta OFS/IRIS REST APIs.</v>
      </c>
    </row>
    <row r="6" spans="1:11" ht="75" x14ac:dyDescent="0.25">
      <c r="A6" s="5"/>
      <c r="B6" s="5"/>
      <c r="C6" s="5"/>
      <c r="D6" s="5"/>
      <c r="E6" s="5"/>
      <c r="F6" s="5"/>
      <c r="G6" s="12" t="s">
        <v>30</v>
      </c>
      <c r="H6" s="5" t="str">
        <f>_xlfn.TRANSLATE(__TR_HORIZONTAL!H6,"en","es")</f>
        <v>Mediación y transformación del mensaje</v>
      </c>
      <c r="I6" s="5" t="str">
        <f>SUBSTITUTE(SUBSTITUTE(SUBSTITUTE(_xlfn.TRANSLATE(SUBSTITUTE(SUBSTITUTE(SUBSTITUTE(__TR_HORIZONTAL!I6,"REST","XQZ0QX"),"SOAP","XQZ1QX"),"gRPC","XQZ2QX"),"en","es"),"XQZ0QX","REST"),"XQZ1QX","SOAP"),"XQZ2QX","gRPC")</f>
        <v>Adaptación de protocolos y cargas útiles en el edge (REST, SOAP, gRPC, protocolos heredados), incluyendo manipulación de cabeceras y mapeo canónico-nativo.</v>
      </c>
      <c r="J6" s="5" t="str">
        <f>_xlfn.TRANSLATE(__TR_HORIZONTAL!J6,"en","es")</f>
        <v>Absorbe la heterogeneidad técnica de un conjunto híbrido de núcleo, de modo que los consumidores solo ven un estilo de interfaz.</v>
      </c>
      <c r="K6" s="5" t="str">
        <f>SUBSTITUTE(SUBSTITUTE(SUBSTITUTE(SUBSTITUTE(SUBSTITUTE(SUBSTITUTE(SUBSTITUTE(SUBSTITUTE(SUBSTITUTE(_xlfn.TRANSLATE(SUBSTITUTE(SUBSTITUTE(SUBSTITUTE(SUBSTITUTE(SUBSTITUTE(SUBSTITUTE(SUBSTITUTE(SUBSTITUTE(SUBSTITUTE(__TR_HORIZONTAL!K6,"Apigee API Gateway/API Management","XQZ0QX"),"WebMethods","XQZ1QX"),"MuleSoft","XQZ2QX"),"BPM/BRM","XQZ3QX"),"OFS/IRIS","XQZ4QX"),"REST","XQZ5QX"),"BIAN","XQZ6QX"),"APIs","XQZ7QX"),"API","XQZ8QX"),"en","es"),"XQZ0QX","Apigee API Gateway/API Management"),"XQZ1QX","WebMethods"),"XQZ2QX","MuleSoft"),"XQZ3QX","BPM/BRM"),"XQZ4QX","OFS/IRIS"),"XQZ5QX","REST"),"XQZ6QX","BIAN"),"XQZ7QX","APIs"),"XQZ8QX","API")</f>
        <v>Apigee API Gateway/API Management; integración/orquestación MuleSoft; WebMethods BPM/BRM; BIAN alineado APIs; Transacta OFS/IRIS REST APIs.</v>
      </c>
    </row>
    <row r="7" spans="1:11" ht="75" x14ac:dyDescent="0.25">
      <c r="A7" s="5"/>
      <c r="B7" s="5"/>
      <c r="C7" s="5"/>
      <c r="D7" s="5"/>
      <c r="E7" s="5"/>
      <c r="F7" s="5"/>
      <c r="G7" s="12" t="s">
        <v>34</v>
      </c>
      <c r="H7" s="5" t="str">
        <f>SUBSTITUTE(_xlfn.TRANSLATE(SUBSTITUTE(__TR_HORIZONTAL!H7,"API","XQZ0QX"),"en","es"),"XQZ0QX","API")</f>
        <v>API Gestión de Tráfico</v>
      </c>
      <c r="I7" s="5" t="str">
        <f>SUBSTITUTE(_xlfn.TRANSLATE(SUBSTITUTE(__TR_HORIZONTAL!I7,"API","XQZ0QX"),"en","es"),"XQZ0QX","API")</f>
        <v>Cuotas, límites de tarifa, limitación, arresto de picos y políticas de calidad de servicio aplicadas por consumidor, por API y por nivel.</v>
      </c>
      <c r="J7" s="5" t="str">
        <f>_xlfn.TRANSLATE(__TR_HORIZONTAL!J7,"en","es")</f>
        <v>Protege la capacidad finita heredada (MIPS, pools de conexión) frente a la demanda digital ilimitada y convierte la capacidad en un recurso gobernado y con precio.</v>
      </c>
      <c r="K7" s="5" t="str">
        <f>SUBSTITUTE(SUBSTITUTE(SUBSTITUTE(SUBSTITUTE(SUBSTITUTE(SUBSTITUTE(SUBSTITUTE(SUBSTITUTE(SUBSTITUTE(_xlfn.TRANSLATE(SUBSTITUTE(SUBSTITUTE(SUBSTITUTE(SUBSTITUTE(SUBSTITUTE(SUBSTITUTE(SUBSTITUTE(SUBSTITUTE(SUBSTITUTE(__TR_HORIZONTAL!K7,"Apigee API Gateway/API Management","XQZ0QX"),"WebMethods","XQZ1QX"),"MuleSoft","XQZ2QX"),"BPM/BRM","XQZ3QX"),"OFS/IRIS","XQZ4QX"),"REST","XQZ5QX"),"BIAN","XQZ6QX"),"APIs","XQZ7QX"),"API","XQZ8QX"),"en","es"),"XQZ0QX","Apigee API Gateway/API Management"),"XQZ1QX","WebMethods"),"XQZ2QX","MuleSoft"),"XQZ3QX","BPM/BRM"),"XQZ4QX","OFS/IRIS"),"XQZ5QX","REST"),"XQZ6QX","BIAN"),"XQZ7QX","APIs"),"XQZ8QX","API")</f>
        <v>Apigee API Gateway/API Management; integración/orquestación MuleSoft; WebMethods BPM/BRM; BIAN alineado APIs; Transacta OFS/IRIS REST APIs.</v>
      </c>
    </row>
    <row r="8" spans="1:11" ht="60" x14ac:dyDescent="0.25">
      <c r="A8" s="5"/>
      <c r="B8" s="5"/>
      <c r="C8" s="5"/>
      <c r="D8" s="5"/>
      <c r="E8" s="5"/>
      <c r="F8" s="5"/>
      <c r="G8" s="12" t="s">
        <v>38</v>
      </c>
      <c r="H8" s="5" t="str">
        <f>_xlfn.TRANSLATE(__TR_HORIZONTAL!H8,"en","es")</f>
        <v>Validación de mensajes y protección de carga útil</v>
      </c>
      <c r="I8" s="5" t="str">
        <f>_xlfn.TRANSLATE(__TR_HORIZONTAL!I8,"en","es")</f>
        <v>Validación de esquema, tamaño y contenido de mensajes entrantes y salientes, incluyendo protección contra ataques basados en contenido.</v>
      </c>
      <c r="J8" s="5" t="str">
        <f>_xlfn.TRANSLATE(__TR_HORIZONTAL!J8,"en","es")</f>
        <v>Detiene el tráfico malformado y hostil antes de que llegue al parque de procesamiento, donde la remediación es mucho más cara.</v>
      </c>
      <c r="K8" s="5" t="str">
        <f>SUBSTITUTE(SUBSTITUTE(SUBSTITUTE(SUBSTITUTE(SUBSTITUTE(SUBSTITUTE(SUBSTITUTE(SUBSTITUTE(SUBSTITUTE(_xlfn.TRANSLATE(SUBSTITUTE(SUBSTITUTE(SUBSTITUTE(SUBSTITUTE(SUBSTITUTE(SUBSTITUTE(SUBSTITUTE(SUBSTITUTE(SUBSTITUTE(__TR_HORIZONTAL!K8,"Apigee API Gateway/API Management","XQZ0QX"),"WebMethods","XQZ1QX"),"MuleSoft","XQZ2QX"),"BPM/BRM","XQZ3QX"),"OFS/IRIS","XQZ4QX"),"REST","XQZ5QX"),"BIAN","XQZ6QX"),"APIs","XQZ7QX"),"API","XQZ8QX"),"en","es"),"XQZ0QX","Apigee API Gateway/API Management"),"XQZ1QX","WebMethods"),"XQZ2QX","MuleSoft"),"XQZ3QX","BPM/BRM"),"XQZ4QX","OFS/IRIS"),"XQZ5QX","REST"),"XQZ6QX","BIAN"),"XQZ7QX","APIs"),"XQZ8QX","API")</f>
        <v>Apigee API Gateway/API Management; integración/orquestación MuleSoft; WebMethods BPM/BRM; BIAN alineado APIs; Transacta OFS/IRIS REST APIs.</v>
      </c>
    </row>
    <row r="9" spans="1:11" ht="60" x14ac:dyDescent="0.25">
      <c r="A9" s="5"/>
      <c r="B9" s="5"/>
      <c r="C9" s="5"/>
      <c r="D9" s="5"/>
      <c r="E9" s="5"/>
      <c r="F9" s="5"/>
      <c r="G9" s="12" t="s">
        <v>42</v>
      </c>
      <c r="H9" s="5" t="str">
        <f>_xlfn.TRANSLATE(__TR_HORIZONTAL!H9,"en","es")</f>
        <v>Gestión de errores y normalización de fallos</v>
      </c>
      <c r="I9" s="5" t="str">
        <f>_xlfn.TRANSLATE(__TR_HORIZONTAL!I9,"en","es")</f>
        <v>Taxonomía de errores estandarizada, mapeo de fallos y códigos de respuesta a través de backends heterogéneos.</v>
      </c>
      <c r="J9" s="5" t="str">
        <f>_xlfn.TRANSLATE(__TR_HORIZONTAL!J9,"en","es")</f>
        <v>Evita que la semántica de error específica del backend se filtre en los canales, que es una de las fuentes más comunes de acoplamiento oculto.</v>
      </c>
      <c r="K9" s="5" t="str">
        <f>SUBSTITUTE(SUBSTITUTE(SUBSTITUTE(SUBSTITUTE(SUBSTITUTE(SUBSTITUTE(SUBSTITUTE(SUBSTITUTE(SUBSTITUTE(_xlfn.TRANSLATE(SUBSTITUTE(SUBSTITUTE(SUBSTITUTE(SUBSTITUTE(SUBSTITUTE(SUBSTITUTE(SUBSTITUTE(SUBSTITUTE(SUBSTITUTE(__TR_HORIZONTAL!K9,"Apigee API Gateway/API Management","XQZ0QX"),"WebMethods","XQZ1QX"),"MuleSoft","XQZ2QX"),"BPM/BRM","XQZ3QX"),"OFS/IRIS","XQZ4QX"),"REST","XQZ5QX"),"BIAN","XQZ6QX"),"APIs","XQZ7QX"),"API","XQZ8QX"),"en","es"),"XQZ0QX","Apigee API Gateway/API Management"),"XQZ1QX","WebMethods"),"XQZ2QX","MuleSoft"),"XQZ3QX","BPM/BRM"),"XQZ4QX","OFS/IRIS"),"XQZ5QX","REST"),"XQZ6QX","BIAN"),"XQZ7QX","APIs"),"XQZ8QX","API")</f>
        <v>Apigee API Gateway/API Management; integración/orquestación MuleSoft; WebMethods BPM/BRM; BIAN alineado APIs; Transacta OFS/IRIS REST APIs.</v>
      </c>
    </row>
    <row r="10" spans="1:11" ht="150" x14ac:dyDescent="0.25">
      <c r="A10" s="5"/>
      <c r="B10" s="5"/>
      <c r="C10" s="5"/>
      <c r="D10" s="5">
        <v>5.2</v>
      </c>
      <c r="E10" s="5" t="str">
        <f>SUBSTITUTE(_xlfn.TRANSLATE(SUBSTITUTE(__TR_HORIZONTAL!E10,"API","XQZ0QX"),"en","es"),"XQZ0QX","API")</f>
        <v>Gestión del ciclo de vida API</v>
      </c>
      <c r="F10" s="5" t="str">
        <f>SUBSTITUTE(_xlfn.TRANSLATE(SUBSTITUTE(__TR_HORIZONTAL!F10,"API","XQZ0QX"),"en","es"),"XQZ0QX","API")</f>
        <v>Plano de control que gobierna un API desde el diseño y la definición del contrato hasta la publicación, el cambio de versiones, la notificación de cambios y su eventual retirada.  |  PROPÓSITO: Convierte las interfaces en activos empresariales gestionados con una ruta de cambio controlada, que es la condición previa para su reutilización entre entidades y países.</v>
      </c>
      <c r="G10" s="12" t="s">
        <v>51</v>
      </c>
      <c r="H10" s="5" t="str">
        <f>SUBSTITUTE(_xlfn.TRANSLATE(SUBSTITUTE(__TR_HORIZONTAL!H10,"API","XQZ0QX"),"en","es"),"XQZ0QX","API")</f>
        <v>Normas de diseño y contratos API</v>
      </c>
      <c r="I10" s="5" t="str">
        <f>SUBSTITUTE(_xlfn.TRANSLATE(SUBSTITUTE(__TR_HORIZONTAL!I10,"BIAN","XQZ0QX"),"en","es"),"XQZ0QX","BIAN")</f>
        <v>Definición y aplicación de estándares de interfaz, nombres canónicos o alineados con BIAN, y puertas de revisión de diseño antes de la publicación.</v>
      </c>
      <c r="J10" s="5" t="str">
        <f>_xlfn.TRANSLATE(__TR_HORIZONTAL!J10,"en","es")</f>
        <v>Garantiza que las nuevas interfaces aumenten la reutilización en lugar de añadir otra integración personalizada para mantener.</v>
      </c>
      <c r="K10" s="5" t="str">
        <f>SUBSTITUTE(SUBSTITUTE(SUBSTITUTE(SUBSTITUTE(_xlfn.TRANSLATE(SUBSTITUTE(SUBSTITUTE(SUBSTITUTE(SUBSTITUTE(__TR_HORIZONTAL!K10,"OpenAPI","XQZ0QX"),"Swagger","XQZ1QX"),"BIAN","XQZ2QX"),"API","XQZ3QX"),"en","es"),"XQZ0QX","OpenAPI"),"XQZ1QX","Swagger"),"XQZ2QX","BIAN"),"XQZ3QX","API")</f>
        <v>Estándares BIAN API; Apigee API ciclo de vida/gobernanza; Documentación al estilo OpenAPI/Swagger para OfiWeb/Canales; El cambio API está controlado por la gobernanza de la arquitectura.</v>
      </c>
    </row>
    <row r="11" spans="1:11" ht="90" x14ac:dyDescent="0.25">
      <c r="A11" s="5"/>
      <c r="B11" s="5"/>
      <c r="C11" s="5"/>
      <c r="D11" s="5"/>
      <c r="E11" s="5"/>
      <c r="F11" s="5"/>
      <c r="G11" s="12" t="s">
        <v>55</v>
      </c>
      <c r="H11" s="5" t="str">
        <f>SUBSTITUTE(_xlfn.TRANSLATE(SUBSTITUTE(__TR_HORIZONTAL!H11,"API","XQZ0QX"),"en","es"),"XQZ0QX","API")</f>
        <v>Versionado API</v>
      </c>
      <c r="I11" s="5" t="str">
        <f>_xlfn.TRANSLATE(__TR_HORIZONTAL!I11,"en","es")</f>
        <v>Soporte simultáneo de múltiples versiones de contrato con reglas definidas de compatibilidad y deprecación.</v>
      </c>
      <c r="J11" s="5" t="str">
        <f>_xlfn.TRANSLATE(__TR_HORIZONTAL!J11,"en","es")</f>
        <v>Desacopla los ciclos de lanzamiento entre consumidores y proveedores, de modo que ningún cambio individual requiera un despliegue sincronizado de big bang.</v>
      </c>
      <c r="K11" s="5" t="str">
        <f>SUBSTITUTE(SUBSTITUTE(SUBSTITUTE(SUBSTITUTE(_xlfn.TRANSLATE(SUBSTITUTE(SUBSTITUTE(SUBSTITUTE(SUBSTITUTE(__TR_HORIZONTAL!K11,"OpenAPI","XQZ0QX"),"Swagger","XQZ1QX"),"BIAN","XQZ2QX"),"API","XQZ3QX"),"en","es"),"XQZ0QX","OpenAPI"),"XQZ1QX","Swagger"),"XQZ2QX","BIAN"),"XQZ3QX","API")</f>
        <v>Estándares BIAN API; Apigee API ciclo de vida/gobernanza; Documentación al estilo OpenAPI/Swagger para OfiWeb/Canales; El cambio API está controlado por la gobernanza de la arquitectura.</v>
      </c>
    </row>
    <row r="12" spans="1:11" ht="90" x14ac:dyDescent="0.25">
      <c r="A12" s="5"/>
      <c r="B12" s="5"/>
      <c r="C12" s="5"/>
      <c r="D12" s="5"/>
      <c r="E12" s="5"/>
      <c r="F12" s="5"/>
      <c r="G12" s="12" t="s">
        <v>59</v>
      </c>
      <c r="H12" s="5" t="str">
        <f>SUBSTITUTE(_xlfn.TRANSLATE(SUBSTITUTE(__TR_HORIZONTAL!H12,"API","XQZ0QX"),"en","es"),"XQZ0QX","API")</f>
        <v>Notificación de publicación y cambio API</v>
      </c>
      <c r="I12" s="5" t="str">
        <f>SUBSTITUTE(SUBSTITUTE(_xlfn.TRANSLATE(SUBSTITUTE(SUBSTITUTE(__TR_HORIZONTAL!I12,"APIs","XQZ0QX"),"API","XQZ1QX"),"en","es"),"XQZ0QX","APIs"),"XQZ1QX","API")</f>
        <v>Promoción de APIs en entornos y notificación proactiva de cambios de contrato a los consumidores registrados.</v>
      </c>
      <c r="J12" s="5" t="str">
        <f>_xlfn.TRANSLATE(__TR_HORIZONTAL!J12,"en","es")</f>
        <v>Elimina la sobrecarga de coordinación que de otro modo hace que los equipos eviten reutilizar una interfaz compartida.</v>
      </c>
      <c r="K12" s="5" t="str">
        <f>SUBSTITUTE(SUBSTITUTE(SUBSTITUTE(SUBSTITUTE(_xlfn.TRANSLATE(SUBSTITUTE(SUBSTITUTE(SUBSTITUTE(SUBSTITUTE(__TR_HORIZONTAL!K12,"OpenAPI","XQZ0QX"),"Swagger","XQZ1QX"),"BIAN","XQZ2QX"),"API","XQZ3QX"),"en","es"),"XQZ0QX","OpenAPI"),"XQZ1QX","Swagger"),"XQZ2QX","BIAN"),"XQZ3QX","API")</f>
        <v>Estándares BIAN API; Apigee API ciclo de vida/gobernanza; Documentación al estilo OpenAPI/Swagger para OfiWeb/Canales; El cambio API está controlado por la gobernanza de la arquitectura.</v>
      </c>
    </row>
    <row r="13" spans="1:11" ht="90" x14ac:dyDescent="0.25">
      <c r="A13" s="5"/>
      <c r="B13" s="5"/>
      <c r="C13" s="5"/>
      <c r="D13" s="5"/>
      <c r="E13" s="5"/>
      <c r="F13" s="5"/>
      <c r="G13" s="12" t="s">
        <v>63</v>
      </c>
      <c r="H13" s="5" t="str">
        <f>SUBSTITUTE(_xlfn.TRANSLATE(SUBSTITUTE(__TR_HORIZONTAL!H13,"API","XQZ0QX"),"en","es"),"XQZ0QX","API")</f>
        <v>API Depreciación y Retiro</v>
      </c>
      <c r="I13" s="5" t="str">
        <f>_xlfn.TRANSLATE(__TR_HORIZONTAL!I13,"en","es")</f>
        <v>Un control de la desaparición de interfaces, incluyendo el seguimiento de migración del consumidor y la aplicación de fechas de fin de vida.</v>
      </c>
      <c r="J13" s="5" t="str">
        <f>_xlfn.TRANSLATE(__TR_HORIZONTAL!J13,"en","es")</f>
        <v>Evita que la capa de interoperabilidad acumule la misma deuda de interfaz que fue creada para eliminar.</v>
      </c>
      <c r="K13" s="5" t="str">
        <f>SUBSTITUTE(SUBSTITUTE(SUBSTITUTE(SUBSTITUTE(_xlfn.TRANSLATE(SUBSTITUTE(SUBSTITUTE(SUBSTITUTE(SUBSTITUTE(__TR_HORIZONTAL!K13,"OpenAPI","XQZ0QX"),"Swagger","XQZ1QX"),"BIAN","XQZ2QX"),"API","XQZ3QX"),"en","es"),"XQZ0QX","OpenAPI"),"XQZ1QX","Swagger"),"XQZ2QX","BIAN"),"XQZ3QX","API")</f>
        <v>Estándares BIAN API; Apigee API ciclo de vida/gobernanza; Documentación al estilo OpenAPI/Swagger para OfiWeb/Canales; El cambio API está controlado por la gobernanza de la arquitectura.</v>
      </c>
    </row>
    <row r="14" spans="1:11" ht="150" x14ac:dyDescent="0.25">
      <c r="A14" s="5"/>
      <c r="B14" s="5"/>
      <c r="C14" s="5"/>
      <c r="D14" s="5">
        <v>5.3</v>
      </c>
      <c r="E14" s="5" t="str">
        <f>SUBSTITUTE(_xlfn.TRANSLATE(SUBSTITUTE(__TR_HORIZONTAL!E14,"API","XQZ0QX"),"en","es"),"XQZ0QX","API")</f>
        <v>API Manager (Administración de Plataforma)</v>
      </c>
      <c r="F14" s="5" t="str">
        <f>SUBSTITUTE(_xlfn.TRANSLATE(SUBSTITUTE(__TR_HORIZONTAL!F14,"API","XQZ0QX"),"en","es"),"XQZ0QX","API")</f>
        <v>Administración, configuración de políticas, operación e instrumentación comercial de la propia plataforma de gestión API, tanto en topologías locales, en la nube como en la nube o híbridas.  |  PROPÓSITO: Mantiene la política administrada de forma centralizada y aplicada de forma consistente, para que las normas de seguridad y tráfico no se fragmenten por equipo API.</v>
      </c>
      <c r="G14" s="12" t="s">
        <v>71</v>
      </c>
      <c r="H14" s="5" t="str">
        <f>_xlfn.TRANSLATE(__TR_HORIZONTAL!H14,"en","es")</f>
        <v>Administración y Seguimiento de Políticas</v>
      </c>
      <c r="I14" s="5" t="str">
        <f>SUBSTITUTE(_xlfn.TRANSLATE(SUBSTITUTE(__TR_HORIZONTAL!I14,"API","XQZ0QX"),"en","es"),"XQZ0QX","API")</f>
        <v>Definición central, asignación y auditoría de políticas de pasarela (seguridad, tráfico, mediación, caché) a lo largo del patrimonio API.</v>
      </c>
      <c r="J14" s="5" t="str">
        <f>_xlfn.TRANSLATE(__TR_HORIZONTAL!J14,"en","es")</f>
        <v>Convierte la política en un elemento de configuración gobernado en lugar de código embebido, permitiendo cambios a nivel de estado en una sola acción.</v>
      </c>
      <c r="K14" s="5" t="str">
        <f>SUBSTITUTE(SUBSTITUTE(SUBSTITUTE(SUBSTITUTE(SUBSTITUTE(_xlfn.TRANSLATE(SUBSTITUTE(SUBSTITUTE(SUBSTITUTE(SUBSTITUTE(SUBSTITUTE(__TR_HORIZONTAL!K14,"DataDog","XQZ0QX"),"DevSecOps","XQZ1QX"),"API","XQZ2QX"),"AWS","XQZ3QX"),"GCP","XQZ4QX"),"en","es"),"XQZ0QX","DataDog"),"XQZ1QX","DevSecOps"),"XQZ2QX","API"),"XQZ3QX","AWS"),"XQZ4QX","GCP")</f>
        <v>Administración y políticas de plataformas Apigee; Monitorización DataDog/API; tuberías DevSecOps; Apigee alojado en GCP con proveedores AWS/locales.</v>
      </c>
    </row>
    <row r="15" spans="1:11" ht="75" x14ac:dyDescent="0.25">
      <c r="A15" s="5"/>
      <c r="B15" s="5"/>
      <c r="C15" s="5"/>
      <c r="D15" s="5"/>
      <c r="E15" s="5"/>
      <c r="F15" s="5"/>
      <c r="G15" s="12" t="s">
        <v>75</v>
      </c>
      <c r="H15" s="5" t="str">
        <f>SUBSTITUTE(_xlfn.TRANSLATE(SUBSTITUTE(__TR_HORIZONTAL!H15,"API","XQZ0QX"),"en","es"),"XQZ0QX","API")</f>
        <v>API Monitorización, Analítica y Monetización</v>
      </c>
      <c r="I15" s="5" t="str">
        <f>SUBSTITUTE(_xlfn.TRANSLATE(SUBSTITUTE(__TR_HORIZONTAL!I15,"API","XQZ0QX"),"en","es"),"XQZ0QX","API")</f>
        <v>Métricas de consumo, latencia y análisis de errores por API y por consumidor, con base de medición para devolución interna o monetización de socios.</v>
      </c>
      <c r="J15" s="5" t="str">
        <f>_xlfn.TRANSLATE(__TR_HORIZONTAL!J15,"en","es")</f>
        <v>Proporciona la base de evidencia para las afirmaciones de reutilización, la planificación de capacidades y los modelos comerciales de ecosistemas.</v>
      </c>
      <c r="K15" s="5" t="str">
        <f>SUBSTITUTE(SUBSTITUTE(SUBSTITUTE(SUBSTITUTE(SUBSTITUTE(_xlfn.TRANSLATE(SUBSTITUTE(SUBSTITUTE(SUBSTITUTE(SUBSTITUTE(SUBSTITUTE(__TR_HORIZONTAL!K15,"DataDog","XQZ0QX"),"DevSecOps","XQZ1QX"),"API","XQZ2QX"),"AWS","XQZ3QX"),"GCP","XQZ4QX"),"en","es"),"XQZ0QX","DataDog"),"XQZ1QX","DevSecOps"),"XQZ2QX","API"),"XQZ3QX","AWS"),"XQZ4QX","GCP")</f>
        <v>Administración y políticas de plataformas Apigee; Monitorización DataDog/API; tuberías DevSecOps; Apigee alojado en GCP con proveedores AWS/locales.</v>
      </c>
    </row>
    <row r="16" spans="1:11" ht="75" x14ac:dyDescent="0.25">
      <c r="A16" s="5"/>
      <c r="B16" s="5"/>
      <c r="C16" s="5"/>
      <c r="D16" s="5"/>
      <c r="E16" s="5"/>
      <c r="F16" s="5"/>
      <c r="G16" s="12" t="s">
        <v>79</v>
      </c>
      <c r="H16" s="5" t="str">
        <f>_xlfn.TRANSLATE(__TR_HORIZONTAL!H16,"en","es")</f>
        <v>Despliegue y operaciones de la plataforma</v>
      </c>
      <c r="I16" s="5" t="str">
        <f>SUBSTITUTE(_xlfn.TRANSLATE(SUBSTITUTE(__TR_HORIZONTAL!I16,"API","XQZ0QX"),"en","es"),"XQZ0QX","API")</f>
        <v>Topología de despliegue, automatización, actualización y soporte operativo de la plataforma de gestión API.</v>
      </c>
      <c r="J16" s="5" t="str">
        <f>_xlfn.TRANSLATE(__TR_HORIZONTAL!J16,"en","es")</f>
        <v>Garantiza que la capa de desacoplamiento sea en sí misma resiliente y actualizable, ya que se convierte en un punto único de dependencia para todo el tráfico.</v>
      </c>
      <c r="K16" s="5" t="str">
        <f>SUBSTITUTE(SUBSTITUTE(SUBSTITUTE(SUBSTITUTE(SUBSTITUTE(_xlfn.TRANSLATE(SUBSTITUTE(SUBSTITUTE(SUBSTITUTE(SUBSTITUTE(SUBSTITUTE(__TR_HORIZONTAL!K16,"DataDog","XQZ0QX"),"DevSecOps","XQZ1QX"),"API","XQZ2QX"),"AWS","XQZ3QX"),"GCP","XQZ4QX"),"en","es"),"XQZ0QX","DataDog"),"XQZ1QX","DevSecOps"),"XQZ2QX","API"),"XQZ3QX","AWS"),"XQZ4QX","GCP")</f>
        <v>Administración y políticas de plataformas Apigee; Monitorización DataDog/API; tuberías DevSecOps; Apigee alojado en GCP con proveedores AWS/locales.</v>
      </c>
    </row>
    <row r="17" spans="1:11" ht="135" x14ac:dyDescent="0.25">
      <c r="A17" s="5"/>
      <c r="B17" s="5"/>
      <c r="C17" s="5"/>
      <c r="D17" s="5">
        <v>5.4</v>
      </c>
      <c r="E17" s="5" t="str">
        <f>_xlfn.TRANSLATE(__TR_HORIZONTAL!E17,"en","es")</f>
        <v>Portal y catálogo para desarrolladores</v>
      </c>
      <c r="F17" s="5" t="str">
        <f>_xlfn.TRANSLATE(__TR_HORIZONTAL!F17,"en","es")</f>
        <v>Superficie de autoservicio donde desarrolladores internos y externos descubren, evalúan, se registran y se apoyan en interfaces publicadas.  |  PROPÓSITO: La reutilización solo ocurre si se pueden encontrar capacidades. El portal convierte un inventario técnico en un catálogo de productos consumibles.</v>
      </c>
      <c r="G17" s="12" t="s">
        <v>87</v>
      </c>
      <c r="H17" s="5" t="str">
        <f>SUBSTITUTE(_xlfn.TRANSLATE(SUBSTITUTE(__TR_HORIZONTAL!H17,"API","XQZ0QX"),"en","es"),"XQZ0QX","API")</f>
        <v>Catálogo, documentación y descubrimiento de metadatos API</v>
      </c>
      <c r="I17" s="5" t="str">
        <f>_xlfn.TRANSLATE(__TR_HORIZONTAL!I17,"en","es")</f>
        <v>Inventario consultable de interfaces publicadas con especificaciones, ejemplos y metadatos.</v>
      </c>
      <c r="J17" s="5" t="str">
        <f>_xlfn.TRANSLATE(__TR_HORIZONTAL!J17,"en","es")</f>
        <v>Elimina el coste de redescubrimiento que impulsa a los equipos a construir una integración paralela punto a punto.</v>
      </c>
      <c r="K17" s="5" t="str">
        <f>SUBSTITUTE(_xlfn.TRANSLATE(SUBSTITUTE(__TR_HORIZONTAL!K17,"API","XQZ0QX"),"en","es"),"XQZ0QX","API")</f>
        <v>Catálogo/gobernanza API para Apificación de Canales y OfiWeb; Apígeo como plano de gestión API. No se evidencia explícitamente ninguna herramienta de portal para desarrolladores independiente.</v>
      </c>
    </row>
    <row r="18" spans="1:11" ht="90" x14ac:dyDescent="0.25">
      <c r="A18" s="5"/>
      <c r="B18" s="5"/>
      <c r="C18" s="5"/>
      <c r="D18" s="5"/>
      <c r="E18" s="5"/>
      <c r="F18" s="5"/>
      <c r="G18" s="12" t="s">
        <v>91</v>
      </c>
      <c r="H18" s="5" t="str">
        <f>_xlfn.TRANSLATE(__TR_HORIZONTAL!H18,"en","es")</f>
        <v>Registro de desarrolladores y autoservicio</v>
      </c>
      <c r="I18" s="5" t="str">
        <f>SUBSTITUTE(_xlfn.TRANSLATE(SUBSTITUTE(__TR_HORIZONTAL!I18,"API","XQZ0QX"),"en","es"),"XQZ0QX","API")</f>
        <v>Incorporación, emisión de credenciales, registro de solicitudes y gestión de derechos para consumidores de API.</v>
      </c>
      <c r="J18" s="5" t="str">
        <f>_xlfn.TRANSLATE(__TR_HORIZONTAL!J18,"en","es")</f>
        <v>Elimina el control humano del camino de consumo, que es lo que hace que la reutilización interna y la incorporación de parejas sea rápida.</v>
      </c>
      <c r="K18" s="5" t="str">
        <f>SUBSTITUTE(_xlfn.TRANSLATE(SUBSTITUTE(__TR_HORIZONTAL!K18,"API","XQZ0QX"),"en","es"),"XQZ0QX","API")</f>
        <v>Catálogo/gobernanza API para Apificación de Canales y OfiWeb; Apígeo como plano de gestión API. No se evidencia explícitamente ninguna herramienta de portal para desarrolladores independiente.</v>
      </c>
    </row>
    <row r="19" spans="1:11" ht="90" x14ac:dyDescent="0.25">
      <c r="A19" s="5"/>
      <c r="B19" s="5"/>
      <c r="C19" s="5"/>
      <c r="D19" s="5"/>
      <c r="E19" s="5"/>
      <c r="F19" s="5"/>
      <c r="G19" s="12" t="s">
        <v>95</v>
      </c>
      <c r="H19" s="5" t="str">
        <f>_xlfn.TRANSLATE(__TR_HORIZONTAL!H19,"en","es")</f>
        <v>Colaboración, comunidad y autoapoyo</v>
      </c>
      <c r="I19" s="5" t="str">
        <f>_xlfn.TRANSLATE(__TR_HORIZONTAL!I19,"en","es")</f>
        <v>Informes de problemas, bucles de retroalimentación, guías de uso, SDKs y ejemplos de referencia para equipos que consumen.</v>
      </c>
      <c r="J19" s="5" t="str">
        <f>_xlfn.TRANSLATE(__TR_HORIZONTAL!J19,"en","es")</f>
        <v>Proporciona la capa de habilitación sin la cual una capacidad publicada está técnicamente disponible pero prácticamente no se utiliza.</v>
      </c>
      <c r="K19" s="5" t="str">
        <f>SUBSTITUTE(_xlfn.TRANSLATE(SUBSTITUTE(__TR_HORIZONTAL!K19,"API","XQZ0QX"),"en","es"),"XQZ0QX","API")</f>
        <v>Catálogo/gobernanza API para Apificación de Canales y OfiWeb; Apígeo como plano de gestión API. No se evidencia explícitamente ninguna herramienta de portal para desarrolladores independiente.</v>
      </c>
    </row>
    <row r="20" spans="1:11" ht="405" x14ac:dyDescent="0.25">
      <c r="A20" s="5">
        <v>4</v>
      </c>
      <c r="B20" s="5" t="str">
        <f>_xlfn.TRANSLATE(__TR_HORIZONTAL!B20,"en","es")</f>
        <v>Servicios de Gateway</v>
      </c>
      <c r="C20" s="5" t="str">
        <f>SUBSTITUTE(SUBSTITUTE(_xlfn.TRANSLATE(SUBSTITUTE(SUBSTITUTE(__TR_HORIZONTAL!C20,"Open Banking","XQZ0QX"),"API","XQZ1QX"),"en","es"),"XQZ0QX","Open Banking"),"XQZ1QX","API")</f>
        <v>Controlaba la entrada y salida a través del límite de confianza del banco en tres modalidades - API, archivo y evento - tanto en direcciones entrantes como salientes, además de los bordes especializados necesarios para tráfico regulado y de socios (borde Open Banking, borde de filtro, servicio de token de seguridad, sandbox de socios, conmutación).  |  PROPÓSITO: La interoperabilidad no es solo interna. Este dominio concentra la zonificación de red, terminación de protocolos, cifrado y política de tráfico para todas las contrapartes externas (banco central, procesadores de tarjetas, esquemas de pago, agencias, fintechs, canales corporativos) de modo que la participación en el ecosistema se convierta en un ejercicio de configuración en lugar de un proyecto. También es donde la mayoría de los bancos encuentran asimetría: las gateways entrantes API están maduras mientras que las gateways de archivos y eventos salientes no están definidas, y esa brecha queda en el camino crítico.</v>
      </c>
      <c r="D20" s="5">
        <v>4.0999999999999996</v>
      </c>
      <c r="E20" s="5" t="str">
        <f>_xlfn.TRANSLATE(__TR_HORIZONTAL!E20,"en","es")</f>
        <v>Servicios de pasarela entrantes</v>
      </c>
      <c r="F20" s="5" t="str">
        <f>SUBSTITUTE(_xlfn.TRANSLATE(SUBSTITUTE(__TR_HORIZONTAL!F20,"API","XQZ0QX"),"en","es"),"XQZ0QX","API")</f>
        <v>Puntos de entrada gestionados para tráfico que se origina fuera del límite de confianza del banco, a través de API, canales de archivos y eventos, incluyendo el intercambio de aserturas de identidad en el borde.  |  PROPÓSITO: Da al banco una puerta principal gobernada por modalidad en lugar de una proliferación de conexiones bilaterales con controles inconsistentes.</v>
      </c>
      <c r="G20" s="12" t="s">
        <v>108</v>
      </c>
      <c r="H20" s="5" t="str">
        <f>SUBSTITUTE(_xlfn.TRANSLATE(SUBSTITUTE(__TR_HORIZONTAL!H20,"API","XQZ0QX"),"en","es"),"XQZ0QX","API")</f>
        <v>Pasarela entrante API</v>
      </c>
      <c r="I20" s="5" t="str">
        <f>SUBSTITUTE(_xlfn.TRANSLATE(SUBSTITUTE(__TR_HORIZONTAL!I20,"API","XQZ0QX"),"en","es"),"XQZ0QX","API")</f>
        <v>Terminación, autenticación, aplicación de políticas y enrutamiento del tráfico API síncrono procedente de canales, socios y terceros.</v>
      </c>
      <c r="J20" s="5" t="str">
        <f>_xlfn.TRANSLATE(__TR_HORIZONTAL!J20,"en","es")</f>
        <v>Punto único de aplicación para demanda síncrona externa, desacoplando a las contrapartes de la topología interna del servicio.</v>
      </c>
      <c r="K20" s="5" t="str">
        <f>SUBSTITUTE(SUBSTITUTE(SUBSTITUTE(SUBSTITUTE(SUBSTITUTE(SUBSTITUTE(_xlfn.TRANSLATE(SUBSTITUTE(SUBSTITUTE(SUBSTITUTE(SUBSTITUTE(SUBSTITUTE(SUBSTITUTE(__TR_HORIZONTAL!K20,"Amazon API Gateway","XQZ0QX"),"Modyo Connect","XQZ1QX"),"WebMethods","XQZ2QX"),"MuleSoft","XQZ3QX"),"API","XQZ4QX"),"EKS","XQZ5QX"),"en","es"),"XQZ0QX","Amazon API Gateway"),"XQZ1QX","Modyo Connect"),"XQZ2QX","WebMethods"),"XQZ3QX","MuleSoft"),"XQZ4QX","API"),"XQZ5QX","EKS")</f>
        <v>Gateway de entrada/salida API de Apigee; integración MuleSoft/WebMethods; Amazon API Gateway vía Modyo Connect; EKS/Istio Service Edge.</v>
      </c>
    </row>
    <row r="21" spans="1:11" ht="90" x14ac:dyDescent="0.25">
      <c r="A21" s="5"/>
      <c r="B21" s="5"/>
      <c r="C21" s="5"/>
      <c r="D21" s="5"/>
      <c r="E21" s="5"/>
      <c r="F21" s="5"/>
      <c r="G21" s="12" t="s">
        <v>112</v>
      </c>
      <c r="H21" s="5" t="str">
        <f>_xlfn.TRANSLATE(__TR_HORIZONTAL!H21,"en","es")</f>
        <v>Pasarela de Archivos Entrantes</v>
      </c>
      <c r="I21" s="5" t="str">
        <f>_xlfn.TRANSLATE(__TR_HORIZONTAL!I21,"en","es")</f>
        <v>Recepción segura, validación, escaneo de virus y transferencia de archivos originados externamente, reemplazando la transferencia punto a punto no gestionada.</v>
      </c>
      <c r="J21" s="5" t="str">
        <f>SUBSTITUTE(_xlfn.TRANSLATE(SUBSTITUTE(__TR_HORIZONTAL!J21,"API","XQZ0QX"),"en","es"),"XQZ0QX","API")</f>
        <v>Coloca el gran conjunto residual de lotes bajo el mismo régimen de control y observabilidad que el tráfico API.</v>
      </c>
      <c r="K21" s="5" t="str">
        <f>_xlfn.TRANSLATE(__TR_HORIZONTAL!K21,"en","es")</f>
        <v>DataStage ETL; interfaces por lotes/COB; Flujos de documentos OnBase; Interfaces heredadas de archivos/datos de PISA/Informix. No hay ningún producto MFT dedicado a evidencia explícita.</v>
      </c>
    </row>
    <row r="22" spans="1:11" ht="75" x14ac:dyDescent="0.25">
      <c r="A22" s="5"/>
      <c r="B22" s="5"/>
      <c r="C22" s="5"/>
      <c r="D22" s="5"/>
      <c r="E22" s="5"/>
      <c r="F22" s="5"/>
      <c r="G22" s="12" t="s">
        <v>117</v>
      </c>
      <c r="H22" s="5" t="str">
        <f>SUBSTITUTE(_xlfn.TRANSLATE(SUBSTITUTE(__TR_HORIZONTAL!H22,"EventHub","XQZ0QX"),"en","es"),"XQZ0QX","EventHub")</f>
        <v>Pasarela entrante EventHub</v>
      </c>
      <c r="I22" s="5" t="str">
        <f>_xlfn.TRANSLATE(__TR_HORIZONTAL!I22,"en","es")</f>
        <v>Gestión controlada de eventos y mensajes publicados externamente en la columna vertebral interna de eventos.</v>
      </c>
      <c r="J22" s="5" t="str">
        <f>_xlfn.TRANSLATE(__TR_HORIZONTAL!J22,"en","es")</f>
        <v>Permite la integración en tiempo real del ecosistema (esquemas, agregadores, datos de mercado) sin exponer temas internos.</v>
      </c>
      <c r="K22" s="5" t="str">
        <f>_xlfn.TRANSLATE(__TR_HORIZONTAL!K22,"en","es")</f>
        <v>Kafka/Confluent; Amazon MQ; Kinesis amazónica; Marco de Eventos Temenos; Componentes de procesador de eventos/router de eventos/limpieza de eventos.</v>
      </c>
    </row>
    <row r="23" spans="1:11" ht="75" x14ac:dyDescent="0.25">
      <c r="A23" s="5"/>
      <c r="B23" s="5"/>
      <c r="C23" s="5"/>
      <c r="D23" s="5"/>
      <c r="E23" s="5"/>
      <c r="F23" s="5"/>
      <c r="G23" s="12" t="s">
        <v>122</v>
      </c>
      <c r="H23" s="5" t="str">
        <f>_xlfn.TRANSLATE(__TR_HORIZONTAL!H23,"en","es")</f>
        <v>Servicio de Token de Seguridad (STS)</v>
      </c>
      <c r="I23" s="5" t="str">
        <f>_xlfn.TRANSLATE(__TR_HORIZONTAL!I23,"en","es")</f>
        <v>Emisión, intercambio y validación de tokens de seguridad en el perímetro, traduciendo las afirmaciones de identidad externas en credenciales internas.</v>
      </c>
      <c r="J23" s="5" t="str">
        <f>_xlfn.TRANSLATE(__TR_HORIZONTAL!J23,"en","es")</f>
        <v>Permite respetar las identidades federadas y de socios sin extender los límites internos de fideicomiso.</v>
      </c>
      <c r="K23" s="5" t="str">
        <f>SUBSTITUTE(SUBSTITUTE(SUBSTITUTE(_xlfn.TRANSLATE(SUBSTITUTE(SUBSTITUTE(SUBSTITUTE(__TR_HORIZONTAL!K23,"Microsoft Entra ID","XQZ0QX"),"API","XQZ1QX"),"OAuth 2.0","XQZ2QX"),"en","es"),"XQZ0QX","Microsoft Entra ID"),"XQZ1QX","API"),"XQZ2QX","OAuth 2.0")</f>
        <v>OAuth 2.0 vía Apigee; Azure AD / Microsoft Entra ID; Identidad del Partido Token; tokens de aplicación/usuario gestionados mediante la seguridad API.</v>
      </c>
    </row>
    <row r="24" spans="1:11" ht="180" x14ac:dyDescent="0.25">
      <c r="A24" s="5"/>
      <c r="B24" s="5"/>
      <c r="C24" s="5"/>
      <c r="D24" s="5">
        <v>4.2</v>
      </c>
      <c r="E24" s="5" t="str">
        <f>_xlfn.TRANSLATE(__TR_HORIZONTAL!E24,"en","es")</f>
        <v>Servicios de Pasarela de Salida</v>
      </c>
      <c r="F24" s="5" t="str">
        <f>SUBSTITUTE(_xlfn.TRANSLATE(SUBSTITUTE(__TR_HORIZONTAL!F24,"API","XQZ0QX"),"en","es"),"XQZ0QX","API")</f>
        <v>Gestionó puntos de salida para tráfico originado por bancos hacia contrapartes aguas abajo, a través de API, canales de archivos y eventos, incluyendo el cambio de transacciones a esquemas y procesadores.  |  PROPÓSITO: Externaliza la conectividad y credenciales específicas de la contraparte del código de la aplicación, para que un proveedor pueda ser reemplazado sin tocar los servicios empresariales.</v>
      </c>
      <c r="G24" s="12" t="s">
        <v>131</v>
      </c>
      <c r="H24" s="5" t="str">
        <f>SUBSTITUTE(_xlfn.TRANSLATE(SUBSTITUTE(__TR_HORIZONTAL!H24,"API","XQZ0QX"),"en","es"),"XQZ0QX","API")</f>
        <v>Pasarela API de salida</v>
      </c>
      <c r="I24" s="5" t="str">
        <f>_xlfn.TRANSLATE(__TR_HORIZONTAL!I24,"en","es")</f>
        <v>Mediación de salida, inyección de credenciales, reintentos y control de circuitos para llamadas a proveedores externos, expuestas a través de una DMZ.</v>
      </c>
      <c r="J24" s="5" t="str">
        <f>_xlfn.TRANSLATE(__TR_HORIZONTAL!J24,"en","es")</f>
        <v>Convierte la sustitución por terceros en un cambio de configuración de gateway en lugar de un proyecto de desarrollo.</v>
      </c>
      <c r="K24" s="5" t="str">
        <f>SUBSTITUTE(SUBSTITUTE(SUBSTITUTE(SUBSTITUTE(SUBSTITUTE(SUBSTITUTE(_xlfn.TRANSLATE(SUBSTITUTE(SUBSTITUTE(SUBSTITUTE(SUBSTITUTE(SUBSTITUTE(SUBSTITUTE(__TR_HORIZONTAL!K24,"Amazon API Gateway","XQZ0QX"),"Modyo Connect","XQZ1QX"),"WebMethods","XQZ2QX"),"MuleSoft","XQZ3QX"),"API","XQZ4QX"),"EKS","XQZ5QX"),"en","es"),"XQZ0QX","Amazon API Gateway"),"XQZ1QX","Modyo Connect"),"XQZ2QX","WebMethods"),"XQZ3QX","MuleSoft"),"XQZ4QX","API"),"XQZ5QX","EKS")</f>
        <v>Gateway de entrada/salida API de Apigee; integración MuleSoft/WebMethods; Amazon API Gateway vía Modyo Connect; EKS/Istio Service Edge.</v>
      </c>
    </row>
    <row r="25" spans="1:11" ht="90" x14ac:dyDescent="0.25">
      <c r="A25" s="5"/>
      <c r="B25" s="5"/>
      <c r="C25" s="5"/>
      <c r="D25" s="5"/>
      <c r="E25" s="5"/>
      <c r="F25" s="5"/>
      <c r="G25" s="12" t="s">
        <v>135</v>
      </c>
      <c r="H25" s="5" t="str">
        <f>_xlfn.TRANSLATE(__TR_HORIZONTAL!H25,"en","es")</f>
        <v>Pasarela de Archivos Salientes</v>
      </c>
      <c r="I25" s="5" t="str">
        <f>_xlfn.TRANSLATE(__TR_HORIZONTAL!I25,"en","es")</f>
        <v>Generación, cifrado, programación y transmisión gestionadas de archivos salientes, sustituyendo a los arreglos SFTP no gestionados.</v>
      </c>
      <c r="J25" s="5" t="str">
        <f>_xlfn.TRANSLATE(__TR_HORIZONTAL!J25,"en","es")</f>
        <v>Cierra la brecha de control y observabilidad más común en el estado externo.</v>
      </c>
      <c r="K25" s="5" t="str">
        <f>_xlfn.TRANSLATE(__TR_HORIZONTAL!K25,"en","es")</f>
        <v>DataStage ETL; interfaces por lotes/COB; Flujos de documentos OnBase; Interfaces heredadas de archivos/datos de PISA/Informix. No hay ningún producto MFT dedicado a evidencia explícita.</v>
      </c>
    </row>
    <row r="26" spans="1:11" ht="75" x14ac:dyDescent="0.25">
      <c r="A26" s="5"/>
      <c r="B26" s="5"/>
      <c r="C26" s="5"/>
      <c r="D26" s="5"/>
      <c r="E26" s="5"/>
      <c r="F26" s="5"/>
      <c r="G26" s="12" t="s">
        <v>139</v>
      </c>
      <c r="H26" s="5" t="str">
        <f>SUBSTITUTE(_xlfn.TRANSLATE(SUBSTITUTE(__TR_HORIZONTAL!H26,"EventHub","XQZ0QX"),"en","es"),"XQZ0QX","EventHub")</f>
        <v>Pasarela EventHub de salida</v>
      </c>
      <c r="I26" s="5" t="str">
        <f>_xlfn.TRANSLATE(__TR_HORIZONTAL!I26,"en","es")</f>
        <v>Publicación controlada de eventos internos a suscriptores externos mediante filtrado y gobernanza contractual.</v>
      </c>
      <c r="J26" s="5" t="str">
        <f>_xlfn.TRANSLATE(__TR_HORIZONTAL!J26,"en","es")</f>
        <v>Permite al banco ofrecer productos de datos en tiempo real al ecosistema sin conceder acceso a temas internos.</v>
      </c>
      <c r="K26" s="5" t="str">
        <f>_xlfn.TRANSLATE(__TR_HORIZONTAL!K26,"en","es")</f>
        <v>Kafka/Confluent; Amazon MQ; Kinesis amazónica; Marco de Eventos Temenos; Componentes de procesador de eventos/router de eventos/limpieza de eventos.</v>
      </c>
    </row>
    <row r="27" spans="1:11" ht="90" x14ac:dyDescent="0.25">
      <c r="A27" s="5"/>
      <c r="B27" s="5"/>
      <c r="C27" s="5"/>
      <c r="D27" s="5"/>
      <c r="E27" s="5"/>
      <c r="F27" s="5"/>
      <c r="G27" s="12" t="s">
        <v>143</v>
      </c>
      <c r="H27" s="5" t="str">
        <f>_xlfn.TRANSLATE(__TR_HORIZONTAL!H27,"en","es")</f>
        <v>Conmutación</v>
      </c>
      <c r="I27" s="5" t="str">
        <f>_xlfn.TRANSLATE(__TR_HORIZONTAL!I27,"en","es")</f>
        <v>Enrutamiento y adaptación de protocolos del tráfico de transacciones a esquemas, procesadores y redes interbancarias, incluyendo la conmutación por error entre proveedores.</v>
      </c>
      <c r="J27" s="5" t="str">
        <f>_xlfn.TRANSLATE(__TR_HORIZONTAL!J27,"en","es")</f>
        <v>Proporciona redundancia de proveedores y enrutamiento de menor coste como propiedad arquitectónica más que como resultado de negociación.</v>
      </c>
      <c r="K27" s="5" t="str">
        <f>SUBSTITUTE(_xlfn.TRANSLATE(SUBSTITUTE(__TR_HORIZONTAL!K27,"SmartVista","XQZ0QX"),"en","es"),"XQZ0QX","SmartVista")</f>
        <v>BPC SmartVista/SVIP para conmutación y procesamiento de tarjetas; Hub de Pagos para SPEI, dispersión de nóminas y pagos multiplataforma; coexistencia legada entre IST y PISA.</v>
      </c>
    </row>
    <row r="28" spans="1:11" ht="165" x14ac:dyDescent="0.25">
      <c r="A28" s="5"/>
      <c r="B28" s="5"/>
      <c r="C28" s="5"/>
      <c r="D28" s="5">
        <v>4.3</v>
      </c>
      <c r="E28" s="5" t="str">
        <f>SUBSTITUTE(_xlfn.TRANSLATE(SUBSTITUTE(__TR_HORIZONTAL!E28,"Open Banking","XQZ0QX"),"en","es"),"XQZ0QX","Open Banking")</f>
        <v>Ecosistema &amp; Open Banking Edge</v>
      </c>
      <c r="F28" s="5" t="str">
        <f>_xlfn.TRANSLATE(__TR_HORIZONTAL!F28,"en","es")</f>
        <v>Bordes externos especializados para tráfico regulado de banca abierta, incorporación de socios y experimentación controlada, incluyendo bordes de filtrado y exposición al mercado.  |  PROPÓSITO: Cuando la capa de interoperabilidad se convierte en un canal de negocio: convierte capacidades internas en productos consumibles y contratados para terceros.</v>
      </c>
      <c r="G28" s="12" t="s">
        <v>152</v>
      </c>
      <c r="H28" s="5" t="str">
        <f>SUBSTITUTE(_xlfn.TRANSLATE(SUBSTITUTE(__TR_HORIZONTAL!H28,"Open Banking","XQZ0QX"),"en","es"),"XQZ0QX","Open Banking")</f>
        <v>Open Banking Edge</v>
      </c>
      <c r="I28" s="5" t="str">
        <f>SUBSTITUTE(SUBSTITUTE(_xlfn.TRANSLATE(SUBSTITUTE(SUBSTITUTE(__TR_HORIZONTAL!I28,"APIs","XQZ0QX"),"API","XQZ1QX"),"en","es"),"XQZ0QX","APIs"),"XQZ1QX","API")</f>
        <v>Exposición conforme a la normativa de cuentas, pagos y datos APIs con consentimiento, obligaciones sólidas de autenticación e informe.</v>
      </c>
      <c r="J28" s="5" t="str">
        <f>_xlfn.TRANSLATE(__TR_HORIZONTAL!J28,"en","es")</f>
        <v>Cumple con los mandatos regulatorios en una plataforma compartida en lugar de como un silo aislado de cumplimiento.</v>
      </c>
      <c r="K28" s="5" t="str">
        <f>SUBSTITUTE(SUBSTITUTE(SUBSTITUTE(SUBSTITUTE(_xlfn.TRANSLATE(SUBSTITUTE(SUBSTITUTE(SUBSTITUTE(SUBSTITUTE(__TR_HORIZONTAL!K28,"Open Banking","XQZ0QX"),"BIAN","XQZ1QX"),"APIs","XQZ2QX"),"API","XQZ3QX"),"en","es"),"XQZ0QX","Open Banking"),"XQZ1QX","BIAN"),"XQZ2QX","APIs"),"XQZ3QX","API")</f>
        <v>No se evidencia ningún producto sandbox específico de Open Banking en el marketplace o socio; las capacidades adyacentes utilizan Apigee, API Gateway, BIAN APIs y entornos sandbox/UAT.</v>
      </c>
    </row>
    <row r="29" spans="1:11" ht="75" x14ac:dyDescent="0.25">
      <c r="A29" s="5"/>
      <c r="B29" s="5"/>
      <c r="C29" s="5"/>
      <c r="D29" s="5"/>
      <c r="E29" s="5"/>
      <c r="F29" s="5"/>
      <c r="G29" s="12" t="s">
        <v>156</v>
      </c>
      <c r="H29" s="5" t="str">
        <f>_xlfn.TRANSLATE(__TR_HORIZONTAL!H29,"en","es")</f>
        <v>Borde del filtro</v>
      </c>
      <c r="I29" s="5" t="str">
        <f>SUBSTITUTE(_xlfn.TRANSLATE(SUBSTITUTE(__TR_HORIZONTAL!I29,"API","XQZ0QX"),"en","es"),"XQZ0QX","API")</f>
        <v>Filtrado y filtro de tráfico externo basado en contenido, consumidores y geografía antes de la pasarela API.</v>
      </c>
      <c r="J29" s="5" t="str">
        <f>_xlfn.TRANSLATE(__TR_HORIZONTAL!J29,"en","es")</f>
        <v>Reduce la carga hostil y fuera de la política antes de que consuma la capacidad de gateway o backend.</v>
      </c>
      <c r="K29" s="5" t="str">
        <f>SUBSTITUTE(SUBSTITUTE(SUBSTITUTE(SUBSTITUTE(_xlfn.TRANSLATE(SUBSTITUTE(SUBSTITUTE(SUBSTITUTE(SUBSTITUTE(__TR_HORIZONTAL!K29,"Cloud Armor","XQZ0QX"),"AWS","XQZ1QX"),"GCP","XQZ2QX"),"TLS","XQZ3QX"),"en","es"),"XQZ0QX","Cloud Armor"),"XQZ1QX","AWS"),"XQZ2QX","GCP"),"XQZ3QX","TLS")</f>
        <v>Imperva WAF / Cloud Armor; Escudo AWS; Terminación Zscaler TLS; VPN/Conexión Directa; Reglas de la tetración; AWS/GCP/zonificación de red local.</v>
      </c>
    </row>
    <row r="30" spans="1:11" ht="90" x14ac:dyDescent="0.25">
      <c r="A30" s="5"/>
      <c r="B30" s="5"/>
      <c r="C30" s="5"/>
      <c r="D30" s="5"/>
      <c r="E30" s="5"/>
      <c r="F30" s="5"/>
      <c r="G30" s="12" t="s">
        <v>161</v>
      </c>
      <c r="H30" s="5" t="str">
        <f>_xlfn.TRANSLATE(__TR_HORIZONTAL!H30,"en","es")</f>
        <v>Sandbox de socios</v>
      </c>
      <c r="I30" s="5" t="str">
        <f>_xlfn.TRANSLATE(__TR_HORIZONTAL!I30,"en","es")</f>
        <v>Entorno aislado no productivo con datos representativos para el desarrollo y certificación de socios y fintech.</v>
      </c>
      <c r="J30" s="5" t="str">
        <f>_xlfn.TRANSLATE(__TR_HORIZONTAL!J30,"en","es")</f>
        <v>Comprime la incorporación de socios de meses a semanas, que es la limitación práctica en la estrategia del ecosistema.</v>
      </c>
      <c r="K30" s="5" t="str">
        <f>SUBSTITUTE(SUBSTITUTE(SUBSTITUTE(SUBSTITUTE(_xlfn.TRANSLATE(SUBSTITUTE(SUBSTITUTE(SUBSTITUTE(SUBSTITUTE(__TR_HORIZONTAL!K30,"Open Banking","XQZ0QX"),"BIAN","XQZ1QX"),"APIs","XQZ2QX"),"API","XQZ3QX"),"en","es"),"XQZ0QX","Open Banking"),"XQZ1QX","BIAN"),"XQZ2QX","APIs"),"XQZ3QX","API")</f>
        <v>No se evidencia ningún producto sandbox específico de Open Banking en el marketplace o socio; las capacidades adyacentes utilizan Apigee, API Gateway, BIAN APIs y entornos sandbox/UAT.</v>
      </c>
    </row>
    <row r="31" spans="1:11" ht="90" x14ac:dyDescent="0.25">
      <c r="A31" s="5"/>
      <c r="B31" s="5"/>
      <c r="C31" s="5"/>
      <c r="D31" s="5"/>
      <c r="E31" s="5"/>
      <c r="F31" s="5"/>
      <c r="G31" s="12" t="s">
        <v>165</v>
      </c>
      <c r="H31" s="5" t="str">
        <f>SUBSTITUTE(_xlfn.TRANSLATE(SUBSTITUTE(__TR_HORIZONTAL!H31,"API","XQZ0QX"),"en","es"),"XQZ0QX","API")</f>
        <v>Mercado API</v>
      </c>
      <c r="I31" s="5" t="str">
        <f>_xlfn.TRANSLATE(__TR_HORIZONTAL!I31,"en","es")</f>
        <v>Catálogo comercial para envases, publicaciones y capacidades de contratación bancarias para consumidores externos.</v>
      </c>
      <c r="J31" s="5" t="str">
        <f>_xlfn.TRANSLATE(__TR_HORIZONTAL!J31,"en","es")</f>
        <v>Proporciona la interfaz para modelos de negocio no lineales de capacidad como producto.</v>
      </c>
      <c r="K31" s="5" t="str">
        <f>SUBSTITUTE(SUBSTITUTE(SUBSTITUTE(SUBSTITUTE(_xlfn.TRANSLATE(SUBSTITUTE(SUBSTITUTE(SUBSTITUTE(SUBSTITUTE(__TR_HORIZONTAL!K31,"Open Banking","XQZ0QX"),"BIAN","XQZ1QX"),"APIs","XQZ2QX"),"API","XQZ3QX"),"en","es"),"XQZ0QX","Open Banking"),"XQZ1QX","BIAN"),"XQZ2QX","APIs"),"XQZ3QX","API")</f>
        <v>No se evidencia ningún producto sandbox específico de Open Banking en el marketplace o socio; las capacidades adyacentes utilizan Apigee, API Gateway, BIAN APIs y entornos sandbox/UAT.</v>
      </c>
    </row>
    <row r="32" spans="1:11" ht="150" x14ac:dyDescent="0.25">
      <c r="A32" s="5"/>
      <c r="B32" s="5"/>
      <c r="C32" s="5"/>
      <c r="D32" s="5">
        <v>4.4000000000000004</v>
      </c>
      <c r="E32" s="5" t="str">
        <f>_xlfn.TRANSLATE(__TR_HORIZONTAL!E32,"en","es")</f>
        <v>Zonificación perimetral y conectividad</v>
      </c>
      <c r="F32" s="5" t="str">
        <f>_xlfn.TRANSLATE(__TR_HORIZONTAL!F32,"en","es")</f>
        <v>Segmentación de red, modelo de exposición DMZ, terminación de seguridad del transporte y gestión de conectividad que sustentan todas las modalidades de pasarela.  |  PROPÓSITO: Establece la topología de confianza dentro de la cual opera cualquier otra capacidad de pasarela; Sin él, el desacoplamiento aumenta la exposición en lugar de contenerla.</v>
      </c>
      <c r="G32" s="12" t="s">
        <v>172</v>
      </c>
      <c r="H32" s="5" t="str">
        <f>_xlfn.TRANSLATE(__TR_HORIZONTAL!H32,"en","es")</f>
        <v>Zonificación de redes y exposición a la DMZ</v>
      </c>
      <c r="I32" s="5" t="str">
        <f>_xlfn.TRANSLATE(__TR_HORIZONTAL!I32,"en","es")</f>
        <v>Definición y aplicación de las zonas de seguridad, y el patrón DMZ a través del cual las capacidades internas se exponen externamente.</v>
      </c>
      <c r="J32" s="5" t="str">
        <f>_xlfn.TRANSLATE(__TR_HORIZONTAL!J32,"en","es")</f>
        <v>Garantiza que las nuevas interfaces externas hereden un modelo de exposición aprobado en lugar de negociar uno por proyecto.</v>
      </c>
      <c r="K32" s="5" t="str">
        <f>SUBSTITUTE(SUBSTITUTE(SUBSTITUTE(SUBSTITUTE(_xlfn.TRANSLATE(SUBSTITUTE(SUBSTITUTE(SUBSTITUTE(SUBSTITUTE(__TR_HORIZONTAL!K32,"Cloud Armor","XQZ0QX"),"AWS","XQZ1QX"),"GCP","XQZ2QX"),"TLS","XQZ3QX"),"en","es"),"XQZ0QX","Cloud Armor"),"XQZ1QX","AWS"),"XQZ2QX","GCP"),"XQZ3QX","TLS")</f>
        <v>Imperva WAF / Cloud Armor; Escudo AWS; Terminación Zscaler TLS; VPN/Conexión Directa; Reglas de la tetración; AWS/GCP/zonificación de red local.</v>
      </c>
    </row>
    <row r="33" spans="1:11" ht="75" x14ac:dyDescent="0.25">
      <c r="A33" s="5"/>
      <c r="B33" s="5"/>
      <c r="C33" s="5"/>
      <c r="D33" s="5"/>
      <c r="E33" s="5"/>
      <c r="F33" s="5"/>
      <c r="G33" s="12" t="s">
        <v>176</v>
      </c>
      <c r="H33" s="5" t="str">
        <f>_xlfn.TRANSLATE(__TR_HORIZONTAL!H33,"en","es")</f>
        <v>Terminación de la seguridad del transporte</v>
      </c>
      <c r="I33" s="5" t="str">
        <f>SUBSTITUTE(_xlfn.TRANSLATE(SUBSTITUTE(__TR_HORIZONTAL!I33,"TLS","XQZ0QX"),"en","es"),"XQZ0QX","TLS")</f>
        <v>Terminación TLS, autenticación mutua y gestión de políticas de cifrado en el edge.</v>
      </c>
      <c r="J33" s="5" t="str">
        <f>_xlfn.TRANSLATE(__TR_HORIZONTAL!J33,"en","es")</f>
        <v>Centraliza la moneda criptográfica, de modo que las deprecaciones de protocolo se gestionan una vez en vez de por aplicación.</v>
      </c>
      <c r="K33" s="5" t="str">
        <f>SUBSTITUTE(SUBSTITUTE(SUBSTITUTE(SUBSTITUTE(_xlfn.TRANSLATE(SUBSTITUTE(SUBSTITUTE(SUBSTITUTE(SUBSTITUTE(__TR_HORIZONTAL!K33,"Cloud Armor","XQZ0QX"),"AWS","XQZ1QX"),"GCP","XQZ2QX"),"TLS","XQZ3QX"),"en","es"),"XQZ0QX","Cloud Armor"),"XQZ1QX","AWS"),"XQZ2QX","GCP"),"XQZ3QX","TLS")</f>
        <v>Imperva WAF / Cloud Armor; Escudo AWS; Terminación Zscaler TLS; VPN/Conexión Directa; Reglas de la tetración; AWS/GCP/zonificación de red local.</v>
      </c>
    </row>
    <row r="34" spans="1:11" ht="75" x14ac:dyDescent="0.25">
      <c r="A34" s="5"/>
      <c r="B34" s="5"/>
      <c r="C34" s="5"/>
      <c r="D34" s="5"/>
      <c r="E34" s="5"/>
      <c r="F34" s="5"/>
      <c r="G34" s="12" t="s">
        <v>180</v>
      </c>
      <c r="H34" s="5" t="str">
        <f>_xlfn.TRANSLATE(__TR_HORIZONTAL!H34,"en","es")</f>
        <v>Gestión de la conectividad externa</v>
      </c>
      <c r="I34" s="5" t="str">
        <f>_xlfn.TRANSLATE(__TR_HORIZONTAL!I34,"en","es")</f>
        <v>Registro, credenciales, endpoints y monitorización operativa de las conexiones de contraparte.</v>
      </c>
      <c r="J34" s="5" t="str">
        <f>_xlfn.TRANSLATE(__TR_HORIZONTAL!J34,"en","es")</f>
        <v>Crea un inventario autoritativo de dependencias externas, que es un requisito previo para la gestión de riesgos de terceros.</v>
      </c>
      <c r="K34" s="5" t="str">
        <f>SUBSTITUTE(SUBSTITUTE(SUBSTITUTE(SUBSTITUTE(_xlfn.TRANSLATE(SUBSTITUTE(SUBSTITUTE(SUBSTITUTE(SUBSTITUTE(__TR_HORIZONTAL!K34,"Cloud Armor","XQZ0QX"),"AWS","XQZ1QX"),"GCP","XQZ2QX"),"TLS","XQZ3QX"),"en","es"),"XQZ0QX","Cloud Armor"),"XQZ1QX","AWS"),"XQZ2QX","GCP"),"XQZ3QX","TLS")</f>
        <v>Imperva WAF / Cloud Armor; Escudo AWS; Terminación Zscaler TLS; VPN/Conexión Directa; Reglas de la tetración; AWS/GCP/zonificación de red local.</v>
      </c>
    </row>
    <row r="35" spans="1:11" ht="360" x14ac:dyDescent="0.25">
      <c r="A35" s="5">
        <v>1</v>
      </c>
      <c r="B35" s="5" t="str">
        <f>_xlfn.TRANSLATE(__TR_HORIZONTAL!B35,"en","es")</f>
        <v>Seguridad</v>
      </c>
      <c r="C35" s="5" t="str">
        <f>SUBSTITUTE(_xlfn.TRANSLATE(SUBSTITUTE(__TR_HORIZONTAL!C35,"API","XQZ0QX"),"en","es"),"XQZ0QX","API")</f>
        <v>Protección de extremo a extremo de la propia capa de interoperabilidad: gestión de identidad y acceso, servicios criptográficos, gestión de certificados y secretos, protección contra amenazas, gestión de vulnerabilidades y amenazas, y monitorización y respuesta de seguridad en los conjuntos API, eventos, archivos y contenedores.  |  OBJETIVO: El desacoplamiento multiplica el número de saltos de red, credenciales y relaciones de confianza en el patrimonio. Sin una capacidad de seguridad a nivel de núcleo, cada nuevo servicio reimplementa sus propios controles y la superficie de ataque crece más rápido que la funcionalidad. El objetivo de diseño es que la seguridad se herede de la plataforma, no se codifica por servicio, lo que también aplana la curva de costes de remediación de vulnerabilidades a medida que el número de servicios crece hasta cientos.</v>
      </c>
      <c r="D35" s="5">
        <v>1.1000000000000001</v>
      </c>
      <c r="E35" s="5" t="str">
        <f>_xlfn.TRANSLATE(__TR_HORIZONTAL!E35,"en","es")</f>
        <v>Gestión de Identidad y Acceso</v>
      </c>
      <c r="F35" s="5" t="str">
        <f>_xlfn.TRANSLATE(__TR_HORIZONTAL!F35,"en","es")</f>
        <v>Servicios de autenticación, autorización, token y sesión para clientes, empleados, socios e identidades de máquinas que consumen la capa de interoperabilidad.  |  PROPÓSITO: Proporciona la única respuesta autorizada a quién llama y qué puede hacer, para que la lógica de derechos se elimine de los servicios empresariales.</v>
      </c>
      <c r="G35" s="12" t="s">
        <v>194</v>
      </c>
      <c r="H35" s="5" t="str">
        <f>_xlfn.TRANSLATE(__TR_HORIZONTAL!H35,"en","es")</f>
        <v>Servicios de autenticación</v>
      </c>
      <c r="I35" s="5" t="str">
        <f>_xlfn.TRANSLATE(__TR_HORIZONTAL!I35,"en","es")</f>
        <v>Verificación de la identidad del usuario y del sistema, incluyendo autenticación multifactor y step-up, como un servicio compartido.</v>
      </c>
      <c r="J35" s="5" t="str">
        <f>_xlfn.TRANSLATE(__TR_HORIZONTAL!J35,"en","es")</f>
        <v>Elimina las implementaciones de autenticación por aplicación, que son la principal fuente de una fuerza de control inconsistente.</v>
      </c>
      <c r="K35" s="5" t="str">
        <f>SUBSTITUTE(SUBSTITUTE(SUBSTITUTE(_xlfn.TRANSLATE(SUBSTITUTE(SUBSTITUTE(SUBSTITUTE(__TR_HORIZONTAL!K35,"Microsoft Entra ID","XQZ0QX"),"HashiCorp Vault","XQZ1QX"),"OAuth 2.0","XQZ2QX"),"en","es"),"XQZ0QX","Microsoft Entra ID"),"XQZ1QX","HashiCorp Vault"),"XQZ2QX","OAuth 2.0")</f>
        <v>OAuth 2.0 vía Apigee; Azure AD / Microsoft Entra ID; Identidad del Partido Token; Identidad de código/KYC; HashiCorp Vault para soporte de credenciales.</v>
      </c>
    </row>
    <row r="36" spans="1:11" ht="75" x14ac:dyDescent="0.25">
      <c r="A36" s="5"/>
      <c r="B36" s="5"/>
      <c r="C36" s="5"/>
      <c r="D36" s="5"/>
      <c r="E36" s="5"/>
      <c r="F36" s="5"/>
      <c r="G36" s="12" t="s">
        <v>198</v>
      </c>
      <c r="H36" s="5" t="str">
        <f>_xlfn.TRANSLATE(__TR_HORIZONTAL!H36,"en","es")</f>
        <v>Servicios de autorización</v>
      </c>
      <c r="I36" s="5" t="str">
        <f>_xlfn.TRANSLATE(__TR_HORIZONTAL!I36,"en","es")</f>
        <v>Evaluación centralizada de derechos y invocación de políticas en servicio, incluyendo decisiones basadas en roles y atributos.</v>
      </c>
      <c r="J36" s="5" t="str">
        <f>_xlfn.TRANSLATE(__TR_HORIZONTAL!J36,"en","es")</f>
        <v>Mantiene la coherencia de la autorización mientras los servicios se recomponen entre proveedores tradicionales, de nueva generación y terceros.</v>
      </c>
      <c r="K36" s="5" t="str">
        <f>SUBSTITUTE(SUBSTITUTE(SUBSTITUTE(_xlfn.TRANSLATE(SUBSTITUTE(SUBSTITUTE(SUBSTITUTE(__TR_HORIZONTAL!K36,"Microsoft Entra ID","XQZ0QX"),"HashiCorp Vault","XQZ1QX"),"OAuth 2.0","XQZ2QX"),"en","es"),"XQZ0QX","Microsoft Entra ID"),"XQZ1QX","HashiCorp Vault"),"XQZ2QX","OAuth 2.0")</f>
        <v>OAuth 2.0 vía Apigee; Azure AD / Microsoft Entra ID; Identidad del Partido Token; Identidad de código/KYC; HashiCorp Vault para soporte de credenciales.</v>
      </c>
    </row>
    <row r="37" spans="1:11" ht="75" x14ac:dyDescent="0.25">
      <c r="A37" s="5"/>
      <c r="B37" s="5"/>
      <c r="C37" s="5"/>
      <c r="D37" s="5"/>
      <c r="E37" s="5"/>
      <c r="F37" s="5"/>
      <c r="G37" s="12" t="s">
        <v>202</v>
      </c>
      <c r="H37" s="5" t="str">
        <f>_xlfn.TRANSLATE(__TR_HORIZONTAL!H37,"en","es")</f>
        <v>Token de acceso y inicio de sesión único</v>
      </c>
      <c r="I37" s="5" t="str">
        <f>_xlfn.TRANSLATE(__TR_HORIZONTAL!I37,"en","es")</f>
        <v>Emisión, actualización, introspección y revocación de tokens de acceso, y propagación de identidad entre salto de servicio.</v>
      </c>
      <c r="J37" s="5" t="str">
        <f>_xlfn.TRANSLATE(__TR_HORIZONTAL!J37,"en","es")</f>
        <v>Preserva la identidad del llamante de extremo a extremo mediante orquestaciones, lo que hace posible la auditoría distribuida.</v>
      </c>
      <c r="K37" s="5" t="str">
        <f>SUBSTITUTE(SUBSTITUTE(SUBSTITUTE(_xlfn.TRANSLATE(SUBSTITUTE(SUBSTITUTE(SUBSTITUTE(__TR_HORIZONTAL!K37,"Microsoft Entra ID","XQZ0QX"),"HashiCorp Vault","XQZ1QX"),"OAuth 2.0","XQZ2QX"),"en","es"),"XQZ0QX","Microsoft Entra ID"),"XQZ1QX","HashiCorp Vault"),"XQZ2QX","OAuth 2.0")</f>
        <v>OAuth 2.0 vía Apigee; Azure AD / Microsoft Entra ID; Identidad del Partido Token; Identidad de código/KYC; HashiCorp Vault para soporte de credenciales.</v>
      </c>
    </row>
    <row r="38" spans="1:11" ht="75" x14ac:dyDescent="0.25">
      <c r="A38" s="5"/>
      <c r="B38" s="5"/>
      <c r="C38" s="5"/>
      <c r="D38" s="5"/>
      <c r="E38" s="5"/>
      <c r="F38" s="5"/>
      <c r="G38" s="12" t="s">
        <v>206</v>
      </c>
      <c r="H38" s="5" t="str">
        <f>_xlfn.TRANSLATE(__TR_HORIZONTAL!H38,"en","es")</f>
        <v>Servicios de Sesión</v>
      </c>
      <c r="I38" s="5" t="str">
        <f>_xlfn.TRANSLATE(__TR_HORIZONTAL!I38,"en","es")</f>
        <v>Creación, validación, tiempo de espera y terminación de sesiones entre canales y dominios.</v>
      </c>
      <c r="J38" s="5" t="str">
        <f>_xlfn.TRANSLATE(__TR_HORIZONTAL!J38,"en","es")</f>
        <v>Permite la continuidad omnicanal sin que cada canal mantenga el estado de sesión privada.</v>
      </c>
      <c r="K38" s="5" t="str">
        <f>SUBSTITUTE(SUBSTITUTE(SUBSTITUTE(_xlfn.TRANSLATE(SUBSTITUTE(SUBSTITUTE(SUBSTITUTE(__TR_HORIZONTAL!K38,"Microsoft Entra ID","XQZ0QX"),"HashiCorp Vault","XQZ1QX"),"OAuth 2.0","XQZ2QX"),"en","es"),"XQZ0QX","Microsoft Entra ID"),"XQZ1QX","HashiCorp Vault"),"XQZ2QX","OAuth 2.0")</f>
        <v>OAuth 2.0 vía Apigee; Azure AD / Microsoft Entra ID; Identidad del Partido Token; Identidad de código/KYC; HashiCorp Vault para soporte de credenciales.</v>
      </c>
    </row>
    <row r="39" spans="1:11" ht="75" x14ac:dyDescent="0.25">
      <c r="A39" s="5"/>
      <c r="B39" s="5"/>
      <c r="C39" s="5"/>
      <c r="D39" s="5"/>
      <c r="E39" s="5"/>
      <c r="F39" s="5"/>
      <c r="G39" s="12" t="s">
        <v>210</v>
      </c>
      <c r="H39" s="5" t="str">
        <f>_xlfn.TRANSLATE(__TR_HORIZONTAL!H39,"en","es")</f>
        <v>Administración de Usuarios, Políticas y Credenciales</v>
      </c>
      <c r="I39" s="5" t="str">
        <f>_xlfn.TRANSLATE(__TR_HORIZONTAL!I39,"en","es")</f>
        <v>Administración de identidades, derechos, almacenes de pólizas y credenciales de máquinas.</v>
      </c>
      <c r="J39" s="5" t="str">
        <f>_xlfn.TRANSLATE(__TR_HORIZONTAL!J39,"en","es")</f>
        <v>Ofrece a auditores y operadores un lugar para evidenciar y cambiar el acceso en todo el ámbito de interoperabilidad.</v>
      </c>
      <c r="K39" s="5" t="str">
        <f>SUBSTITUTE(SUBSTITUTE(SUBSTITUTE(_xlfn.TRANSLATE(SUBSTITUTE(SUBSTITUTE(SUBSTITUTE(__TR_HORIZONTAL!K39,"Microsoft Entra ID","XQZ0QX"),"HashiCorp Vault","XQZ1QX"),"OAuth 2.0","XQZ2QX"),"en","es"),"XQZ0QX","Microsoft Entra ID"),"XQZ1QX","HashiCorp Vault"),"XQZ2QX","OAuth 2.0")</f>
        <v>OAuth 2.0 vía Apigee; Azure AD / Microsoft Entra ID; Identidad del Partido Token; Identidad de código/KYC; HashiCorp Vault para soporte de credenciales.</v>
      </c>
    </row>
    <row r="40" spans="1:11" ht="150" x14ac:dyDescent="0.25">
      <c r="A40" s="5"/>
      <c r="B40" s="5"/>
      <c r="C40" s="5"/>
      <c r="D40" s="5">
        <v>1.2</v>
      </c>
      <c r="E40" s="5" t="str">
        <f>_xlfn.TRANSLATE(__TR_HORIZONTAL!E40,"en","es")</f>
        <v>Servicios cripto</v>
      </c>
      <c r="F40" s="5" t="str">
        <f>_xlfn.TRANSLATE(__TR_HORIZONTAL!F40,"en","es")</f>
        <v>Operaciones criptográficas compartidas —firma, cifrado, protección de carga útil de extremo a extremo— se entregaban como servicios llamables respaldados por módulos de seguridad de hardware y almacenes de claves gestionados.  |  PROPÓSITO: Concentra los controles de mayor garantía en un solo componente certificado, para que la criptografía se consuma en lugar de reimplemente.</v>
      </c>
      <c r="G40" s="12" t="s">
        <v>219</v>
      </c>
      <c r="H40" s="5" t="str">
        <f>_xlfn.TRANSLATE(__TR_HORIZONTAL!H40,"en","es")</f>
        <v>Operaciones Emblemáticas</v>
      </c>
      <c r="I40" s="5" t="str">
        <f>_xlfn.TRANSLATE(__TR_HORIZONTAL!I40,"en","es")</f>
        <v>Generación y verificación de firma digital para transacciones, documentos y mensajes intersistemas.</v>
      </c>
      <c r="J40" s="5" t="str">
        <f>_xlfn.TRANSLATE(__TR_HORIZONTAL!J40,"en","es")</f>
        <v>Proporciona la no repudiación a través de los límites del sistema, lo cual se vuelve esencial una vez que una transacción abarca varias plataformas.</v>
      </c>
      <c r="K40" s="5" t="str">
        <f>SUBSTITUTE(SUBSTITUTE(SUBSTITUTE(_xlfn.TRANSLATE(SUBSTITUTE(SUBSTITUTE(SUBSTITUTE(__TR_HORIZONTAL!K40,"HSM","XQZ0QX"),"TLS","XQZ1QX"),"SSL","XQZ2QX"),"en","es"),"XQZ0QX","HSM"),"XQZ1QX","TLS"),"XQZ2QX","SSL")</f>
        <v>cifrado AES-256; TLS/SSL; Gestión de claves HSM; Oracle TDE; Istio mTLS; Firma de código/NOM-151 para contratos de incorporación.</v>
      </c>
    </row>
    <row r="41" spans="1:11" ht="60" x14ac:dyDescent="0.25">
      <c r="A41" s="5"/>
      <c r="B41" s="5"/>
      <c r="C41" s="5"/>
      <c r="D41" s="5"/>
      <c r="E41" s="5"/>
      <c r="F41" s="5"/>
      <c r="G41" s="12" t="s">
        <v>223</v>
      </c>
      <c r="H41" s="5" t="str">
        <f>_xlfn.TRANSLATE(__TR_HORIZONTAL!H41,"en","es")</f>
        <v>Operaciones de cifrado</v>
      </c>
      <c r="I41" s="5" t="str">
        <f>_xlfn.TRANSLATE(__TR_HORIZONTAL!I41,"en","es")</f>
        <v>Servicios de cifrado y descifrado para datos en tránsito y en reposo, incluyendo la tokenización de campos sensibles.</v>
      </c>
      <c r="J41" s="5" t="str">
        <f>_xlfn.TRANSLATE(__TR_HORIZONTAL!J41,"en","es")</f>
        <v>Permite que los datos sensibles atraviesen un patrimonio distribuido sin ampliar el alcance de cumplimiento de cada componente que pasa.</v>
      </c>
      <c r="K41" s="5" t="str">
        <f>SUBSTITUTE(SUBSTITUTE(SUBSTITUTE(_xlfn.TRANSLATE(SUBSTITUTE(SUBSTITUTE(SUBSTITUTE(__TR_HORIZONTAL!K41,"HSM","XQZ0QX"),"TLS","XQZ1QX"),"SSL","XQZ2QX"),"en","es"),"XQZ0QX","HSM"),"XQZ1QX","TLS"),"XQZ2QX","SSL")</f>
        <v>cifrado AES-256; TLS/SSL; Gestión de claves HSM; Oracle TDE; Istio mTLS; Firma de código/NOM-151 para contratos de incorporación.</v>
      </c>
    </row>
    <row r="42" spans="1:11" ht="75" x14ac:dyDescent="0.25">
      <c r="A42" s="5"/>
      <c r="B42" s="5"/>
      <c r="C42" s="5"/>
      <c r="D42" s="5"/>
      <c r="E42" s="5"/>
      <c r="F42" s="5"/>
      <c r="G42" s="12" t="s">
        <v>227</v>
      </c>
      <c r="H42" s="5" t="str">
        <f>_xlfn.TRANSLATE(__TR_HORIZONTAL!H42,"en","es")</f>
        <v>Cifrado de extremo a extremo</v>
      </c>
      <c r="I42" s="5" t="str">
        <f>_xlfn.TRANSLATE(__TR_HORIZONTAL!I42,"en","es")</f>
        <v>Protección a nivel de carga útil mantenida desde el canal de origen hasta el procesador final, independientemente de los saltos de transporte.</v>
      </c>
      <c r="J42" s="5" t="str">
        <f>_xlfn.TRANSLATE(__TR_HORIZONTAL!J42,"en","es")</f>
        <v>Mantiene los datos confidenciales entre intermediarios, lo cual es un requisito previo para el uso de procesadores de terceros y SaaS.</v>
      </c>
      <c r="K42" s="5" t="str">
        <f>SUBSTITUTE(SUBSTITUTE(SUBSTITUTE(_xlfn.TRANSLATE(SUBSTITUTE(SUBSTITUTE(SUBSTITUTE(__TR_HORIZONTAL!K42,"HSM","XQZ0QX"),"TLS","XQZ1QX"),"SSL","XQZ2QX"),"en","es"),"XQZ0QX","HSM"),"XQZ1QX","TLS"),"XQZ2QX","SSL")</f>
        <v>cifrado AES-256; TLS/SSL; Gestión de claves HSM; Oracle TDE; Istio mTLS; Firma de código/NOM-151 para contratos de incorporación.</v>
      </c>
    </row>
    <row r="43" spans="1:11" ht="60" x14ac:dyDescent="0.25">
      <c r="A43" s="5"/>
      <c r="B43" s="5"/>
      <c r="C43" s="5"/>
      <c r="D43" s="5"/>
      <c r="E43" s="5"/>
      <c r="F43" s="5"/>
      <c r="G43" s="12" t="s">
        <v>231</v>
      </c>
      <c r="H43" s="5" t="str">
        <f>SUBSTITUTE(_xlfn.TRANSLATE(SUBSTITUTE(__TR_HORIZONTAL!H43,"HSM","XQZ0QX"),"en","es"),"XQZ0QX","HSM")</f>
        <v>Almacenamiento de claves y gestión HSM</v>
      </c>
      <c r="I43" s="5" t="str">
        <f>_xlfn.TRANSLATE(__TR_HORIZONTAL!I43,"en","es")</f>
        <v>Gestión del ciclo de vida de las claves criptográficas y los módulos de hardware que las protegen.</v>
      </c>
      <c r="J43" s="5" t="str">
        <f>_xlfn.TRANSLATE(__TR_HORIZONTAL!J43,"en","es")</f>
        <v>Previene la expansión de llaves, el modo de fallo que suele bloquear la migración en la nube de cargas de trabajo reguladas.</v>
      </c>
      <c r="K43" s="5" t="str">
        <f>SUBSTITUTE(SUBSTITUTE(SUBSTITUTE(_xlfn.TRANSLATE(SUBSTITUTE(SUBSTITUTE(SUBSTITUTE(__TR_HORIZONTAL!K43,"HSM","XQZ0QX"),"TLS","XQZ1QX"),"SSL","XQZ2QX"),"en","es"),"XQZ0QX","HSM"),"XQZ1QX","TLS"),"XQZ2QX","SSL")</f>
        <v>cifrado AES-256; TLS/SSL; Gestión de claves HSM; Oracle TDE; Istio mTLS; Firma de código/NOM-151 para contratos de incorporación.</v>
      </c>
    </row>
    <row r="44" spans="1:11" ht="180" x14ac:dyDescent="0.25">
      <c r="A44" s="5"/>
      <c r="B44" s="5"/>
      <c r="C44" s="5"/>
      <c r="D44" s="5">
        <v>1.3</v>
      </c>
      <c r="E44" s="5" t="str">
        <f>_xlfn.TRANSLATE(__TR_HORIZONTAL!E44,"en","es")</f>
        <v>Gestión de certificados y secretos</v>
      </c>
      <c r="F44" s="5" t="str">
        <f>_xlfn.TRANSLATE(__TR_HORIZONTAL!F44,"en","es")</f>
        <v>Emisión, distribución, rotación, revocación y auditoría de certificados y secretos de aplicaciones consumidos por servicios, gateways y pipelines.  |  PROPÓSITO: Automatiza la higiene operativa que falla con mayor frecuencia a gran escala; Los certificados caducados y los secretos codificados en forma dura son algunas de las causas más frecuentes de interrupciones y hallazgos de auditorías en herencias distribuidas.</v>
      </c>
      <c r="G44" s="12" t="s">
        <v>239</v>
      </c>
      <c r="H44" s="5" t="str">
        <f>_xlfn.TRANSLATE(__TR_HORIZONTAL!H44,"en","es")</f>
        <v>Gestión de Certificados</v>
      </c>
      <c r="I44" s="5" t="str">
        <f>_xlfn.TRANSLATE(__TR_HORIZONTAL!I44,"en","es")</f>
        <v>Emisión automatizada de certificados, inventario, monitorización de caducidad, renovación y revocación en toda la herencia.</v>
      </c>
      <c r="J44" s="5" t="str">
        <f>_xlfn.TRANSLATE(__TR_HORIZONTAL!J44,"en","es")</f>
        <v>Elimina una causa principal de interrupciones autoinfligidas a medida que el número de puntos finales cifrados se multiplica.</v>
      </c>
      <c r="K44" s="5" t="str">
        <f>SUBSTITUTE(SUBSTITUTE(SUBSTITUTE(SUBSTITUTE(SUBSTITUTE(SUBSTITUTE(_xlfn.TRANSLATE(SUBSTITUTE(SUBSTITUTE(SUBSTITUTE(SUBSTITUTE(SUBSTITUTE(SUBSTITUTE(__TR_HORIZONTAL!K44,"HashiCorp Vault","XQZ0QX"),"AWS Secrets Manager","XQZ1QX"),"Kubernetes","XQZ2QX"),"AWS","XQZ3QX"),"HSM","XQZ4QX"),"SSL","XQZ5QX"),"en","es"),"XQZ0QX","HashiCorp Vault"),"XQZ1QX","AWS Secrets Manager"),"XQZ2QX","Kubernetes"),"XQZ3QX","AWS"),"XQZ4QX","HSM"),"XQZ5QX","SSL")</f>
        <v>HashiCorp Vault; AWS Secrets Manager; Kubernetes Secretos; gestión de certificados SSL; HSM para operaciones clave críticas.</v>
      </c>
    </row>
    <row r="45" spans="1:11" ht="60" x14ac:dyDescent="0.25">
      <c r="A45" s="5"/>
      <c r="B45" s="5"/>
      <c r="C45" s="5"/>
      <c r="D45" s="5"/>
      <c r="E45" s="5"/>
      <c r="F45" s="5"/>
      <c r="G45" s="12" t="s">
        <v>243</v>
      </c>
      <c r="H45" s="5" t="str">
        <f>_xlfn.TRANSLATE(__TR_HORIZONTAL!H45,"en","es")</f>
        <v>Gestión secreta</v>
      </c>
      <c r="I45" s="5" t="str">
        <f>SUBSTITUTE(_xlfn.TRANSLATE(SUBSTITUTE(__TR_HORIZONTAL!I45,"API","XQZ0QX"),"en","es"),"XQZ0QX","API")</f>
        <v>Almacenamiento centralizado, inyección dinámica, rotación y auditoría de credenciales, claves API y cadenas de conexión.</v>
      </c>
      <c r="J45" s="5" t="str">
        <f>_xlfn.TRANSLATE(__TR_HORIZONTAL!J45,"en","es")</f>
        <v>Elimina secretos del código y la configuración, convirtiendo la rotación de credenciales en una operación rutinaria de plataforma.</v>
      </c>
      <c r="K45" s="5" t="str">
        <f>SUBSTITUTE(SUBSTITUTE(SUBSTITUTE(SUBSTITUTE(SUBSTITUTE(SUBSTITUTE(_xlfn.TRANSLATE(SUBSTITUTE(SUBSTITUTE(SUBSTITUTE(SUBSTITUTE(SUBSTITUTE(SUBSTITUTE(__TR_HORIZONTAL!K45,"HashiCorp Vault","XQZ0QX"),"AWS Secrets Manager","XQZ1QX"),"Kubernetes","XQZ2QX"),"AWS","XQZ3QX"),"HSM","XQZ4QX"),"SSL","XQZ5QX"),"en","es"),"XQZ0QX","HashiCorp Vault"),"XQZ1QX","AWS Secrets Manager"),"XQZ2QX","Kubernetes"),"XQZ3QX","AWS"),"XQZ4QX","HSM"),"XQZ5QX","SSL")</f>
        <v>HashiCorp Vault; AWS Secrets Manager; Kubernetes Secretos; gestión de certificados SSL; HSM para operaciones clave críticas.</v>
      </c>
    </row>
    <row r="46" spans="1:11" ht="135" x14ac:dyDescent="0.25">
      <c r="A46" s="5"/>
      <c r="B46" s="5"/>
      <c r="C46" s="5"/>
      <c r="D46" s="5">
        <v>1.4</v>
      </c>
      <c r="E46" s="5" t="str">
        <f>_xlfn.TRANSLATE(__TR_HORIZONTAL!E46,"en","es")</f>
        <v>Protección contra amenazas</v>
      </c>
      <c r="F46" s="5" t="str">
        <f>SUBSTITUTE(_xlfn.TRANSLATE(SUBSTITUTE(__TR_HORIZONTAL!F46,"API","XQZ0QX"),"en","es"),"XQZ0QX","API")</f>
        <v>Detección y mitigación de tráfico hostil y técnicas de ataque en tiempo de ejecución en el perímetro, en la capa API y dentro del contenedor y plataformas de streaming.  |  PROPÓSITO: Protege la superficie de ataque ensanchada que necesariamente crea el desacoplamiento, en las capas donde la exposición es mayor.</v>
      </c>
      <c r="G46" s="12" t="s">
        <v>251</v>
      </c>
      <c r="H46" s="5" t="str">
        <f>SUBSTITUTE(_xlfn.TRANSLATE(SUBSTITUTE(__TR_HORIZONTAL!H46,"API","XQZ0QX"),"en","es"),"XQZ0QX","API")</f>
        <v>API Seguridad y Protección por Inyección</v>
      </c>
      <c r="I46" s="5" t="str">
        <f>SUBSTITUTE(_xlfn.TRANSLATE(SUBSTITUTE(__TR_HORIZONTAL!I46,"API","XQZ0QX"),"en","es"),"XQZ0QX","API")</f>
        <v>Protección contra inyección, manipulación de parámetros, autorizaciones fallidas y otras clases de ataque de la capa API, con aplicación de políticas en la puerta de enlace.</v>
      </c>
      <c r="J46" s="5" t="str">
        <f>_xlfn.TRANSLATE(__TR_HORIZONTAL!J46,"en","es")</f>
        <v>Protege las interfaces de las que depende el caso de negocio para exponer, por lo que la apertura no se traduce en riesgo.</v>
      </c>
      <c r="K46" s="5" t="str">
        <f>SUBSTITUTE(SUBSTITUTE(SUBSTITUTE(_xlfn.TRANSLATE(SUBSTITUTE(SUBSTITUTE(SUBSTITUTE(__TR_HORIZONTAL!K46,"HashiCorp Vault","XQZ0QX"),"Cloud Armor","XQZ1QX"),"AWS","XQZ2QX"),"en","es"),"XQZ0QX","HashiCorp Vault"),"XQZ1QX","Cloud Armor"),"XQZ2QX","AWS")</f>
        <v>Imperva WAF; Cloud Armor; AWS Shield; Apigee OAuth/limitación de tasa; Malla de servicio Istio; Exabeam SIEM; HashiCorp Vault y controles de endurecimiento.</v>
      </c>
    </row>
    <row r="47" spans="1:11" ht="75" x14ac:dyDescent="0.25">
      <c r="A47" s="5"/>
      <c r="B47" s="5"/>
      <c r="C47" s="5"/>
      <c r="D47" s="5"/>
      <c r="E47" s="5"/>
      <c r="F47" s="5"/>
      <c r="G47" s="12" t="s">
        <v>255</v>
      </c>
      <c r="H47" s="5" t="str">
        <f>_xlfn.TRANSLATE(__TR_HORIZONTAL!H47,"en","es")</f>
        <v>Protección contra amenazas perimetrales</v>
      </c>
      <c r="I47" s="5" t="str">
        <f>_xlfn.TRANSLATE(__TR_HORIZONTAL!I47,"en","es")</f>
        <v>Cortafuegos de aplicaciones web, mitigación de denegación de servicio y gestión de bots en el borde de la red.</v>
      </c>
      <c r="J47" s="5" t="str">
        <f>_xlfn.TRANSLATE(__TR_HORIZONTAL!J47,"en","es")</f>
        <v>Absorbe tráfico de ataque volumétrico y automatizado antes de que alcance la capacidad de la pasarela o la aplicación.</v>
      </c>
      <c r="K47" s="5" t="str">
        <f>SUBSTITUTE(SUBSTITUTE(SUBSTITUTE(_xlfn.TRANSLATE(SUBSTITUTE(SUBSTITUTE(SUBSTITUTE(__TR_HORIZONTAL!K47,"HashiCorp Vault","XQZ0QX"),"Cloud Armor","XQZ1QX"),"AWS","XQZ2QX"),"en","es"),"XQZ0QX","HashiCorp Vault"),"XQZ1QX","Cloud Armor"),"XQZ2QX","AWS")</f>
        <v>Imperva WAF; Cloud Armor; AWS Shield; Apigee OAuth/limitación de tasa; Malla de servicio Istio; Exabeam SIEM; HashiCorp Vault y controles de endurecimiento.</v>
      </c>
    </row>
    <row r="48" spans="1:11" ht="75" x14ac:dyDescent="0.25">
      <c r="A48" s="5"/>
      <c r="B48" s="5"/>
      <c r="C48" s="5"/>
      <c r="D48" s="5"/>
      <c r="E48" s="5"/>
      <c r="F48" s="5"/>
      <c r="G48" s="12" t="s">
        <v>259</v>
      </c>
      <c r="H48" s="5" t="str">
        <f>_xlfn.TRANSLATE(__TR_HORIZONTAL!H48,"en","es")</f>
        <v>Protección de Carga Útil y Cumplimiento de Cuotas</v>
      </c>
      <c r="I48" s="5" t="str">
        <f>_xlfn.TRANSLATE(__TR_HORIZONTAL!I48,"en","es")</f>
        <v>Inspección de cargas útiles, límites de tamaño y esquema, y aplicación de cuotas orientada al abuso.</v>
      </c>
      <c r="J48" s="5" t="str">
        <f>_xlfn.TRANSLATE(__TR_HORIZONTAL!J48,"en","es")</f>
        <v>Previene ataques por agotamiento de recursos contra componentes compartidos usados por todos los consumidores.</v>
      </c>
      <c r="K48" s="5" t="str">
        <f>SUBSTITUTE(SUBSTITUTE(SUBSTITUTE(_xlfn.TRANSLATE(SUBSTITUTE(SUBSTITUTE(SUBSTITUTE(__TR_HORIZONTAL!K48,"HashiCorp Vault","XQZ0QX"),"Cloud Armor","XQZ1QX"),"AWS","XQZ2QX"),"en","es"),"XQZ0QX","HashiCorp Vault"),"XQZ1QX","Cloud Armor"),"XQZ2QX","AWS")</f>
        <v>Imperva WAF; Cloud Armor; AWS Shield; Apigee OAuth/limitación de tasa; Malla de servicio Istio; Exabeam SIEM; HashiCorp Vault y controles de endurecimiento.</v>
      </c>
    </row>
    <row r="49" spans="1:11" ht="75" x14ac:dyDescent="0.25">
      <c r="A49" s="5"/>
      <c r="B49" s="5"/>
      <c r="C49" s="5"/>
      <c r="D49" s="5"/>
      <c r="E49" s="5"/>
      <c r="F49" s="5"/>
      <c r="G49" s="12" t="s">
        <v>263</v>
      </c>
      <c r="H49" s="5" t="str">
        <f>_xlfn.TRANSLATE(__TR_HORIZONTAL!H49,"en","es")</f>
        <v>Seguridad en contenedores y streaming</v>
      </c>
      <c r="I49" s="5" t="str">
        <f>_xlfn.TRANSLATE(__TR_HORIZONTAL!I49,"en","es")</f>
        <v>Escaneo de imágenes, protección de cargas de trabajo en tiempo de ejecución, validación de políticas de malla de servicio y control de acceso en temas de eventos.</v>
      </c>
      <c r="J49" s="5" t="str">
        <f>_xlfn.TRANSLATE(__TR_HORIZONTAL!J49,"en","es")</f>
        <v>Extiende el control a los tiempos de ejecución donde los servicios modernos realmente se ejecutan, en lugar de solo al perímetro.</v>
      </c>
      <c r="K49" s="5" t="str">
        <f>SUBSTITUTE(SUBSTITUTE(SUBSTITUTE(_xlfn.TRANSLATE(SUBSTITUTE(SUBSTITUTE(SUBSTITUTE(__TR_HORIZONTAL!K49,"HashiCorp Vault","XQZ0QX"),"Cloud Armor","XQZ1QX"),"AWS","XQZ2QX"),"en","es"),"XQZ0QX","HashiCorp Vault"),"XQZ1QX","Cloud Armor"),"XQZ2QX","AWS")</f>
        <v>Imperva WAF; Cloud Armor; AWS Shield; Apigee OAuth/limitación de tasa; Malla de servicio Istio; Exabeam SIEM; HashiCorp Vault y controles de endurecimiento.</v>
      </c>
    </row>
    <row r="50" spans="1:11" ht="180" x14ac:dyDescent="0.25">
      <c r="A50" s="5"/>
      <c r="B50" s="5"/>
      <c r="C50" s="5"/>
      <c r="D50" s="5">
        <v>1.5</v>
      </c>
      <c r="E50" s="5" t="str">
        <f>_xlfn.TRANSLATE(__TR_HORIZONTAL!E50,"en","es")</f>
        <v>Gestión de vulnerabilidades y amenazas (VTM)</v>
      </c>
      <c r="F50" s="5" t="str">
        <f>_xlfn.TRANSLATE(__TR_HORIZONTAL!F50,"en","es")</f>
        <v>Identificación, priorización y remediación continua de vulnerabilidades en bibliotecas, imágenes, plataformas e interfaces, incluyendo pruebas adversariales.  |  PROPÓSITO: Abordar directamente el coste y el tiempo dedicados a gestionar vulnerabilidades en un gran conjunto de microservicios, el objetivo declarado detrás de la curación de bibliotecas base y la eliminación de dependencias innecesarias.</v>
      </c>
      <c r="G50" s="12" t="s">
        <v>272</v>
      </c>
      <c r="H50" s="5" t="str">
        <f>_xlfn.TRANSLATE(__TR_HORIZONTAL!H50,"en","es")</f>
        <v>Escaneo y Remediación de Vulnerabilidades</v>
      </c>
      <c r="I50" s="5" t="str">
        <f>_xlfn.TRANSLATE(__TR_HORIZONTAL!I50,"en","es")</f>
        <v>Escaneo automatizado de código, dependencias, imágenes e infraestructura con flujo de trabajo de remediación seguido.</v>
      </c>
      <c r="J50" s="5" t="str">
        <f>_xlfn.TRANSLATE(__TR_HORIZONTAL!J50,"en","es")</f>
        <v>Convierte un atraso de alertas manuales ilimitado en una pipeline gobernada y medible.</v>
      </c>
      <c r="K50" s="5" t="str">
        <f>SUBSTITUTE(SUBSTITUTE(SUBSTITUTE(_xlfn.TRANSLATE(SUBSTITUTE(SUBSTITUTE(SUBSTITUTE(__TR_HORIZONTAL!K50,"SonarQube","XQZ0QX"),"OWASP ZAP","XQZ1QX"),"DevSecOps","XQZ2QX"),"en","es"),"XQZ0QX","SonarQube"),"XQZ1QX","OWASP ZAP"),"XQZ2QX","DevSecOps")</f>
        <v>puertas de seguridad DevSecOps; Prácticas SAST/DAST; SonarQube y OWASP ZAP referenciados para la seguridad de la canalización; endurecer la validación; escaneos de vulnerabilidades.</v>
      </c>
    </row>
    <row r="51" spans="1:11" ht="90" x14ac:dyDescent="0.25">
      <c r="A51" s="5"/>
      <c r="B51" s="5"/>
      <c r="C51" s="5"/>
      <c r="D51" s="5"/>
      <c r="E51" s="5"/>
      <c r="F51" s="5"/>
      <c r="G51" s="12" t="s">
        <v>276</v>
      </c>
      <c r="H51" s="5" t="str">
        <f>_xlfn.TRANSLATE(__TR_HORIZONTAL!H51,"en","es")</f>
        <v>Pruebas de penetración y evaluación adversarial</v>
      </c>
      <c r="I51" s="5" t="str">
        <f>_xlfn.TRANSLATE(__TR_HORIZONTAL!I51,"en","es")</f>
        <v>Pruebas programadas y dirigidas de interfaces expuestas y componentes de interoperabilidad por equipos especializados.</v>
      </c>
      <c r="J51" s="5" t="str">
        <f>_xlfn.TRANSLATE(__TR_HORIZONTAL!J51,"en","es")</f>
        <v>Valida que los controles heredados de la plataforma realmente se mantienen bajo ataque, no solo en el papel.</v>
      </c>
      <c r="K51" s="5" t="str">
        <f>SUBSTITUTE(SUBSTITUTE(SUBSTITUTE(_xlfn.TRANSLATE(SUBSTITUTE(SUBSTITUTE(SUBSTITUTE(__TR_HORIZONTAL!K51,"SonarQube","XQZ0QX"),"OWASP ZAP","XQZ1QX"),"DevSecOps","XQZ2QX"),"en","es"),"XQZ0QX","SonarQube"),"XQZ1QX","OWASP ZAP"),"XQZ2QX","DevSecOps")</f>
        <v>puertas de seguridad DevSecOps; Prácticas SAST/DAST; SonarQube y OWASP ZAP referenciados para la seguridad de la canalización; endurecer la validación; escaneos de vulnerabilidades.</v>
      </c>
    </row>
    <row r="52" spans="1:11" ht="90" x14ac:dyDescent="0.25">
      <c r="A52" s="5"/>
      <c r="B52" s="5"/>
      <c r="C52" s="5"/>
      <c r="D52" s="5"/>
      <c r="E52" s="5"/>
      <c r="F52" s="5"/>
      <c r="G52" s="12" t="s">
        <v>280</v>
      </c>
      <c r="H52" s="5" t="str">
        <f>_xlfn.TRANSLATE(__TR_HORIZONTAL!H52,"en","es")</f>
        <v>Línea Base de Seguridad y Aplicación de Políticas</v>
      </c>
      <c r="I52" s="5" t="str">
        <f>_xlfn.TRANSLATE(__TR_HORIZONTAL!I52,"en","es")</f>
        <v>Definición y aplicación automatizada de librerías aprobadas, tiempos de ejecución y líneas base de configuración.</v>
      </c>
      <c r="J52" s="5" t="str">
        <f>_xlfn.TRANSLATE(__TR_HORIZONTAL!J52,"en","es")</f>
        <v>Los estándares centrales controlados por un solo equipo son los que mantienen el esfuerzo de remediación sublineal a medida que crecen los servicios.</v>
      </c>
      <c r="K52" s="5" t="str">
        <f>SUBSTITUTE(SUBSTITUTE(SUBSTITUTE(_xlfn.TRANSLATE(SUBSTITUTE(SUBSTITUTE(SUBSTITUTE(__TR_HORIZONTAL!K52,"SonarQube","XQZ0QX"),"OWASP ZAP","XQZ1QX"),"DevSecOps","XQZ2QX"),"en","es"),"XQZ0QX","SonarQube"),"XQZ1QX","OWASP ZAP"),"XQZ2QX","DevSecOps")</f>
        <v>puertas de seguridad DevSecOps; Prácticas SAST/DAST; SonarQube y OWASP ZAP referenciados para la seguridad de la canalización; endurecer la validación; escaneos de vulnerabilidades.</v>
      </c>
    </row>
    <row r="53" spans="1:11" ht="150" x14ac:dyDescent="0.25">
      <c r="A53" s="5"/>
      <c r="B53" s="5"/>
      <c r="C53" s="5"/>
      <c r="D53" s="5">
        <v>1.6</v>
      </c>
      <c r="E53" s="5" t="str">
        <f>_xlfn.TRANSLATE(__TR_HORIZONTAL!E53,"en","es")</f>
        <v>Observabilidad y respuesta de seguridad</v>
      </c>
      <c r="F53" s="5" t="str">
        <f>_xlfn.TRANSLATE(__TR_HORIZONTAL!F53,"en","es")</f>
        <v>Telemetría, correlación, alertas, paneles de control y respuesta automatizada específicos de seguridad se basan en la columna vertebral de observabilidad compartida.  |  PROPÓSITO: Cerrar la brecha más observada en los programas de interoperabilidad: la telemetría de seguridad existe en fragmentos y no existe capacidad de respuesta automatizada.</v>
      </c>
      <c r="G53" s="12" t="s">
        <v>289</v>
      </c>
      <c r="H53" s="5" t="str">
        <f>_xlfn.TRANSLATE(__TR_HORIZONTAL!H53,"en","es")</f>
        <v>Alertas de seguridad, métricas y paneles de control</v>
      </c>
      <c r="I53" s="5" t="str">
        <f>SUBSTITUTE(_xlfn.TRANSLATE(SUBSTITUTE(__TR_HORIZONTAL!I53,"API","XQZ0QX"),"en","es"),"XQZ0QX","API")</f>
        <v>Recopilación consolidada de eventos de seguridad, correlación y paneles que abarcan capas perimeter, API, contenedor y streaming.</v>
      </c>
      <c r="J53" s="5" t="str">
        <f>_xlfn.TRANSLATE(__TR_HORIZONTAL!J53,"en","es")</f>
        <v>Proporciona a la función de seguridad la misma visibilidad de extremo a extremo que el trazado distribuido da a la ingeniería.</v>
      </c>
      <c r="K53" s="5" t="str">
        <f>SUBSTITUTE(SUBSTITUTE(SUBSTITUTE(SUBSTITUTE(_xlfn.TRANSLATE(SUBSTITUTE(SUBSTITUTE(SUBSTITUTE(SUBSTITUTE(__TR_HORIZONTAL!K53,"DataDog","XQZ0QX"),"CloudWatch","XQZ1QX"),"CloudTrail","XQZ2QX"),"AWS","XQZ3QX"),"en","es"),"XQZ0QX","DataDog"),"XQZ1QX","CloudWatch"),"XQZ2QX","CloudTrail"),"XQZ3QX","AWS")</f>
        <v>Exabeam SIEM para detección de amenazas; DataDog para paneles de seguridad/operativos; CloudTrail/CloudWatch donde se utilizan los servicios AWS; escalada de incidentes a través de Operaciones/Seguridad.</v>
      </c>
    </row>
    <row r="54" spans="1:11" ht="105" x14ac:dyDescent="0.25">
      <c r="A54" s="5"/>
      <c r="B54" s="5"/>
      <c r="C54" s="5"/>
      <c r="D54" s="5"/>
      <c r="E54" s="5"/>
      <c r="F54" s="5"/>
      <c r="G54" s="12" t="s">
        <v>293</v>
      </c>
      <c r="H54" s="5" t="str">
        <f>_xlfn.TRANSLATE(__TR_HORIZONTAL!H54,"en","es")</f>
        <v>Automatización de la Respuesta a Incidentes de Seguridad</v>
      </c>
      <c r="I54" s="5" t="str">
        <f>_xlfn.TRANSLATE(__TR_HORIZONTAL!I54,"en","es")</f>
        <v>Manuales de contención y remediación orquestados y parcialmente automatizados activados por detecciones de seguridad.</v>
      </c>
      <c r="J54" s="5" t="str">
        <f>_xlfn.TRANSLATE(__TR_HORIZONTAL!J54,"en","es")</f>
        <v>Comprime el tiempo de respuesta a un nivel coherente con los canales de distribución en tiempo real y siempre activos.</v>
      </c>
      <c r="K54" s="5" t="str">
        <f>SUBSTITUTE(SUBSTITUTE(SUBSTITUTE(SUBSTITUTE(_xlfn.TRANSLATE(SUBSTITUTE(SUBSTITUTE(SUBSTITUTE(SUBSTITUTE(__TR_HORIZONTAL!K54,"DataDog","XQZ0QX"),"CloudWatch","XQZ1QX"),"CloudTrail","XQZ2QX"),"AWS","XQZ3QX"),"en","es"),"XQZ0QX","DataDog"),"XQZ1QX","CloudWatch"),"XQZ2QX","CloudTrail"),"XQZ3QX","AWS")</f>
        <v>Exabeam SIEM para detección de amenazas; DataDog para paneles de seguridad/operativos; CloudTrail/CloudWatch donde se utilizan los servicios AWS; escalada de incidentes a través de Operaciones/Seguridad.</v>
      </c>
    </row>
    <row r="55" spans="1:11" ht="330" x14ac:dyDescent="0.25">
      <c r="A55" s="5">
        <v>2</v>
      </c>
      <c r="B55" s="5" t="str">
        <f>_xlfn.TRANSLATE(__TR_HORIZONTAL!B55,"en","es")</f>
        <v>Observabilidad</v>
      </c>
      <c r="C55" s="5" t="str">
        <f>SUBSTITUTE(_xlfn.TRANSLATE(SUBSTITUTE(__TR_HORIZONTAL!C55,"API","XQZ0QX"),"en","es"),"XQZ0QX","API")</f>
        <v>Instrumentación y evidencia en todo el patrimonio distribuido: agregación de registros y registro operativo, registro de auditorías, rastreo distribuido y de extremo a extremo, monitorización de salud y API, alertas, métricas y analíticas, y paneles técnicos y empresariales.  |  PROPÓSITO: La consecuencia más difícil de la componibilidad es que ningún sistema único posee la verdad de extremo a extremo sobre una transacción; La observabilidad la restaura. A nivel ejecutivo, esta capacidad convierte la capa de interoperabilidad de un activo técnico en un instrumento de riesgo y rendimiento a nivel de servicio empresarial; la misma telemetría que impulsa la respuesta a incidentes impulsa la visión de riesgo de TI por servicio utilizada para guiar el programa de modernización.</v>
      </c>
      <c r="D55" s="5">
        <v>2.1</v>
      </c>
      <c r="E55" s="5" t="str">
        <f>_xlfn.TRANSLATE(__TR_HORIZONTAL!E55,"en","es")</f>
        <v>Monitorización</v>
      </c>
      <c r="F55" s="5" t="str">
        <f>_xlfn.TRANSLATE(__TR_HORIZONTAL!F55,"en","es")</f>
        <v>Recogida y evaluación continua del estado y disponibilidad de componentes, interfaces y dependencias de la plataforma, con alertas basadas en umbrales y anomalías.  |  PROPÓSITO: Detecta la degradación antes que los clientes, lo cual importa más en una urbanización compuesta donde una dependencia débil degrada muchos viajes.</v>
      </c>
      <c r="G55" s="12" t="s">
        <v>307</v>
      </c>
      <c r="H55" s="5" t="str">
        <f>_xlfn.TRANSLATE(__TR_HORIZONTAL!H55,"en","es")</f>
        <v>Monitorización de la salud</v>
      </c>
      <c r="I55" s="5" t="str">
        <f>_xlfn.TRANSLATE(__TR_HORIZONTAL!I55,"en","es")</f>
        <v>Comprobaciones de vivencia, preparación y salud de dependencias para servicios, tiempos de ejecución y componentes de infraestructura.</v>
      </c>
      <c r="J55" s="5" t="str">
        <f>_xlfn.TRANSLATE(__TR_HORIZONTAL!J55,"en","es")</f>
        <v>Permite la recuperación automatizada y el desplazamiento de tráfico en lugar de diagnósticos manuales.</v>
      </c>
      <c r="K55" s="5" t="str">
        <f>SUBSTITUTE(SUBSTITUTE(SUBSTITUTE(SUBSTITUTE(SUBSTITUTE(_xlfn.TRANSLATE(SUBSTITUTE(SUBSTITUTE(SUBSTITUTE(SUBSTITUTE(SUBSTITUTE(__TR_HORIZONTAL!K55,"SmartVista","XQZ0QX"),"DataDog","XQZ1QX"),"CloudWatch","XQZ2QX"),"CloudTrail","XQZ3QX"),"AWS","XQZ4QX"),"en","es"),"XQZ0QX","SmartVista"),"XQZ1QX","DataDog"),"XQZ2QX","CloudWatch"),"XQZ3QX","CloudTrail"),"XQZ4QX","AWS")</f>
        <v>Monitorización, paneles de control y alertas DataDog; CloudWatch/CloudTrail para componentes AWS; Análisis de apigee; comprobaciones de salud de la plataforma en Apolo, Transact y SmartVista.</v>
      </c>
    </row>
    <row r="56" spans="1:11" ht="90" x14ac:dyDescent="0.25">
      <c r="A56" s="5"/>
      <c r="B56" s="5"/>
      <c r="C56" s="5"/>
      <c r="D56" s="5"/>
      <c r="E56" s="5"/>
      <c r="F56" s="5"/>
      <c r="G56" s="12" t="s">
        <v>311</v>
      </c>
      <c r="H56" s="5" t="str">
        <f>SUBSTITUTE(_xlfn.TRANSLATE(SUBSTITUTE(__TR_HORIZONTAL!H56,"API","XQZ0QX"),"en","es"),"XQZ0QX","API")</f>
        <v>Monitorización de la salud y disponibilidad API</v>
      </c>
      <c r="I56" s="5" t="str">
        <f>_xlfn.TRANSLATE(__TR_HORIZONTAL!I56,"en","es")</f>
        <v>Monitorización de disponibilidad, latencia, saturación y tasa de errores por interfaz y por consumidor.</v>
      </c>
      <c r="J56" s="5" t="str">
        <f>_xlfn.TRANSLATE(__TR_HORIZONTAL!J56,"en","es")</f>
        <v>Hace que los contratos publicados sean medibles en función de los niveles de servicio, lo que permite confiar en la reutilización interna.</v>
      </c>
      <c r="K56" s="5" t="str">
        <f>SUBSTITUTE(SUBSTITUTE(SUBSTITUTE(SUBSTITUTE(SUBSTITUTE(_xlfn.TRANSLATE(SUBSTITUTE(SUBSTITUTE(SUBSTITUTE(SUBSTITUTE(SUBSTITUTE(__TR_HORIZONTAL!K56,"SmartVista","XQZ0QX"),"DataDog","XQZ1QX"),"CloudWatch","XQZ2QX"),"CloudTrail","XQZ3QX"),"AWS","XQZ4QX"),"en","es"),"XQZ0QX","SmartVista"),"XQZ1QX","DataDog"),"XQZ2QX","CloudWatch"),"XQZ3QX","CloudTrail"),"XQZ4QX","AWS")</f>
        <v>Monitorización, paneles de control y alertas DataDog; CloudWatch/CloudTrail para componentes AWS; Análisis de apigee; comprobaciones de salud de la plataforma en Apolo, Transact y SmartVista.</v>
      </c>
    </row>
    <row r="57" spans="1:11" ht="90" x14ac:dyDescent="0.25">
      <c r="A57" s="5"/>
      <c r="B57" s="5"/>
      <c r="C57" s="5"/>
      <c r="D57" s="5"/>
      <c r="E57" s="5"/>
      <c r="F57" s="5"/>
      <c r="G57" s="12" t="s">
        <v>315</v>
      </c>
      <c r="H57" s="5" t="str">
        <f>_xlfn.TRANSLATE(__TR_HORIZONTAL!H57,"en","es")</f>
        <v>Alertas y notificaciones</v>
      </c>
      <c r="I57" s="5" t="str">
        <f>_xlfn.TRANSLATE(__TR_HORIZONTAL!I57,"en","es")</f>
        <v>Generación de alertas basada en reglas y umbrales con enrutamiento al canal correspondiente (ITSM, mensajería, correo, guardia).</v>
      </c>
      <c r="J57" s="5" t="str">
        <f>_xlfn.TRANSLATE(__TR_HORIZONTAL!J57,"en","es")</f>
        <v>Garantiza que la detección llegue a un propietario responsable; la telemetría no enrutada no tiene valor operativo.</v>
      </c>
      <c r="K57" s="5" t="str">
        <f>SUBSTITUTE(SUBSTITUTE(SUBSTITUTE(SUBSTITUTE(SUBSTITUTE(_xlfn.TRANSLATE(SUBSTITUTE(SUBSTITUTE(SUBSTITUTE(SUBSTITUTE(SUBSTITUTE(__TR_HORIZONTAL!K57,"SmartVista","XQZ0QX"),"DataDog","XQZ1QX"),"CloudWatch","XQZ2QX"),"CloudTrail","XQZ3QX"),"AWS","XQZ4QX"),"en","es"),"XQZ0QX","SmartVista"),"XQZ1QX","DataDog"),"XQZ2QX","CloudWatch"),"XQZ3QX","CloudTrail"),"XQZ4QX","AWS")</f>
        <v>Monitorización, paneles de control y alertas DataDog; CloudWatch/CloudTrail para componentes AWS; Análisis de apigee; comprobaciones de salud de la plataforma en Apolo, Transact y SmartVista.</v>
      </c>
    </row>
    <row r="58" spans="1:11" ht="90" x14ac:dyDescent="0.25">
      <c r="A58" s="5"/>
      <c r="B58" s="5"/>
      <c r="C58" s="5"/>
      <c r="D58" s="5"/>
      <c r="E58" s="5"/>
      <c r="F58" s="5"/>
      <c r="G58" s="12" t="s">
        <v>319</v>
      </c>
      <c r="H58" s="5" t="str">
        <f>_xlfn.TRANSLATE(__TR_HORIZONTAL!H58,"en","es")</f>
        <v>Monitorización de capacidad y tasa de eventos</v>
      </c>
      <c r="I58" s="5" t="str">
        <f>_xlfn.TRANSLATE(__TR_HORIZONTAL!I58,"en","es")</f>
        <v>Medición del rendimiento, tasas de eventos y consumo de recursos para apoyar la planificación de capacidad.</v>
      </c>
      <c r="J58" s="5" t="str">
        <f>_xlfn.TRANSLATE(__TR_HORIZONTAL!J58,"en","es")</f>
        <v>Aborda directamente las brechas de rendimiento y planes de capacidad que normalmente se encuentran en el estado de integración en estado actual.</v>
      </c>
      <c r="K58" s="5" t="str">
        <f>SUBSTITUTE(SUBSTITUTE(SUBSTITUTE(SUBSTITUTE(SUBSTITUTE(_xlfn.TRANSLATE(SUBSTITUTE(SUBSTITUTE(SUBSTITUTE(SUBSTITUTE(SUBSTITUTE(__TR_HORIZONTAL!K58,"SmartVista","XQZ0QX"),"DataDog","XQZ1QX"),"CloudWatch","XQZ2QX"),"CloudTrail","XQZ3QX"),"AWS","XQZ4QX"),"en","es"),"XQZ0QX","SmartVista"),"XQZ1QX","DataDog"),"XQZ2QX","CloudWatch"),"XQZ3QX","CloudTrail"),"XQZ4QX","AWS")</f>
        <v>Monitorización, paneles de control y alertas DataDog; CloudWatch/CloudTrail para componentes AWS; Análisis de apigee; comprobaciones de salud de la plataforma en Apolo, Transact y SmartVista.</v>
      </c>
    </row>
    <row r="59" spans="1:11" ht="150" x14ac:dyDescent="0.25">
      <c r="A59" s="5"/>
      <c r="B59" s="5"/>
      <c r="C59" s="5"/>
      <c r="D59" s="5">
        <v>2.2000000000000002</v>
      </c>
      <c r="E59" s="5" t="str">
        <f>_xlfn.TRANSLATE(__TR_HORIZONTAL!E59,"en","es")</f>
        <v>Tala</v>
      </c>
      <c r="F59" s="5" t="str">
        <f>_xlfn.TRANSLATE(__TR_HORIZONTAL!F59,"en","es")</f>
        <v>Recogida estructurada, normalización, indexación, retención y rotación de registros técnicos, operativos y de auditoría de cada componente de la capa de interoperabilidad.  |  PROPÓSITO: Proporciona el fundamento forense y de auditoría para un patrimonio distribuido donde ningún registro de aplicaciones único cuente toda la historia.</v>
      </c>
      <c r="G59" s="12" t="s">
        <v>327</v>
      </c>
      <c r="H59" s="5" t="str">
        <f>_xlfn.TRANSLATE(__TR_HORIZONTAL!H59,"en","es")</f>
        <v>Agregación de logarítmicas</v>
      </c>
      <c r="I59" s="5" t="str">
        <f>_xlfn.TRANSLATE(__TR_HORIZONTAL!I59,"en","es")</f>
        <v>Recogida centralizada e indexación de registros de servicios, gateways, tiempos de ejecución y pipelines.</v>
      </c>
      <c r="J59" s="5" t="str">
        <f>_xlfn.TRANSLATE(__TR_HORIZONTAL!J59,"en","es")</f>
        <v>Elimina la búsqueda de troncos por sistema, que es el mayor componente individual del tiempo medio de diagnóstico.</v>
      </c>
      <c r="K59" s="5" t="str">
        <f>SUBSTITUTE(SUBSTITUTE(SUBSTITUTE(SUBSTITUTE(SUBSTITUTE(_xlfn.TRANSLATE(SUBSTITUTE(SUBSTITUTE(SUBSTITUTE(SUBSTITUTE(SUBSTITUTE(__TR_HORIZONTAL!K59,"SmartVista","XQZ0QX"),"DataDog","XQZ1QX"),"CloudWatch","XQZ2QX"),"CloudTrail","XQZ3QX"),"AWS","XQZ4QX"),"en","es"),"XQZ0QX","SmartVista"),"XQZ1QX","DataDog"),"XQZ2QX","CloudWatch"),"XQZ3QX","CloudTrail"),"XQZ4QX","AWS")</f>
        <v>Registros/monitores DataDog; Exabeam SIEM; AWS CloudTrail/CloudWatch; pruebas de auditoría de Apigee, Transact, SmartVista y de los flujos regulatorios/de reportes.</v>
      </c>
    </row>
    <row r="60" spans="1:11" ht="75" x14ac:dyDescent="0.25">
      <c r="A60" s="5"/>
      <c r="B60" s="5"/>
      <c r="C60" s="5"/>
      <c r="D60" s="5"/>
      <c r="E60" s="5"/>
      <c r="F60" s="5"/>
      <c r="G60" s="12" t="s">
        <v>331</v>
      </c>
      <c r="H60" s="5" t="str">
        <f>_xlfn.TRANSLATE(__TR_HORIZONTAL!H60,"en","es")</f>
        <v>Servicios de Registro Operativo</v>
      </c>
      <c r="I60" s="5" t="str">
        <f>_xlfn.TRANSLATE(__TR_HORIZONTAL!I60,"en","es")</f>
        <v>Bibliotecas estándar de registro, formatos y convenciones de severidad consumidos por los equipos de aplicaciones.</v>
      </c>
      <c r="J60" s="5" t="str">
        <f>_xlfn.TRANSLATE(__TR_HORIZONTAL!J60,"en","es")</f>
        <v>Hace que los registros sean correlacionados con la máquina por diseño en lugar de analizados retrospectivamente.</v>
      </c>
      <c r="K60" s="5" t="str">
        <f>SUBSTITUTE(SUBSTITUTE(SUBSTITUTE(SUBSTITUTE(SUBSTITUTE(_xlfn.TRANSLATE(SUBSTITUTE(SUBSTITUTE(SUBSTITUTE(SUBSTITUTE(SUBSTITUTE(__TR_HORIZONTAL!K60,"SmartVista","XQZ0QX"),"DataDog","XQZ1QX"),"CloudWatch","XQZ2QX"),"CloudTrail","XQZ3QX"),"AWS","XQZ4QX"),"en","es"),"XQZ0QX","SmartVista"),"XQZ1QX","DataDog"),"XQZ2QX","CloudWatch"),"XQZ3QX","CloudTrail"),"XQZ4QX","AWS")</f>
        <v>Registros/monitores DataDog; Exabeam SIEM; AWS CloudTrail/CloudWatch; pruebas de auditoría de Apigee, Transact, SmartVista y de los flujos regulatorios/de reportes.</v>
      </c>
    </row>
    <row r="61" spans="1:11" ht="75" x14ac:dyDescent="0.25">
      <c r="A61" s="5"/>
      <c r="B61" s="5"/>
      <c r="C61" s="5"/>
      <c r="D61" s="5"/>
      <c r="E61" s="5"/>
      <c r="F61" s="5"/>
      <c r="G61" s="12" t="s">
        <v>335</v>
      </c>
      <c r="H61" s="5" t="str">
        <f>_xlfn.TRANSLATE(__TR_HORIZONTAL!H61,"en","es")</f>
        <v>Registro de auditoría</v>
      </c>
      <c r="I61" s="5" t="str">
        <f>_xlfn.TRANSLATE(__TR_HORIZONTAL!I61,"en","es")</f>
        <v>Registro inmutable de eventos relevantes para la seguridad y para el negocio con retención definida.</v>
      </c>
      <c r="J61" s="5" t="str">
        <f>_xlfn.TRANSLATE(__TR_HORIZONTAL!J61,"en","es")</f>
        <v>Cumple obligaciones de evidencia regulatoria que los núcleos heredados cumplían implícitamente a través de sus propias revistas.</v>
      </c>
      <c r="K61" s="5" t="str">
        <f>SUBSTITUTE(SUBSTITUTE(SUBSTITUTE(SUBSTITUTE(SUBSTITUTE(_xlfn.TRANSLATE(SUBSTITUTE(SUBSTITUTE(SUBSTITUTE(SUBSTITUTE(SUBSTITUTE(__TR_HORIZONTAL!K61,"SmartVista","XQZ0QX"),"DataDog","XQZ1QX"),"CloudWatch","XQZ2QX"),"CloudTrail","XQZ3QX"),"AWS","XQZ4QX"),"en","es"),"XQZ0QX","SmartVista"),"XQZ1QX","DataDog"),"XQZ2QX","CloudWatch"),"XQZ3QX","CloudTrail"),"XQZ4QX","AWS")</f>
        <v>Registros/monitores DataDog; Exabeam SIEM; AWS CloudTrail/CloudWatch; pruebas de auditoría de Apigee, Transact, SmartVista y de los flujos regulatorios/de reportes.</v>
      </c>
    </row>
    <row r="62" spans="1:11" ht="75" x14ac:dyDescent="0.25">
      <c r="A62" s="5"/>
      <c r="B62" s="5"/>
      <c r="C62" s="5"/>
      <c r="D62" s="5"/>
      <c r="E62" s="5"/>
      <c r="F62" s="5"/>
      <c r="G62" s="12" t="s">
        <v>339</v>
      </c>
      <c r="H62" s="5" t="str">
        <f>_xlfn.TRANSLATE(__TR_HORIZONTAL!H62,"en","es")</f>
        <v>Retención y rotación de troncos</v>
      </c>
      <c r="I62" s="5" t="str">
        <f>_xlfn.TRANSLATE(__TR_HORIZONTAL!I62,"en","es")</f>
        <v>Niveles de retención basados en políticas, archivo y rotación entre almacenamiento caliente, caliente y frío.</v>
      </c>
      <c r="J62" s="5" t="str">
        <f>_xlfn.TRANSLATE(__TR_HORIZONTAL!J62,"en","es")</f>
        <v>Controla la curva de coste de observabilidad, que de otro modo escala más rápido que el propio conjunto.</v>
      </c>
      <c r="K62" s="5" t="str">
        <f>SUBSTITUTE(SUBSTITUTE(SUBSTITUTE(SUBSTITUTE(SUBSTITUTE(_xlfn.TRANSLATE(SUBSTITUTE(SUBSTITUTE(SUBSTITUTE(SUBSTITUTE(SUBSTITUTE(__TR_HORIZONTAL!K62,"SmartVista","XQZ0QX"),"DataDog","XQZ1QX"),"CloudWatch","XQZ2QX"),"CloudTrail","XQZ3QX"),"AWS","XQZ4QX"),"en","es"),"XQZ0QX","SmartVista"),"XQZ1QX","DataDog"),"XQZ2QX","CloudWatch"),"XQZ3QX","CloudTrail"),"XQZ4QX","AWS")</f>
        <v>Registros/monitores DataDog; Exabeam SIEM; AWS CloudTrail/CloudWatch; pruebas de auditoría de Apigee, Transact, SmartVista y de los flujos regulatorios/de reportes.</v>
      </c>
    </row>
    <row r="63" spans="1:11" ht="195" x14ac:dyDescent="0.25">
      <c r="A63" s="5"/>
      <c r="B63" s="5"/>
      <c r="C63" s="5"/>
      <c r="D63" s="5">
        <v>2.2999999999999998</v>
      </c>
      <c r="E63" s="5" t="str">
        <f>_xlfn.TRANSLATE(__TR_HORIZONTAL!E63,"en","es")</f>
        <v>Trazado</v>
      </c>
      <c r="F63" s="5" t="str">
        <f>_xlfn.TRANSLATE(__TR_HORIZONTAL!F63,"en","es")</f>
        <v>Propagación y reconstrucción del camino completo de ejecución de una solicitud a través de servicios, plataformas, protocolos y saltos asincrónicos, basándose en un identificador de correlación propagado de forma consistente.  |  PROPÓSITO: La capacidad de observabilidad más importante en una arquitectura interoperable: es lo que hace que una transacción distribuida sea explicable de principio a fin, tanto en la generación heredada como en la siguiente.</v>
      </c>
      <c r="G63" s="12" t="s">
        <v>348</v>
      </c>
      <c r="H63" s="5" t="str">
        <f>_xlfn.TRANSLATE(__TR_HORIZONTAL!H63,"en","es")</f>
        <v>Trazado distribuido</v>
      </c>
      <c r="I63" s="5" t="str">
        <f>_xlfn.TRANSLATE(__TR_HORIZONTAL!I63,"en","es")</f>
        <v>Recogida y ensamblado entre invocaciones de servicio síncronas, con atribución de latencia por salto.</v>
      </c>
      <c r="J63" s="5" t="str">
        <f>_xlfn.TRANSLATE(__TR_HORIZONTAL!J63,"en","es")</f>
        <v>Localiza la verdadera limitación en un viaje compuesto en lugar de asignar la culpa por inferencia.</v>
      </c>
      <c r="K63" s="5" t="str">
        <f>SUBSTITUTE(_xlfn.TRANSLATE(SUBSTITUTE(__TR_HORIZONTAL!K63,"DataDog","XQZ0QX"),"en","es"),"XQZ0QX","DataDog")</f>
        <v>El APM/trazado DataDog está planificado como observabilidad avanzada; Istio soporta telemetría a nivel de servicio. El servicio de identidad de correlación no se menciona explícitamente.</v>
      </c>
    </row>
    <row r="64" spans="1:11" ht="90" x14ac:dyDescent="0.25">
      <c r="A64" s="5"/>
      <c r="B64" s="5"/>
      <c r="C64" s="5"/>
      <c r="D64" s="5"/>
      <c r="E64" s="5"/>
      <c r="F64" s="5"/>
      <c r="G64" s="12" t="s">
        <v>352</v>
      </c>
      <c r="H64" s="5" t="str">
        <f>_xlfn.TRANSLATE(__TR_HORIZONTAL!H64,"en","es")</f>
        <v>Trazado de extremo a extremo (identidad de correlación)</v>
      </c>
      <c r="I64" s="5" t="str">
        <f>_xlfn.TRANSLATE(__TR_HORIZONTAL!I64,"en","es")</f>
        <v>Propagación consistente de identificadores de correlación a través de canales, orquestaciones, eventos y adaptadores heredados.</v>
      </c>
      <c r="J64" s="5" t="str">
        <f>_xlfn.TRANSLATE(__TR_HORIZONTAL!J64,"en","es")</f>
        <v>Ofrece trazabilidad a lo largo de toda la arquitectura técnica, incluyendo segmentos asincrónicos y mainframe.</v>
      </c>
      <c r="K64" s="5" t="str">
        <f>SUBSTITUTE(_xlfn.TRANSLATE(SUBSTITUTE(__TR_HORIZONTAL!K64,"DataDog","XQZ0QX"),"en","es"),"XQZ0QX","DataDog")</f>
        <v>El APM/trazado DataDog está planificado como observabilidad avanzada; Istio soporta telemetría a nivel de servicio. El servicio de identidad de correlación no se menciona explícitamente.</v>
      </c>
    </row>
    <row r="65" spans="1:11" ht="165" x14ac:dyDescent="0.25">
      <c r="A65" s="5"/>
      <c r="B65" s="5"/>
      <c r="C65" s="5"/>
      <c r="D65" s="5">
        <v>2.4</v>
      </c>
      <c r="E65" s="5" t="str">
        <f>_xlfn.TRANSLATE(__TR_HORIZONTAL!E65,"en","es")</f>
        <v>Métricas, Análisis e Informes</v>
      </c>
      <c r="F65" s="5" t="str">
        <f>_xlfn.TRANSLATE(__TR_HORIZONTAL!F65,"en","es")</f>
        <v>Derivación, almacenamiento y análisis de métricas técnicas y empresariales a partir de la telemetría, incluyendo correlación automatizada y detección asistida por aprendizaje automático, así como informes periódicos.  |  OBJETIVO: Convierte la telemetría en bruto en la información de gestión utilizada para demostrar el caso de negocio de interoperabilidad y orientar la inversión de la plataforma.</v>
      </c>
      <c r="G65" s="12" t="s">
        <v>360</v>
      </c>
      <c r="H65" s="5" t="str">
        <f>_xlfn.TRANSLATE(__TR_HORIZONTAL!H65,"en","es")</f>
        <v>Métricas y Analítica</v>
      </c>
      <c r="I65" s="5" t="str">
        <f>_xlfn.TRANSLATE(__TR_HORIZONTAL!I65,"en","es")</f>
        <v>Recogida, agregación y análisis de métricas de series temporales, incluyendo correlación negocio-evento y detección de anomalías.</v>
      </c>
      <c r="J65" s="5" t="str">
        <f>_xlfn.TRANSLATE(__TR_HORIZONTAL!J65,"en","es")</f>
        <v>Proporciona la base de medición para las reclamaciones de reutilización, tiempo de lanzamiento al mercado y costes presentadas en el caso de negocio del programa.</v>
      </c>
      <c r="K65" s="5" t="str">
        <f>SUBSTITUTE(SUBSTITUTE(_xlfn.TRANSLATE(SUBSTITUTE(SUBSTITUTE(__TR_HORIZONTAL!K65,"Google Analytics","XQZ0QX"),"DataDog","XQZ1QX"),"en","es"),"XQZ0QX","Google Analytics"),"XQZ1QX","DataDog")</f>
        <v>KPIs DataDog; Análisis de apigee; Google Analytics para comportamiento digital; Data Warehouse/DataStage para fuentes de informes; Paneles ejecutivos de PMO.</v>
      </c>
    </row>
    <row r="66" spans="1:11" ht="75" x14ac:dyDescent="0.25">
      <c r="A66" s="5"/>
      <c r="B66" s="5"/>
      <c r="C66" s="5"/>
      <c r="D66" s="5"/>
      <c r="E66" s="5"/>
      <c r="F66" s="5"/>
      <c r="G66" s="12" t="s">
        <v>364</v>
      </c>
      <c r="H66" s="5" t="str">
        <f>_xlfn.TRANSLATE(__TR_HORIZONTAL!H66,"en","es")</f>
        <v>Reportajes</v>
      </c>
      <c r="I66" s="5" t="str">
        <f>_xlfn.TRANSLATE(__TR_HORIZONTAL!I66,"en","es")</f>
        <v>Informes operativos programados y bajo demanda, de nivel de servicio y de cumplimiento.</v>
      </c>
      <c r="J66" s="5" t="str">
        <f>_xlfn.TRANSLATE(__TR_HORIZONTAL!J66,"en","es")</f>
        <v>Proporciona el paquete de evidencia recurrente para foros de riesgo, auditoría y gobernanza de servicios.</v>
      </c>
      <c r="K66" s="5" t="str">
        <f>SUBSTITUTE(SUBSTITUTE(_xlfn.TRANSLATE(SUBSTITUTE(SUBSTITUTE(__TR_HORIZONTAL!K66,"Google Analytics","XQZ0QX"),"DataDog","XQZ1QX"),"en","es"),"XQZ0QX","Google Analytics"),"XQZ1QX","DataDog")</f>
        <v>KPIs DataDog; Análisis de apigee; Google Analytics para comportamiento digital; Data Warehouse/DataStage para fuentes de informes; Paneles ejecutivos de PMO.</v>
      </c>
    </row>
    <row r="67" spans="1:11" ht="135" x14ac:dyDescent="0.25">
      <c r="A67" s="5"/>
      <c r="B67" s="5"/>
      <c r="C67" s="5"/>
      <c r="D67" s="5">
        <v>2.5</v>
      </c>
      <c r="E67" s="5" t="str">
        <f>_xlfn.TRANSLATE(__TR_HORIZONTAL!E67,"en","es")</f>
        <v>Paneles</v>
      </c>
      <c r="F67" s="5" t="str">
        <f>_xlfn.TRANSLATE(__TR_HORIZONTAL!F67,"en","es")</f>
        <v>Visualización orientada a roles de la plataforma y la telemetría empresarial para audiencias de ingeniería, operaciones, seguridad, empresarial y ejecutivos.  |  PROPÓSITO: Convierte la observabilidad de una herramienta de ingeniería en un instrumento de gestión compartida, incluyendo la visión de riesgo de TI a nivel de negocio y servicio.</v>
      </c>
      <c r="G67" s="12" t="s">
        <v>372</v>
      </c>
      <c r="H67" s="5" t="str">
        <f>_xlfn.TRANSLATE(__TR_HORIZONTAL!H67,"en","es")</f>
        <v>Paneles técnicos</v>
      </c>
      <c r="I67" s="5" t="str">
        <f>_xlfn.TRANSLATE(__TR_HORIZONTAL!I67,"en","es")</f>
        <v>Vistas de componentes, servicios e infraestructura para los equipos de ingeniería y operaciones.</v>
      </c>
      <c r="J67" s="5" t="str">
        <f>_xlfn.TRANSLATE(__TR_HORIZONTAL!J67,"en","es")</f>
        <v>Reduce el triaje y apoya la propiedad de los servicios a nivel de equipo.</v>
      </c>
      <c r="K67" s="5" t="str">
        <f>SUBSTITUTE(_xlfn.TRANSLATE(SUBSTITUTE(__TR_HORIZONTAL!K67,"DataDog","XQZ0QX"),"en","es"),"XQZ0QX","DataDog")</f>
        <v>paneles técnicos DataDog; paneles de PMO / ejecutivos; paneles regulatorios y empresariales a través de Data Warehouse, Bajaware/Risklogic y reportes de proyectos.</v>
      </c>
    </row>
    <row r="68" spans="1:11" ht="75" x14ac:dyDescent="0.25">
      <c r="A68" s="5"/>
      <c r="B68" s="5"/>
      <c r="C68" s="5"/>
      <c r="D68" s="5"/>
      <c r="E68" s="5"/>
      <c r="F68" s="5"/>
      <c r="G68" s="12" t="s">
        <v>376</v>
      </c>
      <c r="H68" s="5" t="str">
        <f>_xlfn.TRANSLATE(__TR_HORIZONTAL!H68,"en","es")</f>
        <v>Paneles de control empresariales</v>
      </c>
      <c r="I68" s="5" t="str">
        <f>_xlfn.TRANSLATE(__TR_HORIZONTAL!I68,"en","es")</f>
        <v>Vistas a nivel de negocio y de trayectos sobre volumen, tasa de éxito y flujo de valor.</v>
      </c>
      <c r="J68" s="5" t="str">
        <f>_xlfn.TRANSLATE(__TR_HORIZONTAL!J68,"en","es")</f>
        <v>Permite a los directivos ver la modernización, el progreso y el riesgo en términos empresariales en lugar de en términos componentes.</v>
      </c>
      <c r="K68" s="5" t="str">
        <f>SUBSTITUTE(_xlfn.TRANSLATE(SUBSTITUTE(__TR_HORIZONTAL!K68,"DataDog","XQZ0QX"),"en","es"),"XQZ0QX","DataDog")</f>
        <v>paneles técnicos DataDog; paneles de PMO / ejecutivos; paneles regulatorios y empresariales a través de Data Warehouse, Bajaware/Risklogic y reportes de proyectos.</v>
      </c>
    </row>
    <row r="69" spans="1:11" ht="315" x14ac:dyDescent="0.25">
      <c r="A69" s="5">
        <v>13</v>
      </c>
      <c r="B69" s="5" t="str">
        <f>_xlfn.TRANSLATE(__TR_HORIZONTAL!B69,"en","es")</f>
        <v>Infraestructura (Pila Tecnológica)</v>
      </c>
      <c r="C69" s="5" t="str">
        <f>_xlfn.TRANSLATE(__TR_HORIZONTAL!C69,"en","es")</f>
        <v>La base en tiempo de ejecución de la capa de interoperabilidad: el marco de microservicios y los servicios del núcleo, bibliotecas base y tiempos de ejecución del lenguaje, plataforma contenedor y serverless, descubrimiento y malla de servicios, automatización de configuración, ingeniería de despliegue y pruebas, y resiliencia de infraestructura.  |  PROPÓSITO: Determina el coste marginal de añadir un componente a la arquitectura. Una pila curada y aplicada por estándares —permitió tecnologías gobernadas centralmente, eliminar bibliotecas innecesarias— ofrece agilidad de despliegue y elástica escalando los atributos del caso de negocio hasta la componibilidad, y mantiene cientos de servicios gobernables por un pequeño equipo de plataforma.</v>
      </c>
      <c r="D69" s="5">
        <v>13.1</v>
      </c>
      <c r="E69" s="5" t="str">
        <f>_xlfn.TRANSLATE(__TR_HORIZONTAL!E69,"en","es")</f>
        <v>Marco de Microservicios</v>
      </c>
      <c r="F69" s="5" t="str">
        <f>_xlfn.TRANSLATE(__TR_HORIZONTAL!F69,"en","es")</f>
        <v>El marco de desarrollo y ejecución opinado que aloja servicios autosuficientes independientemente del dominio de negocio, incluyendo bibliotecas base compartidas, entornos de ejecución aprobados por lenguajes, servicios del kernel, descubrimiento de servicios e integración de mallas de servicios.  |  PROPÓSITO: El marco es donde se heredan las preocupaciones transversales en lugar de reconstruirse; Su calidad establece el techo de productividad para cada equipo de dominio.</v>
      </c>
      <c r="G69" s="12" t="s">
        <v>391</v>
      </c>
      <c r="H69" s="5" t="str">
        <f>_xlfn.TRANSLATE(__TR_HORIZONTAL!H69,"en","es")</f>
        <v>Bibliotecas base</v>
      </c>
      <c r="I69" s="5" t="str">
        <f>_xlfn.TRANSLATE(__TR_HORIZONTAL!I69,"en","es")</f>
        <v>Bibliotecas comunes seleccionadas y versionadas que proporcionan registro, seguridad, resiliencia, configuración e integración de telemetría.</v>
      </c>
      <c r="J69" s="5" t="str">
        <f>_xlfn.TRANSLATE(__TR_HORIZONTAL!J69,"en","es")</f>
        <v>Estandariza el comportamiento no funcional y reduce la superficie de vulnerabilidad eliminando dependencias innecesarias.</v>
      </c>
      <c r="K69" s="5" t="str">
        <f>SUBSTITUTE(SUBSTITUTE(SUBSTITUTE(SUBSTITUTE(SUBSTITUTE(SUBSTITUTE(_xlfn.TRANSLATE(SUBSTITUTE(SUBSTITUTE(SUBSTITUTE(SUBSTITUTE(SUBSTITUTE(SUBSTITUTE(__TR_HORIZONTAL!K69,"Modyo Connect","XQZ0QX"),"Kubernetes","XQZ1QX"),"Spring Boot","XQZ2QX"),"API","XQZ3QX"),"EKS","XQZ4QX"),"ECS","XQZ5QX"),"en","es"),"XQZ0QX","Modyo Connect"),"XQZ1QX","Kubernetes"),"XQZ2QX","Spring Boot"),"XQZ3QX","API"),"XQZ4QX","EKS"),"XQZ5QX","ECS")</f>
        <v>microservicios Spring Boot; microservicios Modyo Connect; Temenos DES API/components; EKS/ECS/Fargate; Kubernetes; Malla de servicio Istio.</v>
      </c>
    </row>
    <row r="70" spans="1:11" ht="75" x14ac:dyDescent="0.25">
      <c r="A70" s="5"/>
      <c r="B70" s="5"/>
      <c r="C70" s="5"/>
      <c r="D70" s="5"/>
      <c r="E70" s="5"/>
      <c r="F70" s="5"/>
      <c r="G70" s="12" t="s">
        <v>395</v>
      </c>
      <c r="H70" s="5" t="str">
        <f>_xlfn.TRANSLATE(__TR_HORIZONTAL!H70,"en","es")</f>
        <v>Tiempos de ejecución del lenguaje</v>
      </c>
      <c r="I70" s="5" t="str">
        <f>_xlfn.TRANSLATE(__TR_HORIZONTAL!I70,"en","es")</f>
        <v>Conjunto regulado de tiempos de ejecución aprobados y versiones con rutas de actualización definidas.</v>
      </c>
      <c r="J70" s="5" t="str">
        <f>_xlfn.TRANSLATE(__TR_HORIZONTAL!J70,"en","es")</f>
        <v>Previene la expansión tecnológica que haría imposible la remediación a nivel de plataforma y la planificación de competencias.</v>
      </c>
      <c r="K70" s="5" t="str">
        <f>SUBSTITUTE(SUBSTITUTE(SUBSTITUTE(SUBSTITUTE(SUBSTITUTE(SUBSTITUTE(_xlfn.TRANSLATE(SUBSTITUTE(SUBSTITUTE(SUBSTITUTE(SUBSTITUTE(SUBSTITUTE(SUBSTITUTE(__TR_HORIZONTAL!K70,"Modyo Connect","XQZ0QX"),"Kubernetes","XQZ1QX"),"Spring Boot","XQZ2QX"),"API","XQZ3QX"),"EKS","XQZ4QX"),"ECS","XQZ5QX"),"en","es"),"XQZ0QX","Modyo Connect"),"XQZ1QX","Kubernetes"),"XQZ2QX","Spring Boot"),"XQZ3QX","API"),"XQZ4QX","EKS"),"XQZ5QX","ECS")</f>
        <v>microservicios Spring Boot; microservicios Modyo Connect; Temenos DES API/components; EKS/ECS/Fargate; Kubernetes; Malla de servicio Istio.</v>
      </c>
    </row>
    <row r="71" spans="1:11" ht="75" x14ac:dyDescent="0.25">
      <c r="A71" s="5"/>
      <c r="B71" s="5"/>
      <c r="C71" s="5"/>
      <c r="D71" s="5"/>
      <c r="E71" s="5"/>
      <c r="F71" s="5"/>
      <c r="G71" s="12" t="s">
        <v>399</v>
      </c>
      <c r="H71" s="5" t="str">
        <f>_xlfn.TRANSLATE(__TR_HORIZONTAL!H71,"en","es")</f>
        <v>Servicios del núcleo</v>
      </c>
      <c r="I71" s="5" t="str">
        <f>_xlfn.TRANSLATE(__TR_HORIZONTAL!I71,"en","es")</f>
        <v>Servicios fundacionales de plataforma consumidos por todos los dominios, incluido el inventario formal de servicios que los registra.</v>
      </c>
      <c r="J71" s="5" t="str">
        <f>_xlfn.TRANSLATE(__TR_HORIZONTAL!J71,"en","es")</f>
        <v>Un inventario autorizado es la condición previa para regular la reutilización y para calcular el coste del patrimonio.</v>
      </c>
      <c r="K71" s="5" t="str">
        <f>SUBSTITUTE(SUBSTITUTE(SUBSTITUTE(SUBSTITUTE(SUBSTITUTE(SUBSTITUTE(_xlfn.TRANSLATE(SUBSTITUTE(SUBSTITUTE(SUBSTITUTE(SUBSTITUTE(SUBSTITUTE(SUBSTITUTE(__TR_HORIZONTAL!K71,"Modyo Connect","XQZ0QX"),"Kubernetes","XQZ1QX"),"Spring Boot","XQZ2QX"),"API","XQZ3QX"),"EKS","XQZ4QX"),"ECS","XQZ5QX"),"en","es"),"XQZ0QX","Modyo Connect"),"XQZ1QX","Kubernetes"),"XQZ2QX","Spring Boot"),"XQZ3QX","API"),"XQZ4QX","EKS"),"XQZ5QX","ECS")</f>
        <v>microservicios Spring Boot; microservicios Modyo Connect; Temenos DES API/components; EKS/ECS/Fargate; Kubernetes; Malla de servicio Istio.</v>
      </c>
    </row>
    <row r="72" spans="1:11" ht="45" x14ac:dyDescent="0.25">
      <c r="A72" s="5"/>
      <c r="B72" s="5"/>
      <c r="C72" s="5"/>
      <c r="D72" s="5"/>
      <c r="E72" s="5"/>
      <c r="F72" s="5"/>
      <c r="G72" s="12" t="s">
        <v>403</v>
      </c>
      <c r="H72" s="5" t="str">
        <f>_xlfn.TRANSLATE(__TR_HORIZONTAL!H72,"en","es")</f>
        <v>Descubrimiento del servicio</v>
      </c>
      <c r="I72" s="5" t="str">
        <f>_xlfn.TRANSLATE(__TR_HORIZONTAL!I72,"en","es")</f>
        <v>Registro dinámico y resolución de instancias de servicio en tiempo de ejecución.</v>
      </c>
      <c r="J72" s="5" t="str">
        <f>_xlfn.TRANSLATE(__TR_HORIZONTAL!J72,"en","es")</f>
        <v>Permite un escalado elástico y reubicación sin configuración estática del extremo.</v>
      </c>
      <c r="K72" s="5" t="str">
        <f>SUBSTITUTE(SUBSTITUTE(_xlfn.TRANSLATE(SUBSTITUTE(SUBSTITUTE(__TR_HORIZONTAL!K72,"Kubernetes","XQZ0QX"),"EKS","XQZ1QX"),"en","es"),"XQZ0QX","Kubernetes"),"XQZ1QX","EKS")</f>
        <v>Istio Service Mesh en Kubernetes/EKS; Descubrimiento de servicios EKS y balanceo de carga para microservicios.</v>
      </c>
    </row>
    <row r="73" spans="1:11" ht="60" x14ac:dyDescent="0.25">
      <c r="A73" s="5"/>
      <c r="B73" s="5"/>
      <c r="C73" s="5"/>
      <c r="D73" s="5"/>
      <c r="E73" s="5"/>
      <c r="F73" s="5"/>
      <c r="G73" s="12" t="s">
        <v>408</v>
      </c>
      <c r="H73" s="5" t="str">
        <f>_xlfn.TRANSLATE(__TR_HORIZONTAL!H73,"en","es")</f>
        <v>Malla de servicio</v>
      </c>
      <c r="I73" s="5" t="str">
        <f>_xlfn.TRANSLATE(__TR_HORIZONTAL!I73,"en","es")</f>
        <v>Control basado en sidecar del tráfico de servicio a servicio, incluyendo autenticación mutua y validación de token en la capa de plataforma.</v>
      </c>
      <c r="J73" s="5" t="str">
        <f>_xlfn.TRANSLATE(__TR_HORIZONTAL!J73,"en","es")</f>
        <v>Desplaza la seguridad interservicios y el control de tráfico fuera del código de la aplicación, simplificando cada servicio.</v>
      </c>
      <c r="K73" s="5" t="str">
        <f>SUBSTITUTE(SUBSTITUTE(_xlfn.TRANSLATE(SUBSTITUTE(SUBSTITUTE(__TR_HORIZONTAL!K73,"Kubernetes","XQZ0QX"),"EKS","XQZ1QX"),"en","es"),"XQZ0QX","Kubernetes"),"XQZ1QX","EKS")</f>
        <v>Istio Service Mesh en Kubernetes/EKS; Descubrimiento de servicios EKS y balanceo de carga para microservicios.</v>
      </c>
    </row>
    <row r="74" spans="1:11" ht="150" x14ac:dyDescent="0.25">
      <c r="A74" s="5"/>
      <c r="B74" s="5"/>
      <c r="C74" s="5"/>
      <c r="D74" s="5">
        <v>13.2</v>
      </c>
      <c r="E74" s="5" t="str">
        <f>_xlfn.TRANSLATE(__TR_HORIZONTAL!E74,"en","es")</f>
        <v>Contenedor y plataforma de ejecución</v>
      </c>
      <c r="F74" s="5" t="str">
        <f>_xlfn.TRANSLATE(__TR_HORIZONTAL!F74,"en","es")</f>
        <v>Orquestación de contenedores, ejecución serverless y gestión de imágenes proporcionan el sustrato elástico de cómputo para componentes de interoperabilidad.  |  OBJETIVO: Proporciona agilidad en el despliegue y escalado impulsado por la demanda, y es el vehículo práctico para la portabilidad entre proveedores de nube y entornos híbridos.</v>
      </c>
      <c r="G74" s="12" t="s">
        <v>416</v>
      </c>
      <c r="H74" s="5" t="str">
        <f>_xlfn.TRANSLATE(__TR_HORIZONTAL!H74,"en","es")</f>
        <v>Orquestación en contenedores</v>
      </c>
      <c r="I74" s="5" t="str">
        <f>_xlfn.TRANSLATE(__TR_HORIZONTAL!I74,"en","es")</f>
        <v>Programación, escalado, auto-reparación y colocación de carga de trabajo de servicios contenedores.</v>
      </c>
      <c r="J74" s="5" t="str">
        <f>_xlfn.TRANSLATE(__TR_HORIZONTAL!J74,"en","es")</f>
        <v>Ofrece la elasticidad que las arquitecturas desacopladas necesitan para atender económicamente la demanda digital de forma económica.</v>
      </c>
      <c r="K74" s="5" t="str">
        <f>SUBSTITUTE(SUBSTITUTE(SUBSTITUTE(SUBSTITUTE(_xlfn.TRANSLATE(SUBSTITUTE(SUBSTITUTE(SUBSTITUTE(SUBSTITUTE(__TR_HORIZONTAL!K74,"Modyo Connect","XQZ0QX"),"Kubernetes","XQZ1QX"),"EKS","XQZ2QX"),"ECS","XQZ3QX"),"en","es"),"XQZ0QX","Modyo Connect"),"XQZ1QX","Kubernetes"),"XQZ2QX","EKS"),"XQZ3QX","ECS")</f>
        <v>Amazon EKS/Kubernetes; ECS/Fargate para Modyo Connect; OpenShift referenciado en el panel técnico; Docker/registro de contenedores.</v>
      </c>
    </row>
    <row r="75" spans="1:11" ht="90" x14ac:dyDescent="0.25">
      <c r="A75" s="5"/>
      <c r="B75" s="5"/>
      <c r="C75" s="5"/>
      <c r="D75" s="5"/>
      <c r="E75" s="5"/>
      <c r="F75" s="5"/>
      <c r="G75" s="12" t="s">
        <v>420</v>
      </c>
      <c r="H75" s="5" t="str">
        <f>_xlfn.TRANSLATE(__TR_HORIZONTAL!H75,"en","es")</f>
        <v>Tiempo de ejecución sin servidor</v>
      </c>
      <c r="I75" s="5" t="str">
        <f>_xlfn.TRANSLATE(__TR_HORIZONTAL!I75,"en","es")</f>
        <v>Ejecución activada por eventos y basada en consumo para funciones ligeras y de ráfagas.</v>
      </c>
      <c r="J75" s="5" t="str">
        <f>_xlfn.TRANSLATE(__TR_HORIZONTAL!J75,"en","es")</f>
        <v>Extiende los modelos de costes basados en el consumo a cargas de trabajo de integración y transformación de datos.</v>
      </c>
      <c r="K75" s="5" t="str">
        <f>SUBSTITUTE(SUBSTITUTE(SUBSTITUTE(_xlfn.TRANSLATE(SUBSTITUTE(SUBSTITUTE(SUBSTITUTE(__TR_HORIZONTAL!K75,"Amazon API Gateway","XQZ0QX"),"API","XQZ1QX"),"AWS","XQZ2QX"),"en","es"),"XQZ0QX","Amazon API Gateway"),"XQZ1QX","API"),"XQZ2QX","AWS")</f>
        <v>No se evidencia explícitamente ningún tiempo de ejecución serverless dedicado; los servicios gestionados adyacentes AWS incluyen Amazon API Gateway, CloudFront, Pinpoint, MQ y Kinesis.</v>
      </c>
    </row>
    <row r="76" spans="1:11" ht="75" x14ac:dyDescent="0.25">
      <c r="A76" s="5"/>
      <c r="B76" s="5"/>
      <c r="C76" s="5"/>
      <c r="D76" s="5"/>
      <c r="E76" s="5"/>
      <c r="F76" s="5"/>
      <c r="G76" s="12" t="s">
        <v>425</v>
      </c>
      <c r="H76" s="5" t="str">
        <f>_xlfn.TRANSLATE(__TR_HORIZONTAL!H76,"en","es")</f>
        <v>Gestión de imágenes y artefactos</v>
      </c>
      <c r="I76" s="5" t="str">
        <f>_xlfn.TRANSLATE(__TR_HORIZONTAL!I76,"en","es")</f>
        <v>Registro, streaming, firma y promoción de imágenes en tiempo real y artefactos de construcción.</v>
      </c>
      <c r="J76" s="5" t="str">
        <f>_xlfn.TRANSLATE(__TR_HORIZONTAL!J76,"en","es")</f>
        <v>Garantiza la procedencia y la velocidad de despliegue, ambos requisitos previos para una alta frecuencia de lanzamientos.</v>
      </c>
      <c r="K76" s="5" t="str">
        <f>SUBSTITUTE(SUBSTITUTE(SUBSTITUTE(_xlfn.TRANSLATE(SUBSTITUTE(SUBSTITUTE(SUBSTITUTE(__TR_HORIZONTAL!K76,"GitHub","XQZ0QX"),"Helm Charts","XQZ1QX"),"DevSecOps","XQZ2QX"),"en","es"),"XQZ0QX","GitHub"),"XQZ1QX","Helm Charts"),"XQZ2QX","DevSecOps")</f>
        <v>Imágenes doradas de Packer; repositorios GitHub; área de decisión del registro de contenedores/ECR; Helm Charts; Pipelines de artefactos DevSecOps.</v>
      </c>
    </row>
    <row r="77" spans="1:11" ht="135" x14ac:dyDescent="0.25">
      <c r="A77" s="5"/>
      <c r="B77" s="5"/>
      <c r="C77" s="5"/>
      <c r="D77" s="5">
        <v>13.3</v>
      </c>
      <c r="E77" s="5" t="str">
        <f>_xlfn.TRANSLATE(__TR_HORIZONTAL!E77,"en","es")</f>
        <v>Automatización de configuración de plataformas</v>
      </c>
      <c r="F77" s="5" t="str">
        <f>_xlfn.TRANSLATE(__TR_HORIZONTAL!F77,"en","es")</f>
        <v>Provisión y configuración declarativa y automatizada de componentes y entornos de plataforma, incluyendo servicios centralizados de configuración de aplicaciones.  |  PROPÓSITO: Elimina la inconsistencia ambiental que de otro modo hace que las pruebas distribuidas sean poco fiables y las versiones impredecibles.</v>
      </c>
      <c r="G77" s="12" t="s">
        <v>435</v>
      </c>
      <c r="H77" s="5" t="str">
        <f>_xlfn.TRANSLATE(__TR_HORIZONTAL!H77,"en","es")</f>
        <v>Infraestructura y Provisión de Plataformas</v>
      </c>
      <c r="I77" s="5" t="str">
        <f>_xlfn.TRANSLATE(__TR_HORIZONTAL!I77,"en","es")</f>
        <v>Provisión automatizada y controlada por versiones de los componentes de infraestructura y plataforma de los que depende la capa.</v>
      </c>
      <c r="J77" s="5" t="str">
        <f>_xlfn.TRANSLATE(__TR_HORIZONTAL!J77,"en","es")</f>
        <v>Hace que la capa de interoperabilidad sea reproducible entre entornos, regiones y entidades.</v>
      </c>
      <c r="K77" s="5" t="str">
        <f>SUBSTITUTE(SUBSTITUTE(_xlfn.TRANSLATE(SUBSTITUTE(SUBSTITUTE(__TR_HORIZONTAL!K77,"Terraform","XQZ0QX"),"GitHub","XQZ1QX"),"en","es"),"XQZ0QX","Terraform"),"XQZ1QX","GitHub")</f>
        <v>Terraform + Packer + GitHub; módulos IaC; Homologación de Ambientes; posibles patrones Ansible/CloudFormation; Vault/Secrets para seguridad de configuración.</v>
      </c>
    </row>
    <row r="78" spans="1:11" ht="75" x14ac:dyDescent="0.25">
      <c r="A78" s="5"/>
      <c r="B78" s="5"/>
      <c r="C78" s="5"/>
      <c r="D78" s="5"/>
      <c r="E78" s="5"/>
      <c r="F78" s="5"/>
      <c r="G78" s="12" t="s">
        <v>439</v>
      </c>
      <c r="H78" s="5" t="str">
        <f>_xlfn.TRANSLATE(__TR_HORIZONTAL!H78,"en","es")</f>
        <v>Gestión de configuración</v>
      </c>
      <c r="I78" s="5" t="str">
        <f>_xlfn.TRANSLATE(__TR_HORIZONTAL!I78,"en","es")</f>
        <v>La configuración externalizada y consciente del entorno sirvió a los servicios en tiempo de ejecución.</v>
      </c>
      <c r="J78" s="5" t="str">
        <f>_xlfn.TRANSLATE(__TR_HORIZONTAL!J78,"en","es")</f>
        <v>Permite el cambio de comportamiento sin reubicación, lo cual es esencial para el control de la coexistencia.</v>
      </c>
      <c r="K78" s="5" t="str">
        <f>SUBSTITUTE(SUBSTITUTE(_xlfn.TRANSLATE(SUBSTITUTE(SUBSTITUTE(__TR_HORIZONTAL!K78,"Terraform","XQZ0QX"),"GitHub","XQZ1QX"),"en","es"),"XQZ0QX","Terraform"),"XQZ1QX","GitHub")</f>
        <v>Terraform + Packer + GitHub; módulos IaC; Homologación de Ambientes; posibles patrones Ansible/CloudFormation; Vault/Secrets para seguridad de configuración.</v>
      </c>
    </row>
    <row r="79" spans="1:11" ht="75" x14ac:dyDescent="0.25">
      <c r="A79" s="5"/>
      <c r="B79" s="5"/>
      <c r="C79" s="5"/>
      <c r="D79" s="5"/>
      <c r="E79" s="5"/>
      <c r="F79" s="5"/>
      <c r="G79" s="12" t="s">
        <v>443</v>
      </c>
      <c r="H79" s="5" t="str">
        <f>_xlfn.TRANSLATE(__TR_HORIZONTAL!H79,"en","es")</f>
        <v>Gestión del medio ambiente</v>
      </c>
      <c r="I79" s="5" t="str">
        <f>_xlfn.TRANSLATE(__TR_HORIZONTAL!I79,"en","es")</f>
        <v>Definición, provisión y ciclo de vida de toda la cadena de entorno con sus correspondientes backends.</v>
      </c>
      <c r="J79" s="5" t="str">
        <f>_xlfn.TRANSLATE(__TR_HORIZONTAL!J79,"en","es")</f>
        <v>Aborda el bloqueador común donde no existe una cadena de entorno completa alineada con backend para las pruebas de integración.</v>
      </c>
      <c r="K79" s="5" t="str">
        <f>SUBSTITUTE(SUBSTITUTE(_xlfn.TRANSLATE(SUBSTITUTE(SUBSTITUTE(__TR_HORIZONTAL!K79,"Terraform","XQZ0QX"),"GitHub","XQZ1QX"),"en","es"),"XQZ0QX","Terraform"),"XQZ1QX","GitHub")</f>
        <v>Terraform + Packer + GitHub; módulos IaC; Homologación de Ambientes; posibles patrones Ansible/CloudFormation; Vault/Secrets para seguridad de configuración.</v>
      </c>
    </row>
    <row r="80" spans="1:11" ht="150" x14ac:dyDescent="0.25">
      <c r="A80" s="5"/>
      <c r="B80" s="5"/>
      <c r="C80" s="5"/>
      <c r="D80" s="5">
        <v>13.4</v>
      </c>
      <c r="E80" s="5" t="str">
        <f>_xlfn.TRANSLATE(__TR_HORIZONTAL!E80,"en","es")</f>
        <v>Despliegue e ingeniería de lanzamiento</v>
      </c>
      <c r="F80" s="5" t="str">
        <f>_xlfn.TRANSLATE(__TR_HORIZONTAL!F80,"en","es")</f>
        <v>Mecánicas automatizadas de compilación, prueba y lanzamiento para componentes de interoperabilidad, incluyendo técnicas de despliegue controlado y pruebas de regresión automatizadas.  |  PROPÓSITO: El control del despliegue es lo que hace posible la modernización incremental y reversible en la práctica, y no solo en la hoja de ruta.</v>
      </c>
      <c r="G80" s="12" t="s">
        <v>451</v>
      </c>
      <c r="H80" s="5" t="str">
        <f>_xlfn.TRANSLATE(__TR_HORIZONTAL!H80,"en","es")</f>
        <v>Estrategias de despliegue</v>
      </c>
      <c r="I80" s="5" t="str">
        <f>_xlfn.TRANSLATE(__TR_HORIZONTAL!I80,"en","es")</f>
        <v>Mecanismos de despliegue controlados con exposición progresiva y capacidad de retroceso rápido.</v>
      </c>
      <c r="J80" s="5" t="str">
        <f>_xlfn.TRANSLATE(__TR_HORIZONTAL!J80,"en","es")</f>
        <v>Permite desplazar y revertir gradualmente el tráfico de migración de núcleos sin un evento de liberación.</v>
      </c>
      <c r="K80" s="5" t="str">
        <f>SUBSTITUTE(SUBSTITUTE(SUBSTITUTE(SUBSTITUTE(_xlfn.TRANSLATE(SUBSTITUTE(SUBSTITUTE(SUBSTITUTE(SUBSTITUTE(__TR_HORIZONTAL!K80,"GitLab CI","XQZ0QX"),"Jenkins","XQZ1QX"),"Helm Charts","XQZ2QX"),"DevSecOps","XQZ3QX"),"en","es"),"XQZ0QX","GitLab CI"),"XQZ1QX","Jenkins"),"XQZ2QX","Helm Charts"),"XQZ3QX","DevSecOps")</f>
        <v>tuberías CI/CD DevSecOps; GitLab CI o Jenkins bajo decisión; Helm Charts; pruebas automatizadas; Prácticas de despliegue azul-verde/canario.</v>
      </c>
    </row>
    <row r="81" spans="1:11" ht="60" x14ac:dyDescent="0.25">
      <c r="A81" s="5"/>
      <c r="B81" s="5"/>
      <c r="C81" s="5"/>
      <c r="D81" s="5"/>
      <c r="E81" s="5"/>
      <c r="F81" s="5"/>
      <c r="G81" s="12" t="s">
        <v>455</v>
      </c>
      <c r="H81" s="5" t="str">
        <f>_xlfn.TRANSLATE(__TR_HORIZONTAL!H81,"en","es")</f>
        <v>Pruebas automatizadas</v>
      </c>
      <c r="I81" s="5" t="str">
        <f>_xlfn.TRANSLATE(__TR_HORIZONTAL!I81,"en","es")</f>
        <v>Pruebas automatizadas de unidades, contratos, integración y regresión a través de los límites de servicio e interfaz.</v>
      </c>
      <c r="J81" s="5" t="str">
        <f>_xlfn.TRANSLATE(__TR_HORIZONTAL!J81,"en","es")</f>
        <v>Las pruebas por contrato son la única forma económica de mantener la compatibilidad de cientos de servicios lanzados de forma independiente.</v>
      </c>
      <c r="K81" s="5" t="str">
        <f>SUBSTITUTE(SUBSTITUTE(SUBSTITUTE(SUBSTITUTE(_xlfn.TRANSLATE(SUBSTITUTE(SUBSTITUTE(SUBSTITUTE(SUBSTITUTE(__TR_HORIZONTAL!K81,"GitLab CI","XQZ0QX"),"Jenkins","XQZ1QX"),"Helm Charts","XQZ2QX"),"DevSecOps","XQZ3QX"),"en","es"),"XQZ0QX","GitLab CI"),"XQZ1QX","Jenkins"),"XQZ2QX","Helm Charts"),"XQZ3QX","DevSecOps")</f>
        <v>tuberías CI/CD DevSecOps; GitLab CI o Jenkins bajo decisión; Helm Charts; pruebas automatizadas; Prácticas de despliegue azul-verde/canario.</v>
      </c>
    </row>
    <row r="82" spans="1:11" ht="165" x14ac:dyDescent="0.25">
      <c r="A82" s="5"/>
      <c r="B82" s="5"/>
      <c r="C82" s="5"/>
      <c r="D82" s="5">
        <v>13.5</v>
      </c>
      <c r="E82" s="5" t="str">
        <f>_xlfn.TRANSLATE(__TR_HORIZONTAL!E82,"en","es")</f>
        <v>Resiliencia de infraestructuras</v>
      </c>
      <c r="F82" s="5" t="str">
        <f>_xlfn.TRANSLATE(__TR_HORIZONTAL!F82,"en","es")</f>
        <v>Ingeniería y validación de la capacidad de la capa para resistir y recuperarse de fallos en componentes, incluyendo inyección deliberada de fallos, diseño de alta disponibilidad y servicios de recuperación.  |  PROPÓSITO: En una arquitectura compuesta, la disponibilidad agregada es producto de muchas dependencias; Por tanto, la resiliencia debe ser diseñada y puesta a prueba, no asumida.</v>
      </c>
      <c r="G82" s="12" t="s">
        <v>464</v>
      </c>
      <c r="H82" s="5" t="str">
        <f>_xlfn.TRANSLATE(__TR_HORIZONTAL!H82,"en","es")</f>
        <v>Alta Disponibilidad y Conmutación por Error</v>
      </c>
      <c r="I82" s="5" t="str">
        <f>_xlfn.TRANSLATE(__TR_HORIZONTAL!I82,"en","es")</f>
        <v>Redundancia, despliegue multizona y conmutación automática por error para componentes de interoperabilidad.</v>
      </c>
      <c r="J82" s="5" t="str">
        <f>_xlfn.TRANSLATE(__TR_HORIZONTAL!J82,"en","es")</f>
        <v>Evita que la capa de abstracción se convierta en un único punto de fallo para cada canal y producto.</v>
      </c>
      <c r="K82" s="5" t="str">
        <f>SUBSTITUTE(SUBSTITUTE(SUBSTITUTE(_xlfn.TRANSLATE(SUBSTITUTE(SUBSTITUTE(SUBSTITUTE(__TR_HORIZONTAL!K82,"Oracle Data Guard","XQZ0QX"),"SmartVista","XQZ1QX"),"AWS","XQZ2QX"),"en","es"),"XQZ0QX","Oracle Data Guard"),"XQZ1QX","SmartVista"),"XQZ2QX","AWS")</f>
        <v>Arquitectura multi-AZ/DR AWS; Producción y DR Entornos de producción; Oracle Data Guard/R-SYNC para SmartVista; Copia de seguridad/restauración y recuperación regional de datos.</v>
      </c>
    </row>
    <row r="83" spans="1:11" ht="90" x14ac:dyDescent="0.25">
      <c r="A83" s="5"/>
      <c r="B83" s="5"/>
      <c r="C83" s="5"/>
      <c r="D83" s="5"/>
      <c r="E83" s="5"/>
      <c r="F83" s="5"/>
      <c r="G83" s="12" t="s">
        <v>468</v>
      </c>
      <c r="H83" s="5" t="str">
        <f>_xlfn.TRANSLATE(__TR_HORIZONTAL!H83,"en","es")</f>
        <v>Pruebas de resiliencia e inyección de fallos</v>
      </c>
      <c r="I83" s="5" t="str">
        <f>_xlfn.TRANSLATE(__TR_HORIZONTAL!I83,"en","es")</f>
        <v>Introducción deliberada y controlada de condiciones de fallo en entornos no productivos para validar el comportamiento de recuperación.</v>
      </c>
      <c r="J83" s="5" t="str">
        <f>_xlfn.TRANSLATE(__TR_HORIZONTAL!J83,"en","es")</f>
        <v>Aflora modos de fallo no reproducibles antes de que aparezcan en incidentes de producción.</v>
      </c>
      <c r="K83" s="5" t="str">
        <f>SUBSTITUTE(SUBSTITUTE(SUBSTITUTE(_xlfn.TRANSLATE(SUBSTITUTE(SUBSTITUTE(SUBSTITUTE(__TR_HORIZONTAL!K83,"Oracle Data Guard","XQZ0QX"),"SmartVista","XQZ1QX"),"AWS","XQZ2QX"),"en","es"),"XQZ0QX","Oracle Data Guard"),"XQZ1QX","SmartVista"),"XQZ2QX","AWS")</f>
        <v>Arquitectura multi-AZ/DR AWS; Producción y DR Entornos de producción; Oracle Data Guard/R-SYNC para SmartVista; Copia de seguridad/restauración y recuperación regional de datos.</v>
      </c>
    </row>
    <row r="84" spans="1:11" ht="90" x14ac:dyDescent="0.25">
      <c r="A84" s="5"/>
      <c r="B84" s="5"/>
      <c r="C84" s="5"/>
      <c r="D84" s="5"/>
      <c r="E84" s="5"/>
      <c r="F84" s="5"/>
      <c r="G84" s="12" t="s">
        <v>472</v>
      </c>
      <c r="H84" s="5" t="str">
        <f>_xlfn.TRANSLATE(__TR_HORIZONTAL!H84,"en","es")</f>
        <v>Servicios de Recuperación</v>
      </c>
      <c r="I84" s="5" t="str">
        <f>_xlfn.TRANSLATE(__TR_HORIZONTAL!I84,"en","es")</f>
        <v>Procedimientos automatizados de detección, aislamiento y restauración de componentes degradados.</v>
      </c>
      <c r="J84" s="5" t="str">
        <f>_xlfn.TRANSLATE(__TR_HORIZONTAL!J84,"en","es")</f>
        <v>Reduce el coste operativo de gestionar una urbanización distribuida a gran escala.</v>
      </c>
      <c r="K84" s="5" t="str">
        <f>SUBSTITUTE(SUBSTITUTE(SUBSTITUTE(_xlfn.TRANSLATE(SUBSTITUTE(SUBSTITUTE(SUBSTITUTE(__TR_HORIZONTAL!K84,"Oracle Data Guard","XQZ0QX"),"SmartVista","XQZ1QX"),"AWS","XQZ2QX"),"en","es"),"XQZ0QX","Oracle Data Guard"),"XQZ1QX","SmartVista"),"XQZ2QX","AWS")</f>
        <v>Arquitectura multi-AZ/DR AWS; Producción y DR Entornos de producción; Oracle Data Guard/R-SYNC para SmartVista; Copia de seguridad/restauración y recuperación regional de datos.</v>
      </c>
    </row>
    <row r="85" spans="1:11" ht="345" x14ac:dyDescent="0.25">
      <c r="A85" s="5">
        <v>8</v>
      </c>
      <c r="B85" s="5" t="str">
        <f>_xlfn.TRANSLATE(__TR_HORIZONTAL!B85,"en","es")</f>
        <v>Orquestación de Servicio</v>
      </c>
      <c r="C85" s="5" t="str">
        <f>_xlfn.TRANSLATE(__TR_HORIZONTAL!C85,"en","es")</f>
        <v>Composición de servicios de grano fino en servicios empresariales complejos a través de plataformas heterogéneas —de forma sincrónica o asíncrona, secuencial o en paralelo— a través de un orquestador de servicios, un marco de integración y mediación, gestión de contexto y adaptadores heredados.  |  PROPÓSITO: Aquí es donde la convivencia de mejor generación deja de ser un diagrama y se convierte en ejecutable: un servicio empresarial puede abarcar un núcleo de próxima generación, un procesador SaaS de producto y un subdominio de mainframe mientras el consumidor ve una sola llamada. Mover la orquestación de programas centrales codificados directamente a un marco declarativo suele ser la mayor ganancia de productividad individual en la capa y la condición previa para desmantelar middleware heredado.</v>
      </c>
      <c r="D85" s="5">
        <v>8.1</v>
      </c>
      <c r="E85" s="5" t="str">
        <f>_xlfn.TRANSLATE(__TR_HORIZONTAL!E85,"en","es")</f>
        <v>Orquestador de Servicio</v>
      </c>
      <c r="F85" s="5" t="str">
        <f>_xlfn.TRANSLATE(__TR_HORIZONTAL!F85,"en","es")</f>
        <v>El motor que descompone un servicio complejo en un conjunto ordenado o paralelo de invocaciones de servicio de grano minucioso y gestiona su ejecución, resultados y excepciones.  |  PROPÓSITO: Concentra la lógica de negocio entre sistemas en un solo lugar gobernado y visible en lugar de dispersarla entre canales y núcleos.</v>
      </c>
      <c r="G85" s="12" t="s">
        <v>487</v>
      </c>
      <c r="H85" s="5" t="str">
        <f>_xlfn.TRANSLATE(__TR_HORIZONTAL!H85,"en","es")</f>
        <v>Composición y secuenciación de servicios</v>
      </c>
      <c r="I85" s="5" t="str">
        <f>_xlfn.TRANSLATE(__TR_HORIZONTAL!I85,"en","es")</f>
        <v>Definición y ejecución de servicios compuestos a partir de pasos detallados, con configuración declarativa o visual.</v>
      </c>
      <c r="J85" s="5" t="str">
        <f>_xlfn.TRANSLATE(__TR_HORIZONTAL!J85,"en","es")</f>
        <v>Aumenta la productividad en la entrega y hace que la lógica entre sistemas sea revisable por arquitectura y auditoría.</v>
      </c>
      <c r="K85" s="5" t="str">
        <f>SUBSTITUTE(SUBSTITUTE(SUBSTITUTE(SUBSTITUTE(SUBSTITUTE(_xlfn.TRANSLATE(SUBSTITUTE(SUBSTITUTE(SUBSTITUTE(SUBSTITUTE(SUBSTITUTE(__TR_HORIZONTAL!K85,"Modyo Connect","XQZ0QX"),"WebMethods","XQZ1QX"),"MuleSoft","XQZ2QX"),"DataDog","XQZ3QX"),"BPM/BRM","XQZ4QX"),"en","es"),"XQZ0QX","Modyo Connect"),"XQZ1QX","WebMethods"),"XQZ2QX","MuleSoft"),"XQZ3QX","DataDog"),"XQZ4QX","BPM/BRM")</f>
        <v>orquestación MuleSoft; Software AG WebMethods BPM/BRM; Gestión de invocaciones de Apigee; Orquestación de flujo estilo máquina de estados Modyo Connect; Diagnóstico DataDog.</v>
      </c>
    </row>
    <row r="86" spans="1:11" ht="75" x14ac:dyDescent="0.25">
      <c r="A86" s="5"/>
      <c r="B86" s="5"/>
      <c r="C86" s="5"/>
      <c r="D86" s="5"/>
      <c r="E86" s="5"/>
      <c r="F86" s="5"/>
      <c r="G86" s="12" t="s">
        <v>491</v>
      </c>
      <c r="H86" s="5" t="str">
        <f>_xlfn.TRANSLATE(__TR_HORIZONTAL!H86,"en","es")</f>
        <v>Control de ejecución paralela y condicional</v>
      </c>
      <c r="I86" s="5" t="str">
        <f>_xlfn.TRANSLATE(__TR_HORIZONTAL!I86,"en","es")</f>
        <v>Ejecución concurrente y condicionada por reglas de pasos de orquestación con agregación de resultados.</v>
      </c>
      <c r="J86" s="5" t="str">
        <f>_xlfn.TRANSLATE(__TR_HORIZONTAL!J86,"en","es")</f>
        <v>Mantiene los tiempos de respuesta aceptables cuando un viaje requiere varios sistemas de backend.</v>
      </c>
      <c r="K86" s="5" t="str">
        <f>SUBSTITUTE(SUBSTITUTE(SUBSTITUTE(SUBSTITUTE(SUBSTITUTE(_xlfn.TRANSLATE(SUBSTITUTE(SUBSTITUTE(SUBSTITUTE(SUBSTITUTE(SUBSTITUTE(__TR_HORIZONTAL!K86,"Modyo Connect","XQZ0QX"),"WebMethods","XQZ1QX"),"MuleSoft","XQZ2QX"),"DataDog","XQZ3QX"),"BPM/BRM","XQZ4QX"),"en","es"),"XQZ0QX","Modyo Connect"),"XQZ1QX","WebMethods"),"XQZ2QX","MuleSoft"),"XQZ3QX","DataDog"),"XQZ4QX","BPM/BRM")</f>
        <v>orquestación MuleSoft; Software AG WebMethods BPM/BRM; Gestión de invocaciones de Apigee; Orquestación de flujo estilo máquina de estados Modyo Connect; Diagnóstico DataDog.</v>
      </c>
    </row>
    <row r="87" spans="1:11" ht="75" x14ac:dyDescent="0.25">
      <c r="A87" s="5"/>
      <c r="B87" s="5"/>
      <c r="C87" s="5"/>
      <c r="D87" s="5"/>
      <c r="E87" s="5"/>
      <c r="F87" s="5"/>
      <c r="G87" s="12" t="s">
        <v>495</v>
      </c>
      <c r="H87" s="5" t="str">
        <f>_xlfn.TRANSLATE(__TR_HORIZONTAL!H87,"en","es")</f>
        <v>Gestión de invocaciones</v>
      </c>
      <c r="I87" s="5" t="str">
        <f>_xlfn.TRANSLATE(__TR_HORIZONTAL!I87,"en","es")</f>
        <v>Gestión de estilos de invocación síncronos y asíncronos, tiempos de espera, intentos de repetición y manejo de fallos parciales.</v>
      </c>
      <c r="J87" s="5" t="str">
        <f>_xlfn.TRANSLATE(__TR_HORIZONTAL!J87,"en","es")</f>
        <v>Permite que cada plataforma participante se integre en el estilo que realmente soporta, sin penalizar al consumidor.</v>
      </c>
      <c r="K87" s="5" t="str">
        <f>SUBSTITUTE(SUBSTITUTE(SUBSTITUTE(SUBSTITUTE(SUBSTITUTE(_xlfn.TRANSLATE(SUBSTITUTE(SUBSTITUTE(SUBSTITUTE(SUBSTITUTE(SUBSTITUTE(__TR_HORIZONTAL!K87,"Modyo Connect","XQZ0QX"),"WebMethods","XQZ1QX"),"MuleSoft","XQZ2QX"),"DataDog","XQZ3QX"),"BPM/BRM","XQZ4QX"),"en","es"),"XQZ0QX","Modyo Connect"),"XQZ1QX","WebMethods"),"XQZ2QX","MuleSoft"),"XQZ3QX","DataDog"),"XQZ4QX","BPM/BRM")</f>
        <v>orquestación MuleSoft; Software AG WebMethods BPM/BRM; Gestión de invocaciones de Apigee; Orquestación de flujo estilo máquina de estados Modyo Connect; Diagnóstico DataDog.</v>
      </c>
    </row>
    <row r="88" spans="1:11" ht="75" x14ac:dyDescent="0.25">
      <c r="A88" s="5"/>
      <c r="B88" s="5"/>
      <c r="C88" s="5"/>
      <c r="D88" s="5"/>
      <c r="E88" s="5"/>
      <c r="F88" s="5"/>
      <c r="G88" s="12" t="s">
        <v>499</v>
      </c>
      <c r="H88" s="5" t="str">
        <f>_xlfn.TRANSLATE(__TR_HORIZONTAL!H88,"en","es")</f>
        <v>Monitorización y diagnóstico de orquestación</v>
      </c>
      <c r="I88" s="5" t="str">
        <f>_xlfn.TRANSLATE(__TR_HORIZONTAL!I88,"en","es")</f>
        <v>Instrumentación de la ejecución de orquestación con emisión de eventos técnicos y empresariales.</v>
      </c>
      <c r="J88" s="5" t="str">
        <f>_xlfn.TRANSLATE(__TR_HORIZONTAL!J88,"en","es")</f>
        <v>Hace que los servicios compuestos sean operativos, lo cual es la condición práctica para confiarles los viajes de ingresos.</v>
      </c>
      <c r="K88" s="5" t="str">
        <f>SUBSTITUTE(SUBSTITUTE(SUBSTITUTE(SUBSTITUTE(SUBSTITUTE(_xlfn.TRANSLATE(SUBSTITUTE(SUBSTITUTE(SUBSTITUTE(SUBSTITUTE(SUBSTITUTE(__TR_HORIZONTAL!K88,"Modyo Connect","XQZ0QX"),"WebMethods","XQZ1QX"),"MuleSoft","XQZ2QX"),"DataDog","XQZ3QX"),"BPM/BRM","XQZ4QX"),"en","es"),"XQZ0QX","Modyo Connect"),"XQZ1QX","WebMethods"),"XQZ2QX","MuleSoft"),"XQZ3QX","DataDog"),"XQZ4QX","BPM/BRM")</f>
        <v>orquestación MuleSoft; Software AG WebMethods BPM/BRM; Gestión de invocaciones de Apigee; Orquestación de flujo estilo máquina de estados Modyo Connect; Diagnóstico DataDog.</v>
      </c>
    </row>
    <row r="89" spans="1:11" ht="150" x14ac:dyDescent="0.25">
      <c r="A89" s="5"/>
      <c r="B89" s="5"/>
      <c r="C89" s="5"/>
      <c r="D89" s="5">
        <v>8.1999999999999993</v>
      </c>
      <c r="E89" s="5" t="str">
        <f>_xlfn.TRANSLATE(__TR_HORIZONTAL!E89,"en","es")</f>
        <v>Marco de Integración y Mediación</v>
      </c>
      <c r="F89" s="5" t="str">
        <f>_xlfn.TRANSLATE(__TR_HORIZONTAL!F89,"en","es")</f>
        <v>Servicios de transformación, mapeo y puente de protocolos que reconcilian diferentes contratos, formatos y mecanismos de comunicación entre plataformas participantes.  |  PROPÓSITO: Absorbe la heterogeneidad para que añadir un nuevo procesador o proveedor sea un ejercicio de adaptación en lugar de un cambio en el patrimonio consumidor.</v>
      </c>
      <c r="G89" s="12" t="s">
        <v>506</v>
      </c>
      <c r="H89" s="5" t="str">
        <f>_xlfn.TRANSLATE(__TR_HORIZONTAL!H89,"en","es")</f>
        <v>Transformación y Mapeo de Mensajes</v>
      </c>
      <c r="I89" s="5" t="str">
        <f>_xlfn.TRANSLATE(__TR_HORIZONTAL!I89,"en","es")</f>
        <v>Mapeado declarativo entre estructuras de mensajes canónicas y nativas, incluyendo enriquecimiento y predeterminación.</v>
      </c>
      <c r="J89" s="5" t="str">
        <f>_xlfn.TRANSLATE(__TR_HORIZONTAL!J89,"en","es")</f>
        <v>Mantiene el contrato canónico estable mientras los formatos nativos cambian por debajo.</v>
      </c>
      <c r="K89" s="5" t="str">
        <f>SUBSTITUTE(SUBSTITUTE(SUBSTITUTE(SUBSTITUTE(SUBSTITUTE(_xlfn.TRANSLATE(SUBSTITUTE(SUBSTITUTE(SUBSTITUTE(SUBSTITUTE(SUBSTITUTE(__TR_HORIZONTAL!K89,"MuleSoft","XQZ0QX"),"OpenAPI","XQZ1QX"),"Swagger","XQZ2QX"),"BIAN","XQZ3QX"),"API","XQZ4QX"),"en","es"),"XQZ0QX","MuleSoft"),"XQZ1QX","OpenAPI"),"XQZ2QX","Swagger"),"XQZ3QX","BIAN"),"XQZ4QX","API")</f>
        <v>Transformación MuleSoft y puente de protocolo; Contratos Apigee API; diseño canónico de servicios BIAN; DataStage para la transformación de datos; Documentación OpenAPI/Swagger API.</v>
      </c>
    </row>
    <row r="90" spans="1:11" ht="75" x14ac:dyDescent="0.25">
      <c r="A90" s="5"/>
      <c r="B90" s="5"/>
      <c r="C90" s="5"/>
      <c r="D90" s="5"/>
      <c r="E90" s="5"/>
      <c r="F90" s="5"/>
      <c r="G90" s="12" t="s">
        <v>511</v>
      </c>
      <c r="H90" s="5" t="str">
        <f>_xlfn.TRANSLATE(__TR_HORIZONTAL!H90,"en","es")</f>
        <v>Puente de protocolo</v>
      </c>
      <c r="I90" s="5" t="str">
        <f>SUBSTITUTE(SUBSTITUTE(_xlfn.TRANSLATE(SUBSTITUTE(SUBSTITUTE(__TR_HORIZONTAL!I90,"REST","XQZ0QX"),"gRPC","XQZ1QX"),"en","es"),"XQZ0QX","REST"),"XQZ1QX","gRPC")</f>
        <v>Adaptación entre mecanismos de comunicación (REST, gRPC, mensajería, archivos, protocolos de transacciones heredados).</v>
      </c>
      <c r="J90" s="5" t="str">
        <f>_xlfn.TRANSLATE(__TR_HORIZONTAL!J90,"en","es")</f>
        <v>Permite que los protocolos heredados participen en los viajes modernos sin forzar una reescritura como condición previa.</v>
      </c>
      <c r="K90" s="5" t="str">
        <f>SUBSTITUTE(SUBSTITUTE(SUBSTITUTE(SUBSTITUTE(SUBSTITUTE(_xlfn.TRANSLATE(SUBSTITUTE(SUBSTITUTE(SUBSTITUTE(SUBSTITUTE(SUBSTITUTE(__TR_HORIZONTAL!K90,"MuleSoft","XQZ0QX"),"OpenAPI","XQZ1QX"),"Swagger","XQZ2QX"),"BIAN","XQZ3QX"),"API","XQZ4QX"),"en","es"),"XQZ0QX","MuleSoft"),"XQZ1QX","OpenAPI"),"XQZ2QX","Swagger"),"XQZ3QX","BIAN"),"XQZ4QX","API")</f>
        <v>Transformación MuleSoft y puente de protocolo; Contratos Apigee API; diseño canónico de servicios BIAN; DataStage para la transformación de datos; Documentación OpenAPI/Swagger API.</v>
      </c>
    </row>
    <row r="91" spans="1:11" ht="75" x14ac:dyDescent="0.25">
      <c r="A91" s="5"/>
      <c r="B91" s="5"/>
      <c r="C91" s="5"/>
      <c r="D91" s="5"/>
      <c r="E91" s="5"/>
      <c r="F91" s="5"/>
      <c r="G91" s="12" t="s">
        <v>515</v>
      </c>
      <c r="H91" s="5" t="str">
        <f>_xlfn.TRANSLATE(__TR_HORIZONTAL!H91,"en","es")</f>
        <v>Mapeo dinámico de datos y gobernanza de esquemas</v>
      </c>
      <c r="I91" s="5" t="str">
        <f>_xlfn.TRANSLATE(__TR_HORIZONTAL!I91,"en","es")</f>
        <v>Definiciones de mapeo configurables y versionadas y contratos de esquema mantenidos fuera del código de aplicación.</v>
      </c>
      <c r="J91" s="5" t="str">
        <f>_xlfn.TRANSLATE(__TR_HORIZONTAL!J91,"en","es")</f>
        <v>Convierte el cambio de contrato en un evento de configuración controlado, aislando la plataforma de cambios externos en el sistema.</v>
      </c>
      <c r="K91" s="5" t="str">
        <f>SUBSTITUTE(SUBSTITUTE(SUBSTITUTE(SUBSTITUTE(SUBSTITUTE(_xlfn.TRANSLATE(SUBSTITUTE(SUBSTITUTE(SUBSTITUTE(SUBSTITUTE(SUBSTITUTE(__TR_HORIZONTAL!K91,"MuleSoft","XQZ0QX"),"OpenAPI","XQZ1QX"),"Swagger","XQZ2QX"),"BIAN","XQZ3QX"),"API","XQZ4QX"),"en","es"),"XQZ0QX","MuleSoft"),"XQZ1QX","OpenAPI"),"XQZ2QX","Swagger"),"XQZ3QX","BIAN"),"XQZ4QX","API")</f>
        <v>Transformación MuleSoft y puente de protocolo; Contratos Apigee API; diseño canónico de servicios BIAN; DataStage para la transformación de datos; Documentación OpenAPI/Swagger API.</v>
      </c>
    </row>
    <row r="92" spans="1:11" ht="135" x14ac:dyDescent="0.25">
      <c r="A92" s="5"/>
      <c r="B92" s="5"/>
      <c r="C92" s="5"/>
      <c r="D92" s="5">
        <v>8.3000000000000007</v>
      </c>
      <c r="E92" s="5" t="str">
        <f>_xlfn.TRANSLATE(__TR_HORIZONTAL!E92,"en","es")</f>
        <v>Gestión del contexto</v>
      </c>
      <c r="F92" s="5" t="str">
        <f>_xlfn.TRANSLATE(__TR_HORIZONTAL!F92,"en","es")</f>
        <v>Captura, propagación y disponibilidad consistente del contexto de ejecución —identidad, canal, entidad, ubicación, correlación, derechos— en cada salto de un servicio compuesto.  |  PROPÓSITO: Sin contexto propagado, auditoría distribuida, aplicación de derechos y rastreo se rompen en el primer límite del sistema.</v>
      </c>
      <c r="G92" s="12" t="s">
        <v>524</v>
      </c>
      <c r="H92" s="5" t="str">
        <f>_xlfn.TRANSLATE(__TR_HORIZONTAL!H92,"en","es")</f>
        <v>Propagación del contexto de la solicitud</v>
      </c>
      <c r="I92" s="5" t="str">
        <f>_xlfn.TRANSLATE(__TR_HORIZONTAL!I92,"en","es")</f>
        <v>Transmisión estandarizada del contexto del llamador, canal y correlación a través de todos los saltos de orquestación.</v>
      </c>
      <c r="J92" s="5" t="str">
        <f>_xlfn.TRANSLATE(__TR_HORIZONTAL!J92,"en","es")</f>
        <v>Permite una autorización, auditoría y rastreo consistentes independientemente de cuántos sistemas participen.</v>
      </c>
      <c r="K92" s="5" t="str">
        <f>SUBSTITUTE(_xlfn.TRANSLATE(SUBSTITUTE(__TR_HORIZONTAL!K92,"MuleSoft","XQZ0QX"),"en","es"),"XQZ0QX","MuleSoft")</f>
        <v>Disco de Oro / Party-CIF; Catálogo de productos y marco de AA; BRM; Propagación del contexto Apigee/MuleSoft; No es un producto de registro separado en las fuentes.</v>
      </c>
    </row>
    <row r="93" spans="1:11" ht="75" x14ac:dyDescent="0.25">
      <c r="A93" s="5"/>
      <c r="B93" s="5"/>
      <c r="C93" s="5"/>
      <c r="D93" s="5"/>
      <c r="E93" s="5"/>
      <c r="F93" s="5"/>
      <c r="G93" s="12" t="s">
        <v>528</v>
      </c>
      <c r="H93" s="5" t="str">
        <f>_xlfn.TRANSLATE(__TR_HORIZONTAL!H93,"en","es")</f>
        <v>Registro de Servicios y Configuración de Reglas</v>
      </c>
      <c r="I93" s="5" t="str">
        <f>_xlfn.TRANSLATE(__TR_HORIZONTAL!I93,"en","es")</f>
        <v>Registro de servicios con sus características de ejecución, reglas y metadatos administrativos.</v>
      </c>
      <c r="J93" s="5" t="str">
        <f>_xlfn.TRANSLATE(__TR_HORIZONTAL!J93,"en","es")</f>
        <v>Hace que el comportamiento del servicio (atomicidad, aprobaciones, elegibilidad para reintentos) sea declarativo y gobernado centralmente.</v>
      </c>
      <c r="K93" s="5" t="str">
        <f>SUBSTITUTE(_xlfn.TRANSLATE(SUBSTITUTE(__TR_HORIZONTAL!K93,"MuleSoft","XQZ0QX"),"en","es"),"XQZ0QX","MuleSoft")</f>
        <v>Disco de Oro / Party-CIF; Catálogo de productos y marco de AA; BRM; Propagación del contexto Apigee/MuleSoft; No es un producto de registro separado en las fuentes.</v>
      </c>
    </row>
    <row r="94" spans="1:11" ht="195" x14ac:dyDescent="0.25">
      <c r="A94" s="5"/>
      <c r="B94" s="5"/>
      <c r="C94" s="5"/>
      <c r="D94" s="5">
        <v>8.4</v>
      </c>
      <c r="E94" s="5" t="str">
        <f>_xlfn.TRANSLATE(__TR_HORIZONTAL!E94,"en","es")</f>
        <v>Adaptadores heredados</v>
      </c>
      <c r="F94" s="5" t="str">
        <f>SUBSTITUTE(SUBSTITUTE(_xlfn.TRANSLATE(SUBSTITUTE(SUBSTITUTE(__TR_HORIZONTAL!F94,"APIs","XQZ0QX"),"API","XQZ1QX"),"en","es"),"XQZ0QX","APIs"),"XQZ1QX","API")</f>
        <v>envoltorios de servicio y adaptadores específicos de plataforma que exponen funciones residentes heredadas como APIs estándar y eventos, conectando desde la arquitectura de microservicios hasta mainframes y plataformas propietarias.  |  PROPÓSITO: La capacidad de coexistencia de caballo de batalla: hace que la función heredada sea consumible por los viajes modernos sin modificar el código heredado, lo que permite que la modernización sea incremental y reversible.</v>
      </c>
      <c r="G94" s="12" t="s">
        <v>536</v>
      </c>
      <c r="H94" s="5" t="str">
        <f>_xlfn.TRANSLATE(__TR_HORIZONTAL!H94,"en","es")</f>
        <v>Envoltorios de servicio y exposición de servicios heredados</v>
      </c>
      <c r="I94" s="5" t="str">
        <f>SUBSTITUTE(SUBSTITUTE(_xlfn.TRANSLATE(SUBSTITUTE(SUBSTITUTE(__TR_HORIZONTAL!I94,"APIs","XQZ0QX"),"API","XQZ1QX"),"en","es"),"XQZ0QX","APIs"),"XQZ1QX","API")</f>
        <v>Microservicios que exponen transacciones heredadas como APIs adecuados para orquestación.</v>
      </c>
      <c r="J94" s="5" t="str">
        <f>_xlfn.TRANSLATE(__TR_HORIZONTAL!J94,"en","es")</f>
        <v>Desbloquea décadas de funciones empresariales integradas para su reutilización sin necesidad de reescribir.</v>
      </c>
      <c r="K94" s="5" t="str">
        <f>_xlfn.TRANSLATE(__TR_HORIZONTAL!K94,"en","es")</f>
        <v>Interfaces temporales usando Strangler Fig/ByPass; envoltorios PISA/Informix; Apificación OfiWeb; Teller Multi Core; interfaces batch/COB y hoja de ruta de desmantelamiento.</v>
      </c>
    </row>
    <row r="95" spans="1:11" ht="75" x14ac:dyDescent="0.25">
      <c r="A95" s="5"/>
      <c r="B95" s="5"/>
      <c r="C95" s="5"/>
      <c r="D95" s="5"/>
      <c r="E95" s="5"/>
      <c r="F95" s="5"/>
      <c r="G95" s="12" t="s">
        <v>540</v>
      </c>
      <c r="H95" s="5" t="str">
        <f>_xlfn.TRANSLATE(__TR_HORIZONTAL!H95,"en","es")</f>
        <v>Adaptadores de plataforma</v>
      </c>
      <c r="I95" s="5" t="str">
        <f>_xlfn.TRANSLATE(__TR_HORIZONTAL!I95,"en","es")</f>
        <v>Conectividad específica de la plataforma y adaptadores de protocolo para mainframe y entornos propietarios, incluyendo enrutamiento de transacciones.</v>
      </c>
      <c r="J95" s="5" t="str">
        <f>_xlfn.TRANSLATE(__TR_HORIZONTAL!J95,"en","es")</f>
        <v>Aísla mecánicas específicas de la plataforma en un componente reemplazable, por lo que el familiar no está acoplado a opciones tecnológicas heredadas.</v>
      </c>
      <c r="K95" s="5" t="str">
        <f>_xlfn.TRANSLATE(__TR_HORIZONTAL!K95,"en","es")</f>
        <v>Interfaces temporales usando Strangler Fig/ByPass; envoltorios PISA/Informix; Apificación OfiWeb; Teller Multi Core; interfaces batch/COB y hoja de ruta de desmantelamiento.</v>
      </c>
    </row>
    <row r="96" spans="1:11" ht="75" x14ac:dyDescent="0.25">
      <c r="A96" s="5"/>
      <c r="B96" s="5"/>
      <c r="C96" s="5"/>
      <c r="D96" s="5"/>
      <c r="E96" s="5"/>
      <c r="F96" s="5"/>
      <c r="G96" s="12" t="s">
        <v>544</v>
      </c>
      <c r="H96" s="5" t="str">
        <f>_xlfn.TRANSLATE(__TR_HORIZONTAL!H96,"en","es")</f>
        <v>Interfaces de lote y sincronización de datos heredadas</v>
      </c>
      <c r="I96" s="5" t="str">
        <f>_xlfn.TRANSLATE(__TR_HORIZONTAL!I96,"en","es")</f>
        <v>Se requieren mecanismos de sincronización por lotes y de datos junto con acceso en tiempo real a plataformas heredadas.</v>
      </c>
      <c r="J96" s="5" t="str">
        <f>SUBSTITUTE(_xlfn.TRANSLATE(SUBSTITUTE(__TR_HORIZONTAL!J96,"API","XQZ0QX"),"en","es"),"XQZ0QX","API")</f>
        <v>Cubre la realidad residual por lotes que las estrategias puras API suelen subestimar.</v>
      </c>
      <c r="K96" s="5" t="str">
        <f>_xlfn.TRANSLATE(__TR_HORIZONTAL!K96,"en","es")</f>
        <v>Interfaces temporales usando Strangler Fig/ByPass; envoltorios PISA/Informix; Apificación OfiWeb; Teller Multi Core; interfaces batch/COB y hoja de ruta de desmantelamiento.</v>
      </c>
    </row>
    <row r="97" spans="1:11" ht="75" x14ac:dyDescent="0.25">
      <c r="A97" s="5"/>
      <c r="B97" s="5"/>
      <c r="C97" s="5"/>
      <c r="D97" s="5"/>
      <c r="E97" s="5"/>
      <c r="F97" s="5"/>
      <c r="G97" s="12" t="s">
        <v>548</v>
      </c>
      <c r="H97" s="5" t="str">
        <f>_xlfn.TRANSLATE(__TR_HORIZONTAL!H97,"en","es")</f>
        <v>Ciclo de vida del adaptador y desmantelamiento</v>
      </c>
      <c r="I97" s="5" t="str">
        <f>_xlfn.TRANSLATE(__TR_HORIZONTAL!I97,"en","es")</f>
        <v>Introducción controlada, doble funcionamiento y retirada de adaptadores a medida que las funciones migran fuera del legado.</v>
      </c>
      <c r="J97" s="5" t="str">
        <f>_xlfn.TRANSLATE(__TR_HORIZONTAL!J97,"en","es")</f>
        <v>Garantiza que los adaptadores tácticos se retiren activamente en lugar de convertirse en arquitectura permanente.</v>
      </c>
      <c r="K97" s="5" t="str">
        <f>_xlfn.TRANSLATE(__TR_HORIZONTAL!K97,"en","es")</f>
        <v>Interfaces temporales usando Strangler Fig/ByPass; envoltorios PISA/Informix; Apificación OfiWeb; Teller Multi Core; interfaces batch/COB y hoja de ruta de desmantelamiento.</v>
      </c>
    </row>
    <row r="98" spans="1:11" ht="285" x14ac:dyDescent="0.25">
      <c r="A98" s="5">
        <v>9</v>
      </c>
      <c r="B98" s="5" t="str">
        <f>_xlfn.TRANSLATE(__TR_HORIZONTAL!B98,"en","es")</f>
        <v>Orquestación de procesos</v>
      </c>
      <c r="C98" s="5" t="str">
        <f>_xlfn.TRANSLATE(__TR_HORIZONTAL!C98,"en","es")</f>
        <v>Ejecución y control de procesos empresariales de mayor duración que combinan pasos del sistema y humanos —definición de flujos de trabajo, gestión de tareas, persistencia de estados, gestión de excepciones y escalada— implementados en motores de flujo de trabajo ligeros en lugar de suites BPM empresariales de gran tamaño.  |  PROPÓSITO: Separa el flujo técnico de milisegundos del flujo de negocio de varios días. Ofrece al banco un lugar para expresar jerarquías de autorización, controles de cuatro ojos, gestión de excepciones y viajes reanudables sin incrustarlos ni en el canal ni en el núcleo, lo que hace que los viajes sean portátiles entre productos y canales.</v>
      </c>
      <c r="D98" s="5">
        <v>9.1</v>
      </c>
      <c r="E98" s="5" t="str">
        <f>_xlfn.TRANSLATE(__TR_HORIZONTAL!E98,"en","es")</f>
        <v>Servicios de flujo de trabajo</v>
      </c>
      <c r="F98" s="5" t="str">
        <f>_xlfn.TRANSLATE(__TR_HORIZONTAL!F98,"en","es")</f>
        <v>Definición, versión y ejecución de procesos empresariales de varios pasos que abarcan servicios, sistemas y participantes humanos.  |  PROPÓSITO: Hace que la lógica del proceso sea explícita y modificable según la autoridad de diseño en lugar de implícita en el código entre varios sistemas.</v>
      </c>
      <c r="G98" s="12" t="s">
        <v>562</v>
      </c>
      <c r="H98" s="5" t="str">
        <f>_xlfn.TRANSLATE(__TR_HORIZONTAL!H98,"en","es")</f>
        <v>Definición y Versionado de Flujos de Trabajo</v>
      </c>
      <c r="I98" s="5" t="str">
        <f>_xlfn.TRANSLATE(__TR_HORIZONTAL!I98,"en","es")</f>
        <v>Modelado y control de versiones de definiciones de procesos, con promoción controlada entre entornos.</v>
      </c>
      <c r="J98" s="5" t="str">
        <f>_xlfn.TRANSLATE(__TR_HORIZONTAL!J98,"en","es")</f>
        <v>Permite cambiar procesos a ritmo empresarial sin necesidad de una liberación de núcleos.</v>
      </c>
      <c r="K98" s="5" t="str">
        <f>SUBSTITUTE(SUBSTITUTE(SUBSTITUTE(_xlfn.TRANSLATE(SUBSTITUTE(SUBSTITUTE(SUBSTITUTE(__TR_HORIZONTAL!K98,"Modyo Connect","XQZ0QX"),"WebMethods","XQZ1QX"),"SmartVista","XQZ2QX"),"en","es"),"XQZ0QX","Modyo Connect"),"XQZ1QX","WebMethods"),"XQZ2QX","SmartVista")</f>
        <v>WebMethods BPM; Flujo de trabajo/máquina de estados Modyo Connect; Gestión de trabajos de Ingeniería de Flujos/Jira para la entrega; fluye a través de Apolo, SmartVista y Transact.</v>
      </c>
    </row>
    <row r="99" spans="1:11" ht="90" x14ac:dyDescent="0.25">
      <c r="A99" s="5"/>
      <c r="B99" s="5"/>
      <c r="C99" s="5"/>
      <c r="D99" s="5"/>
      <c r="E99" s="5"/>
      <c r="F99" s="5"/>
      <c r="G99" s="12" t="s">
        <v>566</v>
      </c>
      <c r="H99" s="5" t="str">
        <f>_xlfn.TRANSLATE(__TR_HORIZONTAL!H99,"en","es")</f>
        <v>Ejecución de flujos de trabajo y coordinación de pasos</v>
      </c>
      <c r="I99" s="5" t="str">
        <f>_xlfn.TRANSLATE(__TR_HORIZONTAL!I99,"en","es")</f>
        <v>Ejecución en tiempo de ejecución de instancias de proceso, invocación de servicios y espera de resultados externos.</v>
      </c>
      <c r="J99" s="5" t="str">
        <f>_xlfn.TRANSLATE(__TR_HORIZONTAL!J99,"en","es")</f>
        <v>Proporciona una ejecución fiable de viajes que abarcan días y múltiples sistemas.</v>
      </c>
      <c r="K99" s="5" t="str">
        <f>SUBSTITUTE(SUBSTITUTE(SUBSTITUTE(_xlfn.TRANSLATE(SUBSTITUTE(SUBSTITUTE(SUBSTITUTE(__TR_HORIZONTAL!K99,"Modyo Connect","XQZ0QX"),"WebMethods","XQZ1QX"),"SmartVista","XQZ2QX"),"en","es"),"XQZ0QX","Modyo Connect"),"XQZ1QX","WebMethods"),"XQZ2QX","SmartVista")</f>
        <v>WebMethods BPM; Flujo de trabajo/máquina de estados Modyo Connect; Gestión de trabajos de Ingeniería de Flujos/Jira para la entrega; fluye a través de Apolo, SmartVista y Transact.</v>
      </c>
    </row>
    <row r="100" spans="1:11" ht="60" x14ac:dyDescent="0.25">
      <c r="A100" s="5"/>
      <c r="B100" s="5"/>
      <c r="C100" s="5"/>
      <c r="D100" s="5"/>
      <c r="E100" s="5"/>
      <c r="F100" s="5"/>
      <c r="G100" s="12" t="s">
        <v>570</v>
      </c>
      <c r="H100" s="5" t="str">
        <f>_xlfn.TRANSLATE(__TR_HORIZONTAL!H100,"en","es")</f>
        <v>Configuración de reglas de negocio</v>
      </c>
      <c r="I100" s="5" t="str">
        <f>_xlfn.TRANSLATE(__TR_HORIZONTAL!I100,"en","es")</f>
        <v>Normas externalizadas que regulan el enrutamiento, umbrales, elegibilidad y los participantes requeridos por tipo de proceso.</v>
      </c>
      <c r="J100" s="5" t="str">
        <f>_xlfn.TRANSLATE(__TR_HORIZONTAL!J100,"en","es")</f>
        <v>Mantiene configurables las diferencias de políticas entre productos, entidades y países en lugar de bifurcadas en el código.</v>
      </c>
      <c r="K100" s="5" t="str">
        <f>SUBSTITUTE(SUBSTITUTE(_xlfn.TRANSLATE(SUBSTITUTE(SUBSTITUTE(__TR_HORIZONTAL!K100,"WebMethods","XQZ0QX"),"SmartVista","XQZ1QX"),"en","es"),"XQZ0QX","WebMethods"),"XQZ1QX","SmartVista")</f>
        <v>BRM; WebMethods BRM; Marco de Transacción/Catálogo de Productos AA; Parametrización SmartVista; Reglas de puntuación de Merit Crediticio.</v>
      </c>
    </row>
    <row r="101" spans="1:11" ht="135" x14ac:dyDescent="0.25">
      <c r="A101" s="5"/>
      <c r="B101" s="5"/>
      <c r="C101" s="5"/>
      <c r="D101" s="5">
        <v>9.1999999999999993</v>
      </c>
      <c r="E101" s="5" t="str">
        <f>_xlfn.TRANSLATE(__TR_HORIZONTAL!E101,"en","es")</f>
        <v>Gestión de tareas humanas</v>
      </c>
      <c r="F101" s="5" t="str">
        <f>_xlfn.TRANSLATE(__TR_HORIZONTAL!F101,"en","es")</f>
        <v>Creación, asignación, priorización y finalización de tareas humanas derivadas de procesos automatizados, incluyendo listas de trabajo y delegación.  |  PROPÓSITO: Integra los pasos humanos que permanecen en los procesos bancarios regulados sin empujarlos de nuevo a las aplicaciones de canal.</v>
      </c>
      <c r="G101" s="12" t="s">
        <v>579</v>
      </c>
      <c r="H101" s="5" t="str">
        <f>_xlfn.TRANSLATE(__TR_HORIZONTAL!H101,"en","es")</f>
        <v>Asignación de tareas y gestión de listas de trabajo</v>
      </c>
      <c r="I101" s="5" t="str">
        <f>_xlfn.TRANSLATE(__TR_HORIZONTAL!I101,"en","es")</f>
        <v>Enrutamiento de elementos de trabajo a roles, colas e individuos con priorización y reasignación.</v>
      </c>
      <c r="J101" s="5" t="str">
        <f>_xlfn.TRANSLATE(__TR_HORIZONTAL!J101,"en","es")</f>
        <v>Da a las operaciones una bandeja de entrada gobernada en lugar de colas por tarea por aplicación.</v>
      </c>
      <c r="K101" s="5" t="str">
        <f>_xlfn.TRANSLATE(__TR_HORIZONTAL!K101,"en","es")</f>
        <v>Teller Multi Core para tareas de ramificación asistida; Flujo de trabajo OnBase/documentos; Filas de trabajo SIWEB/OFI y sucursales/centros de llamadas. No hay ninguna herramienta de tarea BPM completamente evidenciada.</v>
      </c>
    </row>
    <row r="102" spans="1:11" ht="105" x14ac:dyDescent="0.25">
      <c r="A102" s="5"/>
      <c r="B102" s="5"/>
      <c r="C102" s="5"/>
      <c r="D102" s="5"/>
      <c r="E102" s="5"/>
      <c r="F102" s="5"/>
      <c r="G102" s="12" t="s">
        <v>583</v>
      </c>
      <c r="H102" s="5" t="str">
        <f>_xlfn.TRANSLATE(__TR_HORIZONTAL!H102,"en","es")</f>
        <v>Intercepción y Reanudación de Tareas</v>
      </c>
      <c r="I102" s="5" t="str">
        <f>_xlfn.TRANSLATE(__TR_HORIZONTAL!I102,"en","es")</f>
        <v>Suspensión de la ejecución de un servicio pendiente de acción humana y reanudación al finalizar.</v>
      </c>
      <c r="J102" s="5" t="str">
        <f>_xlfn.TRANSLATE(__TR_HORIZONTAL!J102,"en","es")</f>
        <v>Permite insertar controles en viajes automatizados sin necesidad de rediseñar el recorrido.</v>
      </c>
      <c r="K102" s="5" t="str">
        <f>_xlfn.TRANSLATE(__TR_HORIZONTAL!K102,"en","es")</f>
        <v>Teller Multi Core para tareas de ramificación asistida; Flujo de trabajo OnBase/documentos; Filas de trabajo SIWEB/OFI y sucursales/centros de llamadas. No hay ninguna herramienta de tarea BPM completamente evidenciada.</v>
      </c>
    </row>
    <row r="103" spans="1:11" ht="150" x14ac:dyDescent="0.25">
      <c r="A103" s="5"/>
      <c r="B103" s="5"/>
      <c r="C103" s="5"/>
      <c r="D103" s="5">
        <v>9.3000000000000007</v>
      </c>
      <c r="E103" s="5" t="str">
        <f>_xlfn.TRANSLATE(__TR_HORIZONTAL!E103,"en","es")</f>
        <v>Estado de Proceso y Gestión de Excepciones</v>
      </c>
      <c r="F103" s="5" t="str">
        <f>_xlfn.TRANSLATE(__TR_HORIZONTAL!F103,"en","es")</f>
        <v>Persistencia duradera del estado de proceso de larga duración, junto con el tiempo de espera, la escalada, el reintento y la gestión de excepciones para instancias estancadas o fallidas.  |  PROPÓSITO: Los procesos de larga duración fallan de forma diferente a las transacciones; La gestión explícita del estado y la escalada es lo que evita la pérdida silenciosa de clientes a bordo.</v>
      </c>
      <c r="G103" s="12" t="s">
        <v>591</v>
      </c>
      <c r="H103" s="5" t="str">
        <f>_xlfn.TRANSLATE(__TR_HORIZONTAL!H103,"en","es")</f>
        <v>Persistencia del estado del proceso</v>
      </c>
      <c r="I103" s="5" t="str">
        <f>_xlfn.TRANSLATE(__TR_HORIZONTAL!I103,"en","es")</f>
        <v>Almacenamiento duradero del estado de la instancia de proceso, historial y acciones pendientes.</v>
      </c>
      <c r="J103" s="5" t="str">
        <f>_xlfn.TRANSLATE(__TR_HORIZONTAL!J103,"en","es")</f>
        <v>Garantiza la reanudabilidad en reinicios, despliegues y interrupciones.</v>
      </c>
      <c r="K103" s="5" t="str">
        <f>SUBSTITUTE(SUBSTITUTE(SUBSTITUTE(_xlfn.TRANSLATE(SUBSTITUTE(SUBSTITUTE(SUBSTITUTE(__TR_HORIZONTAL!K103,"Modyo Connect","XQZ0QX"),"WebMethods","XQZ1QX"),"BPM/BRM","XQZ2QX"),"en","es"),"XQZ0QX","Modyo Connect"),"XQZ1QX","WebMethods"),"XQZ2QX","BPM/BRM")</f>
        <v>WebMethods BPM/BRM y Modyo Connect para el estado del proceso; escalada PMO/RAID; Respaldo/contingencia con Interfaces Temporales y PISA.</v>
      </c>
    </row>
    <row r="104" spans="1:11" ht="75" x14ac:dyDescent="0.25">
      <c r="A104" s="5"/>
      <c r="B104" s="5"/>
      <c r="C104" s="5"/>
      <c r="D104" s="5"/>
      <c r="E104" s="5"/>
      <c r="F104" s="5"/>
      <c r="G104" s="12" t="s">
        <v>595</v>
      </c>
      <c r="H104" s="5" t="str">
        <f>_xlfn.TRANSLATE(__TR_HORIZONTAL!H104,"en","es")</f>
        <v>Escalada y gestión del tiempo de espera</v>
      </c>
      <c r="I104" s="5" t="str">
        <f>_xlfn.TRANSLATE(__TR_HORIZONTAL!I104,"en","es")</f>
        <v>Reglas de escalada, recordatorio y reasignación basadas en tiempo para instancias estancadas.</v>
      </c>
      <c r="J104" s="5" t="str">
        <f>_xlfn.TRANSLATE(__TR_HORIZONTAL!J104,"en","es")</f>
        <v>Protege los compromisos de nivel de servicio y proporciona evidencia de auditoría sobre la operación de control.</v>
      </c>
      <c r="K104" s="5" t="str">
        <f>SUBSTITUTE(SUBSTITUTE(SUBSTITUTE(_xlfn.TRANSLATE(SUBSTITUTE(SUBSTITUTE(SUBSTITUTE(__TR_HORIZONTAL!K104,"Modyo Connect","XQZ0QX"),"WebMethods","XQZ1QX"),"BPM/BRM","XQZ2QX"),"en","es"),"XQZ0QX","Modyo Connect"),"XQZ1QX","WebMethods"),"XQZ2QX","BPM/BRM")</f>
        <v>WebMethods BPM/BRM y Modyo Connect para el estado del proceso; escalada PMO/RAID; Respaldo/contingencia con Interfaces Temporales y PISA.</v>
      </c>
    </row>
    <row r="105" spans="1:11" ht="75" x14ac:dyDescent="0.25">
      <c r="A105" s="5"/>
      <c r="B105" s="5"/>
      <c r="C105" s="5"/>
      <c r="D105" s="5"/>
      <c r="E105" s="5"/>
      <c r="F105" s="5"/>
      <c r="G105" s="12" t="s">
        <v>599</v>
      </c>
      <c r="H105" s="5" t="str">
        <f>_xlfn.TRANSLATE(__TR_HORIZONTAL!H105,"en","es")</f>
        <v>Manejo de excepciones de procesos</v>
      </c>
      <c r="I105" s="5" t="str">
        <f>_xlfn.TRANSLATE(__TR_HORIZONTAL!I105,"en","es")</f>
        <v>Detección, clasificación y remediación del enrutamiento de instancias de procesos fallidos o en estado de excepción.</v>
      </c>
      <c r="J105" s="5" t="str">
        <f>_xlfn.TRANSLATE(__TR_HORIZONTAL!J105,"en","es")</f>
        <v>Convierte las excepciones en una cola gestionada en lugar de en una fuente de riesgo operativo no cuantificado.</v>
      </c>
      <c r="K105" s="5" t="str">
        <f>SUBSTITUTE(SUBSTITUTE(SUBSTITUTE(_xlfn.TRANSLATE(SUBSTITUTE(SUBSTITUTE(SUBSTITUTE(__TR_HORIZONTAL!K105,"Modyo Connect","XQZ0QX"),"WebMethods","XQZ1QX"),"BPM/BRM","XQZ2QX"),"en","es"),"XQZ0QX","Modyo Connect"),"XQZ1QX","WebMethods"),"XQZ2QX","BPM/BRM")</f>
        <v>WebMethods BPM/BRM y Modyo Connect para el estado del proceso; escalada PMO/RAID; Respaldo/contingencia con Interfaces Temporales y PISA.</v>
      </c>
    </row>
    <row r="106" spans="1:11" ht="135" x14ac:dyDescent="0.25">
      <c r="A106" s="5"/>
      <c r="B106" s="5"/>
      <c r="C106" s="5"/>
      <c r="D106" s="5">
        <v>9.4</v>
      </c>
      <c r="E106" s="5" t="str">
        <f>_xlfn.TRANSLATE(__TR_HORIZONTAL!E106,"en","es")</f>
        <v>Supervisión y administración de procesos</v>
      </c>
      <c r="F106" s="5" t="str">
        <f>_xlfn.TRANSLATE(__TR_HORIZONTAL!F106,"en","es")</f>
        <v>Visibilidad operativa de instancias en vuelo y de procesos completados, con intervención administrativa e informes sobre tiempos de ciclo y cuellos de botella.  |  PROPÓSITO: Proporciona el equivalente a nivel de proceso al trazado distribuido y la base de medición para la mejora del procesamiento directo.</v>
      </c>
      <c r="G106" s="12" t="s">
        <v>607</v>
      </c>
      <c r="H106" s="5" t="str">
        <f>_xlfn.TRANSLATE(__TR_HORIZONTAL!H106,"en","es")</f>
        <v>Monitorización de instancias de procesos y consola</v>
      </c>
      <c r="I106" s="5" t="str">
        <f>_xlfn.TRANSLATE(__TR_HORIZONTAL!I106,"en","es")</f>
        <v>Vistas operativas de instancias en vuelo con capacidad de intervención (reintentar, reasignar, cancelar).</v>
      </c>
      <c r="J106" s="5" t="str">
        <f>_xlfn.TRANSLATE(__TR_HORIZONTAL!J106,"en","es")</f>
        <v>Permite que las operaciones resuelvan procesos empresariales atascados sin la intervención de ingeniería.</v>
      </c>
      <c r="K106" s="5" t="str">
        <f>SUBSTITUTE(SUBSTITUTE(_xlfn.TRANSLATE(SUBSTITUTE(SUBSTITUTE(__TR_HORIZONTAL!K106,"SmartVista","XQZ0QX"),"DataDog","XQZ1QX"),"en","es"),"XQZ0QX","SmartVista"),"XQZ1QX","DataDog")</f>
        <v>DataDog para monitorización de procesos/plataformas; SmartVista Back Office; Realizar transacciones administrativas; Paneles de control PMO para el rendimiento de procesos.</v>
      </c>
    </row>
    <row r="107" spans="1:11" ht="75" x14ac:dyDescent="0.25">
      <c r="A107" s="5"/>
      <c r="B107" s="5"/>
      <c r="C107" s="5"/>
      <c r="D107" s="5"/>
      <c r="E107" s="5"/>
      <c r="F107" s="5"/>
      <c r="G107" s="12" t="s">
        <v>611</v>
      </c>
      <c r="H107" s="5" t="str">
        <f>_xlfn.TRANSLATE(__TR_HORIZONTAL!H107,"en","es")</f>
        <v>Informes sobre el rendimiento de procesos</v>
      </c>
      <c r="I107" s="5" t="str">
        <f>_xlfn.TRANSLATE(__TR_HORIZONTAL!I107,"en","es")</f>
        <v>Tiempo de ciclo, rendimiento, tasa de excepción y análisis de cuello de botella por proceso y producto.</v>
      </c>
      <c r="J107" s="5" t="str">
        <f>_xlfn.TRANSLATE(__TR_HORIZONTAL!J107,"en","es")</f>
        <v>Cuantifica los avances en procesamiento directo atribuidos al programa de interoperabilidad.</v>
      </c>
      <c r="K107" s="5" t="str">
        <f>SUBSTITUTE(SUBSTITUTE(_xlfn.TRANSLATE(SUBSTITUTE(SUBSTITUTE(__TR_HORIZONTAL!K107,"SmartVista","XQZ0QX"),"DataDog","XQZ1QX"),"en","es"),"XQZ0QX","SmartVista"),"XQZ1QX","DataDog")</f>
        <v>DataDog para monitorización de procesos/plataformas; SmartVista Back Office; Realizar transacciones administrativas; Paneles de control PMO para el rendimiento de procesos.</v>
      </c>
    </row>
    <row r="108" spans="1:11" ht="360" x14ac:dyDescent="0.25">
      <c r="A108" s="5">
        <v>7</v>
      </c>
      <c r="B108" s="5" t="str">
        <f>_xlfn.TRANSLATE(__TR_HORIZONTAL!B108,"en","es")</f>
        <v>Transacciones distribuidas</v>
      </c>
      <c r="C108" s="5" t="str">
        <f>_xlfn.TRANSLATE(__TR_HORIZONTAL!C108,"en","es")</f>
        <v>Atomicidad, consistencia y recuperabilidad de las operaciones empresariales que abarcan más de un servicio, plataforma o almacén de datos: coordinación transaccional, compensación y reversión, estado e historial de transacciones, herramientas de control operativo, continuidad de almacenamiento y reenvío, y administración en tiempo de ejecución de servicios transaccionales.  |  PROPÓSITO: La capacidad innegociable en la banca. La descomposición solo es aceptable si la consistencia se diseña explícitamente en lugar de heredarse de una sola base de datos. Este dominio proporciona el marco de decisión (recurso único frente a múltiple, igual frente a subdominio diferente, XA frente a no XA) y las herramientas operativas para reintentar, revertir e informar, lo que permite al banco romper el monolito sin aceptar el riesgo de integridad de los datos.</v>
      </c>
      <c r="D108" s="5">
        <v>7.1</v>
      </c>
      <c r="E108" s="5" t="str">
        <f>_xlfn.TRANSLATE(__TR_HORIZONTAL!E108,"en","es")</f>
        <v>Gestión de transacciones</v>
      </c>
      <c r="F108" s="5" t="str">
        <f>_xlfn.TRANSLATE(__TR_HORIZONTAL!F108,"en","es")</f>
        <v>Coordinación de operaciones empresariales con múltiples participantes, seguimiento del éxito o fracaso de cada paso y impulsando la reversión completa o compensatoria, con registro duradero del estado y la historia.  |  PROPÓSITO: Garantiza que una transacción comercial que abarque sistemas legados, de nueva generación y de terceros se complete o se deshaga por completo, con pruebas.</v>
      </c>
      <c r="G108" s="12" t="s">
        <v>624</v>
      </c>
      <c r="H108" s="5" t="str">
        <f>_xlfn.TRANSLATE(__TR_HORIZONTAL!H108,"en","es")</f>
        <v>Coordinación transaccional</v>
      </c>
      <c r="I108" s="5" t="str">
        <f>_xlfn.TRANSLATE(__TR_HORIZONTAL!I108,"en","es")</f>
        <v>Coordinador que hace seguimiento de los resultados de los participantes y decide la finalización o la retrocesa de una operación compuesta.</v>
      </c>
      <c r="J108" s="5" t="str">
        <f>_xlfn.TRANSLATE(__TR_HORIZONTAL!J108,"en","es")</f>
        <v>Proporciona un único punto de decisión autoritativo para la corrección entre sistemas que no pueden compartir un gestor de transacciones.</v>
      </c>
      <c r="K108" s="5" t="str">
        <f>SUBSTITUTE(_xlfn.TRANSLATE(SUBSTITUTE(__TR_HORIZONTAL!K108,"SmartVista","XQZ0QX"),"en","es"),"XQZ0QX","SmartVista")</f>
        <v>Realizar transacciones a tiempo completo/pagos y contabilidad general/contabilidad; Procesamiento de transacciones SmartVista/SVIP; Hub de Pagos/SPEI; Kafka/Confluent/Amazon MQ; Director/Saga planeado en la hoja de ruta.</v>
      </c>
    </row>
    <row r="109" spans="1:11" ht="105" x14ac:dyDescent="0.25">
      <c r="A109" s="5"/>
      <c r="B109" s="5"/>
      <c r="C109" s="5"/>
      <c r="D109" s="5"/>
      <c r="E109" s="5"/>
      <c r="F109" s="5"/>
      <c r="G109" s="12" t="s">
        <v>629</v>
      </c>
      <c r="H109" s="5" t="str">
        <f>_xlfn.TRANSLATE(__TR_HORIZONTAL!H109,"en","es")</f>
        <v>Ejecución de compensación y reversión</v>
      </c>
      <c r="I109" s="5" t="str">
        <f>_xlfn.TRANSLATE(__TR_HORIZONTAL!I109,"en","es")</f>
        <v>Ejecución de acciones compensatorias contra participantes cuyo trabajo debe ser deshecho, impulsada por una columna vertebral fiable de mensajería.</v>
      </c>
      <c r="J109" s="5" t="str">
        <f>_xlfn.TRANSLATE(__TR_HORIZONTAL!J109,"en","es")</f>
        <v>Permite la descomposición segura donde el commit bifásico es imposible, que es la mayor parte del estado híbrido.</v>
      </c>
      <c r="K109" s="5" t="str">
        <f>SUBSTITUTE(_xlfn.TRANSLATE(SUBSTITUTE(__TR_HORIZONTAL!K109,"SmartVista","XQZ0QX"),"en","es"),"XQZ0QX","SmartVista")</f>
        <v>Realizar transacciones a tiempo completo/pagos y contabilidad general/contabilidad; Procesamiento de transacciones SmartVista/SVIP; Hub de Pagos/SPEI; Kafka/Confluent/Amazon MQ; Director/Saga planeado en la hoja de ruta.</v>
      </c>
    </row>
    <row r="110" spans="1:11" ht="105" x14ac:dyDescent="0.25">
      <c r="A110" s="5"/>
      <c r="B110" s="5"/>
      <c r="C110" s="5"/>
      <c r="D110" s="5"/>
      <c r="E110" s="5"/>
      <c r="F110" s="5"/>
      <c r="G110" s="12" t="s">
        <v>633</v>
      </c>
      <c r="H110" s="5" t="str">
        <f>_xlfn.TRANSLATE(__TR_HORIZONTAL!H110,"en","es")</f>
        <v>Estado de la transacción y persistencia histórica</v>
      </c>
      <c r="I110" s="5" t="str">
        <f>_xlfn.TRANSLATE(__TR_HORIZONTAL!I110,"en","es")</f>
        <v>Registro duradero de la base de datos de transacciones, estado, participantes, referencias a la carga útil e historial de eventos.</v>
      </c>
      <c r="J110" s="5" t="str">
        <f>_xlfn.TRANSLATE(__TR_HORIZONTAL!J110,"en","es")</f>
        <v>Proporciona la pista de auditoría y la fuente de verdad de recuperación que una transacción distribuida ya no tiene por defecto.</v>
      </c>
      <c r="K110" s="5" t="str">
        <f>SUBSTITUTE(_xlfn.TRANSLATE(SUBSTITUTE(__TR_HORIZONTAL!K110,"SmartVista","XQZ0QX"),"en","es"),"XQZ0QX","SmartVista")</f>
        <v>Realizar transacciones a tiempo completo/pagos y contabilidad general/contabilidad; Procesamiento de transacciones SmartVista/SVIP; Hub de Pagos/SPEI; Kafka/Confluent/Amazon MQ; Director/Saga planeado en la hoja de ruta.</v>
      </c>
    </row>
    <row r="111" spans="1:11" ht="105" x14ac:dyDescent="0.25">
      <c r="A111" s="5"/>
      <c r="B111" s="5"/>
      <c r="C111" s="5"/>
      <c r="D111" s="5"/>
      <c r="E111" s="5"/>
      <c r="F111" s="5"/>
      <c r="G111" s="12" t="s">
        <v>637</v>
      </c>
      <c r="H111" s="5" t="str">
        <f>_xlfn.TRANSLATE(__TR_HORIZONTAL!H111,"en","es")</f>
        <v>Intercambio de mensajes fiable</v>
      </c>
      <c r="I111" s="5" t="str">
        <f>_xlfn.TRANSLATE(__TR_HORIZONTAL!I111,"en","es")</f>
        <v>Notificación garantizada de los resultados de los pasos e instrucciones de reversión entre coordinador y participantes.</v>
      </c>
      <c r="J111" s="5" t="str">
        <f>_xlfn.TRANSLATE(__TR_HORIZONTAL!J111,"en","es")</f>
        <v>Garantiza que la decisión de corrección nunca se pierda en el tránsito; La pérdida de mensajes aquí se convierte en exposición financiera.</v>
      </c>
      <c r="K111" s="5" t="str">
        <f>SUBSTITUTE(_xlfn.TRANSLATE(SUBSTITUTE(__TR_HORIZONTAL!K111,"SmartVista","XQZ0QX"),"en","es"),"XQZ0QX","SmartVista")</f>
        <v>Realizar transacciones a tiempo completo/pagos y contabilidad general/contabilidad; Procesamiento de transacciones SmartVista/SVIP; Hub de Pagos/SPEI; Kafka/Confluent/Amazon MQ; Director/Saga planeado en la hoja de ruta.</v>
      </c>
    </row>
    <row r="112" spans="1:11" ht="165" x14ac:dyDescent="0.25">
      <c r="A112" s="5"/>
      <c r="B112" s="5"/>
      <c r="C112" s="5"/>
      <c r="D112" s="5">
        <v>7.2</v>
      </c>
      <c r="E112" s="5" t="str">
        <f>_xlfn.TRANSLATE(__TR_HORIZONTAL!E112,"en","es")</f>
        <v>Operaciones y Control de Transacciones</v>
      </c>
      <c r="F112" s="5" t="str">
        <f>_xlfn.TRANSLATE(__TR_HORIZONTAL!F112,"en","es")</f>
        <v>Herramientas orientadas al operador para observar, intervenir e informar sobre transacciones complejas, incluyendo reintentos, cancelaciones y reversiones de acciones, así como la monitorización de eventos técnicos y operativos.  |  PROPÓSITO: Permite que la consistencia distribuida sea operativa por equipos nombrados; Sin él, la corrección depende de la escalada de ingeniería para cada anomalía.</v>
      </c>
      <c r="G112" s="12" t="s">
        <v>645</v>
      </c>
      <c r="H112" s="5" t="str">
        <f>_xlfn.TRANSLATE(__TR_HORIZONTAL!H112,"en","es")</f>
        <v>Consola Transaccional</v>
      </c>
      <c r="I112" s="5" t="str">
        <f>_xlfn.TRANSLATE(__TR_HORIZONTAL!I112,"en","es")</f>
        <v>Interfaz operativa que muestra el estado e historial de transacciones complejas con desentrañecimiento hasta el nivel del participante.</v>
      </c>
      <c r="J112" s="5" t="str">
        <f>_xlfn.TRANSLATE(__TR_HORIZONTAL!J112,"en","es")</f>
        <v>Proporciona a las operaciones y al soporte visibilidad directa del estado entre sistemas, eliminando la ingeniería del camino del incidente.</v>
      </c>
      <c r="K112" s="5" t="str">
        <f>SUBSTITUTE(SUBSTITUTE(_xlfn.TRANSLATE(SUBSTITUTE(SUBSTITUTE(__TR_HORIZONTAL!K112,"SmartVista","XQZ0QX"),"DataDog","XQZ1QX"),"en","es"),"XQZ0QX","SmartVista"),"XQZ1QX","DataDog")</f>
        <v>SmartVista Back Office; Realizar operaciones; Conciliación DataStage/Data Warehouse; GL/Contabilidad; Monitorización de eventos transaccionales DataDog.</v>
      </c>
    </row>
    <row r="113" spans="1:11" ht="75" x14ac:dyDescent="0.25">
      <c r="A113" s="5"/>
      <c r="B113" s="5"/>
      <c r="C113" s="5"/>
      <c r="D113" s="5"/>
      <c r="E113" s="5"/>
      <c r="F113" s="5"/>
      <c r="G113" s="12" t="s">
        <v>650</v>
      </c>
      <c r="H113" s="5" t="str">
        <f>_xlfn.TRANSLATE(__TR_HORIZONTAL!H113,"en","es")</f>
        <v>Reintentar, cancelar y revertir operaciones</v>
      </c>
      <c r="I113" s="5" t="str">
        <f>_xlfn.TRANSLATE(__TR_HORIZONTAL!I113,"en","es")</f>
        <v>Remediación controlada iniciada por el operador de transacciones atascadas o fallidas.</v>
      </c>
      <c r="J113" s="5" t="str">
        <f>_xlfn.TRANSLATE(__TR_HORIZONTAL!J113,"en","es")</f>
        <v>Reduce el tiempo de resolución de las excepciones y limita el impacto en el cliente de fallos parciales.</v>
      </c>
      <c r="K113" s="5" t="str">
        <f>SUBSTITUTE(SUBSTITUTE(_xlfn.TRANSLATE(SUBSTITUTE(SUBSTITUTE(__TR_HORIZONTAL!K113,"SmartVista","XQZ0QX"),"DataDog","XQZ1QX"),"en","es"),"XQZ0QX","SmartVista"),"XQZ1QX","DataDog")</f>
        <v>SmartVista Back Office; Realizar operaciones; Conciliación DataStage/Data Warehouse; GL/Contabilidad; Monitorización de eventos transaccionales DataDog.</v>
      </c>
    </row>
    <row r="114" spans="1:11" ht="75" x14ac:dyDescent="0.25">
      <c r="A114" s="5"/>
      <c r="B114" s="5"/>
      <c r="C114" s="5"/>
      <c r="D114" s="5"/>
      <c r="E114" s="5"/>
      <c r="F114" s="5"/>
      <c r="G114" s="12" t="s">
        <v>654</v>
      </c>
      <c r="H114" s="5" t="str">
        <f>_xlfn.TRANSLATE(__TR_HORIZONTAL!H114,"en","es")</f>
        <v>Soporte para la Notificación y Conciliación de Transacciones</v>
      </c>
      <c r="I114" s="5" t="str">
        <f>_xlfn.TRANSLATE(__TR_HORIZONTAL!I114,"en","es")</f>
        <v>Informar sobre resultados de transacciones, excepciones y envejecimiento para apoyar funciones de conciliación y control.</v>
      </c>
      <c r="J114" s="5" t="str">
        <f>_xlfn.TRANSLATE(__TR_HORIZONTAL!J114,"en","es")</f>
        <v>Proporciona financiación y control con la evidencia previamente proporcionada implícitamente por los propios diarios del núcleo.</v>
      </c>
      <c r="K114" s="5" t="str">
        <f>SUBSTITUTE(SUBSTITUTE(_xlfn.TRANSLATE(SUBSTITUTE(SUBSTITUTE(__TR_HORIZONTAL!K114,"SmartVista","XQZ0QX"),"DataDog","XQZ1QX"),"en","es"),"XQZ0QX","SmartVista"),"XQZ1QX","DataDog")</f>
        <v>SmartVista Back Office; Realizar operaciones; Conciliación DataStage/Data Warehouse; GL/Contabilidad; Monitorización de eventos transaccionales DataDog.</v>
      </c>
    </row>
    <row r="115" spans="1:11" ht="75" x14ac:dyDescent="0.25">
      <c r="A115" s="5"/>
      <c r="B115" s="5"/>
      <c r="C115" s="5"/>
      <c r="D115" s="5"/>
      <c r="E115" s="5"/>
      <c r="F115" s="5"/>
      <c r="G115" s="12" t="s">
        <v>658</v>
      </c>
      <c r="H115" s="5" t="str">
        <f>_xlfn.TRANSLATE(__TR_HORIZONTAL!H115,"en","es")</f>
        <v>Monitorización de eventos transaccionales</v>
      </c>
      <c r="I115" s="5" t="str">
        <f>_xlfn.TRANSLATE(__TR_HORIZONTAL!I115,"en","es")</f>
        <v>Emisiones y monitorización de eventos técnicos de salud y eventos empresariales de los componentes de la transacción.</v>
      </c>
      <c r="J115" s="5" t="str">
        <f>_xlfn.TRANSLATE(__TR_HORIZONTAL!J115,"en","es")</f>
        <v>Permite la resolución automatizada y manual de problemas, manteniendo el coste operativo estable a medida que crecen los volúmenes.</v>
      </c>
      <c r="K115" s="5" t="str">
        <f>SUBSTITUTE(SUBSTITUTE(_xlfn.TRANSLATE(SUBSTITUTE(SUBSTITUTE(__TR_HORIZONTAL!K115,"SmartVista","XQZ0QX"),"DataDog","XQZ1QX"),"en","es"),"XQZ0QX","SmartVista"),"XQZ1QX","DataDog")</f>
        <v>SmartVista Back Office; Realizar operaciones; Conciliación DataStage/Data Warehouse; GL/Contabilidad; Monitorización de eventos transaccionales DataDog.</v>
      </c>
    </row>
    <row r="116" spans="1:11" ht="240" x14ac:dyDescent="0.25">
      <c r="A116" s="5"/>
      <c r="B116" s="5"/>
      <c r="C116" s="5"/>
      <c r="D116" s="5">
        <v>7.3</v>
      </c>
      <c r="E116" s="5" t="str">
        <f>_xlfn.TRANSLATE(__TR_HORIZONTAL!E116,"en","es")</f>
        <v>Almacenar y reenviar</v>
      </c>
      <c r="F116" s="5" t="str">
        <f>_xlfn.TRANSLATE(__TR_HORIZONTAL!F116,"en","es")</f>
        <v>Persistencia y ejecución posterior controlada de peticiones que no pueden completarse ahora —porque un sistema alojador no está disponible, o porque el usuario programó la acción para una fecha futura— que incluye gestor de solicitudes, registro, procesador, router y consola.  |  PROPÓSITO: Proporciona continuidad del servicio cuando parte del patrimonio está caída y, reutilizando el mismo mecanismo, soporta instrucciones con fecha futura como pagos programados. Es una razón principal por la que los clientes no experimentan directamente los límites de disponibilidad heredados.</v>
      </c>
      <c r="G116" s="12" t="s">
        <v>666</v>
      </c>
      <c r="H116" s="5" t="str">
        <f>_xlfn.TRANSLATE(__TR_HORIZONTAL!H116,"en","es")</f>
        <v>Gestor de Solicitudes y Registro</v>
      </c>
      <c r="I116" s="5" t="str">
        <f>_xlfn.TRANSLATE(__TR_HORIZONTAL!I116,"en","es")</f>
        <v>Captura y almacenamiento duradero de las solicitudes pendientes con todos los datos necesarios para su ejecución posterior.</v>
      </c>
      <c r="J116" s="5" t="str">
        <f>_xlfn.TRANSLATE(__TR_HORIZONTAL!J116,"en","es")</f>
        <v>Convierte una interrupción de backend de una interacción fallida con el cliente en una diferida.</v>
      </c>
      <c r="K116" s="5" t="str">
        <f>_xlfn.TRANSLATE(__TR_HORIZONTAL!K116,"en","es")</f>
        <v>Amazon MQ/Kinesis y Kafka/Confluent para intercambio fiable; Interfaces Temporales con retry/fallback a PISA; batch/COB donde el procesamiento síncrono no es posible.</v>
      </c>
    </row>
    <row r="117" spans="1:11" ht="75" x14ac:dyDescent="0.25">
      <c r="A117" s="5"/>
      <c r="B117" s="5"/>
      <c r="C117" s="5"/>
      <c r="D117" s="5"/>
      <c r="E117" s="5"/>
      <c r="F117" s="5"/>
      <c r="G117" s="12" t="s">
        <v>670</v>
      </c>
      <c r="H117" s="5" t="str">
        <f>_xlfn.TRANSLATE(__TR_HORIZONTAL!H117,"en","es")</f>
        <v>Reglas de procesador de peticiones y reintentos</v>
      </c>
      <c r="I117" s="5" t="str">
        <f>_xlfn.TRANSLATE(__TR_HORIZONTAL!I117,"en","es")</f>
        <v>Decisión basada en reglas sobre cuándo y con qué frecuencia reintentar, usando señales de prioridad, ciclo y disponibilidad del sistema.</v>
      </c>
      <c r="J117" s="5" t="str">
        <f>_xlfn.TRANSLATE(__TR_HORIZONTAL!J117,"en","es")</f>
        <v>Previene tormentas de reintentos contra sistemas en recuperación mientras respeta la prioridad empresarial.</v>
      </c>
      <c r="K117" s="5" t="str">
        <f>SUBSTITUTE(SUBSTITUTE(_xlfn.TRANSLATE(SUBSTITUTE(SUBSTITUTE(__TR_HORIZONTAL!K117,"SmartVista","XQZ0QX"),"DataDog","XQZ1QX"),"en","es"),"XQZ0QX","SmartVista"),"XQZ1QX","DataDog")</f>
        <v>SmartVista Back Office; Realizar operaciones; Conciliación DataStage/Data Warehouse; GL/Contabilidad; Monitorización de eventos transaccionales DataDog.</v>
      </c>
    </row>
    <row r="118" spans="1:11" ht="75" x14ac:dyDescent="0.25">
      <c r="A118" s="5"/>
      <c r="B118" s="5"/>
      <c r="C118" s="5"/>
      <c r="D118" s="5"/>
      <c r="E118" s="5"/>
      <c r="F118" s="5"/>
      <c r="G118" s="12" t="s">
        <v>674</v>
      </c>
      <c r="H118" s="5" t="str">
        <f>_xlfn.TRANSLATE(__TR_HORIZONTAL!H118,"en","es")</f>
        <v>Enrutador de Solicitudes y Reenvío</v>
      </c>
      <c r="I118" s="5" t="str">
        <f>_xlfn.TRANSLATE(__TR_HORIZONTAL!I118,"en","es")</f>
        <v>Reenvío de cada solicitud almacenada al servicio empresarial correcto en el momento de la ejecución.</v>
      </c>
      <c r="J118" s="5" t="str">
        <f>_xlfn.TRANSLATE(__TR_HORIZONTAL!J118,"en","es")</f>
        <v>Mantiene el mecanismo genérico, así que cualquier servicio elegible hereda la continuidad sin código personalizado.</v>
      </c>
      <c r="K118" s="5" t="str">
        <f>_xlfn.TRANSLATE(__TR_HORIZONTAL!K118,"en","es")</f>
        <v>Amazon MQ/Kinesis y Kafka/Confluent para intercambio fiable; Interfaces Temporales con retry/fallback a PISA; batch/COB donde el procesamiento síncrono no es posible.</v>
      </c>
    </row>
    <row r="119" spans="1:11" ht="75" x14ac:dyDescent="0.25">
      <c r="A119" s="5"/>
      <c r="B119" s="5"/>
      <c r="C119" s="5"/>
      <c r="D119" s="5"/>
      <c r="E119" s="5"/>
      <c r="F119" s="5"/>
      <c r="G119" s="12" t="s">
        <v>678</v>
      </c>
      <c r="H119" s="5" t="str">
        <f>_xlfn.TRANSLATE(__TR_HORIZONTAL!H119,"en","es")</f>
        <v>Almacenar y reenviar la consola</v>
      </c>
      <c r="I119" s="5" t="str">
        <f>_xlfn.TRANSLATE(__TR_HORIZONTAL!I119,"en","es")</f>
        <v>Monitorización operativa y administración de solicitudes almacenadas pendientes y fallidas.</v>
      </c>
      <c r="J119" s="5" t="str">
        <f>_xlfn.TRANSLATE(__TR_HORIZONTAL!J119,"en","es")</f>
        <v>Proporciona responsabilidad para el negocio diferido, que de otro modo sería un riesgo operativo invisible.</v>
      </c>
      <c r="K119" s="5" t="str">
        <f>_xlfn.TRANSLATE(__TR_HORIZONTAL!K119,"en","es")</f>
        <v>Amazon MQ/Kinesis y Kafka/Confluent para intercambio fiable; Interfaces Temporales con retry/fallback a PISA; batch/COB donde el procesamiento síncrono no es posible.</v>
      </c>
    </row>
    <row r="120" spans="1:11" ht="195" x14ac:dyDescent="0.25">
      <c r="A120" s="5"/>
      <c r="B120" s="5"/>
      <c r="C120" s="5"/>
      <c r="D120" s="5">
        <v>7.4</v>
      </c>
      <c r="E120" s="5" t="str">
        <f>_xlfn.TRANSLATE(__TR_HORIZONTAL!E120,"en","es")</f>
        <v>Administración de Servicios Transaccionales (Administración en línea)</v>
      </c>
      <c r="F120" s="5" t="str">
        <f>_xlfn.TRANSLATE(__TR_HORIZONTAL!F120,"en","es")</f>
        <v>Administración en tiempo de ejecución del comportamiento transaccional: qué servicios son atómicos, cuáles son elegibles para almacenar y reenviar, cuáles requieren aprobaciones y las sobreescrituras operativas disponibles para las funciones de control.  |  PROPÓSITO: Hace que las características transaccionales sean declarativas y gobernadas centralmente, para que el comportamiento pueda ajustarse operativamente sin cambios de código durante las ventanas de migración.</v>
      </c>
      <c r="G120" s="12" t="s">
        <v>686</v>
      </c>
      <c r="H120" s="5" t="str">
        <f>_xlfn.TRANSLATE(__TR_HORIZONTAL!H120,"en","es")</f>
        <v>Configuración del comportamiento del servicio</v>
      </c>
      <c r="I120" s="5" t="str">
        <f>_xlfn.TRANSLATE(__TR_HORIZONTAL!I120,"en","es")</f>
        <v>Registro de atomicidad, elegibilidad para reintentos y requisitos de control por tipo de servicio.</v>
      </c>
      <c r="J120" s="5" t="str">
        <f>_xlfn.TRANSLATE(__TR_HORIZONTAL!J120,"en","es")</f>
        <v>Permite que el mismo servicio esté gobernado de forma diferente según la entidad, el canal o la fase de migración.</v>
      </c>
      <c r="K120" s="5" t="str">
        <f>SUBSTITUTE(_xlfn.TRANSLATE(SUBSTITUTE(__TR_HORIZONTAL!K120,"SmartVista","XQZ0QX"),"en","es"),"XQZ0QX","SmartVista")</f>
        <v>administración SmartVista; Catálogo de productos Transact/Marco AA; Controles de políticas en el apigeo; Anulaciones operativas a través de las consolas de administración de la plataforma.</v>
      </c>
    </row>
    <row r="121" spans="1:11" ht="75" x14ac:dyDescent="0.25">
      <c r="A121" s="5"/>
      <c r="B121" s="5"/>
      <c r="C121" s="5"/>
      <c r="D121" s="5"/>
      <c r="E121" s="5"/>
      <c r="F121" s="5"/>
      <c r="G121" s="12" t="s">
        <v>690</v>
      </c>
      <c r="H121" s="5" t="str">
        <f>_xlfn.TRANSLATE(__TR_HORIZONTAL!H121,"en","es")</f>
        <v>Anulaciones y controles operativos</v>
      </c>
      <c r="I121" s="5" t="str">
        <f>_xlfn.TRANSLATE(__TR_HORIZONTAL!I121,"en","es")</f>
        <v>Administró controles de anulación, suspensión y límite sobre el procesamiento transaccional.</v>
      </c>
      <c r="J121" s="5" t="str">
        <f>_xlfn.TRANSLATE(__TR_HORIZONTAL!J121,"en","es")</f>
        <v>Proporciona a riesgo y operación una palanca segura durante cortes y condiciones de incidente.</v>
      </c>
      <c r="K121" s="5" t="str">
        <f>SUBSTITUTE(_xlfn.TRANSLATE(SUBSTITUTE(__TR_HORIZONTAL!K121,"SmartVista","XQZ0QX"),"en","es"),"XQZ0QX","SmartVista")</f>
        <v>administración SmartVista; Catálogo de productos Transact/Marco AA; Controles de políticas en el apigeo; Anulaciones operativas a través de las consolas de administración de la plataforma.</v>
      </c>
    </row>
    <row r="122" spans="1:11" ht="330" x14ac:dyDescent="0.25">
      <c r="A122" s="5">
        <v>12</v>
      </c>
      <c r="B122" s="5" t="str">
        <f>_xlfn.TRANSLATE(__TR_HORIZONTAL!B122,"en","es")</f>
        <v>Procesamiento de eventos y componentes reactivos</v>
      </c>
      <c r="C122" s="5" t="str">
        <f>_xlfn.TRANSLATE(__TR_HORIZONTAL!C122,"en","es")</f>
        <v>La columna vertebral asíncrona de la arquitectura interoperable: mensajería y transmisión de eventos, entrega garantizada, registros de eventos y contratos de eventos canónicos, mensajería multiprotocolo, distribución de mallas de eventos, procesamiento complejo de eventos y monitorización de eventos.  |  PROPÓSITO: Los eventos permiten que los sistemas interoperen sin conocerse entre sí, que es la forma más profunda de desacoplamiento disponible. Una de las redes troncales de eventos sirve para notificaciones de canales, eventos contables, comunicación entre servicios, feeds de plataformas de datos y monitorización, lo que suele ser la inversión de mayor reutilización en la capa. También es la palanca inicial más barata para quitar carga de lectura del mainframe sin cambios en el núcleo.</v>
      </c>
      <c r="D122" s="5">
        <v>12.1</v>
      </c>
      <c r="E122" s="5" t="str">
        <f>_xlfn.TRANSLATE(__TR_HORIZONTAL!E122,"en","es")</f>
        <v>Mensajería de eventos</v>
      </c>
      <c r="F122" s="5" t="str">
        <f>_xlfn.TRANSLATE(__TR_HORIZONTAL!F122,"en","es")</f>
        <v>Publicar y suscribirse a mensajes entre componentes, incluyendo la administración de temas y colas, y el puente entre las múltiples tecnologías de mensajería que normalmente existen en un banco.  |  PROPÓSITO: Sustituye el acoplamiento bilateral y síncrono por un canal asíncrono compartido, para que productores y consumidores puedan cambiar de forma independiente.</v>
      </c>
      <c r="G122" s="12" t="s">
        <v>704</v>
      </c>
      <c r="H122" s="5" t="str">
        <f>_xlfn.TRANSLATE(__TR_HORIZONTAL!H122,"en","es")</f>
        <v>Publicar / Suscribirse Mensajería</v>
      </c>
      <c r="I122" s="5" t="str">
        <f>_xlfn.TRANSLATE(__TR_HORIZONTAL!I122,"en","es")</f>
        <v>Distribución asíncrona de mensajes de los productores a múltiples consumidores independientes.</v>
      </c>
      <c r="J122" s="5" t="str">
        <f>_xlfn.TRANSLATE(__TR_HORIZONTAL!J122,"en","es")</f>
        <v>Una publicación atiende a muchos consumidores, y ahí es donde proviene la mayor parte de la reducción de costes de integración.</v>
      </c>
      <c r="K122" s="5" t="str">
        <f>SUBSTITUTE(_xlfn.TRANSLATE(SUBSTITUTE(__TR_HORIZONTAL!K122,"MuleSoft","XQZ0QX"),"en","es"),"XQZ0QX","MuleSoft")</f>
        <v>Kafka/Confluent; Amazon MQ; Marco de Eventos Temenos; Procesador de eventos/Router de eventos/Limpieza de eventos; MuleSoft para mensajería de integración.</v>
      </c>
    </row>
    <row r="123" spans="1:11" ht="75" x14ac:dyDescent="0.25">
      <c r="A123" s="5"/>
      <c r="B123" s="5"/>
      <c r="C123" s="5"/>
      <c r="D123" s="5"/>
      <c r="E123" s="5"/>
      <c r="F123" s="5"/>
      <c r="G123" s="12" t="s">
        <v>708</v>
      </c>
      <c r="H123" s="5" t="str">
        <f>_xlfn.TRANSLATE(__TR_HORIZONTAL!H123,"en","es")</f>
        <v>Administración de temas y suscripciones</v>
      </c>
      <c r="I123" s="5" t="str">
        <f>_xlfn.TRANSLATE(__TR_HORIZONTAL!I123,"en","es")</f>
        <v>Creación, configuración, control de acceso y política de retención de temas y suscripciones.</v>
      </c>
      <c r="J123" s="5" t="str">
        <f>_xlfn.TRANSLATE(__TR_HORIZONTAL!J123,"en","es")</f>
        <v>Mantiene una columna vertebral compartida gobernable a medida que crece el número de productores y consumidores.</v>
      </c>
      <c r="K123" s="5" t="str">
        <f>SUBSTITUTE(_xlfn.TRANSLATE(SUBSTITUTE(__TR_HORIZONTAL!K123,"MuleSoft","XQZ0QX"),"en","es"),"XQZ0QX","MuleSoft")</f>
        <v>Kafka/Confluent; Amazon MQ; Marco de Eventos Temenos; Procesador de eventos/Router de eventos/Limpieza de eventos; MuleSoft para mensajería de integración.</v>
      </c>
    </row>
    <row r="124" spans="1:11" ht="75" x14ac:dyDescent="0.25">
      <c r="A124" s="5"/>
      <c r="B124" s="5"/>
      <c r="C124" s="5"/>
      <c r="D124" s="5"/>
      <c r="E124" s="5"/>
      <c r="F124" s="5"/>
      <c r="G124" s="12" t="s">
        <v>712</v>
      </c>
      <c r="H124" s="5" t="str">
        <f>_xlfn.TRANSLATE(__TR_HORIZONTAL!H124,"en","es")</f>
        <v>Mensajería multiprotocolo</v>
      </c>
      <c r="I124" s="5" t="str">
        <f>_xlfn.TRANSLATE(__TR_HORIZONTAL!I124,"en","es")</f>
        <v>Interoperabilidad entre tecnologías y protocolos de mensajería, incluyendo las colas heredadas.</v>
      </c>
      <c r="J124" s="5" t="str">
        <f>_xlfn.TRANSLATE(__TR_HORIZONTAL!J124,"en","es")</f>
        <v>Permite que el patrimonio de mensajería heredado participe durante la transición en lugar de ser reemplazado al principio.</v>
      </c>
      <c r="K124" s="5" t="str">
        <f>SUBSTITUTE(_xlfn.TRANSLATE(SUBSTITUTE(__TR_HORIZONTAL!K124,"MuleSoft","XQZ0QX"),"en","es"),"XQZ0QX","MuleSoft")</f>
        <v>Kafka/Confluent; Amazon MQ; Marco de Eventos Temenos; Procesador de eventos/Router de eventos/Limpieza de eventos; MuleSoft para mensajería de integración.</v>
      </c>
    </row>
    <row r="125" spans="1:11" ht="180" x14ac:dyDescent="0.25">
      <c r="A125" s="5"/>
      <c r="B125" s="5"/>
      <c r="C125" s="5"/>
      <c r="D125" s="5">
        <v>12.2</v>
      </c>
      <c r="E125" s="5" t="str">
        <f>_xlfn.TRANSLATE(__TR_HORIZONTAL!E125,"en","es")</f>
        <v>Retransmisión de eventos</v>
      </c>
      <c r="F125" s="5" t="str">
        <f>_xlfn.TRANSLATE(__TR_HORIZONTAL!F125,"en","es")</f>
        <v>Flujos de eventos de alto rendimiento, duraderos y reproducibles con retención, partición y procesamiento continuo de flujos, incluyendo procesamiento complejo de eventos a lo largo de múltiples flujos.  |  PROPÓSITO: Proporciona la capacidad de movimiento de datos en tiempo real de la cual dependen la agregación de datos multinúcleo, la descarga de lecturas y el contexto en tiempo real del cliente.</v>
      </c>
      <c r="G125" s="12" t="s">
        <v>720</v>
      </c>
      <c r="H125" s="5" t="str">
        <f>_xlfn.TRANSLATE(__TR_HORIZONTAL!H125,"en","es")</f>
        <v>Ingestión y distribución de corrientes</v>
      </c>
      <c r="I125" s="5" t="str">
        <f>_xlfn.TRANSLATE(__TR_HORIZONTAL!I125,"en","es")</f>
        <v>Ingestión y distribución duradera, particionada y de alto volumen de flujos de eventos.</v>
      </c>
      <c r="J125" s="5" t="str">
        <f>_xlfn.TRANSLATE(__TR_HORIZONTAL!J125,"en","es")</f>
        <v>Transporta los flujos de datos centrales, de canal, de infraestructura y externos en una plataforma en lugar de varias.</v>
      </c>
      <c r="K125" s="5" t="str">
        <f>_xlfn.TRANSLATE(__TR_HORIZONTAL!K125,"en","es")</f>
        <v>Kinesis amazónica; Kafka/Confluent; Temenos Events Framework con eventos como depositCreated/loanOverdue/payrollCredit.</v>
      </c>
    </row>
    <row r="126" spans="1:11" ht="75" x14ac:dyDescent="0.25">
      <c r="A126" s="5"/>
      <c r="B126" s="5"/>
      <c r="C126" s="5"/>
      <c r="D126" s="5"/>
      <c r="E126" s="5"/>
      <c r="F126" s="5"/>
      <c r="G126" s="12" t="s">
        <v>724</v>
      </c>
      <c r="H126" s="5" t="str">
        <f>_xlfn.TRANSLATE(__TR_HORIZONTAL!H126,"en","es")</f>
        <v>Retención y reposición de reproducciones</v>
      </c>
      <c r="I126" s="5" t="str">
        <f>_xlfn.TRANSLATE(__TR_HORIZONTAL!I126,"en","es")</f>
        <v>Retención configurable que permite a los consumidores reprocesar el historial desde un punto elegido.</v>
      </c>
      <c r="J126" s="5" t="str">
        <f>_xlfn.TRANSLATE(__TR_HORIZONTAL!J126,"en","es")</f>
        <v>Permite inicializar un nuevo consumidor o una tienda reconstruida sin un extracto personalizado del sistema fuente.</v>
      </c>
      <c r="K126" s="5" t="str">
        <f>_xlfn.TRANSLATE(__TR_HORIZONTAL!K126,"en","es")</f>
        <v>Kinesis amazónica; Kafka/Confluent; Temenos Events Framework con eventos como depositCreated/loanOverdue/payrollCredit.</v>
      </c>
    </row>
    <row r="127" spans="1:11" ht="75" x14ac:dyDescent="0.25">
      <c r="A127" s="5"/>
      <c r="B127" s="5"/>
      <c r="C127" s="5"/>
      <c r="D127" s="5"/>
      <c r="E127" s="5"/>
      <c r="F127" s="5"/>
      <c r="G127" s="12" t="s">
        <v>728</v>
      </c>
      <c r="H127" s="5" t="str">
        <f>_xlfn.TRANSLATE(__TR_HORIZONTAL!H127,"en","es")</f>
        <v>Procesamiento complejo de eventos</v>
      </c>
      <c r="I127" s="5" t="str">
        <f>_xlfn.TRANSLATE(__TR_HORIZONTAL!I127,"en","es")</f>
        <v>Evaluación de correlación, ventanas y reglas a través de uno o más flujos para derivar eventos de orden superior.</v>
      </c>
      <c r="J127" s="5" t="str">
        <f>_xlfn.TRANSLATE(__TR_HORIZONTAL!J127,"en","es")</f>
        <v>Convierte la actividad bruta en señales empresariales en tiempo real para fraude, límites, alertas y personalización.</v>
      </c>
      <c r="K127" s="5" t="str">
        <f>_xlfn.TRANSLATE(__TR_HORIZONTAL!K127,"en","es")</f>
        <v>Kinesis amazónica; Kafka/Confluent; Temenos Events Framework con eventos como depositCreated/loanOverdue/payrollCredit.</v>
      </c>
    </row>
    <row r="128" spans="1:11" ht="165" x14ac:dyDescent="0.25">
      <c r="A128" s="5"/>
      <c r="B128" s="5"/>
      <c r="C128" s="5"/>
      <c r="D128" s="5">
        <v>12.3</v>
      </c>
      <c r="E128" s="5" t="str">
        <f>_xlfn.TRANSLATE(__TR_HORIZONTAL!E128,"en","es")</f>
        <v>Entrega garantizada</v>
      </c>
      <c r="F128" s="5" t="str">
        <f>_xlfn.TRANSLATE(__TR_HORIZONTAL!F128,"en","es")</f>
        <v>Mecanismos de garantía de entrega —acuse de reconocimiento, control de idempotencia, reentrega y gestión de cartas muertas— que hacen que la integración asincrónica sea segura para eventos financieros.  |  PROPÓSITO: El desacoplamiento asíncrono solo es aceptable en banca si la entrega es demostrable; Esta capacidad es lo que hace que los eventos sean útiles para la contabilidad y los flujos de pago.</v>
      </c>
      <c r="G128" s="12" t="s">
        <v>736</v>
      </c>
      <c r="H128" s="5" t="str">
        <f>_xlfn.TRANSLATE(__TR_HORIZONTAL!H128,"en","es")</f>
        <v>Semántica de entrega y control de idempotencia</v>
      </c>
      <c r="I128" s="5" t="str">
        <f>_xlfn.TRANSLATE(__TR_HORIZONTAL!I128,"en","es")</f>
        <v>Aplicación de la entrega al menos una o efectivamente una vez con supresión de duplicados del lado del consumidor.</v>
      </c>
      <c r="J128" s="5" t="str">
        <f>_xlfn.TRANSLATE(__TR_HORIZONTAL!J128,"en","es")</f>
        <v>Previene el efecto financiero duplicado, la principal objeción a la integración de núcleos orientados a eventos.</v>
      </c>
      <c r="K128" s="5" t="str">
        <f>_xlfn.TRANSLATE(__TR_HORIZONTAL!K128,"en","es")</f>
        <v>Patrones Kafka/Confluent y Amazon MQ; no se evidencia ningún producto de letra muerta/idempotencia con nombre; La garantía de entrega debe estar cubierta por los controles de la plataforma de eventos.</v>
      </c>
    </row>
    <row r="129" spans="1:11" ht="75" x14ac:dyDescent="0.25">
      <c r="A129" s="5"/>
      <c r="B129" s="5"/>
      <c r="C129" s="5"/>
      <c r="D129" s="5"/>
      <c r="E129" s="5"/>
      <c r="F129" s="5"/>
      <c r="G129" s="12" t="s">
        <v>740</v>
      </c>
      <c r="H129" s="5" t="str">
        <f>_xlfn.TRANSLATE(__TR_HORIZONTAL!H129,"en","es")</f>
        <v>Gestión de Temas de Carta Seca y Errores</v>
      </c>
      <c r="I129" s="5" t="str">
        <f>_xlfn.TRANSLATE(__TR_HORIZONTAL!I129,"en","es")</f>
        <v>Aislamiento, inspección y reprocesamiento controlado de mensajes no entregables o fallidos.</v>
      </c>
      <c r="J129" s="5" t="str">
        <f>_xlfn.TRANSLATE(__TR_HORIZONTAL!J129,"en","es")</f>
        <v>Garantiza que ningún evento financiero se pierda silenciosamente y da a las operaciones una cola acotada para trabajar.</v>
      </c>
      <c r="K129" s="5" t="str">
        <f>SUBSTITUTE(_xlfn.TRANSLATE(SUBSTITUTE(__TR_HORIZONTAL!K129,"MuleSoft","XQZ0QX"),"en","es"),"XQZ0QX","MuleSoft")</f>
        <v>Kafka/Confluent; Amazon MQ; Marco de Eventos Temenos; Procesador de eventos/Router de eventos/Limpieza de eventos; MuleSoft para mensajería de integración.</v>
      </c>
    </row>
    <row r="130" spans="1:11" ht="90" x14ac:dyDescent="0.25">
      <c r="A130" s="5"/>
      <c r="B130" s="5"/>
      <c r="C130" s="5"/>
      <c r="D130" s="5"/>
      <c r="E130" s="5"/>
      <c r="F130" s="5"/>
      <c r="G130" s="12" t="s">
        <v>744</v>
      </c>
      <c r="H130" s="5" t="str">
        <f>_xlfn.TRANSLATE(__TR_HORIZONTAL!H130,"en","es")</f>
        <v>Informes de Garantía de Entrega</v>
      </c>
      <c r="I130" s="5" t="str">
        <f>_xlfn.TRANSLATE(__TR_HORIZONTAL!I130,"en","es")</f>
        <v>Evidencia de la exhaustividad de publicación y consumo para fines de control y reconciliación.</v>
      </c>
      <c r="J130" s="5" t="str">
        <f>_xlfn.TRANSLATE(__TR_HORIZONTAL!J130,"en","es")</f>
        <v>Proporciona la evidencia de auditoría que requieren la contabilidad y los flujos de informes basados en eventos.</v>
      </c>
      <c r="K130" s="5" t="str">
        <f>_xlfn.TRANSLATE(__TR_HORIZONTAL!K130,"en","es")</f>
        <v>Patrones Kafka/Confluent y Amazon MQ; no se evidencia ningún producto de letra muerta/idempotencia con nombre; La garantía de entrega debe estar cubierta por los controles de la plataforma de eventos.</v>
      </c>
    </row>
    <row r="131" spans="1:11" ht="135" x14ac:dyDescent="0.25">
      <c r="A131" s="5"/>
      <c r="B131" s="5"/>
      <c r="C131" s="5"/>
      <c r="D131" s="5">
        <v>12.4</v>
      </c>
      <c r="E131" s="5" t="str">
        <f>_xlfn.TRANSLATE(__TR_HORIZONTAL!E131,"en","es")</f>
        <v>Registro de Eventos y Gobernanza de Contratos</v>
      </c>
      <c r="F131" s="5" t="str">
        <f>SUBSTITUTE(_xlfn.TRANSLATE(SUBSTITUTE(__TR_HORIZONTAL!F131,"API","XQZ0QX"),"en","es"),"XQZ0QX","API")</f>
        <v>Catálogo autorizado de definiciones de eventos y esquemas canónicos, con versionado, reglas de compatibilidad y registro de consumidores.  |  PROPÓSITO: El equivalente asíncrono de la gestión del ciclo de vida API; Sin ella, una columna vertebral de eventos se degrada en una malla no documentada de formatos de mensajes privados.</v>
      </c>
      <c r="G131" s="12" t="s">
        <v>752</v>
      </c>
      <c r="H131" s="5" t="str">
        <f>_xlfn.TRANSLATE(__TR_HORIZONTAL!H131,"en","es")</f>
        <v>Definiciones de eventos y esquemas canónicos</v>
      </c>
      <c r="I131" s="5" t="str">
        <f>SUBSTITUTE(_xlfn.TRANSLATE(SUBSTITUTE(__TR_HORIZONTAL!I131,"BIAN","XQZ0QX"),"en","es"),"XQZ0QX","BIAN")</f>
        <v>Contratos de eventos publicados y alineados con estándares (alineados BIAN o personalizados canónicos) con la propiedad.</v>
      </c>
      <c r="J131" s="5" t="str">
        <f>_xlfn.TRANSLATE(__TR_HORIZONTAL!J131,"en","es")</f>
        <v>Hace que los eventos sean reutilizables entre dominios en lugar de soluciones puntuales entre dos equipos.</v>
      </c>
      <c r="K131" s="5" t="str">
        <f>SUBSTITUTE(SUBSTITUTE(_xlfn.TRANSLATE(SUBSTITUTE(SUBSTITUTE(__TR_HORIZONTAL!K131,"BIAN","XQZ0QX"),"API","XQZ1QX"),"en","es"),"XQZ0QX","BIAN"),"XQZ1QX","API")</f>
        <v>BIAN/API/gobernanza de eventos; pila confluente/Kafka; No se evidencia explícitamente ningún producto de registro o catálogo de esquemas separados.</v>
      </c>
    </row>
    <row r="132" spans="1:11" ht="75" x14ac:dyDescent="0.25">
      <c r="A132" s="5"/>
      <c r="B132" s="5"/>
      <c r="C132" s="5"/>
      <c r="D132" s="5"/>
      <c r="E132" s="5"/>
      <c r="F132" s="5"/>
      <c r="G132" s="12" t="s">
        <v>756</v>
      </c>
      <c r="H132" s="5" t="str">
        <f>_xlfn.TRANSLATE(__TR_HORIZONTAL!H132,"en","es")</f>
        <v>Versionado de esquemas y control de compatibilidad</v>
      </c>
      <c r="I132" s="5" t="str">
        <f>_xlfn.TRANSLATE(__TR_HORIZONTAL!I132,"en","es")</f>
        <v>Reglas de compatibilidad impuestas y evolución controlada de los esquemas de eventos.</v>
      </c>
      <c r="J132" s="5" t="str">
        <f>_xlfn.TRANSLATE(__TR_HORIZONTAL!J132,"en","es")</f>
        <v>Permite a los productores evolucionar sin romper a los consumidores que no pueden ver.</v>
      </c>
      <c r="K132" s="5" t="str">
        <f>SUBSTITUTE(SUBSTITUTE(_xlfn.TRANSLATE(SUBSTITUTE(SUBSTITUTE(__TR_HORIZONTAL!K132,"BIAN","XQZ0QX"),"API","XQZ1QX"),"en","es"),"XQZ0QX","BIAN"),"XQZ1QX","API")</f>
        <v>BIAN/API/gobernanza de eventos; pila confluente/Kafka; No se evidencia explícitamente ningún producto de registro o catálogo de esquemas separados.</v>
      </c>
    </row>
    <row r="133" spans="1:11" ht="75" x14ac:dyDescent="0.25">
      <c r="A133" s="5"/>
      <c r="B133" s="5"/>
      <c r="C133" s="5"/>
      <c r="D133" s="5"/>
      <c r="E133" s="5"/>
      <c r="F133" s="5"/>
      <c r="G133" s="12" t="s">
        <v>760</v>
      </c>
      <c r="H133" s="5" t="str">
        <f>_xlfn.TRANSLATE(__TR_HORIZONTAL!H133,"en","es")</f>
        <v>Catálogo de eventos y registro de consumidores</v>
      </c>
      <c r="I133" s="5" t="str">
        <f>_xlfn.TRANSLATE(__TR_HORIZONTAL!I133,"en","es")</f>
        <v>Inventario descubrible de eventos con consumidores registrados y la visibilidad de dependencias.</v>
      </c>
      <c r="J133" s="5" t="str">
        <f>_xlfn.TRANSLATE(__TR_HORIZONTAL!J133,"en","es")</f>
        <v>Establece el mapa de dependencias necesario antes de que cualquier sistema productor pueda modernizarse de forma segura.</v>
      </c>
      <c r="K133" s="5" t="str">
        <f>SUBSTITUTE(SUBSTITUTE(_xlfn.TRANSLATE(SUBSTITUTE(SUBSTITUTE(__TR_HORIZONTAL!K133,"BIAN","XQZ0QX"),"API","XQZ1QX"),"en","es"),"XQZ0QX","BIAN"),"XQZ1QX","API")</f>
        <v>BIAN/API/gobernanza de eventos; pila confluente/Kafka; No se evidencia explícitamente ningún producto de registro o catálogo de esquemas separados.</v>
      </c>
    </row>
    <row r="134" spans="1:11" ht="165" x14ac:dyDescent="0.25">
      <c r="A134" s="5"/>
      <c r="B134" s="5"/>
      <c r="C134" s="5"/>
      <c r="D134" s="5">
        <v>12.5</v>
      </c>
      <c r="E134" s="5" t="str">
        <f>_xlfn.TRANSLATE(__TR_HORIZONTAL!E134,"en","es")</f>
        <v>Malla de eventos y enrutamiento</v>
      </c>
      <c r="F134" s="5" t="str">
        <f>_xlfn.TRANSLATE(__TR_HORIZONTAL!F134,"en","es")</f>
        <v>Enrutamiento en clústeres y basado en políticas de eventos entre dominios, entornos, regiones y entidades, presentando un único tejido lógico de eventos sobre infraestructura distribuida.  |  PROPÓSITO: El mecanismo mediante el cual un grupo multi-entidad y multipaís comparte información en tiempo real sin construir vínculos bilaterales entre cada par de plataformas.</v>
      </c>
      <c r="G134" s="12" t="s">
        <v>768</v>
      </c>
      <c r="H134" s="5" t="str">
        <f>_xlfn.TRANSLATE(__TR_HORIZONTAL!H134,"en","es")</f>
        <v>Enrutamiento y agrupamiento de eventos</v>
      </c>
      <c r="I134" s="5" t="str">
        <f>_xlfn.TRANSLATE(__TR_HORIZONTAL!I134,"en","es")</f>
        <v>Enrutamiento orientado a políticas y federación de clústeres entre brokers y entornos.</v>
      </c>
      <c r="J134" s="5" t="str">
        <f>_xlfn.TRANSLATE(__TR_HORIZONTAL!J134,"en","es")</f>
        <v>Mantiene la tela lógicamente única mientras está físicamente distribuida, lo que permite la reutilización a nivel de grupo.</v>
      </c>
      <c r="K134" s="5" t="str">
        <f>SUBSTITUTE(_xlfn.TRANSLATE(SUBSTITUTE(__TR_HORIZONTAL!K134,"AWS","XQZ0QX"),"en","es"),"XQZ0QX","AWS")</f>
        <v>Enrutamiento Kafka/Confluente; Kinesis amazónica; Consideraciones multirregión/DR de AWS; enrutamiento de eventos mediante Event Router y capa de integración.</v>
      </c>
    </row>
    <row r="135" spans="1:11" ht="75" x14ac:dyDescent="0.25">
      <c r="A135" s="5"/>
      <c r="B135" s="5"/>
      <c r="C135" s="5"/>
      <c r="D135" s="5"/>
      <c r="E135" s="5"/>
      <c r="F135" s="5"/>
      <c r="G135" s="12" t="s">
        <v>772</v>
      </c>
      <c r="H135" s="5" t="str">
        <f>_xlfn.TRANSLATE(__TR_HORIZONTAL!H135,"en","es")</f>
        <v>Distribución entre dominios y regiones</v>
      </c>
      <c r="I135" s="5" t="str">
        <f>_xlfn.TRANSLATE(__TR_HORIZONTAL!I135,"en","es")</f>
        <v>Propagación controlada de eventos entre dominios, regiones y entidades legales mediante filtrado.</v>
      </c>
      <c r="J135" s="5" t="str">
        <f>_xlfn.TRANSLATE(__TR_HORIZONTAL!J135,"en","es")</f>
        <v>Soporta obligaciones de residencia de datos y segregación de entidades, manteniendo la interoperabilidad a nivel de grupo.</v>
      </c>
      <c r="K135" s="5" t="str">
        <f>SUBSTITUTE(_xlfn.TRANSLATE(SUBSTITUTE(__TR_HORIZONTAL!K135,"AWS","XQZ0QX"),"en","es"),"XQZ0QX","AWS")</f>
        <v>Enrutamiento Kafka/Confluente; Kinesis amazónica; Consideraciones multirregión/DR de AWS; enrutamiento de eventos mediante Event Router y capa de integración.</v>
      </c>
    </row>
    <row r="136" spans="1:11" ht="150" x14ac:dyDescent="0.25">
      <c r="A136" s="5"/>
      <c r="B136" s="5"/>
      <c r="C136" s="5"/>
      <c r="D136" s="5">
        <v>12.6</v>
      </c>
      <c r="E136" s="5" t="str">
        <f>_xlfn.TRANSLATE(__TR_HORIZONTAL!E136,"en","es")</f>
        <v>Monitorización de Eventos</v>
      </c>
      <c r="F136" s="5" t="str">
        <f>_xlfn.TRANSLATE(__TR_HORIZONTAL!F136,"en","es")</f>
        <v>Monitorización operativa de la columna vertebral de eventos - rendimiento, retraso del consumidor, tasas de error, violaciones del esquema - y trazabilidad de eventos individuales para auditoría e investigación.  |  PROPÓSITO: Los flujos asíncronos fallan silenciosamente por naturaleza; La monitorización es lo que convierte a los usuarios de un punto ciego operativo a un canal gobernado.</v>
      </c>
      <c r="G136" s="12" t="s">
        <v>780</v>
      </c>
      <c r="H136" s="5" t="str">
        <f>_xlfn.TRANSLATE(__TR_HORIZONTAL!H136,"en","es")</f>
        <v>Monitorización del flujo de eventos y lag del consumidor</v>
      </c>
      <c r="I136" s="5" t="str">
        <f>_xlfn.TRANSLATE(__TR_HORIZONTAL!I136,"en","es")</f>
        <v>El seguimiento de las tasas de publicación, el retraso y el retraso de los consumidores respecto a los umbrales.</v>
      </c>
      <c r="J136" s="5" t="str">
        <f>_xlfn.TRANSLATE(__TR_HORIZONTAL!J136,"en","es")</f>
        <v>Detecta un consumidor estancado antes de que los datos empresariales aguas abajo se vuelvan materialmente obsoletos.</v>
      </c>
      <c r="K136" s="5" t="str">
        <f>SUBSTITUTE(SUBSTITUTE(_xlfn.TRANSLATE(SUBSTITUTE(SUBSTITUTE(__TR_HORIZONTAL!K136,"BIAN","XQZ0QX"),"API","XQZ1QX"),"en","es"),"XQZ0QX","BIAN"),"XQZ1QX","API")</f>
        <v>BIAN/API/gobernanza de eventos; pila confluente/Kafka; No se evidencia explícitamente ningún producto de registro o catálogo de esquemas separados.</v>
      </c>
    </row>
    <row r="137" spans="1:11" ht="75" x14ac:dyDescent="0.25">
      <c r="A137" s="5"/>
      <c r="B137" s="5"/>
      <c r="C137" s="5"/>
      <c r="D137" s="5"/>
      <c r="E137" s="5"/>
      <c r="F137" s="5"/>
      <c r="G137" s="12" t="s">
        <v>784</v>
      </c>
      <c r="H137" s="5" t="str">
        <f>_xlfn.TRANSLATE(__TR_HORIZONTAL!H137,"en","es")</f>
        <v>Auditoría y Trazabilidad de Eventos</v>
      </c>
      <c r="I137" s="5" t="str">
        <f>_xlfn.TRANSLATE(__TR_HORIZONTAL!I137,"en","es")</f>
        <v>Rastreo correlacionado de eventos individuales entre productores, corredores y consumidores.</v>
      </c>
      <c r="J137" s="5" t="str">
        <f>_xlfn.TRANSLATE(__TR_HORIZONTAL!J137,"en","es")</f>
        <v>Extiende la trazabilidad de extremo a extremo entre los segmentos asíncronos de un viaje, no solo los síncronos.</v>
      </c>
      <c r="K137" s="5" t="str">
        <f>SUBSTITUTE(SUBSTITUTE(_xlfn.TRANSLATE(SUBSTITUTE(SUBSTITUTE(__TR_HORIZONTAL!K137,"DataDog","XQZ0QX"),"CloudTrail","XQZ1QX"),"en","es"),"XQZ0QX","DataDog"),"XQZ1QX","CloudTrail")</f>
        <v>Objetivo de monitorización de flujo de eventos/retardo de consumo DataDog; Exabeam/CloudTrail para auditoría; Telemetría de procesador de eventos/router.</v>
      </c>
    </row>
    <row r="138" spans="1:11" ht="285" x14ac:dyDescent="0.25">
      <c r="A138" s="5">
        <v>6</v>
      </c>
      <c r="B138" s="5" t="str">
        <f>_xlfn.TRANSLATE(__TR_HORIZONTAL!B138,"en","es")</f>
        <v>Omnicanal y componentes de caché</v>
      </c>
      <c r="C138" s="5" t="str">
        <f>_xlfn.TRANSLATE(__TR_HORIZONTAL!C138,"en","es")</f>
        <v>Servicio de datos de contexto y alto rendimiento entre canales: almacenamiento y acceso a datos omnicanal, caché distribuida y en memoria, caché de sesión y replicación de sesiones entre dominios, caché de transacciones y servicio de lecturas de baja latencia, y aceleración de contenido estático.  |  PROPÓSITO: Contiene contexto entre canales para que un viaje interrumpido en un canal se reanude en otro, y sirve a canales con latencias que el núcleo no puede alcanzar. El efecto empresarial es directo y medible: mejor experiencia omnicanal, menor abandono en la incorporación y originación, eficiencia operativa y continuidad cuando no hay backend disponible.</v>
      </c>
      <c r="D138" s="5">
        <v>6.1</v>
      </c>
      <c r="E138" s="5" t="str">
        <f>_xlfn.TRANSLATE(__TR_HORIZONTAL!E138,"en","es")</f>
        <v>Gestión de Datos Omnicanal</v>
      </c>
      <c r="F138" s="5" t="str">
        <f>_xlfn.TRANSLATE(__TR_HORIZONTAL!F138,"en","es")</f>
        <v>Almacenamiento temporal y funcional de datos de interacción en curso, con servicios de acceso que permiten a cualquier canal leer y continuar un viaje iniciado en otro lugar.  |  PROPÓSITO: Convierte el viaje, más que el canal, en la unidad de diseño: la base práctica de una propuesta omnicanal genuina.</v>
      </c>
      <c r="G138" s="12" t="s">
        <v>797</v>
      </c>
      <c r="H138" s="5" t="str">
        <f>_xlfn.TRANSLATE(__TR_HORIZONTAL!H138,"en","es")</f>
        <v>Almacenamiento de datos omnicanal</v>
      </c>
      <c r="I138" s="5" t="str">
        <f>_xlfn.TRANSLATE(__TR_HORIZONTAL!I138,"en","es")</f>
        <v>Almacenamiento duradero y funcional para interacciones parcialmente completas y estado de viaje a través de canales.</v>
      </c>
      <c r="J138" s="5" t="str">
        <f>_xlfn.TRANSLATE(__TR_HORIZONTAL!J138,"en","es")</f>
        <v>Preserva el esfuerzo del cliente cuando una sesión se interrumpe, reduciendo directamente el abandono.</v>
      </c>
      <c r="K138" s="5" t="str">
        <f>SUBSTITUTE(_xlfn.TRANSLATE(SUBSTITUTE(__TR_HORIZONTAL!K138,"BanCoppel","XQZ0QX"),"en","es"),"XQZ0QX","BanCoppel")</f>
        <v>App BanCoppel, Web/OFI, Sucursal, ATM, CAT y Teller Multi Core; Apificación de Canales; Golden Record/Party-CIF; Apolo incorporando.</v>
      </c>
    </row>
    <row r="139" spans="1:11" ht="60" x14ac:dyDescent="0.25">
      <c r="A139" s="5"/>
      <c r="B139" s="5"/>
      <c r="C139" s="5"/>
      <c r="D139" s="5"/>
      <c r="E139" s="5"/>
      <c r="F139" s="5"/>
      <c r="G139" s="12" t="s">
        <v>801</v>
      </c>
      <c r="H139" s="5" t="str">
        <f>_xlfn.TRANSLATE(__TR_HORIZONTAL!H139,"en","es")</f>
        <v>Servicios de acceso a datos omnicanal</v>
      </c>
      <c r="I139" s="5" t="str">
        <f>_xlfn.TRANSLATE(__TR_HORIZONTAL!I139,"en","es")</f>
        <v>Servicios estándar a través de los cuales los canales leen, actualizan y completan los datos almacenados del trayecto.</v>
      </c>
      <c r="J139" s="5" t="str">
        <f>_xlfn.TRANSLATE(__TR_HORIZONTAL!J139,"en","es")</f>
        <v>Impide que cada canal construya un mecanismo de continuación privado que no pueda interoperar.</v>
      </c>
      <c r="K139" s="5" t="str">
        <f>SUBSTITUTE(_xlfn.TRANSLATE(SUBSTITUTE(__TR_HORIZONTAL!K139,"BanCoppel","XQZ0QX"),"en","es"),"XQZ0QX","BanCoppel")</f>
        <v>App BanCoppel, Web/OFI, Sucursal, ATM, CAT y Teller Multi Core; Apificación de Canales; Golden Record/Party-CIF; Apolo incorporando.</v>
      </c>
    </row>
    <row r="140" spans="1:11" ht="60" x14ac:dyDescent="0.25">
      <c r="A140" s="5"/>
      <c r="B140" s="5"/>
      <c r="C140" s="5"/>
      <c r="D140" s="5"/>
      <c r="E140" s="5"/>
      <c r="F140" s="5"/>
      <c r="G140" s="12" t="s">
        <v>805</v>
      </c>
      <c r="H140" s="5" t="str">
        <f>_xlfn.TRANSLATE(__TR_HORIZONTAL!H140,"en","es")</f>
        <v>Reanudación y Completación Automática del Viaje</v>
      </c>
      <c r="I140" s="5" t="str">
        <f>_xlfn.TRANSLATE(__TR_HORIZONTAL!I140,"en","es")</f>
        <v>Recuperación y prepoblación de datos previamente capturados cuando un cliente reanuda en el mismo canal o en otro diferente.</v>
      </c>
      <c r="J140" s="5" t="str">
        <f>_xlfn.TRANSLATE(__TR_HORIZONTAL!J140,"en","es")</f>
        <v>Mejora la conversión en la incorporación y la originación, donde la caída es más costosa.</v>
      </c>
      <c r="K140" s="5" t="str">
        <f>SUBSTITUTE(_xlfn.TRANSLATE(SUBSTITUTE(__TR_HORIZONTAL!K140,"BanCoppel","XQZ0QX"),"en","es"),"XQZ0QX","BanCoppel")</f>
        <v>App BanCoppel, Web/OFI, Sucursal, ATM, CAT y Teller Multi Core; Apificación de Canales; Golden Record/Party-CIF; Apolo incorporando.</v>
      </c>
    </row>
    <row r="141" spans="1:11" ht="150" x14ac:dyDescent="0.25">
      <c r="A141" s="5"/>
      <c r="B141" s="5"/>
      <c r="C141" s="5"/>
      <c r="D141" s="5">
        <v>6.2</v>
      </c>
      <c r="E141" s="5" t="str">
        <f>_xlfn.TRANSLATE(__TR_HORIZONTAL!E141,"en","es")</f>
        <v>Componentes de caché</v>
      </c>
      <c r="F141" s="5" t="str">
        <f>_xlfn.TRANSLATE(__TR_HORIZONTAL!F141,"en","es")</f>
        <v>Caché distribuida y en memoria de datos de referencia y de acceso frecuente, con control de invalidación y refresco, además de aceleración de la entrega de contenido estático.  |  PROPÓSITO: Desacopla la capacidad de respuesta del canal de la capacidad backend, lo que protege los sistemas heredados y mejora la experiencia del cliente al mismo tiempo.</v>
      </c>
      <c r="G141" s="12" t="s">
        <v>813</v>
      </c>
      <c r="H141" s="5" t="str">
        <f>_xlfn.TRANSLATE(__TR_HORIZONTAL!H141,"en","es")</f>
        <v>Caché distribuida / en memoria</v>
      </c>
      <c r="I141" s="5" t="str">
        <f>_xlfn.TRANSLATE(__TR_HORIZONTAL!I141,"en","es")</f>
        <v>Caché de baja latencia y alto rendimiento de datos de referencia y calientes cerca de consumir servicios.</v>
      </c>
      <c r="J141" s="5" t="str">
        <f>_xlfn.TRANSLATE(__TR_HORIZONTAL!J141,"en","es")</f>
        <v>Elimina la carga repetitiva de los núcleos restringidos, protegiendo tanto el coste como el tiempo de respuesta.</v>
      </c>
      <c r="K141" s="5" t="str">
        <f>SUBSTITUTE(_xlfn.TRANSLATE(SUBSTITUTE(__TR_HORIZONTAL!K141,"AWS","XQZ0QX"),"en","es"),"XQZ0QX","AWS")</f>
        <v>Redis en la pila de Apolo; Modyo/AWS CloudFront para contenido estático; YugabyteDB para datos operativos. Herramienta de invalidación de caché no especificada.</v>
      </c>
    </row>
    <row r="142" spans="1:11" ht="75" x14ac:dyDescent="0.25">
      <c r="A142" s="5"/>
      <c r="B142" s="5"/>
      <c r="C142" s="5"/>
      <c r="D142" s="5"/>
      <c r="E142" s="5"/>
      <c r="F142" s="5"/>
      <c r="G142" s="12" t="s">
        <v>818</v>
      </c>
      <c r="H142" s="5" t="str">
        <f>_xlfn.TRANSLATE(__TR_HORIZONTAL!H142,"en","es")</f>
        <v>Invalidación de caché y control de actualización</v>
      </c>
      <c r="I142" s="5" t="str">
        <f>_xlfn.TRANSLATE(__TR_HORIZONTAL!I142,"en","es")</f>
        <v>Invalidación impulsada por políticas y eventos y actualización a la estancación atada.</v>
      </c>
      <c r="J142" s="5" t="str">
        <f>_xlfn.TRANSLATE(__TR_HORIZONTAL!J142,"en","es")</f>
        <v>Mantiene los datos en caché fiables, que es la condición para usarlos en decisiones orientadas al cliente.</v>
      </c>
      <c r="K142" s="5" t="str">
        <f>SUBSTITUTE(_xlfn.TRANSLATE(SUBSTITUTE(__TR_HORIZONTAL!K142,"AWS","XQZ0QX"),"en","es"),"XQZ0QX","AWS")</f>
        <v>Redis en la pila de Apolo; Modyo/AWS CloudFront para contenido estático; YugabyteDB para datos operativos. Herramienta de invalidación de caché no especificada.</v>
      </c>
    </row>
    <row r="143" spans="1:11" ht="60" x14ac:dyDescent="0.25">
      <c r="A143" s="5"/>
      <c r="B143" s="5"/>
      <c r="C143" s="5"/>
      <c r="D143" s="5"/>
      <c r="E143" s="5"/>
      <c r="F143" s="5"/>
      <c r="G143" s="12" t="s">
        <v>822</v>
      </c>
      <c r="H143" s="5" t="str">
        <f>_xlfn.TRANSLATE(__TR_HORIZONTAL!H143,"en","es")</f>
        <v>Aceleración de contenido estático</v>
      </c>
      <c r="I143" s="5" t="str">
        <f>_xlfn.TRANSLATE(__TR_HORIZONTAL!I143,"en","es")</f>
        <v>Caché de borde y entrega de contenido de activos estáticos consumidos por canales digitales.</v>
      </c>
      <c r="J143" s="5" t="str">
        <f>_xlfn.TRANSLATE(__TR_HORIZONTAL!J143,"en","es")</f>
        <v>Mejora el rendimiento percibido y reduce el coste de la infraestructura de origen.</v>
      </c>
      <c r="K143" s="5" t="str">
        <f>SUBSTITUTE(_xlfn.TRANSLATE(SUBSTITUTE(__TR_HORIZONTAL!K143,"AWS","XQZ0QX"),"en","es"),"XQZ0QX","AWS")</f>
        <v>AWS CloudFront utilizado por Modyo Platform; AWS WAF/Imperva para la entrega estática y de contenido web protegidos.</v>
      </c>
    </row>
    <row r="144" spans="1:11" ht="150" x14ac:dyDescent="0.25">
      <c r="A144" s="5"/>
      <c r="B144" s="5"/>
      <c r="C144" s="5"/>
      <c r="D144" s="5">
        <v>6.3</v>
      </c>
      <c r="E144" s="5" t="str">
        <f>_xlfn.TRANSLATE(__TR_HORIZONTAL!E144,"en","es")</f>
        <v>Gestión y replicación de sesiones</v>
      </c>
      <c r="F144" s="5" t="str">
        <f>_xlfn.TRANSLATE(__TR_HORIZONTAL!F144,"en","es")</f>
        <v>Almacenamiento en caché y replicación del estado de la sesión entre instancias, zonas de disponibilidad y dominios para que las sesiones de canal sobrevivan a fallos y crucen límites de dominio.  |  PROPÓSITO: Proporciona continuidad de interacción autenticada, sin la cual el escalado elástico y el despliegue continuo serían visibles para los clientes como sesiones canceladas.</v>
      </c>
      <c r="G144" s="12" t="s">
        <v>831</v>
      </c>
      <c r="H144" s="5" t="str">
        <f>_xlfn.TRANSLATE(__TR_HORIZONTAL!H144,"en","es")</f>
        <v>Almacenamiento en caché de sesiones</v>
      </c>
      <c r="I144" s="5" t="str">
        <f>_xlfn.TRANSLATE(__TR_HORIZONTAL!I144,"en","es")</f>
        <v>Almacenamiento rápido y recuperación del contexto de sesión para interacciones autenticadas.</v>
      </c>
      <c r="J144" s="5" t="str">
        <f>_xlfn.TRANSLATE(__TR_HORIZONTAL!J144,"en","es")</f>
        <v>Permite que los servicios sin estado escalen de forma elástica mientras preservan la continuidad de las sesiones del cliente.</v>
      </c>
      <c r="K144" s="5" t="str">
        <f>_xlfn.TRANSLATE(__TR_HORIZONTAL!K144,"en","es")</f>
        <v>Se evidencia el soporte de Redis y las sesiones de Modyo/Apolo; No se menciona ningún producto separado de replicación de sesiones empresariales.</v>
      </c>
    </row>
    <row r="145" spans="1:11" ht="60" x14ac:dyDescent="0.25">
      <c r="A145" s="5"/>
      <c r="B145" s="5"/>
      <c r="C145" s="5"/>
      <c r="D145" s="5"/>
      <c r="E145" s="5"/>
      <c r="F145" s="5"/>
      <c r="G145" s="12" t="s">
        <v>835</v>
      </c>
      <c r="H145" s="5" t="str">
        <f>_xlfn.TRANSLATE(__TR_HORIZONTAL!H145,"en","es")</f>
        <v>Replicación de sesiones entre dominios</v>
      </c>
      <c r="I145" s="5" t="str">
        <f>_xlfn.TRANSLATE(__TR_HORIZONTAL!I145,"en","es")</f>
        <v>Replicación del estado de sesión entre dominios e instancias, normalmente en una caché distribuida.</v>
      </c>
      <c r="J145" s="5" t="str">
        <f>_xlfn.TRANSLATE(__TR_HORIZONTAL!J145,"en","es")</f>
        <v>Permite que un cliente se mueva entre productos y dominios dentro de una sesión autenticada.</v>
      </c>
      <c r="K145" s="5" t="str">
        <f>_xlfn.TRANSLATE(__TR_HORIZONTAL!K145,"en","es")</f>
        <v>Se evidencia el soporte de Redis y las sesiones de Modyo/Apolo; No se menciona ningún producto separado de replicación de sesiones empresariales.</v>
      </c>
    </row>
    <row r="146" spans="1:11" ht="165" x14ac:dyDescent="0.25">
      <c r="A146" s="5"/>
      <c r="B146" s="5"/>
      <c r="C146" s="5"/>
      <c r="D146" s="5">
        <v>6.4</v>
      </c>
      <c r="E146" s="5" t="str">
        <f>_xlfn.TRANSLATE(__TR_HORIZONTAL!E146,"en","es")</f>
        <v>Caché de transacciones y servicio de lectura de baja latencia</v>
      </c>
      <c r="F146" s="5" t="str">
        <f>_xlfn.TRANSLATE(__TR_HORIZONTAL!F146,"en","es")</f>
        <v>El almacenamiento en caché de los datos de transacciones en vuelo y de las vistas de lectura frecuentemente solicitadas, servía a los canales de forma independiente del sistema de registro.  |  PROPÓSITO: El mecanismo práctico para descargar el tráfico de lectura de núcleos restringidos, normalmente la palanca más rápida disponible en MIPS y tiempo de respuesta, sin necesidad de cambios en el núcleo.</v>
      </c>
      <c r="G146" s="12" t="s">
        <v>843</v>
      </c>
      <c r="H146" s="5" t="str">
        <f>_xlfn.TRANSLATE(__TR_HORIZONTAL!H146,"en","es")</f>
        <v>Caché de transacciones en vuelo</v>
      </c>
      <c r="I146" s="5" t="str">
        <f>_xlfn.TRANSLATE(__TR_HORIZONTAL!I146,"en","es")</f>
        <v>Se requiere almacenamiento en caché de corta duración de los datos de transacciones a lo largo de los pasos de una operación compuesta.</v>
      </c>
      <c r="J146" s="5" t="str">
        <f>_xlfn.TRANSLATE(__TR_HORIZONTAL!J146,"en","es")</f>
        <v>Evita llamadas repetidas en el backend en un solo viaje, reduciendo tanto la latencia como la carga.</v>
      </c>
      <c r="K146" s="5" t="str">
        <f>SUBSTITUTE(_xlfn.TRANSLATE(SUBSTITUTE(__TR_HORIZONTAL!K146,"SmartVista","XQZ0QX"),"en","es"),"XQZ0QX","SmartVista")</f>
        <v>No se evidencia ningún producto específico de transacción-caché; las plataformas relacionadas son Redis, YugabyteDB, Transact TDH y los almacenes operativos SmartVista.</v>
      </c>
    </row>
    <row r="147" spans="1:11" ht="75" x14ac:dyDescent="0.25">
      <c r="A147" s="5"/>
      <c r="B147" s="5"/>
      <c r="C147" s="5"/>
      <c r="D147" s="5"/>
      <c r="E147" s="5"/>
      <c r="F147" s="5"/>
      <c r="G147" s="12" t="s">
        <v>848</v>
      </c>
      <c r="H147" s="5" t="str">
        <f>_xlfn.TRANSLATE(__TR_HORIZONTAL!H147,"en","es")</f>
        <v>Servicio de lectura con baja latencia</v>
      </c>
      <c r="I147" s="5" t="str">
        <f>_xlfn.TRANSLATE(__TR_HORIZONTAL!I147,"en","es")</f>
        <v>Servicio de vistas leídas a canales desde una memoria almacenada en caché o replicada en lugar del sistema de registro.</v>
      </c>
      <c r="J147" s="5" t="str">
        <f>_xlfn.TRANSLATE(__TR_HORIZONTAL!J147,"en","es")</f>
        <v>Ofrece un alivio inmediato de costes y rendimiento en plataformas heredadas mientras la modernización avanza detrás.</v>
      </c>
      <c r="K147" s="5" t="str">
        <f>SUBSTITUTE(_xlfn.TRANSLATE(SUBSTITUTE(__TR_HORIZONTAL!K147,"SmartVista","XQZ0QX"),"en","es"),"XQZ0QX","SmartVista")</f>
        <v>No se evidencia ningún producto específico de transacción-caché; las plataformas relacionadas son Redis, YugabyteDB, Transact TDH y los almacenes operativos SmartVista.</v>
      </c>
    </row>
    <row r="148" spans="1:11" ht="75" x14ac:dyDescent="0.25">
      <c r="A148" s="5"/>
      <c r="B148" s="5"/>
      <c r="C148" s="5"/>
      <c r="D148" s="5"/>
      <c r="E148" s="5"/>
      <c r="F148" s="5"/>
      <c r="G148" s="12" t="s">
        <v>852</v>
      </c>
      <c r="H148" s="5" t="str">
        <f>_xlfn.TRANSLATE(__TR_HORIZONTAL!H148,"en","es")</f>
        <v>Lee Gestión de Consistencia</v>
      </c>
      <c r="I148" s="5" t="str">
        <f>_xlfn.TRANSLATE(__TR_HORIZONTAL!I148,"en","es")</f>
        <v>Límites explícitos de anticuación, disparadores de actualización e indicadores de consistencia para las vistas de lecturas servidas.</v>
      </c>
      <c r="J148" s="5" t="str">
        <f>_xlfn.TRANSLATE(__TR_HORIZONTAL!J148,"en","es")</f>
        <v>Convierte el equilibrio entre frescura y carga en una decisión ingenierizada y auditable, en lugar de un riesgo implícito.</v>
      </c>
      <c r="K148" s="5" t="str">
        <f>SUBSTITUTE(_xlfn.TRANSLATE(SUBSTITUTE(__TR_HORIZONTAL!K148,"SmartVista","XQZ0QX"),"en","es"),"XQZ0QX","SmartVista")</f>
        <v>No se evidencia ningún producto específico de transacción-caché; las plataformas relacionadas son Redis, YugabyteDB, Transact TDH y los almacenes operativos SmartVista.</v>
      </c>
    </row>
    <row r="149" spans="1:11" ht="409.5" x14ac:dyDescent="0.25">
      <c r="A149" s="5">
        <v>11</v>
      </c>
      <c r="B149" s="5" t="str">
        <f>_xlfn.TRANSLATE(__TR_HORIZONTAL!B149,"en","es")</f>
        <v>Entrega de datos</v>
      </c>
      <c r="C149" s="5" t="str">
        <f>_xlfn.TRANSLATE(__TR_HORIZONTAL!C149,"en","es")</f>
        <v>Dos mitades de un mismo dominio. Catálogo y modelado de datos: catálogo e inventario, gestión de metadatos, linaje, grafo de conocimiento y enriquecimiento, perfilado y calidad, gobernanza, acceso y privacidad. Canalizaciones y entrega de datos: integración por lotes y flujos, replicación, virtualización, el almacenamiento operativo de datos y el modelo unificado de datos, entrega a múltiples velocidades y los servicios de consumo que se encuentran por encima de ellos.  |  PROPÓSITO: La interoperabilidad es tanto cuestión de datos como de servicios. Este dominio proporciona la vista agregada estandarizada en tiempo real y multinúcleo que permite a los canales y a los análisis consumir los datos del banco en lugar de los datos de un núcleo específico, eliminando el acceso directo a mainframes y eliminando el bloqueo de núcleo único. La entrega a múltiples velocidades concilia las velocidades por lotes y de streaming, de modo que grandes volúmenes se procesan sin penalizar ni las rutas de lectura ni de escritura.</v>
      </c>
      <c r="D149" s="5">
        <v>11.1</v>
      </c>
      <c r="E149" s="5" t="str">
        <f>_xlfn.TRANSLATE(__TR_HORIZONTAL!E149,"en","es")</f>
        <v>Catálogo de datos y modelado</v>
      </c>
      <c r="F149" s="5" t="str">
        <f>_xlfn.TRANSLATE(__TR_HORIZONTAL!F149,"en","es")</f>
        <v>Descubrimiento, descripción, gobernanza y gestión de calidad de los activos de datos: catálogo e inventario, metadatos (pasivos, en tiempo de ejecución y activos), linaje, enriquecimiento semántico, perfilado y control de acceso y privacidad.  |  PROPÓSITO: Los datos solo pueden compartirse de forma segura si están descritos y regulados; El catálogo es lo que hace que una capa de datos compartida sea utilizable por equipos que no crearon los datos.</v>
      </c>
      <c r="G149" s="12" t="s">
        <v>866</v>
      </c>
      <c r="H149" s="5" t="str">
        <f>_xlfn.TRANSLATE(__TR_HORIZONTAL!H149,"en","es")</f>
        <v>Catálogo de datos e inventario</v>
      </c>
      <c r="I149" s="5" t="str">
        <f>_xlfn.TRANSLATE(__TR_HORIZONTAL!I149,"en","es")</f>
        <v>Inventario consultable de activos de datos, dominios, propietarios y definiciones en todo el patrimonio.</v>
      </c>
      <c r="J149" s="5" t="str">
        <f>_xlfn.TRANSLATE(__TR_HORIZONTAL!J149,"en","es")</f>
        <v>Termina la arqueología de datos por proyecto, el mayor coste oculto en la entrega dependiente de los datos.</v>
      </c>
      <c r="K149" s="5" t="str">
        <f>_xlfn.TRANSLATE(__TR_HORIZONTAL!K149,"en","es")</f>
        <v>Almacén de datos; DataStage ETL; Centro de Datos de Temenos (TDH); Golden Record/Party-CIF; Feeds de Risklogic/Bajaware; Gobernanza de datos/controles de privacidad.</v>
      </c>
    </row>
    <row r="150" spans="1:11" ht="75" x14ac:dyDescent="0.25">
      <c r="A150" s="5"/>
      <c r="B150" s="5"/>
      <c r="C150" s="5"/>
      <c r="D150" s="5"/>
      <c r="E150" s="5"/>
      <c r="F150" s="5"/>
      <c r="G150" s="12" t="s">
        <v>870</v>
      </c>
      <c r="H150" s="5" t="str">
        <f>_xlfn.TRANSLATE(__TR_HORIZONTAL!H150,"en","es")</f>
        <v>Gestión de metadatos</v>
      </c>
      <c r="I150" s="5" t="str">
        <f>_xlfn.TRANSLATE(__TR_HORIZONTAL!I150,"en","es")</f>
        <v>Gestión de metadatos pasivos, en tiempo de ejecución y activos, incluyendo inferencia y recomendaciones automatizadas.</v>
      </c>
      <c r="J150" s="5" t="str">
        <f>_xlfn.TRANSLATE(__TR_HORIZONTAL!J150,"en","es")</f>
        <v>Mantiene el catálogo actualizado por su uso real en lugar de por el esfuerzo documental.</v>
      </c>
      <c r="K150" s="5" t="str">
        <f>_xlfn.TRANSLATE(__TR_HORIZONTAL!K150,"en","es")</f>
        <v>Almacén de datos; DataStage ETL; Centro de Datos de Temenos (TDH); Golden Record/Party-CIF; Feeds de Risklogic/Bajaware; Gobernanza de datos/controles de privacidad.</v>
      </c>
    </row>
    <row r="151" spans="1:11" ht="75" x14ac:dyDescent="0.25">
      <c r="A151" s="5"/>
      <c r="B151" s="5"/>
      <c r="C151" s="5"/>
      <c r="D151" s="5"/>
      <c r="E151" s="5"/>
      <c r="F151" s="5"/>
      <c r="G151" s="12" t="s">
        <v>874</v>
      </c>
      <c r="H151" s="5" t="str">
        <f>_xlfn.TRANSLATE(__TR_HORIZONTAL!H151,"en","es")</f>
        <v>Linaje de datos</v>
      </c>
      <c r="I151" s="5" t="str">
        <f>_xlfn.TRANSLATE(__TR_HORIZONTAL!I151,"en","es")</f>
        <v>Trazabilidad de extremo a extremo del origen, transformación y rutas de consumo de los datos.</v>
      </c>
      <c r="J151" s="5" t="str">
        <f>_xlfn.TRANSLATE(__TR_HORIZONTAL!J151,"en","es")</f>
        <v>Se requiere demostrar la corrección regulatoria de los informes una vez que los datos atraviesan muchos componentes.</v>
      </c>
      <c r="K151" s="5" t="str">
        <f>_xlfn.TRANSLATE(__TR_HORIZONTAL!K151,"en","es")</f>
        <v>Almacén de datos; DataStage ETL; Centro de Datos de Temenos (TDH); Golden Record/Party-CIF; Feeds de Risklogic/Bajaware; Gobernanza de datos/controles de privacidad.</v>
      </c>
    </row>
    <row r="152" spans="1:11" ht="75" x14ac:dyDescent="0.25">
      <c r="A152" s="5"/>
      <c r="B152" s="5"/>
      <c r="C152" s="5"/>
      <c r="D152" s="5"/>
      <c r="E152" s="5"/>
      <c r="F152" s="5"/>
      <c r="G152" s="12" t="s">
        <v>878</v>
      </c>
      <c r="H152" s="5" t="str">
        <f>_xlfn.TRANSLATE(__TR_HORIZONTAL!H152,"en","es")</f>
        <v>Grafo de conocimiento y enriquecimiento</v>
      </c>
      <c r="I152" s="5" t="str">
        <f>_xlfn.TRANSLATE(__TR_HORIZONTAL!I152,"en","es")</f>
        <v>Mapeo semántico, notación de ontologías y enriquecimiento de relaciones basado en grafos entre dominios de datos.</v>
      </c>
      <c r="J152" s="5" t="str">
        <f>_xlfn.TRANSLATE(__TR_HORIZONTAL!J152,"en","es")</f>
        <v>Soporta la visión de datos orientada a la individualidad de la que dependen la personalización y las proposiciones de banco de uno.</v>
      </c>
      <c r="K152" s="5" t="str">
        <f>_xlfn.TRANSLATE(__TR_HORIZONTAL!K152,"en","es")</f>
        <v>No se evidencia ninguna herramienta de grafo de conocimiento. Base de datos relacionados: Data Warehouse, DataStage, TDH, Golden Record/Party-CIF y prácticas de gobernanza de datos.</v>
      </c>
    </row>
    <row r="153" spans="1:11" ht="75" x14ac:dyDescent="0.25">
      <c r="A153" s="5"/>
      <c r="B153" s="5"/>
      <c r="C153" s="5"/>
      <c r="D153" s="5"/>
      <c r="E153" s="5"/>
      <c r="F153" s="5"/>
      <c r="G153" s="12" t="s">
        <v>883</v>
      </c>
      <c r="H153" s="5" t="str">
        <f>_xlfn.TRANSLATE(__TR_HORIZONTAL!H153,"en","es")</f>
        <v>Perfilado y calidad de datos</v>
      </c>
      <c r="I153" s="5" t="str">
        <f>_xlfn.TRANSLATE(__TR_HORIZONTAL!I153,"en","es")</f>
        <v>Perfilado automatizado, medición de calidad basada en reglas y flujo de trabajo de remediación.</v>
      </c>
      <c r="J153" s="5" t="str">
        <f>_xlfn.TRANSLATE(__TR_HORIZONTAL!J153,"en","es")</f>
        <v>Evita que la capa de datos compartida propague defectos a mayor escala que los silos que reemplazó.</v>
      </c>
      <c r="K153" s="5" t="str">
        <f>_xlfn.TRANSLATE(__TR_HORIZONTAL!K153,"en","es")</f>
        <v>Almacén de datos; DataStage ETL; Centro de Datos de Temenos (TDH); Golden Record/Party-CIF; Feeds de Risklogic/Bajaware; Gobernanza de datos/controles de privacidad.</v>
      </c>
    </row>
    <row r="154" spans="1:11" ht="75" x14ac:dyDescent="0.25">
      <c r="A154" s="5"/>
      <c r="B154" s="5"/>
      <c r="C154" s="5"/>
      <c r="D154" s="5"/>
      <c r="E154" s="5"/>
      <c r="F154" s="5"/>
      <c r="G154" s="12" t="s">
        <v>887</v>
      </c>
      <c r="H154" s="5" t="str">
        <f>_xlfn.TRANSLATE(__TR_HORIZONTAL!H154,"en","es")</f>
        <v>Gobernanza de Datos, Acceso y Privacidad</v>
      </c>
      <c r="I154" s="5" t="str">
        <f>_xlfn.TRANSLATE(__TR_HORIZONTAL!I154,"en","es")</f>
        <v>Propiedad, clasificación, derecho, retención y controles de privacidad sobre los activos de datos.</v>
      </c>
      <c r="J154" s="5" t="str">
        <f>_xlfn.TRANSLATE(__TR_HORIZONTAL!J154,"en","es")</f>
        <v>Hace que el intercambio amplio de datos sea compatible con las obligaciones de privacidad y residencia.</v>
      </c>
      <c r="K154" s="5" t="str">
        <f>_xlfn.TRANSLATE(__TR_HORIZONTAL!K154,"en","es")</f>
        <v>Almacén de datos; DataStage ETL; Centro de Datos de Temenos (TDH); Golden Record/Party-CIF; Feeds de Risklogic/Bajaware; Gobernanza de datos/controles de privacidad.</v>
      </c>
    </row>
    <row r="155" spans="1:11" ht="180" x14ac:dyDescent="0.25">
      <c r="A155" s="5"/>
      <c r="B155" s="5"/>
      <c r="C155" s="5"/>
      <c r="D155" s="5">
        <v>11.2</v>
      </c>
      <c r="E155" s="5" t="str">
        <f>_xlfn.TRANSLATE(__TR_HORIZONTAL!E155,"en","es")</f>
        <v>Canalizaciones y Entrega de Datos</v>
      </c>
      <c r="F155" s="5" t="str">
        <f>_xlfn.TRANSLATE(__TR_HORIZONTAL!F155,"en","es")</f>
        <v>Movimiento de datos entre fuentes, almacenes y consumidores con la latencia requerida: integración por lotes, integración de flujos, replicación y acceso virtualizado, desde sistemas heredados, archivos, lagos, almacenes en la nube y proveedores externos.  |  PROPÓSITO: La tubería física del desacoplamiento de datos; Es lo que permite que los consumidores sean atendidos sin darles acceso a los sistemas de registro.</v>
      </c>
      <c r="G155" s="12" t="s">
        <v>895</v>
      </c>
      <c r="H155" s="5" t="str">
        <f>_xlfn.TRANSLATE(__TR_HORIZONTAL!H155,"en","es")</f>
        <v>Integración de Datos por Lotes</v>
      </c>
      <c r="I155" s="5" t="str">
        <f>_xlfn.TRANSLATE(__TR_HORIZONTAL!I155,"en","es")</f>
        <v>Extracción programada, transformación y carga de datos a nivel de archivo o conjunto.</v>
      </c>
      <c r="J155" s="5" t="str">
        <f>_xlfn.TRANSLATE(__TR_HORIZONTAL!J155,"en","es")</f>
        <v>Cubre el importante patrimonio residual de lotes bajo la misma gobernanza que los flujos en tiempo real.</v>
      </c>
      <c r="K155" s="5" t="str">
        <f>SUBSTITUTE(_xlfn.TRANSLATE(SUBSTITUTE(__TR_HORIZONTAL!K155,"DataDog","XQZ0QX"),"en","es"),"XQZ0QX","DataDog")</f>
        <v>DataStage ETL/ELT; Almacén de datos; Resumen; extracción PISA/Informix; Oracle/YugabyteDB; tuberías por lotes/COB; Monitorización DataDog.</v>
      </c>
    </row>
    <row r="156" spans="1:11" ht="60" x14ac:dyDescent="0.25">
      <c r="A156" s="5"/>
      <c r="B156" s="5"/>
      <c r="C156" s="5"/>
      <c r="D156" s="5"/>
      <c r="E156" s="5"/>
      <c r="F156" s="5"/>
      <c r="G156" s="12" t="s">
        <v>899</v>
      </c>
      <c r="H156" s="5" t="str">
        <f>_xlfn.TRANSLATE(__TR_HORIZONTAL!H156,"en","es")</f>
        <v>Integración de Datos de Flujo</v>
      </c>
      <c r="I156" s="5" t="str">
        <f>_xlfn.TRANSLATE(__TR_HORIZONTAL!I156,"en","es")</f>
        <v>Movimiento continuo y de baja latencia de datos desde fuentes operativas hacia consumidores.</v>
      </c>
      <c r="J156" s="5" t="str">
        <f>_xlfn.TRANSLATE(__TR_HORIZONTAL!J156,"en","es")</f>
        <v>Ofrece la moneda casi en tiempo real que requieren los viajes digitales y la toma de decisiones en tiempo real.</v>
      </c>
      <c r="K156" s="5" t="str">
        <f>SUBSTITUTE(_xlfn.TRANSLATE(SUBSTITUTE(__TR_HORIZONTAL!K156,"DataDog","XQZ0QX"),"en","es"),"XQZ0QX","DataDog")</f>
        <v>Extracción casi en tiempo real del Temenos Data Hub; Kinesis amazónica; Kafka/Confluent; Marco de eventos; Monitorización DataDog.</v>
      </c>
    </row>
    <row r="157" spans="1:11" ht="60" x14ac:dyDescent="0.25">
      <c r="A157" s="5"/>
      <c r="B157" s="5"/>
      <c r="C157" s="5"/>
      <c r="D157" s="5"/>
      <c r="E157" s="5"/>
      <c r="F157" s="5"/>
      <c r="G157" s="12" t="s">
        <v>904</v>
      </c>
      <c r="H157" s="5" t="str">
        <f>_xlfn.TRANSLATE(__TR_HORIZONTAL!H157,"en","es")</f>
        <v>Replicación de datos</v>
      </c>
      <c r="I157" s="5" t="str">
        <f>_xlfn.TRANSLATE(__TR_HORIZONTAL!I157,"en","es")</f>
        <v>Mantenimiento de copias sincronizadas de datos fuente en almacenes objetivo.</v>
      </c>
      <c r="J157" s="5" t="str">
        <f>_xlfn.TRANSLATE(__TR_HORIZONTAL!J157,"en","es")</f>
        <v>Permite aislamiento de lectura desde sistemas de registro sin cambiar la aplicación fuente.</v>
      </c>
      <c r="K157" s="5" t="str">
        <f>SUBSTITUTE(_xlfn.TRANSLATE(SUBSTITUTE(__TR_HORIZONTAL!K157,"DataDog","XQZ0QX"),"en","es"),"XQZ0QX","DataDog")</f>
        <v>DataStage ETL/ELT; Almacén de datos; Resumen; extracción PISA/Informix; Oracle/YugabyteDB; tuberías por lotes/COB; Monitorización DataDog.</v>
      </c>
    </row>
    <row r="158" spans="1:11" ht="75" x14ac:dyDescent="0.25">
      <c r="A158" s="5"/>
      <c r="B158" s="5"/>
      <c r="C158" s="5"/>
      <c r="D158" s="5"/>
      <c r="E158" s="5"/>
      <c r="F158" s="5"/>
      <c r="G158" s="12" t="s">
        <v>908</v>
      </c>
      <c r="H158" s="5" t="str">
        <f>_xlfn.TRANSLATE(__TR_HORIZONTAL!H158,"en","es")</f>
        <v>Virtualización de datos</v>
      </c>
      <c r="I158" s="5" t="str">
        <f>_xlfn.TRANSLATE(__TR_HORIZONTAL!I158,"en","es")</f>
        <v>Acceso federado en tiempo de consulta a datos entre almacenes heterogéneos sin movimiento físico.</v>
      </c>
      <c r="J158" s="5" t="str">
        <f>_xlfn.TRANSLATE(__TR_HORIZONTAL!J158,"en","es")</f>
        <v>Proporciona acceso rápido a datos distribuidos donde la consolidación física no puede justificarse.</v>
      </c>
      <c r="K158" s="5" t="str">
        <f>SUBSTITUTE(SUBSTITUTE(SUBSTITUTE(_xlfn.TRANSLATE(SUBSTITUTE(SUBSTITUTE(SUBSTITUTE(__TR_HORIZONTAL!K158,"MuleSoft","XQZ0QX"),"APIs","XQZ1QX"),"API","XQZ2QX"),"en","es"),"XQZ0QX","MuleSoft"),"XQZ1QX","APIs"),"XQZ2QX","API")</f>
        <v>No se evidencia ningún producto específico de virtualización de datos; la integración utiliza APIs, DataStage ETL, TDH, Data Warehouse y acceso a servicios a través de Apigee/MuleSoft.</v>
      </c>
    </row>
    <row r="159" spans="1:11" ht="60" x14ac:dyDescent="0.25">
      <c r="A159" s="5"/>
      <c r="B159" s="5"/>
      <c r="C159" s="5"/>
      <c r="D159" s="5"/>
      <c r="E159" s="5"/>
      <c r="F159" s="5"/>
      <c r="G159" s="12" t="s">
        <v>913</v>
      </c>
      <c r="H159" s="5" t="str">
        <f>_xlfn.TRANSLATE(__TR_HORIZONTAL!H159,"en","es")</f>
        <v>Orquestación y monitorización de tuberías</v>
      </c>
      <c r="I159" s="5" t="str">
        <f>_xlfn.TRANSLATE(__TR_HORIZONTAL!I159,"en","es")</f>
        <v>Programación, gestión de dependencias y monitorización de canalizaciones de datos con gestión de fallos.</v>
      </c>
      <c r="J159" s="5" t="str">
        <f>_xlfn.TRANSLATE(__TR_HORIZONTAL!J159,"en","es")</f>
        <v>Convierte la actualización de datos en un nivel de servicio operable en lugar de una actividad de fondo de mejor esfuerzo.</v>
      </c>
      <c r="K159" s="5" t="str">
        <f>SUBSTITUTE(_xlfn.TRANSLATE(SUBSTITUTE(__TR_HORIZONTAL!K159,"DataDog","XQZ0QX"),"en","es"),"XQZ0QX","DataDog")</f>
        <v>DataStage ETL/ELT; Almacén de datos; Resumen; extracción PISA/Informix; Oracle/YugabyteDB; tuberías por lotes/COB; Monitorización DataDog.</v>
      </c>
    </row>
    <row r="160" spans="1:11" ht="255" x14ac:dyDescent="0.25">
      <c r="A160" s="5"/>
      <c r="B160" s="5"/>
      <c r="C160" s="5"/>
      <c r="D160" s="5">
        <v>11.3</v>
      </c>
      <c r="E160" s="5" t="str">
        <f>_xlfn.TRANSLATE(__TR_HORIZONTAL!E160,"en","es")</f>
        <v>Almacenamiento de Datos Operativos y Modelo Unificado de Datos</v>
      </c>
      <c r="F160" s="5" t="str">
        <f>_xlfn.TRANSLATE(__TR_HORIZONTAL!F160,"en","es")</f>
        <v>Un modelo de datos operativos estandarizado que ofrece una visión en tiempo real y multifuente de las principales entidades empresariales, consolidado entre núcleos heredados y de próxima generación y que sirve para los consumidores como capa de datos del banco.  |  PROPÓSITO: Este es el desacoplador en términos de datos. Mantener una visión estandarizada en tiempo real consolidada a partir de núcleos de primera categoría significa que los consumidores no están atados a un solo núcleo y ningún consumidor necesita acceso directo a mainframe, el mecanismo que más reduce los plazos y riesgos de modernización de núcleos.</v>
      </c>
      <c r="G160" s="12" t="s">
        <v>921</v>
      </c>
      <c r="H160" s="5" t="str">
        <f>_xlfn.TRANSLATE(__TR_HORIZONTAL!H160,"en","es")</f>
        <v>Modelo de datos unificado / canónico</v>
      </c>
      <c r="I160" s="5" t="str">
        <f>_xlfn.TRANSLATE(__TR_HORIZONTAL!I160,"en","es")</f>
        <v>Modelo estandarizado de entidades y atributos que abarca los dominios del cliente, la cuenta, el producto y la transacción.</v>
      </c>
      <c r="J160" s="5" t="str">
        <f>_xlfn.TRANSLATE(__TR_HORIZONTAL!J160,"en","es")</f>
        <v>Da a cada consumidor un contrato para los datos, para que un reemplazo del núcleo no se convierta en una reescritura del mercado de consumidores.</v>
      </c>
      <c r="K160" s="5" t="str">
        <f>SUBSTITUTE(SUBSTITUTE(_xlfn.TRANSLATE(SUBSTITUTE(SUBSTITUTE(__TR_HORIZONTAL!K160,"APIs","XQZ0QX"),"API","XQZ1QX"),"en","es"),"XQZ0QX","APIs"),"XQZ1QX","API")</f>
        <v>Golden Record/Party-CIF; Datos maestros heredados de Informix/PISA; Temenos TDH; Almacén de datos; YugabyteDB/Oracle; consolidación cross-core a través de APIs y DataStage.</v>
      </c>
    </row>
    <row r="161" spans="1:11" ht="75" x14ac:dyDescent="0.25">
      <c r="A161" s="5"/>
      <c r="B161" s="5"/>
      <c r="C161" s="5"/>
      <c r="D161" s="5"/>
      <c r="E161" s="5"/>
      <c r="F161" s="5"/>
      <c r="G161" s="12" t="s">
        <v>925</v>
      </c>
      <c r="H161" s="5" t="str">
        <f>_xlfn.TRANSLATE(__TR_HORIZONTAL!H161,"en","es")</f>
        <v>Consolidación en tiempo real entre núcleos</v>
      </c>
      <c r="I161" s="5" t="str">
        <f>_xlfn.TRANSLATE(__TR_HORIZONTAL!I161,"en","es")</f>
        <v>Ensamblaje de una vista actual de múltiples sistemas de registro concurrentes durante la coexistencia.</v>
      </c>
      <c r="J161" s="5" t="str">
        <f>_xlfn.TRANSLATE(__TR_HORIZONTAL!J161,"en","es")</f>
        <v>Hace que la coexistencia híbrida sea invisible a los canales, lo que permite la migración incremental.</v>
      </c>
      <c r="K161" s="5" t="str">
        <f>SUBSTITUTE(SUBSTITUTE(_xlfn.TRANSLATE(SUBSTITUTE(SUBSTITUTE(__TR_HORIZONTAL!K161,"APIs","XQZ0QX"),"API","XQZ1QX"),"en","es"),"XQZ0QX","APIs"),"XQZ1QX","API")</f>
        <v>Golden Record/Party-CIF; Datos maestros heredados de Informix/PISA; Temenos TDH; Almacén de datos; YugabyteDB/Oracle; consolidación cross-core a través de APIs y DataStage.</v>
      </c>
    </row>
    <row r="162" spans="1:11" ht="75" x14ac:dyDescent="0.25">
      <c r="A162" s="5"/>
      <c r="B162" s="5"/>
      <c r="C162" s="5"/>
      <c r="D162" s="5"/>
      <c r="E162" s="5"/>
      <c r="F162" s="5"/>
      <c r="G162" s="12" t="s">
        <v>929</v>
      </c>
      <c r="H162" s="5" t="str">
        <f>_xlfn.TRANSLATE(__TR_HORIZONTAL!H162,"en","es")</f>
        <v>Motor de entrega de datos de múltiples velocidades</v>
      </c>
      <c r="I162" s="5" t="str">
        <f>_xlfn.TRANSLATE(__TR_HORIZONTAL!I162,"en","es")</f>
        <v>Conciliación de datos que llegan a diferentes velocidades de pipelines por lotes y flujos de eventos en una sola vista servida.</v>
      </c>
      <c r="J162" s="5" t="str">
        <f>_xlfn.TRANSLATE(__TR_HORIZONTAL!J162,"en","es")</f>
        <v>Procesa volúmenes grandes sin penalizar las rutas de lectura o escritura, manteniendo la disponibilidad y la escalabilidad.</v>
      </c>
      <c r="K162" s="5" t="str">
        <f>SUBSTITUTE(SUBSTITUTE(_xlfn.TRANSLATE(SUBSTITUTE(SUBSTITUTE(__TR_HORIZONTAL!K162,"APIs","XQZ0QX"),"API","XQZ1QX"),"en","es"),"XQZ0QX","APIs"),"XQZ1QX","API")</f>
        <v>Golden Record/Party-CIF; Datos maestros heredados de Informix/PISA; Temenos TDH; Almacén de datos; YugabyteDB/Oracle; consolidación cross-core a través de APIs y DataStage.</v>
      </c>
    </row>
    <row r="163" spans="1:11" ht="75" x14ac:dyDescent="0.25">
      <c r="A163" s="5"/>
      <c r="B163" s="5"/>
      <c r="C163" s="5"/>
      <c r="D163" s="5"/>
      <c r="E163" s="5"/>
      <c r="F163" s="5"/>
      <c r="G163" s="12" t="s">
        <v>933</v>
      </c>
      <c r="H163" s="5" t="str">
        <f>_xlfn.TRANSLATE(__TR_HORIZONTAL!H163,"en","es")</f>
        <v>Servicio de Almacenamiento de Datos Operativo y Control de Acceso</v>
      </c>
      <c r="I163" s="5" t="str">
        <f>_xlfn.TRANSLATE(__TR_HORIZONTAL!I163,"en","es")</f>
        <v>Servir el modelo consolidado a los consumidores con derecho y control de auditoría.</v>
      </c>
      <c r="J163" s="5" t="str">
        <f>_xlfn.TRANSLATE(__TR_HORIZONTAL!J163,"en","es")</f>
        <v>Convierte la tienda en un producto gobernado en lugar de una base de datos compartida no gestionada.</v>
      </c>
      <c r="K163" s="5" t="str">
        <f>SUBSTITUTE(SUBSTITUTE(_xlfn.TRANSLATE(SUBSTITUTE(SUBSTITUTE(__TR_HORIZONTAL!K163,"APIs","XQZ0QX"),"API","XQZ1QX"),"en","es"),"XQZ0QX","APIs"),"XQZ1QX","API")</f>
        <v>Golden Record/Party-CIF; Datos maestros heredados de Informix/PISA; Temenos TDH; Almacén de datos; YugabyteDB/Oracle; consolidación cross-core a través de APIs y DataStage.</v>
      </c>
    </row>
    <row r="164" spans="1:11" ht="165" x14ac:dyDescent="0.25">
      <c r="A164" s="5"/>
      <c r="B164" s="5"/>
      <c r="C164" s="5"/>
      <c r="D164" s="5">
        <v>11.4</v>
      </c>
      <c r="E164" s="5" t="str">
        <f>_xlfn.TRANSLATE(__TR_HORIZONTAL!E164,"en","es")</f>
        <v>Servicios de Consumo de Datos</v>
      </c>
      <c r="F164" s="5" t="str">
        <f>SUBSTITUTE(SUBSTITUTE(_xlfn.TRANSLATE(SUBSTITUTE(SUBSTITUTE(__TR_HORIZONTAL!F164,"APIs","XQZ0QX"),"API","XQZ1QX"),"en","es"),"XQZ0QX","APIs"),"XQZ1QX","API")</f>
        <v>La superficie de consumo sobre la capa de datos: datos APIs, fuentes de análisis e informes, y provisión sandbox gobernada para trabajos exploratorios y de desarrollo de modelos.  |  PROPÓSITO: Garantiza que la inversión en la entrega de datos se convierta en uso; Sin rutas de consumo gobernadas, los equipos vuelven al acceso directo al código fuente y recrean el acoplamiento que se eliminó.</v>
      </c>
      <c r="G164" s="12" t="s">
        <v>941</v>
      </c>
      <c r="H164" s="5" t="str">
        <f>SUBSTITUTE(SUBSTITUTE(_xlfn.TRANSLATE(SUBSTITUTE(SUBSTITUTE(__TR_HORIZONTAL!H164,"APIs","XQZ0QX"),"API","XQZ1QX"),"en","es"),"XQZ0QX","APIs"),"XQZ1QX","API")</f>
        <v>Data APIs</v>
      </c>
      <c r="I164" s="5" t="str">
        <f>SUBSTITUTE(_xlfn.TRANSLATE(SUBSTITUTE(__TR_HORIZONTAL!I164,"API","XQZ0QX"),"en","es"),"XQZ0QX","API")</f>
        <v>Acceso API a productos de datos catalogados con regulación contractual.</v>
      </c>
      <c r="J164" s="5" t="str">
        <f>_xlfn.TRANSLATE(__TR_HORIZONTAL!J164,"en","es")</f>
        <v>Permite a los equipos de aplicaciones consumir datos a través del mismo mecanismo gobernado que los servicios.</v>
      </c>
      <c r="K164" s="5" t="str">
        <f>SUBSTITUTE(SUBSTITUTE(SUBSTITUTE(SUBSTITUTE(SUBSTITUTE(SUBSTITUTE(_xlfn.TRANSLATE(SUBSTITUTE(SUBSTITUTE(SUBSTITUTE(SUBSTITUTE(SUBSTITUTE(SUBSTITUTE(__TR_HORIZONTAL!K164,"Google Analytics","XQZ0QX"),"MuleSoft","XQZ1QX"),"OFS/IRIS","XQZ2QX"),"REST","XQZ3QX"),"APIs","XQZ4QX"),"API","XQZ5QX"),"en","es"),"XQZ0QX","Google Analytics"),"XQZ1QX","MuleSoft"),"XQZ2QX","OFS/IRIS"),"XQZ3QX","REST"),"XQZ4QX","APIs"),"XQZ5QX","API")</f>
        <v>OFS/IRIS REST APIs; Apigee/MuleSoft data APIs; Fuentes de Data Warehouse; Analítica regulatoria de Bajaware/Risklogic; Google Analytics; DataStage.</v>
      </c>
    </row>
    <row r="165" spans="1:11" ht="75" x14ac:dyDescent="0.25">
      <c r="A165" s="5"/>
      <c r="B165" s="5"/>
      <c r="C165" s="5"/>
      <c r="D165" s="5"/>
      <c r="E165" s="5"/>
      <c r="F165" s="5"/>
      <c r="G165" s="12" t="s">
        <v>946</v>
      </c>
      <c r="H165" s="5" t="str">
        <f>_xlfn.TRANSLATE(__TR_HORIZONTAL!H165,"en","es")</f>
        <v>Fuentes de Analítica e Informes</v>
      </c>
      <c r="I165" s="5" t="str">
        <f>_xlfn.TRANSLATE(__TR_HORIZONTAL!I165,"en","es")</f>
        <v>Fuentes seleccionadas para consumidores de almacenes, casas de lago, inteligencia empresarial y informes regulatorios.</v>
      </c>
      <c r="J165" s="5" t="str">
        <f>_xlfn.TRANSLATE(__TR_HORIZONTAL!J165,"en","es")</f>
        <v>Elimina extractos a medida de los sistemas de registro, una de las fuentes más persistentes de acoplamiento oculto.</v>
      </c>
      <c r="K165" s="5" t="str">
        <f>SUBSTITUTE(SUBSTITUTE(SUBSTITUTE(SUBSTITUTE(SUBSTITUTE(SUBSTITUTE(_xlfn.TRANSLATE(SUBSTITUTE(SUBSTITUTE(SUBSTITUTE(SUBSTITUTE(SUBSTITUTE(SUBSTITUTE(__TR_HORIZONTAL!K165,"Google Analytics","XQZ0QX"),"MuleSoft","XQZ1QX"),"OFS/IRIS","XQZ2QX"),"REST","XQZ3QX"),"APIs","XQZ4QX"),"API","XQZ5QX"),"en","es"),"XQZ0QX","Google Analytics"),"XQZ1QX","MuleSoft"),"XQZ2QX","OFS/IRIS"),"XQZ3QX","REST"),"XQZ4QX","APIs"),"XQZ5QX","API")</f>
        <v>OFS/IRIS REST APIs; Apigee/MuleSoft data APIs; Fuentes de Data Warehouse; Analítica regulatoria de Bajaware/Risklogic; Google Analytics; DataStage.</v>
      </c>
    </row>
    <row r="166" spans="1:11" ht="75" x14ac:dyDescent="0.25">
      <c r="A166" s="5"/>
      <c r="B166" s="5"/>
      <c r="C166" s="5"/>
      <c r="D166" s="5"/>
      <c r="E166" s="5"/>
      <c r="F166" s="5"/>
      <c r="G166" s="12" t="s">
        <v>950</v>
      </c>
      <c r="H166" s="5" t="str">
        <f>_xlfn.TRANSLATE(__TR_HORIZONTAL!H166,"en","es")</f>
        <v>Provisión de datos sandbox</v>
      </c>
      <c r="I166" s="5" t="str">
        <f>_xlfn.TRANSLATE(__TR_HORIZONTAL!I166,"en","es")</f>
        <v>Provisión gobernada y controlada por la privacidad de datos representativos para desarrollo y trabajo con modelos.</v>
      </c>
      <c r="J166" s="5" t="str">
        <f>_xlfn.TRANSLATE(__TR_HORIZONTAL!J166,"en","es")</f>
        <v>Permite la experimentación y la certificación de socios sin extender la exposición de datos de producción.</v>
      </c>
      <c r="K166" s="5" t="str">
        <f>SUBSTITUTE(SUBSTITUTE(_xlfn.TRANSLATE(SUBSTITUTE(SUBSTITUTE(__TR_HORIZONTAL!K166,"Terraform","XQZ0QX"),"GitHub","XQZ1QX"),"en","es"),"XQZ0QX","Terraform"),"XQZ1QX","GitHub")</f>
        <v>Homologación de Ambientes con Terraform/Packer/GitHub; entornos sandbox/UAT/pre-prod; La anonimización/carga de datos no está completamente adaptada en las fuentes.</v>
      </c>
    </row>
    <row r="167" spans="1:11" ht="255" x14ac:dyDescent="0.25">
      <c r="A167" s="5">
        <v>3</v>
      </c>
      <c r="B167" s="5" t="str">
        <f>_xlfn.TRANSLATE(__TR_HORIZONTAL!B167,"en","es")</f>
        <v>Operaciones</v>
      </c>
      <c r="C167" s="5" t="str">
        <f>_xlfn.TRANSLATE(__TR_HORIZONTAL!C167,"en","es")</f>
        <v>Primitivas de ejecución transversales que el conjunto de interoperabilidad necesita para ser operable y migrable: operaciones de folio, gestión de banderas de características, identificadores únicos distribuidos y servicios de correlación, y las consolas administrativas para la capa.  |  PROPÓSITO: Un dominio pequeño con un apalancamiento desproporcionado. Las feature flags y los identificadores distribuidos son lo que hace que la migración incremental y reversible sea físicamente posible: puedes enrutar una parte del tráfico a un nuevo núcleo, rastrearlo de extremo a extremo y revertirlo sin un evento de liberación.</v>
      </c>
      <c r="D167" s="5">
        <v>3.1</v>
      </c>
      <c r="E167" s="5" t="str">
        <f>_xlfn.TRANSLATE(__TR_HORIZONTAL!E167,"en","es")</f>
        <v>Operaciones de Folio</v>
      </c>
      <c r="F167" s="5" t="str">
        <f>_xlfn.TRANSLATE(__TR_HORIZONTAL!F167,"en","es")</f>
        <v>Agrupación de las operaciones técnicas que conforman una única transacción empresarial bajo una única referencia empresarial, con la capacidad de recuperar, informar y actuar sobre ese grupo como una unidad.  |  PROPÓSITO: Restaura la unidad de trabajo a nivel de negocio que un núcleo monolítico proporcionaba implícitamente, que es lo que mantiene la reversión, la investigación y la información significativas tras la descomposición.</v>
      </c>
      <c r="G167" s="12" t="s">
        <v>964</v>
      </c>
      <c r="H167" s="5" t="str">
        <f>_xlfn.TRANSLATE(__TR_HORIZONTAL!H167,"en","es")</f>
        <v>Agrupación de Referencia Empresarial</v>
      </c>
      <c r="I167" s="5" t="str">
        <f>_xlfn.TRANSLATE(__TR_HORIZONTAL!I167,"en","es")</f>
        <v>Asociación de todas las operaciones técnicas pertenecientes a una sola transacción comercial bajo una única referencia.</v>
      </c>
      <c r="J167" s="5" t="str">
        <f>_xlfn.TRANSLATE(__TR_HORIZONTAL!J167,"en","es")</f>
        <v>Proporciona a operaciones, clientes y auditores un identificador para una transacción que abarca físicamente sistemas.</v>
      </c>
      <c r="K167" s="5" t="str">
        <f>SUBSTITUTE(_xlfn.TRANSLATE(SUBSTITUTE(__TR_HORIZONTAL!K167,"SmartVista","XQZ0QX"),"en","es"),"XQZ0QX","SmartVista")</f>
        <v>No se evidencia ningún servicio dedicado en folio; los identificadores/informes relacionados están en los paneles PMO, registros operativos de Transact/SmartVista y informes de Data Warehouse.</v>
      </c>
    </row>
    <row r="168" spans="1:11" ht="90" x14ac:dyDescent="0.25">
      <c r="A168" s="5"/>
      <c r="B168" s="5"/>
      <c r="C168" s="5"/>
      <c r="D168" s="5"/>
      <c r="E168" s="5"/>
      <c r="F168" s="5"/>
      <c r="G168" s="12" t="s">
        <v>968</v>
      </c>
      <c r="H168" s="5" t="str">
        <f>_xlfn.TRANSLATE(__TR_HORIZONTAL!H168,"en","es")</f>
        <v>Consulta y Reporte de Folio</v>
      </c>
      <c r="I168" s="5" t="str">
        <f>_xlfn.TRANSLATE(__TR_HORIZONTAL!I168,"en","es")</f>
        <v>Recuperación e informe de operaciones agrupadas para soporte, control y consulta al cliente.</v>
      </c>
      <c r="J168" s="5" t="str">
        <f>_xlfn.TRANSLATE(__TR_HORIZONTAL!J168,"en","es")</f>
        <v>Reduce el esfuerzo de investigación y hace que las transacciones entre sistemas sean explicables para los no ingenieros.</v>
      </c>
      <c r="K168" s="5" t="str">
        <f>SUBSTITUTE(_xlfn.TRANSLATE(SUBSTITUTE(__TR_HORIZONTAL!K168,"SmartVista","XQZ0QX"),"en","es"),"XQZ0QX","SmartVista")</f>
        <v>No se evidencia ningún servicio dedicado en folio; los identificadores/informes relacionados están en los paneles PMO, registros operativos de Transact/SmartVista y informes de Data Warehouse.</v>
      </c>
    </row>
    <row r="169" spans="1:11" ht="165" x14ac:dyDescent="0.25">
      <c r="A169" s="5"/>
      <c r="B169" s="5"/>
      <c r="C169" s="5"/>
      <c r="D169" s="5">
        <v>3.2</v>
      </c>
      <c r="E169" s="5" t="str">
        <f>_xlfn.TRANSLATE(__TR_HORIZONTAL!E169,"en","es")</f>
        <v>Gestión de banderas de características</v>
      </c>
      <c r="F169" s="5" t="str">
        <f>_xlfn.TRANSLATE(__TR_HORIZONTAL!F169,"en","es")</f>
        <v>Configuración en tiempo de ejecución de la disponibilidad de funcionalidades, permitiendo activar, dirigirse o retirar comportamientos por consumidor, entidad, canal o compartición de tráfico sin necesidad de reimplementación.  |  PROPÓSITO: La palanca de control principal para el corte de riesgo reducido: convierte un evento migratorio en una transición gradual, observable y reversible.</v>
      </c>
      <c r="G169" s="12" t="s">
        <v>977</v>
      </c>
      <c r="H169" s="5" t="str">
        <f>_xlfn.TRANSLATE(__TR_HORIZONTAL!H169,"en","es")</f>
        <v>Configuración de alternancia de funciones</v>
      </c>
      <c r="I169" s="5" t="str">
        <f>_xlfn.TRANSLATE(__TR_HORIZONTAL!I169,"en","es")</f>
        <v>Definición y administración de banderas con reglas de selección y auditoría de cambios.</v>
      </c>
      <c r="J169" s="5" t="str">
        <f>_xlfn.TRANSLATE(__TR_HORIZONTAL!J169,"en","es")</f>
        <v>Separa el despliegue del lanzamiento, para que el código pueda estar en producción antes de estar activo.</v>
      </c>
      <c r="K169" s="5" t="str">
        <f>SUBSTITUTE(_xlfn.TRANSLATE(SUBSTITUTE(__TR_HORIZONTAL!K169,"DevSecOps","XQZ0QX"),"en","es"),"XQZ0QX","DevSecOps")</f>
        <v>Las banderas de funcionalidad se mencionan como una práctica de innovación en el canal, pero no se menciona ninguna herramienta; el rollback de despliegue utiliza pipelines/Helm DevSecOps y controles de rollback de plataforma.</v>
      </c>
    </row>
    <row r="170" spans="1:11" ht="105" x14ac:dyDescent="0.25">
      <c r="A170" s="5"/>
      <c r="B170" s="5"/>
      <c r="C170" s="5"/>
      <c r="D170" s="5"/>
      <c r="E170" s="5"/>
      <c r="F170" s="5"/>
      <c r="G170" s="12" t="s">
        <v>981</v>
      </c>
      <c r="H170" s="5" t="str">
        <f>_xlfn.TRANSLATE(__TR_HORIZONTAL!H170,"en","es")</f>
        <v>Exposición progresiva y control de retroceso</v>
      </c>
      <c r="I170" s="5" t="str">
        <f>_xlfn.TRANSLATE(__TR_HORIZONTAL!I170,"en","es")</f>
        <v>Participación en tráfico y exposición basada en cohortes con capacidad de retirada inmediata.</v>
      </c>
      <c r="J170" s="5" t="str">
        <f>_xlfn.TRANSLATE(__TR_HORIZONTAL!J170,"en","es")</f>
        <v>Limita el radio de explosión de la migración de un núcleo o procesador a una población controlada.</v>
      </c>
      <c r="K170" s="5" t="str">
        <f>SUBSTITUTE(_xlfn.TRANSLATE(SUBSTITUTE(__TR_HORIZONTAL!K170,"DevSecOps","XQZ0QX"),"en","es"),"XQZ0QX","DevSecOps")</f>
        <v>Las banderas de funcionalidad se mencionan como una práctica de innovación en el canal, pero no se menciona ninguna herramienta; el rollback de despliegue utiliza pipelines/Helm DevSecOps y controles de rollback de plataforma.</v>
      </c>
    </row>
    <row r="171" spans="1:11" ht="165" x14ac:dyDescent="0.25">
      <c r="A171" s="5"/>
      <c r="B171" s="5"/>
      <c r="C171" s="5"/>
      <c r="D171" s="5">
        <v>3.3</v>
      </c>
      <c r="E171" s="5" t="str">
        <f>_xlfn.TRANSLATE(__TR_HORIZONTAL!E171,"en","es")</f>
        <v>UUID distribuido y servicios de correlación</v>
      </c>
      <c r="F171" s="5" t="str">
        <f>_xlfn.TRANSLATE(__TR_HORIZONTAL!F171,"en","es")</f>
        <v>Generación de identificadores únicos libres de colisiones entre componentes distribuidos y propagación consistente de identificadores de correlación a través de caminos síncronos y asíncronos.  |  PROPÓSITO: La dependencia técnica única bajo la trazabilidad de extremo a extremo, auditoría distribuida y control de idempotencia; Sin ella, ninguna de esas capacidades podría funcionar.</v>
      </c>
      <c r="G171" s="12" t="s">
        <v>989</v>
      </c>
      <c r="H171" s="5" t="str">
        <f>_xlfn.TRANSLATE(__TR_HORIZONTAL!H171,"en","es")</f>
        <v>Generación de identificadores únicos</v>
      </c>
      <c r="I171" s="5" t="str">
        <f>_xlfn.TRANSLATE(__TR_HORIZONTAL!I171,"en","es")</f>
        <v>Generación distribuida y libre de colisiones, independiente de una secuencia central.</v>
      </c>
      <c r="J171" s="5" t="str">
        <f>_xlfn.TRANSLATE(__TR_HORIZONTAL!J171,"en","es")</f>
        <v>Elimina un cuello de botella central y permite una escala independiente de cada componente.</v>
      </c>
      <c r="K171" s="5" t="str">
        <f>SUBSTITUTE(SUBSTITUTE(_xlfn.TRANSLATE(SUBSTITUTE(SUBSTITUTE(__TR_HORIZONTAL!K171,"MuleSoft","XQZ0QX"),"DataDog","XQZ1QX"),"en","es"),"XQZ0QX","MuleSoft"),"XQZ1QX","DataDog")</f>
        <v>No se evidencia un servicio de UUID o correlación independiente; probablemente gestionados por patrones y identificadores a nivel de aplicación Apigee/MuleSoft/Istio/DataDog.</v>
      </c>
    </row>
    <row r="172" spans="1:11" ht="90" x14ac:dyDescent="0.25">
      <c r="A172" s="5"/>
      <c r="B172" s="5"/>
      <c r="C172" s="5"/>
      <c r="D172" s="5"/>
      <c r="E172" s="5"/>
      <c r="F172" s="5"/>
      <c r="G172" s="12" t="s">
        <v>993</v>
      </c>
      <c r="H172" s="5" t="str">
        <f>_xlfn.TRANSLATE(__TR_HORIZONTAL!H172,"en","es")</f>
        <v>Propagación del identificador de correlación</v>
      </c>
      <c r="I172" s="5" t="str">
        <f>_xlfn.TRANSLATE(__TR_HORIZONTAL!I172,"en","es")</f>
        <v>Creación y reenvío consistente de identificadores de correlación en todos los saltos y protocolos.</v>
      </c>
      <c r="J172" s="5" t="str">
        <f>_xlfn.TRANSLATE(__TR_HORIZONTAL!J172,"en","es")</f>
        <v>Sustenta la trazabilidad en toda la arquitectura técnica, incluyendo segmentos heredados y de eventos.</v>
      </c>
      <c r="K172" s="5" t="str">
        <f>SUBSTITUTE(SUBSTITUTE(_xlfn.TRANSLATE(SUBSTITUTE(SUBSTITUTE(__TR_HORIZONTAL!K172,"MuleSoft","XQZ0QX"),"DataDog","XQZ1QX"),"en","es"),"XQZ0QX","MuleSoft"),"XQZ1QX","DataDog")</f>
        <v>No se evidencia un servicio de UUID o correlación independiente; probablemente gestionados por patrones y identificadores a nivel de aplicación Apigee/MuleSoft/Istio/DataDog.</v>
      </c>
    </row>
    <row r="173" spans="1:11" ht="180" x14ac:dyDescent="0.25">
      <c r="A173" s="5"/>
      <c r="B173" s="5"/>
      <c r="C173" s="5"/>
      <c r="D173" s="5">
        <v>3.4</v>
      </c>
      <c r="E173" s="5" t="str">
        <f>_xlfn.TRANSLATE(__TR_HORIZONTAL!E173,"en","es")</f>
        <v>Consolas de Administración de Plataforma</v>
      </c>
      <c r="F173" s="5" t="str">
        <f>_xlfn.TRANSLATE(__TR_HORIZONTAL!F173,"en","es")</f>
        <v>Interfaces administrativas para la capa de interoperabilidad: administración del registro de servicios, configuración en tiempo de ejecución y control operativo de componentes compartidos.  |  PROPÓSITO: Ofrece a los propietarios nombrados una forma gobernada de cambiar el comportamiento de la plataforma, que es lo que permite que la capa sea operada por una función de operaciones en lugar de por sus creadores.</v>
      </c>
      <c r="G173" s="12" t="s">
        <v>1001</v>
      </c>
      <c r="H173" s="5" t="str">
        <f>_xlfn.TRANSLATE(__TR_HORIZONTAL!H173,"en","es")</f>
        <v>Administración del Registro de Servicios</v>
      </c>
      <c r="I173" s="5" t="str">
        <f>_xlfn.TRANSLATE(__TR_HORIZONTAL!I173,"en","es")</f>
        <v>Administración de servicios registrados, sus metadatos, normas y características operativas.</v>
      </c>
      <c r="J173" s="5" t="str">
        <f>_xlfn.TRANSLATE(__TR_HORIZONTAL!J173,"en","es")</f>
        <v>Mantiene actualizado el inventario autoritario, que es la base para la gobernanza y el cálculo de costes.</v>
      </c>
      <c r="K173" s="5" t="str">
        <f>SUBSTITUTE(SUBSTITUTE(SUBSTITUTE(SUBSTITUTE(_xlfn.TRANSLATE(SUBSTITUTE(SUBSTITUTE(SUBSTITUTE(SUBSTITUTE(__TR_HORIZONTAL!K173,"SmartVista","XQZ0QX"),"DataDog","XQZ1QX"),"Terraform","XQZ2QX"),"GitHub","XQZ3QX"),"en","es"),"XQZ0QX","SmartVista"),"XQZ1QX","DataDog"),"XQZ2QX","Terraform"),"XQZ3QX","GitHub")</f>
        <v>Administración/políticas de Apigee; SmartVista Back Office; Administración de transacciones/Catálogo de productos; paneles DataDog; Gestión de configuración Terraform/GitHub.</v>
      </c>
    </row>
    <row r="174" spans="1:11" ht="75" x14ac:dyDescent="0.25">
      <c r="A174" s="5"/>
      <c r="B174" s="5"/>
      <c r="C174" s="5"/>
      <c r="D174" s="5"/>
      <c r="E174" s="5"/>
      <c r="F174" s="5"/>
      <c r="G174" s="12" t="s">
        <v>1005</v>
      </c>
      <c r="H174" s="5" t="str">
        <f>_xlfn.TRANSLATE(__TR_HORIZONTAL!H174,"en","es")</f>
        <v>Administración de Configuración en Tiempo de Ejecución</v>
      </c>
      <c r="I174" s="5" t="str">
        <f>_xlfn.TRANSLATE(__TR_HORIZONTAL!I174,"en","es")</f>
        <v>Administración controlada de los parámetros de ejecución con auditoría y aprobación de cambios.</v>
      </c>
      <c r="J174" s="5" t="str">
        <f>_xlfn.TRANSLATE(__TR_HORIZONTAL!J174,"en","es")</f>
        <v>Permite el ajuste operativo sin cambios de código mientras conserva la evidencia de control.</v>
      </c>
      <c r="K174" s="5" t="str">
        <f>SUBSTITUTE(SUBSTITUTE(SUBSTITUTE(SUBSTITUTE(_xlfn.TRANSLATE(SUBSTITUTE(SUBSTITUTE(SUBSTITUTE(SUBSTITUTE(__TR_HORIZONTAL!K174,"SmartVista","XQZ0QX"),"DataDog","XQZ1QX"),"Terraform","XQZ2QX"),"GitHub","XQZ3QX"),"en","es"),"XQZ0QX","SmartVista"),"XQZ1QX","DataDog"),"XQZ2QX","Terraform"),"XQZ3QX","GitHub")</f>
        <v>Administración/políticas de Apigee; SmartVista Back Office; Administración de transacciones/Catálogo de productos; paneles DataDog; Gestión de configuración Terraform/GitHub.</v>
      </c>
    </row>
    <row r="175" spans="1:11" ht="390" x14ac:dyDescent="0.25">
      <c r="A175" s="5">
        <v>10</v>
      </c>
      <c r="B175" s="5" t="str">
        <f>_xlfn.TRANSLATE(__TR_HORIZONTAL!B175,"en","es")</f>
        <v>Servicios Empresariales Comunes (Servicios de Coexistencia entre Dominios)</v>
      </c>
      <c r="C175" s="5" t="str">
        <f>SUBSTITUTE(_xlfn.TRANSLATE(SUBSTITUTE(__TR_HORIZONTAL!C175,"HSM","XQZ0QX"),"en","es"),"XQZ0QX","HSM")</f>
        <v>Servicios empresariales horizontales estandarizados, optimizados y reutilizables consumidos por múltiples dominios de producto: datos de clientes, catálogo de productos, comisiones, gestión de límites, conversión de divisas, contabilidad, gestión documental, pagos, puntuación de riesgos, aprobaciones y firma respaldada por HSM. Construido internamente o adquirido a terceros, y añadido progresivamente en línea con la hoja de ruta funcional.  |  OBJETIVO: Donde la interoperabilidad se convierte en coexistencia estructural en lugar de fontanería temporal. Extraer funciones genuinamente cruzadas de productos de los núcleos a servicios compartidos reduce el riesgo de reemplazo de núcleos, porque la función sobrevive al núcleo y evita que la misma lógica se reimplemente por producto. Es la capacidad más directamente responsable del aumento observado de servicios compartidos entre múltiples áreas de negocio.</v>
      </c>
      <c r="D175" s="5">
        <v>10.1</v>
      </c>
      <c r="E175" s="5" t="str">
        <f>_xlfn.TRANSLATE(__TR_HORIZONTAL!E175,"en","es")</f>
        <v>Servicios al Cliente y Grupos</v>
      </c>
      <c r="F175" s="5" t="str">
        <f>_xlfn.TRANSLATE(__TR_HORIZONTAL!F175,"en","es")</f>
        <v>Servicios compartidos que proporcionan datos maestros de clientes y partes, relaciones y atributos derivados a todos los dominios y canales de producto.  |  PROPÓSITO: Ofrece la visión única del cliente que los núcleos aislados no pueden ofrecer, y que toda personalización y ambición de banco de uno presupone.</v>
      </c>
      <c r="G175" s="12" t="s">
        <v>1019</v>
      </c>
      <c r="H175" s="5" t="str">
        <f>_xlfn.TRANSLATE(__TR_HORIZONTAL!H175,"en","es")</f>
        <v>Servicios de Datos para Clientes</v>
      </c>
      <c r="I175" s="5" t="str">
        <f>_xlfn.TRANSLATE(__TR_HORIZONTAL!I175,"en","es")</f>
        <v>Acceso autorizado a los datos maestros del cliente, identificadores y atributos como servicio compartido.</v>
      </c>
      <c r="J175" s="5" t="str">
        <f>_xlfn.TRANSLATE(__TR_HORIZONTAL!J175,"en","es")</f>
        <v>Resuelve el problema de la visión de 360 grados estructuralmente en lugar de mediante una reconciliación repetida.</v>
      </c>
      <c r="K175" s="5" t="str">
        <f>_xlfn.TRANSLATE(__TR_HORIZONTAL!K175,"en","es")</f>
        <v>Disco de Oro; Partido Temenos/CIF; Informix/PISA customer master; Codifica KYC con INE/RENAPO; Apolo Incorporación.</v>
      </c>
    </row>
    <row r="176" spans="1:11" ht="60" x14ac:dyDescent="0.25">
      <c r="A176" s="5"/>
      <c r="B176" s="5"/>
      <c r="C176" s="5"/>
      <c r="D176" s="5"/>
      <c r="E176" s="5"/>
      <c r="F176" s="5"/>
      <c r="G176" s="12" t="s">
        <v>1023</v>
      </c>
      <c r="H176" s="5" t="str">
        <f>_xlfn.TRANSLATE(__TR_HORIZONTAL!H176,"en","es")</f>
        <v>Servicios de Relaciones con las Partes</v>
      </c>
      <c r="I176" s="5" t="str">
        <f>_xlfn.TRANSLATE(__TR_HORIZONTAL!I176,"en","es")</f>
        <v>Gestión de las relaciones entre partes, cuentas, mandatos y representantes autorizados.</v>
      </c>
      <c r="J176" s="5" t="str">
        <f>_xlfn.TRANSLATE(__TR_HORIZONTAL!J176,"en","es")</f>
        <v>Soporta estructuras comerciales y domésticas que los núcleos individuales de producto modelan de forma inconsistente.</v>
      </c>
      <c r="K176" s="5" t="str">
        <f>_xlfn.TRANSLATE(__TR_HORIZONTAL!K176,"en","es")</f>
        <v>Disco de Oro; Partido Temenos/CIF; Informix/PISA customer master; Codifica KYC con INE/RENAPO; Apolo Incorporación.</v>
      </c>
    </row>
    <row r="177" spans="1:11" ht="150" x14ac:dyDescent="0.25">
      <c r="A177" s="5"/>
      <c r="B177" s="5"/>
      <c r="C177" s="5"/>
      <c r="D177" s="5">
        <v>10.199999999999999</v>
      </c>
      <c r="E177" s="5" t="str">
        <f>_xlfn.TRANSLATE(__TR_HORIZONTAL!E177,"en","es")</f>
        <v>Productos y Servicios de Fijación de Precios</v>
      </c>
      <c r="F177" s="5" t="str">
        <f>_xlfn.TRANSLATE(__TR_HORIZONTAL!F177,"en","es")</f>
        <v>Catálogo compartido de productos, términos, requisitos y servicios de cálculo de tarifas y precios utilizables por cualquier procesador o canal de productos.  |  PROPÓSITO: Externalizar la definición del producto desde el núcleo es lo que permite lanzar nuevas propuestas sin un lanzamiento central, que es la principal fuente de ganancia en el tiempo de salida al mercado.</v>
      </c>
      <c r="G177" s="12" t="s">
        <v>1031</v>
      </c>
      <c r="H177" s="5" t="str">
        <f>_xlfn.TRANSLATE(__TR_HORIZONTAL!H177,"en","es")</f>
        <v>Servicios de catálogo de productos</v>
      </c>
      <c r="I177" s="5" t="str">
        <f>_xlfn.TRANSLATE(__TR_HORIZONTAL!I177,"en","es")</f>
        <v>Definición central de productos, variantes, términos y elegibilidad consumidos por los procesadores y canales.</v>
      </c>
      <c r="J177" s="5" t="str">
        <f>_xlfn.TRANSLATE(__TR_HORIZONTAL!J177,"en","es")</f>
        <v>Convierte el cambio de producto en un evento de configuración en lugar de en un proyecto de desarrollo central.</v>
      </c>
      <c r="K177" s="5" t="str">
        <f>SUBSTITUTE(_xlfn.TRANSLATE(SUBSTITUTE(__TR_HORIZONTAL!K177,"SmartVista","XQZ0QX"),"en","es"),"XQZ0QX","SmartVista")</f>
        <v>Marco y catálogo de productos Temenos AA; Motor de interés; Cargos; Configuración del producto SmartVista; BRM para las normas de precios/riesgo.</v>
      </c>
    </row>
    <row r="178" spans="1:11" ht="60" x14ac:dyDescent="0.25">
      <c r="A178" s="5"/>
      <c r="B178" s="5"/>
      <c r="C178" s="5"/>
      <c r="D178" s="5"/>
      <c r="E178" s="5"/>
      <c r="F178" s="5"/>
      <c r="G178" s="12" t="s">
        <v>1035</v>
      </c>
      <c r="H178" s="5" t="str">
        <f>_xlfn.TRANSLATE(__TR_HORIZONTAL!H178,"en","es")</f>
        <v>Servicios de Tarifas y Precios</v>
      </c>
      <c r="I178" s="5" t="str">
        <f>_xlfn.TRANSLATE(__TR_HORIZONTAL!I178,"en","es")</f>
        <v>Cálculo centralizado y aplicación de tasas, cargos, tarifas y descuentos.</v>
      </c>
      <c r="J178" s="5" t="str">
        <f>_xlfn.TRANSLATE(__TR_HORIZONTAL!J178,"en","es")</f>
        <v>Garantiza precios coherentes y auditables entre productos, canales y entidades.</v>
      </c>
      <c r="K178" s="5" t="str">
        <f>SUBSTITUTE(_xlfn.TRANSLATE(SUBSTITUTE(__TR_HORIZONTAL!K178,"SmartVista","XQZ0QX"),"en","es"),"XQZ0QX","SmartVista")</f>
        <v>Marco y catálogo de productos Temenos AA; Motor de interés; Cargos; Configuración del producto SmartVista; BRM para las normas de precios/riesgo.</v>
      </c>
    </row>
    <row r="179" spans="1:11" ht="150" x14ac:dyDescent="0.25">
      <c r="A179" s="5"/>
      <c r="B179" s="5"/>
      <c r="C179" s="5"/>
      <c r="D179" s="5">
        <v>10.3</v>
      </c>
      <c r="E179" s="5" t="str">
        <f>_xlfn.TRANSLATE(__TR_HORIZONTAL!E179,"en","es")</f>
        <v>Servicios de Límites y Riesgos</v>
      </c>
      <c r="F179" s="5" t="str">
        <f>_xlfn.TRANSLATE(__TR_HORIZONTAL!F179,"en","es")</f>
        <v>Definición de límite compartido, control de cuentas y seguimiento de consumo, y servicios de evaluación de riesgos y crédito que se pueden llamar desde cualquier viaje.  |  PROPÓSITO: Colocar los controles de riesgo en la capa de interoperabilidad para que se apliquen de forma uniforme independientemente de qué núcleo o canal origina la transacción.</v>
      </c>
      <c r="G179" s="12" t="s">
        <v>1043</v>
      </c>
      <c r="H179" s="5" t="str">
        <f>_xlfn.TRANSLATE(__TR_HORIZONTAL!H179,"en","es")</f>
        <v>Servicios de Gestión de Límites</v>
      </c>
      <c r="I179" s="5" t="str">
        <f>_xlfn.TRANSLATE(__TR_HORIZONTAL!I179,"en","es")</f>
        <v>Definición, comprobación en tiempo real y seguimiento del consumo de límites de clientes, productos y contrapartes.</v>
      </c>
      <c r="J179" s="5" t="str">
        <f>_xlfn.TRANSLATE(__TR_HORIZONTAL!J179,"en","es")</f>
        <v>Aplica un control consistente a lo largo de un conjunto multinúcleo, cerrando una brecha común durante la coexistencia.</v>
      </c>
      <c r="K179" s="5" t="str">
        <f>SUBSTITUTE(_xlfn.TRANSLATE(SUBSTITUTE(__TR_HORIZONTAL!K179,"SmartVista","XQZ0QX"),"en","es"),"XQZ0QX","SmartVista")</f>
        <v>BRM; Merit Crediticio; Transaccionar Límites; Risklogic; integraciones Buró/SIC; Control de fraude/riesgo SmartVista; PASADO. Cobros DOVUTOS.</v>
      </c>
    </row>
    <row r="180" spans="1:11" ht="60" x14ac:dyDescent="0.25">
      <c r="A180" s="5"/>
      <c r="B180" s="5"/>
      <c r="C180" s="5"/>
      <c r="D180" s="5"/>
      <c r="E180" s="5"/>
      <c r="F180" s="5"/>
      <c r="G180" s="12" t="s">
        <v>1047</v>
      </c>
      <c r="H180" s="5" t="str">
        <f>_xlfn.TRANSLATE(__TR_HORIZONTAL!H180,"en","es")</f>
        <v>Servicios de Puntuación de Riesgos</v>
      </c>
      <c r="I180" s="5" t="str">
        <f>_xlfn.TRANSLATE(__TR_HORIZONTAL!I180,"en","es")</f>
        <v>Servicios compartidos de puntuación y toma de decisiones invocados en los flujos de originación, mantenimiento y monitorización.</v>
      </c>
      <c r="J180" s="5" t="str">
        <f>_xlfn.TRANSLATE(__TR_HORIZONTAL!J180,"en","es")</f>
        <v>Permite que las mejoras de los modelos lleguen a todos los canales y productos a la vez.</v>
      </c>
      <c r="K180" s="5" t="str">
        <f>SUBSTITUTE(_xlfn.TRANSLATE(SUBSTITUTE(__TR_HORIZONTAL!K180,"SmartVista","XQZ0QX"),"en","es"),"XQZ0QX","SmartVista")</f>
        <v>BRM; Merit Crediticio; Transaccionar Límites; Risklogic; integraciones Buró/SIC; Control de fraude/riesgo SmartVista; PASADO. Cobros DOVUTOS.</v>
      </c>
    </row>
    <row r="181" spans="1:11" ht="150" x14ac:dyDescent="0.25">
      <c r="A181" s="5"/>
      <c r="B181" s="5"/>
      <c r="C181" s="5"/>
      <c r="D181" s="5">
        <v>10.4</v>
      </c>
      <c r="E181" s="5" t="str">
        <f>_xlfn.TRANSLATE(__TR_HORIZONTAL!E181,"en","es")</f>
        <v>Servicios Financieros y Contables</v>
      </c>
      <c r="F181" s="5" t="str">
        <f>_xlfn.TRANSLATE(__TR_HORIZONTAL!F181,"en","es")</f>
        <v>Generación de eventos contables compartidos y publicación de libros mayores, conversión de divisas y servicios de ejecución de pagos utilizados entre dominios de producto.  |  PROPÓSITO: Preserva la integridad financiera y una verdad contable mientras el patrimonio de procesamiento se descompone y se reemplaza parcialmente.</v>
      </c>
      <c r="G181" s="12" t="s">
        <v>1055</v>
      </c>
      <c r="H181" s="5" t="str">
        <f>_xlfn.TRANSLATE(__TR_HORIZONTAL!H181,"en","es")</f>
        <v>Servicios de Contabilidad y Publicación de Libros Mayores</v>
      </c>
      <c r="I181" s="5" t="str">
        <f>_xlfn.TRANSLATE(__TR_HORIZONTAL!I181,"en","es")</f>
        <v>Generación y publicación de eventos contables desde transacciones comerciales hasta el libro mayor.</v>
      </c>
      <c r="J181" s="5" t="str">
        <f>_xlfn.TRANSLATE(__TR_HORIZONTAL!J181,"en","es")</f>
        <v>Mantiene el libro mayor autoritativo y consistente independientemente del procesador que ejecutó la transacción.</v>
      </c>
      <c r="K181" s="5" t="str">
        <f>SUBSTITUTE(_xlfn.TRANSLATE(SUBSTITUTE(__TR_HORIZONTAL!K181,"SmartVista","XQZ0QX"),"en","es"),"XQZ0QX","SmartVista")</f>
        <v>Realizar transacciones de GL/Contabilidad y PRD. DES. CONTABILIDAD; Transferencia de Fondos/FT; Hub de Pagos/SPEI; Pagos SmartVista; Libro de contabilidad PISA durante la convivencia.</v>
      </c>
    </row>
    <row r="182" spans="1:11" ht="90" x14ac:dyDescent="0.25">
      <c r="A182" s="5"/>
      <c r="B182" s="5"/>
      <c r="C182" s="5"/>
      <c r="D182" s="5"/>
      <c r="E182" s="5"/>
      <c r="F182" s="5"/>
      <c r="G182" s="12" t="s">
        <v>1059</v>
      </c>
      <c r="H182" s="5" t="str">
        <f>_xlfn.TRANSLATE(__TR_HORIZONTAL!H182,"en","es")</f>
        <v>Servicios de conversión de moneda</v>
      </c>
      <c r="I182" s="5" t="str">
        <f>_xlfn.TRANSLATE(__TR_HORIZONTAL!I182,"en","es")</f>
        <v>Reglas centrales de obtención, conversión y redondeo como servicio compartido.</v>
      </c>
      <c r="J182" s="5" t="str">
        <f>_xlfn.TRANSLATE(__TR_HORIZONTAL!J182,"en","es")</f>
        <v>Elimina la lógica de conversión duplicada y divergente entre productos y entidades.</v>
      </c>
      <c r="K182" s="5" t="str">
        <f>SUBSTITUTE(_xlfn.TRANSLATE(SUBSTITUTE(__TR_HORIZONTAL!K182,"SmartVista","XQZ0QX"),"en","es"),"XQZ0QX","SmartVista")</f>
        <v>Realizar transacciones de GL/Contabilidad y PRD. DES. CONTABILIDAD; Transferencia de Fondos/FT; Hub de Pagos/SPEI; Pagos SmartVista; Libro de contabilidad PISA durante la convivencia.</v>
      </c>
    </row>
    <row r="183" spans="1:11" ht="90" x14ac:dyDescent="0.25">
      <c r="A183" s="5"/>
      <c r="B183" s="5"/>
      <c r="C183" s="5"/>
      <c r="D183" s="5"/>
      <c r="E183" s="5"/>
      <c r="F183" s="5"/>
      <c r="G183" s="12" t="s">
        <v>1063</v>
      </c>
      <c r="H183" s="5" t="str">
        <f>_xlfn.TRANSLATE(__TR_HORIZONTAL!H183,"en","es")</f>
        <v>Servicios de Pagos</v>
      </c>
      <c r="I183" s="5" t="str">
        <f>_xlfn.TRANSLATE(__TR_HORIZONTAL!I183,"en","es")</f>
        <v>Servicios compartidos de iniciación, validación, enrutamiento y estado de pagos entre productos y canales.</v>
      </c>
      <c r="J183" s="5" t="str">
        <f>_xlfn.TRANSLATE(__TR_HORIZONTAL!J183,"en","es")</f>
        <v>Concentra el esquema y el cambio regulatorio en un solo componente en lugar de en todos los núcleos del producto.</v>
      </c>
      <c r="K183" s="5" t="str">
        <f>SUBSTITUTE(_xlfn.TRANSLATE(SUBSTITUTE(__TR_HORIZONTAL!K183,"SmartVista","XQZ0QX"),"en","es"),"XQZ0QX","SmartVista")</f>
        <v>Realizar transacciones de GL/Contabilidad y PRD. DES. CONTABILIDAD; Transferencia de Fondos/FT; Hub de Pagos/SPEI; Pagos SmartVista; Libro de contabilidad PISA durante la convivencia.</v>
      </c>
    </row>
    <row r="184" spans="1:11" ht="150" x14ac:dyDescent="0.25">
      <c r="A184" s="5"/>
      <c r="B184" s="5"/>
      <c r="C184" s="5"/>
      <c r="D184" s="5">
        <v>10.5</v>
      </c>
      <c r="E184" s="5" t="str">
        <f>_xlfn.TRANSLATE(__TR_HORIZONTAL!E184,"en","es")</f>
        <v>Servicios de Documentos y Contenidos</v>
      </c>
      <c r="F184" s="5" t="str">
        <f>_xlfn.TRANSLATE(__TR_HORIZONTAL!F184,"en","es")</f>
        <v>Servicios compartidos de generación, captura, almacenamiento, recuperación y retención de documentos que apoyan la documentación del cliente y regulatoria en todos los productos.  |  PROPÓSITO: Elimina la gestión de documentos por producto, que es una de las funciones más duplicadas y menos diferenciatorias en un patrimonio bancario.</v>
      </c>
      <c r="G184" s="12" t="s">
        <v>1071</v>
      </c>
      <c r="H184" s="5" t="str">
        <f>_xlfn.TRANSLATE(__TR_HORIZONTAL!H184,"en","es")</f>
        <v>Generación y composición de documentos</v>
      </c>
      <c r="I184" s="5" t="str">
        <f>_xlfn.TRANSLATE(__TR_HORIZONTAL!I184,"en","es")</f>
        <v>Generación basada en plantillas de documentos para clientes y regulatorios a partir de eventos empresariales.</v>
      </c>
      <c r="J184" s="5" t="str">
        <f>_xlfn.TRANSLATE(__TR_HORIZONTAL!J184,"en","es")</f>
        <v>Garantiza una salida consistente y conforme a través de productos y canales.</v>
      </c>
      <c r="K184" s="5" t="str">
        <f>_xlfn.TRANSLATE(__TR_HORIZONTAL!K184,"en","es")</f>
        <v>OnBase de Hyland para archivos digitales; Captura de documentos Modyo/Apolo; Amazon Pinpoint para WelcomeKit; Codifica la captura de documentos.</v>
      </c>
    </row>
    <row r="185" spans="1:11" ht="75" x14ac:dyDescent="0.25">
      <c r="A185" s="5"/>
      <c r="B185" s="5"/>
      <c r="C185" s="5"/>
      <c r="D185" s="5"/>
      <c r="E185" s="5"/>
      <c r="F185" s="5"/>
      <c r="G185" s="12" t="s">
        <v>1075</v>
      </c>
      <c r="H185" s="5" t="str">
        <f>_xlfn.TRANSLATE(__TR_HORIZONTAL!H185,"en","es")</f>
        <v>Captura, almacenamiento y recuperación de documentos</v>
      </c>
      <c r="I185" s="5" t="str">
        <f>_xlfn.TRANSLATE(__TR_HORIZONTAL!I185,"en","es")</f>
        <v>Capturar, indexar, almacenar y recuperar documentos de forma segura con política de retención.</v>
      </c>
      <c r="J185" s="5" t="str">
        <f>_xlfn.TRANSLATE(__TR_HORIZONTAL!J185,"en","es")</f>
        <v>Proporciona un único repositorio de evidencias, simplificando tanto el servicio como la auditoría.</v>
      </c>
      <c r="K185" s="5" t="str">
        <f>_xlfn.TRANSLATE(__TR_HORIZONTAL!K185,"en","es")</f>
        <v>OnBase de Hyland para archivos digitales; Captura de documentos Modyo/Apolo; Amazon Pinpoint para WelcomeKit; Codifica la captura de documentos.</v>
      </c>
    </row>
    <row r="186" spans="1:11" ht="165" x14ac:dyDescent="0.25">
      <c r="A186" s="5"/>
      <c r="B186" s="5"/>
      <c r="C186" s="5"/>
      <c r="D186" s="5">
        <v>10.6</v>
      </c>
      <c r="E186" s="5" t="str">
        <f>_xlfn.TRANSLATE(__TR_HORIZONTAL!E186,"en","es")</f>
        <v>Control y Servicios de Confianza</v>
      </c>
      <c r="F186" s="5" t="str">
        <f>SUBSTITUTE(_xlfn.TRANSLATE(SUBSTITUTE(__TR_HORIZONTAL!F186,"HSM","XQZ0QX"),"en","es"),"XQZ0QX","HSM")</f>
        <v>Servicios de control compartido aplicados a lo largo de los recorridos empresariales: aprobaciones y jerarquías de autorización, y firma y verificación de instrucciones empresariales respaldadas por HSM.  |  PROPÓSITO: Convierte los controles obligatorios en un servicio reutilizable invocado por cualquier viaje, para que la potencia del control no dependa del producto o canal que los implemente.</v>
      </c>
      <c r="G186" s="12" t="s">
        <v>1082</v>
      </c>
      <c r="H186" s="5" t="str">
        <f>_xlfn.TRANSLATE(__TR_HORIZONTAL!H186,"en","es")</f>
        <v>Servicios de Aprobación</v>
      </c>
      <c r="I186" s="5" t="str">
        <f>_xlfn.TRANSLATE(__TR_HORIZONTAL!I186,"en","es")</f>
        <v>Intercepción de la ejecución del servicio para aprobación, evaluación de roles y autorización basada en reglas, y finalización o rechazo.</v>
      </c>
      <c r="J186" s="5" t="str">
        <f>_xlfn.TRANSLATE(__TR_HORIZONTAL!J186,"en","es")</f>
        <v>Aplica controles de cuatro ojos y de mandatos de forma uniforme en productos, canales y entidades.</v>
      </c>
      <c r="K186" s="5" t="str">
        <f>_xlfn.TRANSLATE(__TR_HORIZONTAL!K186,"en","es")</f>
        <v>Verificación biométrica de codificación y firma NOM-151; Aprobaciones de incorporación de Apolo; Azure AD/OAuth for access verification; flujo de aprobación de sucursal/cajero.</v>
      </c>
    </row>
    <row r="187" spans="1:11" ht="75" x14ac:dyDescent="0.25">
      <c r="A187" s="5"/>
      <c r="B187" s="5"/>
      <c r="C187" s="5"/>
      <c r="D187" s="5"/>
      <c r="E187" s="5"/>
      <c r="F187" s="5"/>
      <c r="G187" s="12" t="s">
        <v>1087</v>
      </c>
      <c r="H187" s="5" t="str">
        <f>_xlfn.TRANSLATE(__TR_HORIZONTAL!H187,"en","es")</f>
        <v>Servicios de Firma y Verificación</v>
      </c>
      <c r="I187" s="5" t="str">
        <f>SUBSTITUTE(_xlfn.TRANSLATE(SUBSTITUTE(__TR_HORIZONTAL!I187,"HSM","XQZ0QX"),"en","es"),"XQZ0QX","HSM")</f>
        <v>Firma y verificación respaldada por HSM de instrucciones y documentos empresariales como un servicio compartido.</v>
      </c>
      <c r="J187" s="5" t="str">
        <f>_xlfn.TRANSLATE(__TR_HORIZONTAL!J187,"en","es")</f>
        <v>Proporciona no repudiación en la capa de negocio, que se vuelve esencial una vez que las instrucciones cruzan los límites del sistema.</v>
      </c>
      <c r="K187" s="5" t="str">
        <f>_xlfn.TRANSLATE(__TR_HORIZONTAL!K187,"en","es")</f>
        <v>Verificación biométrica de codificación y firma NOM-151; Aprobaciones de incorporación de Apolo; Azure AD/OAuth for access verification; flujo de aprobación de sucursal/cajero.</v>
      </c>
    </row>
  </sheetData>
  <autoFilter ref="A4:K4" xr:uid="{00000000-0001-0000-0100-000000000000}"/>
  <mergeCells count="1">
    <mergeCell ref="A1:K3"/>
  </mergeCell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3A5A-7C09-400C-9AAA-DADC29654272}">
  <dimension ref="A1:K257"/>
  <sheetViews>
    <sheetView workbookViewId="0"/>
  </sheetViews>
  <sheetFormatPr defaultRowHeight="15" x14ac:dyDescent="0.25"/>
  <sheetData>
    <row r="1" spans="1:11" x14ac:dyDescent="0.25">
      <c r="A1" t="s">
        <v>0</v>
      </c>
      <c r="B1" t="s">
        <v>1</v>
      </c>
      <c r="C1" t="s">
        <v>2</v>
      </c>
      <c r="D1" t="s">
        <v>3</v>
      </c>
      <c r="E1" t="s">
        <v>4</v>
      </c>
      <c r="F1" t="s">
        <v>5</v>
      </c>
      <c r="G1" t="s">
        <v>6</v>
      </c>
      <c r="H1" t="s">
        <v>7</v>
      </c>
      <c r="I1" t="s">
        <v>8</v>
      </c>
      <c r="J1" t="s">
        <v>9</v>
      </c>
      <c r="K1" t="s">
        <v>10</v>
      </c>
    </row>
    <row r="2" spans="1:11" x14ac:dyDescent="0.25">
      <c r="A2">
        <v>1</v>
      </c>
      <c r="B2">
        <v>1</v>
      </c>
      <c r="C2">
        <v>5</v>
      </c>
      <c r="D2" t="s">
        <v>11</v>
      </c>
      <c r="E2" t="s">
        <v>12</v>
      </c>
      <c r="F2" t="s">
        <v>13</v>
      </c>
      <c r="G2" t="s">
        <v>14</v>
      </c>
      <c r="H2" t="s">
        <v>15</v>
      </c>
      <c r="I2" t="s">
        <v>16</v>
      </c>
      <c r="J2" t="s">
        <v>17</v>
      </c>
      <c r="K2" t="s">
        <v>18</v>
      </c>
    </row>
    <row r="3" spans="1:11" x14ac:dyDescent="0.25">
      <c r="A3">
        <v>2</v>
      </c>
      <c r="B3">
        <v>1</v>
      </c>
      <c r="C3">
        <v>5.0999999999999996</v>
      </c>
      <c r="D3" t="s">
        <v>19</v>
      </c>
      <c r="E3" t="s">
        <v>20</v>
      </c>
      <c r="F3" t="s">
        <v>13</v>
      </c>
      <c r="G3" t="s">
        <v>21</v>
      </c>
      <c r="H3" t="s">
        <v>15</v>
      </c>
      <c r="I3" t="s">
        <v>22</v>
      </c>
      <c r="J3" t="s">
        <v>23</v>
      </c>
      <c r="K3" t="s">
        <v>24</v>
      </c>
    </row>
    <row r="4" spans="1:11" x14ac:dyDescent="0.25">
      <c r="A4">
        <v>3</v>
      </c>
      <c r="B4">
        <v>1</v>
      </c>
      <c r="C4" t="s">
        <v>25</v>
      </c>
      <c r="D4" t="s">
        <v>26</v>
      </c>
      <c r="E4" t="s">
        <v>27</v>
      </c>
      <c r="F4" t="s">
        <v>13</v>
      </c>
      <c r="G4" t="s">
        <v>28</v>
      </c>
      <c r="H4" t="s">
        <v>15</v>
      </c>
      <c r="I4" t="s">
        <v>29</v>
      </c>
      <c r="J4" t="s">
        <v>23</v>
      </c>
      <c r="K4" t="s">
        <v>24</v>
      </c>
    </row>
    <row r="5" spans="1:11" x14ac:dyDescent="0.25">
      <c r="A5">
        <v>3</v>
      </c>
      <c r="B5">
        <v>2</v>
      </c>
      <c r="C5" t="s">
        <v>30</v>
      </c>
      <c r="D5" t="s">
        <v>31</v>
      </c>
      <c r="E5" t="s">
        <v>32</v>
      </c>
      <c r="F5" t="s">
        <v>13</v>
      </c>
      <c r="G5" t="s">
        <v>28</v>
      </c>
      <c r="H5" t="s">
        <v>15</v>
      </c>
      <c r="I5" t="s">
        <v>33</v>
      </c>
      <c r="J5" t="s">
        <v>23</v>
      </c>
      <c r="K5" t="s">
        <v>24</v>
      </c>
    </row>
    <row r="6" spans="1:11" x14ac:dyDescent="0.25">
      <c r="A6">
        <v>3</v>
      </c>
      <c r="B6">
        <v>3</v>
      </c>
      <c r="C6" t="s">
        <v>34</v>
      </c>
      <c r="D6" t="s">
        <v>35</v>
      </c>
      <c r="E6" t="s">
        <v>36</v>
      </c>
      <c r="F6" t="s">
        <v>13</v>
      </c>
      <c r="G6" t="s">
        <v>28</v>
      </c>
      <c r="H6" t="s">
        <v>15</v>
      </c>
      <c r="I6" t="s">
        <v>37</v>
      </c>
      <c r="J6" t="s">
        <v>23</v>
      </c>
      <c r="K6" t="s">
        <v>24</v>
      </c>
    </row>
    <row r="7" spans="1:11" x14ac:dyDescent="0.25">
      <c r="A7">
        <v>3</v>
      </c>
      <c r="B7">
        <v>4</v>
      </c>
      <c r="C7" t="s">
        <v>38</v>
      </c>
      <c r="D7" t="s">
        <v>39</v>
      </c>
      <c r="E7" t="s">
        <v>40</v>
      </c>
      <c r="F7" t="s">
        <v>13</v>
      </c>
      <c r="G7" t="s">
        <v>28</v>
      </c>
      <c r="H7" t="s">
        <v>15</v>
      </c>
      <c r="I7" t="s">
        <v>41</v>
      </c>
      <c r="J7" t="s">
        <v>23</v>
      </c>
      <c r="K7" t="s">
        <v>24</v>
      </c>
    </row>
    <row r="8" spans="1:11" x14ac:dyDescent="0.25">
      <c r="A8">
        <v>3</v>
      </c>
      <c r="B8">
        <v>5</v>
      </c>
      <c r="C8" t="s">
        <v>42</v>
      </c>
      <c r="D8" t="s">
        <v>43</v>
      </c>
      <c r="E8" t="s">
        <v>44</v>
      </c>
      <c r="F8" t="s">
        <v>13</v>
      </c>
      <c r="G8" t="s">
        <v>28</v>
      </c>
      <c r="H8" t="s">
        <v>15</v>
      </c>
      <c r="I8" t="s">
        <v>45</v>
      </c>
      <c r="J8" t="s">
        <v>23</v>
      </c>
      <c r="K8" t="s">
        <v>24</v>
      </c>
    </row>
    <row r="9" spans="1:11" x14ac:dyDescent="0.25">
      <c r="A9">
        <v>2</v>
      </c>
      <c r="B9">
        <v>2</v>
      </c>
      <c r="C9">
        <v>5.2</v>
      </c>
      <c r="D9" t="s">
        <v>46</v>
      </c>
      <c r="E9" t="s">
        <v>47</v>
      </c>
      <c r="F9" t="s">
        <v>13</v>
      </c>
      <c r="G9" t="s">
        <v>21</v>
      </c>
      <c r="H9" t="s">
        <v>15</v>
      </c>
      <c r="I9" t="s">
        <v>48</v>
      </c>
      <c r="J9" t="s">
        <v>49</v>
      </c>
      <c r="K9" t="s">
        <v>50</v>
      </c>
    </row>
    <row r="10" spans="1:11" x14ac:dyDescent="0.25">
      <c r="A10">
        <v>3</v>
      </c>
      <c r="B10">
        <v>1</v>
      </c>
      <c r="C10" t="s">
        <v>51</v>
      </c>
      <c r="D10" t="s">
        <v>52</v>
      </c>
      <c r="E10" t="s">
        <v>53</v>
      </c>
      <c r="F10" t="s">
        <v>13</v>
      </c>
      <c r="G10" t="s">
        <v>28</v>
      </c>
      <c r="H10" t="s">
        <v>15</v>
      </c>
      <c r="I10" t="s">
        <v>54</v>
      </c>
      <c r="J10" t="s">
        <v>49</v>
      </c>
      <c r="K10" t="s">
        <v>50</v>
      </c>
    </row>
    <row r="11" spans="1:11" x14ac:dyDescent="0.25">
      <c r="A11">
        <v>3</v>
      </c>
      <c r="B11">
        <v>2</v>
      </c>
      <c r="C11" t="s">
        <v>55</v>
      </c>
      <c r="D11" t="s">
        <v>56</v>
      </c>
      <c r="E11" t="s">
        <v>57</v>
      </c>
      <c r="F11" t="s">
        <v>13</v>
      </c>
      <c r="G11" t="s">
        <v>28</v>
      </c>
      <c r="H11" t="s">
        <v>15</v>
      </c>
      <c r="I11" t="s">
        <v>58</v>
      </c>
      <c r="J11" t="s">
        <v>49</v>
      </c>
      <c r="K11" t="s">
        <v>50</v>
      </c>
    </row>
    <row r="12" spans="1:11" x14ac:dyDescent="0.25">
      <c r="A12">
        <v>3</v>
      </c>
      <c r="B12">
        <v>3</v>
      </c>
      <c r="C12" t="s">
        <v>59</v>
      </c>
      <c r="D12" t="s">
        <v>60</v>
      </c>
      <c r="E12" t="s">
        <v>61</v>
      </c>
      <c r="F12" t="s">
        <v>13</v>
      </c>
      <c r="G12" t="s">
        <v>28</v>
      </c>
      <c r="H12" t="s">
        <v>15</v>
      </c>
      <c r="I12" t="s">
        <v>62</v>
      </c>
      <c r="J12" t="s">
        <v>49</v>
      </c>
      <c r="K12" t="s">
        <v>50</v>
      </c>
    </row>
    <row r="13" spans="1:11" x14ac:dyDescent="0.25">
      <c r="A13">
        <v>3</v>
      </c>
      <c r="B13">
        <v>4</v>
      </c>
      <c r="C13" t="s">
        <v>63</v>
      </c>
      <c r="D13" t="s">
        <v>64</v>
      </c>
      <c r="E13" t="s">
        <v>65</v>
      </c>
      <c r="F13" t="s">
        <v>13</v>
      </c>
      <c r="G13" t="s">
        <v>28</v>
      </c>
      <c r="H13" t="s">
        <v>15</v>
      </c>
      <c r="I13" t="s">
        <v>66</v>
      </c>
      <c r="J13" t="s">
        <v>49</v>
      </c>
      <c r="K13" t="s">
        <v>50</v>
      </c>
    </row>
    <row r="14" spans="1:11" x14ac:dyDescent="0.25">
      <c r="A14">
        <v>2</v>
      </c>
      <c r="B14">
        <v>3</v>
      </c>
      <c r="C14">
        <v>5.3</v>
      </c>
      <c r="D14" t="s">
        <v>67</v>
      </c>
      <c r="E14" t="s">
        <v>68</v>
      </c>
      <c r="F14" t="s">
        <v>13</v>
      </c>
      <c r="G14" t="s">
        <v>21</v>
      </c>
      <c r="H14" t="s">
        <v>15</v>
      </c>
      <c r="I14" t="s">
        <v>69</v>
      </c>
      <c r="J14" t="s">
        <v>23</v>
      </c>
      <c r="K14" t="s">
        <v>70</v>
      </c>
    </row>
    <row r="15" spans="1:11" x14ac:dyDescent="0.25">
      <c r="A15">
        <v>3</v>
      </c>
      <c r="B15">
        <v>1</v>
      </c>
      <c r="C15" t="s">
        <v>71</v>
      </c>
      <c r="D15" t="s">
        <v>72</v>
      </c>
      <c r="E15" t="s">
        <v>73</v>
      </c>
      <c r="F15" t="s">
        <v>13</v>
      </c>
      <c r="G15" t="s">
        <v>28</v>
      </c>
      <c r="H15" t="s">
        <v>15</v>
      </c>
      <c r="I15" t="s">
        <v>74</v>
      </c>
      <c r="J15" t="s">
        <v>23</v>
      </c>
      <c r="K15" t="s">
        <v>70</v>
      </c>
    </row>
    <row r="16" spans="1:11" x14ac:dyDescent="0.25">
      <c r="A16">
        <v>3</v>
      </c>
      <c r="B16">
        <v>2</v>
      </c>
      <c r="C16" t="s">
        <v>75</v>
      </c>
      <c r="D16" t="s">
        <v>76</v>
      </c>
      <c r="E16" t="s">
        <v>77</v>
      </c>
      <c r="F16" t="s">
        <v>13</v>
      </c>
      <c r="G16" t="s">
        <v>28</v>
      </c>
      <c r="H16" t="s">
        <v>15</v>
      </c>
      <c r="I16" t="s">
        <v>78</v>
      </c>
      <c r="J16" t="s">
        <v>23</v>
      </c>
      <c r="K16" t="s">
        <v>70</v>
      </c>
    </row>
    <row r="17" spans="1:11" x14ac:dyDescent="0.25">
      <c r="A17">
        <v>3</v>
      </c>
      <c r="B17">
        <v>3</v>
      </c>
      <c r="C17" t="s">
        <v>79</v>
      </c>
      <c r="D17" t="s">
        <v>80</v>
      </c>
      <c r="E17" t="s">
        <v>81</v>
      </c>
      <c r="F17" t="s">
        <v>13</v>
      </c>
      <c r="G17" t="s">
        <v>28</v>
      </c>
      <c r="H17" t="s">
        <v>15</v>
      </c>
      <c r="I17" t="s">
        <v>82</v>
      </c>
      <c r="J17" t="s">
        <v>23</v>
      </c>
      <c r="K17" t="s">
        <v>70</v>
      </c>
    </row>
    <row r="18" spans="1:11" x14ac:dyDescent="0.25">
      <c r="A18">
        <v>2</v>
      </c>
      <c r="B18">
        <v>4</v>
      </c>
      <c r="C18">
        <v>5.4</v>
      </c>
      <c r="D18" t="s">
        <v>83</v>
      </c>
      <c r="E18" t="s">
        <v>84</v>
      </c>
      <c r="F18" t="s">
        <v>13</v>
      </c>
      <c r="G18" t="s">
        <v>21</v>
      </c>
      <c r="H18" t="s">
        <v>15</v>
      </c>
      <c r="I18" t="s">
        <v>85</v>
      </c>
      <c r="J18" t="s">
        <v>23</v>
      </c>
      <c r="K18" t="s">
        <v>86</v>
      </c>
    </row>
    <row r="19" spans="1:11" x14ac:dyDescent="0.25">
      <c r="A19">
        <v>3</v>
      </c>
      <c r="B19">
        <v>1</v>
      </c>
      <c r="C19" t="s">
        <v>87</v>
      </c>
      <c r="D19" t="s">
        <v>88</v>
      </c>
      <c r="E19" t="s">
        <v>89</v>
      </c>
      <c r="F19" t="s">
        <v>13</v>
      </c>
      <c r="G19" t="s">
        <v>28</v>
      </c>
      <c r="H19" t="s">
        <v>15</v>
      </c>
      <c r="I19" t="s">
        <v>90</v>
      </c>
      <c r="J19" t="s">
        <v>23</v>
      </c>
      <c r="K19" t="s">
        <v>86</v>
      </c>
    </row>
    <row r="20" spans="1:11" x14ac:dyDescent="0.25">
      <c r="A20">
        <v>3</v>
      </c>
      <c r="B20">
        <v>2</v>
      </c>
      <c r="C20" t="s">
        <v>91</v>
      </c>
      <c r="D20" t="s">
        <v>92</v>
      </c>
      <c r="E20" t="s">
        <v>93</v>
      </c>
      <c r="F20" t="s">
        <v>13</v>
      </c>
      <c r="G20" t="s">
        <v>28</v>
      </c>
      <c r="H20" t="s">
        <v>15</v>
      </c>
      <c r="I20" t="s">
        <v>94</v>
      </c>
      <c r="J20" t="s">
        <v>23</v>
      </c>
      <c r="K20" t="s">
        <v>86</v>
      </c>
    </row>
    <row r="21" spans="1:11" x14ac:dyDescent="0.25">
      <c r="A21">
        <v>3</v>
      </c>
      <c r="B21">
        <v>3</v>
      </c>
      <c r="C21" t="s">
        <v>95</v>
      </c>
      <c r="D21" t="s">
        <v>96</v>
      </c>
      <c r="E21" t="s">
        <v>97</v>
      </c>
      <c r="F21" t="s">
        <v>13</v>
      </c>
      <c r="G21" t="s">
        <v>28</v>
      </c>
      <c r="H21" t="s">
        <v>15</v>
      </c>
      <c r="I21" t="s">
        <v>98</v>
      </c>
      <c r="J21" t="s">
        <v>23</v>
      </c>
      <c r="K21" t="s">
        <v>86</v>
      </c>
    </row>
    <row r="22" spans="1:11" x14ac:dyDescent="0.25">
      <c r="A22">
        <v>1</v>
      </c>
      <c r="B22">
        <v>2</v>
      </c>
      <c r="C22">
        <v>4</v>
      </c>
      <c r="D22" t="s">
        <v>99</v>
      </c>
      <c r="E22" t="s">
        <v>100</v>
      </c>
      <c r="F22" t="s">
        <v>101</v>
      </c>
      <c r="G22" t="s">
        <v>14</v>
      </c>
      <c r="H22" t="s">
        <v>15</v>
      </c>
      <c r="I22" t="s">
        <v>102</v>
      </c>
      <c r="J22" t="s">
        <v>103</v>
      </c>
      <c r="K22" t="s">
        <v>104</v>
      </c>
    </row>
    <row r="23" spans="1:11" x14ac:dyDescent="0.25">
      <c r="A23">
        <v>2</v>
      </c>
      <c r="B23">
        <v>1</v>
      </c>
      <c r="C23">
        <v>4.0999999999999996</v>
      </c>
      <c r="D23" t="s">
        <v>105</v>
      </c>
      <c r="E23" t="s">
        <v>106</v>
      </c>
      <c r="F23" t="s">
        <v>101</v>
      </c>
      <c r="G23" t="s">
        <v>21</v>
      </c>
      <c r="H23" t="s">
        <v>15</v>
      </c>
      <c r="I23" t="s">
        <v>107</v>
      </c>
      <c r="J23" t="s">
        <v>23</v>
      </c>
      <c r="K23" t="s">
        <v>104</v>
      </c>
    </row>
    <row r="24" spans="1:11" x14ac:dyDescent="0.25">
      <c r="A24">
        <v>3</v>
      </c>
      <c r="B24">
        <v>1</v>
      </c>
      <c r="C24" t="s">
        <v>108</v>
      </c>
      <c r="D24" t="s">
        <v>109</v>
      </c>
      <c r="E24" t="s">
        <v>110</v>
      </c>
      <c r="F24" t="s">
        <v>101</v>
      </c>
      <c r="G24" t="s">
        <v>28</v>
      </c>
      <c r="H24" t="s">
        <v>15</v>
      </c>
      <c r="I24" t="s">
        <v>111</v>
      </c>
      <c r="J24" t="s">
        <v>23</v>
      </c>
      <c r="K24" t="s">
        <v>104</v>
      </c>
    </row>
    <row r="25" spans="1:11" x14ac:dyDescent="0.25">
      <c r="A25">
        <v>3</v>
      </c>
      <c r="B25">
        <v>2</v>
      </c>
      <c r="C25" t="s">
        <v>112</v>
      </c>
      <c r="D25" t="s">
        <v>113</v>
      </c>
      <c r="E25" t="s">
        <v>114</v>
      </c>
      <c r="F25" t="s">
        <v>101</v>
      </c>
      <c r="G25" t="s">
        <v>28</v>
      </c>
      <c r="H25" t="s">
        <v>15</v>
      </c>
      <c r="I25" t="s">
        <v>115</v>
      </c>
      <c r="J25" t="s">
        <v>23</v>
      </c>
      <c r="K25" t="s">
        <v>116</v>
      </c>
    </row>
    <row r="26" spans="1:11" x14ac:dyDescent="0.25">
      <c r="A26">
        <v>3</v>
      </c>
      <c r="B26">
        <v>3</v>
      </c>
      <c r="C26" t="s">
        <v>117</v>
      </c>
      <c r="D26" t="s">
        <v>118</v>
      </c>
      <c r="E26" t="s">
        <v>119</v>
      </c>
      <c r="F26" t="s">
        <v>101</v>
      </c>
      <c r="G26" t="s">
        <v>28</v>
      </c>
      <c r="H26" t="s">
        <v>15</v>
      </c>
      <c r="I26" t="s">
        <v>120</v>
      </c>
      <c r="J26" t="s">
        <v>23</v>
      </c>
      <c r="K26" t="s">
        <v>121</v>
      </c>
    </row>
    <row r="27" spans="1:11" x14ac:dyDescent="0.25">
      <c r="A27">
        <v>3</v>
      </c>
      <c r="B27">
        <v>4</v>
      </c>
      <c r="C27" t="s">
        <v>122</v>
      </c>
      <c r="D27" t="s">
        <v>123</v>
      </c>
      <c r="E27" t="s">
        <v>124</v>
      </c>
      <c r="F27" t="s">
        <v>101</v>
      </c>
      <c r="G27" t="s">
        <v>28</v>
      </c>
      <c r="H27" t="s">
        <v>15</v>
      </c>
      <c r="I27" t="s">
        <v>125</v>
      </c>
      <c r="J27" t="s">
        <v>23</v>
      </c>
      <c r="K27" t="s">
        <v>126</v>
      </c>
    </row>
    <row r="28" spans="1:11" x14ac:dyDescent="0.25">
      <c r="A28">
        <v>2</v>
      </c>
      <c r="B28">
        <v>2</v>
      </c>
      <c r="C28">
        <v>4.2</v>
      </c>
      <c r="D28" t="s">
        <v>127</v>
      </c>
      <c r="E28" t="s">
        <v>128</v>
      </c>
      <c r="F28" t="s">
        <v>101</v>
      </c>
      <c r="G28" t="s">
        <v>21</v>
      </c>
      <c r="H28" t="s">
        <v>15</v>
      </c>
      <c r="I28" t="s">
        <v>129</v>
      </c>
      <c r="J28" t="s">
        <v>130</v>
      </c>
      <c r="K28" t="s">
        <v>104</v>
      </c>
    </row>
    <row r="29" spans="1:11" x14ac:dyDescent="0.25">
      <c r="A29">
        <v>3</v>
      </c>
      <c r="B29">
        <v>1</v>
      </c>
      <c r="C29" t="s">
        <v>131</v>
      </c>
      <c r="D29" t="s">
        <v>132</v>
      </c>
      <c r="E29" t="s">
        <v>133</v>
      </c>
      <c r="F29" t="s">
        <v>101</v>
      </c>
      <c r="G29" t="s">
        <v>28</v>
      </c>
      <c r="H29" t="s">
        <v>15</v>
      </c>
      <c r="I29" t="s">
        <v>134</v>
      </c>
      <c r="J29" t="s">
        <v>130</v>
      </c>
      <c r="K29" t="s">
        <v>104</v>
      </c>
    </row>
    <row r="30" spans="1:11" x14ac:dyDescent="0.25">
      <c r="A30">
        <v>3</v>
      </c>
      <c r="B30">
        <v>2</v>
      </c>
      <c r="C30" t="s">
        <v>135</v>
      </c>
      <c r="D30" t="s">
        <v>136</v>
      </c>
      <c r="E30" t="s">
        <v>137</v>
      </c>
      <c r="F30" t="s">
        <v>101</v>
      </c>
      <c r="G30" t="s">
        <v>28</v>
      </c>
      <c r="H30" t="s">
        <v>15</v>
      </c>
      <c r="I30" t="s">
        <v>138</v>
      </c>
      <c r="J30" t="s">
        <v>130</v>
      </c>
      <c r="K30" t="s">
        <v>116</v>
      </c>
    </row>
    <row r="31" spans="1:11" x14ac:dyDescent="0.25">
      <c r="A31">
        <v>3</v>
      </c>
      <c r="B31">
        <v>3</v>
      </c>
      <c r="C31" t="s">
        <v>139</v>
      </c>
      <c r="D31" t="s">
        <v>140</v>
      </c>
      <c r="E31" t="s">
        <v>141</v>
      </c>
      <c r="F31" t="s">
        <v>101</v>
      </c>
      <c r="G31" t="s">
        <v>28</v>
      </c>
      <c r="H31" t="s">
        <v>15</v>
      </c>
      <c r="I31" t="s">
        <v>142</v>
      </c>
      <c r="J31" t="s">
        <v>130</v>
      </c>
      <c r="K31" t="s">
        <v>121</v>
      </c>
    </row>
    <row r="32" spans="1:11" x14ac:dyDescent="0.25">
      <c r="A32">
        <v>3</v>
      </c>
      <c r="B32">
        <v>4</v>
      </c>
      <c r="C32" t="s">
        <v>143</v>
      </c>
      <c r="D32" t="s">
        <v>144</v>
      </c>
      <c r="E32" t="s">
        <v>145</v>
      </c>
      <c r="F32" t="s">
        <v>101</v>
      </c>
      <c r="G32" t="s">
        <v>28</v>
      </c>
      <c r="H32" t="s">
        <v>15</v>
      </c>
      <c r="I32" t="s">
        <v>146</v>
      </c>
      <c r="J32" t="s">
        <v>130</v>
      </c>
      <c r="K32" t="s">
        <v>147</v>
      </c>
    </row>
    <row r="33" spans="1:11" x14ac:dyDescent="0.25">
      <c r="A33">
        <v>2</v>
      </c>
      <c r="B33">
        <v>3</v>
      </c>
      <c r="C33">
        <v>4.3</v>
      </c>
      <c r="D33" t="s">
        <v>148</v>
      </c>
      <c r="E33" t="s">
        <v>149</v>
      </c>
      <c r="F33" t="s">
        <v>101</v>
      </c>
      <c r="G33" t="s">
        <v>21</v>
      </c>
      <c r="H33" t="s">
        <v>15</v>
      </c>
      <c r="I33" t="s">
        <v>150</v>
      </c>
      <c r="J33" t="s">
        <v>130</v>
      </c>
      <c r="K33" t="s">
        <v>151</v>
      </c>
    </row>
    <row r="34" spans="1:11" x14ac:dyDescent="0.25">
      <c r="A34">
        <v>3</v>
      </c>
      <c r="B34">
        <v>1</v>
      </c>
      <c r="C34" t="s">
        <v>152</v>
      </c>
      <c r="D34" t="s">
        <v>153</v>
      </c>
      <c r="E34" t="s">
        <v>154</v>
      </c>
      <c r="F34" t="s">
        <v>101</v>
      </c>
      <c r="G34" t="s">
        <v>28</v>
      </c>
      <c r="H34" t="s">
        <v>15</v>
      </c>
      <c r="I34" t="s">
        <v>155</v>
      </c>
      <c r="J34" t="s">
        <v>130</v>
      </c>
      <c r="K34" t="s">
        <v>151</v>
      </c>
    </row>
    <row r="35" spans="1:11" x14ac:dyDescent="0.25">
      <c r="A35">
        <v>3</v>
      </c>
      <c r="B35">
        <v>2</v>
      </c>
      <c r="C35" t="s">
        <v>156</v>
      </c>
      <c r="D35" t="s">
        <v>157</v>
      </c>
      <c r="E35" t="s">
        <v>158</v>
      </c>
      <c r="F35" t="s">
        <v>101</v>
      </c>
      <c r="G35" t="s">
        <v>28</v>
      </c>
      <c r="H35" t="s">
        <v>15</v>
      </c>
      <c r="I35" t="s">
        <v>159</v>
      </c>
      <c r="J35" t="s">
        <v>130</v>
      </c>
      <c r="K35" t="s">
        <v>160</v>
      </c>
    </row>
    <row r="36" spans="1:11" x14ac:dyDescent="0.25">
      <c r="A36">
        <v>3</v>
      </c>
      <c r="B36">
        <v>3</v>
      </c>
      <c r="C36" t="s">
        <v>161</v>
      </c>
      <c r="D36" t="s">
        <v>162</v>
      </c>
      <c r="E36" t="s">
        <v>163</v>
      </c>
      <c r="F36" t="s">
        <v>101</v>
      </c>
      <c r="G36" t="s">
        <v>28</v>
      </c>
      <c r="H36" t="s">
        <v>15</v>
      </c>
      <c r="I36" t="s">
        <v>164</v>
      </c>
      <c r="J36" t="s">
        <v>130</v>
      </c>
      <c r="K36" t="s">
        <v>151</v>
      </c>
    </row>
    <row r="37" spans="1:11" x14ac:dyDescent="0.25">
      <c r="A37">
        <v>3</v>
      </c>
      <c r="B37">
        <v>4</v>
      </c>
      <c r="C37" t="s">
        <v>165</v>
      </c>
      <c r="D37" t="s">
        <v>166</v>
      </c>
      <c r="E37" t="s">
        <v>167</v>
      </c>
      <c r="F37" t="s">
        <v>101</v>
      </c>
      <c r="G37" t="s">
        <v>28</v>
      </c>
      <c r="H37" t="s">
        <v>15</v>
      </c>
      <c r="I37" t="s">
        <v>168</v>
      </c>
      <c r="J37" t="s">
        <v>130</v>
      </c>
      <c r="K37" t="s">
        <v>151</v>
      </c>
    </row>
    <row r="38" spans="1:11" x14ac:dyDescent="0.25">
      <c r="A38">
        <v>2</v>
      </c>
      <c r="B38">
        <v>4</v>
      </c>
      <c r="C38">
        <v>4.4000000000000004</v>
      </c>
      <c r="D38" t="s">
        <v>169</v>
      </c>
      <c r="E38" t="s">
        <v>170</v>
      </c>
      <c r="F38" t="s">
        <v>101</v>
      </c>
      <c r="G38" t="s">
        <v>21</v>
      </c>
      <c r="H38" t="s">
        <v>15</v>
      </c>
      <c r="I38" t="s">
        <v>171</v>
      </c>
      <c r="J38" t="s">
        <v>23</v>
      </c>
      <c r="K38" t="s">
        <v>160</v>
      </c>
    </row>
    <row r="39" spans="1:11" x14ac:dyDescent="0.25">
      <c r="A39">
        <v>3</v>
      </c>
      <c r="B39">
        <v>1</v>
      </c>
      <c r="C39" t="s">
        <v>172</v>
      </c>
      <c r="D39" t="s">
        <v>173</v>
      </c>
      <c r="E39" t="s">
        <v>174</v>
      </c>
      <c r="F39" t="s">
        <v>101</v>
      </c>
      <c r="G39" t="s">
        <v>28</v>
      </c>
      <c r="H39" t="s">
        <v>15</v>
      </c>
      <c r="I39" t="s">
        <v>175</v>
      </c>
      <c r="J39" t="s">
        <v>23</v>
      </c>
      <c r="K39" t="s">
        <v>160</v>
      </c>
    </row>
    <row r="40" spans="1:11" x14ac:dyDescent="0.25">
      <c r="A40">
        <v>3</v>
      </c>
      <c r="B40">
        <v>2</v>
      </c>
      <c r="C40" t="s">
        <v>176</v>
      </c>
      <c r="D40" t="s">
        <v>177</v>
      </c>
      <c r="E40" t="s">
        <v>178</v>
      </c>
      <c r="F40" t="s">
        <v>101</v>
      </c>
      <c r="G40" t="s">
        <v>28</v>
      </c>
      <c r="H40" t="s">
        <v>15</v>
      </c>
      <c r="I40" t="s">
        <v>179</v>
      </c>
      <c r="J40" t="s">
        <v>23</v>
      </c>
      <c r="K40" t="s">
        <v>160</v>
      </c>
    </row>
    <row r="41" spans="1:11" x14ac:dyDescent="0.25">
      <c r="A41">
        <v>3</v>
      </c>
      <c r="B41">
        <v>3</v>
      </c>
      <c r="C41" t="s">
        <v>180</v>
      </c>
      <c r="D41" t="s">
        <v>181</v>
      </c>
      <c r="E41" t="s">
        <v>182</v>
      </c>
      <c r="F41" t="s">
        <v>101</v>
      </c>
      <c r="G41" t="s">
        <v>28</v>
      </c>
      <c r="H41" t="s">
        <v>15</v>
      </c>
      <c r="I41" t="s">
        <v>183</v>
      </c>
      <c r="J41" t="s">
        <v>23</v>
      </c>
      <c r="K41" t="s">
        <v>160</v>
      </c>
    </row>
    <row r="42" spans="1:11" x14ac:dyDescent="0.25">
      <c r="A42">
        <v>1</v>
      </c>
      <c r="B42">
        <v>3</v>
      </c>
      <c r="C42">
        <v>1</v>
      </c>
      <c r="D42" t="s">
        <v>184</v>
      </c>
      <c r="E42" t="s">
        <v>185</v>
      </c>
      <c r="F42" t="s">
        <v>186</v>
      </c>
      <c r="G42" t="s">
        <v>14</v>
      </c>
      <c r="H42" t="s">
        <v>15</v>
      </c>
      <c r="I42" t="s">
        <v>187</v>
      </c>
      <c r="J42" t="s">
        <v>188</v>
      </c>
      <c r="K42" t="s">
        <v>189</v>
      </c>
    </row>
    <row r="43" spans="1:11" x14ac:dyDescent="0.25">
      <c r="A43">
        <v>2</v>
      </c>
      <c r="B43">
        <v>1</v>
      </c>
      <c r="C43">
        <v>1.1000000000000001</v>
      </c>
      <c r="D43" t="s">
        <v>190</v>
      </c>
      <c r="E43" t="s">
        <v>191</v>
      </c>
      <c r="F43" t="s">
        <v>186</v>
      </c>
      <c r="G43" t="s">
        <v>21</v>
      </c>
      <c r="H43" t="s">
        <v>15</v>
      </c>
      <c r="I43" t="s">
        <v>192</v>
      </c>
      <c r="J43" t="s">
        <v>23</v>
      </c>
      <c r="K43" t="s">
        <v>193</v>
      </c>
    </row>
    <row r="44" spans="1:11" x14ac:dyDescent="0.25">
      <c r="A44">
        <v>3</v>
      </c>
      <c r="B44">
        <v>1</v>
      </c>
      <c r="C44" t="s">
        <v>194</v>
      </c>
      <c r="D44" t="s">
        <v>195</v>
      </c>
      <c r="E44" t="s">
        <v>196</v>
      </c>
      <c r="F44" t="s">
        <v>186</v>
      </c>
      <c r="G44" t="s">
        <v>28</v>
      </c>
      <c r="H44" t="s">
        <v>15</v>
      </c>
      <c r="I44" t="s">
        <v>197</v>
      </c>
      <c r="J44" t="s">
        <v>23</v>
      </c>
      <c r="K44" t="s">
        <v>193</v>
      </c>
    </row>
    <row r="45" spans="1:11" x14ac:dyDescent="0.25">
      <c r="A45">
        <v>3</v>
      </c>
      <c r="B45">
        <v>2</v>
      </c>
      <c r="C45" t="s">
        <v>198</v>
      </c>
      <c r="D45" t="s">
        <v>199</v>
      </c>
      <c r="E45" t="s">
        <v>200</v>
      </c>
      <c r="F45" t="s">
        <v>186</v>
      </c>
      <c r="G45" t="s">
        <v>28</v>
      </c>
      <c r="H45" t="s">
        <v>15</v>
      </c>
      <c r="I45" t="s">
        <v>201</v>
      </c>
      <c r="J45" t="s">
        <v>23</v>
      </c>
      <c r="K45" t="s">
        <v>193</v>
      </c>
    </row>
    <row r="46" spans="1:11" x14ac:dyDescent="0.25">
      <c r="A46">
        <v>3</v>
      </c>
      <c r="B46">
        <v>3</v>
      </c>
      <c r="C46" t="s">
        <v>202</v>
      </c>
      <c r="D46" t="s">
        <v>203</v>
      </c>
      <c r="E46" t="s">
        <v>204</v>
      </c>
      <c r="F46" t="s">
        <v>186</v>
      </c>
      <c r="G46" t="s">
        <v>28</v>
      </c>
      <c r="H46" t="s">
        <v>15</v>
      </c>
      <c r="I46" t="s">
        <v>205</v>
      </c>
      <c r="J46" t="s">
        <v>23</v>
      </c>
      <c r="K46" t="s">
        <v>193</v>
      </c>
    </row>
    <row r="47" spans="1:11" x14ac:dyDescent="0.25">
      <c r="A47">
        <v>3</v>
      </c>
      <c r="B47">
        <v>4</v>
      </c>
      <c r="C47" t="s">
        <v>206</v>
      </c>
      <c r="D47" t="s">
        <v>207</v>
      </c>
      <c r="E47" t="s">
        <v>208</v>
      </c>
      <c r="F47" t="s">
        <v>186</v>
      </c>
      <c r="G47" t="s">
        <v>28</v>
      </c>
      <c r="H47" t="s">
        <v>15</v>
      </c>
      <c r="I47" t="s">
        <v>209</v>
      </c>
      <c r="J47" t="s">
        <v>23</v>
      </c>
      <c r="K47" t="s">
        <v>193</v>
      </c>
    </row>
    <row r="48" spans="1:11" x14ac:dyDescent="0.25">
      <c r="A48">
        <v>3</v>
      </c>
      <c r="B48">
        <v>5</v>
      </c>
      <c r="C48" t="s">
        <v>210</v>
      </c>
      <c r="D48" t="s">
        <v>211</v>
      </c>
      <c r="E48" t="s">
        <v>212</v>
      </c>
      <c r="F48" t="s">
        <v>186</v>
      </c>
      <c r="G48" t="s">
        <v>28</v>
      </c>
      <c r="H48" t="s">
        <v>15</v>
      </c>
      <c r="I48" t="s">
        <v>213</v>
      </c>
      <c r="J48" t="s">
        <v>23</v>
      </c>
      <c r="K48" t="s">
        <v>193</v>
      </c>
    </row>
    <row r="49" spans="1:11" x14ac:dyDescent="0.25">
      <c r="A49">
        <v>2</v>
      </c>
      <c r="B49">
        <v>2</v>
      </c>
      <c r="C49">
        <v>1.2</v>
      </c>
      <c r="D49" t="s">
        <v>214</v>
      </c>
      <c r="E49" t="s">
        <v>215</v>
      </c>
      <c r="F49" t="s">
        <v>186</v>
      </c>
      <c r="G49" t="s">
        <v>21</v>
      </c>
      <c r="H49" t="s">
        <v>15</v>
      </c>
      <c r="I49" t="s">
        <v>216</v>
      </c>
      <c r="J49" t="s">
        <v>217</v>
      </c>
      <c r="K49" t="s">
        <v>218</v>
      </c>
    </row>
    <row r="50" spans="1:11" x14ac:dyDescent="0.25">
      <c r="A50">
        <v>3</v>
      </c>
      <c r="B50">
        <v>1</v>
      </c>
      <c r="C50" t="s">
        <v>219</v>
      </c>
      <c r="D50" t="s">
        <v>220</v>
      </c>
      <c r="E50" t="s">
        <v>221</v>
      </c>
      <c r="F50" t="s">
        <v>186</v>
      </c>
      <c r="G50" t="s">
        <v>28</v>
      </c>
      <c r="H50" t="s">
        <v>15</v>
      </c>
      <c r="I50" t="s">
        <v>222</v>
      </c>
      <c r="J50" t="s">
        <v>217</v>
      </c>
      <c r="K50" t="s">
        <v>218</v>
      </c>
    </row>
    <row r="51" spans="1:11" x14ac:dyDescent="0.25">
      <c r="A51">
        <v>3</v>
      </c>
      <c r="B51">
        <v>2</v>
      </c>
      <c r="C51" t="s">
        <v>223</v>
      </c>
      <c r="D51" t="s">
        <v>224</v>
      </c>
      <c r="E51" t="s">
        <v>225</v>
      </c>
      <c r="F51" t="s">
        <v>186</v>
      </c>
      <c r="G51" t="s">
        <v>28</v>
      </c>
      <c r="H51" t="s">
        <v>15</v>
      </c>
      <c r="I51" t="s">
        <v>226</v>
      </c>
      <c r="J51" t="s">
        <v>217</v>
      </c>
      <c r="K51" t="s">
        <v>218</v>
      </c>
    </row>
    <row r="52" spans="1:11" x14ac:dyDescent="0.25">
      <c r="A52">
        <v>3</v>
      </c>
      <c r="B52">
        <v>3</v>
      </c>
      <c r="C52" t="s">
        <v>227</v>
      </c>
      <c r="D52" t="s">
        <v>228</v>
      </c>
      <c r="E52" t="s">
        <v>229</v>
      </c>
      <c r="F52" t="s">
        <v>186</v>
      </c>
      <c r="G52" t="s">
        <v>28</v>
      </c>
      <c r="H52" t="s">
        <v>15</v>
      </c>
      <c r="I52" t="s">
        <v>230</v>
      </c>
      <c r="J52" t="s">
        <v>217</v>
      </c>
      <c r="K52" t="s">
        <v>218</v>
      </c>
    </row>
    <row r="53" spans="1:11" x14ac:dyDescent="0.25">
      <c r="A53">
        <v>3</v>
      </c>
      <c r="B53">
        <v>4</v>
      </c>
      <c r="C53" t="s">
        <v>231</v>
      </c>
      <c r="D53" t="s">
        <v>232</v>
      </c>
      <c r="E53" t="s">
        <v>233</v>
      </c>
      <c r="F53" t="s">
        <v>186</v>
      </c>
      <c r="G53" t="s">
        <v>28</v>
      </c>
      <c r="H53" t="s">
        <v>15</v>
      </c>
      <c r="I53" t="s">
        <v>234</v>
      </c>
      <c r="J53" t="s">
        <v>217</v>
      </c>
      <c r="K53" t="s">
        <v>218</v>
      </c>
    </row>
    <row r="54" spans="1:11" x14ac:dyDescent="0.25">
      <c r="A54">
        <v>2</v>
      </c>
      <c r="B54">
        <v>3</v>
      </c>
      <c r="C54">
        <v>1.3</v>
      </c>
      <c r="D54" t="s">
        <v>235</v>
      </c>
      <c r="E54" t="s">
        <v>236</v>
      </c>
      <c r="F54" t="s">
        <v>186</v>
      </c>
      <c r="G54" t="s">
        <v>21</v>
      </c>
      <c r="H54" t="s">
        <v>15</v>
      </c>
      <c r="I54" t="s">
        <v>237</v>
      </c>
      <c r="J54" t="s">
        <v>23</v>
      </c>
      <c r="K54" t="s">
        <v>238</v>
      </c>
    </row>
    <row r="55" spans="1:11" x14ac:dyDescent="0.25">
      <c r="A55">
        <v>3</v>
      </c>
      <c r="B55">
        <v>1</v>
      </c>
      <c r="C55" t="s">
        <v>239</v>
      </c>
      <c r="D55" t="s">
        <v>240</v>
      </c>
      <c r="E55" t="s">
        <v>241</v>
      </c>
      <c r="F55" t="s">
        <v>186</v>
      </c>
      <c r="G55" t="s">
        <v>28</v>
      </c>
      <c r="H55" t="s">
        <v>15</v>
      </c>
      <c r="I55" t="s">
        <v>242</v>
      </c>
      <c r="J55" t="s">
        <v>23</v>
      </c>
      <c r="K55" t="s">
        <v>238</v>
      </c>
    </row>
    <row r="56" spans="1:11" x14ac:dyDescent="0.25">
      <c r="A56">
        <v>3</v>
      </c>
      <c r="B56">
        <v>2</v>
      </c>
      <c r="C56" t="s">
        <v>243</v>
      </c>
      <c r="D56" t="s">
        <v>244</v>
      </c>
      <c r="E56" t="s">
        <v>245</v>
      </c>
      <c r="F56" t="s">
        <v>186</v>
      </c>
      <c r="G56" t="s">
        <v>28</v>
      </c>
      <c r="H56" t="s">
        <v>15</v>
      </c>
      <c r="I56" t="s">
        <v>246</v>
      </c>
      <c r="J56" t="s">
        <v>23</v>
      </c>
      <c r="K56" t="s">
        <v>238</v>
      </c>
    </row>
    <row r="57" spans="1:11" x14ac:dyDescent="0.25">
      <c r="A57">
        <v>2</v>
      </c>
      <c r="B57">
        <v>4</v>
      </c>
      <c r="C57">
        <v>1.4</v>
      </c>
      <c r="D57" t="s">
        <v>247</v>
      </c>
      <c r="E57" t="s">
        <v>248</v>
      </c>
      <c r="F57" t="s">
        <v>186</v>
      </c>
      <c r="G57" t="s">
        <v>21</v>
      </c>
      <c r="H57" t="s">
        <v>15</v>
      </c>
      <c r="I57" t="s">
        <v>249</v>
      </c>
      <c r="J57" t="s">
        <v>23</v>
      </c>
      <c r="K57" t="s">
        <v>250</v>
      </c>
    </row>
    <row r="58" spans="1:11" x14ac:dyDescent="0.25">
      <c r="A58">
        <v>3</v>
      </c>
      <c r="B58">
        <v>1</v>
      </c>
      <c r="C58" t="s">
        <v>251</v>
      </c>
      <c r="D58" t="s">
        <v>252</v>
      </c>
      <c r="E58" t="s">
        <v>253</v>
      </c>
      <c r="F58" t="s">
        <v>186</v>
      </c>
      <c r="G58" t="s">
        <v>28</v>
      </c>
      <c r="H58" t="s">
        <v>15</v>
      </c>
      <c r="I58" t="s">
        <v>254</v>
      </c>
      <c r="J58" t="s">
        <v>23</v>
      </c>
      <c r="K58" t="s">
        <v>250</v>
      </c>
    </row>
    <row r="59" spans="1:11" x14ac:dyDescent="0.25">
      <c r="A59">
        <v>3</v>
      </c>
      <c r="B59">
        <v>2</v>
      </c>
      <c r="C59" t="s">
        <v>255</v>
      </c>
      <c r="D59" t="s">
        <v>256</v>
      </c>
      <c r="E59" t="s">
        <v>257</v>
      </c>
      <c r="F59" t="s">
        <v>186</v>
      </c>
      <c r="G59" t="s">
        <v>28</v>
      </c>
      <c r="H59" t="s">
        <v>15</v>
      </c>
      <c r="I59" t="s">
        <v>258</v>
      </c>
      <c r="J59" t="s">
        <v>23</v>
      </c>
      <c r="K59" t="s">
        <v>250</v>
      </c>
    </row>
    <row r="60" spans="1:11" x14ac:dyDescent="0.25">
      <c r="A60">
        <v>3</v>
      </c>
      <c r="B60">
        <v>3</v>
      </c>
      <c r="C60" t="s">
        <v>259</v>
      </c>
      <c r="D60" t="s">
        <v>260</v>
      </c>
      <c r="E60" t="s">
        <v>261</v>
      </c>
      <c r="F60" t="s">
        <v>186</v>
      </c>
      <c r="G60" t="s">
        <v>28</v>
      </c>
      <c r="H60" t="s">
        <v>15</v>
      </c>
      <c r="I60" t="s">
        <v>262</v>
      </c>
      <c r="J60" t="s">
        <v>23</v>
      </c>
      <c r="K60" t="s">
        <v>250</v>
      </c>
    </row>
    <row r="61" spans="1:11" x14ac:dyDescent="0.25">
      <c r="A61">
        <v>3</v>
      </c>
      <c r="B61">
        <v>4</v>
      </c>
      <c r="C61" t="s">
        <v>263</v>
      </c>
      <c r="D61" t="s">
        <v>264</v>
      </c>
      <c r="E61" t="s">
        <v>265</v>
      </c>
      <c r="F61" t="s">
        <v>186</v>
      </c>
      <c r="G61" t="s">
        <v>28</v>
      </c>
      <c r="H61" t="s">
        <v>15</v>
      </c>
      <c r="I61" t="s">
        <v>266</v>
      </c>
      <c r="J61" t="s">
        <v>23</v>
      </c>
      <c r="K61" t="s">
        <v>250</v>
      </c>
    </row>
    <row r="62" spans="1:11" x14ac:dyDescent="0.25">
      <c r="A62">
        <v>2</v>
      </c>
      <c r="B62">
        <v>5</v>
      </c>
      <c r="C62">
        <v>1.5</v>
      </c>
      <c r="D62" t="s">
        <v>267</v>
      </c>
      <c r="E62" t="s">
        <v>268</v>
      </c>
      <c r="F62" t="s">
        <v>186</v>
      </c>
      <c r="G62" t="s">
        <v>21</v>
      </c>
      <c r="H62" t="s">
        <v>15</v>
      </c>
      <c r="I62" t="s">
        <v>269</v>
      </c>
      <c r="J62" t="s">
        <v>270</v>
      </c>
      <c r="K62" t="s">
        <v>271</v>
      </c>
    </row>
    <row r="63" spans="1:11" x14ac:dyDescent="0.25">
      <c r="A63">
        <v>3</v>
      </c>
      <c r="B63">
        <v>1</v>
      </c>
      <c r="C63" t="s">
        <v>272</v>
      </c>
      <c r="D63" t="s">
        <v>273</v>
      </c>
      <c r="E63" t="s">
        <v>274</v>
      </c>
      <c r="F63" t="s">
        <v>186</v>
      </c>
      <c r="G63" t="s">
        <v>28</v>
      </c>
      <c r="H63" t="s">
        <v>15</v>
      </c>
      <c r="I63" t="s">
        <v>275</v>
      </c>
      <c r="J63" t="s">
        <v>270</v>
      </c>
      <c r="K63" t="s">
        <v>271</v>
      </c>
    </row>
    <row r="64" spans="1:11" x14ac:dyDescent="0.25">
      <c r="A64">
        <v>3</v>
      </c>
      <c r="B64">
        <v>2</v>
      </c>
      <c r="C64" t="s">
        <v>276</v>
      </c>
      <c r="D64" t="s">
        <v>277</v>
      </c>
      <c r="E64" t="s">
        <v>278</v>
      </c>
      <c r="F64" t="s">
        <v>186</v>
      </c>
      <c r="G64" t="s">
        <v>28</v>
      </c>
      <c r="H64" t="s">
        <v>15</v>
      </c>
      <c r="I64" t="s">
        <v>279</v>
      </c>
      <c r="J64" t="s">
        <v>270</v>
      </c>
      <c r="K64" t="s">
        <v>271</v>
      </c>
    </row>
    <row r="65" spans="1:11" x14ac:dyDescent="0.25">
      <c r="A65">
        <v>3</v>
      </c>
      <c r="B65">
        <v>3</v>
      </c>
      <c r="C65" t="s">
        <v>280</v>
      </c>
      <c r="D65" t="s">
        <v>281</v>
      </c>
      <c r="E65" t="s">
        <v>282</v>
      </c>
      <c r="F65" t="s">
        <v>186</v>
      </c>
      <c r="G65" t="s">
        <v>28</v>
      </c>
      <c r="H65" t="s">
        <v>15</v>
      </c>
      <c r="I65" t="s">
        <v>283</v>
      </c>
      <c r="J65" t="s">
        <v>270</v>
      </c>
      <c r="K65" t="s">
        <v>271</v>
      </c>
    </row>
    <row r="66" spans="1:11" x14ac:dyDescent="0.25">
      <c r="A66">
        <v>2</v>
      </c>
      <c r="B66">
        <v>6</v>
      </c>
      <c r="C66">
        <v>1.6</v>
      </c>
      <c r="D66" t="s">
        <v>284</v>
      </c>
      <c r="E66" t="s">
        <v>285</v>
      </c>
      <c r="F66" t="s">
        <v>186</v>
      </c>
      <c r="G66" t="s">
        <v>21</v>
      </c>
      <c r="H66" t="s">
        <v>15</v>
      </c>
      <c r="I66" t="s">
        <v>286</v>
      </c>
      <c r="J66" t="s">
        <v>287</v>
      </c>
      <c r="K66" t="s">
        <v>288</v>
      </c>
    </row>
    <row r="67" spans="1:11" x14ac:dyDescent="0.25">
      <c r="A67">
        <v>3</v>
      </c>
      <c r="B67">
        <v>1</v>
      </c>
      <c r="C67" t="s">
        <v>289</v>
      </c>
      <c r="D67" t="s">
        <v>290</v>
      </c>
      <c r="E67" t="s">
        <v>291</v>
      </c>
      <c r="F67" t="s">
        <v>186</v>
      </c>
      <c r="G67" t="s">
        <v>28</v>
      </c>
      <c r="H67" t="s">
        <v>15</v>
      </c>
      <c r="I67" t="s">
        <v>292</v>
      </c>
      <c r="J67" t="s">
        <v>287</v>
      </c>
      <c r="K67" t="s">
        <v>288</v>
      </c>
    </row>
    <row r="68" spans="1:11" x14ac:dyDescent="0.25">
      <c r="A68">
        <v>3</v>
      </c>
      <c r="B68">
        <v>2</v>
      </c>
      <c r="C68" t="s">
        <v>293</v>
      </c>
      <c r="D68" t="s">
        <v>294</v>
      </c>
      <c r="E68" t="s">
        <v>295</v>
      </c>
      <c r="F68" t="s">
        <v>186</v>
      </c>
      <c r="G68" t="s">
        <v>28</v>
      </c>
      <c r="H68" t="s">
        <v>15</v>
      </c>
      <c r="I68" t="s">
        <v>296</v>
      </c>
      <c r="J68" t="s">
        <v>287</v>
      </c>
      <c r="K68" t="s">
        <v>288</v>
      </c>
    </row>
    <row r="69" spans="1:11" x14ac:dyDescent="0.25">
      <c r="A69">
        <v>1</v>
      </c>
      <c r="B69">
        <v>4</v>
      </c>
      <c r="C69">
        <v>2</v>
      </c>
      <c r="D69" t="s">
        <v>297</v>
      </c>
      <c r="E69" t="s">
        <v>298</v>
      </c>
      <c r="F69" t="s">
        <v>299</v>
      </c>
      <c r="G69" t="s">
        <v>14</v>
      </c>
      <c r="H69" t="s">
        <v>15</v>
      </c>
      <c r="I69" t="s">
        <v>300</v>
      </c>
      <c r="J69" t="s">
        <v>301</v>
      </c>
      <c r="K69" t="s">
        <v>302</v>
      </c>
    </row>
    <row r="70" spans="1:11" x14ac:dyDescent="0.25">
      <c r="A70">
        <v>2</v>
      </c>
      <c r="B70">
        <v>1</v>
      </c>
      <c r="C70">
        <v>2.1</v>
      </c>
      <c r="D70" t="s">
        <v>303</v>
      </c>
      <c r="E70" t="s">
        <v>304</v>
      </c>
      <c r="F70" t="s">
        <v>299</v>
      </c>
      <c r="G70" t="s">
        <v>21</v>
      </c>
      <c r="H70" t="s">
        <v>15</v>
      </c>
      <c r="I70" t="s">
        <v>305</v>
      </c>
      <c r="J70" t="s">
        <v>23</v>
      </c>
      <c r="K70" t="s">
        <v>306</v>
      </c>
    </row>
    <row r="71" spans="1:11" x14ac:dyDescent="0.25">
      <c r="A71">
        <v>3</v>
      </c>
      <c r="B71">
        <v>1</v>
      </c>
      <c r="C71" t="s">
        <v>307</v>
      </c>
      <c r="D71" t="s">
        <v>308</v>
      </c>
      <c r="E71" t="s">
        <v>309</v>
      </c>
      <c r="F71" t="s">
        <v>299</v>
      </c>
      <c r="G71" t="s">
        <v>28</v>
      </c>
      <c r="H71" t="s">
        <v>15</v>
      </c>
      <c r="I71" t="s">
        <v>310</v>
      </c>
      <c r="J71" t="s">
        <v>23</v>
      </c>
      <c r="K71" t="s">
        <v>306</v>
      </c>
    </row>
    <row r="72" spans="1:11" x14ac:dyDescent="0.25">
      <c r="A72">
        <v>3</v>
      </c>
      <c r="B72">
        <v>2</v>
      </c>
      <c r="C72" t="s">
        <v>311</v>
      </c>
      <c r="D72" t="s">
        <v>312</v>
      </c>
      <c r="E72" t="s">
        <v>313</v>
      </c>
      <c r="F72" t="s">
        <v>299</v>
      </c>
      <c r="G72" t="s">
        <v>28</v>
      </c>
      <c r="H72" t="s">
        <v>15</v>
      </c>
      <c r="I72" t="s">
        <v>314</v>
      </c>
      <c r="J72" t="s">
        <v>23</v>
      </c>
      <c r="K72" t="s">
        <v>306</v>
      </c>
    </row>
    <row r="73" spans="1:11" x14ac:dyDescent="0.25">
      <c r="A73">
        <v>3</v>
      </c>
      <c r="B73">
        <v>3</v>
      </c>
      <c r="C73" t="s">
        <v>315</v>
      </c>
      <c r="D73" t="s">
        <v>316</v>
      </c>
      <c r="E73" t="s">
        <v>317</v>
      </c>
      <c r="F73" t="s">
        <v>299</v>
      </c>
      <c r="G73" t="s">
        <v>28</v>
      </c>
      <c r="H73" t="s">
        <v>15</v>
      </c>
      <c r="I73" t="s">
        <v>318</v>
      </c>
      <c r="J73" t="s">
        <v>23</v>
      </c>
      <c r="K73" t="s">
        <v>306</v>
      </c>
    </row>
    <row r="74" spans="1:11" x14ac:dyDescent="0.25">
      <c r="A74">
        <v>3</v>
      </c>
      <c r="B74">
        <v>4</v>
      </c>
      <c r="C74" t="s">
        <v>319</v>
      </c>
      <c r="D74" t="s">
        <v>320</v>
      </c>
      <c r="E74" t="s">
        <v>321</v>
      </c>
      <c r="F74" t="s">
        <v>299</v>
      </c>
      <c r="G74" t="s">
        <v>28</v>
      </c>
      <c r="H74" t="s">
        <v>15</v>
      </c>
      <c r="I74" t="s">
        <v>322</v>
      </c>
      <c r="J74" t="s">
        <v>23</v>
      </c>
      <c r="K74" t="s">
        <v>306</v>
      </c>
    </row>
    <row r="75" spans="1:11" x14ac:dyDescent="0.25">
      <c r="A75">
        <v>2</v>
      </c>
      <c r="B75">
        <v>2</v>
      </c>
      <c r="C75">
        <v>2.2000000000000002</v>
      </c>
      <c r="D75" t="s">
        <v>323</v>
      </c>
      <c r="E75" t="s">
        <v>324</v>
      </c>
      <c r="F75" t="s">
        <v>299</v>
      </c>
      <c r="G75" t="s">
        <v>21</v>
      </c>
      <c r="H75" t="s">
        <v>15</v>
      </c>
      <c r="I75" t="s">
        <v>325</v>
      </c>
      <c r="J75" t="s">
        <v>23</v>
      </c>
      <c r="K75" t="s">
        <v>326</v>
      </c>
    </row>
    <row r="76" spans="1:11" x14ac:dyDescent="0.25">
      <c r="A76">
        <v>3</v>
      </c>
      <c r="B76">
        <v>1</v>
      </c>
      <c r="C76" t="s">
        <v>327</v>
      </c>
      <c r="D76" t="s">
        <v>328</v>
      </c>
      <c r="E76" t="s">
        <v>329</v>
      </c>
      <c r="F76" t="s">
        <v>299</v>
      </c>
      <c r="G76" t="s">
        <v>28</v>
      </c>
      <c r="H76" t="s">
        <v>15</v>
      </c>
      <c r="I76" t="s">
        <v>330</v>
      </c>
      <c r="J76" t="s">
        <v>23</v>
      </c>
      <c r="K76" t="s">
        <v>326</v>
      </c>
    </row>
    <row r="77" spans="1:11" x14ac:dyDescent="0.25">
      <c r="A77">
        <v>3</v>
      </c>
      <c r="B77">
        <v>2</v>
      </c>
      <c r="C77" t="s">
        <v>331</v>
      </c>
      <c r="D77" t="s">
        <v>332</v>
      </c>
      <c r="E77" t="s">
        <v>333</v>
      </c>
      <c r="F77" t="s">
        <v>299</v>
      </c>
      <c r="G77" t="s">
        <v>28</v>
      </c>
      <c r="H77" t="s">
        <v>15</v>
      </c>
      <c r="I77" t="s">
        <v>334</v>
      </c>
      <c r="J77" t="s">
        <v>23</v>
      </c>
      <c r="K77" t="s">
        <v>326</v>
      </c>
    </row>
    <row r="78" spans="1:11" x14ac:dyDescent="0.25">
      <c r="A78">
        <v>3</v>
      </c>
      <c r="B78">
        <v>3</v>
      </c>
      <c r="C78" t="s">
        <v>335</v>
      </c>
      <c r="D78" t="s">
        <v>336</v>
      </c>
      <c r="E78" t="s">
        <v>337</v>
      </c>
      <c r="F78" t="s">
        <v>299</v>
      </c>
      <c r="G78" t="s">
        <v>28</v>
      </c>
      <c r="H78" t="s">
        <v>15</v>
      </c>
      <c r="I78" t="s">
        <v>338</v>
      </c>
      <c r="J78" t="s">
        <v>23</v>
      </c>
      <c r="K78" t="s">
        <v>326</v>
      </c>
    </row>
    <row r="79" spans="1:11" x14ac:dyDescent="0.25">
      <c r="A79">
        <v>3</v>
      </c>
      <c r="B79">
        <v>4</v>
      </c>
      <c r="C79" t="s">
        <v>339</v>
      </c>
      <c r="D79" t="s">
        <v>340</v>
      </c>
      <c r="E79" t="s">
        <v>341</v>
      </c>
      <c r="F79" t="s">
        <v>299</v>
      </c>
      <c r="G79" t="s">
        <v>28</v>
      </c>
      <c r="H79" t="s">
        <v>15</v>
      </c>
      <c r="I79" t="s">
        <v>342</v>
      </c>
      <c r="J79" t="s">
        <v>23</v>
      </c>
      <c r="K79" t="s">
        <v>326</v>
      </c>
    </row>
    <row r="80" spans="1:11" x14ac:dyDescent="0.25">
      <c r="A80">
        <v>2</v>
      </c>
      <c r="B80">
        <v>3</v>
      </c>
      <c r="C80">
        <v>2.2999999999999998</v>
      </c>
      <c r="D80" t="s">
        <v>343</v>
      </c>
      <c r="E80" t="s">
        <v>344</v>
      </c>
      <c r="F80" t="s">
        <v>299</v>
      </c>
      <c r="G80" t="s">
        <v>21</v>
      </c>
      <c r="H80" t="s">
        <v>15</v>
      </c>
      <c r="I80" t="s">
        <v>345</v>
      </c>
      <c r="J80" t="s">
        <v>346</v>
      </c>
      <c r="K80" t="s">
        <v>347</v>
      </c>
    </row>
    <row r="81" spans="1:11" x14ac:dyDescent="0.25">
      <c r="A81">
        <v>3</v>
      </c>
      <c r="B81">
        <v>1</v>
      </c>
      <c r="C81" t="s">
        <v>348</v>
      </c>
      <c r="D81" t="s">
        <v>349</v>
      </c>
      <c r="E81" t="s">
        <v>350</v>
      </c>
      <c r="F81" t="s">
        <v>299</v>
      </c>
      <c r="G81" t="s">
        <v>28</v>
      </c>
      <c r="H81" t="s">
        <v>15</v>
      </c>
      <c r="I81" t="s">
        <v>351</v>
      </c>
      <c r="J81" t="s">
        <v>346</v>
      </c>
      <c r="K81" t="s">
        <v>347</v>
      </c>
    </row>
    <row r="82" spans="1:11" x14ac:dyDescent="0.25">
      <c r="A82">
        <v>3</v>
      </c>
      <c r="B82">
        <v>2</v>
      </c>
      <c r="C82" t="s">
        <v>352</v>
      </c>
      <c r="D82" t="s">
        <v>353</v>
      </c>
      <c r="E82" t="s">
        <v>354</v>
      </c>
      <c r="F82" t="s">
        <v>299</v>
      </c>
      <c r="G82" t="s">
        <v>28</v>
      </c>
      <c r="H82" t="s">
        <v>15</v>
      </c>
      <c r="I82" t="s">
        <v>355</v>
      </c>
      <c r="J82" t="s">
        <v>346</v>
      </c>
      <c r="K82" t="s">
        <v>347</v>
      </c>
    </row>
    <row r="83" spans="1:11" x14ac:dyDescent="0.25">
      <c r="A83">
        <v>2</v>
      </c>
      <c r="B83">
        <v>4</v>
      </c>
      <c r="C83">
        <v>2.4</v>
      </c>
      <c r="D83" t="s">
        <v>356</v>
      </c>
      <c r="E83" t="s">
        <v>357</v>
      </c>
      <c r="F83" t="s">
        <v>299</v>
      </c>
      <c r="G83" t="s">
        <v>21</v>
      </c>
      <c r="H83" t="s">
        <v>15</v>
      </c>
      <c r="I83" t="s">
        <v>358</v>
      </c>
      <c r="J83" t="s">
        <v>130</v>
      </c>
      <c r="K83" t="s">
        <v>359</v>
      </c>
    </row>
    <row r="84" spans="1:11" x14ac:dyDescent="0.25">
      <c r="A84">
        <v>3</v>
      </c>
      <c r="B84">
        <v>1</v>
      </c>
      <c r="C84" t="s">
        <v>360</v>
      </c>
      <c r="D84" t="s">
        <v>361</v>
      </c>
      <c r="E84" t="s">
        <v>362</v>
      </c>
      <c r="F84" t="s">
        <v>299</v>
      </c>
      <c r="G84" t="s">
        <v>28</v>
      </c>
      <c r="H84" t="s">
        <v>15</v>
      </c>
      <c r="I84" t="s">
        <v>363</v>
      </c>
      <c r="J84" t="s">
        <v>130</v>
      </c>
      <c r="K84" t="s">
        <v>359</v>
      </c>
    </row>
    <row r="85" spans="1:11" x14ac:dyDescent="0.25">
      <c r="A85">
        <v>3</v>
      </c>
      <c r="B85">
        <v>2</v>
      </c>
      <c r="C85" t="s">
        <v>364</v>
      </c>
      <c r="D85" t="s">
        <v>365</v>
      </c>
      <c r="E85" t="s">
        <v>366</v>
      </c>
      <c r="F85" t="s">
        <v>299</v>
      </c>
      <c r="G85" t="s">
        <v>28</v>
      </c>
      <c r="H85" t="s">
        <v>15</v>
      </c>
      <c r="I85" t="s">
        <v>367</v>
      </c>
      <c r="J85" t="s">
        <v>130</v>
      </c>
      <c r="K85" t="s">
        <v>359</v>
      </c>
    </row>
    <row r="86" spans="1:11" x14ac:dyDescent="0.25">
      <c r="A86">
        <v>2</v>
      </c>
      <c r="B86">
        <v>5</v>
      </c>
      <c r="C86">
        <v>2.5</v>
      </c>
      <c r="D86" t="s">
        <v>368</v>
      </c>
      <c r="E86" t="s">
        <v>369</v>
      </c>
      <c r="F86" t="s">
        <v>299</v>
      </c>
      <c r="G86" t="s">
        <v>21</v>
      </c>
      <c r="H86" t="s">
        <v>15</v>
      </c>
      <c r="I86" t="s">
        <v>370</v>
      </c>
      <c r="J86" t="s">
        <v>23</v>
      </c>
      <c r="K86" t="s">
        <v>371</v>
      </c>
    </row>
    <row r="87" spans="1:11" x14ac:dyDescent="0.25">
      <c r="A87">
        <v>3</v>
      </c>
      <c r="B87">
        <v>1</v>
      </c>
      <c r="C87" t="s">
        <v>372</v>
      </c>
      <c r="D87" t="s">
        <v>373</v>
      </c>
      <c r="E87" t="s">
        <v>374</v>
      </c>
      <c r="F87" t="s">
        <v>299</v>
      </c>
      <c r="G87" t="s">
        <v>28</v>
      </c>
      <c r="H87" t="s">
        <v>15</v>
      </c>
      <c r="I87" t="s">
        <v>375</v>
      </c>
      <c r="J87" t="s">
        <v>23</v>
      </c>
      <c r="K87" t="s">
        <v>371</v>
      </c>
    </row>
    <row r="88" spans="1:11" x14ac:dyDescent="0.25">
      <c r="A88">
        <v>3</v>
      </c>
      <c r="B88">
        <v>2</v>
      </c>
      <c r="C88" t="s">
        <v>376</v>
      </c>
      <c r="D88" t="s">
        <v>377</v>
      </c>
      <c r="E88" t="s">
        <v>378</v>
      </c>
      <c r="F88" t="s">
        <v>299</v>
      </c>
      <c r="G88" t="s">
        <v>28</v>
      </c>
      <c r="H88" t="s">
        <v>15</v>
      </c>
      <c r="I88" t="s">
        <v>379</v>
      </c>
      <c r="J88" t="s">
        <v>23</v>
      </c>
      <c r="K88" t="s">
        <v>371</v>
      </c>
    </row>
    <row r="89" spans="1:11" x14ac:dyDescent="0.25">
      <c r="A89">
        <v>1</v>
      </c>
      <c r="B89">
        <v>5</v>
      </c>
      <c r="C89">
        <v>13</v>
      </c>
      <c r="D89" t="s">
        <v>380</v>
      </c>
      <c r="E89" t="s">
        <v>381</v>
      </c>
      <c r="F89" t="s">
        <v>382</v>
      </c>
      <c r="G89" t="s">
        <v>14</v>
      </c>
      <c r="H89" t="s">
        <v>15</v>
      </c>
      <c r="I89" t="s">
        <v>383</v>
      </c>
      <c r="J89" t="s">
        <v>384</v>
      </c>
      <c r="K89" t="s">
        <v>385</v>
      </c>
    </row>
    <row r="90" spans="1:11" x14ac:dyDescent="0.25">
      <c r="A90">
        <v>2</v>
      </c>
      <c r="B90">
        <v>1</v>
      </c>
      <c r="C90">
        <v>13.1</v>
      </c>
      <c r="D90" t="s">
        <v>386</v>
      </c>
      <c r="E90" t="s">
        <v>387</v>
      </c>
      <c r="F90" t="s">
        <v>382</v>
      </c>
      <c r="G90" t="s">
        <v>21</v>
      </c>
      <c r="H90" t="s">
        <v>15</v>
      </c>
      <c r="I90" t="s">
        <v>388</v>
      </c>
      <c r="J90" t="s">
        <v>389</v>
      </c>
      <c r="K90" t="s">
        <v>390</v>
      </c>
    </row>
    <row r="91" spans="1:11" x14ac:dyDescent="0.25">
      <c r="A91">
        <v>3</v>
      </c>
      <c r="B91">
        <v>1</v>
      </c>
      <c r="C91" t="s">
        <v>391</v>
      </c>
      <c r="D91" t="s">
        <v>392</v>
      </c>
      <c r="E91" t="s">
        <v>393</v>
      </c>
      <c r="F91" t="s">
        <v>382</v>
      </c>
      <c r="G91" t="s">
        <v>28</v>
      </c>
      <c r="H91" t="s">
        <v>15</v>
      </c>
      <c r="I91" t="s">
        <v>394</v>
      </c>
      <c r="J91" t="s">
        <v>389</v>
      </c>
      <c r="K91" t="s">
        <v>390</v>
      </c>
    </row>
    <row r="92" spans="1:11" x14ac:dyDescent="0.25">
      <c r="A92">
        <v>3</v>
      </c>
      <c r="B92">
        <v>2</v>
      </c>
      <c r="C92" t="s">
        <v>395</v>
      </c>
      <c r="D92" t="s">
        <v>396</v>
      </c>
      <c r="E92" t="s">
        <v>397</v>
      </c>
      <c r="F92" t="s">
        <v>382</v>
      </c>
      <c r="G92" t="s">
        <v>28</v>
      </c>
      <c r="H92" t="s">
        <v>15</v>
      </c>
      <c r="I92" t="s">
        <v>398</v>
      </c>
      <c r="J92" t="s">
        <v>389</v>
      </c>
      <c r="K92" t="s">
        <v>390</v>
      </c>
    </row>
    <row r="93" spans="1:11" x14ac:dyDescent="0.25">
      <c r="A93">
        <v>3</v>
      </c>
      <c r="B93">
        <v>3</v>
      </c>
      <c r="C93" t="s">
        <v>399</v>
      </c>
      <c r="D93" t="s">
        <v>400</v>
      </c>
      <c r="E93" t="s">
        <v>401</v>
      </c>
      <c r="F93" t="s">
        <v>382</v>
      </c>
      <c r="G93" t="s">
        <v>28</v>
      </c>
      <c r="H93" t="s">
        <v>15</v>
      </c>
      <c r="I93" t="s">
        <v>402</v>
      </c>
      <c r="J93" t="s">
        <v>389</v>
      </c>
      <c r="K93" t="s">
        <v>390</v>
      </c>
    </row>
    <row r="94" spans="1:11" x14ac:dyDescent="0.25">
      <c r="A94">
        <v>3</v>
      </c>
      <c r="B94">
        <v>4</v>
      </c>
      <c r="C94" t="s">
        <v>403</v>
      </c>
      <c r="D94" t="s">
        <v>404</v>
      </c>
      <c r="E94" t="s">
        <v>405</v>
      </c>
      <c r="F94" t="s">
        <v>382</v>
      </c>
      <c r="G94" t="s">
        <v>28</v>
      </c>
      <c r="H94" t="s">
        <v>15</v>
      </c>
      <c r="I94" t="s">
        <v>406</v>
      </c>
      <c r="J94" t="s">
        <v>389</v>
      </c>
      <c r="K94" t="s">
        <v>407</v>
      </c>
    </row>
    <row r="95" spans="1:11" x14ac:dyDescent="0.25">
      <c r="A95">
        <v>3</v>
      </c>
      <c r="B95">
        <v>5</v>
      </c>
      <c r="C95" t="s">
        <v>408</v>
      </c>
      <c r="D95" t="s">
        <v>409</v>
      </c>
      <c r="E95" t="s">
        <v>410</v>
      </c>
      <c r="F95" t="s">
        <v>382</v>
      </c>
      <c r="G95" t="s">
        <v>28</v>
      </c>
      <c r="H95" t="s">
        <v>15</v>
      </c>
      <c r="I95" t="s">
        <v>411</v>
      </c>
      <c r="J95" t="s">
        <v>389</v>
      </c>
      <c r="K95" t="s">
        <v>407</v>
      </c>
    </row>
    <row r="96" spans="1:11" x14ac:dyDescent="0.25">
      <c r="A96">
        <v>2</v>
      </c>
      <c r="B96">
        <v>2</v>
      </c>
      <c r="C96">
        <v>13.2</v>
      </c>
      <c r="D96" t="s">
        <v>412</v>
      </c>
      <c r="E96" t="s">
        <v>413</v>
      </c>
      <c r="F96" t="s">
        <v>382</v>
      </c>
      <c r="G96" t="s">
        <v>21</v>
      </c>
      <c r="H96" t="s">
        <v>15</v>
      </c>
      <c r="I96" t="s">
        <v>414</v>
      </c>
      <c r="J96" t="s">
        <v>23</v>
      </c>
      <c r="K96" t="s">
        <v>415</v>
      </c>
    </row>
    <row r="97" spans="1:11" x14ac:dyDescent="0.25">
      <c r="A97">
        <v>3</v>
      </c>
      <c r="B97">
        <v>1</v>
      </c>
      <c r="C97" t="s">
        <v>416</v>
      </c>
      <c r="D97" t="s">
        <v>417</v>
      </c>
      <c r="E97" t="s">
        <v>418</v>
      </c>
      <c r="F97" t="s">
        <v>382</v>
      </c>
      <c r="G97" t="s">
        <v>28</v>
      </c>
      <c r="H97" t="s">
        <v>15</v>
      </c>
      <c r="I97" t="s">
        <v>419</v>
      </c>
      <c r="J97" t="s">
        <v>23</v>
      </c>
      <c r="K97" t="s">
        <v>415</v>
      </c>
    </row>
    <row r="98" spans="1:11" x14ac:dyDescent="0.25">
      <c r="A98">
        <v>3</v>
      </c>
      <c r="B98">
        <v>2</v>
      </c>
      <c r="C98" t="s">
        <v>420</v>
      </c>
      <c r="D98" t="s">
        <v>421</v>
      </c>
      <c r="E98" t="s">
        <v>422</v>
      </c>
      <c r="F98" t="s">
        <v>382</v>
      </c>
      <c r="G98" t="s">
        <v>28</v>
      </c>
      <c r="H98" t="s">
        <v>15</v>
      </c>
      <c r="I98" t="s">
        <v>423</v>
      </c>
      <c r="J98" t="s">
        <v>23</v>
      </c>
      <c r="K98" t="s">
        <v>424</v>
      </c>
    </row>
    <row r="99" spans="1:11" x14ac:dyDescent="0.25">
      <c r="A99">
        <v>3</v>
      </c>
      <c r="B99">
        <v>3</v>
      </c>
      <c r="C99" t="s">
        <v>425</v>
      </c>
      <c r="D99" t="s">
        <v>426</v>
      </c>
      <c r="E99" t="s">
        <v>427</v>
      </c>
      <c r="F99" t="s">
        <v>382</v>
      </c>
      <c r="G99" t="s">
        <v>28</v>
      </c>
      <c r="H99" t="s">
        <v>15</v>
      </c>
      <c r="I99" t="s">
        <v>428</v>
      </c>
      <c r="J99" t="s">
        <v>23</v>
      </c>
      <c r="K99" t="s">
        <v>429</v>
      </c>
    </row>
    <row r="100" spans="1:11" x14ac:dyDescent="0.25">
      <c r="A100">
        <v>2</v>
      </c>
      <c r="B100">
        <v>3</v>
      </c>
      <c r="C100">
        <v>13.3</v>
      </c>
      <c r="D100" t="s">
        <v>430</v>
      </c>
      <c r="E100" t="s">
        <v>431</v>
      </c>
      <c r="F100" t="s">
        <v>382</v>
      </c>
      <c r="G100" t="s">
        <v>21</v>
      </c>
      <c r="H100" t="s">
        <v>15</v>
      </c>
      <c r="I100" t="s">
        <v>432</v>
      </c>
      <c r="J100" t="s">
        <v>433</v>
      </c>
      <c r="K100" t="s">
        <v>434</v>
      </c>
    </row>
    <row r="101" spans="1:11" x14ac:dyDescent="0.25">
      <c r="A101">
        <v>3</v>
      </c>
      <c r="B101">
        <v>1</v>
      </c>
      <c r="C101" t="s">
        <v>435</v>
      </c>
      <c r="D101" t="s">
        <v>436</v>
      </c>
      <c r="E101" t="s">
        <v>437</v>
      </c>
      <c r="F101" t="s">
        <v>382</v>
      </c>
      <c r="G101" t="s">
        <v>28</v>
      </c>
      <c r="H101" t="s">
        <v>15</v>
      </c>
      <c r="I101" t="s">
        <v>438</v>
      </c>
      <c r="J101" t="s">
        <v>433</v>
      </c>
      <c r="K101" t="s">
        <v>434</v>
      </c>
    </row>
    <row r="102" spans="1:11" x14ac:dyDescent="0.25">
      <c r="A102">
        <v>3</v>
      </c>
      <c r="B102">
        <v>2</v>
      </c>
      <c r="C102" t="s">
        <v>439</v>
      </c>
      <c r="D102" t="s">
        <v>440</v>
      </c>
      <c r="E102" t="s">
        <v>441</v>
      </c>
      <c r="F102" t="s">
        <v>382</v>
      </c>
      <c r="G102" t="s">
        <v>28</v>
      </c>
      <c r="H102" t="s">
        <v>15</v>
      </c>
      <c r="I102" t="s">
        <v>442</v>
      </c>
      <c r="J102" t="s">
        <v>433</v>
      </c>
      <c r="K102" t="s">
        <v>434</v>
      </c>
    </row>
    <row r="103" spans="1:11" x14ac:dyDescent="0.25">
      <c r="A103">
        <v>3</v>
      </c>
      <c r="B103">
        <v>3</v>
      </c>
      <c r="C103" t="s">
        <v>443</v>
      </c>
      <c r="D103" t="s">
        <v>444</v>
      </c>
      <c r="E103" t="s">
        <v>445</v>
      </c>
      <c r="F103" t="s">
        <v>382</v>
      </c>
      <c r="G103" t="s">
        <v>28</v>
      </c>
      <c r="H103" t="s">
        <v>15</v>
      </c>
      <c r="I103" t="s">
        <v>446</v>
      </c>
      <c r="J103" t="s">
        <v>433</v>
      </c>
      <c r="K103" t="s">
        <v>434</v>
      </c>
    </row>
    <row r="104" spans="1:11" x14ac:dyDescent="0.25">
      <c r="A104">
        <v>2</v>
      </c>
      <c r="B104">
        <v>4</v>
      </c>
      <c r="C104">
        <v>13.4</v>
      </c>
      <c r="D104" t="s">
        <v>447</v>
      </c>
      <c r="E104" t="s">
        <v>448</v>
      </c>
      <c r="F104" t="s">
        <v>382</v>
      </c>
      <c r="G104" t="s">
        <v>21</v>
      </c>
      <c r="H104" t="s">
        <v>15</v>
      </c>
      <c r="I104" t="s">
        <v>449</v>
      </c>
      <c r="J104" t="s">
        <v>433</v>
      </c>
      <c r="K104" t="s">
        <v>450</v>
      </c>
    </row>
    <row r="105" spans="1:11" x14ac:dyDescent="0.25">
      <c r="A105">
        <v>3</v>
      </c>
      <c r="B105">
        <v>1</v>
      </c>
      <c r="C105" t="s">
        <v>451</v>
      </c>
      <c r="D105" t="s">
        <v>452</v>
      </c>
      <c r="E105" t="s">
        <v>453</v>
      </c>
      <c r="F105" t="s">
        <v>382</v>
      </c>
      <c r="G105" t="s">
        <v>28</v>
      </c>
      <c r="H105" t="s">
        <v>15</v>
      </c>
      <c r="I105" t="s">
        <v>454</v>
      </c>
      <c r="J105" t="s">
        <v>433</v>
      </c>
      <c r="K105" t="s">
        <v>450</v>
      </c>
    </row>
    <row r="106" spans="1:11" x14ac:dyDescent="0.25">
      <c r="A106">
        <v>3</v>
      </c>
      <c r="B106">
        <v>2</v>
      </c>
      <c r="C106" t="s">
        <v>455</v>
      </c>
      <c r="D106" t="s">
        <v>456</v>
      </c>
      <c r="E106" t="s">
        <v>457</v>
      </c>
      <c r="F106" t="s">
        <v>382</v>
      </c>
      <c r="G106" t="s">
        <v>28</v>
      </c>
      <c r="H106" t="s">
        <v>15</v>
      </c>
      <c r="I106" t="s">
        <v>458</v>
      </c>
      <c r="J106" t="s">
        <v>433</v>
      </c>
      <c r="K106" t="s">
        <v>450</v>
      </c>
    </row>
    <row r="107" spans="1:11" x14ac:dyDescent="0.25">
      <c r="A107">
        <v>2</v>
      </c>
      <c r="B107">
        <v>5</v>
      </c>
      <c r="C107">
        <v>13.5</v>
      </c>
      <c r="D107" t="s">
        <v>459</v>
      </c>
      <c r="E107" t="s">
        <v>460</v>
      </c>
      <c r="F107" t="s">
        <v>382</v>
      </c>
      <c r="G107" t="s">
        <v>21</v>
      </c>
      <c r="H107" t="s">
        <v>15</v>
      </c>
      <c r="I107" t="s">
        <v>461</v>
      </c>
      <c r="J107" t="s">
        <v>462</v>
      </c>
      <c r="K107" t="s">
        <v>463</v>
      </c>
    </row>
    <row r="108" spans="1:11" x14ac:dyDescent="0.25">
      <c r="A108">
        <v>3</v>
      </c>
      <c r="B108">
        <v>1</v>
      </c>
      <c r="C108" t="s">
        <v>464</v>
      </c>
      <c r="D108" t="s">
        <v>465</v>
      </c>
      <c r="E108" t="s">
        <v>466</v>
      </c>
      <c r="F108" t="s">
        <v>382</v>
      </c>
      <c r="G108" t="s">
        <v>28</v>
      </c>
      <c r="H108" t="s">
        <v>15</v>
      </c>
      <c r="I108" t="s">
        <v>467</v>
      </c>
      <c r="J108" t="s">
        <v>462</v>
      </c>
      <c r="K108" t="s">
        <v>463</v>
      </c>
    </row>
    <row r="109" spans="1:11" x14ac:dyDescent="0.25">
      <c r="A109">
        <v>3</v>
      </c>
      <c r="B109">
        <v>2</v>
      </c>
      <c r="C109" t="s">
        <v>468</v>
      </c>
      <c r="D109" t="s">
        <v>469</v>
      </c>
      <c r="E109" t="s">
        <v>470</v>
      </c>
      <c r="F109" t="s">
        <v>382</v>
      </c>
      <c r="G109" t="s">
        <v>28</v>
      </c>
      <c r="H109" t="s">
        <v>15</v>
      </c>
      <c r="I109" t="s">
        <v>471</v>
      </c>
      <c r="J109" t="s">
        <v>462</v>
      </c>
      <c r="K109" t="s">
        <v>463</v>
      </c>
    </row>
    <row r="110" spans="1:11" x14ac:dyDescent="0.25">
      <c r="A110">
        <v>3</v>
      </c>
      <c r="B110">
        <v>3</v>
      </c>
      <c r="C110" t="s">
        <v>472</v>
      </c>
      <c r="D110" t="s">
        <v>473</v>
      </c>
      <c r="E110" t="s">
        <v>474</v>
      </c>
      <c r="F110" t="s">
        <v>382</v>
      </c>
      <c r="G110" t="s">
        <v>28</v>
      </c>
      <c r="H110" t="s">
        <v>15</v>
      </c>
      <c r="I110" t="s">
        <v>475</v>
      </c>
      <c r="J110" t="s">
        <v>462</v>
      </c>
      <c r="K110" t="s">
        <v>463</v>
      </c>
    </row>
    <row r="111" spans="1:11" x14ac:dyDescent="0.25">
      <c r="A111">
        <v>1</v>
      </c>
      <c r="B111">
        <v>6</v>
      </c>
      <c r="C111">
        <v>8</v>
      </c>
      <c r="D111" t="s">
        <v>476</v>
      </c>
      <c r="E111" t="s">
        <v>477</v>
      </c>
      <c r="F111" t="s">
        <v>478</v>
      </c>
      <c r="G111" t="s">
        <v>14</v>
      </c>
      <c r="H111" t="s">
        <v>479</v>
      </c>
      <c r="I111" t="s">
        <v>480</v>
      </c>
      <c r="J111" t="s">
        <v>481</v>
      </c>
      <c r="K111" t="s">
        <v>482</v>
      </c>
    </row>
    <row r="112" spans="1:11" x14ac:dyDescent="0.25">
      <c r="A112">
        <v>2</v>
      </c>
      <c r="B112">
        <v>1</v>
      </c>
      <c r="C112">
        <v>8.1</v>
      </c>
      <c r="D112" t="s">
        <v>483</v>
      </c>
      <c r="E112" t="s">
        <v>484</v>
      </c>
      <c r="F112" t="s">
        <v>478</v>
      </c>
      <c r="G112" t="s">
        <v>21</v>
      </c>
      <c r="H112" t="s">
        <v>479</v>
      </c>
      <c r="I112" t="s">
        <v>485</v>
      </c>
      <c r="J112" t="s">
        <v>23</v>
      </c>
      <c r="K112" t="s">
        <v>486</v>
      </c>
    </row>
    <row r="113" spans="1:11" x14ac:dyDescent="0.25">
      <c r="A113">
        <v>3</v>
      </c>
      <c r="B113">
        <v>1</v>
      </c>
      <c r="C113" t="s">
        <v>487</v>
      </c>
      <c r="D113" t="s">
        <v>488</v>
      </c>
      <c r="E113" t="s">
        <v>489</v>
      </c>
      <c r="F113" t="s">
        <v>478</v>
      </c>
      <c r="G113" t="s">
        <v>28</v>
      </c>
      <c r="H113" t="s">
        <v>479</v>
      </c>
      <c r="I113" t="s">
        <v>490</v>
      </c>
      <c r="J113" t="s">
        <v>23</v>
      </c>
      <c r="K113" t="s">
        <v>486</v>
      </c>
    </row>
    <row r="114" spans="1:11" x14ac:dyDescent="0.25">
      <c r="A114">
        <v>3</v>
      </c>
      <c r="B114">
        <v>2</v>
      </c>
      <c r="C114" t="s">
        <v>491</v>
      </c>
      <c r="D114" t="s">
        <v>492</v>
      </c>
      <c r="E114" t="s">
        <v>493</v>
      </c>
      <c r="F114" t="s">
        <v>478</v>
      </c>
      <c r="G114" t="s">
        <v>28</v>
      </c>
      <c r="H114" t="s">
        <v>479</v>
      </c>
      <c r="I114" t="s">
        <v>494</v>
      </c>
      <c r="J114" t="s">
        <v>23</v>
      </c>
      <c r="K114" t="s">
        <v>486</v>
      </c>
    </row>
    <row r="115" spans="1:11" x14ac:dyDescent="0.25">
      <c r="A115">
        <v>3</v>
      </c>
      <c r="B115">
        <v>3</v>
      </c>
      <c r="C115" t="s">
        <v>495</v>
      </c>
      <c r="D115" t="s">
        <v>496</v>
      </c>
      <c r="E115" t="s">
        <v>497</v>
      </c>
      <c r="F115" t="s">
        <v>478</v>
      </c>
      <c r="G115" t="s">
        <v>28</v>
      </c>
      <c r="H115" t="s">
        <v>479</v>
      </c>
      <c r="I115" t="s">
        <v>498</v>
      </c>
      <c r="J115" t="s">
        <v>23</v>
      </c>
      <c r="K115" t="s">
        <v>486</v>
      </c>
    </row>
    <row r="116" spans="1:11" x14ac:dyDescent="0.25">
      <c r="A116">
        <v>3</v>
      </c>
      <c r="B116">
        <v>4</v>
      </c>
      <c r="C116" t="s">
        <v>499</v>
      </c>
      <c r="D116" t="s">
        <v>500</v>
      </c>
      <c r="E116" t="s">
        <v>501</v>
      </c>
      <c r="F116" t="s">
        <v>478</v>
      </c>
      <c r="G116" t="s">
        <v>28</v>
      </c>
      <c r="H116" t="s">
        <v>479</v>
      </c>
      <c r="I116" t="s">
        <v>502</v>
      </c>
      <c r="J116" t="s">
        <v>23</v>
      </c>
      <c r="K116" t="s">
        <v>486</v>
      </c>
    </row>
    <row r="117" spans="1:11" x14ac:dyDescent="0.25">
      <c r="A117">
        <v>2</v>
      </c>
      <c r="B117">
        <v>2</v>
      </c>
      <c r="C117">
        <v>8.1999999999999993</v>
      </c>
      <c r="D117" t="s">
        <v>503</v>
      </c>
      <c r="E117" t="s">
        <v>504</v>
      </c>
      <c r="F117" t="s">
        <v>478</v>
      </c>
      <c r="G117" t="s">
        <v>21</v>
      </c>
      <c r="H117" t="s">
        <v>479</v>
      </c>
      <c r="I117" t="s">
        <v>505</v>
      </c>
      <c r="J117" t="s">
        <v>23</v>
      </c>
      <c r="K117" t="s">
        <v>482</v>
      </c>
    </row>
    <row r="118" spans="1:11" x14ac:dyDescent="0.25">
      <c r="A118">
        <v>3</v>
      </c>
      <c r="B118">
        <v>1</v>
      </c>
      <c r="C118" t="s">
        <v>506</v>
      </c>
      <c r="D118" t="s">
        <v>507</v>
      </c>
      <c r="E118" t="s">
        <v>508</v>
      </c>
      <c r="F118" t="s">
        <v>478</v>
      </c>
      <c r="G118" t="s">
        <v>28</v>
      </c>
      <c r="H118" t="s">
        <v>479</v>
      </c>
      <c r="I118" t="s">
        <v>509</v>
      </c>
      <c r="J118" t="s">
        <v>23</v>
      </c>
      <c r="K118" t="s">
        <v>510</v>
      </c>
    </row>
    <row r="119" spans="1:11" x14ac:dyDescent="0.25">
      <c r="A119">
        <v>3</v>
      </c>
      <c r="B119">
        <v>2</v>
      </c>
      <c r="C119" t="s">
        <v>511</v>
      </c>
      <c r="D119" t="s">
        <v>512</v>
      </c>
      <c r="E119" t="s">
        <v>513</v>
      </c>
      <c r="F119" t="s">
        <v>478</v>
      </c>
      <c r="G119" t="s">
        <v>28</v>
      </c>
      <c r="H119" t="s">
        <v>479</v>
      </c>
      <c r="I119" t="s">
        <v>514</v>
      </c>
      <c r="J119" t="s">
        <v>23</v>
      </c>
      <c r="K119" t="s">
        <v>510</v>
      </c>
    </row>
    <row r="120" spans="1:11" x14ac:dyDescent="0.25">
      <c r="A120">
        <v>3</v>
      </c>
      <c r="B120">
        <v>3</v>
      </c>
      <c r="C120" t="s">
        <v>515</v>
      </c>
      <c r="D120" t="s">
        <v>516</v>
      </c>
      <c r="E120" t="s">
        <v>517</v>
      </c>
      <c r="F120" t="s">
        <v>478</v>
      </c>
      <c r="G120" t="s">
        <v>28</v>
      </c>
      <c r="H120" t="s">
        <v>479</v>
      </c>
      <c r="I120" t="s">
        <v>518</v>
      </c>
      <c r="J120" t="s">
        <v>23</v>
      </c>
      <c r="K120" t="s">
        <v>510</v>
      </c>
    </row>
    <row r="121" spans="1:11" x14ac:dyDescent="0.25">
      <c r="A121">
        <v>2</v>
      </c>
      <c r="B121">
        <v>3</v>
      </c>
      <c r="C121">
        <v>8.3000000000000007</v>
      </c>
      <c r="D121" t="s">
        <v>519</v>
      </c>
      <c r="E121" t="s">
        <v>520</v>
      </c>
      <c r="F121" t="s">
        <v>478</v>
      </c>
      <c r="G121" t="s">
        <v>21</v>
      </c>
      <c r="H121" t="s">
        <v>479</v>
      </c>
      <c r="I121" t="s">
        <v>521</v>
      </c>
      <c r="J121" t="s">
        <v>522</v>
      </c>
      <c r="K121" t="s">
        <v>523</v>
      </c>
    </row>
    <row r="122" spans="1:11" x14ac:dyDescent="0.25">
      <c r="A122">
        <v>3</v>
      </c>
      <c r="B122">
        <v>1</v>
      </c>
      <c r="C122" t="s">
        <v>524</v>
      </c>
      <c r="D122" t="s">
        <v>525</v>
      </c>
      <c r="E122" t="s">
        <v>526</v>
      </c>
      <c r="F122" t="s">
        <v>478</v>
      </c>
      <c r="G122" t="s">
        <v>28</v>
      </c>
      <c r="H122" t="s">
        <v>479</v>
      </c>
      <c r="I122" t="s">
        <v>527</v>
      </c>
      <c r="J122" t="s">
        <v>522</v>
      </c>
      <c r="K122" t="s">
        <v>523</v>
      </c>
    </row>
    <row r="123" spans="1:11" x14ac:dyDescent="0.25">
      <c r="A123">
        <v>3</v>
      </c>
      <c r="B123">
        <v>2</v>
      </c>
      <c r="C123" t="s">
        <v>528</v>
      </c>
      <c r="D123" t="s">
        <v>529</v>
      </c>
      <c r="E123" t="s">
        <v>530</v>
      </c>
      <c r="F123" t="s">
        <v>478</v>
      </c>
      <c r="G123" t="s">
        <v>28</v>
      </c>
      <c r="H123" t="s">
        <v>479</v>
      </c>
      <c r="I123" t="s">
        <v>531</v>
      </c>
      <c r="J123" t="s">
        <v>522</v>
      </c>
      <c r="K123" t="s">
        <v>523</v>
      </c>
    </row>
    <row r="124" spans="1:11" x14ac:dyDescent="0.25">
      <c r="A124">
        <v>2</v>
      </c>
      <c r="B124">
        <v>4</v>
      </c>
      <c r="C124">
        <v>8.4</v>
      </c>
      <c r="D124" t="s">
        <v>532</v>
      </c>
      <c r="E124" t="s">
        <v>533</v>
      </c>
      <c r="F124" t="s">
        <v>478</v>
      </c>
      <c r="G124" t="s">
        <v>21</v>
      </c>
      <c r="H124" t="s">
        <v>479</v>
      </c>
      <c r="I124" t="s">
        <v>534</v>
      </c>
      <c r="J124" t="s">
        <v>522</v>
      </c>
      <c r="K124" t="s">
        <v>535</v>
      </c>
    </row>
    <row r="125" spans="1:11" x14ac:dyDescent="0.25">
      <c r="A125">
        <v>3</v>
      </c>
      <c r="B125">
        <v>1</v>
      </c>
      <c r="C125" t="s">
        <v>536</v>
      </c>
      <c r="D125" t="s">
        <v>537</v>
      </c>
      <c r="E125" t="s">
        <v>538</v>
      </c>
      <c r="F125" t="s">
        <v>478</v>
      </c>
      <c r="G125" t="s">
        <v>28</v>
      </c>
      <c r="H125" t="s">
        <v>479</v>
      </c>
      <c r="I125" t="s">
        <v>539</v>
      </c>
      <c r="J125" t="s">
        <v>522</v>
      </c>
      <c r="K125" t="s">
        <v>535</v>
      </c>
    </row>
    <row r="126" spans="1:11" x14ac:dyDescent="0.25">
      <c r="A126">
        <v>3</v>
      </c>
      <c r="B126">
        <v>2</v>
      </c>
      <c r="C126" t="s">
        <v>540</v>
      </c>
      <c r="D126" t="s">
        <v>541</v>
      </c>
      <c r="E126" t="s">
        <v>542</v>
      </c>
      <c r="F126" t="s">
        <v>478</v>
      </c>
      <c r="G126" t="s">
        <v>28</v>
      </c>
      <c r="H126" t="s">
        <v>479</v>
      </c>
      <c r="I126" t="s">
        <v>543</v>
      </c>
      <c r="J126" t="s">
        <v>522</v>
      </c>
      <c r="K126" t="s">
        <v>535</v>
      </c>
    </row>
    <row r="127" spans="1:11" x14ac:dyDescent="0.25">
      <c r="A127">
        <v>3</v>
      </c>
      <c r="B127">
        <v>3</v>
      </c>
      <c r="C127" t="s">
        <v>544</v>
      </c>
      <c r="D127" t="s">
        <v>545</v>
      </c>
      <c r="E127" t="s">
        <v>546</v>
      </c>
      <c r="F127" t="s">
        <v>478</v>
      </c>
      <c r="G127" t="s">
        <v>28</v>
      </c>
      <c r="H127" t="s">
        <v>479</v>
      </c>
      <c r="I127" t="s">
        <v>547</v>
      </c>
      <c r="J127" t="s">
        <v>522</v>
      </c>
      <c r="K127" t="s">
        <v>535</v>
      </c>
    </row>
    <row r="128" spans="1:11" x14ac:dyDescent="0.25">
      <c r="A128">
        <v>3</v>
      </c>
      <c r="B128">
        <v>4</v>
      </c>
      <c r="C128" t="s">
        <v>548</v>
      </c>
      <c r="D128" t="s">
        <v>549</v>
      </c>
      <c r="E128" t="s">
        <v>550</v>
      </c>
      <c r="F128" t="s">
        <v>478</v>
      </c>
      <c r="G128" t="s">
        <v>28</v>
      </c>
      <c r="H128" t="s">
        <v>479</v>
      </c>
      <c r="I128" t="s">
        <v>551</v>
      </c>
      <c r="J128" t="s">
        <v>522</v>
      </c>
      <c r="K128" t="s">
        <v>535</v>
      </c>
    </row>
    <row r="129" spans="1:11" x14ac:dyDescent="0.25">
      <c r="A129">
        <v>1</v>
      </c>
      <c r="B129">
        <v>7</v>
      </c>
      <c r="C129">
        <v>9</v>
      </c>
      <c r="D129" t="s">
        <v>552</v>
      </c>
      <c r="E129" t="s">
        <v>553</v>
      </c>
      <c r="F129" t="s">
        <v>554</v>
      </c>
      <c r="G129" t="s">
        <v>14</v>
      </c>
      <c r="H129" t="s">
        <v>479</v>
      </c>
      <c r="I129" t="s">
        <v>555</v>
      </c>
      <c r="J129" t="s">
        <v>556</v>
      </c>
      <c r="K129" t="s">
        <v>557</v>
      </c>
    </row>
    <row r="130" spans="1:11" x14ac:dyDescent="0.25">
      <c r="A130">
        <v>2</v>
      </c>
      <c r="B130">
        <v>1</v>
      </c>
      <c r="C130">
        <v>9.1</v>
      </c>
      <c r="D130" t="s">
        <v>558</v>
      </c>
      <c r="E130" t="s">
        <v>559</v>
      </c>
      <c r="F130" t="s">
        <v>554</v>
      </c>
      <c r="G130" t="s">
        <v>21</v>
      </c>
      <c r="H130" t="s">
        <v>479</v>
      </c>
      <c r="I130" t="s">
        <v>560</v>
      </c>
      <c r="J130" t="s">
        <v>23</v>
      </c>
      <c r="K130" t="s">
        <v>561</v>
      </c>
    </row>
    <row r="131" spans="1:11" x14ac:dyDescent="0.25">
      <c r="A131">
        <v>3</v>
      </c>
      <c r="B131">
        <v>1</v>
      </c>
      <c r="C131" t="s">
        <v>562</v>
      </c>
      <c r="D131" t="s">
        <v>563</v>
      </c>
      <c r="E131" t="s">
        <v>564</v>
      </c>
      <c r="F131" t="s">
        <v>554</v>
      </c>
      <c r="G131" t="s">
        <v>28</v>
      </c>
      <c r="H131" t="s">
        <v>479</v>
      </c>
      <c r="I131" t="s">
        <v>565</v>
      </c>
      <c r="J131" t="s">
        <v>23</v>
      </c>
      <c r="K131" t="s">
        <v>561</v>
      </c>
    </row>
    <row r="132" spans="1:11" x14ac:dyDescent="0.25">
      <c r="A132">
        <v>3</v>
      </c>
      <c r="B132">
        <v>2</v>
      </c>
      <c r="C132" t="s">
        <v>566</v>
      </c>
      <c r="D132" t="s">
        <v>567</v>
      </c>
      <c r="E132" t="s">
        <v>568</v>
      </c>
      <c r="F132" t="s">
        <v>554</v>
      </c>
      <c r="G132" t="s">
        <v>28</v>
      </c>
      <c r="H132" t="s">
        <v>479</v>
      </c>
      <c r="I132" t="s">
        <v>569</v>
      </c>
      <c r="J132" t="s">
        <v>23</v>
      </c>
      <c r="K132" t="s">
        <v>561</v>
      </c>
    </row>
    <row r="133" spans="1:11" x14ac:dyDescent="0.25">
      <c r="A133">
        <v>3</v>
      </c>
      <c r="B133">
        <v>3</v>
      </c>
      <c r="C133" t="s">
        <v>570</v>
      </c>
      <c r="D133" t="s">
        <v>571</v>
      </c>
      <c r="E133" t="s">
        <v>572</v>
      </c>
      <c r="F133" t="s">
        <v>554</v>
      </c>
      <c r="G133" t="s">
        <v>28</v>
      </c>
      <c r="H133" t="s">
        <v>479</v>
      </c>
      <c r="I133" t="s">
        <v>573</v>
      </c>
      <c r="J133" t="s">
        <v>23</v>
      </c>
      <c r="K133" t="s">
        <v>574</v>
      </c>
    </row>
    <row r="134" spans="1:11" x14ac:dyDescent="0.25">
      <c r="A134">
        <v>2</v>
      </c>
      <c r="B134">
        <v>2</v>
      </c>
      <c r="C134">
        <v>9.1999999999999993</v>
      </c>
      <c r="D134" t="s">
        <v>575</v>
      </c>
      <c r="E134" t="s">
        <v>576</v>
      </c>
      <c r="F134" t="s">
        <v>554</v>
      </c>
      <c r="G134" t="s">
        <v>21</v>
      </c>
      <c r="H134" t="s">
        <v>479</v>
      </c>
      <c r="I134" t="s">
        <v>577</v>
      </c>
      <c r="J134" t="s">
        <v>23</v>
      </c>
      <c r="K134" t="s">
        <v>578</v>
      </c>
    </row>
    <row r="135" spans="1:11" x14ac:dyDescent="0.25">
      <c r="A135">
        <v>3</v>
      </c>
      <c r="B135">
        <v>1</v>
      </c>
      <c r="C135" t="s">
        <v>579</v>
      </c>
      <c r="D135" t="s">
        <v>580</v>
      </c>
      <c r="E135" t="s">
        <v>581</v>
      </c>
      <c r="F135" t="s">
        <v>554</v>
      </c>
      <c r="G135" t="s">
        <v>28</v>
      </c>
      <c r="H135" t="s">
        <v>479</v>
      </c>
      <c r="I135" t="s">
        <v>582</v>
      </c>
      <c r="J135" t="s">
        <v>23</v>
      </c>
      <c r="K135" t="s">
        <v>578</v>
      </c>
    </row>
    <row r="136" spans="1:11" x14ac:dyDescent="0.25">
      <c r="A136">
        <v>3</v>
      </c>
      <c r="B136">
        <v>2</v>
      </c>
      <c r="C136" t="s">
        <v>583</v>
      </c>
      <c r="D136" t="s">
        <v>584</v>
      </c>
      <c r="E136" t="s">
        <v>585</v>
      </c>
      <c r="F136" t="s">
        <v>554</v>
      </c>
      <c r="G136" t="s">
        <v>28</v>
      </c>
      <c r="H136" t="s">
        <v>479</v>
      </c>
      <c r="I136" t="s">
        <v>586</v>
      </c>
      <c r="J136" t="s">
        <v>23</v>
      </c>
      <c r="K136" t="s">
        <v>578</v>
      </c>
    </row>
    <row r="137" spans="1:11" x14ac:dyDescent="0.25">
      <c r="A137">
        <v>2</v>
      </c>
      <c r="B137">
        <v>3</v>
      </c>
      <c r="C137">
        <v>9.3000000000000007</v>
      </c>
      <c r="D137" t="s">
        <v>587</v>
      </c>
      <c r="E137" t="s">
        <v>588</v>
      </c>
      <c r="F137" t="s">
        <v>554</v>
      </c>
      <c r="G137" t="s">
        <v>21</v>
      </c>
      <c r="H137" t="s">
        <v>479</v>
      </c>
      <c r="I137" t="s">
        <v>589</v>
      </c>
      <c r="J137" t="s">
        <v>130</v>
      </c>
      <c r="K137" t="s">
        <v>590</v>
      </c>
    </row>
    <row r="138" spans="1:11" x14ac:dyDescent="0.25">
      <c r="A138">
        <v>3</v>
      </c>
      <c r="B138">
        <v>1</v>
      </c>
      <c r="C138" t="s">
        <v>591</v>
      </c>
      <c r="D138" t="s">
        <v>592</v>
      </c>
      <c r="E138" t="s">
        <v>593</v>
      </c>
      <c r="F138" t="s">
        <v>554</v>
      </c>
      <c r="G138" t="s">
        <v>28</v>
      </c>
      <c r="H138" t="s">
        <v>479</v>
      </c>
      <c r="I138" t="s">
        <v>594</v>
      </c>
      <c r="J138" t="s">
        <v>130</v>
      </c>
      <c r="K138" t="s">
        <v>590</v>
      </c>
    </row>
    <row r="139" spans="1:11" x14ac:dyDescent="0.25">
      <c r="A139">
        <v>3</v>
      </c>
      <c r="B139">
        <v>2</v>
      </c>
      <c r="C139" t="s">
        <v>595</v>
      </c>
      <c r="D139" t="s">
        <v>596</v>
      </c>
      <c r="E139" t="s">
        <v>597</v>
      </c>
      <c r="F139" t="s">
        <v>554</v>
      </c>
      <c r="G139" t="s">
        <v>28</v>
      </c>
      <c r="H139" t="s">
        <v>479</v>
      </c>
      <c r="I139" t="s">
        <v>598</v>
      </c>
      <c r="J139" t="s">
        <v>130</v>
      </c>
      <c r="K139" t="s">
        <v>590</v>
      </c>
    </row>
    <row r="140" spans="1:11" x14ac:dyDescent="0.25">
      <c r="A140">
        <v>3</v>
      </c>
      <c r="B140">
        <v>3</v>
      </c>
      <c r="C140" t="s">
        <v>599</v>
      </c>
      <c r="D140" t="s">
        <v>600</v>
      </c>
      <c r="E140" t="s">
        <v>601</v>
      </c>
      <c r="F140" t="s">
        <v>554</v>
      </c>
      <c r="G140" t="s">
        <v>28</v>
      </c>
      <c r="H140" t="s">
        <v>479</v>
      </c>
      <c r="I140" t="s">
        <v>602</v>
      </c>
      <c r="J140" t="s">
        <v>130</v>
      </c>
      <c r="K140" t="s">
        <v>590</v>
      </c>
    </row>
    <row r="141" spans="1:11" x14ac:dyDescent="0.25">
      <c r="A141">
        <v>2</v>
      </c>
      <c r="B141">
        <v>4</v>
      </c>
      <c r="C141">
        <v>9.4</v>
      </c>
      <c r="D141" t="s">
        <v>603</v>
      </c>
      <c r="E141" t="s">
        <v>604</v>
      </c>
      <c r="F141" t="s">
        <v>554</v>
      </c>
      <c r="G141" t="s">
        <v>21</v>
      </c>
      <c r="H141" t="s">
        <v>479</v>
      </c>
      <c r="I141" t="s">
        <v>605</v>
      </c>
      <c r="J141" t="s">
        <v>23</v>
      </c>
      <c r="K141" t="s">
        <v>606</v>
      </c>
    </row>
    <row r="142" spans="1:11" x14ac:dyDescent="0.25">
      <c r="A142">
        <v>3</v>
      </c>
      <c r="B142">
        <v>1</v>
      </c>
      <c r="C142" t="s">
        <v>607</v>
      </c>
      <c r="D142" t="s">
        <v>608</v>
      </c>
      <c r="E142" t="s">
        <v>609</v>
      </c>
      <c r="F142" t="s">
        <v>554</v>
      </c>
      <c r="G142" t="s">
        <v>28</v>
      </c>
      <c r="H142" t="s">
        <v>479</v>
      </c>
      <c r="I142" t="s">
        <v>610</v>
      </c>
      <c r="J142" t="s">
        <v>23</v>
      </c>
      <c r="K142" t="s">
        <v>606</v>
      </c>
    </row>
    <row r="143" spans="1:11" x14ac:dyDescent="0.25">
      <c r="A143">
        <v>3</v>
      </c>
      <c r="B143">
        <v>2</v>
      </c>
      <c r="C143" t="s">
        <v>611</v>
      </c>
      <c r="D143" t="s">
        <v>612</v>
      </c>
      <c r="E143" t="s">
        <v>613</v>
      </c>
      <c r="F143" t="s">
        <v>554</v>
      </c>
      <c r="G143" t="s">
        <v>28</v>
      </c>
      <c r="H143" t="s">
        <v>479</v>
      </c>
      <c r="I143" t="s">
        <v>614</v>
      </c>
      <c r="J143" t="s">
        <v>23</v>
      </c>
      <c r="K143" t="s">
        <v>606</v>
      </c>
    </row>
    <row r="144" spans="1:11" x14ac:dyDescent="0.25">
      <c r="A144">
        <v>1</v>
      </c>
      <c r="B144">
        <v>8</v>
      </c>
      <c r="C144">
        <v>7</v>
      </c>
      <c r="D144" t="s">
        <v>615</v>
      </c>
      <c r="E144" t="s">
        <v>616</v>
      </c>
      <c r="F144" t="s">
        <v>478</v>
      </c>
      <c r="G144" t="s">
        <v>14</v>
      </c>
      <c r="H144" t="s">
        <v>479</v>
      </c>
      <c r="I144" t="s">
        <v>617</v>
      </c>
      <c r="J144" t="s">
        <v>618</v>
      </c>
      <c r="K144" t="s">
        <v>619</v>
      </c>
    </row>
    <row r="145" spans="1:11" x14ac:dyDescent="0.25">
      <c r="A145">
        <v>2</v>
      </c>
      <c r="B145">
        <v>1</v>
      </c>
      <c r="C145">
        <v>7.1</v>
      </c>
      <c r="D145" t="s">
        <v>620</v>
      </c>
      <c r="E145" t="s">
        <v>621</v>
      </c>
      <c r="F145" t="s">
        <v>478</v>
      </c>
      <c r="G145" t="s">
        <v>21</v>
      </c>
      <c r="H145" t="s">
        <v>479</v>
      </c>
      <c r="I145" t="s">
        <v>622</v>
      </c>
      <c r="J145" t="s">
        <v>623</v>
      </c>
      <c r="K145" t="s">
        <v>619</v>
      </c>
    </row>
    <row r="146" spans="1:11" x14ac:dyDescent="0.25">
      <c r="A146">
        <v>3</v>
      </c>
      <c r="B146">
        <v>1</v>
      </c>
      <c r="C146" t="s">
        <v>624</v>
      </c>
      <c r="D146" t="s">
        <v>625</v>
      </c>
      <c r="E146" t="s">
        <v>626</v>
      </c>
      <c r="F146" t="s">
        <v>478</v>
      </c>
      <c r="G146" t="s">
        <v>28</v>
      </c>
      <c r="H146" t="s">
        <v>479</v>
      </c>
      <c r="I146" t="s">
        <v>627</v>
      </c>
      <c r="J146" t="s">
        <v>623</v>
      </c>
      <c r="K146" t="s">
        <v>628</v>
      </c>
    </row>
    <row r="147" spans="1:11" x14ac:dyDescent="0.25">
      <c r="A147">
        <v>3</v>
      </c>
      <c r="B147">
        <v>2</v>
      </c>
      <c r="C147" t="s">
        <v>629</v>
      </c>
      <c r="D147" t="s">
        <v>630</v>
      </c>
      <c r="E147" t="s">
        <v>631</v>
      </c>
      <c r="F147" t="s">
        <v>478</v>
      </c>
      <c r="G147" t="s">
        <v>28</v>
      </c>
      <c r="H147" t="s">
        <v>479</v>
      </c>
      <c r="I147" t="s">
        <v>632</v>
      </c>
      <c r="J147" t="s">
        <v>623</v>
      </c>
      <c r="K147" t="s">
        <v>628</v>
      </c>
    </row>
    <row r="148" spans="1:11" x14ac:dyDescent="0.25">
      <c r="A148">
        <v>3</v>
      </c>
      <c r="B148">
        <v>3</v>
      </c>
      <c r="C148" t="s">
        <v>633</v>
      </c>
      <c r="D148" t="s">
        <v>634</v>
      </c>
      <c r="E148" t="s">
        <v>635</v>
      </c>
      <c r="F148" t="s">
        <v>478</v>
      </c>
      <c r="G148" t="s">
        <v>28</v>
      </c>
      <c r="H148" t="s">
        <v>479</v>
      </c>
      <c r="I148" t="s">
        <v>636</v>
      </c>
      <c r="J148" t="s">
        <v>623</v>
      </c>
      <c r="K148" t="s">
        <v>628</v>
      </c>
    </row>
    <row r="149" spans="1:11" x14ac:dyDescent="0.25">
      <c r="A149">
        <v>3</v>
      </c>
      <c r="B149">
        <v>4</v>
      </c>
      <c r="C149" t="s">
        <v>637</v>
      </c>
      <c r="D149" t="s">
        <v>638</v>
      </c>
      <c r="E149" t="s">
        <v>639</v>
      </c>
      <c r="F149" t="s">
        <v>478</v>
      </c>
      <c r="G149" t="s">
        <v>28</v>
      </c>
      <c r="H149" t="s">
        <v>479</v>
      </c>
      <c r="I149" t="s">
        <v>640</v>
      </c>
      <c r="J149" t="s">
        <v>623</v>
      </c>
      <c r="K149" t="s">
        <v>628</v>
      </c>
    </row>
    <row r="150" spans="1:11" x14ac:dyDescent="0.25">
      <c r="A150">
        <v>2</v>
      </c>
      <c r="B150">
        <v>2</v>
      </c>
      <c r="C150">
        <v>7.2</v>
      </c>
      <c r="D150" t="s">
        <v>641</v>
      </c>
      <c r="E150" t="s">
        <v>642</v>
      </c>
      <c r="F150" t="s">
        <v>478</v>
      </c>
      <c r="G150" t="s">
        <v>21</v>
      </c>
      <c r="H150" t="s">
        <v>479</v>
      </c>
      <c r="I150" t="s">
        <v>643</v>
      </c>
      <c r="J150" t="s">
        <v>644</v>
      </c>
      <c r="K150" t="s">
        <v>619</v>
      </c>
    </row>
    <row r="151" spans="1:11" x14ac:dyDescent="0.25">
      <c r="A151">
        <v>3</v>
      </c>
      <c r="B151">
        <v>1</v>
      </c>
      <c r="C151" t="s">
        <v>645</v>
      </c>
      <c r="D151" t="s">
        <v>646</v>
      </c>
      <c r="E151" t="s">
        <v>647</v>
      </c>
      <c r="F151" t="s">
        <v>478</v>
      </c>
      <c r="G151" t="s">
        <v>28</v>
      </c>
      <c r="H151" t="s">
        <v>479</v>
      </c>
      <c r="I151" t="s">
        <v>648</v>
      </c>
      <c r="J151" t="s">
        <v>644</v>
      </c>
      <c r="K151" t="s">
        <v>649</v>
      </c>
    </row>
    <row r="152" spans="1:11" x14ac:dyDescent="0.25">
      <c r="A152">
        <v>3</v>
      </c>
      <c r="B152">
        <v>2</v>
      </c>
      <c r="C152" t="s">
        <v>650</v>
      </c>
      <c r="D152" t="s">
        <v>651</v>
      </c>
      <c r="E152" t="s">
        <v>652</v>
      </c>
      <c r="F152" t="s">
        <v>478</v>
      </c>
      <c r="G152" t="s">
        <v>28</v>
      </c>
      <c r="H152" t="s">
        <v>479</v>
      </c>
      <c r="I152" t="s">
        <v>653</v>
      </c>
      <c r="J152" t="s">
        <v>644</v>
      </c>
      <c r="K152" t="s">
        <v>649</v>
      </c>
    </row>
    <row r="153" spans="1:11" x14ac:dyDescent="0.25">
      <c r="A153">
        <v>3</v>
      </c>
      <c r="B153">
        <v>3</v>
      </c>
      <c r="C153" t="s">
        <v>654</v>
      </c>
      <c r="D153" t="s">
        <v>655</v>
      </c>
      <c r="E153" t="s">
        <v>656</v>
      </c>
      <c r="F153" t="s">
        <v>478</v>
      </c>
      <c r="G153" t="s">
        <v>28</v>
      </c>
      <c r="H153" t="s">
        <v>479</v>
      </c>
      <c r="I153" t="s">
        <v>657</v>
      </c>
      <c r="J153" t="s">
        <v>644</v>
      </c>
      <c r="K153" t="s">
        <v>649</v>
      </c>
    </row>
    <row r="154" spans="1:11" x14ac:dyDescent="0.25">
      <c r="A154">
        <v>3</v>
      </c>
      <c r="B154">
        <v>4</v>
      </c>
      <c r="C154" t="s">
        <v>658</v>
      </c>
      <c r="D154" t="s">
        <v>659</v>
      </c>
      <c r="E154" t="s">
        <v>660</v>
      </c>
      <c r="F154" t="s">
        <v>478</v>
      </c>
      <c r="G154" t="s">
        <v>28</v>
      </c>
      <c r="H154" t="s">
        <v>479</v>
      </c>
      <c r="I154" t="s">
        <v>661</v>
      </c>
      <c r="J154" t="s">
        <v>644</v>
      </c>
      <c r="K154" t="s">
        <v>649</v>
      </c>
    </row>
    <row r="155" spans="1:11" x14ac:dyDescent="0.25">
      <c r="A155">
        <v>2</v>
      </c>
      <c r="B155">
        <v>3</v>
      </c>
      <c r="C155">
        <v>7.3</v>
      </c>
      <c r="D155" t="s">
        <v>662</v>
      </c>
      <c r="E155" t="s">
        <v>663</v>
      </c>
      <c r="F155" t="s">
        <v>478</v>
      </c>
      <c r="G155" t="s">
        <v>21</v>
      </c>
      <c r="H155" t="s">
        <v>479</v>
      </c>
      <c r="I155" t="s">
        <v>664</v>
      </c>
      <c r="J155" t="s">
        <v>522</v>
      </c>
      <c r="K155" t="s">
        <v>665</v>
      </c>
    </row>
    <row r="156" spans="1:11" x14ac:dyDescent="0.25">
      <c r="A156">
        <v>3</v>
      </c>
      <c r="B156">
        <v>1</v>
      </c>
      <c r="C156" t="s">
        <v>666</v>
      </c>
      <c r="D156" t="s">
        <v>667</v>
      </c>
      <c r="E156" t="s">
        <v>668</v>
      </c>
      <c r="F156" t="s">
        <v>478</v>
      </c>
      <c r="G156" t="s">
        <v>28</v>
      </c>
      <c r="H156" t="s">
        <v>479</v>
      </c>
      <c r="I156" t="s">
        <v>669</v>
      </c>
      <c r="J156" t="s">
        <v>522</v>
      </c>
      <c r="K156" t="s">
        <v>665</v>
      </c>
    </row>
    <row r="157" spans="1:11" x14ac:dyDescent="0.25">
      <c r="A157">
        <v>3</v>
      </c>
      <c r="B157">
        <v>2</v>
      </c>
      <c r="C157" t="s">
        <v>670</v>
      </c>
      <c r="D157" t="s">
        <v>671</v>
      </c>
      <c r="E157" t="s">
        <v>672</v>
      </c>
      <c r="F157" t="s">
        <v>478</v>
      </c>
      <c r="G157" t="s">
        <v>28</v>
      </c>
      <c r="H157" t="s">
        <v>479</v>
      </c>
      <c r="I157" t="s">
        <v>673</v>
      </c>
      <c r="J157" t="s">
        <v>522</v>
      </c>
      <c r="K157" t="s">
        <v>649</v>
      </c>
    </row>
    <row r="158" spans="1:11" x14ac:dyDescent="0.25">
      <c r="A158">
        <v>3</v>
      </c>
      <c r="B158">
        <v>3</v>
      </c>
      <c r="C158" t="s">
        <v>674</v>
      </c>
      <c r="D158" t="s">
        <v>675</v>
      </c>
      <c r="E158" t="s">
        <v>676</v>
      </c>
      <c r="F158" t="s">
        <v>478</v>
      </c>
      <c r="G158" t="s">
        <v>28</v>
      </c>
      <c r="H158" t="s">
        <v>479</v>
      </c>
      <c r="I158" t="s">
        <v>677</v>
      </c>
      <c r="J158" t="s">
        <v>522</v>
      </c>
      <c r="K158" t="s">
        <v>665</v>
      </c>
    </row>
    <row r="159" spans="1:11" x14ac:dyDescent="0.25">
      <c r="A159">
        <v>3</v>
      </c>
      <c r="B159">
        <v>4</v>
      </c>
      <c r="C159" t="s">
        <v>678</v>
      </c>
      <c r="D159" t="s">
        <v>679</v>
      </c>
      <c r="E159" t="s">
        <v>680</v>
      </c>
      <c r="F159" t="s">
        <v>478</v>
      </c>
      <c r="G159" t="s">
        <v>28</v>
      </c>
      <c r="H159" t="s">
        <v>479</v>
      </c>
      <c r="I159" t="s">
        <v>681</v>
      </c>
      <c r="J159" t="s">
        <v>522</v>
      </c>
      <c r="K159" t="s">
        <v>665</v>
      </c>
    </row>
    <row r="160" spans="1:11" x14ac:dyDescent="0.25">
      <c r="A160">
        <v>2</v>
      </c>
      <c r="B160">
        <v>4</v>
      </c>
      <c r="C160">
        <v>7.4</v>
      </c>
      <c r="D160" t="s">
        <v>682</v>
      </c>
      <c r="E160" t="s">
        <v>683</v>
      </c>
      <c r="F160" t="s">
        <v>478</v>
      </c>
      <c r="G160" t="s">
        <v>21</v>
      </c>
      <c r="H160" t="s">
        <v>479</v>
      </c>
      <c r="I160" t="s">
        <v>684</v>
      </c>
      <c r="J160" t="s">
        <v>522</v>
      </c>
      <c r="K160" t="s">
        <v>685</v>
      </c>
    </row>
    <row r="161" spans="1:11" x14ac:dyDescent="0.25">
      <c r="A161">
        <v>3</v>
      </c>
      <c r="B161">
        <v>1</v>
      </c>
      <c r="C161" t="s">
        <v>686</v>
      </c>
      <c r="D161" t="s">
        <v>687</v>
      </c>
      <c r="E161" t="s">
        <v>688</v>
      </c>
      <c r="F161" t="s">
        <v>478</v>
      </c>
      <c r="G161" t="s">
        <v>28</v>
      </c>
      <c r="H161" t="s">
        <v>479</v>
      </c>
      <c r="I161" t="s">
        <v>689</v>
      </c>
      <c r="J161" t="s">
        <v>522</v>
      </c>
      <c r="K161" t="s">
        <v>685</v>
      </c>
    </row>
    <row r="162" spans="1:11" x14ac:dyDescent="0.25">
      <c r="A162">
        <v>3</v>
      </c>
      <c r="B162">
        <v>2</v>
      </c>
      <c r="C162" t="s">
        <v>690</v>
      </c>
      <c r="D162" t="s">
        <v>691</v>
      </c>
      <c r="E162" t="s">
        <v>692</v>
      </c>
      <c r="F162" t="s">
        <v>478</v>
      </c>
      <c r="G162" t="s">
        <v>28</v>
      </c>
      <c r="H162" t="s">
        <v>479</v>
      </c>
      <c r="I162" t="s">
        <v>693</v>
      </c>
      <c r="J162" t="s">
        <v>522</v>
      </c>
      <c r="K162" t="s">
        <v>685</v>
      </c>
    </row>
    <row r="163" spans="1:11" x14ac:dyDescent="0.25">
      <c r="A163">
        <v>1</v>
      </c>
      <c r="B163">
        <v>9</v>
      </c>
      <c r="C163">
        <v>12</v>
      </c>
      <c r="D163" t="s">
        <v>694</v>
      </c>
      <c r="E163" t="s">
        <v>695</v>
      </c>
      <c r="F163" t="s">
        <v>696</v>
      </c>
      <c r="G163" t="s">
        <v>14</v>
      </c>
      <c r="H163" t="s">
        <v>479</v>
      </c>
      <c r="I163" t="s">
        <v>697</v>
      </c>
      <c r="J163" t="s">
        <v>698</v>
      </c>
      <c r="K163" t="s">
        <v>699</v>
      </c>
    </row>
    <row r="164" spans="1:11" x14ac:dyDescent="0.25">
      <c r="A164">
        <v>2</v>
      </c>
      <c r="B164">
        <v>1</v>
      </c>
      <c r="C164">
        <v>12.1</v>
      </c>
      <c r="D164" t="s">
        <v>700</v>
      </c>
      <c r="E164" t="s">
        <v>701</v>
      </c>
      <c r="F164" t="s">
        <v>696</v>
      </c>
      <c r="G164" t="s">
        <v>21</v>
      </c>
      <c r="H164" t="s">
        <v>479</v>
      </c>
      <c r="I164" t="s">
        <v>702</v>
      </c>
      <c r="J164" t="s">
        <v>23</v>
      </c>
      <c r="K164" t="s">
        <v>703</v>
      </c>
    </row>
    <row r="165" spans="1:11" x14ac:dyDescent="0.25">
      <c r="A165">
        <v>3</v>
      </c>
      <c r="B165">
        <v>1</v>
      </c>
      <c r="C165" t="s">
        <v>704</v>
      </c>
      <c r="D165" t="s">
        <v>705</v>
      </c>
      <c r="E165" t="s">
        <v>706</v>
      </c>
      <c r="F165" t="s">
        <v>696</v>
      </c>
      <c r="G165" t="s">
        <v>28</v>
      </c>
      <c r="H165" t="s">
        <v>479</v>
      </c>
      <c r="I165" t="s">
        <v>707</v>
      </c>
      <c r="J165" t="s">
        <v>23</v>
      </c>
      <c r="K165" t="s">
        <v>703</v>
      </c>
    </row>
    <row r="166" spans="1:11" x14ac:dyDescent="0.25">
      <c r="A166">
        <v>3</v>
      </c>
      <c r="B166">
        <v>2</v>
      </c>
      <c r="C166" t="s">
        <v>708</v>
      </c>
      <c r="D166" t="s">
        <v>709</v>
      </c>
      <c r="E166" t="s">
        <v>710</v>
      </c>
      <c r="F166" t="s">
        <v>696</v>
      </c>
      <c r="G166" t="s">
        <v>28</v>
      </c>
      <c r="H166" t="s">
        <v>479</v>
      </c>
      <c r="I166" t="s">
        <v>711</v>
      </c>
      <c r="J166" t="s">
        <v>23</v>
      </c>
      <c r="K166" t="s">
        <v>703</v>
      </c>
    </row>
    <row r="167" spans="1:11" x14ac:dyDescent="0.25">
      <c r="A167">
        <v>3</v>
      </c>
      <c r="B167">
        <v>3</v>
      </c>
      <c r="C167" t="s">
        <v>712</v>
      </c>
      <c r="D167" t="s">
        <v>713</v>
      </c>
      <c r="E167" t="s">
        <v>714</v>
      </c>
      <c r="F167" t="s">
        <v>696</v>
      </c>
      <c r="G167" t="s">
        <v>28</v>
      </c>
      <c r="H167" t="s">
        <v>479</v>
      </c>
      <c r="I167" t="s">
        <v>715</v>
      </c>
      <c r="J167" t="s">
        <v>23</v>
      </c>
      <c r="K167" t="s">
        <v>703</v>
      </c>
    </row>
    <row r="168" spans="1:11" x14ac:dyDescent="0.25">
      <c r="A168">
        <v>2</v>
      </c>
      <c r="B168">
        <v>2</v>
      </c>
      <c r="C168">
        <v>12.2</v>
      </c>
      <c r="D168" t="s">
        <v>716</v>
      </c>
      <c r="E168" t="s">
        <v>717</v>
      </c>
      <c r="F168" t="s">
        <v>696</v>
      </c>
      <c r="G168" t="s">
        <v>21</v>
      </c>
      <c r="H168" t="s">
        <v>479</v>
      </c>
      <c r="I168" t="s">
        <v>718</v>
      </c>
      <c r="J168" t="s">
        <v>23</v>
      </c>
      <c r="K168" t="s">
        <v>719</v>
      </c>
    </row>
    <row r="169" spans="1:11" x14ac:dyDescent="0.25">
      <c r="A169">
        <v>3</v>
      </c>
      <c r="B169">
        <v>1</v>
      </c>
      <c r="C169" t="s">
        <v>720</v>
      </c>
      <c r="D169" t="s">
        <v>721</v>
      </c>
      <c r="E169" t="s">
        <v>722</v>
      </c>
      <c r="F169" t="s">
        <v>696</v>
      </c>
      <c r="G169" t="s">
        <v>28</v>
      </c>
      <c r="H169" t="s">
        <v>479</v>
      </c>
      <c r="I169" t="s">
        <v>723</v>
      </c>
      <c r="J169" t="s">
        <v>23</v>
      </c>
      <c r="K169" t="s">
        <v>719</v>
      </c>
    </row>
    <row r="170" spans="1:11" x14ac:dyDescent="0.25">
      <c r="A170">
        <v>3</v>
      </c>
      <c r="B170">
        <v>2</v>
      </c>
      <c r="C170" t="s">
        <v>724</v>
      </c>
      <c r="D170" t="s">
        <v>725</v>
      </c>
      <c r="E170" t="s">
        <v>726</v>
      </c>
      <c r="F170" t="s">
        <v>696</v>
      </c>
      <c r="G170" t="s">
        <v>28</v>
      </c>
      <c r="H170" t="s">
        <v>479</v>
      </c>
      <c r="I170" t="s">
        <v>727</v>
      </c>
      <c r="J170" t="s">
        <v>23</v>
      </c>
      <c r="K170" t="s">
        <v>719</v>
      </c>
    </row>
    <row r="171" spans="1:11" x14ac:dyDescent="0.25">
      <c r="A171">
        <v>3</v>
      </c>
      <c r="B171">
        <v>3</v>
      </c>
      <c r="C171" t="s">
        <v>728</v>
      </c>
      <c r="D171" t="s">
        <v>729</v>
      </c>
      <c r="E171" t="s">
        <v>730</v>
      </c>
      <c r="F171" t="s">
        <v>696</v>
      </c>
      <c r="G171" t="s">
        <v>28</v>
      </c>
      <c r="H171" t="s">
        <v>479</v>
      </c>
      <c r="I171" t="s">
        <v>731</v>
      </c>
      <c r="J171" t="s">
        <v>23</v>
      </c>
      <c r="K171" t="s">
        <v>719</v>
      </c>
    </row>
    <row r="172" spans="1:11" x14ac:dyDescent="0.25">
      <c r="A172">
        <v>2</v>
      </c>
      <c r="B172">
        <v>3</v>
      </c>
      <c r="C172">
        <v>12.3</v>
      </c>
      <c r="D172" t="s">
        <v>732</v>
      </c>
      <c r="E172" t="s">
        <v>733</v>
      </c>
      <c r="F172" t="s">
        <v>696</v>
      </c>
      <c r="G172" t="s">
        <v>21</v>
      </c>
      <c r="H172" t="s">
        <v>479</v>
      </c>
      <c r="I172" t="s">
        <v>734</v>
      </c>
      <c r="J172" t="s">
        <v>130</v>
      </c>
      <c r="K172" t="s">
        <v>735</v>
      </c>
    </row>
    <row r="173" spans="1:11" x14ac:dyDescent="0.25">
      <c r="A173">
        <v>3</v>
      </c>
      <c r="B173">
        <v>1</v>
      </c>
      <c r="C173" t="s">
        <v>736</v>
      </c>
      <c r="D173" t="s">
        <v>737</v>
      </c>
      <c r="E173" t="s">
        <v>738</v>
      </c>
      <c r="F173" t="s">
        <v>696</v>
      </c>
      <c r="G173" t="s">
        <v>28</v>
      </c>
      <c r="H173" t="s">
        <v>479</v>
      </c>
      <c r="I173" t="s">
        <v>739</v>
      </c>
      <c r="J173" t="s">
        <v>130</v>
      </c>
      <c r="K173" t="s">
        <v>735</v>
      </c>
    </row>
    <row r="174" spans="1:11" x14ac:dyDescent="0.25">
      <c r="A174">
        <v>3</v>
      </c>
      <c r="B174">
        <v>2</v>
      </c>
      <c r="C174" t="s">
        <v>740</v>
      </c>
      <c r="D174" t="s">
        <v>741</v>
      </c>
      <c r="E174" t="s">
        <v>742</v>
      </c>
      <c r="F174" t="s">
        <v>696</v>
      </c>
      <c r="G174" t="s">
        <v>28</v>
      </c>
      <c r="H174" t="s">
        <v>479</v>
      </c>
      <c r="I174" t="s">
        <v>743</v>
      </c>
      <c r="J174" t="s">
        <v>130</v>
      </c>
      <c r="K174" t="s">
        <v>703</v>
      </c>
    </row>
    <row r="175" spans="1:11" x14ac:dyDescent="0.25">
      <c r="A175">
        <v>3</v>
      </c>
      <c r="B175">
        <v>3</v>
      </c>
      <c r="C175" t="s">
        <v>744</v>
      </c>
      <c r="D175" t="s">
        <v>745</v>
      </c>
      <c r="E175" t="s">
        <v>746</v>
      </c>
      <c r="F175" t="s">
        <v>696</v>
      </c>
      <c r="G175" t="s">
        <v>28</v>
      </c>
      <c r="H175" t="s">
        <v>479</v>
      </c>
      <c r="I175" t="s">
        <v>747</v>
      </c>
      <c r="J175" t="s">
        <v>130</v>
      </c>
      <c r="K175" t="s">
        <v>735</v>
      </c>
    </row>
    <row r="176" spans="1:11" x14ac:dyDescent="0.25">
      <c r="A176">
        <v>2</v>
      </c>
      <c r="B176">
        <v>4</v>
      </c>
      <c r="C176">
        <v>12.4</v>
      </c>
      <c r="D176" t="s">
        <v>748</v>
      </c>
      <c r="E176" t="s">
        <v>749</v>
      </c>
      <c r="F176" t="s">
        <v>696</v>
      </c>
      <c r="G176" t="s">
        <v>21</v>
      </c>
      <c r="H176" t="s">
        <v>479</v>
      </c>
      <c r="I176" t="s">
        <v>750</v>
      </c>
      <c r="J176" t="s">
        <v>49</v>
      </c>
      <c r="K176" t="s">
        <v>751</v>
      </c>
    </row>
    <row r="177" spans="1:11" x14ac:dyDescent="0.25">
      <c r="A177">
        <v>3</v>
      </c>
      <c r="B177">
        <v>1</v>
      </c>
      <c r="C177" t="s">
        <v>752</v>
      </c>
      <c r="D177" t="s">
        <v>753</v>
      </c>
      <c r="E177" t="s">
        <v>754</v>
      </c>
      <c r="F177" t="s">
        <v>696</v>
      </c>
      <c r="G177" t="s">
        <v>28</v>
      </c>
      <c r="H177" t="s">
        <v>479</v>
      </c>
      <c r="I177" t="s">
        <v>755</v>
      </c>
      <c r="J177" t="s">
        <v>49</v>
      </c>
      <c r="K177" t="s">
        <v>751</v>
      </c>
    </row>
    <row r="178" spans="1:11" x14ac:dyDescent="0.25">
      <c r="A178">
        <v>3</v>
      </c>
      <c r="B178">
        <v>2</v>
      </c>
      <c r="C178" t="s">
        <v>756</v>
      </c>
      <c r="D178" t="s">
        <v>757</v>
      </c>
      <c r="E178" t="s">
        <v>758</v>
      </c>
      <c r="F178" t="s">
        <v>696</v>
      </c>
      <c r="G178" t="s">
        <v>28</v>
      </c>
      <c r="H178" t="s">
        <v>479</v>
      </c>
      <c r="I178" t="s">
        <v>759</v>
      </c>
      <c r="J178" t="s">
        <v>49</v>
      </c>
      <c r="K178" t="s">
        <v>751</v>
      </c>
    </row>
    <row r="179" spans="1:11" x14ac:dyDescent="0.25">
      <c r="A179">
        <v>3</v>
      </c>
      <c r="B179">
        <v>3</v>
      </c>
      <c r="C179" t="s">
        <v>760</v>
      </c>
      <c r="D179" t="s">
        <v>761</v>
      </c>
      <c r="E179" t="s">
        <v>762</v>
      </c>
      <c r="F179" t="s">
        <v>696</v>
      </c>
      <c r="G179" t="s">
        <v>28</v>
      </c>
      <c r="H179" t="s">
        <v>479</v>
      </c>
      <c r="I179" t="s">
        <v>763</v>
      </c>
      <c r="J179" t="s">
        <v>49</v>
      </c>
      <c r="K179" t="s">
        <v>751</v>
      </c>
    </row>
    <row r="180" spans="1:11" x14ac:dyDescent="0.25">
      <c r="A180">
        <v>2</v>
      </c>
      <c r="B180">
        <v>5</v>
      </c>
      <c r="C180">
        <v>12.5</v>
      </c>
      <c r="D180" t="s">
        <v>764</v>
      </c>
      <c r="E180" t="s">
        <v>765</v>
      </c>
      <c r="F180" t="s">
        <v>696</v>
      </c>
      <c r="G180" t="s">
        <v>21</v>
      </c>
      <c r="H180" t="s">
        <v>479</v>
      </c>
      <c r="I180" t="s">
        <v>766</v>
      </c>
      <c r="J180" t="s">
        <v>23</v>
      </c>
      <c r="K180" t="s">
        <v>767</v>
      </c>
    </row>
    <row r="181" spans="1:11" x14ac:dyDescent="0.25">
      <c r="A181">
        <v>3</v>
      </c>
      <c r="B181">
        <v>1</v>
      </c>
      <c r="C181" t="s">
        <v>768</v>
      </c>
      <c r="D181" t="s">
        <v>769</v>
      </c>
      <c r="E181" t="s">
        <v>770</v>
      </c>
      <c r="F181" t="s">
        <v>696</v>
      </c>
      <c r="G181" t="s">
        <v>28</v>
      </c>
      <c r="H181" t="s">
        <v>479</v>
      </c>
      <c r="I181" t="s">
        <v>771</v>
      </c>
      <c r="J181" t="s">
        <v>23</v>
      </c>
      <c r="K181" t="s">
        <v>767</v>
      </c>
    </row>
    <row r="182" spans="1:11" x14ac:dyDescent="0.25">
      <c r="A182">
        <v>3</v>
      </c>
      <c r="B182">
        <v>2</v>
      </c>
      <c r="C182" t="s">
        <v>772</v>
      </c>
      <c r="D182" t="s">
        <v>773</v>
      </c>
      <c r="E182" t="s">
        <v>774</v>
      </c>
      <c r="F182" t="s">
        <v>696</v>
      </c>
      <c r="G182" t="s">
        <v>28</v>
      </c>
      <c r="H182" t="s">
        <v>479</v>
      </c>
      <c r="I182" t="s">
        <v>775</v>
      </c>
      <c r="J182" t="s">
        <v>23</v>
      </c>
      <c r="K182" t="s">
        <v>767</v>
      </c>
    </row>
    <row r="183" spans="1:11" x14ac:dyDescent="0.25">
      <c r="A183">
        <v>2</v>
      </c>
      <c r="B183">
        <v>6</v>
      </c>
      <c r="C183">
        <v>12.6</v>
      </c>
      <c r="D183" t="s">
        <v>776</v>
      </c>
      <c r="E183" t="s">
        <v>777</v>
      </c>
      <c r="F183" t="s">
        <v>696</v>
      </c>
      <c r="G183" t="s">
        <v>21</v>
      </c>
      <c r="H183" t="s">
        <v>479</v>
      </c>
      <c r="I183" t="s">
        <v>778</v>
      </c>
      <c r="J183" t="s">
        <v>130</v>
      </c>
      <c r="K183" t="s">
        <v>779</v>
      </c>
    </row>
    <row r="184" spans="1:11" x14ac:dyDescent="0.25">
      <c r="A184">
        <v>3</v>
      </c>
      <c r="B184">
        <v>1</v>
      </c>
      <c r="C184" t="s">
        <v>780</v>
      </c>
      <c r="D184" t="s">
        <v>781</v>
      </c>
      <c r="E184" t="s">
        <v>782</v>
      </c>
      <c r="F184" t="s">
        <v>696</v>
      </c>
      <c r="G184" t="s">
        <v>28</v>
      </c>
      <c r="H184" t="s">
        <v>479</v>
      </c>
      <c r="I184" t="s">
        <v>783</v>
      </c>
      <c r="J184" t="s">
        <v>130</v>
      </c>
      <c r="K184" t="s">
        <v>751</v>
      </c>
    </row>
    <row r="185" spans="1:11" x14ac:dyDescent="0.25">
      <c r="A185">
        <v>3</v>
      </c>
      <c r="B185">
        <v>2</v>
      </c>
      <c r="C185" t="s">
        <v>784</v>
      </c>
      <c r="D185" t="s">
        <v>785</v>
      </c>
      <c r="E185" t="s">
        <v>786</v>
      </c>
      <c r="F185" t="s">
        <v>696</v>
      </c>
      <c r="G185" t="s">
        <v>28</v>
      </c>
      <c r="H185" t="s">
        <v>479</v>
      </c>
      <c r="I185" t="s">
        <v>787</v>
      </c>
      <c r="J185" t="s">
        <v>130</v>
      </c>
      <c r="K185" t="s">
        <v>779</v>
      </c>
    </row>
    <row r="186" spans="1:11" x14ac:dyDescent="0.25">
      <c r="A186">
        <v>1</v>
      </c>
      <c r="B186">
        <v>10</v>
      </c>
      <c r="C186">
        <v>6</v>
      </c>
      <c r="D186" t="s">
        <v>788</v>
      </c>
      <c r="E186" t="s">
        <v>789</v>
      </c>
      <c r="F186" t="s">
        <v>790</v>
      </c>
      <c r="G186" t="s">
        <v>14</v>
      </c>
      <c r="H186" t="s">
        <v>479</v>
      </c>
      <c r="I186" t="s">
        <v>791</v>
      </c>
      <c r="J186" t="s">
        <v>792</v>
      </c>
      <c r="K186" t="s">
        <v>793</v>
      </c>
    </row>
    <row r="187" spans="1:11" x14ac:dyDescent="0.25">
      <c r="A187">
        <v>2</v>
      </c>
      <c r="B187">
        <v>1</v>
      </c>
      <c r="C187">
        <v>6.1</v>
      </c>
      <c r="D187" t="s">
        <v>794</v>
      </c>
      <c r="E187" t="s">
        <v>795</v>
      </c>
      <c r="F187" t="s">
        <v>790</v>
      </c>
      <c r="G187" t="s">
        <v>21</v>
      </c>
      <c r="H187" t="s">
        <v>479</v>
      </c>
      <c r="I187" t="s">
        <v>796</v>
      </c>
      <c r="J187" t="s">
        <v>522</v>
      </c>
      <c r="K187" t="s">
        <v>793</v>
      </c>
    </row>
    <row r="188" spans="1:11" x14ac:dyDescent="0.25">
      <c r="A188">
        <v>3</v>
      </c>
      <c r="B188">
        <v>1</v>
      </c>
      <c r="C188" t="s">
        <v>797</v>
      </c>
      <c r="D188" t="s">
        <v>798</v>
      </c>
      <c r="E188" t="s">
        <v>799</v>
      </c>
      <c r="F188" t="s">
        <v>790</v>
      </c>
      <c r="G188" t="s">
        <v>28</v>
      </c>
      <c r="H188" t="s">
        <v>479</v>
      </c>
      <c r="I188" t="s">
        <v>800</v>
      </c>
      <c r="J188" t="s">
        <v>522</v>
      </c>
      <c r="K188" t="s">
        <v>793</v>
      </c>
    </row>
    <row r="189" spans="1:11" x14ac:dyDescent="0.25">
      <c r="A189">
        <v>3</v>
      </c>
      <c r="B189">
        <v>2</v>
      </c>
      <c r="C189" t="s">
        <v>801</v>
      </c>
      <c r="D189" t="s">
        <v>802</v>
      </c>
      <c r="E189" t="s">
        <v>803</v>
      </c>
      <c r="F189" t="s">
        <v>790</v>
      </c>
      <c r="G189" t="s">
        <v>28</v>
      </c>
      <c r="H189" t="s">
        <v>479</v>
      </c>
      <c r="I189" t="s">
        <v>804</v>
      </c>
      <c r="J189" t="s">
        <v>522</v>
      </c>
      <c r="K189" t="s">
        <v>793</v>
      </c>
    </row>
    <row r="190" spans="1:11" x14ac:dyDescent="0.25">
      <c r="A190">
        <v>3</v>
      </c>
      <c r="B190">
        <v>3</v>
      </c>
      <c r="C190" t="s">
        <v>805</v>
      </c>
      <c r="D190" t="s">
        <v>806</v>
      </c>
      <c r="E190" t="s">
        <v>807</v>
      </c>
      <c r="F190" t="s">
        <v>790</v>
      </c>
      <c r="G190" t="s">
        <v>28</v>
      </c>
      <c r="H190" t="s">
        <v>479</v>
      </c>
      <c r="I190" t="s">
        <v>808</v>
      </c>
      <c r="J190" t="s">
        <v>522</v>
      </c>
      <c r="K190" t="s">
        <v>793</v>
      </c>
    </row>
    <row r="191" spans="1:11" x14ac:dyDescent="0.25">
      <c r="A191">
        <v>2</v>
      </c>
      <c r="B191">
        <v>2</v>
      </c>
      <c r="C191">
        <v>6.2</v>
      </c>
      <c r="D191" t="s">
        <v>809</v>
      </c>
      <c r="E191" t="s">
        <v>810</v>
      </c>
      <c r="F191" t="s">
        <v>790</v>
      </c>
      <c r="G191" t="s">
        <v>21</v>
      </c>
      <c r="H191" t="s">
        <v>479</v>
      </c>
      <c r="I191" t="s">
        <v>811</v>
      </c>
      <c r="J191" t="s">
        <v>23</v>
      </c>
      <c r="K191" t="s">
        <v>812</v>
      </c>
    </row>
    <row r="192" spans="1:11" x14ac:dyDescent="0.25">
      <c r="A192">
        <v>3</v>
      </c>
      <c r="B192">
        <v>1</v>
      </c>
      <c r="C192" t="s">
        <v>813</v>
      </c>
      <c r="D192" t="s">
        <v>814</v>
      </c>
      <c r="E192" t="s">
        <v>815</v>
      </c>
      <c r="F192" t="s">
        <v>790</v>
      </c>
      <c r="G192" t="s">
        <v>28</v>
      </c>
      <c r="H192" t="s">
        <v>479</v>
      </c>
      <c r="I192" t="s">
        <v>816</v>
      </c>
      <c r="J192" t="s">
        <v>23</v>
      </c>
      <c r="K192" t="s">
        <v>817</v>
      </c>
    </row>
    <row r="193" spans="1:11" x14ac:dyDescent="0.25">
      <c r="A193">
        <v>3</v>
      </c>
      <c r="B193">
        <v>2</v>
      </c>
      <c r="C193" t="s">
        <v>818</v>
      </c>
      <c r="D193" t="s">
        <v>819</v>
      </c>
      <c r="E193" t="s">
        <v>820</v>
      </c>
      <c r="F193" t="s">
        <v>790</v>
      </c>
      <c r="G193" t="s">
        <v>28</v>
      </c>
      <c r="H193" t="s">
        <v>479</v>
      </c>
      <c r="I193" t="s">
        <v>821</v>
      </c>
      <c r="J193" t="s">
        <v>23</v>
      </c>
      <c r="K193" t="s">
        <v>817</v>
      </c>
    </row>
    <row r="194" spans="1:11" x14ac:dyDescent="0.25">
      <c r="A194">
        <v>3</v>
      </c>
      <c r="B194">
        <v>3</v>
      </c>
      <c r="C194" t="s">
        <v>822</v>
      </c>
      <c r="D194" t="s">
        <v>823</v>
      </c>
      <c r="E194" t="s">
        <v>824</v>
      </c>
      <c r="F194" t="s">
        <v>790</v>
      </c>
      <c r="G194" t="s">
        <v>28</v>
      </c>
      <c r="H194" t="s">
        <v>479</v>
      </c>
      <c r="I194" t="s">
        <v>825</v>
      </c>
      <c r="J194" t="s">
        <v>23</v>
      </c>
      <c r="K194" t="s">
        <v>826</v>
      </c>
    </row>
    <row r="195" spans="1:11" x14ac:dyDescent="0.25">
      <c r="A195">
        <v>2</v>
      </c>
      <c r="B195">
        <v>3</v>
      </c>
      <c r="C195">
        <v>6.3</v>
      </c>
      <c r="D195" t="s">
        <v>827</v>
      </c>
      <c r="E195" t="s">
        <v>828</v>
      </c>
      <c r="F195" t="s">
        <v>790</v>
      </c>
      <c r="G195" t="s">
        <v>21</v>
      </c>
      <c r="H195" t="s">
        <v>479</v>
      </c>
      <c r="I195" t="s">
        <v>829</v>
      </c>
      <c r="J195" t="s">
        <v>23</v>
      </c>
      <c r="K195" t="s">
        <v>830</v>
      </c>
    </row>
    <row r="196" spans="1:11" x14ac:dyDescent="0.25">
      <c r="A196">
        <v>3</v>
      </c>
      <c r="B196">
        <v>1</v>
      </c>
      <c r="C196" t="s">
        <v>831</v>
      </c>
      <c r="D196" t="s">
        <v>832</v>
      </c>
      <c r="E196" t="s">
        <v>833</v>
      </c>
      <c r="F196" t="s">
        <v>790</v>
      </c>
      <c r="G196" t="s">
        <v>28</v>
      </c>
      <c r="H196" t="s">
        <v>479</v>
      </c>
      <c r="I196" t="s">
        <v>834</v>
      </c>
      <c r="J196" t="s">
        <v>23</v>
      </c>
      <c r="K196" t="s">
        <v>830</v>
      </c>
    </row>
    <row r="197" spans="1:11" x14ac:dyDescent="0.25">
      <c r="A197">
        <v>3</v>
      </c>
      <c r="B197">
        <v>2</v>
      </c>
      <c r="C197" t="s">
        <v>835</v>
      </c>
      <c r="D197" t="s">
        <v>836</v>
      </c>
      <c r="E197" t="s">
        <v>837</v>
      </c>
      <c r="F197" t="s">
        <v>790</v>
      </c>
      <c r="G197" t="s">
        <v>28</v>
      </c>
      <c r="H197" t="s">
        <v>479</v>
      </c>
      <c r="I197" t="s">
        <v>838</v>
      </c>
      <c r="J197" t="s">
        <v>23</v>
      </c>
      <c r="K197" t="s">
        <v>830</v>
      </c>
    </row>
    <row r="198" spans="1:11" x14ac:dyDescent="0.25">
      <c r="A198">
        <v>2</v>
      </c>
      <c r="B198">
        <v>4</v>
      </c>
      <c r="C198">
        <v>6.4</v>
      </c>
      <c r="D198" t="s">
        <v>839</v>
      </c>
      <c r="E198" t="s">
        <v>840</v>
      </c>
      <c r="F198" t="s">
        <v>790</v>
      </c>
      <c r="G198" t="s">
        <v>21</v>
      </c>
      <c r="H198" t="s">
        <v>479</v>
      </c>
      <c r="I198" t="s">
        <v>841</v>
      </c>
      <c r="J198" t="s">
        <v>842</v>
      </c>
      <c r="K198" t="s">
        <v>817</v>
      </c>
    </row>
    <row r="199" spans="1:11" x14ac:dyDescent="0.25">
      <c r="A199">
        <v>3</v>
      </c>
      <c r="B199">
        <v>1</v>
      </c>
      <c r="C199" t="s">
        <v>843</v>
      </c>
      <c r="D199" t="s">
        <v>844</v>
      </c>
      <c r="E199" t="s">
        <v>845</v>
      </c>
      <c r="F199" t="s">
        <v>790</v>
      </c>
      <c r="G199" t="s">
        <v>28</v>
      </c>
      <c r="H199" t="s">
        <v>479</v>
      </c>
      <c r="I199" t="s">
        <v>846</v>
      </c>
      <c r="J199" t="s">
        <v>842</v>
      </c>
      <c r="K199" t="s">
        <v>847</v>
      </c>
    </row>
    <row r="200" spans="1:11" x14ac:dyDescent="0.25">
      <c r="A200">
        <v>3</v>
      </c>
      <c r="B200">
        <v>2</v>
      </c>
      <c r="C200" t="s">
        <v>848</v>
      </c>
      <c r="D200" t="s">
        <v>849</v>
      </c>
      <c r="E200" t="s">
        <v>850</v>
      </c>
      <c r="F200" t="s">
        <v>790</v>
      </c>
      <c r="G200" t="s">
        <v>28</v>
      </c>
      <c r="H200" t="s">
        <v>479</v>
      </c>
      <c r="I200" t="s">
        <v>851</v>
      </c>
      <c r="J200" t="s">
        <v>842</v>
      </c>
      <c r="K200" t="s">
        <v>847</v>
      </c>
    </row>
    <row r="201" spans="1:11" x14ac:dyDescent="0.25">
      <c r="A201">
        <v>3</v>
      </c>
      <c r="B201">
        <v>3</v>
      </c>
      <c r="C201" t="s">
        <v>852</v>
      </c>
      <c r="D201" t="s">
        <v>853</v>
      </c>
      <c r="E201" t="s">
        <v>854</v>
      </c>
      <c r="F201" t="s">
        <v>790</v>
      </c>
      <c r="G201" t="s">
        <v>28</v>
      </c>
      <c r="H201" t="s">
        <v>479</v>
      </c>
      <c r="I201" t="s">
        <v>855</v>
      </c>
      <c r="J201" t="s">
        <v>842</v>
      </c>
      <c r="K201" t="s">
        <v>847</v>
      </c>
    </row>
    <row r="202" spans="1:11" x14ac:dyDescent="0.25">
      <c r="A202">
        <v>1</v>
      </c>
      <c r="B202">
        <v>11</v>
      </c>
      <c r="C202">
        <v>11</v>
      </c>
      <c r="D202" t="s">
        <v>856</v>
      </c>
      <c r="E202" t="s">
        <v>857</v>
      </c>
      <c r="F202" t="s">
        <v>858</v>
      </c>
      <c r="G202" t="s">
        <v>14</v>
      </c>
      <c r="H202" t="s">
        <v>479</v>
      </c>
      <c r="I202" t="s">
        <v>859</v>
      </c>
      <c r="J202" t="s">
        <v>860</v>
      </c>
      <c r="K202" t="s">
        <v>861</v>
      </c>
    </row>
    <row r="203" spans="1:11" x14ac:dyDescent="0.25">
      <c r="A203">
        <v>2</v>
      </c>
      <c r="B203">
        <v>1</v>
      </c>
      <c r="C203">
        <v>11.1</v>
      </c>
      <c r="D203" t="s">
        <v>862</v>
      </c>
      <c r="E203" t="s">
        <v>863</v>
      </c>
      <c r="F203" t="s">
        <v>858</v>
      </c>
      <c r="G203" t="s">
        <v>21</v>
      </c>
      <c r="H203" t="s">
        <v>479</v>
      </c>
      <c r="I203" t="s">
        <v>864</v>
      </c>
      <c r="J203" t="s">
        <v>23</v>
      </c>
      <c r="K203" t="s">
        <v>865</v>
      </c>
    </row>
    <row r="204" spans="1:11" x14ac:dyDescent="0.25">
      <c r="A204">
        <v>3</v>
      </c>
      <c r="B204">
        <v>1</v>
      </c>
      <c r="C204" t="s">
        <v>866</v>
      </c>
      <c r="D204" t="s">
        <v>867</v>
      </c>
      <c r="E204" t="s">
        <v>868</v>
      </c>
      <c r="F204" t="s">
        <v>858</v>
      </c>
      <c r="G204" t="s">
        <v>28</v>
      </c>
      <c r="H204" t="s">
        <v>479</v>
      </c>
      <c r="I204" t="s">
        <v>869</v>
      </c>
      <c r="J204" t="s">
        <v>23</v>
      </c>
      <c r="K204" t="s">
        <v>865</v>
      </c>
    </row>
    <row r="205" spans="1:11" x14ac:dyDescent="0.25">
      <c r="A205">
        <v>3</v>
      </c>
      <c r="B205">
        <v>2</v>
      </c>
      <c r="C205" t="s">
        <v>870</v>
      </c>
      <c r="D205" t="s">
        <v>871</v>
      </c>
      <c r="E205" t="s">
        <v>872</v>
      </c>
      <c r="F205" t="s">
        <v>858</v>
      </c>
      <c r="G205" t="s">
        <v>28</v>
      </c>
      <c r="H205" t="s">
        <v>479</v>
      </c>
      <c r="I205" t="s">
        <v>873</v>
      </c>
      <c r="J205" t="s">
        <v>23</v>
      </c>
      <c r="K205" t="s">
        <v>865</v>
      </c>
    </row>
    <row r="206" spans="1:11" x14ac:dyDescent="0.25">
      <c r="A206">
        <v>3</v>
      </c>
      <c r="B206">
        <v>3</v>
      </c>
      <c r="C206" t="s">
        <v>874</v>
      </c>
      <c r="D206" t="s">
        <v>875</v>
      </c>
      <c r="E206" t="s">
        <v>876</v>
      </c>
      <c r="F206" t="s">
        <v>858</v>
      </c>
      <c r="G206" t="s">
        <v>28</v>
      </c>
      <c r="H206" t="s">
        <v>479</v>
      </c>
      <c r="I206" t="s">
        <v>877</v>
      </c>
      <c r="J206" t="s">
        <v>23</v>
      </c>
      <c r="K206" t="s">
        <v>865</v>
      </c>
    </row>
    <row r="207" spans="1:11" x14ac:dyDescent="0.25">
      <c r="A207">
        <v>3</v>
      </c>
      <c r="B207">
        <v>4</v>
      </c>
      <c r="C207" t="s">
        <v>878</v>
      </c>
      <c r="D207" t="s">
        <v>879</v>
      </c>
      <c r="E207" t="s">
        <v>880</v>
      </c>
      <c r="F207" t="s">
        <v>858</v>
      </c>
      <c r="G207" t="s">
        <v>28</v>
      </c>
      <c r="H207" t="s">
        <v>479</v>
      </c>
      <c r="I207" t="s">
        <v>881</v>
      </c>
      <c r="J207" t="s">
        <v>23</v>
      </c>
      <c r="K207" t="s">
        <v>882</v>
      </c>
    </row>
    <row r="208" spans="1:11" x14ac:dyDescent="0.25">
      <c r="A208">
        <v>3</v>
      </c>
      <c r="B208">
        <v>5</v>
      </c>
      <c r="C208" t="s">
        <v>883</v>
      </c>
      <c r="D208" t="s">
        <v>884</v>
      </c>
      <c r="E208" t="s">
        <v>885</v>
      </c>
      <c r="F208" t="s">
        <v>858</v>
      </c>
      <c r="G208" t="s">
        <v>28</v>
      </c>
      <c r="H208" t="s">
        <v>479</v>
      </c>
      <c r="I208" t="s">
        <v>886</v>
      </c>
      <c r="J208" t="s">
        <v>23</v>
      </c>
      <c r="K208" t="s">
        <v>865</v>
      </c>
    </row>
    <row r="209" spans="1:11" x14ac:dyDescent="0.25">
      <c r="A209">
        <v>3</v>
      </c>
      <c r="B209">
        <v>6</v>
      </c>
      <c r="C209" t="s">
        <v>887</v>
      </c>
      <c r="D209" t="s">
        <v>888</v>
      </c>
      <c r="E209" t="s">
        <v>889</v>
      </c>
      <c r="F209" t="s">
        <v>858</v>
      </c>
      <c r="G209" t="s">
        <v>28</v>
      </c>
      <c r="H209" t="s">
        <v>479</v>
      </c>
      <c r="I209" t="s">
        <v>890</v>
      </c>
      <c r="J209" t="s">
        <v>23</v>
      </c>
      <c r="K209" t="s">
        <v>865</v>
      </c>
    </row>
    <row r="210" spans="1:11" x14ac:dyDescent="0.25">
      <c r="A210">
        <v>2</v>
      </c>
      <c r="B210">
        <v>2</v>
      </c>
      <c r="C210">
        <v>11.2</v>
      </c>
      <c r="D210" t="s">
        <v>891</v>
      </c>
      <c r="E210" t="s">
        <v>892</v>
      </c>
      <c r="F210" t="s">
        <v>858</v>
      </c>
      <c r="G210" t="s">
        <v>21</v>
      </c>
      <c r="H210" t="s">
        <v>479</v>
      </c>
      <c r="I210" t="s">
        <v>893</v>
      </c>
      <c r="J210" t="s">
        <v>23</v>
      </c>
      <c r="K210" t="s">
        <v>894</v>
      </c>
    </row>
    <row r="211" spans="1:11" x14ac:dyDescent="0.25">
      <c r="A211">
        <v>3</v>
      </c>
      <c r="B211">
        <v>1</v>
      </c>
      <c r="C211" t="s">
        <v>895</v>
      </c>
      <c r="D211" t="s">
        <v>896</v>
      </c>
      <c r="E211" t="s">
        <v>897</v>
      </c>
      <c r="F211" t="s">
        <v>858</v>
      </c>
      <c r="G211" t="s">
        <v>28</v>
      </c>
      <c r="H211" t="s">
        <v>479</v>
      </c>
      <c r="I211" t="s">
        <v>898</v>
      </c>
      <c r="J211" t="s">
        <v>23</v>
      </c>
      <c r="K211" t="s">
        <v>894</v>
      </c>
    </row>
    <row r="212" spans="1:11" x14ac:dyDescent="0.25">
      <c r="A212">
        <v>3</v>
      </c>
      <c r="B212">
        <v>2</v>
      </c>
      <c r="C212" t="s">
        <v>899</v>
      </c>
      <c r="D212" t="s">
        <v>900</v>
      </c>
      <c r="E212" t="s">
        <v>901</v>
      </c>
      <c r="F212" t="s">
        <v>858</v>
      </c>
      <c r="G212" t="s">
        <v>28</v>
      </c>
      <c r="H212" t="s">
        <v>479</v>
      </c>
      <c r="I212" t="s">
        <v>902</v>
      </c>
      <c r="J212" t="s">
        <v>23</v>
      </c>
      <c r="K212" t="s">
        <v>903</v>
      </c>
    </row>
    <row r="213" spans="1:11" x14ac:dyDescent="0.25">
      <c r="A213">
        <v>3</v>
      </c>
      <c r="B213">
        <v>3</v>
      </c>
      <c r="C213" t="s">
        <v>904</v>
      </c>
      <c r="D213" t="s">
        <v>905</v>
      </c>
      <c r="E213" t="s">
        <v>906</v>
      </c>
      <c r="F213" t="s">
        <v>858</v>
      </c>
      <c r="G213" t="s">
        <v>28</v>
      </c>
      <c r="H213" t="s">
        <v>479</v>
      </c>
      <c r="I213" t="s">
        <v>907</v>
      </c>
      <c r="J213" t="s">
        <v>23</v>
      </c>
      <c r="K213" t="s">
        <v>894</v>
      </c>
    </row>
    <row r="214" spans="1:11" x14ac:dyDescent="0.25">
      <c r="A214">
        <v>3</v>
      </c>
      <c r="B214">
        <v>4</v>
      </c>
      <c r="C214" t="s">
        <v>908</v>
      </c>
      <c r="D214" t="s">
        <v>909</v>
      </c>
      <c r="E214" t="s">
        <v>910</v>
      </c>
      <c r="F214" t="s">
        <v>858</v>
      </c>
      <c r="G214" t="s">
        <v>28</v>
      </c>
      <c r="H214" t="s">
        <v>479</v>
      </c>
      <c r="I214" t="s">
        <v>911</v>
      </c>
      <c r="J214" t="s">
        <v>23</v>
      </c>
      <c r="K214" t="s">
        <v>912</v>
      </c>
    </row>
    <row r="215" spans="1:11" x14ac:dyDescent="0.25">
      <c r="A215">
        <v>3</v>
      </c>
      <c r="B215">
        <v>5</v>
      </c>
      <c r="C215" t="s">
        <v>913</v>
      </c>
      <c r="D215" t="s">
        <v>914</v>
      </c>
      <c r="E215" t="s">
        <v>915</v>
      </c>
      <c r="F215" t="s">
        <v>858</v>
      </c>
      <c r="G215" t="s">
        <v>28</v>
      </c>
      <c r="H215" t="s">
        <v>479</v>
      </c>
      <c r="I215" t="s">
        <v>916</v>
      </c>
      <c r="J215" t="s">
        <v>23</v>
      </c>
      <c r="K215" t="s">
        <v>894</v>
      </c>
    </row>
    <row r="216" spans="1:11" x14ac:dyDescent="0.25">
      <c r="A216">
        <v>2</v>
      </c>
      <c r="B216">
        <v>3</v>
      </c>
      <c r="C216">
        <v>11.3</v>
      </c>
      <c r="D216" t="s">
        <v>917</v>
      </c>
      <c r="E216" t="s">
        <v>918</v>
      </c>
      <c r="F216" t="s">
        <v>858</v>
      </c>
      <c r="G216" t="s">
        <v>21</v>
      </c>
      <c r="H216" t="s">
        <v>479</v>
      </c>
      <c r="I216" t="s">
        <v>919</v>
      </c>
      <c r="J216" t="s">
        <v>522</v>
      </c>
      <c r="K216" t="s">
        <v>920</v>
      </c>
    </row>
    <row r="217" spans="1:11" x14ac:dyDescent="0.25">
      <c r="A217">
        <v>3</v>
      </c>
      <c r="B217">
        <v>1</v>
      </c>
      <c r="C217" t="s">
        <v>921</v>
      </c>
      <c r="D217" t="s">
        <v>922</v>
      </c>
      <c r="E217" t="s">
        <v>923</v>
      </c>
      <c r="F217" t="s">
        <v>858</v>
      </c>
      <c r="G217" t="s">
        <v>28</v>
      </c>
      <c r="H217" t="s">
        <v>479</v>
      </c>
      <c r="I217" t="s">
        <v>924</v>
      </c>
      <c r="J217" t="s">
        <v>522</v>
      </c>
      <c r="K217" t="s">
        <v>920</v>
      </c>
    </row>
    <row r="218" spans="1:11" x14ac:dyDescent="0.25">
      <c r="A218">
        <v>3</v>
      </c>
      <c r="B218">
        <v>2</v>
      </c>
      <c r="C218" t="s">
        <v>925</v>
      </c>
      <c r="D218" t="s">
        <v>926</v>
      </c>
      <c r="E218" t="s">
        <v>927</v>
      </c>
      <c r="F218" t="s">
        <v>858</v>
      </c>
      <c r="G218" t="s">
        <v>28</v>
      </c>
      <c r="H218" t="s">
        <v>479</v>
      </c>
      <c r="I218" t="s">
        <v>928</v>
      </c>
      <c r="J218" t="s">
        <v>522</v>
      </c>
      <c r="K218" t="s">
        <v>920</v>
      </c>
    </row>
    <row r="219" spans="1:11" x14ac:dyDescent="0.25">
      <c r="A219">
        <v>3</v>
      </c>
      <c r="B219">
        <v>3</v>
      </c>
      <c r="C219" t="s">
        <v>929</v>
      </c>
      <c r="D219" t="s">
        <v>930</v>
      </c>
      <c r="E219" t="s">
        <v>931</v>
      </c>
      <c r="F219" t="s">
        <v>858</v>
      </c>
      <c r="G219" t="s">
        <v>28</v>
      </c>
      <c r="H219" t="s">
        <v>479</v>
      </c>
      <c r="I219" t="s">
        <v>932</v>
      </c>
      <c r="J219" t="s">
        <v>522</v>
      </c>
      <c r="K219" t="s">
        <v>920</v>
      </c>
    </row>
    <row r="220" spans="1:11" x14ac:dyDescent="0.25">
      <c r="A220">
        <v>3</v>
      </c>
      <c r="B220">
        <v>4</v>
      </c>
      <c r="C220" t="s">
        <v>933</v>
      </c>
      <c r="D220" t="s">
        <v>934</v>
      </c>
      <c r="E220" t="s">
        <v>935</v>
      </c>
      <c r="F220" t="s">
        <v>858</v>
      </c>
      <c r="G220" t="s">
        <v>28</v>
      </c>
      <c r="H220" t="s">
        <v>479</v>
      </c>
      <c r="I220" t="s">
        <v>936</v>
      </c>
      <c r="J220" t="s">
        <v>522</v>
      </c>
      <c r="K220" t="s">
        <v>920</v>
      </c>
    </row>
    <row r="221" spans="1:11" x14ac:dyDescent="0.25">
      <c r="A221">
        <v>2</v>
      </c>
      <c r="B221">
        <v>4</v>
      </c>
      <c r="C221">
        <v>11.4</v>
      </c>
      <c r="D221" t="s">
        <v>937</v>
      </c>
      <c r="E221" t="s">
        <v>938</v>
      </c>
      <c r="F221" t="s">
        <v>858</v>
      </c>
      <c r="G221" t="s">
        <v>21</v>
      </c>
      <c r="H221" t="s">
        <v>479</v>
      </c>
      <c r="I221" t="s">
        <v>939</v>
      </c>
      <c r="J221" t="s">
        <v>940</v>
      </c>
      <c r="K221" t="s">
        <v>861</v>
      </c>
    </row>
    <row r="222" spans="1:11" x14ac:dyDescent="0.25">
      <c r="A222">
        <v>3</v>
      </c>
      <c r="B222">
        <v>1</v>
      </c>
      <c r="C222" t="s">
        <v>941</v>
      </c>
      <c r="D222" t="s">
        <v>942</v>
      </c>
      <c r="E222" t="s">
        <v>943</v>
      </c>
      <c r="F222" t="s">
        <v>858</v>
      </c>
      <c r="G222" t="s">
        <v>28</v>
      </c>
      <c r="H222" t="s">
        <v>479</v>
      </c>
      <c r="I222" t="s">
        <v>944</v>
      </c>
      <c r="J222" t="s">
        <v>940</v>
      </c>
      <c r="K222" t="s">
        <v>945</v>
      </c>
    </row>
    <row r="223" spans="1:11" x14ac:dyDescent="0.25">
      <c r="A223">
        <v>3</v>
      </c>
      <c r="B223">
        <v>2</v>
      </c>
      <c r="C223" t="s">
        <v>946</v>
      </c>
      <c r="D223" t="s">
        <v>947</v>
      </c>
      <c r="E223" t="s">
        <v>948</v>
      </c>
      <c r="F223" t="s">
        <v>858</v>
      </c>
      <c r="G223" t="s">
        <v>28</v>
      </c>
      <c r="H223" t="s">
        <v>479</v>
      </c>
      <c r="I223" t="s">
        <v>949</v>
      </c>
      <c r="J223" t="s">
        <v>940</v>
      </c>
      <c r="K223" t="s">
        <v>945</v>
      </c>
    </row>
    <row r="224" spans="1:11" x14ac:dyDescent="0.25">
      <c r="A224">
        <v>3</v>
      </c>
      <c r="B224">
        <v>3</v>
      </c>
      <c r="C224" t="s">
        <v>950</v>
      </c>
      <c r="D224" t="s">
        <v>951</v>
      </c>
      <c r="E224" t="s">
        <v>952</v>
      </c>
      <c r="F224" t="s">
        <v>858</v>
      </c>
      <c r="G224" t="s">
        <v>28</v>
      </c>
      <c r="H224" t="s">
        <v>479</v>
      </c>
      <c r="I224" t="s">
        <v>953</v>
      </c>
      <c r="J224" t="s">
        <v>940</v>
      </c>
      <c r="K224" t="s">
        <v>954</v>
      </c>
    </row>
    <row r="225" spans="1:11" x14ac:dyDescent="0.25">
      <c r="A225">
        <v>1</v>
      </c>
      <c r="B225">
        <v>12</v>
      </c>
      <c r="C225">
        <v>3</v>
      </c>
      <c r="D225" t="s">
        <v>955</v>
      </c>
      <c r="E225" t="s">
        <v>956</v>
      </c>
      <c r="F225" t="s">
        <v>957</v>
      </c>
      <c r="G225" t="s">
        <v>14</v>
      </c>
      <c r="H225" t="s">
        <v>479</v>
      </c>
      <c r="I225" t="s">
        <v>958</v>
      </c>
      <c r="J225" t="s">
        <v>522</v>
      </c>
      <c r="K225" t="s">
        <v>959</v>
      </c>
    </row>
    <row r="226" spans="1:11" x14ac:dyDescent="0.25">
      <c r="A226">
        <v>2</v>
      </c>
      <c r="B226">
        <v>1</v>
      </c>
      <c r="C226">
        <v>3.1</v>
      </c>
      <c r="D226" t="s">
        <v>960</v>
      </c>
      <c r="E226" t="s">
        <v>961</v>
      </c>
      <c r="F226" t="s">
        <v>957</v>
      </c>
      <c r="G226" t="s">
        <v>21</v>
      </c>
      <c r="H226" t="s">
        <v>479</v>
      </c>
      <c r="I226" t="s">
        <v>962</v>
      </c>
      <c r="J226" t="s">
        <v>522</v>
      </c>
      <c r="K226" t="s">
        <v>963</v>
      </c>
    </row>
    <row r="227" spans="1:11" x14ac:dyDescent="0.25">
      <c r="A227">
        <v>3</v>
      </c>
      <c r="B227">
        <v>1</v>
      </c>
      <c r="C227" t="s">
        <v>964</v>
      </c>
      <c r="D227" t="s">
        <v>965</v>
      </c>
      <c r="E227" t="s">
        <v>966</v>
      </c>
      <c r="F227" t="s">
        <v>957</v>
      </c>
      <c r="G227" t="s">
        <v>28</v>
      </c>
      <c r="H227" t="s">
        <v>479</v>
      </c>
      <c r="I227" t="s">
        <v>967</v>
      </c>
      <c r="J227" t="s">
        <v>522</v>
      </c>
      <c r="K227" t="s">
        <v>963</v>
      </c>
    </row>
    <row r="228" spans="1:11" x14ac:dyDescent="0.25">
      <c r="A228">
        <v>3</v>
      </c>
      <c r="B228">
        <v>2</v>
      </c>
      <c r="C228" t="s">
        <v>968</v>
      </c>
      <c r="D228" t="s">
        <v>969</v>
      </c>
      <c r="E228" t="s">
        <v>970</v>
      </c>
      <c r="F228" t="s">
        <v>957</v>
      </c>
      <c r="G228" t="s">
        <v>28</v>
      </c>
      <c r="H228" t="s">
        <v>479</v>
      </c>
      <c r="I228" t="s">
        <v>971</v>
      </c>
      <c r="J228" t="s">
        <v>522</v>
      </c>
      <c r="K228" t="s">
        <v>963</v>
      </c>
    </row>
    <row r="229" spans="1:11" x14ac:dyDescent="0.25">
      <c r="A229">
        <v>2</v>
      </c>
      <c r="B229">
        <v>2</v>
      </c>
      <c r="C229">
        <v>3.2</v>
      </c>
      <c r="D229" t="s">
        <v>972</v>
      </c>
      <c r="E229" t="s">
        <v>973</v>
      </c>
      <c r="F229" t="s">
        <v>957</v>
      </c>
      <c r="G229" t="s">
        <v>21</v>
      </c>
      <c r="H229" t="s">
        <v>479</v>
      </c>
      <c r="I229" t="s">
        <v>974</v>
      </c>
      <c r="J229" t="s">
        <v>975</v>
      </c>
      <c r="K229" t="s">
        <v>976</v>
      </c>
    </row>
    <row r="230" spans="1:11" x14ac:dyDescent="0.25">
      <c r="A230">
        <v>3</v>
      </c>
      <c r="B230">
        <v>1</v>
      </c>
      <c r="C230" t="s">
        <v>977</v>
      </c>
      <c r="D230" t="s">
        <v>978</v>
      </c>
      <c r="E230" t="s">
        <v>979</v>
      </c>
      <c r="F230" t="s">
        <v>957</v>
      </c>
      <c r="G230" t="s">
        <v>28</v>
      </c>
      <c r="H230" t="s">
        <v>479</v>
      </c>
      <c r="I230" t="s">
        <v>980</v>
      </c>
      <c r="J230" t="s">
        <v>975</v>
      </c>
      <c r="K230" t="s">
        <v>976</v>
      </c>
    </row>
    <row r="231" spans="1:11" x14ac:dyDescent="0.25">
      <c r="A231">
        <v>3</v>
      </c>
      <c r="B231">
        <v>2</v>
      </c>
      <c r="C231" t="s">
        <v>981</v>
      </c>
      <c r="D231" t="s">
        <v>982</v>
      </c>
      <c r="E231" t="s">
        <v>983</v>
      </c>
      <c r="F231" t="s">
        <v>957</v>
      </c>
      <c r="G231" t="s">
        <v>28</v>
      </c>
      <c r="H231" t="s">
        <v>479</v>
      </c>
      <c r="I231" t="s">
        <v>984</v>
      </c>
      <c r="J231" t="s">
        <v>975</v>
      </c>
      <c r="K231" t="s">
        <v>976</v>
      </c>
    </row>
    <row r="232" spans="1:11" x14ac:dyDescent="0.25">
      <c r="A232">
        <v>2</v>
      </c>
      <c r="B232">
        <v>3</v>
      </c>
      <c r="C232">
        <v>3.3</v>
      </c>
      <c r="D232" t="s">
        <v>985</v>
      </c>
      <c r="E232" t="s">
        <v>986</v>
      </c>
      <c r="F232" t="s">
        <v>957</v>
      </c>
      <c r="G232" t="s">
        <v>21</v>
      </c>
      <c r="H232" t="s">
        <v>479</v>
      </c>
      <c r="I232" t="s">
        <v>987</v>
      </c>
      <c r="J232" t="s">
        <v>522</v>
      </c>
      <c r="K232" t="s">
        <v>988</v>
      </c>
    </row>
    <row r="233" spans="1:11" x14ac:dyDescent="0.25">
      <c r="A233">
        <v>3</v>
      </c>
      <c r="B233">
        <v>1</v>
      </c>
      <c r="C233" t="s">
        <v>989</v>
      </c>
      <c r="D233" t="s">
        <v>990</v>
      </c>
      <c r="E233" t="s">
        <v>991</v>
      </c>
      <c r="F233" t="s">
        <v>957</v>
      </c>
      <c r="G233" t="s">
        <v>28</v>
      </c>
      <c r="H233" t="s">
        <v>479</v>
      </c>
      <c r="I233" t="s">
        <v>992</v>
      </c>
      <c r="J233" t="s">
        <v>522</v>
      </c>
      <c r="K233" t="s">
        <v>988</v>
      </c>
    </row>
    <row r="234" spans="1:11" x14ac:dyDescent="0.25">
      <c r="A234">
        <v>3</v>
      </c>
      <c r="B234">
        <v>2</v>
      </c>
      <c r="C234" t="s">
        <v>993</v>
      </c>
      <c r="D234" t="s">
        <v>994</v>
      </c>
      <c r="E234" t="s">
        <v>995</v>
      </c>
      <c r="F234" t="s">
        <v>957</v>
      </c>
      <c r="G234" t="s">
        <v>28</v>
      </c>
      <c r="H234" t="s">
        <v>479</v>
      </c>
      <c r="I234" t="s">
        <v>996</v>
      </c>
      <c r="J234" t="s">
        <v>522</v>
      </c>
      <c r="K234" t="s">
        <v>988</v>
      </c>
    </row>
    <row r="235" spans="1:11" x14ac:dyDescent="0.25">
      <c r="A235">
        <v>2</v>
      </c>
      <c r="B235">
        <v>4</v>
      </c>
      <c r="C235">
        <v>3.4</v>
      </c>
      <c r="D235" t="s">
        <v>997</v>
      </c>
      <c r="E235" t="s">
        <v>998</v>
      </c>
      <c r="F235" t="s">
        <v>957</v>
      </c>
      <c r="G235" t="s">
        <v>21</v>
      </c>
      <c r="H235" t="s">
        <v>479</v>
      </c>
      <c r="I235" t="s">
        <v>999</v>
      </c>
      <c r="J235" t="s">
        <v>522</v>
      </c>
      <c r="K235" t="s">
        <v>1000</v>
      </c>
    </row>
    <row r="236" spans="1:11" x14ac:dyDescent="0.25">
      <c r="A236">
        <v>3</v>
      </c>
      <c r="B236">
        <v>1</v>
      </c>
      <c r="C236" t="s">
        <v>1001</v>
      </c>
      <c r="D236" t="s">
        <v>1002</v>
      </c>
      <c r="E236" t="s">
        <v>1003</v>
      </c>
      <c r="F236" t="s">
        <v>957</v>
      </c>
      <c r="G236" t="s">
        <v>28</v>
      </c>
      <c r="H236" t="s">
        <v>479</v>
      </c>
      <c r="I236" t="s">
        <v>1004</v>
      </c>
      <c r="J236" t="s">
        <v>522</v>
      </c>
      <c r="K236" t="s">
        <v>1000</v>
      </c>
    </row>
    <row r="237" spans="1:11" x14ac:dyDescent="0.25">
      <c r="A237">
        <v>3</v>
      </c>
      <c r="B237">
        <v>2</v>
      </c>
      <c r="C237" t="s">
        <v>1005</v>
      </c>
      <c r="D237" t="s">
        <v>1006</v>
      </c>
      <c r="E237" t="s">
        <v>1007</v>
      </c>
      <c r="F237" t="s">
        <v>957</v>
      </c>
      <c r="G237" t="s">
        <v>28</v>
      </c>
      <c r="H237" t="s">
        <v>479</v>
      </c>
      <c r="I237" t="s">
        <v>1008</v>
      </c>
      <c r="J237" t="s">
        <v>522</v>
      </c>
      <c r="K237" t="s">
        <v>1000</v>
      </c>
    </row>
    <row r="238" spans="1:11" x14ac:dyDescent="0.25">
      <c r="A238">
        <v>1</v>
      </c>
      <c r="B238">
        <v>13</v>
      </c>
      <c r="C238">
        <v>10</v>
      </c>
      <c r="D238" t="s">
        <v>1009</v>
      </c>
      <c r="E238" t="s">
        <v>1010</v>
      </c>
      <c r="F238" t="s">
        <v>1011</v>
      </c>
      <c r="G238" t="s">
        <v>14</v>
      </c>
      <c r="H238" t="s">
        <v>479</v>
      </c>
      <c r="I238" t="s">
        <v>1012</v>
      </c>
      <c r="J238" t="s">
        <v>1013</v>
      </c>
      <c r="K238" t="s">
        <v>1014</v>
      </c>
    </row>
    <row r="239" spans="1:11" x14ac:dyDescent="0.25">
      <c r="A239">
        <v>2</v>
      </c>
      <c r="B239">
        <v>1</v>
      </c>
      <c r="C239">
        <v>10.1</v>
      </c>
      <c r="D239" t="s">
        <v>1015</v>
      </c>
      <c r="E239" t="s">
        <v>1016</v>
      </c>
      <c r="F239" t="s">
        <v>1011</v>
      </c>
      <c r="G239" t="s">
        <v>21</v>
      </c>
      <c r="H239" t="s">
        <v>479</v>
      </c>
      <c r="I239" t="s">
        <v>1017</v>
      </c>
      <c r="J239" t="s">
        <v>644</v>
      </c>
      <c r="K239" t="s">
        <v>1018</v>
      </c>
    </row>
    <row r="240" spans="1:11" x14ac:dyDescent="0.25">
      <c r="A240">
        <v>3</v>
      </c>
      <c r="B240">
        <v>1</v>
      </c>
      <c r="C240" t="s">
        <v>1019</v>
      </c>
      <c r="D240" t="s">
        <v>1020</v>
      </c>
      <c r="E240" t="s">
        <v>1021</v>
      </c>
      <c r="F240" t="s">
        <v>1011</v>
      </c>
      <c r="G240" t="s">
        <v>28</v>
      </c>
      <c r="H240" t="s">
        <v>479</v>
      </c>
      <c r="I240" t="s">
        <v>1022</v>
      </c>
      <c r="J240" t="s">
        <v>644</v>
      </c>
      <c r="K240" t="s">
        <v>1018</v>
      </c>
    </row>
    <row r="241" spans="1:11" x14ac:dyDescent="0.25">
      <c r="A241">
        <v>3</v>
      </c>
      <c r="B241">
        <v>2</v>
      </c>
      <c r="C241" t="s">
        <v>1023</v>
      </c>
      <c r="D241" t="s">
        <v>1024</v>
      </c>
      <c r="E241" t="s">
        <v>1025</v>
      </c>
      <c r="F241" t="s">
        <v>1011</v>
      </c>
      <c r="G241" t="s">
        <v>28</v>
      </c>
      <c r="H241" t="s">
        <v>479</v>
      </c>
      <c r="I241" t="s">
        <v>1026</v>
      </c>
      <c r="J241" t="s">
        <v>644</v>
      </c>
      <c r="K241" t="s">
        <v>1018</v>
      </c>
    </row>
    <row r="242" spans="1:11" x14ac:dyDescent="0.25">
      <c r="A242">
        <v>2</v>
      </c>
      <c r="B242">
        <v>2</v>
      </c>
      <c r="C242">
        <v>10.199999999999999</v>
      </c>
      <c r="D242" t="s">
        <v>1027</v>
      </c>
      <c r="E242" t="s">
        <v>1028</v>
      </c>
      <c r="F242" t="s">
        <v>1011</v>
      </c>
      <c r="G242" t="s">
        <v>21</v>
      </c>
      <c r="H242" t="s">
        <v>479</v>
      </c>
      <c r="I242" t="s">
        <v>1029</v>
      </c>
      <c r="J242" t="s">
        <v>644</v>
      </c>
      <c r="K242" t="s">
        <v>1030</v>
      </c>
    </row>
    <row r="243" spans="1:11" x14ac:dyDescent="0.25">
      <c r="A243">
        <v>3</v>
      </c>
      <c r="B243">
        <v>1</v>
      </c>
      <c r="C243" t="s">
        <v>1031</v>
      </c>
      <c r="D243" t="s">
        <v>1032</v>
      </c>
      <c r="E243" t="s">
        <v>1033</v>
      </c>
      <c r="F243" t="s">
        <v>1011</v>
      </c>
      <c r="G243" t="s">
        <v>28</v>
      </c>
      <c r="H243" t="s">
        <v>479</v>
      </c>
      <c r="I243" t="s">
        <v>1034</v>
      </c>
      <c r="J243" t="s">
        <v>644</v>
      </c>
      <c r="K243" t="s">
        <v>1030</v>
      </c>
    </row>
    <row r="244" spans="1:11" x14ac:dyDescent="0.25">
      <c r="A244">
        <v>3</v>
      </c>
      <c r="B244">
        <v>2</v>
      </c>
      <c r="C244" t="s">
        <v>1035</v>
      </c>
      <c r="D244" t="s">
        <v>1036</v>
      </c>
      <c r="E244" t="s">
        <v>1037</v>
      </c>
      <c r="F244" t="s">
        <v>1011</v>
      </c>
      <c r="G244" t="s">
        <v>28</v>
      </c>
      <c r="H244" t="s">
        <v>479</v>
      </c>
      <c r="I244" t="s">
        <v>1038</v>
      </c>
      <c r="J244" t="s">
        <v>644</v>
      </c>
      <c r="K244" t="s">
        <v>1030</v>
      </c>
    </row>
    <row r="245" spans="1:11" x14ac:dyDescent="0.25">
      <c r="A245">
        <v>2</v>
      </c>
      <c r="B245">
        <v>3</v>
      </c>
      <c r="C245">
        <v>10.3</v>
      </c>
      <c r="D245" t="s">
        <v>1039</v>
      </c>
      <c r="E245" t="s">
        <v>1040</v>
      </c>
      <c r="F245" t="s">
        <v>1011</v>
      </c>
      <c r="G245" t="s">
        <v>21</v>
      </c>
      <c r="H245" t="s">
        <v>479</v>
      </c>
      <c r="I245" t="s">
        <v>1041</v>
      </c>
      <c r="J245" t="s">
        <v>644</v>
      </c>
      <c r="K245" t="s">
        <v>1042</v>
      </c>
    </row>
    <row r="246" spans="1:11" x14ac:dyDescent="0.25">
      <c r="A246">
        <v>3</v>
      </c>
      <c r="B246">
        <v>1</v>
      </c>
      <c r="C246" t="s">
        <v>1043</v>
      </c>
      <c r="D246" t="s">
        <v>1044</v>
      </c>
      <c r="E246" t="s">
        <v>1045</v>
      </c>
      <c r="F246" t="s">
        <v>1011</v>
      </c>
      <c r="G246" t="s">
        <v>28</v>
      </c>
      <c r="H246" t="s">
        <v>479</v>
      </c>
      <c r="I246" t="s">
        <v>1046</v>
      </c>
      <c r="J246" t="s">
        <v>644</v>
      </c>
      <c r="K246" t="s">
        <v>1042</v>
      </c>
    </row>
    <row r="247" spans="1:11" x14ac:dyDescent="0.25">
      <c r="A247">
        <v>3</v>
      </c>
      <c r="B247">
        <v>2</v>
      </c>
      <c r="C247" t="s">
        <v>1047</v>
      </c>
      <c r="D247" t="s">
        <v>1048</v>
      </c>
      <c r="E247" t="s">
        <v>1049</v>
      </c>
      <c r="F247" t="s">
        <v>1011</v>
      </c>
      <c r="G247" t="s">
        <v>28</v>
      </c>
      <c r="H247" t="s">
        <v>479</v>
      </c>
      <c r="I247" t="s">
        <v>1050</v>
      </c>
      <c r="J247" t="s">
        <v>644</v>
      </c>
      <c r="K247" t="s">
        <v>1042</v>
      </c>
    </row>
    <row r="248" spans="1:11" x14ac:dyDescent="0.25">
      <c r="A248">
        <v>2</v>
      </c>
      <c r="B248">
        <v>4</v>
      </c>
      <c r="C248">
        <v>10.4</v>
      </c>
      <c r="D248" t="s">
        <v>1051</v>
      </c>
      <c r="E248" t="s">
        <v>1052</v>
      </c>
      <c r="F248" t="s">
        <v>1011</v>
      </c>
      <c r="G248" t="s">
        <v>21</v>
      </c>
      <c r="H248" t="s">
        <v>479</v>
      </c>
      <c r="I248" t="s">
        <v>1053</v>
      </c>
      <c r="J248" t="s">
        <v>644</v>
      </c>
      <c r="K248" t="s">
        <v>1054</v>
      </c>
    </row>
    <row r="249" spans="1:11" x14ac:dyDescent="0.25">
      <c r="A249">
        <v>3</v>
      </c>
      <c r="B249">
        <v>1</v>
      </c>
      <c r="C249" t="s">
        <v>1055</v>
      </c>
      <c r="D249" t="s">
        <v>1056</v>
      </c>
      <c r="E249" t="s">
        <v>1057</v>
      </c>
      <c r="F249" t="s">
        <v>1011</v>
      </c>
      <c r="G249" t="s">
        <v>28</v>
      </c>
      <c r="H249" t="s">
        <v>479</v>
      </c>
      <c r="I249" t="s">
        <v>1058</v>
      </c>
      <c r="J249" t="s">
        <v>644</v>
      </c>
      <c r="K249" t="s">
        <v>1054</v>
      </c>
    </row>
    <row r="250" spans="1:11" x14ac:dyDescent="0.25">
      <c r="A250">
        <v>3</v>
      </c>
      <c r="B250">
        <v>2</v>
      </c>
      <c r="C250" t="s">
        <v>1059</v>
      </c>
      <c r="D250" t="s">
        <v>1060</v>
      </c>
      <c r="E250" t="s">
        <v>1061</v>
      </c>
      <c r="F250" t="s">
        <v>1011</v>
      </c>
      <c r="G250" t="s">
        <v>28</v>
      </c>
      <c r="H250" t="s">
        <v>479</v>
      </c>
      <c r="I250" t="s">
        <v>1062</v>
      </c>
      <c r="J250" t="s">
        <v>644</v>
      </c>
      <c r="K250" t="s">
        <v>1054</v>
      </c>
    </row>
    <row r="251" spans="1:11" x14ac:dyDescent="0.25">
      <c r="A251">
        <v>3</v>
      </c>
      <c r="B251">
        <v>3</v>
      </c>
      <c r="C251" t="s">
        <v>1063</v>
      </c>
      <c r="D251" t="s">
        <v>1064</v>
      </c>
      <c r="E251" t="s">
        <v>1065</v>
      </c>
      <c r="F251" t="s">
        <v>1011</v>
      </c>
      <c r="G251" t="s">
        <v>28</v>
      </c>
      <c r="H251" t="s">
        <v>479</v>
      </c>
      <c r="I251" t="s">
        <v>1066</v>
      </c>
      <c r="J251" t="s">
        <v>644</v>
      </c>
      <c r="K251" t="s">
        <v>1054</v>
      </c>
    </row>
    <row r="252" spans="1:11" x14ac:dyDescent="0.25">
      <c r="A252">
        <v>2</v>
      </c>
      <c r="B252">
        <v>5</v>
      </c>
      <c r="C252">
        <v>10.5</v>
      </c>
      <c r="D252" t="s">
        <v>1067</v>
      </c>
      <c r="E252" t="s">
        <v>1068</v>
      </c>
      <c r="F252" t="s">
        <v>1011</v>
      </c>
      <c r="G252" t="s">
        <v>21</v>
      </c>
      <c r="H252" t="s">
        <v>479</v>
      </c>
      <c r="I252" t="s">
        <v>1069</v>
      </c>
      <c r="J252" t="s">
        <v>23</v>
      </c>
      <c r="K252" t="s">
        <v>1070</v>
      </c>
    </row>
    <row r="253" spans="1:11" x14ac:dyDescent="0.25">
      <c r="A253">
        <v>3</v>
      </c>
      <c r="B253">
        <v>1</v>
      </c>
      <c r="C253" t="s">
        <v>1071</v>
      </c>
      <c r="D253" t="s">
        <v>1072</v>
      </c>
      <c r="E253" t="s">
        <v>1073</v>
      </c>
      <c r="F253" t="s">
        <v>1011</v>
      </c>
      <c r="G253" t="s">
        <v>28</v>
      </c>
      <c r="H253" t="s">
        <v>479</v>
      </c>
      <c r="I253" t="s">
        <v>1074</v>
      </c>
      <c r="J253" t="s">
        <v>23</v>
      </c>
      <c r="K253" t="s">
        <v>1070</v>
      </c>
    </row>
    <row r="254" spans="1:11" x14ac:dyDescent="0.25">
      <c r="A254">
        <v>3</v>
      </c>
      <c r="B254">
        <v>2</v>
      </c>
      <c r="C254" t="s">
        <v>1075</v>
      </c>
      <c r="D254" t="s">
        <v>1076</v>
      </c>
      <c r="E254" t="s">
        <v>1077</v>
      </c>
      <c r="F254" t="s">
        <v>1011</v>
      </c>
      <c r="G254" t="s">
        <v>28</v>
      </c>
      <c r="H254" t="s">
        <v>479</v>
      </c>
      <c r="I254" t="s">
        <v>1078</v>
      </c>
      <c r="J254" t="s">
        <v>23</v>
      </c>
      <c r="K254" t="s">
        <v>1070</v>
      </c>
    </row>
    <row r="255" spans="1:11" x14ac:dyDescent="0.25">
      <c r="A255">
        <v>2</v>
      </c>
      <c r="B255">
        <v>6</v>
      </c>
      <c r="C255">
        <v>10.6</v>
      </c>
      <c r="D255" t="s">
        <v>1079</v>
      </c>
      <c r="E255" t="s">
        <v>1080</v>
      </c>
      <c r="F255" t="s">
        <v>1011</v>
      </c>
      <c r="G255" t="s">
        <v>21</v>
      </c>
      <c r="H255" t="s">
        <v>479</v>
      </c>
      <c r="I255" t="s">
        <v>1081</v>
      </c>
      <c r="J255" t="s">
        <v>644</v>
      </c>
      <c r="K255" t="s">
        <v>1014</v>
      </c>
    </row>
    <row r="256" spans="1:11" x14ac:dyDescent="0.25">
      <c r="A256">
        <v>3</v>
      </c>
      <c r="B256">
        <v>1</v>
      </c>
      <c r="C256" t="s">
        <v>1082</v>
      </c>
      <c r="D256" t="s">
        <v>1083</v>
      </c>
      <c r="E256" t="s">
        <v>1084</v>
      </c>
      <c r="F256" t="s">
        <v>1011</v>
      </c>
      <c r="G256" t="s">
        <v>28</v>
      </c>
      <c r="H256" t="s">
        <v>479</v>
      </c>
      <c r="I256" t="s">
        <v>1085</v>
      </c>
      <c r="J256" t="s">
        <v>644</v>
      </c>
      <c r="K256" t="s">
        <v>1086</v>
      </c>
    </row>
    <row r="257" spans="1:11" x14ac:dyDescent="0.25">
      <c r="A257">
        <v>3</v>
      </c>
      <c r="B257">
        <v>2</v>
      </c>
      <c r="C257" t="s">
        <v>1087</v>
      </c>
      <c r="D257" t="s">
        <v>1088</v>
      </c>
      <c r="E257" t="s">
        <v>1089</v>
      </c>
      <c r="F257" t="s">
        <v>1011</v>
      </c>
      <c r="G257" t="s">
        <v>28</v>
      </c>
      <c r="H257" t="s">
        <v>479</v>
      </c>
      <c r="I257" t="s">
        <v>1090</v>
      </c>
      <c r="J257" t="s">
        <v>644</v>
      </c>
      <c r="K257" t="s">
        <v>1086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E982A-6ABD-4B83-A81E-8F4CE9DCDF78}">
  <dimension ref="A1:K187"/>
  <sheetViews>
    <sheetView workbookViewId="0"/>
  </sheetViews>
  <sheetFormatPr defaultRowHeight="15" x14ac:dyDescent="0.25"/>
  <sheetData>
    <row r="1" spans="1:11" x14ac:dyDescent="0.25">
      <c r="A1" t="s">
        <v>1091</v>
      </c>
    </row>
    <row r="4" spans="1:11" x14ac:dyDescent="0.25">
      <c r="A4" t="s">
        <v>1092</v>
      </c>
      <c r="B4" t="s">
        <v>1093</v>
      </c>
      <c r="C4" t="s">
        <v>1094</v>
      </c>
      <c r="D4" t="s">
        <v>1095</v>
      </c>
      <c r="E4" t="s">
        <v>1096</v>
      </c>
      <c r="F4" t="s">
        <v>1097</v>
      </c>
      <c r="G4" t="s">
        <v>1098</v>
      </c>
      <c r="H4" t="s">
        <v>1099</v>
      </c>
      <c r="I4" t="s">
        <v>1100</v>
      </c>
      <c r="J4" t="s">
        <v>8</v>
      </c>
      <c r="K4" t="s">
        <v>10</v>
      </c>
    </row>
    <row r="5" spans="1:11" x14ac:dyDescent="0.25">
      <c r="A5">
        <v>5</v>
      </c>
      <c r="B5" t="s">
        <v>11</v>
      </c>
      <c r="C5" t="s">
        <v>1101</v>
      </c>
      <c r="D5">
        <v>5.0999999999999996</v>
      </c>
      <c r="E5" t="s">
        <v>19</v>
      </c>
      <c r="F5" t="s">
        <v>1102</v>
      </c>
      <c r="G5" s="13" t="s">
        <v>25</v>
      </c>
      <c r="H5" t="s">
        <v>26</v>
      </c>
      <c r="I5" t="s">
        <v>27</v>
      </c>
      <c r="J5" t="s">
        <v>29</v>
      </c>
      <c r="K5" t="s">
        <v>24</v>
      </c>
    </row>
    <row r="6" spans="1:11" x14ac:dyDescent="0.25">
      <c r="G6" s="13" t="s">
        <v>30</v>
      </c>
      <c r="H6" t="s">
        <v>31</v>
      </c>
      <c r="I6" t="s">
        <v>32</v>
      </c>
      <c r="J6" t="s">
        <v>33</v>
      </c>
      <c r="K6" t="s">
        <v>24</v>
      </c>
    </row>
    <row r="7" spans="1:11" x14ac:dyDescent="0.25">
      <c r="G7" s="13" t="s">
        <v>34</v>
      </c>
      <c r="H7" t="s">
        <v>35</v>
      </c>
      <c r="I7" t="s">
        <v>36</v>
      </c>
      <c r="J7" t="s">
        <v>37</v>
      </c>
      <c r="K7" t="s">
        <v>24</v>
      </c>
    </row>
    <row r="8" spans="1:11" x14ac:dyDescent="0.25">
      <c r="G8" s="13" t="s">
        <v>38</v>
      </c>
      <c r="H8" t="s">
        <v>39</v>
      </c>
      <c r="I8" t="s">
        <v>40</v>
      </c>
      <c r="J8" t="s">
        <v>41</v>
      </c>
      <c r="K8" t="s">
        <v>24</v>
      </c>
    </row>
    <row r="9" spans="1:11" x14ac:dyDescent="0.25">
      <c r="G9" s="13" t="s">
        <v>42</v>
      </c>
      <c r="H9" t="s">
        <v>43</v>
      </c>
      <c r="I9" t="s">
        <v>44</v>
      </c>
      <c r="J9" t="s">
        <v>45</v>
      </c>
      <c r="K9" t="s">
        <v>24</v>
      </c>
    </row>
    <row r="10" spans="1:11" x14ac:dyDescent="0.25">
      <c r="D10">
        <v>5.2</v>
      </c>
      <c r="E10" t="s">
        <v>46</v>
      </c>
      <c r="F10" t="s">
        <v>1103</v>
      </c>
      <c r="G10" s="13" t="s">
        <v>51</v>
      </c>
      <c r="H10" t="s">
        <v>52</v>
      </c>
      <c r="I10" t="s">
        <v>53</v>
      </c>
      <c r="J10" t="s">
        <v>54</v>
      </c>
      <c r="K10" t="s">
        <v>50</v>
      </c>
    </row>
    <row r="11" spans="1:11" x14ac:dyDescent="0.25">
      <c r="G11" s="13" t="s">
        <v>55</v>
      </c>
      <c r="H11" t="s">
        <v>56</v>
      </c>
      <c r="I11" t="s">
        <v>57</v>
      </c>
      <c r="J11" t="s">
        <v>58</v>
      </c>
      <c r="K11" t="s">
        <v>50</v>
      </c>
    </row>
    <row r="12" spans="1:11" x14ac:dyDescent="0.25">
      <c r="G12" s="13" t="s">
        <v>59</v>
      </c>
      <c r="H12" t="s">
        <v>60</v>
      </c>
      <c r="I12" t="s">
        <v>61</v>
      </c>
      <c r="J12" t="s">
        <v>62</v>
      </c>
      <c r="K12" t="s">
        <v>50</v>
      </c>
    </row>
    <row r="13" spans="1:11" x14ac:dyDescent="0.25">
      <c r="G13" s="13" t="s">
        <v>63</v>
      </c>
      <c r="H13" t="s">
        <v>64</v>
      </c>
      <c r="I13" t="s">
        <v>65</v>
      </c>
      <c r="J13" t="s">
        <v>66</v>
      </c>
      <c r="K13" t="s">
        <v>50</v>
      </c>
    </row>
    <row r="14" spans="1:11" x14ac:dyDescent="0.25">
      <c r="D14">
        <v>5.3</v>
      </c>
      <c r="E14" t="s">
        <v>67</v>
      </c>
      <c r="F14" t="s">
        <v>1104</v>
      </c>
      <c r="G14" s="13" t="s">
        <v>71</v>
      </c>
      <c r="H14" t="s">
        <v>72</v>
      </c>
      <c r="I14" t="s">
        <v>73</v>
      </c>
      <c r="J14" t="s">
        <v>74</v>
      </c>
      <c r="K14" t="s">
        <v>70</v>
      </c>
    </row>
    <row r="15" spans="1:11" x14ac:dyDescent="0.25">
      <c r="G15" s="13" t="s">
        <v>75</v>
      </c>
      <c r="H15" t="s">
        <v>76</v>
      </c>
      <c r="I15" t="s">
        <v>77</v>
      </c>
      <c r="J15" t="s">
        <v>78</v>
      </c>
      <c r="K15" t="s">
        <v>70</v>
      </c>
    </row>
    <row r="16" spans="1:11" x14ac:dyDescent="0.25">
      <c r="G16" s="13" t="s">
        <v>79</v>
      </c>
      <c r="H16" t="s">
        <v>80</v>
      </c>
      <c r="I16" t="s">
        <v>81</v>
      </c>
      <c r="J16" t="s">
        <v>82</v>
      </c>
      <c r="K16" t="s">
        <v>70</v>
      </c>
    </row>
    <row r="17" spans="1:11" x14ac:dyDescent="0.25">
      <c r="D17">
        <v>5.4</v>
      </c>
      <c r="E17" t="s">
        <v>83</v>
      </c>
      <c r="F17" t="s">
        <v>1105</v>
      </c>
      <c r="G17" s="13" t="s">
        <v>87</v>
      </c>
      <c r="H17" t="s">
        <v>88</v>
      </c>
      <c r="I17" t="s">
        <v>89</v>
      </c>
      <c r="J17" t="s">
        <v>90</v>
      </c>
      <c r="K17" t="s">
        <v>86</v>
      </c>
    </row>
    <row r="18" spans="1:11" x14ac:dyDescent="0.25">
      <c r="G18" s="13" t="s">
        <v>91</v>
      </c>
      <c r="H18" t="s">
        <v>92</v>
      </c>
      <c r="I18" t="s">
        <v>93</v>
      </c>
      <c r="J18" t="s">
        <v>94</v>
      </c>
      <c r="K18" t="s">
        <v>86</v>
      </c>
    </row>
    <row r="19" spans="1:11" x14ac:dyDescent="0.25">
      <c r="G19" s="13" t="s">
        <v>95</v>
      </c>
      <c r="H19" t="s">
        <v>96</v>
      </c>
      <c r="I19" t="s">
        <v>97</v>
      </c>
      <c r="J19" t="s">
        <v>98</v>
      </c>
      <c r="K19" t="s">
        <v>86</v>
      </c>
    </row>
    <row r="20" spans="1:11" x14ac:dyDescent="0.25">
      <c r="A20">
        <v>4</v>
      </c>
      <c r="B20" t="s">
        <v>99</v>
      </c>
      <c r="C20" t="s">
        <v>1106</v>
      </c>
      <c r="D20">
        <v>4.0999999999999996</v>
      </c>
      <c r="E20" t="s">
        <v>105</v>
      </c>
      <c r="F20" t="s">
        <v>1107</v>
      </c>
      <c r="G20" s="13" t="s">
        <v>108</v>
      </c>
      <c r="H20" t="s">
        <v>109</v>
      </c>
      <c r="I20" t="s">
        <v>110</v>
      </c>
      <c r="J20" t="s">
        <v>111</v>
      </c>
      <c r="K20" t="s">
        <v>104</v>
      </c>
    </row>
    <row r="21" spans="1:11" x14ac:dyDescent="0.25">
      <c r="G21" s="13" t="s">
        <v>112</v>
      </c>
      <c r="H21" t="s">
        <v>113</v>
      </c>
      <c r="I21" t="s">
        <v>114</v>
      </c>
      <c r="J21" t="s">
        <v>115</v>
      </c>
      <c r="K21" t="s">
        <v>116</v>
      </c>
    </row>
    <row r="22" spans="1:11" x14ac:dyDescent="0.25">
      <c r="G22" s="13" t="s">
        <v>117</v>
      </c>
      <c r="H22" t="s">
        <v>118</v>
      </c>
      <c r="I22" t="s">
        <v>119</v>
      </c>
      <c r="J22" t="s">
        <v>120</v>
      </c>
      <c r="K22" t="s">
        <v>121</v>
      </c>
    </row>
    <row r="23" spans="1:11" x14ac:dyDescent="0.25">
      <c r="G23" s="13" t="s">
        <v>122</v>
      </c>
      <c r="H23" t="s">
        <v>123</v>
      </c>
      <c r="I23" t="s">
        <v>124</v>
      </c>
      <c r="J23" t="s">
        <v>125</v>
      </c>
      <c r="K23" t="s">
        <v>126</v>
      </c>
    </row>
    <row r="24" spans="1:11" x14ac:dyDescent="0.25">
      <c r="D24">
        <v>4.2</v>
      </c>
      <c r="E24" t="s">
        <v>127</v>
      </c>
      <c r="F24" t="s">
        <v>1108</v>
      </c>
      <c r="G24" s="13" t="s">
        <v>131</v>
      </c>
      <c r="H24" t="s">
        <v>132</v>
      </c>
      <c r="I24" t="s">
        <v>133</v>
      </c>
      <c r="J24" t="s">
        <v>134</v>
      </c>
      <c r="K24" t="s">
        <v>104</v>
      </c>
    </row>
    <row r="25" spans="1:11" x14ac:dyDescent="0.25">
      <c r="G25" s="13" t="s">
        <v>135</v>
      </c>
      <c r="H25" t="s">
        <v>136</v>
      </c>
      <c r="I25" t="s">
        <v>137</v>
      </c>
      <c r="J25" t="s">
        <v>138</v>
      </c>
      <c r="K25" t="s">
        <v>116</v>
      </c>
    </row>
    <row r="26" spans="1:11" x14ac:dyDescent="0.25">
      <c r="G26" s="13" t="s">
        <v>139</v>
      </c>
      <c r="H26" t="s">
        <v>140</v>
      </c>
      <c r="I26" t="s">
        <v>141</v>
      </c>
      <c r="J26" t="s">
        <v>142</v>
      </c>
      <c r="K26" t="s">
        <v>121</v>
      </c>
    </row>
    <row r="27" spans="1:11" x14ac:dyDescent="0.25">
      <c r="G27" s="13" t="s">
        <v>143</v>
      </c>
      <c r="H27" t="s">
        <v>144</v>
      </c>
      <c r="I27" t="s">
        <v>145</v>
      </c>
      <c r="J27" t="s">
        <v>146</v>
      </c>
      <c r="K27" t="s">
        <v>147</v>
      </c>
    </row>
    <row r="28" spans="1:11" x14ac:dyDescent="0.25">
      <c r="D28">
        <v>4.3</v>
      </c>
      <c r="E28" t="s">
        <v>148</v>
      </c>
      <c r="F28" t="s">
        <v>1109</v>
      </c>
      <c r="G28" s="13" t="s">
        <v>152</v>
      </c>
      <c r="H28" t="s">
        <v>153</v>
      </c>
      <c r="I28" t="s">
        <v>154</v>
      </c>
      <c r="J28" t="s">
        <v>155</v>
      </c>
      <c r="K28" t="s">
        <v>151</v>
      </c>
    </row>
    <row r="29" spans="1:11" x14ac:dyDescent="0.25">
      <c r="G29" s="13" t="s">
        <v>156</v>
      </c>
      <c r="H29" t="s">
        <v>157</v>
      </c>
      <c r="I29" t="s">
        <v>158</v>
      </c>
      <c r="J29" t="s">
        <v>159</v>
      </c>
      <c r="K29" t="s">
        <v>160</v>
      </c>
    </row>
    <row r="30" spans="1:11" x14ac:dyDescent="0.25">
      <c r="G30" s="13" t="s">
        <v>161</v>
      </c>
      <c r="H30" t="s">
        <v>162</v>
      </c>
      <c r="I30" t="s">
        <v>163</v>
      </c>
      <c r="J30" t="s">
        <v>164</v>
      </c>
      <c r="K30" t="s">
        <v>151</v>
      </c>
    </row>
    <row r="31" spans="1:11" x14ac:dyDescent="0.25">
      <c r="G31" s="13" t="s">
        <v>165</v>
      </c>
      <c r="H31" t="s">
        <v>166</v>
      </c>
      <c r="I31" t="s">
        <v>167</v>
      </c>
      <c r="J31" t="s">
        <v>168</v>
      </c>
      <c r="K31" t="s">
        <v>151</v>
      </c>
    </row>
    <row r="32" spans="1:11" x14ac:dyDescent="0.25">
      <c r="D32">
        <v>4.4000000000000004</v>
      </c>
      <c r="E32" t="s">
        <v>169</v>
      </c>
      <c r="F32" t="s">
        <v>1110</v>
      </c>
      <c r="G32" s="13" t="s">
        <v>172</v>
      </c>
      <c r="H32" t="s">
        <v>173</v>
      </c>
      <c r="I32" t="s">
        <v>174</v>
      </c>
      <c r="J32" t="s">
        <v>175</v>
      </c>
      <c r="K32" t="s">
        <v>160</v>
      </c>
    </row>
    <row r="33" spans="1:11" x14ac:dyDescent="0.25">
      <c r="G33" s="13" t="s">
        <v>176</v>
      </c>
      <c r="H33" t="s">
        <v>177</v>
      </c>
      <c r="I33" t="s">
        <v>178</v>
      </c>
      <c r="J33" t="s">
        <v>179</v>
      </c>
      <c r="K33" t="s">
        <v>160</v>
      </c>
    </row>
    <row r="34" spans="1:11" x14ac:dyDescent="0.25">
      <c r="G34" s="13" t="s">
        <v>180</v>
      </c>
      <c r="H34" t="s">
        <v>181</v>
      </c>
      <c r="I34" t="s">
        <v>182</v>
      </c>
      <c r="J34" t="s">
        <v>183</v>
      </c>
      <c r="K34" t="s">
        <v>160</v>
      </c>
    </row>
    <row r="35" spans="1:11" x14ac:dyDescent="0.25">
      <c r="A35">
        <v>1</v>
      </c>
      <c r="B35" t="s">
        <v>184</v>
      </c>
      <c r="C35" t="s">
        <v>1111</v>
      </c>
      <c r="D35">
        <v>1.1000000000000001</v>
      </c>
      <c r="E35" t="s">
        <v>190</v>
      </c>
      <c r="F35" t="s">
        <v>1112</v>
      </c>
      <c r="G35" s="13" t="s">
        <v>194</v>
      </c>
      <c r="H35" t="s">
        <v>195</v>
      </c>
      <c r="I35" t="s">
        <v>196</v>
      </c>
      <c r="J35" t="s">
        <v>197</v>
      </c>
      <c r="K35" t="s">
        <v>193</v>
      </c>
    </row>
    <row r="36" spans="1:11" x14ac:dyDescent="0.25">
      <c r="G36" s="13" t="s">
        <v>198</v>
      </c>
      <c r="H36" t="s">
        <v>199</v>
      </c>
      <c r="I36" t="s">
        <v>200</v>
      </c>
      <c r="J36" t="s">
        <v>201</v>
      </c>
      <c r="K36" t="s">
        <v>193</v>
      </c>
    </row>
    <row r="37" spans="1:11" x14ac:dyDescent="0.25">
      <c r="G37" s="13" t="s">
        <v>202</v>
      </c>
      <c r="H37" t="s">
        <v>203</v>
      </c>
      <c r="I37" t="s">
        <v>204</v>
      </c>
      <c r="J37" t="s">
        <v>205</v>
      </c>
      <c r="K37" t="s">
        <v>193</v>
      </c>
    </row>
    <row r="38" spans="1:11" x14ac:dyDescent="0.25">
      <c r="G38" s="13" t="s">
        <v>206</v>
      </c>
      <c r="H38" t="s">
        <v>207</v>
      </c>
      <c r="I38" t="s">
        <v>208</v>
      </c>
      <c r="J38" t="s">
        <v>209</v>
      </c>
      <c r="K38" t="s">
        <v>193</v>
      </c>
    </row>
    <row r="39" spans="1:11" x14ac:dyDescent="0.25">
      <c r="G39" s="13" t="s">
        <v>210</v>
      </c>
      <c r="H39" t="s">
        <v>211</v>
      </c>
      <c r="I39" t="s">
        <v>212</v>
      </c>
      <c r="J39" t="s">
        <v>213</v>
      </c>
      <c r="K39" t="s">
        <v>193</v>
      </c>
    </row>
    <row r="40" spans="1:11" x14ac:dyDescent="0.25">
      <c r="D40">
        <v>1.2</v>
      </c>
      <c r="E40" t="s">
        <v>214</v>
      </c>
      <c r="F40" t="s">
        <v>1113</v>
      </c>
      <c r="G40" s="13" t="s">
        <v>219</v>
      </c>
      <c r="H40" t="s">
        <v>220</v>
      </c>
      <c r="I40" t="s">
        <v>221</v>
      </c>
      <c r="J40" t="s">
        <v>222</v>
      </c>
      <c r="K40" t="s">
        <v>218</v>
      </c>
    </row>
    <row r="41" spans="1:11" x14ac:dyDescent="0.25">
      <c r="G41" s="13" t="s">
        <v>223</v>
      </c>
      <c r="H41" t="s">
        <v>224</v>
      </c>
      <c r="I41" t="s">
        <v>225</v>
      </c>
      <c r="J41" t="s">
        <v>226</v>
      </c>
      <c r="K41" t="s">
        <v>218</v>
      </c>
    </row>
    <row r="42" spans="1:11" x14ac:dyDescent="0.25">
      <c r="G42" s="13" t="s">
        <v>227</v>
      </c>
      <c r="H42" t="s">
        <v>228</v>
      </c>
      <c r="I42" t="s">
        <v>229</v>
      </c>
      <c r="J42" t="s">
        <v>230</v>
      </c>
      <c r="K42" t="s">
        <v>218</v>
      </c>
    </row>
    <row r="43" spans="1:11" x14ac:dyDescent="0.25">
      <c r="G43" s="13" t="s">
        <v>231</v>
      </c>
      <c r="H43" t="s">
        <v>232</v>
      </c>
      <c r="I43" t="s">
        <v>233</v>
      </c>
      <c r="J43" t="s">
        <v>234</v>
      </c>
      <c r="K43" t="s">
        <v>218</v>
      </c>
    </row>
    <row r="44" spans="1:11" x14ac:dyDescent="0.25">
      <c r="D44">
        <v>1.3</v>
      </c>
      <c r="E44" t="s">
        <v>235</v>
      </c>
      <c r="F44" t="s">
        <v>1114</v>
      </c>
      <c r="G44" s="13" t="s">
        <v>239</v>
      </c>
      <c r="H44" t="s">
        <v>240</v>
      </c>
      <c r="I44" t="s">
        <v>241</v>
      </c>
      <c r="J44" t="s">
        <v>242</v>
      </c>
      <c r="K44" t="s">
        <v>238</v>
      </c>
    </row>
    <row r="45" spans="1:11" x14ac:dyDescent="0.25">
      <c r="G45" s="13" t="s">
        <v>243</v>
      </c>
      <c r="H45" t="s">
        <v>244</v>
      </c>
      <c r="I45" t="s">
        <v>245</v>
      </c>
      <c r="J45" t="s">
        <v>246</v>
      </c>
      <c r="K45" t="s">
        <v>238</v>
      </c>
    </row>
    <row r="46" spans="1:11" x14ac:dyDescent="0.25">
      <c r="D46">
        <v>1.4</v>
      </c>
      <c r="E46" t="s">
        <v>247</v>
      </c>
      <c r="F46" t="s">
        <v>1115</v>
      </c>
      <c r="G46" s="13" t="s">
        <v>251</v>
      </c>
      <c r="H46" t="s">
        <v>252</v>
      </c>
      <c r="I46" t="s">
        <v>253</v>
      </c>
      <c r="J46" t="s">
        <v>254</v>
      </c>
      <c r="K46" t="s">
        <v>250</v>
      </c>
    </row>
    <row r="47" spans="1:11" x14ac:dyDescent="0.25">
      <c r="G47" s="13" t="s">
        <v>255</v>
      </c>
      <c r="H47" t="s">
        <v>256</v>
      </c>
      <c r="I47" t="s">
        <v>257</v>
      </c>
      <c r="J47" t="s">
        <v>258</v>
      </c>
      <c r="K47" t="s">
        <v>250</v>
      </c>
    </row>
    <row r="48" spans="1:11" x14ac:dyDescent="0.25">
      <c r="G48" s="13" t="s">
        <v>259</v>
      </c>
      <c r="H48" t="s">
        <v>260</v>
      </c>
      <c r="I48" t="s">
        <v>261</v>
      </c>
      <c r="J48" t="s">
        <v>262</v>
      </c>
      <c r="K48" t="s">
        <v>250</v>
      </c>
    </row>
    <row r="49" spans="1:11" x14ac:dyDescent="0.25">
      <c r="G49" s="13" t="s">
        <v>263</v>
      </c>
      <c r="H49" t="s">
        <v>264</v>
      </c>
      <c r="I49" t="s">
        <v>265</v>
      </c>
      <c r="J49" t="s">
        <v>266</v>
      </c>
      <c r="K49" t="s">
        <v>250</v>
      </c>
    </row>
    <row r="50" spans="1:11" x14ac:dyDescent="0.25">
      <c r="D50">
        <v>1.5</v>
      </c>
      <c r="E50" t="s">
        <v>267</v>
      </c>
      <c r="F50" t="s">
        <v>1116</v>
      </c>
      <c r="G50" s="13" t="s">
        <v>272</v>
      </c>
      <c r="H50" t="s">
        <v>273</v>
      </c>
      <c r="I50" t="s">
        <v>274</v>
      </c>
      <c r="J50" t="s">
        <v>275</v>
      </c>
      <c r="K50" t="s">
        <v>271</v>
      </c>
    </row>
    <row r="51" spans="1:11" x14ac:dyDescent="0.25">
      <c r="G51" s="13" t="s">
        <v>276</v>
      </c>
      <c r="H51" t="s">
        <v>277</v>
      </c>
      <c r="I51" t="s">
        <v>278</v>
      </c>
      <c r="J51" t="s">
        <v>279</v>
      </c>
      <c r="K51" t="s">
        <v>271</v>
      </c>
    </row>
    <row r="52" spans="1:11" x14ac:dyDescent="0.25">
      <c r="G52" s="13" t="s">
        <v>280</v>
      </c>
      <c r="H52" t="s">
        <v>281</v>
      </c>
      <c r="I52" t="s">
        <v>282</v>
      </c>
      <c r="J52" t="s">
        <v>283</v>
      </c>
      <c r="K52" t="s">
        <v>271</v>
      </c>
    </row>
    <row r="53" spans="1:11" x14ac:dyDescent="0.25">
      <c r="D53">
        <v>1.6</v>
      </c>
      <c r="E53" t="s">
        <v>284</v>
      </c>
      <c r="F53" t="s">
        <v>1117</v>
      </c>
      <c r="G53" s="13" t="s">
        <v>289</v>
      </c>
      <c r="H53" t="s">
        <v>290</v>
      </c>
      <c r="I53" t="s">
        <v>291</v>
      </c>
      <c r="J53" t="s">
        <v>292</v>
      </c>
      <c r="K53" t="s">
        <v>288</v>
      </c>
    </row>
    <row r="54" spans="1:11" x14ac:dyDescent="0.25">
      <c r="G54" s="13" t="s">
        <v>293</v>
      </c>
      <c r="H54" t="s">
        <v>294</v>
      </c>
      <c r="I54" t="s">
        <v>295</v>
      </c>
      <c r="J54" t="s">
        <v>296</v>
      </c>
      <c r="K54" t="s">
        <v>288</v>
      </c>
    </row>
    <row r="55" spans="1:11" x14ac:dyDescent="0.25">
      <c r="A55">
        <v>2</v>
      </c>
      <c r="B55" t="s">
        <v>297</v>
      </c>
      <c r="C55" t="s">
        <v>1118</v>
      </c>
      <c r="D55">
        <v>2.1</v>
      </c>
      <c r="E55" t="s">
        <v>303</v>
      </c>
      <c r="F55" t="s">
        <v>1119</v>
      </c>
      <c r="G55" s="13" t="s">
        <v>307</v>
      </c>
      <c r="H55" t="s">
        <v>308</v>
      </c>
      <c r="I55" t="s">
        <v>309</v>
      </c>
      <c r="J55" t="s">
        <v>310</v>
      </c>
      <c r="K55" t="s">
        <v>306</v>
      </c>
    </row>
    <row r="56" spans="1:11" x14ac:dyDescent="0.25">
      <c r="G56" s="13" t="s">
        <v>311</v>
      </c>
      <c r="H56" t="s">
        <v>312</v>
      </c>
      <c r="I56" t="s">
        <v>313</v>
      </c>
      <c r="J56" t="s">
        <v>314</v>
      </c>
      <c r="K56" t="s">
        <v>306</v>
      </c>
    </row>
    <row r="57" spans="1:11" x14ac:dyDescent="0.25">
      <c r="G57" s="13" t="s">
        <v>315</v>
      </c>
      <c r="H57" t="s">
        <v>316</v>
      </c>
      <c r="I57" t="s">
        <v>317</v>
      </c>
      <c r="J57" t="s">
        <v>318</v>
      </c>
      <c r="K57" t="s">
        <v>306</v>
      </c>
    </row>
    <row r="58" spans="1:11" x14ac:dyDescent="0.25">
      <c r="G58" s="13" t="s">
        <v>319</v>
      </c>
      <c r="H58" t="s">
        <v>320</v>
      </c>
      <c r="I58" t="s">
        <v>321</v>
      </c>
      <c r="J58" t="s">
        <v>322</v>
      </c>
      <c r="K58" t="s">
        <v>306</v>
      </c>
    </row>
    <row r="59" spans="1:11" x14ac:dyDescent="0.25">
      <c r="D59">
        <v>2.2000000000000002</v>
      </c>
      <c r="E59" t="s">
        <v>323</v>
      </c>
      <c r="F59" t="s">
        <v>1120</v>
      </c>
      <c r="G59" s="13" t="s">
        <v>327</v>
      </c>
      <c r="H59" t="s">
        <v>328</v>
      </c>
      <c r="I59" t="s">
        <v>329</v>
      </c>
      <c r="J59" t="s">
        <v>330</v>
      </c>
      <c r="K59" t="s">
        <v>326</v>
      </c>
    </row>
    <row r="60" spans="1:11" x14ac:dyDescent="0.25">
      <c r="G60" s="13" t="s">
        <v>331</v>
      </c>
      <c r="H60" t="s">
        <v>332</v>
      </c>
      <c r="I60" t="s">
        <v>333</v>
      </c>
      <c r="J60" t="s">
        <v>334</v>
      </c>
      <c r="K60" t="s">
        <v>326</v>
      </c>
    </row>
    <row r="61" spans="1:11" x14ac:dyDescent="0.25">
      <c r="G61" s="13" t="s">
        <v>335</v>
      </c>
      <c r="H61" t="s">
        <v>336</v>
      </c>
      <c r="I61" t="s">
        <v>337</v>
      </c>
      <c r="J61" t="s">
        <v>338</v>
      </c>
      <c r="K61" t="s">
        <v>326</v>
      </c>
    </row>
    <row r="62" spans="1:11" x14ac:dyDescent="0.25">
      <c r="G62" s="13" t="s">
        <v>339</v>
      </c>
      <c r="H62" t="s">
        <v>340</v>
      </c>
      <c r="I62" t="s">
        <v>341</v>
      </c>
      <c r="J62" t="s">
        <v>342</v>
      </c>
      <c r="K62" t="s">
        <v>326</v>
      </c>
    </row>
    <row r="63" spans="1:11" x14ac:dyDescent="0.25">
      <c r="D63">
        <v>2.2999999999999998</v>
      </c>
      <c r="E63" t="s">
        <v>343</v>
      </c>
      <c r="F63" t="s">
        <v>1121</v>
      </c>
      <c r="G63" s="13" t="s">
        <v>348</v>
      </c>
      <c r="H63" t="s">
        <v>349</v>
      </c>
      <c r="I63" t="s">
        <v>350</v>
      </c>
      <c r="J63" t="s">
        <v>351</v>
      </c>
      <c r="K63" t="s">
        <v>347</v>
      </c>
    </row>
    <row r="64" spans="1:11" x14ac:dyDescent="0.25">
      <c r="G64" s="13" t="s">
        <v>352</v>
      </c>
      <c r="H64" t="s">
        <v>353</v>
      </c>
      <c r="I64" t="s">
        <v>354</v>
      </c>
      <c r="J64" t="s">
        <v>355</v>
      </c>
      <c r="K64" t="s">
        <v>347</v>
      </c>
    </row>
    <row r="65" spans="1:11" x14ac:dyDescent="0.25">
      <c r="D65">
        <v>2.4</v>
      </c>
      <c r="E65" t="s">
        <v>356</v>
      </c>
      <c r="F65" t="s">
        <v>1122</v>
      </c>
      <c r="G65" s="13" t="s">
        <v>360</v>
      </c>
      <c r="H65" t="s">
        <v>361</v>
      </c>
      <c r="I65" t="s">
        <v>362</v>
      </c>
      <c r="J65" t="s">
        <v>363</v>
      </c>
      <c r="K65" t="s">
        <v>359</v>
      </c>
    </row>
    <row r="66" spans="1:11" x14ac:dyDescent="0.25">
      <c r="G66" s="13" t="s">
        <v>364</v>
      </c>
      <c r="H66" t="s">
        <v>365</v>
      </c>
      <c r="I66" t="s">
        <v>366</v>
      </c>
      <c r="J66" t="s">
        <v>367</v>
      </c>
      <c r="K66" t="s">
        <v>359</v>
      </c>
    </row>
    <row r="67" spans="1:11" x14ac:dyDescent="0.25">
      <c r="D67">
        <v>2.5</v>
      </c>
      <c r="E67" t="s">
        <v>368</v>
      </c>
      <c r="F67" t="s">
        <v>1123</v>
      </c>
      <c r="G67" s="13" t="s">
        <v>372</v>
      </c>
      <c r="H67" t="s">
        <v>373</v>
      </c>
      <c r="I67" t="s">
        <v>374</v>
      </c>
      <c r="J67" t="s">
        <v>375</v>
      </c>
      <c r="K67" t="s">
        <v>371</v>
      </c>
    </row>
    <row r="68" spans="1:11" x14ac:dyDescent="0.25">
      <c r="G68" s="13" t="s">
        <v>376</v>
      </c>
      <c r="H68" t="s">
        <v>377</v>
      </c>
      <c r="I68" t="s">
        <v>378</v>
      </c>
      <c r="J68" t="s">
        <v>379</v>
      </c>
      <c r="K68" t="s">
        <v>371</v>
      </c>
    </row>
    <row r="69" spans="1:11" x14ac:dyDescent="0.25">
      <c r="A69">
        <v>13</v>
      </c>
      <c r="B69" t="s">
        <v>380</v>
      </c>
      <c r="C69" t="s">
        <v>1124</v>
      </c>
      <c r="D69">
        <v>13.1</v>
      </c>
      <c r="E69" t="s">
        <v>386</v>
      </c>
      <c r="F69" t="s">
        <v>1125</v>
      </c>
      <c r="G69" s="13" t="s">
        <v>391</v>
      </c>
      <c r="H69" t="s">
        <v>392</v>
      </c>
      <c r="I69" t="s">
        <v>393</v>
      </c>
      <c r="J69" t="s">
        <v>394</v>
      </c>
      <c r="K69" t="s">
        <v>390</v>
      </c>
    </row>
    <row r="70" spans="1:11" x14ac:dyDescent="0.25">
      <c r="G70" s="13" t="s">
        <v>395</v>
      </c>
      <c r="H70" t="s">
        <v>396</v>
      </c>
      <c r="I70" t="s">
        <v>397</v>
      </c>
      <c r="J70" t="s">
        <v>398</v>
      </c>
      <c r="K70" t="s">
        <v>390</v>
      </c>
    </row>
    <row r="71" spans="1:11" x14ac:dyDescent="0.25">
      <c r="G71" s="13" t="s">
        <v>399</v>
      </c>
      <c r="H71" t="s">
        <v>400</v>
      </c>
      <c r="I71" t="s">
        <v>401</v>
      </c>
      <c r="J71" t="s">
        <v>402</v>
      </c>
      <c r="K71" t="s">
        <v>390</v>
      </c>
    </row>
    <row r="72" spans="1:11" x14ac:dyDescent="0.25">
      <c r="G72" s="13" t="s">
        <v>403</v>
      </c>
      <c r="H72" t="s">
        <v>404</v>
      </c>
      <c r="I72" t="s">
        <v>405</v>
      </c>
      <c r="J72" t="s">
        <v>406</v>
      </c>
      <c r="K72" t="s">
        <v>407</v>
      </c>
    </row>
    <row r="73" spans="1:11" x14ac:dyDescent="0.25">
      <c r="G73" s="13" t="s">
        <v>408</v>
      </c>
      <c r="H73" t="s">
        <v>409</v>
      </c>
      <c r="I73" t="s">
        <v>410</v>
      </c>
      <c r="J73" t="s">
        <v>411</v>
      </c>
      <c r="K73" t="s">
        <v>407</v>
      </c>
    </row>
    <row r="74" spans="1:11" x14ac:dyDescent="0.25">
      <c r="D74">
        <v>13.2</v>
      </c>
      <c r="E74" t="s">
        <v>412</v>
      </c>
      <c r="F74" t="s">
        <v>1126</v>
      </c>
      <c r="G74" s="13" t="s">
        <v>416</v>
      </c>
      <c r="H74" t="s">
        <v>417</v>
      </c>
      <c r="I74" t="s">
        <v>418</v>
      </c>
      <c r="J74" t="s">
        <v>419</v>
      </c>
      <c r="K74" t="s">
        <v>415</v>
      </c>
    </row>
    <row r="75" spans="1:11" x14ac:dyDescent="0.25">
      <c r="G75" s="13" t="s">
        <v>420</v>
      </c>
      <c r="H75" t="s">
        <v>421</v>
      </c>
      <c r="I75" t="s">
        <v>422</v>
      </c>
      <c r="J75" t="s">
        <v>423</v>
      </c>
      <c r="K75" t="s">
        <v>424</v>
      </c>
    </row>
    <row r="76" spans="1:11" x14ac:dyDescent="0.25">
      <c r="G76" s="13" t="s">
        <v>425</v>
      </c>
      <c r="H76" t="s">
        <v>426</v>
      </c>
      <c r="I76" t="s">
        <v>427</v>
      </c>
      <c r="J76" t="s">
        <v>428</v>
      </c>
      <c r="K76" t="s">
        <v>429</v>
      </c>
    </row>
    <row r="77" spans="1:11" x14ac:dyDescent="0.25">
      <c r="D77">
        <v>13.3</v>
      </c>
      <c r="E77" t="s">
        <v>430</v>
      </c>
      <c r="F77" t="s">
        <v>1127</v>
      </c>
      <c r="G77" s="13" t="s">
        <v>435</v>
      </c>
      <c r="H77" t="s">
        <v>436</v>
      </c>
      <c r="I77" t="s">
        <v>437</v>
      </c>
      <c r="J77" t="s">
        <v>438</v>
      </c>
      <c r="K77" t="s">
        <v>434</v>
      </c>
    </row>
    <row r="78" spans="1:11" x14ac:dyDescent="0.25">
      <c r="G78" s="13" t="s">
        <v>439</v>
      </c>
      <c r="H78" t="s">
        <v>440</v>
      </c>
      <c r="I78" t="s">
        <v>441</v>
      </c>
      <c r="J78" t="s">
        <v>442</v>
      </c>
      <c r="K78" t="s">
        <v>434</v>
      </c>
    </row>
    <row r="79" spans="1:11" x14ac:dyDescent="0.25">
      <c r="G79" s="13" t="s">
        <v>443</v>
      </c>
      <c r="H79" t="s">
        <v>444</v>
      </c>
      <c r="I79" t="s">
        <v>445</v>
      </c>
      <c r="J79" t="s">
        <v>446</v>
      </c>
      <c r="K79" t="s">
        <v>434</v>
      </c>
    </row>
    <row r="80" spans="1:11" x14ac:dyDescent="0.25">
      <c r="D80">
        <v>13.4</v>
      </c>
      <c r="E80" t="s">
        <v>447</v>
      </c>
      <c r="F80" t="s">
        <v>1128</v>
      </c>
      <c r="G80" s="13" t="s">
        <v>451</v>
      </c>
      <c r="H80" t="s">
        <v>452</v>
      </c>
      <c r="I80" t="s">
        <v>453</v>
      </c>
      <c r="J80" t="s">
        <v>454</v>
      </c>
      <c r="K80" t="s">
        <v>450</v>
      </c>
    </row>
    <row r="81" spans="1:11" x14ac:dyDescent="0.25">
      <c r="G81" s="13" t="s">
        <v>455</v>
      </c>
      <c r="H81" t="s">
        <v>456</v>
      </c>
      <c r="I81" t="s">
        <v>457</v>
      </c>
      <c r="J81" t="s">
        <v>458</v>
      </c>
      <c r="K81" t="s">
        <v>450</v>
      </c>
    </row>
    <row r="82" spans="1:11" x14ac:dyDescent="0.25">
      <c r="D82">
        <v>13.5</v>
      </c>
      <c r="E82" t="s">
        <v>459</v>
      </c>
      <c r="F82" t="s">
        <v>1129</v>
      </c>
      <c r="G82" s="13" t="s">
        <v>464</v>
      </c>
      <c r="H82" t="s">
        <v>465</v>
      </c>
      <c r="I82" t="s">
        <v>466</v>
      </c>
      <c r="J82" t="s">
        <v>467</v>
      </c>
      <c r="K82" t="s">
        <v>463</v>
      </c>
    </row>
    <row r="83" spans="1:11" x14ac:dyDescent="0.25">
      <c r="G83" s="13" t="s">
        <v>468</v>
      </c>
      <c r="H83" t="s">
        <v>469</v>
      </c>
      <c r="I83" t="s">
        <v>470</v>
      </c>
      <c r="J83" t="s">
        <v>471</v>
      </c>
      <c r="K83" t="s">
        <v>463</v>
      </c>
    </row>
    <row r="84" spans="1:11" x14ac:dyDescent="0.25">
      <c r="G84" s="13" t="s">
        <v>472</v>
      </c>
      <c r="H84" t="s">
        <v>473</v>
      </c>
      <c r="I84" t="s">
        <v>474</v>
      </c>
      <c r="J84" t="s">
        <v>475</v>
      </c>
      <c r="K84" t="s">
        <v>463</v>
      </c>
    </row>
    <row r="85" spans="1:11" x14ac:dyDescent="0.25">
      <c r="A85">
        <v>8</v>
      </c>
      <c r="B85" t="s">
        <v>476</v>
      </c>
      <c r="C85" t="s">
        <v>1130</v>
      </c>
      <c r="D85">
        <v>8.1</v>
      </c>
      <c r="E85" t="s">
        <v>483</v>
      </c>
      <c r="F85" t="s">
        <v>1131</v>
      </c>
      <c r="G85" s="13" t="s">
        <v>487</v>
      </c>
      <c r="H85" t="s">
        <v>488</v>
      </c>
      <c r="I85" t="s">
        <v>489</v>
      </c>
      <c r="J85" t="s">
        <v>490</v>
      </c>
      <c r="K85" t="s">
        <v>486</v>
      </c>
    </row>
    <row r="86" spans="1:11" x14ac:dyDescent="0.25">
      <c r="G86" s="13" t="s">
        <v>491</v>
      </c>
      <c r="H86" t="s">
        <v>492</v>
      </c>
      <c r="I86" t="s">
        <v>493</v>
      </c>
      <c r="J86" t="s">
        <v>494</v>
      </c>
      <c r="K86" t="s">
        <v>486</v>
      </c>
    </row>
    <row r="87" spans="1:11" x14ac:dyDescent="0.25">
      <c r="G87" s="13" t="s">
        <v>495</v>
      </c>
      <c r="H87" t="s">
        <v>496</v>
      </c>
      <c r="I87" t="s">
        <v>497</v>
      </c>
      <c r="J87" t="s">
        <v>498</v>
      </c>
      <c r="K87" t="s">
        <v>486</v>
      </c>
    </row>
    <row r="88" spans="1:11" x14ac:dyDescent="0.25">
      <c r="G88" s="13" t="s">
        <v>499</v>
      </c>
      <c r="H88" t="s">
        <v>500</v>
      </c>
      <c r="I88" t="s">
        <v>501</v>
      </c>
      <c r="J88" t="s">
        <v>502</v>
      </c>
      <c r="K88" t="s">
        <v>486</v>
      </c>
    </row>
    <row r="89" spans="1:11" x14ac:dyDescent="0.25">
      <c r="D89">
        <v>8.1999999999999993</v>
      </c>
      <c r="E89" t="s">
        <v>503</v>
      </c>
      <c r="F89" t="s">
        <v>1132</v>
      </c>
      <c r="G89" s="13" t="s">
        <v>506</v>
      </c>
      <c r="H89" t="s">
        <v>507</v>
      </c>
      <c r="I89" t="s">
        <v>508</v>
      </c>
      <c r="J89" t="s">
        <v>509</v>
      </c>
      <c r="K89" t="s">
        <v>510</v>
      </c>
    </row>
    <row r="90" spans="1:11" x14ac:dyDescent="0.25">
      <c r="G90" s="13" t="s">
        <v>511</v>
      </c>
      <c r="H90" t="s">
        <v>512</v>
      </c>
      <c r="I90" t="s">
        <v>513</v>
      </c>
      <c r="J90" t="s">
        <v>514</v>
      </c>
      <c r="K90" t="s">
        <v>510</v>
      </c>
    </row>
    <row r="91" spans="1:11" x14ac:dyDescent="0.25">
      <c r="G91" s="13" t="s">
        <v>515</v>
      </c>
      <c r="H91" t="s">
        <v>516</v>
      </c>
      <c r="I91" t="s">
        <v>517</v>
      </c>
      <c r="J91" t="s">
        <v>518</v>
      </c>
      <c r="K91" t="s">
        <v>510</v>
      </c>
    </row>
    <row r="92" spans="1:11" x14ac:dyDescent="0.25">
      <c r="D92">
        <v>8.3000000000000007</v>
      </c>
      <c r="E92" t="s">
        <v>519</v>
      </c>
      <c r="F92" t="s">
        <v>1133</v>
      </c>
      <c r="G92" s="13" t="s">
        <v>524</v>
      </c>
      <c r="H92" t="s">
        <v>525</v>
      </c>
      <c r="I92" t="s">
        <v>526</v>
      </c>
      <c r="J92" t="s">
        <v>527</v>
      </c>
      <c r="K92" t="s">
        <v>523</v>
      </c>
    </row>
    <row r="93" spans="1:11" x14ac:dyDescent="0.25">
      <c r="G93" s="13" t="s">
        <v>528</v>
      </c>
      <c r="H93" t="s">
        <v>529</v>
      </c>
      <c r="I93" t="s">
        <v>530</v>
      </c>
      <c r="J93" t="s">
        <v>531</v>
      </c>
      <c r="K93" t="s">
        <v>523</v>
      </c>
    </row>
    <row r="94" spans="1:11" x14ac:dyDescent="0.25">
      <c r="D94">
        <v>8.4</v>
      </c>
      <c r="E94" t="s">
        <v>532</v>
      </c>
      <c r="F94" t="s">
        <v>1134</v>
      </c>
      <c r="G94" s="13" t="s">
        <v>536</v>
      </c>
      <c r="H94" t="s">
        <v>537</v>
      </c>
      <c r="I94" t="s">
        <v>538</v>
      </c>
      <c r="J94" t="s">
        <v>539</v>
      </c>
      <c r="K94" t="s">
        <v>535</v>
      </c>
    </row>
    <row r="95" spans="1:11" x14ac:dyDescent="0.25">
      <c r="G95" s="13" t="s">
        <v>540</v>
      </c>
      <c r="H95" t="s">
        <v>541</v>
      </c>
      <c r="I95" t="s">
        <v>542</v>
      </c>
      <c r="J95" t="s">
        <v>543</v>
      </c>
      <c r="K95" t="s">
        <v>535</v>
      </c>
    </row>
    <row r="96" spans="1:11" x14ac:dyDescent="0.25">
      <c r="G96" s="13" t="s">
        <v>544</v>
      </c>
      <c r="H96" t="s">
        <v>545</v>
      </c>
      <c r="I96" t="s">
        <v>546</v>
      </c>
      <c r="J96" t="s">
        <v>547</v>
      </c>
      <c r="K96" t="s">
        <v>535</v>
      </c>
    </row>
    <row r="97" spans="1:11" x14ac:dyDescent="0.25">
      <c r="G97" s="13" t="s">
        <v>548</v>
      </c>
      <c r="H97" t="s">
        <v>549</v>
      </c>
      <c r="I97" t="s">
        <v>550</v>
      </c>
      <c r="J97" t="s">
        <v>551</v>
      </c>
      <c r="K97" t="s">
        <v>535</v>
      </c>
    </row>
    <row r="98" spans="1:11" x14ac:dyDescent="0.25">
      <c r="A98">
        <v>9</v>
      </c>
      <c r="B98" t="s">
        <v>552</v>
      </c>
      <c r="C98" t="s">
        <v>1135</v>
      </c>
      <c r="D98">
        <v>9.1</v>
      </c>
      <c r="E98" t="s">
        <v>558</v>
      </c>
      <c r="F98" t="s">
        <v>1136</v>
      </c>
      <c r="G98" s="13" t="s">
        <v>562</v>
      </c>
      <c r="H98" t="s">
        <v>563</v>
      </c>
      <c r="I98" t="s">
        <v>564</v>
      </c>
      <c r="J98" t="s">
        <v>565</v>
      </c>
      <c r="K98" t="s">
        <v>561</v>
      </c>
    </row>
    <row r="99" spans="1:11" x14ac:dyDescent="0.25">
      <c r="G99" s="13" t="s">
        <v>566</v>
      </c>
      <c r="H99" t="s">
        <v>567</v>
      </c>
      <c r="I99" t="s">
        <v>568</v>
      </c>
      <c r="J99" t="s">
        <v>569</v>
      </c>
      <c r="K99" t="s">
        <v>561</v>
      </c>
    </row>
    <row r="100" spans="1:11" x14ac:dyDescent="0.25">
      <c r="G100" s="13" t="s">
        <v>570</v>
      </c>
      <c r="H100" t="s">
        <v>571</v>
      </c>
      <c r="I100" t="s">
        <v>572</v>
      </c>
      <c r="J100" t="s">
        <v>573</v>
      </c>
      <c r="K100" t="s">
        <v>574</v>
      </c>
    </row>
    <row r="101" spans="1:11" x14ac:dyDescent="0.25">
      <c r="D101">
        <v>9.1999999999999993</v>
      </c>
      <c r="E101" t="s">
        <v>575</v>
      </c>
      <c r="F101" t="s">
        <v>1137</v>
      </c>
      <c r="G101" s="13" t="s">
        <v>579</v>
      </c>
      <c r="H101" t="s">
        <v>580</v>
      </c>
      <c r="I101" t="s">
        <v>581</v>
      </c>
      <c r="J101" t="s">
        <v>582</v>
      </c>
      <c r="K101" t="s">
        <v>578</v>
      </c>
    </row>
    <row r="102" spans="1:11" x14ac:dyDescent="0.25">
      <c r="G102" s="13" t="s">
        <v>583</v>
      </c>
      <c r="H102" t="s">
        <v>584</v>
      </c>
      <c r="I102" t="s">
        <v>585</v>
      </c>
      <c r="J102" t="s">
        <v>586</v>
      </c>
      <c r="K102" t="s">
        <v>578</v>
      </c>
    </row>
    <row r="103" spans="1:11" x14ac:dyDescent="0.25">
      <c r="D103">
        <v>9.3000000000000007</v>
      </c>
      <c r="E103" t="s">
        <v>587</v>
      </c>
      <c r="F103" t="s">
        <v>1138</v>
      </c>
      <c r="G103" s="13" t="s">
        <v>591</v>
      </c>
      <c r="H103" t="s">
        <v>592</v>
      </c>
      <c r="I103" t="s">
        <v>593</v>
      </c>
      <c r="J103" t="s">
        <v>594</v>
      </c>
      <c r="K103" t="s">
        <v>590</v>
      </c>
    </row>
    <row r="104" spans="1:11" x14ac:dyDescent="0.25">
      <c r="G104" s="13" t="s">
        <v>595</v>
      </c>
      <c r="H104" t="s">
        <v>596</v>
      </c>
      <c r="I104" t="s">
        <v>597</v>
      </c>
      <c r="J104" t="s">
        <v>598</v>
      </c>
      <c r="K104" t="s">
        <v>590</v>
      </c>
    </row>
    <row r="105" spans="1:11" x14ac:dyDescent="0.25">
      <c r="G105" s="13" t="s">
        <v>599</v>
      </c>
      <c r="H105" t="s">
        <v>600</v>
      </c>
      <c r="I105" t="s">
        <v>601</v>
      </c>
      <c r="J105" t="s">
        <v>602</v>
      </c>
      <c r="K105" t="s">
        <v>590</v>
      </c>
    </row>
    <row r="106" spans="1:11" x14ac:dyDescent="0.25">
      <c r="D106">
        <v>9.4</v>
      </c>
      <c r="E106" t="s">
        <v>603</v>
      </c>
      <c r="F106" t="s">
        <v>1139</v>
      </c>
      <c r="G106" s="13" t="s">
        <v>607</v>
      </c>
      <c r="H106" t="s">
        <v>608</v>
      </c>
      <c r="I106" t="s">
        <v>609</v>
      </c>
      <c r="J106" t="s">
        <v>610</v>
      </c>
      <c r="K106" t="s">
        <v>606</v>
      </c>
    </row>
    <row r="107" spans="1:11" x14ac:dyDescent="0.25">
      <c r="G107" s="13" t="s">
        <v>611</v>
      </c>
      <c r="H107" t="s">
        <v>612</v>
      </c>
      <c r="I107" t="s">
        <v>613</v>
      </c>
      <c r="J107" t="s">
        <v>614</v>
      </c>
      <c r="K107" t="s">
        <v>606</v>
      </c>
    </row>
    <row r="108" spans="1:11" x14ac:dyDescent="0.25">
      <c r="A108">
        <v>7</v>
      </c>
      <c r="B108" t="s">
        <v>615</v>
      </c>
      <c r="C108" t="s">
        <v>1140</v>
      </c>
      <c r="D108">
        <v>7.1</v>
      </c>
      <c r="E108" t="s">
        <v>620</v>
      </c>
      <c r="F108" t="s">
        <v>1141</v>
      </c>
      <c r="G108" s="13" t="s">
        <v>624</v>
      </c>
      <c r="H108" t="s">
        <v>625</v>
      </c>
      <c r="I108" t="s">
        <v>626</v>
      </c>
      <c r="J108" t="s">
        <v>627</v>
      </c>
      <c r="K108" t="s">
        <v>628</v>
      </c>
    </row>
    <row r="109" spans="1:11" x14ac:dyDescent="0.25">
      <c r="G109" s="13" t="s">
        <v>629</v>
      </c>
      <c r="H109" t="s">
        <v>630</v>
      </c>
      <c r="I109" t="s">
        <v>631</v>
      </c>
      <c r="J109" t="s">
        <v>632</v>
      </c>
      <c r="K109" t="s">
        <v>628</v>
      </c>
    </row>
    <row r="110" spans="1:11" x14ac:dyDescent="0.25">
      <c r="G110" s="13" t="s">
        <v>633</v>
      </c>
      <c r="H110" t="s">
        <v>634</v>
      </c>
      <c r="I110" t="s">
        <v>635</v>
      </c>
      <c r="J110" t="s">
        <v>636</v>
      </c>
      <c r="K110" t="s">
        <v>628</v>
      </c>
    </row>
    <row r="111" spans="1:11" x14ac:dyDescent="0.25">
      <c r="G111" s="13" t="s">
        <v>637</v>
      </c>
      <c r="H111" t="s">
        <v>638</v>
      </c>
      <c r="I111" t="s">
        <v>639</v>
      </c>
      <c r="J111" t="s">
        <v>640</v>
      </c>
      <c r="K111" t="s">
        <v>628</v>
      </c>
    </row>
    <row r="112" spans="1:11" x14ac:dyDescent="0.25">
      <c r="D112">
        <v>7.2</v>
      </c>
      <c r="E112" t="s">
        <v>641</v>
      </c>
      <c r="F112" t="s">
        <v>1142</v>
      </c>
      <c r="G112" s="13" t="s">
        <v>645</v>
      </c>
      <c r="H112" t="s">
        <v>646</v>
      </c>
      <c r="I112" t="s">
        <v>647</v>
      </c>
      <c r="J112" t="s">
        <v>648</v>
      </c>
      <c r="K112" t="s">
        <v>649</v>
      </c>
    </row>
    <row r="113" spans="1:11" x14ac:dyDescent="0.25">
      <c r="G113" s="13" t="s">
        <v>650</v>
      </c>
      <c r="H113" t="s">
        <v>651</v>
      </c>
      <c r="I113" t="s">
        <v>652</v>
      </c>
      <c r="J113" t="s">
        <v>653</v>
      </c>
      <c r="K113" t="s">
        <v>649</v>
      </c>
    </row>
    <row r="114" spans="1:11" x14ac:dyDescent="0.25">
      <c r="G114" s="13" t="s">
        <v>654</v>
      </c>
      <c r="H114" t="s">
        <v>655</v>
      </c>
      <c r="I114" t="s">
        <v>656</v>
      </c>
      <c r="J114" t="s">
        <v>657</v>
      </c>
      <c r="K114" t="s">
        <v>649</v>
      </c>
    </row>
    <row r="115" spans="1:11" x14ac:dyDescent="0.25">
      <c r="G115" s="13" t="s">
        <v>658</v>
      </c>
      <c r="H115" t="s">
        <v>659</v>
      </c>
      <c r="I115" t="s">
        <v>660</v>
      </c>
      <c r="J115" t="s">
        <v>661</v>
      </c>
      <c r="K115" t="s">
        <v>649</v>
      </c>
    </row>
    <row r="116" spans="1:11" x14ac:dyDescent="0.25">
      <c r="D116">
        <v>7.3</v>
      </c>
      <c r="E116" t="s">
        <v>662</v>
      </c>
      <c r="F116" t="s">
        <v>1143</v>
      </c>
      <c r="G116" s="13" t="s">
        <v>666</v>
      </c>
      <c r="H116" t="s">
        <v>667</v>
      </c>
      <c r="I116" t="s">
        <v>668</v>
      </c>
      <c r="J116" t="s">
        <v>669</v>
      </c>
      <c r="K116" t="s">
        <v>665</v>
      </c>
    </row>
    <row r="117" spans="1:11" x14ac:dyDescent="0.25">
      <c r="G117" s="13" t="s">
        <v>670</v>
      </c>
      <c r="H117" t="s">
        <v>671</v>
      </c>
      <c r="I117" t="s">
        <v>672</v>
      </c>
      <c r="J117" t="s">
        <v>673</v>
      </c>
      <c r="K117" t="s">
        <v>649</v>
      </c>
    </row>
    <row r="118" spans="1:11" x14ac:dyDescent="0.25">
      <c r="G118" s="13" t="s">
        <v>674</v>
      </c>
      <c r="H118" t="s">
        <v>675</v>
      </c>
      <c r="I118" t="s">
        <v>676</v>
      </c>
      <c r="J118" t="s">
        <v>677</v>
      </c>
      <c r="K118" t="s">
        <v>665</v>
      </c>
    </row>
    <row r="119" spans="1:11" x14ac:dyDescent="0.25">
      <c r="G119" s="13" t="s">
        <v>678</v>
      </c>
      <c r="H119" t="s">
        <v>679</v>
      </c>
      <c r="I119" t="s">
        <v>680</v>
      </c>
      <c r="J119" t="s">
        <v>681</v>
      </c>
      <c r="K119" t="s">
        <v>665</v>
      </c>
    </row>
    <row r="120" spans="1:11" x14ac:dyDescent="0.25">
      <c r="D120">
        <v>7.4</v>
      </c>
      <c r="E120" t="s">
        <v>682</v>
      </c>
      <c r="F120" t="s">
        <v>1144</v>
      </c>
      <c r="G120" s="13" t="s">
        <v>686</v>
      </c>
      <c r="H120" t="s">
        <v>687</v>
      </c>
      <c r="I120" t="s">
        <v>688</v>
      </c>
      <c r="J120" t="s">
        <v>689</v>
      </c>
      <c r="K120" t="s">
        <v>685</v>
      </c>
    </row>
    <row r="121" spans="1:11" x14ac:dyDescent="0.25">
      <c r="G121" s="13" t="s">
        <v>690</v>
      </c>
      <c r="H121" t="s">
        <v>691</v>
      </c>
      <c r="I121" t="s">
        <v>692</v>
      </c>
      <c r="J121" t="s">
        <v>693</v>
      </c>
      <c r="K121" t="s">
        <v>685</v>
      </c>
    </row>
    <row r="122" spans="1:11" x14ac:dyDescent="0.25">
      <c r="A122">
        <v>12</v>
      </c>
      <c r="B122" t="s">
        <v>694</v>
      </c>
      <c r="C122" t="s">
        <v>1145</v>
      </c>
      <c r="D122">
        <v>12.1</v>
      </c>
      <c r="E122" t="s">
        <v>700</v>
      </c>
      <c r="F122" t="s">
        <v>1146</v>
      </c>
      <c r="G122" s="13" t="s">
        <v>704</v>
      </c>
      <c r="H122" t="s">
        <v>705</v>
      </c>
      <c r="I122" t="s">
        <v>706</v>
      </c>
      <c r="J122" t="s">
        <v>707</v>
      </c>
      <c r="K122" t="s">
        <v>703</v>
      </c>
    </row>
    <row r="123" spans="1:11" x14ac:dyDescent="0.25">
      <c r="G123" s="13" t="s">
        <v>708</v>
      </c>
      <c r="H123" t="s">
        <v>709</v>
      </c>
      <c r="I123" t="s">
        <v>710</v>
      </c>
      <c r="J123" t="s">
        <v>711</v>
      </c>
      <c r="K123" t="s">
        <v>703</v>
      </c>
    </row>
    <row r="124" spans="1:11" x14ac:dyDescent="0.25">
      <c r="G124" s="13" t="s">
        <v>712</v>
      </c>
      <c r="H124" t="s">
        <v>713</v>
      </c>
      <c r="I124" t="s">
        <v>714</v>
      </c>
      <c r="J124" t="s">
        <v>715</v>
      </c>
      <c r="K124" t="s">
        <v>703</v>
      </c>
    </row>
    <row r="125" spans="1:11" x14ac:dyDescent="0.25">
      <c r="D125">
        <v>12.2</v>
      </c>
      <c r="E125" t="s">
        <v>716</v>
      </c>
      <c r="F125" t="s">
        <v>1147</v>
      </c>
      <c r="G125" s="13" t="s">
        <v>720</v>
      </c>
      <c r="H125" t="s">
        <v>721</v>
      </c>
      <c r="I125" t="s">
        <v>722</v>
      </c>
      <c r="J125" t="s">
        <v>723</v>
      </c>
      <c r="K125" t="s">
        <v>719</v>
      </c>
    </row>
    <row r="126" spans="1:11" x14ac:dyDescent="0.25">
      <c r="G126" s="13" t="s">
        <v>724</v>
      </c>
      <c r="H126" t="s">
        <v>725</v>
      </c>
      <c r="I126" t="s">
        <v>726</v>
      </c>
      <c r="J126" t="s">
        <v>727</v>
      </c>
      <c r="K126" t="s">
        <v>719</v>
      </c>
    </row>
    <row r="127" spans="1:11" x14ac:dyDescent="0.25">
      <c r="G127" s="13" t="s">
        <v>728</v>
      </c>
      <c r="H127" t="s">
        <v>729</v>
      </c>
      <c r="I127" t="s">
        <v>730</v>
      </c>
      <c r="J127" t="s">
        <v>731</v>
      </c>
      <c r="K127" t="s">
        <v>719</v>
      </c>
    </row>
    <row r="128" spans="1:11" x14ac:dyDescent="0.25">
      <c r="D128">
        <v>12.3</v>
      </c>
      <c r="E128" t="s">
        <v>732</v>
      </c>
      <c r="F128" t="s">
        <v>1148</v>
      </c>
      <c r="G128" s="13" t="s">
        <v>736</v>
      </c>
      <c r="H128" t="s">
        <v>737</v>
      </c>
      <c r="I128" t="s">
        <v>738</v>
      </c>
      <c r="J128" t="s">
        <v>739</v>
      </c>
      <c r="K128" t="s">
        <v>735</v>
      </c>
    </row>
    <row r="129" spans="1:11" x14ac:dyDescent="0.25">
      <c r="G129" s="13" t="s">
        <v>740</v>
      </c>
      <c r="H129" t="s">
        <v>741</v>
      </c>
      <c r="I129" t="s">
        <v>742</v>
      </c>
      <c r="J129" t="s">
        <v>743</v>
      </c>
      <c r="K129" t="s">
        <v>703</v>
      </c>
    </row>
    <row r="130" spans="1:11" x14ac:dyDescent="0.25">
      <c r="G130" s="13" t="s">
        <v>744</v>
      </c>
      <c r="H130" t="s">
        <v>745</v>
      </c>
      <c r="I130" t="s">
        <v>746</v>
      </c>
      <c r="J130" t="s">
        <v>747</v>
      </c>
      <c r="K130" t="s">
        <v>735</v>
      </c>
    </row>
    <row r="131" spans="1:11" x14ac:dyDescent="0.25">
      <c r="D131">
        <v>12.4</v>
      </c>
      <c r="E131" t="s">
        <v>748</v>
      </c>
      <c r="F131" t="s">
        <v>1149</v>
      </c>
      <c r="G131" s="13" t="s">
        <v>752</v>
      </c>
      <c r="H131" t="s">
        <v>753</v>
      </c>
      <c r="I131" t="s">
        <v>754</v>
      </c>
      <c r="J131" t="s">
        <v>755</v>
      </c>
      <c r="K131" t="s">
        <v>751</v>
      </c>
    </row>
    <row r="132" spans="1:11" x14ac:dyDescent="0.25">
      <c r="G132" s="13" t="s">
        <v>756</v>
      </c>
      <c r="H132" t="s">
        <v>757</v>
      </c>
      <c r="I132" t="s">
        <v>758</v>
      </c>
      <c r="J132" t="s">
        <v>759</v>
      </c>
      <c r="K132" t="s">
        <v>751</v>
      </c>
    </row>
    <row r="133" spans="1:11" x14ac:dyDescent="0.25">
      <c r="G133" s="13" t="s">
        <v>760</v>
      </c>
      <c r="H133" t="s">
        <v>761</v>
      </c>
      <c r="I133" t="s">
        <v>762</v>
      </c>
      <c r="J133" t="s">
        <v>763</v>
      </c>
      <c r="K133" t="s">
        <v>751</v>
      </c>
    </row>
    <row r="134" spans="1:11" x14ac:dyDescent="0.25">
      <c r="D134">
        <v>12.5</v>
      </c>
      <c r="E134" t="s">
        <v>764</v>
      </c>
      <c r="F134" t="s">
        <v>1150</v>
      </c>
      <c r="G134" s="13" t="s">
        <v>768</v>
      </c>
      <c r="H134" t="s">
        <v>769</v>
      </c>
      <c r="I134" t="s">
        <v>770</v>
      </c>
      <c r="J134" t="s">
        <v>771</v>
      </c>
      <c r="K134" t="s">
        <v>767</v>
      </c>
    </row>
    <row r="135" spans="1:11" x14ac:dyDescent="0.25">
      <c r="G135" s="13" t="s">
        <v>772</v>
      </c>
      <c r="H135" t="s">
        <v>773</v>
      </c>
      <c r="I135" t="s">
        <v>774</v>
      </c>
      <c r="J135" t="s">
        <v>775</v>
      </c>
      <c r="K135" t="s">
        <v>767</v>
      </c>
    </row>
    <row r="136" spans="1:11" x14ac:dyDescent="0.25">
      <c r="D136">
        <v>12.6</v>
      </c>
      <c r="E136" t="s">
        <v>776</v>
      </c>
      <c r="F136" t="s">
        <v>1151</v>
      </c>
      <c r="G136" s="13" t="s">
        <v>780</v>
      </c>
      <c r="H136" t="s">
        <v>781</v>
      </c>
      <c r="I136" t="s">
        <v>782</v>
      </c>
      <c r="J136" t="s">
        <v>783</v>
      </c>
      <c r="K136" t="s">
        <v>751</v>
      </c>
    </row>
    <row r="137" spans="1:11" x14ac:dyDescent="0.25">
      <c r="G137" s="13" t="s">
        <v>784</v>
      </c>
      <c r="H137" t="s">
        <v>785</v>
      </c>
      <c r="I137" t="s">
        <v>786</v>
      </c>
      <c r="J137" t="s">
        <v>787</v>
      </c>
      <c r="K137" t="s">
        <v>779</v>
      </c>
    </row>
    <row r="138" spans="1:11" x14ac:dyDescent="0.25">
      <c r="A138">
        <v>6</v>
      </c>
      <c r="B138" t="s">
        <v>788</v>
      </c>
      <c r="C138" t="s">
        <v>1152</v>
      </c>
      <c r="D138">
        <v>6.1</v>
      </c>
      <c r="E138" t="s">
        <v>794</v>
      </c>
      <c r="F138" t="s">
        <v>1153</v>
      </c>
      <c r="G138" s="13" t="s">
        <v>797</v>
      </c>
      <c r="H138" t="s">
        <v>798</v>
      </c>
      <c r="I138" t="s">
        <v>799</v>
      </c>
      <c r="J138" t="s">
        <v>800</v>
      </c>
      <c r="K138" t="s">
        <v>793</v>
      </c>
    </row>
    <row r="139" spans="1:11" x14ac:dyDescent="0.25">
      <c r="G139" s="13" t="s">
        <v>801</v>
      </c>
      <c r="H139" t="s">
        <v>802</v>
      </c>
      <c r="I139" t="s">
        <v>803</v>
      </c>
      <c r="J139" t="s">
        <v>804</v>
      </c>
      <c r="K139" t="s">
        <v>793</v>
      </c>
    </row>
    <row r="140" spans="1:11" x14ac:dyDescent="0.25">
      <c r="G140" s="13" t="s">
        <v>805</v>
      </c>
      <c r="H140" t="s">
        <v>806</v>
      </c>
      <c r="I140" t="s">
        <v>807</v>
      </c>
      <c r="J140" t="s">
        <v>808</v>
      </c>
      <c r="K140" t="s">
        <v>793</v>
      </c>
    </row>
    <row r="141" spans="1:11" x14ac:dyDescent="0.25">
      <c r="D141">
        <v>6.2</v>
      </c>
      <c r="E141" t="s">
        <v>809</v>
      </c>
      <c r="F141" t="s">
        <v>1154</v>
      </c>
      <c r="G141" s="13" t="s">
        <v>813</v>
      </c>
      <c r="H141" t="s">
        <v>814</v>
      </c>
      <c r="I141" t="s">
        <v>815</v>
      </c>
      <c r="J141" t="s">
        <v>816</v>
      </c>
      <c r="K141" t="s">
        <v>817</v>
      </c>
    </row>
    <row r="142" spans="1:11" x14ac:dyDescent="0.25">
      <c r="G142" s="13" t="s">
        <v>818</v>
      </c>
      <c r="H142" t="s">
        <v>819</v>
      </c>
      <c r="I142" t="s">
        <v>820</v>
      </c>
      <c r="J142" t="s">
        <v>821</v>
      </c>
      <c r="K142" t="s">
        <v>817</v>
      </c>
    </row>
    <row r="143" spans="1:11" x14ac:dyDescent="0.25">
      <c r="G143" s="13" t="s">
        <v>822</v>
      </c>
      <c r="H143" t="s">
        <v>823</v>
      </c>
      <c r="I143" t="s">
        <v>824</v>
      </c>
      <c r="J143" t="s">
        <v>825</v>
      </c>
      <c r="K143" t="s">
        <v>826</v>
      </c>
    </row>
    <row r="144" spans="1:11" x14ac:dyDescent="0.25">
      <c r="D144">
        <v>6.3</v>
      </c>
      <c r="E144" t="s">
        <v>827</v>
      </c>
      <c r="F144" t="s">
        <v>1155</v>
      </c>
      <c r="G144" s="13" t="s">
        <v>831</v>
      </c>
      <c r="H144" t="s">
        <v>832</v>
      </c>
      <c r="I144" t="s">
        <v>833</v>
      </c>
      <c r="J144" t="s">
        <v>834</v>
      </c>
      <c r="K144" t="s">
        <v>830</v>
      </c>
    </row>
    <row r="145" spans="1:11" x14ac:dyDescent="0.25">
      <c r="G145" s="13" t="s">
        <v>835</v>
      </c>
      <c r="H145" t="s">
        <v>836</v>
      </c>
      <c r="I145" t="s">
        <v>837</v>
      </c>
      <c r="J145" t="s">
        <v>838</v>
      </c>
      <c r="K145" t="s">
        <v>830</v>
      </c>
    </row>
    <row r="146" spans="1:11" x14ac:dyDescent="0.25">
      <c r="D146">
        <v>6.4</v>
      </c>
      <c r="E146" t="s">
        <v>839</v>
      </c>
      <c r="F146" t="s">
        <v>1156</v>
      </c>
      <c r="G146" s="13" t="s">
        <v>843</v>
      </c>
      <c r="H146" t="s">
        <v>844</v>
      </c>
      <c r="I146" t="s">
        <v>845</v>
      </c>
      <c r="J146" t="s">
        <v>846</v>
      </c>
      <c r="K146" t="s">
        <v>847</v>
      </c>
    </row>
    <row r="147" spans="1:11" x14ac:dyDescent="0.25">
      <c r="G147" s="13" t="s">
        <v>848</v>
      </c>
      <c r="H147" t="s">
        <v>849</v>
      </c>
      <c r="I147" t="s">
        <v>850</v>
      </c>
      <c r="J147" t="s">
        <v>851</v>
      </c>
      <c r="K147" t="s">
        <v>847</v>
      </c>
    </row>
    <row r="148" spans="1:11" x14ac:dyDescent="0.25">
      <c r="G148" s="13" t="s">
        <v>852</v>
      </c>
      <c r="H148" t="s">
        <v>853</v>
      </c>
      <c r="I148" t="s">
        <v>854</v>
      </c>
      <c r="J148" t="s">
        <v>855</v>
      </c>
      <c r="K148" t="s">
        <v>847</v>
      </c>
    </row>
    <row r="149" spans="1:11" x14ac:dyDescent="0.25">
      <c r="A149">
        <v>11</v>
      </c>
      <c r="B149" t="s">
        <v>856</v>
      </c>
      <c r="C149" t="s">
        <v>1157</v>
      </c>
      <c r="D149">
        <v>11.1</v>
      </c>
      <c r="E149" t="s">
        <v>862</v>
      </c>
      <c r="F149" t="s">
        <v>1158</v>
      </c>
      <c r="G149" s="13" t="s">
        <v>866</v>
      </c>
      <c r="H149" t="s">
        <v>867</v>
      </c>
      <c r="I149" t="s">
        <v>868</v>
      </c>
      <c r="J149" t="s">
        <v>869</v>
      </c>
      <c r="K149" t="s">
        <v>865</v>
      </c>
    </row>
    <row r="150" spans="1:11" x14ac:dyDescent="0.25">
      <c r="G150" s="13" t="s">
        <v>870</v>
      </c>
      <c r="H150" t="s">
        <v>871</v>
      </c>
      <c r="I150" t="s">
        <v>872</v>
      </c>
      <c r="J150" t="s">
        <v>873</v>
      </c>
      <c r="K150" t="s">
        <v>865</v>
      </c>
    </row>
    <row r="151" spans="1:11" x14ac:dyDescent="0.25">
      <c r="G151" s="13" t="s">
        <v>874</v>
      </c>
      <c r="H151" t="s">
        <v>875</v>
      </c>
      <c r="I151" t="s">
        <v>876</v>
      </c>
      <c r="J151" t="s">
        <v>877</v>
      </c>
      <c r="K151" t="s">
        <v>865</v>
      </c>
    </row>
    <row r="152" spans="1:11" x14ac:dyDescent="0.25">
      <c r="G152" s="13" t="s">
        <v>878</v>
      </c>
      <c r="H152" t="s">
        <v>879</v>
      </c>
      <c r="I152" t="s">
        <v>880</v>
      </c>
      <c r="J152" t="s">
        <v>881</v>
      </c>
      <c r="K152" t="s">
        <v>882</v>
      </c>
    </row>
    <row r="153" spans="1:11" x14ac:dyDescent="0.25">
      <c r="G153" s="13" t="s">
        <v>883</v>
      </c>
      <c r="H153" t="s">
        <v>884</v>
      </c>
      <c r="I153" t="s">
        <v>885</v>
      </c>
      <c r="J153" t="s">
        <v>886</v>
      </c>
      <c r="K153" t="s">
        <v>865</v>
      </c>
    </row>
    <row r="154" spans="1:11" x14ac:dyDescent="0.25">
      <c r="G154" s="13" t="s">
        <v>887</v>
      </c>
      <c r="H154" t="s">
        <v>888</v>
      </c>
      <c r="I154" t="s">
        <v>889</v>
      </c>
      <c r="J154" t="s">
        <v>890</v>
      </c>
      <c r="K154" t="s">
        <v>865</v>
      </c>
    </row>
    <row r="155" spans="1:11" x14ac:dyDescent="0.25">
      <c r="D155">
        <v>11.2</v>
      </c>
      <c r="E155" t="s">
        <v>891</v>
      </c>
      <c r="F155" t="s">
        <v>1159</v>
      </c>
      <c r="G155" s="13" t="s">
        <v>895</v>
      </c>
      <c r="H155" t="s">
        <v>896</v>
      </c>
      <c r="I155" t="s">
        <v>897</v>
      </c>
      <c r="J155" t="s">
        <v>898</v>
      </c>
      <c r="K155" t="s">
        <v>894</v>
      </c>
    </row>
    <row r="156" spans="1:11" x14ac:dyDescent="0.25">
      <c r="G156" s="13" t="s">
        <v>899</v>
      </c>
      <c r="H156" t="s">
        <v>900</v>
      </c>
      <c r="I156" t="s">
        <v>901</v>
      </c>
      <c r="J156" t="s">
        <v>902</v>
      </c>
      <c r="K156" t="s">
        <v>903</v>
      </c>
    </row>
    <row r="157" spans="1:11" x14ac:dyDescent="0.25">
      <c r="G157" s="13" t="s">
        <v>904</v>
      </c>
      <c r="H157" t="s">
        <v>905</v>
      </c>
      <c r="I157" t="s">
        <v>906</v>
      </c>
      <c r="J157" t="s">
        <v>907</v>
      </c>
      <c r="K157" t="s">
        <v>894</v>
      </c>
    </row>
    <row r="158" spans="1:11" x14ac:dyDescent="0.25">
      <c r="G158" s="13" t="s">
        <v>908</v>
      </c>
      <c r="H158" t="s">
        <v>909</v>
      </c>
      <c r="I158" t="s">
        <v>910</v>
      </c>
      <c r="J158" t="s">
        <v>911</v>
      </c>
      <c r="K158" t="s">
        <v>912</v>
      </c>
    </row>
    <row r="159" spans="1:11" x14ac:dyDescent="0.25">
      <c r="G159" s="13" t="s">
        <v>913</v>
      </c>
      <c r="H159" t="s">
        <v>914</v>
      </c>
      <c r="I159" t="s">
        <v>915</v>
      </c>
      <c r="J159" t="s">
        <v>916</v>
      </c>
      <c r="K159" t="s">
        <v>894</v>
      </c>
    </row>
    <row r="160" spans="1:11" x14ac:dyDescent="0.25">
      <c r="D160">
        <v>11.3</v>
      </c>
      <c r="E160" t="s">
        <v>917</v>
      </c>
      <c r="F160" t="s">
        <v>1160</v>
      </c>
      <c r="G160" s="13" t="s">
        <v>921</v>
      </c>
      <c r="H160" t="s">
        <v>922</v>
      </c>
      <c r="I160" t="s">
        <v>923</v>
      </c>
      <c r="J160" t="s">
        <v>924</v>
      </c>
      <c r="K160" t="s">
        <v>920</v>
      </c>
    </row>
    <row r="161" spans="1:11" x14ac:dyDescent="0.25">
      <c r="G161" s="13" t="s">
        <v>925</v>
      </c>
      <c r="H161" t="s">
        <v>926</v>
      </c>
      <c r="I161" t="s">
        <v>927</v>
      </c>
      <c r="J161" t="s">
        <v>928</v>
      </c>
      <c r="K161" t="s">
        <v>920</v>
      </c>
    </row>
    <row r="162" spans="1:11" x14ac:dyDescent="0.25">
      <c r="G162" s="13" t="s">
        <v>929</v>
      </c>
      <c r="H162" t="s">
        <v>930</v>
      </c>
      <c r="I162" t="s">
        <v>931</v>
      </c>
      <c r="J162" t="s">
        <v>932</v>
      </c>
      <c r="K162" t="s">
        <v>920</v>
      </c>
    </row>
    <row r="163" spans="1:11" x14ac:dyDescent="0.25">
      <c r="G163" s="13" t="s">
        <v>933</v>
      </c>
      <c r="H163" t="s">
        <v>934</v>
      </c>
      <c r="I163" t="s">
        <v>935</v>
      </c>
      <c r="J163" t="s">
        <v>936</v>
      </c>
      <c r="K163" t="s">
        <v>920</v>
      </c>
    </row>
    <row r="164" spans="1:11" x14ac:dyDescent="0.25">
      <c r="D164">
        <v>11.4</v>
      </c>
      <c r="E164" t="s">
        <v>937</v>
      </c>
      <c r="F164" t="s">
        <v>1161</v>
      </c>
      <c r="G164" s="13" t="s">
        <v>941</v>
      </c>
      <c r="H164" t="s">
        <v>942</v>
      </c>
      <c r="I164" t="s">
        <v>943</v>
      </c>
      <c r="J164" t="s">
        <v>944</v>
      </c>
      <c r="K164" t="s">
        <v>945</v>
      </c>
    </row>
    <row r="165" spans="1:11" x14ac:dyDescent="0.25">
      <c r="G165" s="13" t="s">
        <v>946</v>
      </c>
      <c r="H165" t="s">
        <v>947</v>
      </c>
      <c r="I165" t="s">
        <v>948</v>
      </c>
      <c r="J165" t="s">
        <v>949</v>
      </c>
      <c r="K165" t="s">
        <v>945</v>
      </c>
    </row>
    <row r="166" spans="1:11" x14ac:dyDescent="0.25">
      <c r="G166" s="13" t="s">
        <v>950</v>
      </c>
      <c r="H166" t="s">
        <v>951</v>
      </c>
      <c r="I166" t="s">
        <v>952</v>
      </c>
      <c r="J166" t="s">
        <v>953</v>
      </c>
      <c r="K166" t="s">
        <v>954</v>
      </c>
    </row>
    <row r="167" spans="1:11" x14ac:dyDescent="0.25">
      <c r="A167">
        <v>3</v>
      </c>
      <c r="B167" t="s">
        <v>955</v>
      </c>
      <c r="C167" t="s">
        <v>1162</v>
      </c>
      <c r="D167">
        <v>3.1</v>
      </c>
      <c r="E167" t="s">
        <v>960</v>
      </c>
      <c r="F167" t="s">
        <v>1163</v>
      </c>
      <c r="G167" s="13" t="s">
        <v>964</v>
      </c>
      <c r="H167" t="s">
        <v>965</v>
      </c>
      <c r="I167" t="s">
        <v>966</v>
      </c>
      <c r="J167" t="s">
        <v>967</v>
      </c>
      <c r="K167" t="s">
        <v>963</v>
      </c>
    </row>
    <row r="168" spans="1:11" x14ac:dyDescent="0.25">
      <c r="G168" s="13" t="s">
        <v>968</v>
      </c>
      <c r="H168" t="s">
        <v>969</v>
      </c>
      <c r="I168" t="s">
        <v>970</v>
      </c>
      <c r="J168" t="s">
        <v>971</v>
      </c>
      <c r="K168" t="s">
        <v>963</v>
      </c>
    </row>
    <row r="169" spans="1:11" x14ac:dyDescent="0.25">
      <c r="D169">
        <v>3.2</v>
      </c>
      <c r="E169" t="s">
        <v>972</v>
      </c>
      <c r="F169" t="s">
        <v>1164</v>
      </c>
      <c r="G169" s="13" t="s">
        <v>977</v>
      </c>
      <c r="H169" t="s">
        <v>978</v>
      </c>
      <c r="I169" t="s">
        <v>979</v>
      </c>
      <c r="J169" t="s">
        <v>980</v>
      </c>
      <c r="K169" t="s">
        <v>976</v>
      </c>
    </row>
    <row r="170" spans="1:11" x14ac:dyDescent="0.25">
      <c r="G170" s="13" t="s">
        <v>981</v>
      </c>
      <c r="H170" t="s">
        <v>982</v>
      </c>
      <c r="I170" t="s">
        <v>983</v>
      </c>
      <c r="J170" t="s">
        <v>984</v>
      </c>
      <c r="K170" t="s">
        <v>976</v>
      </c>
    </row>
    <row r="171" spans="1:11" x14ac:dyDescent="0.25">
      <c r="D171">
        <v>3.3</v>
      </c>
      <c r="E171" t="s">
        <v>985</v>
      </c>
      <c r="F171" t="s">
        <v>1165</v>
      </c>
      <c r="G171" s="13" t="s">
        <v>989</v>
      </c>
      <c r="H171" t="s">
        <v>990</v>
      </c>
      <c r="I171" t="s">
        <v>991</v>
      </c>
      <c r="J171" t="s">
        <v>992</v>
      </c>
      <c r="K171" t="s">
        <v>988</v>
      </c>
    </row>
    <row r="172" spans="1:11" x14ac:dyDescent="0.25">
      <c r="G172" s="13" t="s">
        <v>993</v>
      </c>
      <c r="H172" t="s">
        <v>994</v>
      </c>
      <c r="I172" t="s">
        <v>995</v>
      </c>
      <c r="J172" t="s">
        <v>996</v>
      </c>
      <c r="K172" t="s">
        <v>988</v>
      </c>
    </row>
    <row r="173" spans="1:11" x14ac:dyDescent="0.25">
      <c r="D173">
        <v>3.4</v>
      </c>
      <c r="E173" t="s">
        <v>997</v>
      </c>
      <c r="F173" t="s">
        <v>1166</v>
      </c>
      <c r="G173" s="13" t="s">
        <v>1001</v>
      </c>
      <c r="H173" t="s">
        <v>1002</v>
      </c>
      <c r="I173" t="s">
        <v>1003</v>
      </c>
      <c r="J173" t="s">
        <v>1004</v>
      </c>
      <c r="K173" t="s">
        <v>1000</v>
      </c>
    </row>
    <row r="174" spans="1:11" x14ac:dyDescent="0.25">
      <c r="G174" s="13" t="s">
        <v>1005</v>
      </c>
      <c r="H174" t="s">
        <v>1006</v>
      </c>
      <c r="I174" t="s">
        <v>1007</v>
      </c>
      <c r="J174" t="s">
        <v>1008</v>
      </c>
      <c r="K174" t="s">
        <v>1000</v>
      </c>
    </row>
    <row r="175" spans="1:11" x14ac:dyDescent="0.25">
      <c r="A175">
        <v>10</v>
      </c>
      <c r="B175" t="s">
        <v>1009</v>
      </c>
      <c r="C175" t="s">
        <v>1167</v>
      </c>
      <c r="D175">
        <v>10.1</v>
      </c>
      <c r="E175" t="s">
        <v>1015</v>
      </c>
      <c r="F175" t="s">
        <v>1168</v>
      </c>
      <c r="G175" s="13" t="s">
        <v>1019</v>
      </c>
      <c r="H175" t="s">
        <v>1020</v>
      </c>
      <c r="I175" t="s">
        <v>1021</v>
      </c>
      <c r="J175" t="s">
        <v>1022</v>
      </c>
      <c r="K175" t="s">
        <v>1018</v>
      </c>
    </row>
    <row r="176" spans="1:11" x14ac:dyDescent="0.25">
      <c r="G176" s="13" t="s">
        <v>1023</v>
      </c>
      <c r="H176" t="s">
        <v>1024</v>
      </c>
      <c r="I176" t="s">
        <v>1025</v>
      </c>
      <c r="J176" t="s">
        <v>1026</v>
      </c>
      <c r="K176" t="s">
        <v>1018</v>
      </c>
    </row>
    <row r="177" spans="4:11" x14ac:dyDescent="0.25">
      <c r="D177">
        <v>10.199999999999999</v>
      </c>
      <c r="E177" t="s">
        <v>1027</v>
      </c>
      <c r="F177" t="s">
        <v>1169</v>
      </c>
      <c r="G177" s="13" t="s">
        <v>1031</v>
      </c>
      <c r="H177" t="s">
        <v>1032</v>
      </c>
      <c r="I177" t="s">
        <v>1033</v>
      </c>
      <c r="J177" t="s">
        <v>1034</v>
      </c>
      <c r="K177" t="s">
        <v>1030</v>
      </c>
    </row>
    <row r="178" spans="4:11" x14ac:dyDescent="0.25">
      <c r="G178" s="13" t="s">
        <v>1035</v>
      </c>
      <c r="H178" t="s">
        <v>1036</v>
      </c>
      <c r="I178" t="s">
        <v>1037</v>
      </c>
      <c r="J178" t="s">
        <v>1038</v>
      </c>
      <c r="K178" t="s">
        <v>1030</v>
      </c>
    </row>
    <row r="179" spans="4:11" x14ac:dyDescent="0.25">
      <c r="D179">
        <v>10.3</v>
      </c>
      <c r="E179" t="s">
        <v>1039</v>
      </c>
      <c r="F179" t="s">
        <v>1170</v>
      </c>
      <c r="G179" s="13" t="s">
        <v>1043</v>
      </c>
      <c r="H179" t="s">
        <v>1044</v>
      </c>
      <c r="I179" t="s">
        <v>1045</v>
      </c>
      <c r="J179" t="s">
        <v>1046</v>
      </c>
      <c r="K179" t="s">
        <v>1042</v>
      </c>
    </row>
    <row r="180" spans="4:11" x14ac:dyDescent="0.25">
      <c r="G180" s="13" t="s">
        <v>1047</v>
      </c>
      <c r="H180" t="s">
        <v>1048</v>
      </c>
      <c r="I180" t="s">
        <v>1049</v>
      </c>
      <c r="J180" t="s">
        <v>1050</v>
      </c>
      <c r="K180" t="s">
        <v>1042</v>
      </c>
    </row>
    <row r="181" spans="4:11" x14ac:dyDescent="0.25">
      <c r="D181">
        <v>10.4</v>
      </c>
      <c r="E181" t="s">
        <v>1051</v>
      </c>
      <c r="F181" t="s">
        <v>1171</v>
      </c>
      <c r="G181" s="13" t="s">
        <v>1055</v>
      </c>
      <c r="H181" t="s">
        <v>1056</v>
      </c>
      <c r="I181" t="s">
        <v>1057</v>
      </c>
      <c r="J181" t="s">
        <v>1058</v>
      </c>
      <c r="K181" t="s">
        <v>1054</v>
      </c>
    </row>
    <row r="182" spans="4:11" x14ac:dyDescent="0.25">
      <c r="G182" s="13" t="s">
        <v>1059</v>
      </c>
      <c r="H182" t="s">
        <v>1060</v>
      </c>
      <c r="I182" t="s">
        <v>1061</v>
      </c>
      <c r="J182" t="s">
        <v>1062</v>
      </c>
      <c r="K182" t="s">
        <v>1054</v>
      </c>
    </row>
    <row r="183" spans="4:11" x14ac:dyDescent="0.25">
      <c r="G183" s="13" t="s">
        <v>1063</v>
      </c>
      <c r="H183" t="s">
        <v>1064</v>
      </c>
      <c r="I183" t="s">
        <v>1065</v>
      </c>
      <c r="J183" t="s">
        <v>1066</v>
      </c>
      <c r="K183" t="s">
        <v>1054</v>
      </c>
    </row>
    <row r="184" spans="4:11" x14ac:dyDescent="0.25">
      <c r="D184">
        <v>10.5</v>
      </c>
      <c r="E184" t="s">
        <v>1067</v>
      </c>
      <c r="F184" t="s">
        <v>1172</v>
      </c>
      <c r="G184" s="13" t="s">
        <v>1071</v>
      </c>
      <c r="H184" t="s">
        <v>1072</v>
      </c>
      <c r="I184" t="s">
        <v>1073</v>
      </c>
      <c r="J184" t="s">
        <v>1074</v>
      </c>
      <c r="K184" t="s">
        <v>1070</v>
      </c>
    </row>
    <row r="185" spans="4:11" x14ac:dyDescent="0.25">
      <c r="G185" s="13" t="s">
        <v>1075</v>
      </c>
      <c r="H185" t="s">
        <v>1076</v>
      </c>
      <c r="I185" t="s">
        <v>1077</v>
      </c>
      <c r="J185" t="s">
        <v>1078</v>
      </c>
      <c r="K185" t="s">
        <v>1070</v>
      </c>
    </row>
    <row r="186" spans="4:11" x14ac:dyDescent="0.25">
      <c r="D186">
        <v>10.6</v>
      </c>
      <c r="E186" t="s">
        <v>1079</v>
      </c>
      <c r="F186" t="s">
        <v>1173</v>
      </c>
      <c r="G186" s="13" t="s">
        <v>1082</v>
      </c>
      <c r="H186" t="s">
        <v>1083</v>
      </c>
      <c r="I186" t="s">
        <v>1084</v>
      </c>
      <c r="J186" t="s">
        <v>1085</v>
      </c>
      <c r="K186" t="s">
        <v>1086</v>
      </c>
    </row>
    <row r="187" spans="4:11" x14ac:dyDescent="0.25">
      <c r="G187" s="13" t="s">
        <v>1087</v>
      </c>
      <c r="H187" t="s">
        <v>1088</v>
      </c>
      <c r="I187" t="s">
        <v>1089</v>
      </c>
      <c r="J187" t="s">
        <v>1090</v>
      </c>
      <c r="K187" t="s">
        <v>1086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cf21e1d-e7b2-4ba8-bb72-ca5e3ff425f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C2648767ADDAC4198CE9FAE936A0E2E" ma:contentTypeVersion="10" ma:contentTypeDescription="Create a new document." ma:contentTypeScope="" ma:versionID="bfce7f8d432cf4f2b54d649024185cc8">
  <xsd:schema xmlns:xsd="http://www.w3.org/2001/XMLSchema" xmlns:xs="http://www.w3.org/2001/XMLSchema" xmlns:p="http://schemas.microsoft.com/office/2006/metadata/properties" xmlns:ns2="bcf21e1d-e7b2-4ba8-bb72-ca5e3ff425f9" targetNamespace="http://schemas.microsoft.com/office/2006/metadata/properties" ma:root="true" ma:fieldsID="db0e3ff7a073da1765cf4c642dfd2d3e" ns2:_="">
    <xsd:import namespace="bcf21e1d-e7b2-4ba8-bb72-ca5e3ff425f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f21e1d-e7b2-4ba8-bb72-ca5e3ff425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displayName="Image Tags_0" ma:hidden="true" ma:internalName="lcf76f155ced4ddcb4097134ff3c332f">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BillingMetadata" ma:index="1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161C026-BC4B-49D4-A014-8B775BCAB96B}">
  <ds:schemaRefs>
    <ds:schemaRef ds:uri="http://schemas.microsoft.com/sharepoint/v3/contenttype/forms"/>
  </ds:schemaRefs>
</ds:datastoreItem>
</file>

<file path=customXml/itemProps2.xml><?xml version="1.0" encoding="utf-8"?>
<ds:datastoreItem xmlns:ds="http://schemas.openxmlformats.org/officeDocument/2006/customXml" ds:itemID="{693D3815-4562-40DA-A5CA-76B5AFF15A74}">
  <ds:schemaRefs>
    <ds:schemaRef ds:uri="http://schemas.microsoft.com/office/2006/metadata/properties"/>
    <ds:schemaRef ds:uri="http://schemas.microsoft.com/office/infopath/2007/PartnerControls"/>
    <ds:schemaRef ds:uri="bcf21e1d-e7b2-4ba8-bb72-ca5e3ff425f9"/>
  </ds:schemaRefs>
</ds:datastoreItem>
</file>

<file path=customXml/itemProps3.xml><?xml version="1.0" encoding="utf-8"?>
<ds:datastoreItem xmlns:ds="http://schemas.openxmlformats.org/officeDocument/2006/customXml" ds:itemID="{215D7143-0ECB-4653-B3EC-4A62CA5516C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cf21e1d-e7b2-4ba8-bb72-ca5e3ff425f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PH Vertical Expansion</vt:lpstr>
      <vt:lpstr>PH Horizontal Expansion</vt:lpstr>
      <vt:lpstr>__TR_VERTICAL</vt:lpstr>
      <vt:lpstr>__TR_HORIZONTAL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Villena, Jose</cp:lastModifiedBy>
  <cp:revision/>
  <dcterms:created xsi:type="dcterms:W3CDTF">2026-08-04T17:56:21Z</dcterms:created>
  <dcterms:modified xsi:type="dcterms:W3CDTF">2026-08-20T01:38:25Z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0x010100CC2648767ADDAC4198CE9FAE936A0E2E</vt:lpwstr>
  </property>
</Properties>
</file>