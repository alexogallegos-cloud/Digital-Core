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
    </mc:Choice>
  </mc:AlternateContent>
  <xr:revisionPtr revIDLastSave="868" documentId="8_{54B81BA6-2CAB-46AA-9C5C-F8A794B85FC1}" xr6:coauthVersionLast="47" xr6:coauthVersionMax="47" xr10:uidLastSave="{01544089-D522-4140-BE37-212F9ED156BC}"/>
  <bookViews>
    <workbookView xWindow="-120" yWindow="-120" windowWidth="29040" windowHeight="17520" tabRatio="815" activeTab="2" xr2:uid="{00000000-000D-0000-FFFF-FFFF00000000}"/>
  </bookViews>
  <sheets>
    <sheet name="Resumen" sheetId="1" r:id="rId1"/>
    <sheet name="Mapeo de Capacidades de Dominio" sheetId="2" r:id="rId2"/>
    <sheet name="Kernel de Soporte" sheetId="3" r:id="rId3"/>
    <sheet name="Vista por Familia de Dominio" sheetId="4" r:id="rId4"/>
    <sheet name="Impulsores de Contexto R4" sheetId="5" r:id="rId5"/>
    <sheet name="Fuentes y Metodología"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4" l="1"/>
  <c r="H12" i="4"/>
  <c r="G12" i="4"/>
  <c r="F12" i="4"/>
  <c r="I11" i="4"/>
  <c r="H11" i="4"/>
  <c r="G11" i="4"/>
  <c r="F11" i="4"/>
  <c r="I10" i="4"/>
  <c r="H10" i="4"/>
  <c r="G10" i="4"/>
  <c r="F10" i="4"/>
  <c r="I9" i="4"/>
  <c r="H9" i="4"/>
  <c r="G9" i="4"/>
  <c r="F9" i="4"/>
  <c r="I8" i="4"/>
  <c r="H8" i="4"/>
  <c r="G8" i="4"/>
  <c r="F8" i="4"/>
  <c r="I7" i="4"/>
  <c r="H7" i="4"/>
  <c r="G7" i="4"/>
  <c r="F7" i="4"/>
  <c r="I6" i="4"/>
  <c r="H6" i="4"/>
  <c r="G6" i="4"/>
  <c r="F6" i="4"/>
  <c r="I5" i="4"/>
  <c r="H5" i="4"/>
  <c r="G5" i="4"/>
  <c r="F5" i="4"/>
  <c r="B17" i="1"/>
  <c r="B16" i="1"/>
  <c r="B15" i="1"/>
  <c r="B14" i="1"/>
  <c r="B13" i="1"/>
  <c r="B12" i="1"/>
  <c r="B11" i="1"/>
  <c r="B10" i="1"/>
</calcChain>
</file>

<file path=xl/sharedStrings.xml><?xml version="1.0" encoding="utf-8"?>
<sst xmlns="http://schemas.openxmlformats.org/spreadsheetml/2006/main" count="2159" uniqueCount="1089">
  <si>
    <t>Línea Base de Capacidad de Interoperabilidad R4</t>
  </si>
  <si>
    <t>Resumen ejecutivo de las capacidades de interoperabilidad requeridas para R4 basado en historias de usuario y jerarquía de capacidades.</t>
  </si>
  <si>
    <t>Conclusión de evaluación</t>
  </si>
  <si>
    <t>R4 requiere una capa de interoperabilidad controlada alrededor de SmartVista y Apolo, no solo APIs directas de canal a core. Las capacidades de dominio bajo 6.0–13.0 son la línea base principal; se necesitan capacidades seleccionadas de kernel/plataforma para la preparación de producción.</t>
  </si>
  <si>
    <t>Qué significa "disponible"</t>
  </si>
  <si>
    <t>Advertencia de alcance</t>
  </si>
  <si>
    <t>Conteos de mapeo de capacidades</t>
  </si>
  <si>
    <t>Resumen de fuentes R4</t>
  </si>
  <si>
    <t>Filas de capacidad de dominio</t>
  </si>
  <si>
    <t>Filas de historias de usuario R4</t>
  </si>
  <si>
    <t>76</t>
  </si>
  <si>
    <t>Filas de kernel de soporte</t>
  </si>
  <si>
    <t>Tracks en inventario</t>
  </si>
  <si>
    <t>Smart Vista: 22, CAT: 12, SIWEB: 5, Apolo: 22, APP: 15</t>
  </si>
  <si>
    <t>Filas P0 de dominio</t>
  </si>
  <si>
    <t>Distribución MoSCoW</t>
  </si>
  <si>
    <t>Filas P1 de dominio</t>
  </si>
  <si>
    <t>Solución: 37, Solución e Integración: 27, Integración: 12</t>
  </si>
  <si>
    <t>Filas P2 de dominio</t>
  </si>
  <si>
    <t>Filas de inventario de integración</t>
  </si>
  <si>
    <t>15</t>
  </si>
  <si>
    <t>Filas de confianza Muy Alta</t>
  </si>
  <si>
    <t>Tipos de integración</t>
  </si>
  <si>
    <t>Batch: 2, API: 12, Evento: 1</t>
  </si>
  <si>
    <t>Filas de confianza Alta</t>
  </si>
  <si>
    <t>Estado de integración</t>
  </si>
  <si>
    <t>Nueva: 8, Modificar: 7</t>
  </si>
  <si>
    <t>Filas de confianza Media</t>
  </si>
  <si>
    <t>Frecuencia de integración</t>
  </si>
  <si>
    <t>Diaria/EOD: 5, Tiempo real: 10</t>
  </si>
  <si>
    <t>Leyenda de prioridad / confianza</t>
  </si>
  <si>
    <t>P0</t>
  </si>
  <si>
    <t>P0 - Obligatorio para la puesta en marcha de R4 / certificación E2E</t>
  </si>
  <si>
    <t>P1</t>
  </si>
  <si>
    <t>P1 - Requerido para R4 controlado, pero se necesita confirmación de alcance/diseño</t>
  </si>
  <si>
    <t>P2</t>
  </si>
  <si>
    <t>P2 - Evaluar para R4.5 / no es un bloqueador estricto de R4</t>
  </si>
  <si>
    <t>Muy Alto</t>
  </si>
  <si>
    <t>Muy Alto - evidenciado directamente por HUs de R4 y/o inventario de integración</t>
  </si>
  <si>
    <t>Alto</t>
  </si>
  <si>
    <t>Alto - directamente requerido por el comportamiento de R4, aunque no siempre explícito como capacidad</t>
  </si>
  <si>
    <t>Medio</t>
  </si>
  <si>
    <t>Bajo</t>
  </si>
  <si>
    <t>Bajo - orientado al futuro u opcional respecto a la línea base estricta de R4</t>
  </si>
  <si>
    <t>Filas HU</t>
  </si>
  <si>
    <t>Smart Vista</t>
  </si>
  <si>
    <t>CAT</t>
  </si>
  <si>
    <t>SIWEB</t>
  </si>
  <si>
    <t>Apolo</t>
  </si>
  <si>
    <t>APP</t>
  </si>
  <si>
    <t>Capacidades de Interoperabilidad Requeridas R4 - Mapeo de Capacidades de Dominio</t>
  </si>
  <si>
    <t>Capacidades de la jerarquía de interoperabilidad que deben estar disponibles o evaluadas para R4, derivadas de las historias de usuario R4 y el inventario de integración.</t>
  </si>
  <si>
    <t>Capacidad de interoperabilidad requerida</t>
  </si>
  <si>
    <t>Contexto R4 para el que se necesita</t>
  </si>
  <si>
    <t>Propósito y beneficio desde la perspectiva R4</t>
  </si>
  <si>
    <t>Prioridad desde la perspectiva R4</t>
  </si>
  <si>
    <t>Nivel de confianza de que esta capacidad es requerida</t>
  </si>
  <si>
    <t>ID de Capacidad</t>
  </si>
  <si>
    <t>Nivel de Jerarquía</t>
  </si>
  <si>
    <t>Familia de capacidad</t>
  </si>
  <si>
    <t>Kernel o Dominio</t>
  </si>
  <si>
    <t>Ejemplos de HU fuente</t>
  </si>
  <si>
    <t>Ejemplos de integración / evidencia fuente</t>
  </si>
  <si>
    <t>Descripción de jerarquía</t>
  </si>
  <si>
    <t>Soluciones/candidatos BanCoppel en jerarquía</t>
  </si>
  <si>
    <t>Brecha clave de disponibilidad o diseño a verificar para R4</t>
  </si>
  <si>
    <t>L1</t>
  </si>
  <si>
    <t>Capacidad de Dominio</t>
  </si>
  <si>
    <t>8.1.1</t>
  </si>
  <si>
    <t>L2</t>
  </si>
  <si>
    <t>HDU-TDC-R4-01,03-08,10,13,14,16-21,23-27,34</t>
  </si>
  <si>
    <t>8.1.2</t>
  </si>
  <si>
    <t>HDU-TDC-R4-01,03-08,10,13,14,16-21,23-27,34; HDU-CAT-R4-01 to 12</t>
  </si>
  <si>
    <t>8.1.3</t>
  </si>
  <si>
    <t>HDU-CAT-R4-01 to 12; SMART-4219, SMART-3964, SMART-4226, SMART-3963, SMART-3966, PTCF-6144, SMART-3962; HDU-SMARTVISTA-R4-16; HDU-SMART-R4-17 to 21; HDU-SIWEB-R4-01 to 04</t>
  </si>
  <si>
    <t>ICAT01-ICAT07; IAPP01; ISV06, ISV07</t>
  </si>
  <si>
    <t>8.1.4</t>
  </si>
  <si>
    <t>8.2.1</t>
  </si>
  <si>
    <t>SMART-4219, SMART-3964, SMART-4226, SMART-3963, SMART-3966, PTCF-6144, SMART-3962; HDU-CAT-R4-01 to 12; HDU-SIWEB-R4-01 to 05; HDU-SMART-R4-08,17,19-21</t>
  </si>
  <si>
    <t>IAPP01; ICAT01-ICAT07; ISV06, ISV07</t>
  </si>
  <si>
    <t>8.2.2 Protocol Bridging</t>
  </si>
  <si>
    <t>8.2.2</t>
  </si>
  <si>
    <t>HDU-SMART-R4-01 to 08; HDU-CAT-R4-01 to 12; HDU-SIWEB-R4-01 to 05; HDU-SMART-R4-08,17,19-21</t>
  </si>
  <si>
    <t>ISV01, ISV02, ISV03; ICAT01-ICAT07; ISV06, ISV07</t>
  </si>
  <si>
    <t>8.2.3</t>
  </si>
  <si>
    <t>HDU-SMART-R4-09,10; SMART-4219, SMART-3964, SMART-4226, SMART-3963, SMART-3966, PTCF-6144, SMART-3962; HDU-CAT-R4-01 to 12; HDU-SMARTVISTA-R4-16; HDU-SMART-R4-17 to 21; HDU-SIWEB-R4-01 to 04</t>
  </si>
  <si>
    <t>ISV04, ISV05; IAPP01; ICAT01-ICAT07; ISV06, ISV07</t>
  </si>
  <si>
    <t>8.3.1</t>
  </si>
  <si>
    <t>8.3.2</t>
  </si>
  <si>
    <t>ISV04, ISV05; ISV06, ISV07</t>
  </si>
  <si>
    <t>IAPP01; ICAT01-ICAT07; ISV01, ISV02, ISV03</t>
  </si>
  <si>
    <t>8.4.1</t>
  </si>
  <si>
    <t>HDU-CAT-R4-01 to 12; SMART-4219, SMART-3964, SMART-4226, SMART-3963, SMART-3966, PTCF-6144, SMART-3962</t>
  </si>
  <si>
    <t>ICAT01-ICAT07; IAPP01</t>
  </si>
  <si>
    <t>8.4.2</t>
  </si>
  <si>
    <t>ISV01, ISV02, ISV03</t>
  </si>
  <si>
    <t>8.4.3</t>
  </si>
  <si>
    <t>HDU-SMART-R4-01 to 08</t>
  </si>
  <si>
    <t>8.4.4 Adaptor Lifecycle &amp; Decommissioning</t>
  </si>
  <si>
    <t>8.4.4</t>
  </si>
  <si>
    <t>HDU-TDC-R4-01,03-08,10,13,14,16-21,23-27,34; HDU-SMART-R4-01 to 08; HDU-SIWEB-R4-01 to 05; HDU-SMART-R4-08,17,19-21</t>
  </si>
  <si>
    <t>9.1.1</t>
  </si>
  <si>
    <t>HDU-TDC-R4-01,03-08,10,13,14,16-21,23-27,34; HDU-SMARTVISTA-R4-16; HDU-SMART-R4-17 to 21; HDU-SIWEB-R4-01 to 04</t>
  </si>
  <si>
    <t>9.1.2</t>
  </si>
  <si>
    <t>9.1.3</t>
  </si>
  <si>
    <t>HDU-SMART-R4-01 to 08; HDU-SIWEB-R4-01 to 05; HDU-SMART-R4-08,17,19-21; HDU-CAT-R4-01 to 12</t>
  </si>
  <si>
    <t>ISV01, ISV02, ISV03; ICAT01-ICAT07</t>
  </si>
  <si>
    <t>9.2.1</t>
  </si>
  <si>
    <t>9.2.2</t>
  </si>
  <si>
    <t>9.3.1</t>
  </si>
  <si>
    <t>HDU-TDC-R4-01,03-08,10,13,14,16-21,23-27,34; HDU-SMARTVISTA-R4-16; HDU-SMART-R4-17 to 21; HDU-SIWEB-R4-01 to 04; HDU-SMART-R4-01 to 08</t>
  </si>
  <si>
    <t>9.3.2</t>
  </si>
  <si>
    <t>HDU-TDC-R4-01,03-08,10,13,14,16-21,23-27,34; HDU-CAT-R4-01 to 12; HDU-SMART-R4-01 to 08</t>
  </si>
  <si>
    <t>9.3.3</t>
  </si>
  <si>
    <t>9.4.1</t>
  </si>
  <si>
    <t>9.4.2</t>
  </si>
  <si>
    <t>Temenos Transact FT/Payments/GL; BPC SmartVista/SVIP; Hub de Pagos; Kafka/Confluent; Amazon MQ/Kinesis; Interfaces Temporales.</t>
  </si>
  <si>
    <t>7.1.1 Transactional Coordination</t>
  </si>
  <si>
    <t>7.1.1</t>
  </si>
  <si>
    <t>7.1.2</t>
  </si>
  <si>
    <t>7.1.3</t>
  </si>
  <si>
    <t>7.1.4</t>
  </si>
  <si>
    <t>7.2.1</t>
  </si>
  <si>
    <t>7.2.2</t>
  </si>
  <si>
    <t>7.2.3</t>
  </si>
  <si>
    <t>HDU-SMARTVISTA-R4-16; HDU-SMART-R4-17 to 21; HDU-SIWEB-R4-01 to 04; HDU-SIWEB-R4-04</t>
  </si>
  <si>
    <t>ISV06, ISV07</t>
  </si>
  <si>
    <t>7.2.4</t>
  </si>
  <si>
    <t>HDU-SMART-R4-01 to 08; HDU-TDC-R4-01,03-08,10,13,14,16-21,23-27,34; HDU-SMARTVISTA-R4-16; HDU-SMART-R4-17 to 21; HDU-SIWEB-R4-01 to 04</t>
  </si>
  <si>
    <t>7.3.1</t>
  </si>
  <si>
    <t>ISV01, ISV02, ISV03; ISV06, ISV07</t>
  </si>
  <si>
    <t>7.3.2</t>
  </si>
  <si>
    <t>7.3.3</t>
  </si>
  <si>
    <t>7.3.4</t>
  </si>
  <si>
    <t>ISV06, ISV07; ISV04, ISV05</t>
  </si>
  <si>
    <t>7.4.1</t>
  </si>
  <si>
    <t>7.4.2</t>
  </si>
  <si>
    <t>HDU-CAT-R4-01 to 12; SMART-4219, SMART-3964, SMART-4226, SMART-3963, SMART-3966, PTCF-6144, SMART-3962; HDU-SMARTVISTA-R4-16; HDU-SMART-R4-17 to 21; HDU-SIWEB-R4-01 to 04; HDU-TDC-R4-01,03-08,10,13,14,16-21,23-27,34</t>
  </si>
  <si>
    <t>12.1.1</t>
  </si>
  <si>
    <t>SMART-4219, SMART-3964, SMART-4226, SMART-3963, SMART-3966, PTCF-6144, SMART-3962; HDU-CAT-R4-01 to 12</t>
  </si>
  <si>
    <t>12.1.2</t>
  </si>
  <si>
    <t>12.3.1</t>
  </si>
  <si>
    <t>HDU-SMARTVISTA-R4-16; HDU-SMART-R4-17 to 21; HDU-SIWEB-R4-01 to 04; HDU-CAT-R4-01 to 12; HDU-TDC-R4-01,03-08,10,13,14,16-21,23-27,34</t>
  </si>
  <si>
    <t>12.3.2</t>
  </si>
  <si>
    <t>12.3.3</t>
  </si>
  <si>
    <t>12.4.1</t>
  </si>
  <si>
    <t>12.4.2</t>
  </si>
  <si>
    <t>12.4.3</t>
  </si>
  <si>
    <t>12.6.2</t>
  </si>
  <si>
    <t>6.1.1</t>
  </si>
  <si>
    <t>6.1.2</t>
  </si>
  <si>
    <t>IAPP01; ICAT01-ICAT07</t>
  </si>
  <si>
    <t>6.1.3 Journey Resumption &amp; Auto-Completion</t>
  </si>
  <si>
    <t>6.1.3</t>
  </si>
  <si>
    <t>6.2.2</t>
  </si>
  <si>
    <t>SMART-4219, SMART-3964, SMART-4226, SMART-3963, SMART-3966, PTCF-6144, SMART-3962; HDU-CAT-R4-01 to 12; HDU-SMARTVISTA-R4-16; HDU-SMART-R4-17 to 21; HDU-SIWEB-R4-01 to 04</t>
  </si>
  <si>
    <t>HDU-CAT-R4-01 to 12; HDU-TDC-R4-01,03-08,10,13,14,16-21,23-27,34</t>
  </si>
  <si>
    <t>6.3.1 Session Caching</t>
  </si>
  <si>
    <t>6.3.1</t>
  </si>
  <si>
    <t>6.3.2 Inter-Domain Session Replication</t>
  </si>
  <si>
    <t>6.3.2</t>
  </si>
  <si>
    <t>HDU-CAT-R4-01 to 12</t>
  </si>
  <si>
    <t>ICAT03</t>
  </si>
  <si>
    <t>6.4.2</t>
  </si>
  <si>
    <t>6.4.3</t>
  </si>
  <si>
    <t>11.1.1</t>
  </si>
  <si>
    <t>11.1.2</t>
  </si>
  <si>
    <t>11.1.3</t>
  </si>
  <si>
    <t>HDU-SMARTVISTA-R4-16; HDU-SMART-R4-17 to 21; HDU-SIWEB-R4-01 to 04; HDU-TDC-R4-01,03-08,10,13,14,16-21,23-27,34; HDU-SMART-R4-01 to 08</t>
  </si>
  <si>
    <t>11.1.5</t>
  </si>
  <si>
    <t>11.1.6</t>
  </si>
  <si>
    <t>11.2.1</t>
  </si>
  <si>
    <t>11.2.2</t>
  </si>
  <si>
    <t>11.2.3</t>
  </si>
  <si>
    <t>11.2.5</t>
  </si>
  <si>
    <t>11.3.1</t>
  </si>
  <si>
    <t>11.3.2</t>
  </si>
  <si>
    <t>11.3.3</t>
  </si>
  <si>
    <t>11.3.4</t>
  </si>
  <si>
    <t>11.4.1</t>
  </si>
  <si>
    <t>11.4.2</t>
  </si>
  <si>
    <t>3.1.1</t>
  </si>
  <si>
    <t>HDU-TDC-R4-01,03-08,10,13,14,16-21,23-27,34; HDU-SMART-R4-01 to 08; HDU-SMARTVISTA-R4-16; HDU-SMART-R4-17 to 21; HDU-SIWEB-R4-01 to 04</t>
  </si>
  <si>
    <t>3.1.2</t>
  </si>
  <si>
    <t>3.2.1</t>
  </si>
  <si>
    <t>3.2.2</t>
  </si>
  <si>
    <t>3.3.1 Unique Identifier Generation</t>
  </si>
  <si>
    <t>3.3.1</t>
  </si>
  <si>
    <t>Standardize UUID/idempotency key generation.</t>
  </si>
  <si>
    <t>3.3.2 Correlation Identifier Propagation</t>
  </si>
  <si>
    <t>3.3.2</t>
  </si>
  <si>
    <t>Make correlation propagation a non-functional requirement.</t>
  </si>
  <si>
    <t>3.4.1</t>
  </si>
  <si>
    <t>3.4.2</t>
  </si>
  <si>
    <t>HDU-TDC-R4-01,03-08,10,13,14,16-21,23-27,34; HDU-CAT-R4-01 to 12; SMART-4219, SMART-3964, SMART-4226, SMART-3963, SMART-3966, PTCF-6144, SMART-3962</t>
  </si>
  <si>
    <t>10.1.1</t>
  </si>
  <si>
    <t>10.1.2</t>
  </si>
  <si>
    <t>HDU-TDC-R4-01,03-08,10,13,14,16-21,23-27,34; SMART-4219, SMART-3964, SMART-4226, SMART-3963, SMART-3966, PTCF-6144, SMART-3962; HDU-SMART-R4-09,10; HDU-SMARTVISTA-R4-16; HDU-SMART-R4-17 to 21; HDU-SIWEB-R4-01 to 04</t>
  </si>
  <si>
    <t>10.2.1</t>
  </si>
  <si>
    <t>SMART-4219, SMART-3964, SMART-4226, SMART-3963, SMART-3966, PTCF-6144, SMART-3962</t>
  </si>
  <si>
    <t>IAPP01</t>
  </si>
  <si>
    <t>10.2.2</t>
  </si>
  <si>
    <t>HDU-TDC-R4-01,03-08,10,13,14,16-21,23-27,34; HDU-SMART-R4-09,10; HDU-SMARTVISTA-R4-16; HDU-SMART-R4-17 to 21; HDU-SIWEB-R4-01 to 04</t>
  </si>
  <si>
    <t>10.3.1</t>
  </si>
  <si>
    <t>10.3.2</t>
  </si>
  <si>
    <t>HDU-TDC-R4-01,03-08,10,13,14,16-21,23-27,34; HDU-SMART-R4-11</t>
  </si>
  <si>
    <t>10.4.1</t>
  </si>
  <si>
    <t>HDU-SMART-R4-18 to 21; HDU-SIWEB-R4-04</t>
  </si>
  <si>
    <t>10.4.3</t>
  </si>
  <si>
    <t>10.5.1</t>
  </si>
  <si>
    <t>HDU-TDC-R4-03,17,18,20</t>
  </si>
  <si>
    <t>10.5.2</t>
  </si>
  <si>
    <t>HDU-TDC-R4-17,18,20,25</t>
  </si>
  <si>
    <t>HDU-TDC-R4-01,03-08,10,13,14,16-21,23-27,34; HDU-SIWEB-R4-01 to 05; HDU-SMART-R4-08,17,19-21; HDU-CAT-R4-01 to 12</t>
  </si>
  <si>
    <t>10.6.1</t>
  </si>
  <si>
    <t>HDU-SIWEB-R4-01 to 05; HDU-SMART-R4-08,17,19-21; HDU-SMART-R4-01 to 08; HDU-CAT-R4-01 to 12</t>
  </si>
  <si>
    <t>10.6.2</t>
  </si>
  <si>
    <t>HDU-TDC-R4-17,18,20</t>
  </si>
  <si>
    <t>Capacidades de Kernel / Plataforma de Soporte R4</t>
  </si>
  <si>
    <t>Capacidades de kernel necesarias para que las capacidades de dominio estén listas para producción en R4. Estas complementan la línea base de capacidades de dominio.</t>
  </si>
  <si>
    <t>5.0 API Management</t>
  </si>
  <si>
    <t>Kernel y Plataforma</t>
  </si>
  <si>
    <t>5.1.1</t>
  </si>
  <si>
    <t>5.1.2</t>
  </si>
  <si>
    <t>5.1.5</t>
  </si>
  <si>
    <t>5.2.1 API Design &amp; Contract Standards</t>
  </si>
  <si>
    <t>5.2.1</t>
  </si>
  <si>
    <t>5.2.2</t>
  </si>
  <si>
    <t>5.3.2</t>
  </si>
  <si>
    <t>4.2.2 Outbound File Gateway</t>
  </si>
  <si>
    <t>4.2.2</t>
  </si>
  <si>
    <t>4.4 Perimeter Zoning &amp; Connectivity</t>
  </si>
  <si>
    <t>1.0 Security</t>
  </si>
  <si>
    <t>HDU-SMART-R4-01 to 08; HDU-TDC-R4-01,03-08,10,13,14,16-21,23-27,34; SMART-4219, SMART-3964, SMART-4226, SMART-3963, SMART-3966, PTCF-6144, SMART-3962</t>
  </si>
  <si>
    <t>1.4 Threat Protection</t>
  </si>
  <si>
    <t>SMART-4219, SMART-3964, SMART-4226, SMART-3963, SMART-3966, PTCF-6144, SMART-3962; HDU-TDC-R4-01,03-08,10,13,14,16-21,23-27,34; HDU-CAT-R4-01 to 12</t>
  </si>
  <si>
    <t>1.6 Security Observability &amp; Response</t>
  </si>
  <si>
    <t>2.0 Observability</t>
  </si>
  <si>
    <t>2.2.3</t>
  </si>
  <si>
    <t>2.3 Tracing</t>
  </si>
  <si>
    <t>2.5.2</t>
  </si>
  <si>
    <t>13.0 Infrastructure (Tech Stack)</t>
  </si>
  <si>
    <t>13.5 Infrastructure Resilience</t>
  </si>
  <si>
    <t>Vista por Familia de Dominio</t>
  </si>
  <si>
    <t>Familias de capacidad de dominio L0 y su postura de preparación R4.</t>
  </si>
  <si>
    <t>Familia de dominio</t>
  </si>
  <si>
    <t>Postura R4 requerida</t>
  </si>
  <si>
    <t>Confianza</t>
  </si>
  <si>
    <t>Por qué es importante para R4</t>
  </si>
  <si>
    <t>Brecha clave a validar</t>
  </si>
  <si>
    <t>Filas de capacidad detallada</t>
  </si>
  <si>
    <t>Filas P0</t>
  </si>
  <si>
    <t>Filas P1</t>
  </si>
  <si>
    <t>Filas P2</t>
  </si>
  <si>
    <t>P0 acotado / P1 más amplio</t>
  </si>
  <si>
    <t>P0 acotado</t>
  </si>
  <si>
    <t>Impulsores de Contexto R4</t>
  </si>
  <si>
    <t>Áreas funcionales R4 utilizadas para inferir las capacidades de interoperabilidad requeridas.</t>
  </si>
  <si>
    <t>Contexto R4 / jornada</t>
  </si>
  <si>
    <t>Sistemas/interfaces primarios</t>
  </si>
  <si>
    <t>Por qué impulsa la interoperabilidad</t>
  </si>
  <si>
    <t>Familias de capacidad de dominio primarias</t>
  </si>
  <si>
    <t>6, 7, 8, 9, 11, 12, 13</t>
  </si>
  <si>
    <t>Fabricación y suministro de tarjetas SmartVista</t>
  </si>
  <si>
    <t>6, 7, 8, 11, 12</t>
  </si>
  <si>
    <t>Consistencia del catálogo de comisiones</t>
  </si>
  <si>
    <t>HDU-SMART-R4-09,10</t>
  </si>
  <si>
    <t>SmartVista → APP/SIWEB/EDC</t>
  </si>
  <si>
    <t>6, 7, 11, 12, 13</t>
  </si>
  <si>
    <t>Reglas de autorización y fraude</t>
  </si>
  <si>
    <t>HDU-SMART-R4-11</t>
  </si>
  <si>
    <t>7, 8, 11, 13</t>
  </si>
  <si>
    <t>Controles de saldo positivo</t>
  </si>
  <si>
    <t>HDU-SMART-R4-12,13,15; HDU-SIWEB-R4-05; SMART-4183,4280,4182</t>
  </si>
  <si>
    <t>6, 8, 10, 11, 12, 13</t>
  </si>
  <si>
    <t>Compras diferidas MCI/MSI y pagos fijos</t>
  </si>
  <si>
    <t>HDU-SMARTVISTA-R4-16; HDU-SMART-R4-17 to 21; HDU-SIWEB-R4-01 to 04</t>
  </si>
  <si>
    <t>Servicio de producto 4900 CAT/IVR</t>
  </si>
  <si>
    <t>CAT/IVR/ICCAT, SmartVista, Informix</t>
  </si>
  <si>
    <t>Coexistencia de tarjeta física/digital APP y pagos</t>
  </si>
  <si>
    <t>SMART-4219, SMART-3964, SMART-4226, SMART-3963, SMART-3966, SMART-4531, SMART-3962, SMART-4182, SMART-4280, SMART-4183, SMART-4176, PTCSF-6267</t>
  </si>
  <si>
    <t>6, 8, 11, 12, 13</t>
  </si>
  <si>
    <t>3, 13</t>
  </si>
  <si>
    <t>Fuentes y Metodología</t>
  </si>
  <si>
    <t>Archivos y metodología utilizados para construir la línea base de capacidad R4.</t>
  </si>
  <si>
    <t>Sección</t>
  </si>
  <si>
    <t>Detalle</t>
  </si>
  <si>
    <t>Archivo fuente</t>
  </si>
  <si>
    <t>Jerarquía fuente</t>
  </si>
  <si>
    <t>Base R4</t>
  </si>
  <si>
    <t>Enfoque de priorización</t>
  </si>
  <si>
    <t>Advertencia importante</t>
  </si>
  <si>
    <t>Conteo de HU</t>
  </si>
  <si>
    <t>Total R4 HUs: 76 — Smart Vista: 22, CAT: 12, SIWEB: 5, Apolo: 22, APP: 15</t>
  </si>
  <si>
    <t>Excluido / no es un bloqueador actual</t>
  </si>
  <si>
    <t>Advertencia de entrega</t>
  </si>
  <si>
    <t>Incorporación en Apolo / cumplimiento / contratación</t>
  </si>
  <si>
    <t>Apolo, SmartVista, OnBase, firma, SMS/OTP, correo electrónico, PLD/coincidencia de nombres, RENAPO</t>
  </si>
  <si>
    <t>El proceso de varios pasos, con evidencias legales, validaciones de terceros, OTP, firma, creación del crédito y almacenamiento documental, requiere capacidades de orquestación, estado, eventos y datos.</t>
  </si>
  <si>
    <t>SmartVista, AWS, OLTP-Informix, Connect:Direct, SIWEB, proveedores de maquila (GID, Forza, TGS, TG&amp;S)</t>
  </si>
  <si>
    <t>El proceso por lotes y ficheros, así como el suministro a sucursales, requiere ficheros seguros, lotes, PGP/HSM, Connect:Direct y validación biométrica en la recepción.</t>
  </si>
  <si>
    <t>Los nombres reglamentarios y los precios necesitan una fuente única y una presentación coherente entre canales en todos los puntos de contacto.</t>
  </si>
  <si>
    <t>SmartVista/autorizador BPC</t>
  </si>
  <si>
    <t>Las 88 decisiones de autorización y fraude deben ser coherentes, auditables y compatibles con ISO 8583 en tiempo real.</t>
  </si>
  <si>
    <t>SmartVista, APP, SIWEB, SPEI/canales de pago</t>
  </si>
  <si>
    <t>Los pagos entre canales deben validarse o rechazarse de forma coherente mediante una única regla parametrizada.</t>
  </si>
  <si>
    <t>SmartVista, SIWEB, APP, contabilidad/libro mayor</t>
  </si>
  <si>
    <t>El ciclo de vida financiero requiere la fijación de precios, la creación de planes, el pago anticipado, la liquidación y los asientos contables en dos sistemas.</t>
  </si>
  <si>
    <t>El nuevo producto en SmartVista requiere la parametrización del IVR, la búsqueda de clientes, la autenticación, las operaciones sobre el estado de la tarjeta y los flujos de OTP para un contrato de cuenta de 18 dígitos.</t>
  </si>
  <si>
    <t>APP BanCoppel, SmartVista, Informix/sistema heredado</t>
  </si>
  <si>
    <t>La coexistencia de tarjetas físicas y digitales requiere una vista consolidada, un estado coherente, la invalidación de la caché y la aplicación del control de saldo positivo en ambos instrumentos de tarjeta.</t>
  </si>
  <si>
    <t>Control de producción R4 y soporte operativo</t>
  </si>
  <si>
    <t>Todas las HU que implican despliegue, reversión, folio/correlación y soporte</t>
  </si>
  <si>
    <t>Todas las capas de la plataforma</t>
  </si>
  <si>
    <t>La puesta en producción, la reversión, el soporte intensivo y la auditoría requieren folio/correlación, indicadores de funcionalidad, monitorización, trazabilidad y administración de la plataforma en todos los recorridos.</t>
  </si>
  <si>
    <t>Deben: 43, Debería: 28, Voluntad: 3, Podría: 2</t>
  </si>
  <si>
    <t>Distribución de solución / integración</t>
  </si>
  <si>
    <t>Pista</t>
  </si>
  <si>
    <t>8.1 Orquestador de Servicio</t>
  </si>
  <si>
    <t>El motor que descompone un servicio complejo en un conjunto ordenado o paralelo de invocaciones de servicio de grano minucioso y gestiona su ejecución, resultados y excepciones.</t>
  </si>
  <si>
    <t>Confirma un propietario de orquestación aprobado y un patrón por cada viaje E2E.</t>
  </si>
  <si>
    <t>8.1.1 Composición y secuenciación de servicios</t>
  </si>
  <si>
    <t>Secuencias de creación de créditos, almacenamiento de documentos, notificaciones y actualizaciones posteriores; reduce el riesgo de completación parcial.</t>
  </si>
  <si>
    <t>Definición y ejecución de servicios compuestos a partir de pasos detallados, con configuración declarativa o visual.</t>
  </si>
  <si>
    <t>Documenta la secuencia, los puntos de compensación y los estados de error.</t>
  </si>
  <si>
    <t>8.1.2 Control de ejecución paralela y condicional</t>
  </si>
  <si>
    <t>Permite flujos condicionales para decisiones de KO, resultados de PEP/name-match, fallos de autenticación, resultados de bloquear/desbloquear y cancelar.</t>
  </si>
  <si>
    <t>Ejecución concurrente y condicionada por reglas de pasos de orquestación con agregación de resultados.</t>
  </si>
  <si>
    <t>Define la propiedad de las decisiones y las reglas de tiempo de espera o de respaldo.</t>
  </si>
  <si>
    <t>8.1.3 Gestión de invocaciones</t>
  </si>
  <si>
    <t>Gestión de estilos de invocación síncronos y asíncronos, tiempos de espera, intentos de repetición y manejo de fallos parciales.</t>
  </si>
  <si>
    <t>8.1.4 Monitorización y diagnóstico de orquestación</t>
  </si>
  <si>
    <t>Control de producción R4: despliegue, retroceso, folio/correlación, administración en tiempo de ejecución, soporte, monitorización y reparación de recorridos que impactan al cliente.</t>
  </si>
  <si>
    <t>Múltiples HUs que requieren trazabilidad, retroceso, control de parámetros en tiempo de ejecución y soporte operativo</t>
  </si>
  <si>
    <t>Identificadores operativos y paneles de control que no aparecen como registros explícitos de la interfaz</t>
  </si>
  <si>
    <t>Instrumentación de la ejecución de orquestación con emisión de eventos técnicos y empresariales.</t>
  </si>
  <si>
    <t>Asegúrate de que la monitorización sea a nivel de trayectoria empresarial, no solo de infraestructura.</t>
  </si>
  <si>
    <t>8.2 Marco de Integración y Mediación</t>
  </si>
  <si>
    <t>Servicios de transformación, mapeo y puente de protocolos que reconcilian diferentes contratos, formatos y mecanismos de comunicación entre plataformas participantes.</t>
  </si>
  <si>
    <t>Inventario completo de la interfaz y mapeo canónico antes de congelar el diseño.</t>
  </si>
  <si>
    <t>8.2.1 Transformación y Mapeo de Mensajes</t>
  </si>
  <si>
    <t>Mapeado declarativo entre estructuras de mensajes canónicas y nativas, incluyendo enriquecimiento y predeterminación.</t>
  </si>
  <si>
    <t>Define los campos canónicos y las asignaciones de estado/valor.</t>
  </si>
  <si>
    <t>Los puentes REST/API, batch PGP, intercambio de archivos, eventos y protocolos heredados requeridos por R4.</t>
  </si>
  <si>
    <t>Adaptación entre mecanismos de comunicación (REST, gRPC, mensajería, archivos, protocolos de transacciones heredados).</t>
  </si>
  <si>
    <t>Confirma soporte en tiempo de ejecución para APIs por lotes, eventos y en tiempo real.</t>
  </si>
  <si>
    <t>8.2.3 Mapeo Dinámico de Datos y Gobernanza de Esquemas</t>
  </si>
  <si>
    <t>Los esquemas gobernados impiden que cada canal interprete de forma diferente los nombres de las comisiones, el estado de la tarjeta, el estado de la transacción o los datos del plan diferido.</t>
  </si>
  <si>
    <t>Definiciones de mapeo configurables y versionadas y contratos de esquema mantenidos fuera del código de aplicación.</t>
  </si>
  <si>
    <t>Crea reglas de propiedad y compatibilidad de esquemas.</t>
  </si>
  <si>
    <t>8.3 Gestión del contexto</t>
  </si>
  <si>
    <t>Transporta el producto, canal, cliente, tarjeta, despliegue y contexto de autorización a través de las llamadas de servicio.</t>
  </si>
  <si>
    <t>Captura, propagación y disponibilidad consistente del contexto de ejecución —identidad, canal, entidad, ubicación, correlación, derechos— en cada salto de un servicio compuesto.</t>
  </si>
  <si>
    <t>Define los atributos de contexto de la solicitud requeridos y la fuente de verdad.</t>
  </si>
  <si>
    <t>8.3.1 Propagación del Contexto de Solicitud</t>
  </si>
  <si>
    <t>Propaga el cliente, la tarjeta, el producto 4900, el canal, el folio y el contexto de correlación para que los sistemas aguas abajo puedan actuar de forma consistente.</t>
  </si>
  <si>
    <t>Transmisión estandarizada del contexto del llamador, canal y correlación a través de todos los saltos de orquestación.</t>
  </si>
  <si>
    <t>Haz obligatorio que la correlación y el contexto empresarial en API encabezados/eventos.</t>
  </si>
  <si>
    <t>8.3.2 Registro de Servicios y Configuración de Reglas</t>
  </si>
  <si>
    <t>Registro de servicios con sus características de ejecución, reglas y metadatos administrativos.</t>
  </si>
  <si>
    <t>Establece quién es el propietario de los cambios de configuración y aprobaciones.</t>
  </si>
  <si>
    <t>8.4 Adaptadores heredados</t>
  </si>
  <si>
    <t>Envoltorios de servicio y adaptadores específicos de plataforma que exponen funciones residentes legadas como APIs y eventos estándar, conectando desde la arquitectura de microservicios hasta mainframes y plataformas propietarias.</t>
  </si>
  <si>
    <t>Evita los bypass legacy específicos de cada canal.</t>
  </si>
  <si>
    <t>8.4.1 Envoltorios de servicio y exposición a servicios heredados</t>
  </si>
  <si>
    <t>Envuelve las funciones existentes de clientes/cuentas/tarjetas para que la ubicación del producto sea transparente para los canales.</t>
  </si>
  <si>
    <t>Microservicios que exponen transacciones heredadas como APIs adecuadas para orquestación.</t>
  </si>
  <si>
    <t>Identificar envoltorios reutilizables y funciones heredadas no soportadas.</t>
  </si>
  <si>
    <t>8.4.2 Adaptadores de plataforma</t>
  </si>
  <si>
    <t>Conectividad específica de la plataforma y adaptadores de protocolo para mainframe y entornos propietarios, incluyendo enrutamiento de transacciones.</t>
  </si>
  <si>
    <t>Confirma la propiedad y SLA por adaptador.</t>
  </si>
  <si>
    <t>8.4.3 Interfaces de lote y sincronización de datos heredadas</t>
  </si>
  <si>
    <t>Soporta sincronización por lotes/archivos y movimiento seguro de archivos maquila sin forzar todo en APIs en tiempo real.</t>
  </si>
  <si>
    <t>Se requieren mecanismos de sincronización por lotes y de datos junto con acceso en tiempo real a plataformas heredadas.</t>
  </si>
  <si>
    <t>Define los controles de detección de duplicados, reprocesamiento y acuse de reconocimiento.</t>
  </si>
  <si>
    <t>Futura desmantelación de interfaces heredadas redundantes tras la estabilización de la coexistencia de R4.</t>
  </si>
  <si>
    <t>Evita que las interfaces temporales de R4 se conviertan en deuda técnica permanente.</t>
  </si>
  <si>
    <t>No hay registro directo de la interfaz R4; Inferido de la postura de coexistencia</t>
  </si>
  <si>
    <t>Introducción controlada, doble funcionamiento y retirada de adaptadores a medida que las funciones migran fuera del legado.</t>
  </si>
  <si>
    <t>9.1 Servicios de flujo de trabajo</t>
  </si>
  <si>
    <t>Define y ejecuta flujos de trabajo empresariales de larga duración más allá de llamadas API individuales, incluyendo pasos humanos/operativos.</t>
  </si>
  <si>
    <t>Definición, versión y ejecución de procesos empresariales de varios pasos que abarcan servicios, sistemas y participantes humanos.</t>
  </si>
  <si>
    <t>9.1.1 Definición y Versión del flujo de trabajo</t>
  </si>
  <si>
    <t>Las definiciones de flujo de trabajo versionadas aseguran que los cambios en los flujos de incorporación/firma/pago diferido no rompan los casos en vuelo.</t>
  </si>
  <si>
    <t>Modelado y control de versiones de definiciones de procesos, con promoción controlada entre entornos.</t>
  </si>
  <si>
    <t>Necesario donde los viajes en vuelo puedan abarcar los lanzamientos.</t>
  </si>
  <si>
    <t>9.1.2 Ejecución de flujo de trabajo y coordinación de pasos</t>
  </si>
  <si>
    <t>Coordina pasos como validación, aprobación, ejecución, notificación y auditoría entre sistemas.</t>
  </si>
  <si>
    <t>Ejecución en tiempo de ejecución de instancias de proceso, invocación de servicios y espera de resultados externos.</t>
  </si>
  <si>
    <t>Define el estatus y la propiedad a nivel escalonado.</t>
  </si>
  <si>
    <t>9.1.3 Configuración de reglas de negocio</t>
  </si>
  <si>
    <t>Centraliza las reglas de negocio configurables para límites, campañas, tasas, decisiones de autorización y elegibilidad.</t>
  </si>
  <si>
    <t>Normas externalizadas que regulan el enrutamiento, umbrales, elegibilidad y los participantes requeridos por tipo de proceso.</t>
  </si>
  <si>
    <t>Validar la fuente de la regla de verdad y los controles de despliegue.</t>
  </si>
  <si>
    <t>9.2 Gestión de tareas humanas</t>
  </si>
  <si>
    <t>Gestiona tareas asistidas como recepción/cancelación de sucursal, maquila manual, aprobaciones por supervisores y acciones asistidas por el agente del cliente.</t>
  </si>
  <si>
    <t>Creación, asignación, priorización y finalización de tareas humanas derivadas de procesos automatizados, incluyendo listas de trabajo y delegación.</t>
  </si>
  <si>
    <t>Aclarar las colas de trabajo y la responsabilidad de la reparación manual.</t>
  </si>
  <si>
    <t>9.2.1 Asignación de tareas y gestión de listas de trabajo</t>
  </si>
  <si>
    <t>Enruta las tareas operativas a la sucursal/suministro/agente correcta y las mantiene auditables.</t>
  </si>
  <si>
    <t>Enrutamiento de elementos de trabajo a roles, colas e individuos con priorización y reasignación.</t>
  </si>
  <si>
    <t>Confirma las herramientas de modelos a seguir y listas de trabajo.</t>
  </si>
  <si>
    <t>9.2.2 Intercepción y Reanudación de la Tarea</t>
  </si>
  <si>
    <t>Permite que un viaje pausado o un traspaso de agente se reanude sin perder el contexto del cliente o la sesión.</t>
  </si>
  <si>
    <t>Suspensión de la ejecución de un servicio pendiente de acción humana y reanudación al finalizar.</t>
  </si>
  <si>
    <t>El alcance depende del diseño confirmado de transferencia de canal.</t>
  </si>
  <si>
    <t>9.3 Gestión del Estado de Procesos y Excepciones</t>
  </si>
  <si>
    <t>Mantiene el estado y gestiona las excepciones para viajes intersistemas parcialmente completados.</t>
  </si>
  <si>
    <t>Persistencia duradera del estado de proceso de larga duración, junto con el tiempo de espera, la escalada, el reintento y la gestión de excepciones para instancias estancadas o fallidas.</t>
  </si>
  <si>
    <t>Debe ser explícito en cuanto a incorporación, pagos, estado de la tarjeta y operaciones de pago diferido.</t>
  </si>
  <si>
    <t>9.3.1 Persistencia del estado del proceso</t>
  </si>
  <si>
    <t>Persiste en el estado del viaje para apoyar intentos, consultas de clientes y reparaciones manuales.</t>
  </si>
  <si>
    <t>Almacenamiento duradero del estado de la instancia de proceso, historial y acciones pendientes.</t>
  </si>
  <si>
    <t>Define el estado de almacenamiento y retención.</t>
  </si>
  <si>
    <t>9.3.2 Escalada y gestión de tiempos de espera</t>
  </si>
  <si>
    <t>Reglas de escalada, recordatorio y reasignación basadas en tiempo para instancias estancadas.</t>
  </si>
  <si>
    <t>Los tiempos de espera no se llenan en el inventario actual de integración.</t>
  </si>
  <si>
    <t>9.3.3 Gestión de Excepciones de Procesos</t>
  </si>
  <si>
    <t>Proporciona manejo estándar de excepciones en lugar de soluciones específicas para cada canal.</t>
  </si>
  <si>
    <t>Detección, clasificación y remediación del enrutamiento de instancias de procesos fallidos o en estado de excepción.</t>
  </si>
  <si>
    <t>Define la taxonomía de error empresarial frente a la técnica.</t>
  </si>
  <si>
    <t>9.4 Supervisión y administración de procesos</t>
  </si>
  <si>
    <t>Permite a las operaciones monitorizar y administrar instancias y cuellos de botella de procesos R4.</t>
  </si>
  <si>
    <t>Visibilidad operativa de instancias en vuelo y de procesos completados, con intervención administrativa e informes sobre tiempos de ciclo y cuellos de botella.</t>
  </si>
  <si>
    <t>Crea paneles de control para el trayecto empresarial y apoya los libros de gestos.</t>
  </si>
  <si>
    <t>9.4.1 Monitorización de instancias de procesos y consola</t>
  </si>
  <si>
    <t>Vamos a los equipos de soporte a buscar e inspeccionar las instancias de proceso por folio/cliente/tarjeta/lote.</t>
  </si>
  <si>
    <t>Vistas operativas de instancias en vuelo con capacidad de intervención (reintentar, reasignar, cancelar).</t>
  </si>
  <si>
    <t>Debe alinearse con la capacidad de folio/correlación.</t>
  </si>
  <si>
    <t>9.4.2 Informes sobre el rendimiento de procesos</t>
  </si>
  <si>
    <t>Mide el éxito/fracaso/latencia por recorrido e identifica dónde falla R4 operativamente.</t>
  </si>
  <si>
    <t>Tiempo de ciclo, rendimiento, tasa de excepción y análisis de cuello de botella por proceso y producto.</t>
  </si>
  <si>
    <t>Necesario para la hiperatención y la estabilización; no siempre capturado en las HUs.</t>
  </si>
  <si>
    <t>7.1 Gestión Transaction</t>
  </si>
  <si>
    <t>Coordina transacciones que afectan al estado del cliente, dinero, documentos o contabilidad en múltiples sistemas.</t>
  </si>
  <si>
    <t>Coordinación de operaciones empresariales con múltiples participantes, seguimiento del éxito o fracaso de cada paso y impulsando la reversión completa o compensatoria, con registro duradero del estado y la historia.</t>
  </si>
  <si>
    <t>Define los límites de las transacciones y la propiedad.</t>
  </si>
  <si>
    <t>Coordinador que hace seguimiento de los resultados de los participantes y decide la finalización o la retrocesa de una operación compuesta.</t>
  </si>
  <si>
    <t>Mapea los puntos de compromiso síncronos y asíncronos.</t>
  </si>
  <si>
    <t>7.1.2 Ejecución de Compensación y Reversión</t>
  </si>
  <si>
    <t>Proporciona reversión/compensación cuando solo parte de un proceso tiene éxito, protegiendo la integridad del cliente y la contabilidad.</t>
  </si>
  <si>
    <t>Ejecución de acciones compensatorias contra participantes cuyo trabajo debe ser deshecho, impulsada por una columna vertebral fiable de mensajería.</t>
  </si>
  <si>
    <t>Los artefactos actuales no evidencian un modelo completo de compensación.</t>
  </si>
  <si>
    <t>7.1.3 Estado e Persistencia de la Historia Transaction</t>
  </si>
  <si>
    <t>Almacena el historial de transacciones para auditoría, atención al cliente, conciliación y reparación.</t>
  </si>
  <si>
    <t>Registro duradero de la base de datos de transacciones, estado, participantes, referencias a la carga útil e historial de eventos.</t>
  </si>
  <si>
    <t>Define claves de retención y búsqueda.</t>
  </si>
  <si>
    <t>7.1.4 Intercambio de mensajes fiable</t>
  </si>
  <si>
    <t>Garantiza un intercambio fiable de mensajes/archivos/eventos de transacción para que una acción central exitosa no se pierda aguas abajo.</t>
  </si>
  <si>
    <t>Notificación garantizada de los resultados de los pasos e instrucciones de reversión entre coordinador y participantes.</t>
  </si>
  <si>
    <t>Define los estándares de idempotencia y reconocimiento.</t>
  </si>
  <si>
    <t>7.2 Transaction Operaciones y Control</t>
  </si>
  <si>
    <t>Proporciona controles operativos para transacciones pendientes, fallidas, revertidas y conciliadas.</t>
  </si>
  <si>
    <t>Herramientas orientadas al operador para observar, intervenir e informar sobre transacciones complejas, incluyendo reintentos, cancelaciones y reversiones de acciones, así como la monitorización de eventos técnicos y operativos.</t>
  </si>
  <si>
    <t>Necesario para soporte y control post-activación.</t>
  </si>
  <si>
    <t>7.2.1 Transactional Consola</t>
  </si>
  <si>
    <t>Proporciona a las operaciones una consola de transacciones para la búsqueda y reparaciones controladas.</t>
  </si>
  <si>
    <t>Interfaz operativa que muestra el estado e historial de transacciones complejas con desentrañecimiento hasta el nivel del participante.</t>
  </si>
  <si>
    <t>7.2.2 Reintento, Cancelación y Reversa de Operaciones</t>
  </si>
  <si>
    <t>Permite reintentar, cancelar y revertir operaciones seguras sin efectos duplicados.</t>
  </si>
  <si>
    <t>Remediación controlada iniciada por el operador de transacciones atascadas o fallidas.</t>
  </si>
  <si>
    <t>Debe incluir controles de detección y autorización de duplicados.</t>
  </si>
  <si>
    <t>7.2.3 Transaction Soporte para Informes y Conciliación</t>
  </si>
  <si>
    <t>MCI/MSI y operaciones de compra diferida: campañas, elegibilidad/cálculo, creación de plan, pago anticipado, liquidación, cancelación y efectos contables. y contabilidad/reportes.</t>
  </si>
  <si>
    <t>Informar sobre resultados de transacciones, excepciones y envejecimiento para apoyar funciones de conciliación y control.</t>
  </si>
  <si>
    <t>Los códigos de transacciones contables y las normas de conciliación necesitan un cierre.</t>
  </si>
  <si>
    <t>7.2.4 Monitorización de Eventos Regionales Transactional</t>
  </si>
  <si>
    <t>Monitoriza las transacciones financieras o de estado de la tarjeta como eventos empresariales, no solo llamadas API.</t>
  </si>
  <si>
    <t>Emisiones y monitorización de eventos técnicos de salud y eventos empresariales de los componentes de la transacción.</t>
  </si>
  <si>
    <t>Define KPIs empresariales y umbrales de alerta.</t>
  </si>
  <si>
    <t>7.3 Almacenar y avanzar</t>
  </si>
  <si>
    <t>Se aplican búferes y reenvíos de solicitudes cuando los sistemas destino no están disponibles o se aplican ventanas por lotes.</t>
  </si>
  <si>
    <t>Persistencia y ejecución posterior controlada de peticiones que no pueden completarse ahora —porque un sistema alojador no está disponible, o porque el usuario programó la acción para una fecha futura— que incluye gestor de solicitudes, registro, procesador, router y consola.</t>
  </si>
  <si>
    <t>Especialmente importante para archivos y notificaciones de maquila.</t>
  </si>
  <si>
    <t>7.3.1 Gestor de Solicitudes y Registro</t>
  </si>
  <si>
    <t>Registra las solicitudes salientes para soportar el seguimiento de estado, la reproducción y la prevención de duplicados.</t>
  </si>
  <si>
    <t>Captura y almacenamiento duradero de las solicitudes pendientes con todos los datos necesarios para su ejecución posterior.</t>
  </si>
  <si>
    <t>Enlace a las claves folio e idempotencia.</t>
  </si>
  <si>
    <t>7.3.2 Procesador de Solicitudes y Reglas de Reintento</t>
  </si>
  <si>
    <t>Aplica las reglas de reintento de forma consistente en lugar de dejar los intentos a operaciones manuales o a cada canal.</t>
  </si>
  <si>
    <t>Decisión basada en reglas sobre cuándo y con qué frecuencia reintentar, usando señales de prioridad, ciclo y disponibilidad del sistema.</t>
  </si>
  <si>
    <t>Define límites de reintentos, reparación manual y letra muerta.</t>
  </si>
  <si>
    <t>7.3.3 Enrutador de Solicitudes y Reenvío</t>
  </si>
  <si>
    <t>Reenvío de cada solicitud almacenada al servicio empresarial correcto en el momento de la ejecución.</t>
  </si>
  <si>
    <t>Es necesario si se usa el almacenamiento y reenvío para algo más que maquila o notificaciones.</t>
  </si>
  <si>
    <t>7.3.4 Consola de Almacenar y Reenviar</t>
  </si>
  <si>
    <t>Permite que los equipos de soporte inspeccionen y reprocesen solicitudes en cola/fallidas con controles.</t>
  </si>
  <si>
    <t>Monitorización operativa y administración de solicitudes almacenadas pendientes y fallidas.</t>
  </si>
  <si>
    <t>No se evidencia la propiedad operativa de consolas.</t>
  </si>
  <si>
    <t>7.4 Transactional Administración de Servicios (Administración en línea)</t>
  </si>
  <si>
    <t>Permite la administración en tiempo de ejecución del comportamiento transaccional de servicios, reglas y sobreescrituras operativas.</t>
  </si>
  <si>
    <t>Administración en tiempo de ejecución del comportamiento transaccional: qué servicios son atómicos, cuáles son elegibles para almacenar y reenviar, cuáles requieren aprobaciones y las sobreescrituras operativas disponibles para las funciones de control.</t>
  </si>
  <si>
    <t>Define el flujo de trabajo de aprobación para los cambios de parámetros.</t>
  </si>
  <si>
    <t>7.4.1 Configuración del comportamiento del servicio</t>
  </si>
  <si>
    <t>Controla el comportamiento del servicio como los umbrales límite, los términos de la campaña, el comportamiento de reintentos y la disponibilidad de canales.</t>
  </si>
  <si>
    <t>Registro de atomicidad, elegibilidad para reintentos y requisitos de control por tipo de servicio.</t>
  </si>
  <si>
    <t>Se requiere inventario de parámetros y sistema de registro.</t>
  </si>
  <si>
    <t>7.4.2 Anulaciones y controles operativos</t>
  </si>
  <si>
    <t>Permite una intervención operativa controlada en casos excepcionales sin cambios informales en bases de datos o sistemas.</t>
  </si>
  <si>
    <t>Administró controles de anulación, suspensión y límite sobre el procesamiento transaccional.</t>
  </si>
  <si>
    <t>Debe estar regulado por RBAC y auditoría.</t>
  </si>
  <si>
    <t>12.1 Mensajería de eventos</t>
  </si>
  <si>
    <t>Distribuye el estado, la creación, la notificación y los eventos financieros a los sistemas interesados en lugar de forzar el acoplamiento síncrono.</t>
  </si>
  <si>
    <t>ICAT03 además de eventos implícitos de estado de tarjeta, contabilidad, notificaciones y invalidación de caché</t>
  </si>
  <si>
    <t>Publicar y suscribirse a mensajes entre componentes, incluyendo la administración de temas y colas, y el puente entre las múltiples tecnologías de mensajería que normalmente existen en un banco.</t>
  </si>
  <si>
    <t>El inventario actual de integración contiene solo un registro explícito de evento.</t>
  </si>
  <si>
    <t>12.1.1 Publicar / Suscribirse Mensajería</t>
  </si>
  <si>
    <t>Publica eventos de activación/bloqueo/desbloqueo/cancelación de tarjetas y creación de clientes/tarjetas para actualizar canales y sistemas de soporte.</t>
  </si>
  <si>
    <t>ICAT03 además de eventos implícitos de estado a través del canal</t>
  </si>
  <si>
    <t>Distribución asíncrona de mensajes de los productores a múltiples consumidores independientes.</t>
  </si>
  <si>
    <t>Define a los productores de eventos y a los consumidores.</t>
  </si>
  <si>
    <t>12.1.2 Administración de temas y suscripciones</t>
  </si>
  <si>
    <t>No explícito en el inventario de integración</t>
  </si>
  <si>
    <t>Creación, configuración, control de acceso y política de retención de temas y suscripciones.</t>
  </si>
  <si>
    <t>Depende de las herramientas y la gobernanza seleccionadas para eventos.</t>
  </si>
  <si>
    <t>12.2 Retransmisión de eventos</t>
  </si>
  <si>
    <t>Datos canónicos de clientes, cuentas, líneas de crédito, tarjeta física/digital, transacciones, comisiones, parcelas y planes diferidos a través de canales y sistemas R4. y análisis operativo.</t>
  </si>
  <si>
    <t>Puede soportar la transmisión de transacciones/estados para visualizaciones operativas y análisis casi en tiempo real.</t>
  </si>
  <si>
    <t>No explícito excepto las plataformas de eventos candidatos en jerarquía</t>
  </si>
  <si>
    <t>Flujos de eventos de alto rendimiento, duraderos y reproducibles con retención, partición y procesamiento continuo de flujos, incluyendo procesamiento complejo de eventos a lo largo de múltiples flujos.</t>
  </si>
  <si>
    <t>Evalúa la necesidad en función del rendimiento/latencia y los requisitos de reporte.</t>
  </si>
  <si>
    <t>12.3 Entrega Garantizada</t>
  </si>
  <si>
    <t>Garantiza que los eventos críticos de R4 se entreguen una vez o se rejueguen de forma segura, evitando pérdidas de estado/contabilidad/notificaciones a clientes.</t>
  </si>
  <si>
    <t>Mecanismos de garantía de entrega —acuse de reconocimiento, control de idempotencia, reentrega y gestión de cartas muertas— que hacen que la integración asincrónica sea segura para eventos financieros.</t>
  </si>
  <si>
    <t>Define la semántica de entrega garantizada para flujos eventados.</t>
  </si>
  <si>
    <t>12.3.1 Semántica de Entrega y Control de Idempotencia</t>
  </si>
  <si>
    <t>La idempotencia previene cambios de estado de tarjetas duplicados, notificaciones duplicadas, creación de planes duplicados y procesamiento de archivos duplicados.</t>
  </si>
  <si>
    <t>Aplicación de la entrega al menos una o efectivamente una vez con supresión de duplicados del lado del consumidor.</t>
  </si>
  <si>
    <t>Las llaves de idempotencia deberían ser obligatorias.</t>
  </si>
  <si>
    <t>12.3.2 Gestión de Letras Muertas y Temas de Error</t>
  </si>
  <si>
    <t>La gestión de cartas muertas permite reparar cuando un evento no puede ser consumido o procesado.</t>
  </si>
  <si>
    <t>Aislamiento, inspección y reprocesamiento controlado de mensajes no entregables o fallidos.</t>
  </si>
  <si>
    <t>Define DLQ propiedad y el manual operativo.</t>
  </si>
  <si>
    <t>12.3.3 Informes de Garantía de Entrega</t>
  </si>
  <si>
    <t>Informa el éxito o fracaso de entrega para que las operaciones puedan demostrar que se consumieron notificaciones/estado/eventos contables.</t>
  </si>
  <si>
    <t>Evidencia de la exhaustividad de publicación y consumo para fines de control y reconciliación.</t>
  </si>
  <si>
    <t>Necesario para hipercuidado y auditoría.</t>
  </si>
  <si>
    <t>12.4 Registro de Eventos y Gobernanza de Contratos</t>
  </si>
  <si>
    <t>Los contratos de eventos regulados mantienen a los consumidores estables a medida que R4 evoluciona a R4.5/R5.</t>
  </si>
  <si>
    <t>Catálogo autorizado de definiciones de eventos y esquemas canónicos, con versionado, reglas de compatibilidad y registro de consumidores.</t>
  </si>
  <si>
    <t>Crea un catálogo de eventos acotado en R4.</t>
  </si>
  <si>
    <t>12.4.1 Definiciones de eventos y esquemas canónicos</t>
  </si>
  <si>
    <t>Datos canónicos de clientes, cuentas, líneas de crédito, tarjeta física/digital, transacciones, comisiones, parcelas y planes diferidos a través de canales y sistemas R4.</t>
  </si>
  <si>
    <t>Define esquemas canónicos para el estado de la tarjeta, la creación de clientes/tarjetas, el plan diferido y eventos de contabilidad/pago.</t>
  </si>
  <si>
    <t>IAPP01, ICAT01-04/07, ISV03-07 más fuentes de datos canónicas implícitas</t>
  </si>
  <si>
    <t>Los esquemas deben alinearse con el modelo de datos canónico.</t>
  </si>
  <si>
    <t>12.4.2 Versionado de esquemas y control de compatibilidad</t>
  </si>
  <si>
    <t>Mantiene la compatibilidad cuando las definiciones de eventos cambian entre versiones.</t>
  </si>
  <si>
    <t>Reglas de compatibilidad impuestas y evolución controlada de los esquemas de eventos.</t>
  </si>
  <si>
    <t>Es necesario si varias versiones se ejecutan en paralelo.</t>
  </si>
  <si>
    <t>12.4.3 Catálogo de Eventos y Registro de Consumidores</t>
  </si>
  <si>
    <t>Registra a los consumidores de eventos para que el impacto de los cambios y fallos pueda ser gestionado.</t>
  </si>
  <si>
    <t>Inventario descubrible de eventos con consumidores registrados y la visibilidad de dependencias.</t>
  </si>
  <si>
    <t>Lista de consumidores del evento no está documentada.</t>
  </si>
  <si>
    <t>12.6 Monitorización de Eventos</t>
  </si>
  <si>
    <t>Monitoriza los flujos de eventos y la salud del consumidor para detectar actualizaciones intercanales retrasadas o fallidas.</t>
  </si>
  <si>
    <t>Implícito por el estado transcanal y los eventos contables</t>
  </si>
  <si>
    <t>Monitorización operativa de la columna vertebral de eventos - rendimiento, retraso del consumidor, tasas de error, violaciones del esquema - y trazabilidad de eventos individuales para auditoría e investigación.</t>
  </si>
  <si>
    <t>Define los KPIs de eventos y las alertas.</t>
  </si>
  <si>
    <t>12.6.2 Auditoría y Trazabilidad de Eventos</t>
  </si>
  <si>
    <t>Proporciona trazabilidad de auditoría para cambios imprevistos en tarjetas, clientes, pagos y documentos.</t>
  </si>
  <si>
    <t>Implícito por las necesidades de auditoría y soporte</t>
  </si>
  <si>
    <t>Rastreo correlacionado de eventos individuales entre productores, corredores y consumidores.</t>
  </si>
  <si>
    <t>La auditoría de eventos debería estar vinculada a correlación y identificaciones de folio.</t>
  </si>
  <si>
    <t>6.1 Gestión de Datos Omnicanal</t>
  </si>
  <si>
    <t>Proporciona una visión omnicanal consistente de los datos de clientes, productos, tarjetas y transacciones durante la coexistencia.</t>
  </si>
  <si>
    <t>6.0 Componentes omnicanal y de caché</t>
  </si>
  <si>
    <t>Almacenamiento temporal y funcional de datos de interacción en curso, con servicios de acceso que permiten a cualquier canal leer y continuar un viaje iniciado en otro lugar.</t>
  </si>
  <si>
    <t>Define si esto es API-composed, caché o almacenado.</t>
  </si>
  <si>
    <t>6.1.1 Almacenamiento de Datos Omnicanal</t>
  </si>
  <si>
    <t>Almacena o materializa la vista operativa que necesitan los canales sin que cada canal se integre por separado.</t>
  </si>
  <si>
    <t>Almacenamiento duradero y funcional para interacciones parcialmente completas y estado de viaje a través de canales.</t>
  </si>
  <si>
    <t>Puede satisfacerse mediante APIs compuestas si se cumplen la latencia y la disponibilidad.</t>
  </si>
  <si>
    <t>6.1.2 Servicios de acceso a datos omnicanal</t>
  </si>
  <si>
    <t>Expone servicios de acceso a datos consistentes para consultas de hogar/detalle, consultas de producto/estado y consultas de balance/movimiento.</t>
  </si>
  <si>
    <t>Servicios estándar a través de los cuales los canales leen, actualizan y completan los datos almacenados del trayecto.</t>
  </si>
  <si>
    <t>Permite que el recorrido del cliente se reanude entre canales o tras interrupciones sin necesidad de retrabajo.</t>
  </si>
  <si>
    <t>Recuperación y prepoblación de datos previamente capturados cuando un cliente reanuda en el mismo canal o en otro diferente.</t>
  </si>
  <si>
    <t>Se aplica si R4 permite la continuación entre canales más allá de la incorporación básica.</t>
  </si>
  <si>
    <t>6.2.2 Invalidación de caché y control de actualización</t>
  </si>
  <si>
    <t>Invalida las visualizaciones en caché de los canales tras la activación, bloqueo, desbloqueo, cancelación, saldo o cambios de pago diferido.</t>
  </si>
  <si>
    <t>Invalidación impulsada por políticas y eventos y actualización a la estancación atada.</t>
  </si>
  <si>
    <t>Define reglas de actualización y tolerancia a datos obsoletos.</t>
  </si>
  <si>
    <t>6.3 Gestión y replicación de sesiones</t>
  </si>
  <si>
    <t>Mantiene el estado de sesión para OTP/onboarding y CAT autenticación dentro de la misma llamada.</t>
  </si>
  <si>
    <t>Almacenamiento en caché y replicación del estado de la sesión entre instancias, zonas de disponibilidad y dominios para que las sesiones de canal sobrevivan a fallos y crucen límites de dominio.</t>
  </si>
  <si>
    <t>Confirma la propiedad de la sesión por canal y capa de integración.</t>
  </si>
  <si>
    <t>Almacena en caché datos de sesión/autenticación para evitar la autenticación repetida dentro de la misma llamada o flujo.</t>
  </si>
  <si>
    <t>Almacenamiento rápido y recuperación del contexto de sesión para interacciones autenticadas.</t>
  </si>
  <si>
    <t>Define TTL y controles de seguridad.</t>
  </si>
  <si>
    <t>Replicación del estado de sesión entre dominios e instancias, normalmente en una caché distribuida.</t>
  </si>
  <si>
    <t>El alcance depende del diseño CAT proveedor.</t>
  </si>
  <si>
    <t>6.4.2 Servicio de lectura con baja latencia</t>
  </si>
  <si>
    <t>Servicio de vistas leídas a canales desde una memoria almacenada en caché o replicada en lugar del sistema de registro.</t>
  </si>
  <si>
    <t>Evalúa una vez completadas las NFR; Los volúmenes/tiempos de respuesta están en blanco en el inventario.</t>
  </si>
  <si>
    <t>6.4.3 Gestión de la Consistencia de Lectura</t>
  </si>
  <si>
    <t>Asegura que las lecturas tras la escritura muestren el estado correcto de la tarjeta, el saldo y los resultados de rechazo en saldo positivo.</t>
  </si>
  <si>
    <t>Límites explícitos de anticuación, disparadores de actualización e indicadores de consistencia para las vistas de lecturas servidas.</t>
  </si>
  <si>
    <t>Define los requisitos de consistencia por operación.</t>
  </si>
  <si>
    <t>11.1 Catálogo de datos y modelado</t>
  </si>
  <si>
    <t>Crea definiciones y propiedad de datos compartidos para las entidades R4.</t>
  </si>
  <si>
    <t>Descubrimiento, descripción, gobernanza y gestión de calidad de los activos de datos: catálogo e inventario, metadatos (pasivos, en tiempo de ejecución y activos), linaje, enriquecimiento semántico, perfilado y control de acceso y privacidad.</t>
  </si>
  <si>
    <t>Decisiones completas basadas en la fuente de la verdad.</t>
  </si>
  <si>
    <t>11.1.1 Catálogo de datos e inventario</t>
  </si>
  <si>
    <t>Los catálogos requerían activos de datos, propietarios y consumidores para R4.</t>
  </si>
  <si>
    <t>Inventario consultable de activos de datos, dominios, propietarios y definiciones en todo el patrimonio.</t>
  </si>
  <si>
    <t>Actualmente, el inventario se centra en interfaces, no en activos de datos.</t>
  </si>
  <si>
    <t>11.1.2 Gestión de metadatos</t>
  </si>
  <si>
    <t>Define metadatos para datos de clientes, cuentas, tarjetas, transacciones, comisiones, lotes y planes diferidos.</t>
  </si>
  <si>
    <t>Gestión de metadatos pasivos, en tiempo de ejecución y activos, incluyendo inferencia y recomendaciones automatizadas.</t>
  </si>
  <si>
    <t>Añade definiciones semánticas y propiedad a nivel de campo.</t>
  </si>
  <si>
    <t>11.1.3 Linaje de los datos</t>
  </si>
  <si>
    <t>Rastrea la línea de datos desde el origen hasta el canal, almacenamiento de documentos, contabilidad e informes.</t>
  </si>
  <si>
    <t>Trazabilidad de extremo a extremo del origen, transformación y rutas de consumo de los datos.</t>
  </si>
  <si>
    <t>Necesario para auditoría/conciliación; No es visible en el inventario actual.</t>
  </si>
  <si>
    <t>11.1.5 Perfilado y calidad de datos</t>
  </si>
  <si>
    <t>Perfilado automatizado, medición de calidad basada en reglas y flujo de trabajo de remediación.</t>
  </si>
  <si>
    <t>Define las puertas de calidad de datos y la gestión de rechazos.</t>
  </si>
  <si>
    <t>11.1.6 Gobernanza de Datos, Acceso y Privacidad</t>
  </si>
  <si>
    <t>Controla la privacidad/acceso para PII, tarjetas, KYC, documentos y datos de transacciones.</t>
  </si>
  <si>
    <t>Propiedad, clasificación, derecho, retención y controles de privacidad sobre los activos de datos.</t>
  </si>
  <si>
    <t>Debe cumplirse con PCI/KYC/security requisitos.</t>
  </si>
  <si>
    <t>11.2 Canalizaciones y Entrega de Datos</t>
  </si>
  <si>
    <t>Mueve datos a través de patrones por lotes, en tiempo real y casi en tiempo real requeridos por R4.</t>
  </si>
  <si>
    <t>Movimiento de datos entre fuentes, almacenes y consumidores con la latencia requerida: integración por lotes, integración de flujos, replicación y acceso virtualizado, desde sistemas heredados, archivos, lagos, almacenes en la nube y proveedores externos.</t>
  </si>
  <si>
    <t>Inventario completo de la canalización de datos.</t>
  </si>
  <si>
    <t>11.2.1 Integración de Datos por Lotes</t>
  </si>
  <si>
    <t>Soporta flujos de datos/archivos por lotes como maquila y extractos de reportes/conciliación.</t>
  </si>
  <si>
    <t>Extracción programada, transformación y carga de datos a nivel de archivo o conjunto.</t>
  </si>
  <si>
    <t>Define ventana por lotes, acuses de recibo y manejo de errores.</t>
  </si>
  <si>
    <t>11.2.2 Integración de Datos de Flujo</t>
  </si>
  <si>
    <t>Soporta propagación casi en tiempo real de actualizaciones de estado, transacciones y caché de canal.</t>
  </si>
  <si>
    <t>Los flujos de eventos son mayormente implícitos, no completamente inventariados</t>
  </si>
  <si>
    <t>Movimiento continuo y de baja latencia de datos desde fuentes operativas hacia consumidores.</t>
  </si>
  <si>
    <t>Confirma el diseño de encuestas de evento frente a API.</t>
  </si>
  <si>
    <t>11.2.3 Replicación de datos</t>
  </si>
  <si>
    <t>Replica o sincroniza los datos necesarios para las lecturas de canal, informes y operaciones durante la coexistencia.</t>
  </si>
  <si>
    <t>Mantenimiento de copias sincronizadas de datos fuente en almacenes objetivo.</t>
  </si>
  <si>
    <t>Define la novedad, la gestión de conflictos y la reconciliación.</t>
  </si>
  <si>
    <t>11.2.5 Orquestación y Monitorización de Pipelines</t>
  </si>
  <si>
    <t>Monitoriza las canalizaciones de datos para que las cargas perdidas o tardías no corrompan silenciosamente las vistas del canal o contables.</t>
  </si>
  <si>
    <t>Programación, gestión de dependencias y monitorización de canalizaciones de datos con gestión de fallos.</t>
  </si>
  <si>
    <t>Añade SLA de pipeline y alertas.</t>
  </si>
  <si>
    <t>11.3 Almacenamiento de Datos Operativo y Modelo Unificado de Datos</t>
  </si>
  <si>
    <t>Proporciona la visión operativa unificada necesaria para la coexistencia entre producto e instrumento entre núcleos.</t>
  </si>
  <si>
    <t>Un modelo de datos operativos estandarizado que ofrece una visión en tiempo real y multifuente de las principales entidades empresariales, consolidado entre núcleos heredados y de próxima generación y que sirve para los consumidores como capa de datos del banco.</t>
  </si>
  <si>
    <t>Puede ser ODS física o API-composed si se cumplen los NFR.</t>
  </si>
  <si>
    <t>11.3.1 Modelo de Datos Unificado / Canónico</t>
  </si>
  <si>
    <t>Define entidades canónicas y conjuntos de estado/valores usados por todos los canales R4.</t>
  </si>
  <si>
    <t>Modelo estandarizado de entidades y atributos que abarca los dominios del cliente, la cuenta, el producto y la transacción.</t>
  </si>
  <si>
    <t>El modelo canónico central es un requisito previo para congelar el diseño.</t>
  </si>
  <si>
    <t>11.3.2 Consolidación en tiempo real entre núcleos</t>
  </si>
  <si>
    <t>Ensamblaje de una vista actual de múltiples sistemas de registro concurrentes durante la coexistencia.</t>
  </si>
  <si>
    <t>Este es el núcleo del enrutamiento de coexistencia producto/instrumento.</t>
  </si>
  <si>
    <t>11.3.3 Motor de entrega de datos de múltiples velocidades</t>
  </si>
  <si>
    <t>Gestiona diferentes velocidades: servicio en tiempo real, lotes diarios/EOD, eventos asíncronos y fuentes de informes.</t>
  </si>
  <si>
    <t>Conciliación de datos que llegan a diferentes velocidades de pipelines por lotes y flujos de eventos en una sola vista servida.</t>
  </si>
  <si>
    <t>Las mezclas actuales de inventario API con Diaria/EOD; Aclarar la semántica.</t>
  </si>
  <si>
    <t>11.3.4 Servicio de Almacenamiento de Datos Operacional y Control de Acceso</t>
  </si>
  <si>
    <t>Proporciona datos operativos de forma segura con controles de acceso por canal y función.</t>
  </si>
  <si>
    <t>Servir el modelo consolidado a los consumidores con derecho y control de auditoría.</t>
  </si>
  <si>
    <t>Define las reglas de acceso y enmascaramiento.</t>
  </si>
  <si>
    <t>11.4.1 APIs de datos</t>
  </si>
  <si>
    <t>Expone datos canónicos a través de APIs a canales y operaciones.</t>
  </si>
  <si>
    <t>Acceso a productos de datos catalogados API por contrato.</t>
  </si>
  <si>
    <t>11.4.2 Fuentes de Análisis e Informes</t>
  </si>
  <si>
    <t>MCI/MSI y operaciones de compra diferida: campañas, elegibilidad/cálculo, creación de plan, pago anticipado, liquidación, cancelación y efectos contables. contabilidad, cumplimiento y informes de estado R4.</t>
  </si>
  <si>
    <t>Fuentes seleccionadas para consumidores de almacenes, casas de lago, inteligencia empresarial y informes regulatorios.</t>
  </si>
  <si>
    <t>3.1 Operaciones de Folio</t>
  </si>
  <si>
    <t>Crea folios/grupos de referencia empresariales para la incorporación, tarjetas/lotes, planes diferidos y reparaciones operativas.</t>
  </si>
  <si>
    <t>3.0 Operaciones</t>
  </si>
  <si>
    <t>Agrupación de las operaciones técnicas que conforman una única transacción empresarial bajo una única referencia empresarial, con la capacidad de recuperar, informar y actuar sobre ese grupo como una unidad.</t>
  </si>
  <si>
    <t>La jerarquía indica que no se evidencia ningún servicio dedicado en folio; Estandariza el patrón.</t>
  </si>
  <si>
    <t>3.1.1 Agrupación de Referencia Empresarial</t>
  </si>
  <si>
    <t>Agrupa transacciones técnicas relacionadas bajo una única referencia de cliente/negocio.</t>
  </si>
  <si>
    <t>Asociación de todas las operaciones técnicas pertenecientes a una sola transacción comercial bajo una única referencia.</t>
  </si>
  <si>
    <t>Asigna el folio a los IDs de integración/correlación.</t>
  </si>
  <si>
    <t>3.1.2 Consulta e Reporte en Folio</t>
  </si>
  <si>
    <t>Permite consultas/informes por folio empresarial para soporte, auditoría y hipercuidado.</t>
  </si>
  <si>
    <t>Recuperación e informe de operaciones agrupadas para soporte, control y consulta al cliente.</t>
  </si>
  <si>
    <t>Define quién puede buscar y reparar por folio.</t>
  </si>
  <si>
    <t>3.2 Gestión de banderas de características</t>
  </si>
  <si>
    <t>Controla el despliegue progresivo, la activación de canales y la reversión de capacidades arriesgadas de R4.</t>
  </si>
  <si>
    <t>Configuración en tiempo de ejecución de la disponibilidad de funcionalidades, permitiendo activar, dirigirse o retirar comportamientos por consumidor, entidad, canal o compartición de tráfico sin necesidad de reimplementación.</t>
  </si>
  <si>
    <t>Las banderas de funcionalidad se mencionan como una práctica de innovación en el canal, pero no se menciona ninguna herramienta; el rollback de despliegue utiliza los pipelines/Helm y controles de rollback de plataforma de DevSecOps.</t>
  </si>
  <si>
    <t>La jerarquía indica que no se evidencia ninguna herramienta de bandera de características con nombre.</t>
  </si>
  <si>
    <t>3.2.1 Configuración de alternancia de funciones</t>
  </si>
  <si>
    <t>Activa o desactiva las funciones de R4 por canal/producto/cohorte sin que se libere código.</t>
  </si>
  <si>
    <t>Definición y administración de banderas con reglas de selección y auditoría de cambios.</t>
  </si>
  <si>
    <t>3.2.2 Exposición progresiva y control de retroceso</t>
  </si>
  <si>
    <t>Participación en tráfico y exposición basada en cohortes con capacidad de retirada inmediata.</t>
  </si>
  <si>
    <t>Necesario para reducir el radio de la explosión de puesta en activación.</t>
  </si>
  <si>
    <t>3.3 Servicios de UUID y Correlación Distribuidos</t>
  </si>
  <si>
    <t>Proporciona IDs únicos y correlación entre APIs, archivos, eventos y registros.</t>
  </si>
  <si>
    <t>Generación de identificadores únicos libres de colisiones entre componentes distribuidos y propagación consistente de identificadores de correlación a través de caminos síncronos y asíncronos.</t>
  </si>
  <si>
    <t>Fundamental para el diagnóstico de incidentes y la integridad de las transacciones.</t>
  </si>
  <si>
    <t>Genera identificadores únicos para transacciones comerciales, archivos y planes para evitar duplicados.</t>
  </si>
  <si>
    <t>Generación distribuida y libre de colisiones, independiente de una secuencia central.</t>
  </si>
  <si>
    <t>Creación y reenvío consistente de identificadores de correlación en todos los saltos y protocolos.</t>
  </si>
  <si>
    <t>3.4 Consolas de Administración de Plataforma</t>
  </si>
  <si>
    <t>Proporciona consolas de administración para el registro de servicio, configuración en tiempo de ejecución y soporte operativo.</t>
  </si>
  <si>
    <t>Interfaces administrativas para la capa de interoperabilidad: administración del registro de servicios, configuración en tiempo de ejecución y control operativo de componentes compartidos.</t>
  </si>
  <si>
    <t>Puede dividirse entre herramientas; necesita un modelo operativo.</t>
  </si>
  <si>
    <t>3.4.1 Administración del Registro de Servicios</t>
  </si>
  <si>
    <t>Administra los registros de servicio/catálogo/parámetros que R4 utiliza en tiempo de ejecución.</t>
  </si>
  <si>
    <t>Administración de servicios registrados, sus metadatos, normas y características operativas.</t>
  </si>
  <si>
    <t>Define el propietario del registro y el flujo de trabajo de aprobación.</t>
  </si>
  <si>
    <t>3.4.2 Administración de configuración en tiempo de ejecución</t>
  </si>
  <si>
    <t>Permite actualizaciones controladas de parámetros en tiempo de ejecución sin cambios no regulados del sistema.</t>
  </si>
  <si>
    <t>Administración controlada de los parámetros de ejecución con auditoría y aprobación de cambios.</t>
  </si>
  <si>
    <t>Audita cada cambio de configuración en tiempo de ejecución.</t>
  </si>
  <si>
    <t>10.1 Servicios al Cliente y a las Fiestas</t>
  </si>
  <si>
    <t>Ofrece servicios compartidos para clientes y partes a través de los canales de incorporación y servicio.</t>
  </si>
  <si>
    <t>Servicios compartidos que proporcionan datos maestros de clientes y partes, relaciones y atributos derivados a todos los dominios y canales de producto.</t>
  </si>
  <si>
    <t>Confirma la fuente de verdad del cliente y la propiedad del teléfono.</t>
  </si>
  <si>
    <t>10.1.1 Servicios de Datos para Clientes</t>
  </si>
  <si>
    <t>Permite la búsqueda del cliente, resolución de identidad, validación telefónica y visualización de la relación cliente-producto.</t>
  </si>
  <si>
    <t>Acceso autorizado a los datos maestros del cliente, identificadores y atributos como servicio compartido.</t>
  </si>
  <si>
    <t>10.1.2 Servicios de Relaciones con las Partes</t>
  </si>
  <si>
    <t>Se encarga de solicitantes, familiares/funcionarios públicos, referencias y relaciones producto/instrumento.</t>
  </si>
  <si>
    <t>Gestión de las relaciones entre partes, cuentas, mandatos y representantes autorizados.</t>
  </si>
  <si>
    <t>Define el modelo de relaciones y la evidencia capturada.</t>
  </si>
  <si>
    <t>10.2 Productos y Servicios de Precios</t>
  </si>
  <si>
    <t>Proporciona definiciones compartidas de producto, características y precios para el producto 4900 y capacidades TDC relacionadas.</t>
  </si>
  <si>
    <t>Catálogo compartido de productos, términos, requisitos y servicios de cálculo de tarifas y precios utilizables por cualquier procesador o canal de productos.</t>
  </si>
  <si>
    <t>Define catálogo de producto y propietario de parámetros.</t>
  </si>
  <si>
    <t>10.2.1 Servicios de catálogo de productos</t>
  </si>
  <si>
    <t>Identifica de forma consistente el producto 4900, instrumentos físicos/digitales y productos legados/migrados.</t>
  </si>
  <si>
    <t>Definición central de productos, variantes, términos y elegibilidad consumidos por los procesadores y canales.</t>
  </si>
  <si>
    <t>Necesario para la localización de productos y el enrutamiento de coexistencia.</t>
  </si>
  <si>
    <t>10.2.2 Servicios de Tarifas y Precios</t>
  </si>
  <si>
    <t>Proporciona tasas, CAT, comisiones, tarifas y términos de campaña a través de oferta, visualización de canal y cálculo de planes diferidos.</t>
  </si>
  <si>
    <t>Cálculo centralizado y aplicación de tasas, cargos, tarifas y descuentos.</t>
  </si>
  <si>
    <t>Asegúrate de que los nombres y precios de las comisiones reguladoras sean coherentes.</t>
  </si>
  <si>
    <t>10.3 Servicios de Límites y Riesgos</t>
  </si>
  <si>
    <t>Proporciona capacidades reutilizables de límite/riesgo para elegibilidad, autorización y controles.</t>
  </si>
  <si>
    <t>Definición de límite compartido, control de cuentas y seguimiento de consumo, y servicios de evaluación de riesgos y crédito que se pueden llamar desde cualquier viaje.</t>
  </si>
  <si>
    <t>Aclarar la auditoría del propietario de la norma y la de decisiones.</t>
  </si>
  <si>
    <t>10.3.1 Servicios de Gestión de Límites</t>
  </si>
  <si>
    <t>Controla la disponibilidad de líneas de crédito, los límites de saldo positivo y la aceptación/rechazo de pagos entre canales.</t>
  </si>
  <si>
    <t>Definición, comprobación en tiempo real y seguimiento del consumo de límites de clientes, productos y contrapartes.</t>
  </si>
  <si>
    <t>Los registros de integración de saldo positivo están incompletos.</t>
  </si>
  <si>
    <t>10.3.2 Servicios de Puntuación de Riesgo</t>
  </si>
  <si>
    <t>Apoya PLD/PEP/blacklist, normas de crédito/fraude y decisiones de autorización.</t>
  </si>
  <si>
    <t>Servicios compartidos de puntuación y toma de decisiones invocados en los flujos de originación, mantenimiento y monitorización.</t>
  </si>
  <si>
    <t>Cataloga todas las llamadas de riesgo/coincidencia de nombre/autorización del servicio.</t>
  </si>
  <si>
    <t>10.4 Servicios financieros y contables</t>
  </si>
  <si>
    <t>Ofrece servicios financieros relacionados con pagos, contabilidad de libros mayores, reversiones y conciliación.</t>
  </si>
  <si>
    <t>Generación de eventos contables compartidos y publicación de libros mayores, conversión de divisas y servicios de ejecución de pagos utilizados entre dominios de producto.</t>
  </si>
  <si>
    <t>El diseño contable es una dependencia de Go-Live.</t>
  </si>
  <si>
    <t>10.4.1 Servicios de Contabilidad y Publicación de Libros Mayores</t>
  </si>
  <si>
    <t>Publica y concilia los abonamientos contables de MCI/MSI, pagos anticipados, liquidación y cancelación.</t>
  </si>
  <si>
    <t>Generación y publicación de eventos contables desde transacciones comerciales hasta el libro mayor.</t>
  </si>
  <si>
    <t>Define códigos contables, eventos, reversiones y conciliación.</t>
  </si>
  <si>
    <t>10.4.3 Servicios de Pagos</t>
  </si>
  <si>
    <t>Ejecuta y valida pagos, rechazo/devolución de saldo positivo, pagos anticipados y liquidación.</t>
  </si>
  <si>
    <t>Servicios compartidos de iniciación, validación, enrutamiento y estado de pagos entre productos y canales.</t>
  </si>
  <si>
    <t>Debe completarse el inventario de integración del canal de pago.</t>
  </si>
  <si>
    <t>10.5 Servicios de Documentos y Contenidos</t>
  </si>
  <si>
    <t>Proporciona generación, almacenamiento y recuperación compartida de documentos para pruebas legales o de clientes.</t>
  </si>
  <si>
    <t>Servicios compartidos de generación, captura, almacenamiento, recuperación y retención de documentos que apoyan la documentación del cliente y regulatoria en todos los productos.</t>
  </si>
  <si>
    <t>Las versiones de los documentos deben alinearse entre visualización, firma, almacenamiento y correo electrónico.</t>
  </si>
  <si>
    <t>10.5.1 Generación y composición de documentos</t>
  </si>
  <si>
    <t>Genera los documentos legales correctos, el paquete de portada/contrato y el kit de bienvenida para el cliente.</t>
  </si>
  <si>
    <t>Generación basada en plantillas de documentos para clientes y regulatorios a partir de eventos empresariales.</t>
  </si>
  <si>
    <t>Define las plantillas de documentos y el control de versiones.</t>
  </si>
  <si>
    <t>10.5.2 Captura, almacenamiento y recuperación de documentos</t>
  </si>
  <si>
    <t>Almacena contratos, visualización de pruebas, metadatos de firma y registros de archivos digitales para auditoría y servicio.</t>
  </si>
  <si>
    <t>Capturar, indexar, almacenar y recuperar documentos de forma segura con política de retención.</t>
  </si>
  <si>
    <t>10.6 Control y Servicios de Confianza</t>
  </si>
  <si>
    <t>Proporciona controles de aprobación, firma y verificación para operaciones sensibles.</t>
  </si>
  <si>
    <t>Servicios de control compartido aplicados a lo largo de los recorridos empresariales: aprobaciones y jerarquías de autorización, y HSM-backed firma y verificación de instrucciones empresariales.</t>
  </si>
  <si>
    <t>Asigna los eventos de aprobación/firma a auditoría y folio.</t>
  </si>
  <si>
    <t>10.6.1 Servicios de Aprobaciones</t>
  </si>
  <si>
    <t>Soporta aprobaciones controladas para acciones de gerentes/supervisores, operaciones manuales y excepciones.</t>
  </si>
  <si>
    <t>Intercepción de la ejecución del servicio para aprobación, evaluación de roles y autorización basada en reglas, y finalización o rechazo.</t>
  </si>
  <si>
    <t>Las historias R4 implican pero no especifican completamente el servicio de aprobación.</t>
  </si>
  <si>
    <t>10.6.2 Servicios de Firma y Verificación</t>
  </si>
  <si>
    <t>Captura/verifica la firma y vincula la versión firmada con la versión almacenada y la entrega del kit de bienvenida.</t>
  </si>
  <si>
    <t>HSM-backed la firma y verificación de instrucciones y documentos empresariales como un servicio compartido.</t>
  </si>
  <si>
    <t>Define el estado de la firma, el manejo de reintentos y cancelaciones.</t>
  </si>
  <si>
    <t>5.1 API Gateway y Mediación en tiempo de ejecución</t>
  </si>
  <si>
    <t>5.1.1 Enrutamiento</t>
  </si>
  <si>
    <t>Resolución de un contrato lógico de API a uno o más extremos físicos de servicio, incluyendo enrutamiento basado en host, versiones y entorno.</t>
  </si>
  <si>
    <t>Crea reglas explícitas de enrutamiento y la propiedad.</t>
  </si>
  <si>
    <t>5.1.2 Mediación y Transformación del Mensaje</t>
  </si>
  <si>
    <t>Adaptación de protocolos y cargas útiles en el edge (REST, SOAP, gRPC, protocolos legados), incluyendo manipulación de cabeceras y mapeo canónico-nativo.</t>
  </si>
  <si>
    <t>Alinearse con la 6.2.1 y el modelo canónico.</t>
  </si>
  <si>
    <t>5.1.5 Gestión de errores y normalización de fallos</t>
  </si>
  <si>
    <t>Normaliza errores y mensajes de rechazo empresarial, especialmente los resultados de saldo positivo, autenticación y estado de la tarjeta.</t>
  </si>
  <si>
    <t>Taxonomía de errores estandarizada, mapeo de fallos y códigos de respuesta a través de backends heterogéneos.</t>
  </si>
  <si>
    <t>Crear una taxonomía de error común.</t>
  </si>
  <si>
    <t>5.2.2 API Versionado</t>
  </si>
  <si>
    <t>La versionización permite que los cambios de canal/back-end en R4, R4.5 y R5 coexistan de forma segura.</t>
  </si>
  <si>
    <t>Soporte simultáneo de múltiples versiones de contrato con reglas definidas de compatibilidad y deprecación.</t>
  </si>
  <si>
    <t>Define las reglas de compatibilidad y de desuecia.</t>
  </si>
  <si>
    <t>5.3.2 API Monitorización, Analítica y Monetización</t>
  </si>
  <si>
    <t>Monitoriza API uso, errores y latencia por trayecto/canal R4.</t>
  </si>
  <si>
    <t>Métricas de consumo, latencia y análisis de errores por API y por consumidor, con la base de medición para contracargos internos o monetización de socios.</t>
  </si>
  <si>
    <t>El inventario actual de integración carece de tiempos de respuesta ni volúmenes.</t>
  </si>
  <si>
    <t>4.0 Servicios de Pasarela</t>
  </si>
  <si>
    <t>Generación, cifrado, programación y transmisión gestionadas de archivos salientes, sustituyendo a los arreglos de SFTP no gestionados.</t>
  </si>
  <si>
    <t>Define acuses de recibo de archivos, sumas de comprobación, reprocesamiento y rotación de claves.</t>
  </si>
  <si>
    <t>Segmentación de red, modelo de exposición DMZ, terminación de seguridad del transporte y gestión de conectividad que sustentan todas las modalidades de gateway.</t>
  </si>
  <si>
    <t>Valida la conectividad UAT/pre-prod/prod y la preparación del cortafuegos.</t>
  </si>
  <si>
    <t>1.1 Gestión de Identidad y Acceso</t>
  </si>
  <si>
    <t>Autentica y autoriza a clientes, agentes, aplicaciones e integraciones de sistemas.</t>
  </si>
  <si>
    <t>Servicios de autenticación, autorización, token y sesión para clientes, empleados, socios e identidades de máquinas que consumen la capa de interoperabilidad.</t>
  </si>
  <si>
    <t>Confirma patrones OAuth/mTLS/RBAC por canal y API.</t>
  </si>
  <si>
    <t>1.2 Servicios Cripto</t>
  </si>
  <si>
    <t>Protege datos sensibles mediante operaciones de cifrado/firma en APIs, archivos y almacenes.</t>
  </si>
  <si>
    <t>Operaciones criptográficas compartidas —firma, cifrado, protección de carga útil de extremo a extremo— se entregaban como servicios llamables respaldados por módulos de seguridad de hardware y almacenes de claves gestionados.</t>
  </si>
  <si>
    <t>AES-256 cifrado; TLS/SSL; HSM gestión de claves; Oráculo TDE; Istio mTLS; Incode/NOM-151 firma para los contratos de incorporación.</t>
  </si>
  <si>
    <t>Valida HSM/PGP/PAN controles de enmascaramiento.</t>
  </si>
  <si>
    <t>1.3 Gestión de Certificados y Secretos</t>
  </si>
  <si>
    <t>Gestiona certificados, claves y secretos para APIs, transferencia de archivos e integraciones de plataformas.</t>
  </si>
  <si>
    <t>Emisión, distribución, rotación, revocación y auditoría de certificados y secretos de aplicaciones consumidos por servicios, gateways y pipelines.</t>
  </si>
  <si>
    <t>Gestión completa del ciclo de vida de certificados/llaves y secretos.</t>
  </si>
  <si>
    <t>Protege las APIs y las cargas útiles contra tráfico malformado o hostil.</t>
  </si>
  <si>
    <t>Detección y mitigación de tráfico hostil y técnicas de ataque en tiempo de ejecución en el perímetro, en la capa API y dentro del contenedor y plataformas de streaming.</t>
  </si>
  <si>
    <t>Incluye validación de esquemas, limitación y protección de carga útil.</t>
  </si>
  <si>
    <t>Proporciona señales de monitorización de seguridad y respuesta a incidentes para operaciones R4.</t>
  </si>
  <si>
    <t>Telemetría, correlación, alertas, paneles de control y respuesta automatizada específicos de seguridad se basan en la columna vertebral de observabilidad compartida.</t>
  </si>
  <si>
    <t>Alinea las alertas de seguridad con los IDs de correlación empresarial.</t>
  </si>
  <si>
    <t>2.1 Monitorización</t>
  </si>
  <si>
    <t>Monitoriza la disponibilidad y el estado de los servicios, canales, interfaces y trabajos por lotes de R4.</t>
  </si>
  <si>
    <t>Recogida y evaluación continua del estado y disponibilidad de componentes, interfaces y dependencias de la plataforma, con alertas basadas en umbrales y anomalías.</t>
  </si>
  <si>
    <t>Define los SLI técnicos para cada interfaz.</t>
  </si>
  <si>
    <t>2.2.3 Registro de auditoría</t>
  </si>
  <si>
    <t>Proporciona registro de auditoría para cambios de clientes/tarjetas/documentos/pago/estado.</t>
  </si>
  <si>
    <t>Registro inmutable de eventos relevantes para la seguridad y para el negocio con retención definida.</t>
  </si>
  <si>
    <t>Los registros deben evitar datos sensibles de la tarjeta e incluir identificadores de correlación.</t>
  </si>
  <si>
    <t>Propagación y reconstrucción del camino completo de ejecución de una solicitud a través de servicios, plataformas, protocolos y saltos asincrónicos, basándose en un identificador de correlación propagado de forma consistente.</t>
  </si>
  <si>
    <t>El rastreo distribuido es esencial para el diagnóstico de incidentes.</t>
  </si>
  <si>
    <t>2.5.2 Paneles de control empresariales</t>
  </si>
  <si>
    <t>Proporciona paneles de control empresariales para rechazos de saldo positivo, cambios en el estado de la tarjeta fallida, estado de maquila y excepciones por pagos diferidos.</t>
  </si>
  <si>
    <t>Vistas a nivel de negocio y de trayectos sobre volumen, tasa de éxito y flujo de valor.</t>
  </si>
  <si>
    <t>Define los propietarios y umbrales del panel de control.</t>
  </si>
  <si>
    <t>13.3 Automatización de la configuración de la plataforma</t>
  </si>
  <si>
    <t>Garantiza que los entornos, la configuración y la configuración de la plataforma sean consistentes para la prueba y producción de R4.</t>
  </si>
  <si>
    <t>Provisión y configuración declarativa y automatizada de componentes y entornos de plataforma, incluyendo servicios centralizados de configuración de aplicaciones.</t>
  </si>
  <si>
    <t>Terraform + Packer + GitHub; módulos IaC; Homologación de Ambientes; posibles patrones Ansible/CloudFormation; Vault/Secrets para seguridad de configuración.</t>
  </si>
  <si>
    <t>UAT/pre-prod preparación depende de la certificación E2E.</t>
  </si>
  <si>
    <t>Soporta despliegue controlado, promoción, retroceso y certificación de liberación para cambios en R4.</t>
  </si>
  <si>
    <t>Mecánicas automatizadas de compilación, prueba y lanzamiento para componentes de interoperabilidad, incluyendo técnicas de despliegue controlado y pruebas de regresión automatizadas.</t>
  </si>
  <si>
    <t>DevSecOps CI/CD pipelines; GitLab CI o Jenkins bajo decisión; Cartas de timón; pruebas automatizadas; Prácticas de despliegue azul-verde/canario.</t>
  </si>
  <si>
    <t>Alineaos con CI/CD y las puertas de liberación.</t>
  </si>
  <si>
    <t>Proporciona resiliencia, conmutación por falla y capacidades de recuperación para los viajes de producción R4.</t>
  </si>
  <si>
    <t>Ingeniería y validación de la capacidad de la capa para resistir y recuperarse de fallos en componentes, incluyendo inyección deliberada de fallos, diseño de alta disponibilidad y servicios de recuperación.</t>
  </si>
  <si>
    <t>Confirma el patrón del orquestador/fachada y el propietario por trayecto.</t>
  </si>
  <si>
    <t>Flujo de trabajo de incorporación de larga duración, maquila, sucursales y atención al cliente con gestión de excepciones y persistencia de estado.</t>
  </si>
  <si>
    <t>Consolidar las colas de trabajo en estado de proceso y operativas.</t>
  </si>
  <si>
    <t>Define el diseño de compensación, idempotencia, reversión y conciliación.</t>
  </si>
  <si>
    <t>Estado, creación de clientes/tarjetas, notificaciones, invalidación de caché y eventos contables entre canales.</t>
  </si>
  <si>
    <t>Crea un catálogo de eventos R4 acotado y controles de entrega garantizada.</t>
  </si>
  <si>
    <t>Fuentes cercanas de verdad, linaje y decisiones de calidad de datos.</t>
  </si>
  <si>
    <t>P0 = obligatorio para la certificación R4 de puesta en marcha / E2E; P1 = necesario para R4 controlado o confirmación de diseño necesaria; P2 = evaluar para R4,5 / no un bloqueador estricto de R4.</t>
  </si>
  <si>
    <t>Capacidades como conversión de moneda, grafo de conocimiento, malla completa de eventos, procesamiento complejo de eventos, fuentes de datos de mercado y análisis avanzados no son necesarias para R4 y quedan excluidas. VTM/penetration pruebas y portal avanzado para desarrolladores también se posponen.</t>
  </si>
  <si>
    <t>Que la capacidad esté listada como requerida no obliga a una nueva plataforma independiente antes de R4. Muchos pueden satisfacerse mediante el uso regulado de componentes existentes con contratos, propietarios y libros de operaciones definidos, siempre que se resuelvan las principales lagunas mencionadas.</t>
  </si>
  <si>
    <t>Múltiples HUs en Apolo, SmartVista, APP, CAT y SIWEB</t>
  </si>
  <si>
    <t>Normaliza protocolos técnicos y cargas útiles entre componentes de Apolo, SmartVista, APP, CAT, SIWEB, Informix y transferencia de archivos.</t>
  </si>
  <si>
    <t>Datos canónicos de clientes, cuentas, líneas de crédito, tarjeta física/digital, transacciones, comisiones, parcelas y planes diferidos a través de canales y sistemas R4. APP/CAT/SIWEB necesitan estructuras consistentes de cartas, equilibrio, movimiento y estados.</t>
  </si>
  <si>
    <t>Mapea SmartVista, cargas útiles heredadas y de canal a campos canónicos; reduce las transformaciones específicas de cada canal.</t>
  </si>
  <si>
    <t>MuleSoft transformación y puente de protocolos; Apigee API contratos; BIAN diseño canónico de servicios; DataStage para la transformación de datos; OpenAPI/Swagger API documentación.</t>
  </si>
  <si>
    <t>Datos canónicos de clientes, cuentas, líneas de crédito, tarjeta física/digital, transacciones, comisiones, parcelas y planes diferidos a través de canales y sistemas R4. Armonización del catálogo encargado entre SmartVista, APP, SIWEB y EDC para el producto 4900.</t>
  </si>
  <si>
    <t>IAPP01; ICAT01-ICAT07; Interfaces de pago/APP/SIWEB/SPEI identificadas en las HUs; No está completamente presente en el inventario de integración</t>
  </si>
  <si>
    <t>Golden Record / Party-CIF; Transact Product Catalog y AA Framework; BRM; Apigee/MuleSoft propagación del contexto; No es un producto de registro separado en las fuentes.</t>
  </si>
  <si>
    <t>Expone capacidades heredadas y SmartVista detrás de servicios estables durante la coexistencia y migración.</t>
  </si>
  <si>
    <t>Interfaces Temporales usando Strangler Fig/ByPass; PISA/Informix envoltorios; Apificación OfiWeb; Teller Multi Core; Interfaces por lotes/COB y hoja de ruta de desmantelamiento.</t>
  </si>
  <si>
    <t>Permite que R4 opere con plataformas existentes mientras enruta hacia SmartVista cuando sea apropiado.</t>
  </si>
  <si>
    <t>ISV06, ISV07; Interfaces de pago/APP/SIWEB/SPEI identificadas en las HUs; No está completamente presente en el inventario de integración</t>
  </si>
  <si>
    <t>BRM; WebMethods BRM; Transact AA Framework/Product Catálogo; SmartVista parameterization; Merit Crediticio reglas de puntuación.</t>
  </si>
  <si>
    <t>Teller Multi Core para tareas de rama asistidas; OnBase/document flujos de trabajo; SIWEB/OFI y las colas de trabajo en sucursales/centros de llamadas. No hay ninguna herramienta BPM tarea única que esté completamente evidenciada.</t>
  </si>
  <si>
    <t>WebMethods BPM/BRM y Modyo Connect para el estado del proceso; PMO/RAID escalada; Respaldo/contingencia con Interfaces Temporales y PISA.</t>
  </si>
  <si>
    <t>Controla los tiempos de espera y las rutas de escalada cuando fallan validaciones de terceros, llamadas SmartVista o archivos de proveedores.</t>
  </si>
  <si>
    <t>DataDog para la monitorización de procesos/plataformas; SmartVista Back Office; Transact administración; PMO paneles para el rendimiento de procesos.</t>
  </si>
  <si>
    <t>ISV06, ISV07; ICAT01-ICAT07; Interfaces de pago/APP/SIWEB/SPEI identificadas en las HU; No está completamente presente en el inventario de integración</t>
  </si>
  <si>
    <t>Las herramientas pueden dividirse entre consolas de SmartVista, SIWEB, API y contabilidad.</t>
  </si>
  <si>
    <t>Apoya la conciliación entre SmartVista, SIWEB, estados de cuenta, contables y fuentes regulatorias/reportes.</t>
  </si>
  <si>
    <t>Amazon MQ/Kinesis y Kafka/Confluent para un intercambio fiable; Interfaces Temporales con reintentar/retroceder a PISA; batch/COB donde el procesamiento síncrono no es posible.</t>
  </si>
  <si>
    <t>SmartVista administration; Transact Product Catalog/AA Framework; Apigee controles de política; Anulaciones operativas a través de las consolas de administración de la plataforma.</t>
  </si>
  <si>
    <t>Kafka/Confluent; Amazon MQ; Temenos Events Framework; Event Processor/Event Router/Event Cleanup; MuleSoft para la mensajería de integración.</t>
  </si>
  <si>
    <t>Múltiples HUs en Apolo, APP, CAT, SmartVista y SIWEB</t>
  </si>
  <si>
    <t>Kafka/Confluent y Amazon MQ patrones; no se evidencia ningún producto de letra muerta/idempotencia con nombre; La garantía de entrega debe estar cubierta por los controles de la plataforma de eventos.</t>
  </si>
  <si>
    <t>BIAN/API/event gobernanza; Confluent/Kafka pila; No se evidencia explícitamente ningún producto de registro o catálogo de esquemas separados.</t>
  </si>
  <si>
    <t>DataDog objetivo de monitorización de flujo de eventos/retardo del consumidor; Exabeam/CloudTrail para auditoría; Event Processor/Router telemetría.</t>
  </si>
  <si>
    <t>App BanCoppel, Web/OFI, Sucursal, ATM, CAT y Teller Multi Core; Apificación de Canales; Golden Record/Party-CIF; Apolo de incorporación.</t>
  </si>
  <si>
    <t>CAT/IVR/ICCAT servicio para el producto 4900: búsqueda del cliente, autenticación, consulta de saldo/movimiento, bloqueo/desbloqueo, cancelación y actualización de estado multicanal. y OTP validación.</t>
  </si>
  <si>
    <t>CAT/IVR/ICCAT servicio para el producto 4900: búsqueda del cliente, autenticación, consulta de saldo/movimiento, bloqueo/desbloqueo, cancelación y actualización de estado multicanal. enrutamiento del agente y traspaso de canales.</t>
  </si>
  <si>
    <t>Interfaces de pago/APP/SIWEB/SPEI identificadas en las HUs; no está completamente presente en el inventario de integración; ISV06, ISV07</t>
  </si>
  <si>
    <t>MCI/MSI y operaciones de compra diferida: campañas, elegibilidad/cálculo, creación de plan, pago anticipado, liquidación, cancelación y efectos contables. HDU-SIWEB-R4-04 efectos contables.</t>
  </si>
  <si>
    <t>ICAT01-ICAT07; IAPP01; Interfaces de pago/APP/SIWEB/SPEI identificadas en las HUs; No está completamente presente en el inventario de integración</t>
  </si>
  <si>
    <t>BIAN API estándares; Apigee API ciclo de vida/gobernanza; OpenAPI/Swagger-style API documentación para Modyo/Canales; API cambio controlado por la gobernanza arquitectónica.</t>
  </si>
  <si>
    <t>Proporciona un movimiento controlado de archivos salientes para PGP/Connect:Direct archivos maquila.</t>
  </si>
  <si>
    <t>Golden Record/Party-CIF; Informix/PISA datos maestros heredados; Temenos TDH; Kafka/Confluent; YugabyteDB/Oracle; consolidación multinúcleo a través de APIs y DataStage.</t>
  </si>
  <si>
    <t>DataStage ETL/ELT; SmartVista; TDH; AWS/Informix extracción; Oracle/YugabyteDB; oleoductos por lotes/COB; DataDog monitorización.</t>
  </si>
  <si>
    <t>Se evidencia el apoyo de Redis y Apigee/Modyo sesión; No se menciona ningún producto separado de replicación de sesiones empresariales.</t>
  </si>
  <si>
    <t>No se evidencia ningún servicio dedicado en folio; Los identificadores/informes relacionados se encuentran en PMO paneles, DataDog/Transact registros operativos y SmartVista reportes.</t>
  </si>
  <si>
    <t>No se evidencia ningún servicio de UUID/correlation independiente; Probablemente gestionado por patrones de Apigee/MuleSoft/Istio/DataDog e identificadores a nivel de aplicación.</t>
  </si>
  <si>
    <t>Apigee administración/políticas; SmartVista; Transact administración/Catálogo de productos; DataDog paneles; Gestión de configuración de Terraform/GitHub.</t>
  </si>
  <si>
    <t>Golden Record; Partido Temenos/CIF; SmartVista/Apolo cliente principal; Incode KYC con INE/RENAPO; Apolo Incorporación.</t>
  </si>
  <si>
    <t>Temenos Transact y catálogo de productos; Motor de interés; Cargos; SmartVista configuración del producto; BRM por las normas de precios/riesgo.</t>
  </si>
  <si>
    <t>BRM; SmartVista/BPC; Transact Límites; Risklogic; integraciones Buró/SIC; BPC authorizer control de fraude/riesgos; PAST.DUE cobranza.</t>
  </si>
  <si>
    <t>OnBase por Hyland para archivos digitales; Modyo/Apolo captura de documentos; Amazon Pinpoint para WelcomeKit; Codifica la captura de documentos.</t>
  </si>
  <si>
    <t>No se evidencia ningún producto específico de transacción-caché; plataformas relacionadas son Redis, YugabyteDB, Transact TDH y SmartVista almacenes operativos.</t>
  </si>
  <si>
    <t>OFS/IRIS REST APIs; Apigee/Transact APIs de datos; DataStage alimenta; Analítica regulatoria de Bajaware/Risklogic; Google Analytics; DataDog.</t>
  </si>
  <si>
    <t>Proporciona diagnósticos en los recorridos orquestados para que los incidentes puedan rastrearse desde el canal del cliente hasta SmartVista/OnBase/SIWEB.</t>
  </si>
  <si>
    <t>MuleSoft; WebMethods; Apigee; Modyo Connect; BIAN servicios; Interfaces Temporales/Strangler Fig; Transact OFS/IRIS APIs.</t>
  </si>
  <si>
    <t>Confirma la propiedad del motor de flujo de trabajo y del estado en Modyo/WebMethods/SmartVista/SIWEB.</t>
  </si>
  <si>
    <t>Garantiza un compromiso y confirmación coordinados para operaciones financieras/de estado de la tarjeta que abarcan SmartVista, SIWEB, APP/CAT y contabilidad.</t>
  </si>
  <si>
    <t>Controla los temas/suscripciones para que APP, CAT, SIWEB, soporte y contabilidad consuman los eventos R4 correctos.</t>
  </si>
  <si>
    <t>Amazon Kinesis; Kafka/Confluent; Temenos Events Framework con eventos como depositCreated/loanOverdue/payrollCredit.</t>
  </si>
  <si>
    <t>Formalizar los servicios de SmartVista fachadas reutilizables.</t>
  </si>
  <si>
    <t>Redis en AWS pila; Modyo/AWS CloudFront para contenido estático; YugabyteDB para datos operativos. Herramienta de invalidación de caché no especificada.</t>
  </si>
  <si>
    <t>Replica suficiente contexto de sesión a lo largo de IVR/ICCAT/agent traspasos para que el cliente no sea revalidado innecesariamente.</t>
  </si>
  <si>
    <t>Valida la calidad de los datos antes de la creación de SmartVista, la visualización del canal, el procesamiento de lotes y la contabilidad.</t>
  </si>
  <si>
    <t>Extracción casi en tiempo real del Temenos Data Hub; Kafka/Confluent; Temenos Events Framework; Marco de eventos; DataDog monitorización.</t>
  </si>
  <si>
    <t>Consolida la ubicación del producto y las vistas de cuenta/tarjeta entre antiguos y SmartVista en tiempo real cuando sea necesario.</t>
  </si>
  <si>
    <t>Evita la exposición SmartVista por contrato.</t>
  </si>
  <si>
    <t>Alimenta necesidades analíticas, operativas y regulatorias/de informes a partir de eventos y transacciones SmartVista/Transact/APPO/CAT.</t>
  </si>
  <si>
    <t>Propaga correlación entre Apolo, capa API, SmartVista, SIWEB, APP, CAT, OnBase y contabilidad.</t>
  </si>
  <si>
    <t>Golden Record/Party decisiones necesitan formalización.</t>
  </si>
  <si>
    <t>APP BanCoppel coexistencia de tarjetas físicas/digitales y productos heredados/SmartVista: inicio, detalle, movimientos, encendido/apagado, activación y vista de crédito consolidado. productos legados/SmartVista físicos/digitales y producto 4900.</t>
  </si>
  <si>
    <t>Define OnBase metadatos y manejo de fallos/reintentos.</t>
  </si>
  <si>
    <t>Golden Record; Transact Catálogo de Fiestas/CIF/AA/Product/GL/FT; SmartVista; Apolo; Incode; OnBase; BRM; Risklogic.</t>
  </si>
  <si>
    <t>SIWEB operaciones de sucursal para pagos, liquidación/cancelación de compras diferidas, recibo de lotes y validación de saldo positivo. Anulaciones de rama/operativas y acciones asistidas sensibles.</t>
  </si>
  <si>
    <t>Enruta las solicitudes a SmartVista o servicio de legado/respaldo según el producto, instrumento y operación.</t>
  </si>
  <si>
    <t>Apigee administración y políticas de plataformas; DataDog/API monitorización; pipelines DevSecOps; GCP-hosted Modyo con AWS/on-prem proveedores.</t>
  </si>
  <si>
    <t>DataStage ETL; interfaces por lotes/COB; OnBase flujos documentales; PISA/Informix interfaces de archivos/datos heredados. No se evidencia explícitamente ningún producto dedicado MFT.</t>
  </si>
  <si>
    <t>Proporciona controles de zonificación y conectividad entre AWS/GCP/on-premise/legacy/provider puntos finales.</t>
  </si>
  <si>
    <t>Imperva WAF / Armadura de Nube; AWS Escudo; Zscaler TLS terminación; VPN/Direct Conectar; Reglas de la tetración; AWS/GCP/on-prem zonificación de red.</t>
  </si>
  <si>
    <t>OAuth 2.0 vía Apigee; Azure AD / Microsoft Entra ID; Identidad del Partido Token; Identidad de codificación/KYC; HashiCorp Vault para soporte de credenciales.</t>
  </si>
  <si>
    <t>Bóveda HashiCorp; AWS Gerente de Secretos; Secretos de Kubernetes; SSL gestión de certificados; HSM para operaciones clave críticas.</t>
  </si>
  <si>
    <t>Imperva WAF; Armadura de Nube; AWS Escudo; Apigee OAuth/limitación de tasa; Malla de servicio Istio; Exabeam SIEM; HashiCorp Vault y controles de endurecimiento.</t>
  </si>
  <si>
    <t>Exabeam SIEM para la detección de amenazas; DataDog para paneles de seguridad/operativos; AWS/CloudWatch donde se utilizan AWS servicios; escalada de incidentes a través de Operaciones/Seguridad.</t>
  </si>
  <si>
    <t>DataDog monitorización, paneles de control y alertas; CloudWatch/AWS para Amazon Kinesis componentes; Modyo analítica; Chequeos de salud de las plataformas en SmartVista, Transact y Apigee.</t>
  </si>
  <si>
    <t>DataDog registros/monitores; Exabeam SIEM; AWS Amazon Kinesis/CloudWatch; Registros de auditoría de SmartVista, Transact, SIWEB y flujos regulatorios/reportes.</t>
  </si>
  <si>
    <t>Peticiones de trazas de extremo a extremo entre canales, API capa, SmartVista, Transact, SIWEB y legacy.</t>
  </si>
  <si>
    <t>DataDog APM/tracing está planificada como observabilidad avanzada; Istio soporta telemetría a nivel de servicio. El servicio de identidad de correlación no se menciona explícitamente.</t>
  </si>
  <si>
    <t>DataDog paneles técnicos; PMO / paneles ejecutivos; paneles regulatorios y empresariales mediante DataStage, Bajaware/Risklogic y reportes de proyectos.</t>
  </si>
  <si>
    <t>AWS arquitectura multi-AZ/DR; Entornos de producción y DR producción; Oracle Data Guard/R-SYNC para Informix; Copia de seguridad/restauración y DR regional.</t>
  </si>
  <si>
    <t>Orquestación, mediación, contexto y adaptadores de legado para Apolo, SmartVista, APP, CAT y SIWEB de /API.</t>
  </si>
  <si>
    <t>Operaciones financieras/de tarjetas/documentos que no deben completarse parcialmente ni duplicarse en SmartVista, SIWEB, APP, CAT y contabilidad.</t>
  </si>
  <si>
    <t>Visión APP/CAT/SIWEB consistente de tarjetas físicas/digitales y de tarjetas heredadas/SmartVista.</t>
  </si>
  <si>
    <t>Servicios compartidos de clientes, productos, riesgos, pagos, documentos y confianza utilizados en Apolo, SmartVista, CAT, APP y SIWEB.</t>
  </si>
  <si>
    <t>Las capacidades se seleccionaron de PH Expansión Vertical. Las columnas de descripción de jerarquía y BanCoppel Solutions provienen directamente de ese archivo.</t>
  </si>
  <si>
    <t>Viajes R4 transcanales que abarcan Apolo, SmartVista, APP, CAT/IVR/ICCAT, SIWEB, OnBase, canales de pago, contables y sistemas heredados. Enfoque principal: formalización en Apolo, mantenimiento en SmartVista y operaciones de CAT/APP/SIWEB.</t>
  </si>
  <si>
    <t>Coordina los servicios empresariales de varios pasos para que los canales llamen a operaciones estables en lugar de acoplarse directamente a los pasos de sistemas internos.</t>
  </si>
  <si>
    <t>ISV01-07; ICAT01-07; IAPP01 más las interfaces implícitas de Apolo, pagos y contabilidad</t>
  </si>
  <si>
    <t>orquestación de MuleSoft; Software AG WebMethods BPM/BRM; Apigee gestión de invocaciones; Modyo Connect orquestación de flujo al estilo máquina de estados; DataDog diagnósticos.</t>
  </si>
  <si>
    <t>Incorporación en Apolo para TDC 4900: oferta de tasa/CAT, PLD/PEP/coincidencia de nombres, declaración de persona vulnerable, OTP/SMS, firma electrónica, creación de crédito en SmartVista, expediente en OnBase y kit de bienvenida. También viajes con compra diferida y con estatus de tarjeta.</t>
  </si>
  <si>
    <t>Apolo-&gt;SmartVista, Apolo-&gt;OnBase, firma, OTP/SMS, correo electrónico y PLD/coincidencia de nombres integraciones implícitas por las HUs; No está completamente presente en el inventario de integración</t>
  </si>
  <si>
    <t>Incorporación en Apolo para TDC 4900: oferta de tarifa/CAT, PLD/PEP/coincidencia de nombres, declaración de persona vulnerable, OTP/SMS, firma electrónica, creación de crédito en SmartVista, expediente en OnBase y kit de bienvenida. CAT/IVR/ICCAT servicio para el producto 4900: búsqueda del cliente, autenticación, consulta de saldo/movimiento, bloqueo/desbloqueo, cancelación y actualización de estado multicanal.</t>
  </si>
  <si>
    <t>Apolo-&gt;SmartVista, Apolo-&gt;OnBase, firma, OTP/SMS, correo electrónico y PLD/coincidencia de nombres integraciones implícitas por las HUs; no está completamente presente en el inventario de integración; ICAT01-ICAT07</t>
  </si>
  <si>
    <t>CAT/IVR/ICCAT servicio para el producto 4900: búsqueda del cliente, autenticación, consulta de saldo/movimiento, bloqueo/desbloqueo, cancelación y actualización de estado multicanal. APP BanCoppel coexistencia de tarjetas físicas/digitales y productos legados/SmartVista: inicio, detalle, movimientos, encendido/apagado, activación y vista de crédito consolidado. MCI/MSI y operaciones de compra diferida: campañas, elegibilidad/cálculo, creación de plan, pago anticipado, liquidación, cancelación y efectos contables.</t>
  </si>
  <si>
    <t>Controla las invocaciones del sistemas internos, los reintentos y la selección de punto de conexión para SmartVista/SIWEB sin exponer la complejidad del sistemas internos a los canales.</t>
  </si>
  <si>
    <t>Confirma API propietario, inventario del punto de conexión y política de reintentos.</t>
  </si>
  <si>
    <t>Viajes R4 transcanales que abarcan Apolo, SmartVista, APP, CAT/IVR/ICCAT, SIWEB, OnBase, canales de pago, contabilidad y sistemas heredados. Incluye mediación por lotes/archivos, API, eventos y legados.</t>
  </si>
  <si>
    <t>APP BanCoppel coexistencia de tarjetas físicas/digitales y productos legados/SmartVista: inicio, detalle, movimientos, encendido/apagado, activación y vista de crédito consolidado. CAT/IVR/ICCAT servicio para el producto 4900: búsqueda del cliente, autenticación, consulta de saldo/movimiento, bloqueo/desbloqueo, cancelación y actualización de estado entre canales. Controles de saldo positivo en canales de SmartVista, APP, SIWEB, SPEI/pagos y operaciones de caja de sucursal.</t>
  </si>
  <si>
    <t>Viajes R4 transcanales que abarcan Apolo, SmartVista, APP, CAT/IVR/ICCAT, SIWEB, OnBase, canales de pago, contabilidad y sistemas heredados.</t>
  </si>
  <si>
    <t>Controles de saldo positivo en canales de SmartVista, APP, SIWEB, SPEI/pagos y operaciones de caja en sucursales. MCI/MSI y operaciones de compra diferida: campañas, elegibilidad/cálculo, creación de plan, pago anticipado, liquidación, cancelación y efectos contables. Armonización del catálogo de encargos entre SmartVista, APP, SIWEB y EDC para el producto 4900.</t>
  </si>
  <si>
    <t>Controla las reglas de ejecución y los puntos finales de servicio para límites, comisiones, campañas de pago diferido y enrutamiento sistemas internos.</t>
  </si>
  <si>
    <t>APP BanCoppel coexistencia de tarjetas físicas/digitales y productos legados/SmartVista: inicio, detalle, movimientos, encendido/apagado, activación y vista de crédito consolidado. CAT/IVR/ICCAT servicio para el producto 4900: búsqueda de clientes, autenticación, consulta de saldo/movimiento, bloqueo/desbloqueo, cancelación y actualización de estado multicanal. APP BanCoppel operaciones de sucursales para pagos, liquidación/cancelación de compras diferidas, recepción de lotes y validación de saldo positivo. Legado y SmartVista convivencia.</t>
  </si>
  <si>
    <t>CAT/IVR/ICCAT servicio para el producto 4900: búsqueda del cliente, autenticación, consulta de saldo/movimiento, bloqueo/desbloqueo, cancelación y actualización de estado multicanal. APP BanCoppel coexistencia de tarjetas físicas/digitales y productos legados/SmartVista: inicio, detalle, movimientos, encendido/apagado, activación y vista de crédito consolidado.</t>
  </si>
  <si>
    <t>Apolo-&gt;SmartVista, Apolo-&gt;OnBase, firma, OTP/SMS, correo electrónico y PLD/coincidencia de nombres integraciones implícitas por las HUs; no está completamente presente en el inventario de integración; ISV01, ISV02, ISV03; ISV06, ISV07</t>
  </si>
  <si>
    <t>Incorporación en Apolo para TDC 4900: oferta de tasa/CAT, PLD/PEP/coincidencia de nombres, declaración de persona vulnerable, OTP/SMS, firma electrónica, creación de crédito en SmartVista, expediente en OnBase y kit de bienvenida. y ciclo de vida de compra diferida.</t>
  </si>
  <si>
    <t>Apolo-&gt;SmartVista, Apolo-&gt;OnBase, firma, OTP/SMS, correo electrónico y PLD/coincidencia de nombres integraciones implícitas por las HUs; no está completamente presente en el inventario de integración; ISV06, ISV07</t>
  </si>
  <si>
    <t>Controles de saldo positivo en canales de SmartVista, APP, SIWEB, SPEI/pagos y operaciones de caja en sucursales. MCI/MSI y operaciones de compra diferida: campañas, elegibilidad/cálculo, creación de plan, pago anticipado, liquidación, cancelación y efectos contables. SmartVista/BPC autorizador: 88 reglas de autorización y fraude, comportamiento de respuesta ISO y resultados visibles por canal.</t>
  </si>
  <si>
    <t>Apolo-&gt;SmartVista, Apolo-&gt;OnBase, firma, OTP/SMS, correo electrónico y PLD/coincidencia de nombres integraciones implícitas por las HUs; no está completamente presente en el inventario de integración; ICAT03</t>
  </si>
  <si>
    <t>Apolo-&gt;SmartVista, Apolo-&gt;OnBase, firma, OTP/SMS, correo electrónico y PLD/coincidencia de nombres integraciones implícitas por las HUs; no está completamente presente en el inventario de integración; ISV06, ISV07; ISV01, ISV02, ISV03</t>
  </si>
  <si>
    <t>Apolo-&gt;SmartVista, Apolo-&gt;OnBase, firma, OTP/SMS, correo electrónico y PLD/coincidencia de nombres integraciones implícitas por las HUs; no está completamente presente en el inventario de integración; ICAT01-ICAT07; ISV01, ISV02, ISV03</t>
  </si>
  <si>
    <t>Incorporación en Apolo para TDC 4900: oferta de tarifa/CAT, PLD/PEP/coincidencia de nombres, declaración de persona vulnerable, OTP/SMS, firma electrónica, creación de crédito en SmartVista, expediente en OnBase y kit de bienvenida. Controles de saldo positivo en canales de SmartVista, APP, SIWEB, SPEI/pagos y operaciones de caja en sucursal. MCI/MSI y operaciones de compra diferida: campañas, elegibilidad/cálculo, creación de plan, pago anticipado, liquidación, cancelación y efectos contables. CAT/IVR/ICCAT servicio para el producto 4900: consulta del cliente, autenticación, consulta de saldo/movimiento, bloqueo/desbloqueo, cancelación y actualización de estado entre canales.</t>
  </si>
  <si>
    <t>Apolo-&gt;SmartVista, Apolo-&gt;OnBase, firma, OTP/SMS, correo electrónico y PLD/coincidencia de nombres integraciones implícitas por las HUs; no está completamente presente en el inventario de integración; ISV06, ISV07; ICAT01-ICAT07; Interfaces de pago/APP/SIWEB/SPEI identificadas en las HU; No está completamente presente en el inventario de integración</t>
  </si>
  <si>
    <t>MCI/MSI y operaciones de compra diferida: campañas, elegibilidad/cálculo, creación de plan, pago anticipado, liquidación, cancelación y efectos contables. Controles de saldo positivo en canales de SmartVista, APP, SIWEB, SPEI/pagos y operaciones de caja en sucursales. CAT/IVR/ICCAT servicio para el producto 4900: búsqueda del cliente, autenticación, consulta de saldo/movimiento, bloqueo/desbloqueo, cancelación y actualización de estado multicanal.</t>
  </si>
  <si>
    <t>Transact FT/Payments y GL/contabilidad; SmartVista procesamiento/SVIP de transacciones; Hub de Pagos/SPEI; Kafka/Confluent/Amazon MQ; Conductor/Saga planificado en la hoja de ruta.</t>
  </si>
  <si>
    <t>Incorporación en Apolo para TDC 4900: oferta de tasa/CAT, PLD/PEP/coincidencia de nombres, declaración de persona vulnerable, OTP/SMS, firma electrónica, creación de crédito en SmartVista, expediente en OnBase y kit de bienvenida. MCI/MSI y operaciones de compra diferida: campañas, elegibilidad/cálculo, creación de plan, pago anticipado, liquidación, cancelación y efectos contables. Controles de saldo positivo en canales de SmartVista, APP, SIWEB, SPEI/pagos y operaciones de caja en sucursal.</t>
  </si>
  <si>
    <t>Apolo-&gt;SmartVista, Apolo-&gt;OnBase, firma, OTP/SMS, correo electrónico y PLD/coincidencia de nombres integraciones implícitas por las HUs; no está completamente presente en el inventario de integración; ISV06, ISV07; Interfaces de pago/APP/SIWEB/SPEI identificadas en las HU; No está completamente presente en el inventario de integración</t>
  </si>
  <si>
    <t>SmartVista Back Office; Transact operations; DataStage/Data Warehouse reconciliación; GL/contabilidad; DataDog monitorización de eventos transaccionales.</t>
  </si>
  <si>
    <t>ISV01, ISV02, ISV03; Apolo-&gt;SmartVista, Apolo-&gt;OnBase, firma, OTP/SMS, correo electrónico y PLD/coincidencia de nombres integraciones implícitas por las HUs; no está completamente presente en el inventario de integración; ISV06, ISV07</t>
  </si>
  <si>
    <t>Enruta las solicitudes almacenadas al sistemas internos o proveedor correcto una vez disponible.</t>
  </si>
  <si>
    <t>Controles de saldo positivo en canales de SmartVista, APP, SIWEB, SPEI/pagos y operaciones de caja en sucursales. MCI/MSI y operaciones de compra diferida: campañas, elegibilidad/cálculo, creación de plan, pago anticipado, liquidación, cancelación y efectos contables.</t>
  </si>
  <si>
    <t>CAT/IVR/ICCAT servicio para el producto 4900: búsqueda del cliente, autenticación, consulta de saldo/movimiento, bloqueo/desbloqueo, cancelación y actualización de estado multicanal. APP BanCoppel coexistencia de tarjetas físicas/digitales y productos heredados/SmartVista: inicio, detalle, movimientos, encendido/apagado, activación y vista de crédito consolidada. MCI/MSI y operaciones de compra diferida: campañas, elegibilidad/cálculo, creación de plan, pago anticipado, liquidación, cancelación y efectos contables. Incorporación en Apolo para TDC 4900: oferta de tasa/CAT, PLD/PEP/coincidencia de nombres, declaración de persona vulnerable, OTP/SMS, firma electrónica, creación de crédito en SmartVista, expediente en OnBase y kit de bienvenida.</t>
  </si>
  <si>
    <t>APP BanCoppel coexistencia de tarjetas físicas/digitales y productos heredados/SmartVista: inicio, detalle, movimientos, encendido/apagado, activación y vista de crédito consolidado. CAT/IVR/ICCAT servicio para el producto 4900: búsqueda del cliente, autenticación, consulta de saldo/movimiento, bloqueo/desbloqueo, cancelación y actualización de estado multicanal.</t>
  </si>
  <si>
    <t>MCI/MSI y operaciones de compra diferida: campañas, elegibilidad/cálculo, creación de plan, pago anticipado, liquidación, cancelación y efectos contables. CAT/IVR/ICCAT servicio para el producto 4900: búsqueda del cliente, autenticación, consulta de saldo/movimiento, bloqueo/desbloqueo, cancelación y actualización de estado multicanal. Incorporación en Apolo para TDC 4900: oferta de tasa/CAT, PLD/PEP/coincidencia de nombres, declaración de persona vulnerable, OTP/SMS, firma electrónica, creación de crédito en SmartVista, expediente en OnBase y kit de bienvenida.</t>
  </si>
  <si>
    <t>APP BanCoppel coexistencia de tarjetas físicas/digitales y productos legados/SmartVista: inicio, detalle, movimientos, encendido/apagado, activación y vista de crédito consolidado. CAT/IVR/ICCAT servicio para el producto 4900: búsqueda del cliente, autenticación, consulta de saldo/movimiento, bloqueo/desbloqueo, cancelación y actualización de estado multicanal. SIWEB operaciones de sucursal para pagos, liquidación/cancelación de compras diferidas, recepción de lotes y validación de saldo positivo.</t>
  </si>
  <si>
    <t>Incorporación en Apolo para TDC 4900: oferta de tasa/CAT, PLD/PEP/coincidencia de nombres, declaración de persona vulnerable, OTP/SMS, firma electrónica, creación de crédito en SmartVista, expediente en OnBase y kit de bienvenida. y continuación asistida del canal.</t>
  </si>
  <si>
    <t>APP BanCoppel coexistencia de tarjetas físicas/digitales y productos legados/SmartVista: inicio, detalle, movimientos, encendido/apagado, activación y vista de crédito consolidado. CAT/IVR/ICCAT servicio para el producto 4900: búsqueda del cliente, autenticación, consulta de saldo/movimiento, bloqueo/desbloqueo, cancelación y actualización de estado multicanal. CAT/IVR/ICCAT servicio para el producto 4900: búsqueda de clientes, autenticación, consulta de saldo/movimiento, bloqueo/desbloqueo, cancelación y actualización de estado multicanal.</t>
  </si>
  <si>
    <t>CAT/IVR/ICCAT servicio para el producto 4900: consulta del cliente, autenticación, consulta de saldo/movimiento, bloqueo/desbloqueo, cancelación y actualización de estado entre canales. Incorporación en Apolo para TDC 4900: oferta de tasa/CAT, PLD/PEP/coincidencia de nombres, declaración de persona vulnerable, OTP/SMS, firma electrónica, creación de crédito en SmartVista, expediente en OnBase y kit de bienvenida.</t>
  </si>
  <si>
    <t>ICAT01-ICAT07; Apolo-&gt;SmartVista, Apolo-&gt;OnBase, firma, OTP/SMS, correo electrónico y PLD/coincidencia de nombres integraciones implícitas por las HUs; No está completamente presente en el inventario de integración</t>
  </si>
  <si>
    <t>Ofrece vistas de lectura con baja latencia para pantallas de inicio/detalle/balance/movimiento donde la latencia del sistemas internos degradaría el servicio.</t>
  </si>
  <si>
    <t>APP BanCoppel coexistencia de tarjetas físicas/digitales y productos heredados/SmartVista: inicio, detalle, movimientos, encendido/apagado, activación y vista de crédito consolidado. CAT/IVR/ICCAT servicio para el producto 4900: búsqueda del cliente, autenticación, consulta de saldo/movimiento, bloqueo/desbloqueo, cancelación y actualización de estado multicanal. y eventos de estado/notificación.</t>
  </si>
  <si>
    <t>APP BanCoppel coexistencia de tarjetas físicas/digitales y productos legados/SmartVista: inicio, detalle, movimientos, encendido/apagado, activación y vista de crédito consolidado. CAT/IVR/ICCAT servicio para el producto 4900: búsqueda del cliente, autenticación, consulta de saldo/movimiento, bloqueo/desbloqueo, cancelación y actualización de estado multicanal. legado/APP BanCoppel coexistencia.</t>
  </si>
  <si>
    <t>APP BanCoppel coexistencia de tarjetas físicas/digitales y productos legados/SmartVista: inicio, detalle, movimientos, encendido/apagado, activación y vista de crédito consolidado. Controles de saldo positivo en canales de SmartVista, APP, SIWEB, SPEI/pagos y operaciones de caja en sucursales. MCI/MSI y operaciones de compra diferida: campañas, elegibilidad/cálculo, creación de plan, pago anticipado, liquidación, cancelación y efectos contables.</t>
  </si>
  <si>
    <t>Armonización del catálogo de encargo entre SmartVista, APP, SIWEB y EDC para el producto 4900. Controles de saldo positivo en canales de SmartVista, APP, SIWEB, SPEI/pagos y operaciones de caja de sucursal. MCI/MSI y operaciones de compra diferida: campañas, elegibilidad/cálculo, creación de plan, pago anticipado, liquidación, cancelación y efectos contables.</t>
  </si>
  <si>
    <t>Incorporación en Apolo para TDC 4900: oferta de tasa/CAT, PLD/PEP/coincidencia de nombres, declaración de persona vulnerable, OTP/SMS, firma electrónica, creación de crédito en SmartVista, expediente en OnBase y kit de bienvenida. CAT/IVR/ICCAT servicio para el producto 4900: búsqueda del cliente, autenticación, consulta de saldo/movimiento, bloqueo/desbloqueo, cancelación y actualización de estado multicanal. APP BanCoppel coexistencia de tarjetas físicas/digitales y productos legados/SmartVista: inicio, detalle, movimientos, encendido/apagado, activación y vista de crédito consolidado.</t>
  </si>
  <si>
    <t>Apolo-&gt;SmartVista, Apolo-&gt;OnBase, firma, OTP/SMS, correo electrónico y PLD/coincidencia de nombres integraciones implícitas por las HUs; no está completamente presente en el inventario de integración; ICAT01-ICAT07; IAPP01</t>
  </si>
  <si>
    <t>Incorporación en Apolo para TDC 4900: oferta de tasa/CAT, PLD/PEP/coincidencia de nombres, declaración de persona vulnerable, OTP/SMS, firma electrónica, creación de crédito en SmartVista, expediente en OnBase y kit de bienvenida. KYC/PEP/reference relaciones.</t>
  </si>
  <si>
    <t>Incorporación en Apolo para TDC 4900: oferta de tarifa/CAT, PLD/PEP/coincidencia de nombres, declaración de persona vulnerable, OTP/SMS, firma electrónica, creación de crédito en SmartVista, expediente en OnBase y kit de bienvenida. APP BanCoppel coexistencia de tarjetas físicas/digitales y productos legados/SmartVista: inicio, detalle, movimientos, encendido/apagado, activación y vista de crédito consolidado. Armonización del catálogo de encargos entre SIWEB, APP, APP BanCoppel y EDC para el producto 4900. MCI/MSI y operaciones de compra diferida: campañas, elegibilidad/cálculo, creación de plan, pago anticipado, liquidación, cancelación y efectos contables.</t>
  </si>
  <si>
    <t>Incorporación en Apolo para TDC 4900: oferta de tasa/CAT, PLD/PEP/coincidencia de nombres, declaración de persona vulnerable, OTP/SMS, firma electrónica, creación de crédito en SmartVista, expediente en OnBase y kit de bienvenida. Encargue la armonización del catálogo entre SmartVista, APP, SIWEB y EDC para el producto 4900. MCI/MSI y operaciones de compra diferida: campañas, elegibilidad/cálculo, creación de plan, pago anticipado, liquidación, cancelación y efectos contables.</t>
  </si>
  <si>
    <t>Incorporación en Apolo para TDC 4900: oferta de tarifa/CAT, PLD/PEP/coincidencia de nombres, declaración de persona vulnerable, OTP/SMS, firma electrónica, creación de crédito en SmartVista, expediente en OnBase y kit de bienvenida. SmartVista/BPC autorizador: 88 reglas de autorización y fraude, comportamiento de respuesta ISO y resultados visibles por canal. Controles de saldo positivo en canales de SmartVista, APP, SIWEB, SPEI/pagos y operaciones de caja en sucursales. MCI/MSI y operaciones de compra diferida: campañas, elegibilidad/cálculo, creación de plan, pago anticipado, liquidación, cancelación y efectos contables.</t>
  </si>
  <si>
    <t>Apolo-&gt;SmartVista, Apolo-&gt;OnBase, firma, OTP/SMS, correo electrónico y PLD/coincidencia de nombres integraciones implícitas por las HUs; no está completamente presente en el inventario de integración; Interfaces de pago/APP/SIWEB/SPEI identificadas en las HU; no está completamente presente en el inventario de integración; ISV06, ISV07</t>
  </si>
  <si>
    <t>Incorporación en Apolo para TDC 4900: oferta de tarifa/CAT, PLD/PEP/coincidencia de nombres, declaración de persona vulnerable, OTP/SMS, firma electrónica, creación de crédito en SmartVista, expediente en OnBase y kit de bienvenida. SmartVista/BPC Autorizador: 88 reglas de autorización y fraude, comportamiento de respuesta ISO y resultados visibles en el canal.</t>
  </si>
  <si>
    <t>MCI/MSI y operaciones de compra diferida: campañas, elegibilidad/cálculo, creación de plan, pago anticipado, liquidación, cancelación y efectos contables. Controles de saldo positivo en canales de SmartVista, APP, SIWEB, SPEI/pagos y operaciones de caja en sucursales. pagos y contabilidad.</t>
  </si>
  <si>
    <t>Transact GL/contabilidad y PRD.DES.contabilidad; Transferencia/FT de fondos; Hub de Pagos/SPEI; SmartVista pagos; SIWEB libro de cuentas durante la convivencia.</t>
  </si>
  <si>
    <t>Controles de saldo positivo en canales de SmartVista, APP, SIWEB, SPEI/pagos y operaciones de caja en sucursales. MCI/MSI y operaciones de compra diferida: campañas, elegibilidad/cálculo, creación de plan, pago anticipado, liquidación, cancelación y efectos contables. Pagos de sucursal/canal.</t>
  </si>
  <si>
    <t>Incorporación en Apolo para TDC 4900: oferta de tasa/CAT, PLD/PEP/coincidencia de nombres, declaración de persona vulnerable, OTP/SMS, firma electrónica, creación de crédito en SmartVista, expediente en OnBase y kit de bienvenida.</t>
  </si>
  <si>
    <t>Incorporación en Apolo para TDC 4900: oferta de tasa/CAT, PLD/PEP/coincidencia de nombres, declaración de persona vulnerable, OTP/SMS, firma electrónica, creación de crédito en SmartVista, expediente en OnBase y kit de bienvenida. Contrato, documentos de servicios y kit de bienvenida.</t>
  </si>
  <si>
    <t>Incorporación en Apolo para TDC 4900: oferta de tarifa/CAT, PLD/PEP/coincidencia de nombres, declaración de persona vulnerable, OTP/SMS, firma electrónica, creación de crédito en SmartVista, expediente en OnBase y kit de bienvenida. expediente en OnBase y captura de pruebas.</t>
  </si>
  <si>
    <t>Incorporación en Apolo para TDC 4900: oferta de tasa/CAT, PLD/PEP/coincidencia de nombres, declaración de persona vulnerable, OTP/SMS, firma electrónica, creación de crédito en SmartVista, expediente en OnBase y kit de bienvenida. SIWEB operaciones de sucursal para pagos, liquidación/cancelación de compras diferidas, recepción de lotes y validación de saldo positivo. CAT/IVR/ICCAT servicio para el producto 4900: búsqueda del cliente, autenticación, consulta de saldo/movimiento, bloqueo/desbloqueo, cancelación y actualización de estado multicanal.</t>
  </si>
  <si>
    <t>Incorporación en Apolo para TDC 4900: oferta de tasa/CAT, PLD/PEP/coincidencia de nombres, declaración de persona vulnerable, OTP/SMS, firma electrónica, creación de crédito en SmartVista, expediente en OnBase y kit de bienvenida. firma electrónica y verificación.</t>
  </si>
  <si>
    <t>APP BanCoppel coexistencia de tarjetas físicas/digitales y productos heredados/SmartVista: inicio, detalle, movimientos, encendido/apagado, activación y vista de crédito consolidada. CAT/IVR/ICCAT servicio para el producto 4900: búsqueda del cliente, autenticación, consulta de saldo/movimiento, bloqueo/desbloqueo, cancelación y actualización de estado multicanal. SIWEB operaciones de sucursal para pagos, liquidación/cancelación de compras diferidas, recibo de lotes y validación de saldo positivo. Incorporación en Apolo para TDC 4900: oferta de tasa/CAT, PLD/PEP/coincidencia de nombres, declaración de persona vulnerable, OTP/SMS, firma electrónica, creación de crédito en SmartVista, expediente en OnBase y kit de bienvenida.</t>
  </si>
  <si>
    <t>La mediación en tiempo de ejecución pasarela de API protege canales y backends con un único patrón de acceso gobernado.</t>
  </si>
  <si>
    <t>Plano de ejecución que termina, valida, media y enruta tráfico de API entre consumidores y proveedores, aplicando la política en el punto de invocación en lugar de dentro del código de la aplicación.</t>
  </si>
  <si>
    <t>Apigee gestión de pasarela y API de Apigee; MuleSoft integración/orquestación; WebMethods/BRM; API alineadas con BIAN; Transact OFS/IRIS REST APIs.</t>
  </si>
  <si>
    <t>Expone fachada de dominio de SmartVista en lugar de APIs sistemas internos en bruto.</t>
  </si>
  <si>
    <t>APP BanCoppel coexistencia de tarjetas físicas/digitales y productos heredados/SmartVista: inicio, detalle, movimientos, encendido/apagado, activación y vista de crédito consolidado. CAT/IVR/ICCAT servicio para el producto 4900: búsqueda del cliente, autenticación, consulta de saldo/movimiento, bloqueo/desbloqueo, cancelación y actualización de estado multicanal. Enrutamiento por ubicación de producto.</t>
  </si>
  <si>
    <t>Transforma los mensajes para que los canales queden aislados de los formatos específicos del sistemas internos.</t>
  </si>
  <si>
    <t>CAT/IVR/ICCAT servicio para el producto 4900: consulta del cliente, autenticación, consulta de saldo/movimiento, bloqueo/desbloqueo, cancelación y actualización de estado entre canales. APP BanCoppel coexistencia de tarjetas físicas/digitales y productos legados/SmartVista: inicio, detalle, movimientos, encendido/apagado, activación y vista de crédito consolidado. SIWEB operaciones de sucursal para pagos, liquidación/cancelación de compras diferidas, recepción de lotes y validación de saldo positivo.</t>
  </si>
  <si>
    <t>Define API contratos antes de la construcción/prueba, evitando la reutilización no documentada o el acoplamiento directo del sistemas internos.</t>
  </si>
  <si>
    <t>Completas APIs ausentes de Apolo/pagos/contabilidad/estado flujos.</t>
  </si>
  <si>
    <t>Viajes R4 transcanales que abarcan Apolo, SmartVista, APP, CAT/IVR/ICCAT, SIWEB, OnBase, canales de pago, contabilidad y sistemas heredados. Integración de nube híbrida/local.</t>
  </si>
  <si>
    <t>Incorporación en Apolo para TDC 4900: oferta de tarifa/CAT, PLD/PEP/coincidencia de nombres, declaración de persona vulnerable, OTP/SMS, firma electrónica, creación de crédito en SmartVista, expediente en OnBase y kit de bienvenida. APP BanCoppel coexistencia de tarjetas físicas/digitales y productos legados/SmartVista: inicio, detalle, movimientos, encendido/apagado, activación y vista de crédito consolidado. CAT/IVR/ICCAT servicio para el producto 4900: búsqueda del cliente, autenticación, consulta de saldo/movimiento, bloqueo/desbloqueo, cancelación y actualización de estado multicanal. SIWEB operaciones de sucursal para pagos, liquidación/cancelación de compras diferidas, recepción de lotes y validación de saldo positivo.</t>
  </si>
  <si>
    <t>ISV01, ISV02, ISV03; Apolo-&gt;SmartVista, Apolo-&gt;OnBase, firma, OTP/SMS, correo electrónico y PLD/coincidencia de nombres integraciones implícitas por las HUs; no está completamente presente en el inventario de integración; IAPP01</t>
  </si>
  <si>
    <t>APP BanCoppel coexistencia de tarjetas físicas/digitales y productos legados/SmartVista: inicio, detalle, movimientos, encendido/apagado, activación y vista de crédito consolidado. Incorporación en Apolo para TDC 4900: oferta de tarifa/CAT, PLD/PEP/coincidencia de nombres, declaración de persona vulnerable, OTP/SMS, firma electrónica, creación de crédito en SmartVista, expediente en OnBase y kit de bienvenida. APIs públicas/de canal.</t>
  </si>
  <si>
    <t>Validar los procedimientos de recuperación para SmartVista/API/file/pagos flujos.</t>
  </si>
  <si>
    <t>8.0 Orquestación de servicios</t>
  </si>
  <si>
    <t>9.0 Orquestación de procesos</t>
  </si>
  <si>
    <t>7.0 Transacciones distribuidas</t>
  </si>
  <si>
    <t>12.0 Procesamiento de eventos y componentes reactivos</t>
  </si>
  <si>
    <t>11.0 Entrega de datos</t>
  </si>
  <si>
    <t>10.0 Servicios empresariales comunes (servicios de coexistencia multidominio)</t>
  </si>
  <si>
    <t>Una capacidad tiene un contrato gobernado, propietario, patrón de tiempo de ejecución, controles de seguridad, NFRs, trazabilidad, manejo de fallos y manuales operativos operativo. No necesariamente requiere una nueva plataforma independiente antes de R4.</t>
  </si>
  <si>
    <t>Las filas de Apolo y SIWEB en el libro de trabajo consolidado no tienen puntuación MoSCoW completa en todos los casos. Se tratan como alcance R4 donde el libro de trabajo las incluye como historias de usuario; la línea base formal de versión aún debe confirmarlas.</t>
  </si>
  <si>
    <t>Medio - dependiente del alcance debería/no priorizado, división de versión o elección de diseño</t>
  </si>
  <si>
    <t>Fabricación de tarjetas en SmartVista y suministro de sucursales: certificación de diseño de maquila, cálculo de nuevos pedidos, archivos seguros, transferencia PGP/Connect:Direct, seguimiento de lotes y recepción/cancelación de lotes en SIWEB y CAT/IVR/ICCAT/SIWEB integración.</t>
  </si>
  <si>
    <t>Fabricación de tarjetas en SmartVista y suministro de sucursales: certificación de diseño de maquila, cálculo de nuevos pedidos, archivos seguros, transferencia PGP/Connect:Direct, seguimiento de lotes y recepción/cancelación de lotes en SIWEB. SIWEB operaciones de sucursales para pagos, liquidación/cancelación de compras diferidas, recepción de lotes y validación de saldo positivo. adaptadores de Informix, Connect:Direct, SIWEB y SmartVista.</t>
  </si>
  <si>
    <t>Fabricación de tarjetas en SmartVista y suministro de sucursales: certificación de diseño de maquila, cálculo de pedidos de reorden, archivos seguros, transferencia PGP/Connect:Direct, seguimiento de lotes y recepción/cancelación de lotes en SIWEBs y sincronización de datos/informes.</t>
  </si>
  <si>
    <t>Registrar la retirada temporal de la interfaz como un elemento del lista de pendientes posterior a R4.</t>
  </si>
  <si>
    <t>Incorporación en Apolo para TDC 4900: oferta de tarifa/CAT, PLD/PEP/coincidencia de nombres, declaración de persona vulnerable, OTP/SMS, firma electrónica, creación de crédito en SmartVista, expediente en OnBase y kit de bienvenida. Fabricación de tarjetas en SmartVista y suministro de sucursales: certificación de diseño de maquila, cálculo de nuevos pedidos, archivos seguros, transferencia PGP/Connect:Direct, seguimiento de lotes y recepción/cancelación de lotes en SIWEB. SIWEB operaciones de sucursal para pagos, liquidación/cancelación de compras diferidas, recepción de lotes y validación de saldo positivo.</t>
  </si>
  <si>
    <t>WebMethods BPM; Modyo Connect flujo de trabajo/máquina de estados; Flow Engineering/Jira gestión del trabajo para la entrega; El proceso fluye a través de Apolo, SmartVista y Transact.</t>
  </si>
  <si>
    <t>Fabricación de tarjetas en SmartVista y suministro de sucursales: certificación de diseño de maquila, cálculo de nuevos pedidos, archivos seguros, transferencia PGP/Connect:Direct, seguimiento de lotes y recepción/cancelación de lotes en SIWEB. SIWEB operaciones de sucursal para pagos, liquidación/cancelación de compras diferidas, recepción de lotes y validación de saldo positivo. mantenimiento asistido por CAT.</t>
  </si>
  <si>
    <t>Fabricación de tarjetas en SmartVista y suministro de sucursales: certificación de diseño de maquila, cálculo de pedidos de reorden, archivos seguros, transferencia PGP/Connect:Direct, seguimiento de lotes y recepción/cancelación de lotes en SIWEBs y operaciones de sucursal.</t>
  </si>
  <si>
    <t>Incorporación en Apolo para TDC 4900: oferta de tasa/CAT, PLD/PEP/coincidencia de nombres, declaración de persona vulnerable, OTP/SMS, firma electrónica, creación de crédito en SmartVista, expediente en OnBase y kit de bienvenida. MCI/MSI y operaciones de compra diferida: campañas, elegibilidad/cálculo, creación de plan, pago anticipado, liquidación, cancelación y efectos contables. Fabricación de tarjetas en SmartVista y suministro de sucursales: certificación de diseño de maquila, cálculo de nuevos pedidos, archivos seguros, transferencia PGP/Connect:Direct, seguimiento de lotes y recepción/cancelación de lotes en SIWEB.</t>
  </si>
  <si>
    <t>Incorporación en Apolo para TDC 4900: oferta de tarifa/CAT, PLD/PEP/coincidencia de nombres, declaración de persona vulnerable, OTP/SMS, firma electrónica, creación de crédito en SmartVista, expediente en OnBase y kit de bienvenida. CAT/IVR/ICCAT servicio para el producto 4900: búsqueda del cliente, autenticación, consulta de saldo/movimiento, bloqueo/desbloqueo, cancelación y actualización de estado multicanal. Fabricación de tarjetas en SmartVista y suministro de sucursales: certificación de diseño de maquila, cálculo de nuevos pedidos, archivos seguros, transferencia de PGP/Connect:Direct, seguimiento de lotes y recepción/cancelación de lotes en SIWEB.</t>
  </si>
  <si>
    <t>MCI/MSI y operaciones de compra diferida: campañas, elegibilidad/cálculo, creación de plan, pago anticipado, liquidación, cancelación y efectos contables. Controles de saldo positivo en canales de SmartVista, APP, SIWEB, SPEI/pagos y operaciones de caja en sucursales. CAT/IVR/ICCAT servicio para el producto 4900: búsqueda del cliente, autenticación, consulta de saldo/movimiento, bloqueo/desbloqueo, cancelación y actualización de estado entre canales. Fabricación de tarjetas en SmartVista y suministro de sucursales: certificación de diseño de maquila, cálculo de nuevos pedidos, archivos seguros, transferencia de PGP/Connect:Direct, seguimiento de lotes y recepción/cancelación de lotes en SIWEB.</t>
  </si>
  <si>
    <t>Fabricación de tarjetas en SmartVista y suministro de sucursales: certificación de diseño de maquila, cálculo de nuevos pedidos, archivos seguros, transferencia de PGP/Connect:Direct, seguimiento de lotes y recepción/cancelación de lotes en SIWEB. Incorporación en Apolo para TDC 4900: oferta de tasa/CAT, PLD/PEP/coincidencia de nombres, declaración de persona vulnerable, OTP/SMS, firma electrónica, creación de crédito en SmartVista, expediente en OnBase y kit de bienvenida. MCI/MSI y operaciones de compra diferida: campañas, elegibilidad/cálculo, creación de plan, pago anticipado, liquidación, cancelación y efectos contables.</t>
  </si>
  <si>
    <t>Fabricación de tarjetas en SmartVista y suministro de sucursales: certificación de diseño de maquila, cálculo de pedidos de reorden, archivos seguros, transferencia PGP/Connect:Direct, seguimiento de lotes y recepción/cancelación de lotes en SIWEBs y solicitudes de pago/pago diferido.</t>
  </si>
  <si>
    <t>Fabricación de tarjetas en SmartVista y suministro de sucursales: certificación de diseño de maquila, cálculo de nuevos pedidos, archivos seguros, transferencia PGP/Connect:Direct, seguimiento de lotes y recepción/cancelación de lotes en SIWEB. Viajes R4 transcanales que abarcan Apolo, SmartVista, APP, CAT/IVR/ICCAT, SIWEB, OnBase, canales de pago, contabilidad y sistemas heredados.</t>
  </si>
  <si>
    <t>Contratos de eventos publicados, alineados con estándares (alineados con BIAN o canónicos-personalizados) con la propiedad.</t>
  </si>
  <si>
    <t>APP BanCoppel coexistencia de tarjetas físicas/digitales y productos heredados/SmartVista: inicio, detalle, movimientos, encendido/apagado, activación y vista de crédito consolidado y CAT/SIWEB vistas.</t>
  </si>
  <si>
    <t>DataStage; AWS ETL; Temenos Data Hub (TDH); Informix/Transact; Fuentes de Risklogic/Bajaware; Gobernanza de datos/controles de privacidad.</t>
  </si>
  <si>
    <t>MCI/MSI y operaciones de compra diferida: campañas, elegibilidad/cálculo, creación de plan, pago anticipado, liquidación, cancelación y efectos contables. Incorporación en Apolo para TDC 4900: oferta de tarifa/CAT, PLD/PEP/coincidencia de nombres, declaración de persona vulnerable, OTP/SMS, firma electrónica, creación de crédito en SmartVista, expediente en OnBase y kit de bienvenida. Fabricación de tarjetas en SmartVista y suministro de sucursales: certificación de diseño de maquila, cálculo de nuevos pedidos, archivos seguros, transferencia PGP/Connect:Direct, seguimiento de lotes y recepción/cancelación de lotes en SIWEB.</t>
  </si>
  <si>
    <t>Fabricación de tarjetas en SmartVista y suministro de sucursales: certificación de diseño de maquila, cálculo de pedidos de reorden, archivos seguros, transferencia PGP/Connect:Direct, seguimiento de lotes y recepción/cancelación de lotes en SIWEBs. Datos canónicos de clientes, cuentas, líneas de crédito, tarjeta física/digital, transacciones, comisiones, parcelas y planes diferidos a través de canales y sistemas R4.</t>
  </si>
  <si>
    <t>Fabricación de tarjetas en SmartVista y suministro de sucursales: certificación de diseño de maquila, cálculo de pedidos de reorden, archivos seguros, transferencia PGP/Connect:Direct, seguimiento de lotes y recepción/cancelación de lotes en SIWEBs. y informes EOD.</t>
  </si>
  <si>
    <t>Define los fuentes de informes y los controles de conciliación.</t>
  </si>
  <si>
    <t>Incorporación en Apolo para TDC 4900: oferta de tasa/CAT, PLD/PEP/coincidencia de nombres, declaración de persona vulnerable, OTP/SMS, firma electrónica, creación de crédito en SmartVista, expediente en OnBase y kit de bienvenida. Fabricación de tarjetas en SmartVista y suministro de sucursales: certificación de diseño de maquila, cálculo de nuevos pedidos, archivos seguros, transferencia de PGP/Connect:Direct, seguimiento de lotes y recepción/cancelación de lotes en SIWEB. MCI/MSI y operaciones de compra diferida: campañas, elegibilidad/cálculo, creación de plan, pago anticipado, liquidación, cancelación y efectos contables.</t>
  </si>
  <si>
    <t>Define el sistema de indicadores de funcionalidad y la gobernanza.</t>
  </si>
  <si>
    <t>Soporta exposición gradual y retroceso para el lanzamiento de R4 y el soporte intensivo.</t>
  </si>
  <si>
    <t>Verificación biométrica y firma de NOM-151 en codificación; OnBase aprobaciones de incorporación; Azure AD/OAuth para la verificación de acceso; flujo de aprobación de sucursal/cajero.</t>
  </si>
  <si>
    <t>Definición y aplicación de estándares de interfaz, nombres canónicos o alineados con BIAN, y puertas de revisión de diseño antes de la publicación.</t>
  </si>
  <si>
    <t>Fabricación de tarjetas en SmartVista y suministro de sucursales: certificación de diseño de maquila, cálculo de pedidos de reorden, archivos seguros, transferencia PGP/Connect:Direct, seguimiento de lotes y recepción/cancelación de lotes en SIWEBs.</t>
  </si>
  <si>
    <t>Fabricación de tarjetas en SmartVista y suministro de sucursales: certificación de diseño de maquila, cálculo de nuevos pedidos, archivos seguros, transferencia de PGP/Connect:Direct, seguimiento de lotes y recepción/cancelación de lotes en SIWEB. Incorporación en Apolo para TDC 4900: oferta de tasa/CAT, PLD/PEP/coincidencia de nombres, declaración de persona vulnerable, OTP/SMS, firma electrónica, creación de crédito en SmartVista, expediente en OnBase y kit de bienvenida. Datos de tarjetas y documentos.</t>
  </si>
  <si>
    <t>13.4 Deployment &amp; versión Engineering</t>
  </si>
  <si>
    <t>Decide API compuesta frente a ODS/caché y define reglas de consistencia.</t>
  </si>
  <si>
    <t>Datos canónicos, consolidación entre núcleos, entrega por lotes/en tiempo real y reportes para todos los canales R4.</t>
  </si>
  <si>
    <t>Estandarizar patrones de correlación y UUID; Confirma las herramientas de indicadores de funcionalidad.</t>
  </si>
  <si>
    <t>Confirma las decisiones de Golden Record y propiedad de la API de cada servicio compartido.</t>
  </si>
  <si>
    <t>Interoperability_Capability_Hierarchy_BanCoppel_Solutions.xlsx — hoja PH Vertical Expansion</t>
  </si>
  <si>
    <t>Consolidacion_y_priorizacion_HUs_R4_v2.xlsx — hoja Inventario HUs</t>
  </si>
  <si>
    <t>Se usaron historias de usuario R4 y registros de integración para inferir la necesidad de capacidad. Evidencia directa de historia/integración → Confianza muy alta; requerida por el comportamiento R4 pero implícita → Alta; necesario si debería/confirmado por diseño → Medio.</t>
  </si>
  <si>
    <t>Debe y Debería filas se incluyen cuando están presentes en el cuaderno R4, incluso si MoSCoW estaba en blanco. La línea base de liberación formal debería confirmarlas.</t>
  </si>
  <si>
    <t>SMART-4219, SMART-3964, SMART-4226, SMART-3963, SMART-3966, PTCF-6144, SMART-3962; HDU-CAT-R4-01 to 12; HDU-SMART-R4-12,13,15; HDU-SIWEB-R4-05; SMART-4183/retraso; APP historia de otras cantidades</t>
  </si>
  <si>
    <t>HDU-SMART-R4-12,13,15; HDU-SIWEB-R4-05; SMART-4183/retraso; APP historia de otra cantidad; HDU-SMARTVISTA-R4-16; HDU-SMART-R4-17 to 21; HDU-SIWEB-R4-01 to 04; HDU-SMART-R4-09,10</t>
  </si>
  <si>
    <t>HDU-SMART-R4-01 to 08; HDU-SIWEB-R4-01 to 05; HDU-SMART-R4-08, 17, 19-21</t>
  </si>
  <si>
    <t>HDU-SMART-R4-12,13,15; HDU-SIWEB-R4-05; SMART-4183/retraso; APP historia de otra cantidad; HDU-SMARTVISTA-R4-16; HDU-SMART-R4-17 to 21; HDU-SIWEB-R4-01 to 04; HDU-SMART-R4-11</t>
  </si>
  <si>
    <t>HDU-TDC-R4-01,03-08,10,13,14,16-21,23-27,34; HDU-SMART-R4-12,13,15; HDU-SIWEB-R4-05; SMART-4183/retraso; APP historia de otro valor; HDU-SMARTVISTA-R4-16; HDU-SMART-R4-17 to 21; HDU-SIWEB-R4-01 to 04; HDU-CAT-R4-01 to 12</t>
  </si>
  <si>
    <t>HDU-SMARTVISTA-R4-16; HDU-SMART-R4-17 to 21; HDU-SIWEB-R4-01 to 04; HDU-SMART-R4-12,13,15; HDU-SIWEB-R4-05; SMART-4183/retraso; APP historia de otro valor; HDU-CAT-R4-01 to 12</t>
  </si>
  <si>
    <t>HDU-TDC-R4-01,03-08,10,13,14,16-21,23-27,34; HDU-SMARTVISTA-R4-16; HDU-SMART-R4-17 to 21; HDU-SIWEB-R4-01 to 04; HDU-SMART-R4-12,13,15; HDU-SIWEB-R4-05; SMART-4183/pendiente; APP historia de otro tipo</t>
  </si>
  <si>
    <t>HDU-SMARTVISTA-R4-16; HDU-SMART-R4-17 to 21; HDU-SIWEB-R4-01 to 04; HDU-SMART-R4-12,13,15; HDU-SIWEB-R4-05; SMART-4183/retraso; APP historia de otro valor; HDU-CAT-R4-01 to 12; HDU-SMART-R4-01 to 08</t>
  </si>
  <si>
    <t>HDU-SMART-R4-01 to 08; HDU-SMARTVISTA-R4-16; HDU-SMART-R4-17 to 21; HDU-SIWEB-R4-01 to 04; HDU-SMART-R4-12,13,15; HDU-SIWEB-R4-05; SMART-4183/pendiente; APP historia de otro tipo</t>
  </si>
  <si>
    <t>HDU-SMART-R4-12,13,15; HDU-SIWEB-R4-05; SMART-4183/retraso; APP historia de otra cantidad; HDU-SMARTVISTA-R4-16; HDU-SMART-R4-17 to 21; HDU-SIWEB-R4-01 to 04</t>
  </si>
  <si>
    <t>HDU-SMART-R4-01 to 08; Múltiples HUs en Apolo, APP, CAT, SmartVista y SIWEB</t>
  </si>
  <si>
    <t>SMART-4219, SMART-3964, SMART-4226, SMART-3963, SMART-3966, PTCF-6144, SMART-3962; HDU-SMART-R4-12,13,15; HDU-SIWEB-R4-05; SMART-4183/retraso; APP historia de otra cantidad; HDU-SMARTVISTA-R4-16; HDU-SMART-R4-17 to 21; HDU-SIWEB-R4-01 to 04</t>
  </si>
  <si>
    <t>HDU-SMART-R4-09,10; HDU-SMART-R4-12,13,15; HDU-SIWEB-R4-05; SMART-4183/retraso; APP historia de otro valor; HDU-SMARTVISTA-R4-16; HDU-SMART-R4-17 to 21; HDU-SIWEB-R4-01 to 04</t>
  </si>
  <si>
    <t>HDU-TDC-R4-01,03-08,10,13,14,16-21,23-27,34; HDU-SMART-R4-11; HDU-SMART-R4-12,13,15; HDU-SIWEB-R4-05; SMART-4183/retraso; APP historia de otra cantidad; HDU-SMARTVISTA-R4-16; HDU-SMART-R4-17 to 21; HDU-SIWEB-R4-01 to 04</t>
  </si>
  <si>
    <t>HDU-SMARTVISTA-R4-16; HDU-SMART-R4-17 to 21; HDU-SIWEB-R4-01 to 04; HDU-SMART-R4-12,13,15; HDU-SIWEB-R4-05; SMART-4183/retraso; APP historia de otra cantidad</t>
  </si>
  <si>
    <t>HDU-SMART-R4-12,13,15; HDU-SIWEB-R4-05; SMART-4183/retraso; APP historia de otro valor; HDU-SMARTVISTA-R4-16; HDU-SMART-R4-17 to 21; HDU-SIWEB-R4-01 to 04; HDU-SIWEB-R4-01 to 05; HDU-SMART-R4-08,17,19-21</t>
  </si>
  <si>
    <t>HDU-SMART-R4-12,13,15; HDU-SIWEB-R4-05; SMART-4183/lista de pendientes; APP historia de otra cantidad; HDU-CAT-R4-01 to 12; SMART-4219, SMART-3964, SMART-4226, SMART-3963, SMART-3966, PTCF-6144, SMART-3962</t>
  </si>
  <si>
    <t>Folio/correlación, indicadores de funcionalidad, generación de UUID y consolas de administración de plataforma necesarias para el control de puesta en marcha en 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</si>
</sst>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3"/>
      <color rgb="FFFFFFFF"/>
      <name val="Arial"/>
      <charset val="1"/>
    </font>
    <font>
      <sz val="9"/>
      <color rgb="FF000000"/>
      <name val="Arial"/>
      <charset val="1"/>
    </font>
    <font>
      <b/>
      <sz val="9"/>
      <color rgb="FF000000"/>
      <name val="Arial"/>
      <charset val="1"/>
    </font>
    <font>
      <b/>
      <sz val="10"/>
      <color rgb="FFFFFFFF"/>
      <name val="Arial"/>
      <charset val="1"/>
    </font>
    <font>
      <b/>
      <sz val="9"/>
      <color rgb="FFFFFFFF"/>
      <name val="Arial"/>
      <charset val="1"/>
    </font>
    <font>
      <b/>
      <sz val="12"/>
      <color rgb="FFFFFFFF"/>
      <name val="Arial"/>
      <charset val="1"/>
    </font>
  </fonts>
  <fills count="10">
    <fill>
      <patternFill patternType="none"/>
    </fill>
    <fill>
      <patternFill patternType="gray125"/>
    </fill>
    <fill>
      <patternFill patternType="solid">
        <fgColor rgb="FF1F3864"/>
        <bgColor rgb="FF2E4C7E"/>
      </patternFill>
    </fill>
    <fill>
      <patternFill patternType="solid">
        <fgColor rgb="FFD9E1F2"/>
        <bgColor rgb="FFE2EFDA"/>
      </patternFill>
    </fill>
    <fill>
      <patternFill patternType="solid">
        <fgColor rgb="FF2E4C7E"/>
        <bgColor rgb="FF44546A"/>
      </patternFill>
    </fill>
    <fill>
      <patternFill patternType="solid">
        <fgColor rgb="FFF2F2F2"/>
        <bgColor rgb="FFE2EFDA"/>
      </patternFill>
    </fill>
    <fill>
      <patternFill patternType="solid">
        <fgColor rgb="FFFFFFFF"/>
        <bgColor rgb="FFF2F2F2"/>
      </patternFill>
    </fill>
    <fill>
      <patternFill patternType="solid">
        <fgColor rgb="FFE2EFDA"/>
        <bgColor rgb="FFF2F2F2"/>
      </patternFill>
    </fill>
    <fill>
      <patternFill patternType="solid">
        <fgColor rgb="FFFFEB9C"/>
        <bgColor rgb="FFFFCC99"/>
      </patternFill>
    </fill>
    <fill>
      <patternFill patternType="solid">
        <fgColor rgb="FF44546A"/>
        <bgColor rgb="FF2E4C7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3" fillId="3" borderId="0" xfId="0" applyFont="1" applyFill="1" applyAlignment="1">
      <alignment horizontal="left" vertical="top" wrapText="1"/>
    </xf>
    <xf numFmtId="0" fontId="2" fillId="5" borderId="0" xfId="0" applyFont="1" applyFill="1" applyAlignment="1">
      <alignment horizontal="left" vertical="top" wrapText="1"/>
    </xf>
    <xf numFmtId="0" fontId="3" fillId="5" borderId="0" xfId="0" applyFont="1" applyFill="1" applyAlignment="1">
      <alignment horizontal="center" vertical="center" wrapText="1"/>
    </xf>
    <xf numFmtId="0" fontId="2" fillId="6" borderId="0" xfId="0" applyFont="1" applyFill="1" applyAlignment="1">
      <alignment horizontal="left" vertical="top" wrapText="1"/>
    </xf>
    <xf numFmtId="0" fontId="3" fillId="6" borderId="0" xfId="0" applyFont="1" applyFill="1" applyAlignment="1">
      <alignment horizontal="center" vertical="center" wrapText="1"/>
    </xf>
    <xf numFmtId="0" fontId="3" fillId="7" borderId="0" xfId="0" applyFont="1" applyFill="1" applyAlignment="1">
      <alignment horizontal="left" vertical="top" wrapText="1"/>
    </xf>
    <xf numFmtId="0" fontId="3" fillId="8" borderId="0" xfId="0" applyFont="1" applyFill="1" applyAlignment="1">
      <alignment horizontal="left" vertical="top" wrapText="1"/>
    </xf>
    <xf numFmtId="0" fontId="3" fillId="6" borderId="0" xfId="0" applyFont="1" applyFill="1" applyAlignment="1">
      <alignment horizontal="left" vertical="top" wrapText="1"/>
    </xf>
    <xf numFmtId="0" fontId="3" fillId="5" borderId="0" xfId="0" applyFont="1" applyFill="1" applyAlignment="1">
      <alignment horizontal="left" vertical="top" wrapText="1"/>
    </xf>
    <xf numFmtId="0" fontId="5" fillId="4" borderId="0" xfId="0" applyFont="1" applyFill="1" applyAlignment="1">
      <alignment horizontal="center" vertical="top" wrapText="1"/>
    </xf>
    <xf numFmtId="0" fontId="2" fillId="5" borderId="0" xfId="0" applyFont="1" applyFill="1" applyAlignment="1">
      <alignment horizontal="center" vertical="top" wrapText="1"/>
    </xf>
    <xf numFmtId="0" fontId="2" fillId="6" borderId="0" xfId="0" applyFont="1" applyFill="1" applyAlignment="1">
      <alignment horizontal="center" vertical="top" wrapText="1"/>
    </xf>
    <xf numFmtId="0" fontId="5" fillId="4"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center" vertical="center" wrapText="1"/>
    </xf>
    <xf numFmtId="0" fontId="2" fillId="6" borderId="1" xfId="0" applyFont="1" applyFill="1" applyBorder="1"/>
    <xf numFmtId="0" fontId="2" fillId="5" borderId="1" xfId="0" applyFont="1" applyFill="1" applyBorder="1"/>
    <xf numFmtId="0" fontId="5" fillId="4" borderId="1" xfId="0" applyFont="1" applyFill="1" applyBorder="1" applyAlignment="1">
      <alignment horizontal="center" vertical="top" wrapText="1"/>
    </xf>
    <xf numFmtId="0" fontId="2" fillId="3" borderId="0" xfId="0" applyFont="1" applyFill="1" applyAlignment="1">
      <alignment horizontal="left" vertical="top" wrapText="1"/>
    </xf>
    <xf numFmtId="0" fontId="0" fillId="0" borderId="0" xfId="0"/>
    <xf numFmtId="0" fontId="6" fillId="2" borderId="0" xfId="0" applyFont="1" applyFill="1" applyAlignment="1">
      <alignment horizontal="center" vertical="center" wrapText="1"/>
    </xf>
    <xf numFmtId="0" fontId="2" fillId="6" borderId="0" xfId="0" applyFont="1" applyFill="1" applyAlignment="1">
      <alignment horizontal="left" vertical="top" wrapText="1"/>
    </xf>
    <xf numFmtId="0" fontId="2" fillId="0" borderId="0" xfId="0" applyFont="1" applyAlignment="1">
      <alignment horizontal="left" vertical="top" wrapText="1"/>
    </xf>
    <xf numFmtId="0" fontId="2" fillId="5" borderId="0" xfId="0" applyFont="1" applyFill="1" applyAlignment="1">
      <alignment horizontal="left" vertical="top" wrapText="1"/>
    </xf>
    <xf numFmtId="0" fontId="2" fillId="8" borderId="0" xfId="0" applyFont="1" applyFill="1" applyAlignment="1">
      <alignment horizontal="left" vertical="top" wrapText="1"/>
    </xf>
    <xf numFmtId="0" fontId="1" fillId="2" borderId="0" xfId="0" applyFont="1" applyFill="1" applyAlignment="1">
      <alignment horizontal="center" vertical="top" wrapText="1"/>
    </xf>
    <xf numFmtId="0" fontId="4" fillId="4" borderId="0" xfId="0" applyFont="1" applyFill="1"/>
    <xf numFmtId="0" fontId="2" fillId="7" borderId="0" xfId="0" applyFont="1" applyFill="1" applyAlignment="1">
      <alignment horizontal="left" vertical="top" wrapText="1"/>
    </xf>
    <xf numFmtId="0" fontId="4" fillId="4"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2E4C7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showGridLines="0" zoomScaleNormal="100" workbookViewId="0">
      <selection activeCell="J11" sqref="J11"/>
    </sheetView>
  </sheetViews>
  <sheetFormatPr defaultColWidth="8.7109375" defaultRowHeight="15" x14ac:dyDescent="0.25"/>
  <cols>
    <col min="1" max="1" width="32" customWidth="1"/>
    <col min="2" max="2" width="12" customWidth="1"/>
    <col min="3" max="3" width="6" customWidth="1"/>
    <col min="4" max="5" width="36" customWidth="1"/>
    <col min="6" max="6" width="18" customWidth="1"/>
  </cols>
  <sheetData>
    <row r="1" spans="1:6" ht="24" customHeight="1" x14ac:dyDescent="0.25">
      <c r="A1" s="31" t="s">
        <v>0</v>
      </c>
      <c r="B1" s="25"/>
      <c r="C1" s="25"/>
      <c r="D1" s="25"/>
      <c r="E1" s="25"/>
      <c r="F1" s="25"/>
    </row>
    <row r="2" spans="1:6" ht="21.75" customHeight="1" x14ac:dyDescent="0.25">
      <c r="A2" s="24" t="s">
        <v>1</v>
      </c>
      <c r="B2" s="25"/>
      <c r="C2" s="25"/>
      <c r="D2" s="25"/>
      <c r="E2" s="25"/>
      <c r="F2" s="25"/>
    </row>
    <row r="3" spans="1:6" ht="7.5" customHeight="1" x14ac:dyDescent="0.25"/>
    <row r="4" spans="1:6" ht="36" customHeight="1" x14ac:dyDescent="0.25">
      <c r="A4" s="1" t="s">
        <v>2</v>
      </c>
      <c r="B4" s="28" t="s">
        <v>3</v>
      </c>
      <c r="C4" s="25"/>
      <c r="D4" s="25"/>
      <c r="E4" s="25"/>
      <c r="F4" s="25"/>
    </row>
    <row r="5" spans="1:6" ht="36" customHeight="1" x14ac:dyDescent="0.25">
      <c r="A5" s="1" t="s">
        <v>4</v>
      </c>
      <c r="B5" s="28" t="s">
        <v>1031</v>
      </c>
      <c r="C5" s="25"/>
      <c r="D5" s="25"/>
      <c r="E5" s="25"/>
      <c r="F5" s="25"/>
    </row>
    <row r="6" spans="1:6" ht="36" customHeight="1" x14ac:dyDescent="0.25">
      <c r="A6" s="1" t="s">
        <v>5</v>
      </c>
      <c r="B6" s="28" t="s">
        <v>1032</v>
      </c>
      <c r="C6" s="25"/>
      <c r="D6" s="25"/>
      <c r="E6" s="25"/>
      <c r="F6" s="25"/>
    </row>
    <row r="7" spans="1:6" ht="7.5" customHeight="1" x14ac:dyDescent="0.25"/>
    <row r="8" spans="1:6" ht="7.5" customHeight="1" x14ac:dyDescent="0.25"/>
    <row r="9" spans="1:6" ht="19.5" customHeight="1" x14ac:dyDescent="0.25">
      <c r="A9" s="32" t="s">
        <v>6</v>
      </c>
      <c r="B9" s="25"/>
      <c r="D9" s="32" t="s">
        <v>7</v>
      </c>
      <c r="E9" s="25"/>
      <c r="F9" s="25"/>
    </row>
    <row r="10" spans="1:6" ht="15.75" customHeight="1" x14ac:dyDescent="0.25">
      <c r="A10" s="2" t="s">
        <v>8</v>
      </c>
      <c r="B10" s="3">
        <f>COUNTA('Mapeo de Capacidades de Dominio'!$A$5:$A$500)</f>
        <v>121</v>
      </c>
      <c r="D10" s="2" t="s">
        <v>9</v>
      </c>
      <c r="E10" s="29" t="s">
        <v>10</v>
      </c>
      <c r="F10" s="25"/>
    </row>
    <row r="11" spans="1:6" ht="15.75" customHeight="1" x14ac:dyDescent="0.25">
      <c r="A11" s="4" t="s">
        <v>11</v>
      </c>
      <c r="B11" s="5">
        <f>COUNTA('Kernel de Soporte'!$A$5:$A$200)</f>
        <v>21</v>
      </c>
      <c r="D11" s="4" t="s">
        <v>12</v>
      </c>
      <c r="E11" s="27" t="s">
        <v>13</v>
      </c>
      <c r="F11" s="25"/>
    </row>
    <row r="12" spans="1:6" ht="15.75" customHeight="1" x14ac:dyDescent="0.25">
      <c r="A12" s="2" t="s">
        <v>14</v>
      </c>
      <c r="B12" s="3">
        <f>COUNTIF('Mapeo de Capacidades de Dominio'!$D:$D,"P0*")</f>
        <v>102</v>
      </c>
      <c r="D12" s="2" t="s">
        <v>15</v>
      </c>
      <c r="E12" s="29" t="s">
        <v>315</v>
      </c>
      <c r="F12" s="25"/>
    </row>
    <row r="13" spans="1:6" ht="15.75" customHeight="1" x14ac:dyDescent="0.25">
      <c r="A13" s="4" t="s">
        <v>16</v>
      </c>
      <c r="B13" s="5">
        <f>COUNTIF('Mapeo de Capacidades de Dominio'!$D:$D,"P1*")</f>
        <v>18</v>
      </c>
      <c r="D13" s="4" t="s">
        <v>316</v>
      </c>
      <c r="E13" s="27" t="s">
        <v>17</v>
      </c>
      <c r="F13" s="25"/>
    </row>
    <row r="14" spans="1:6" ht="15.75" customHeight="1" x14ac:dyDescent="0.25">
      <c r="A14" s="2" t="s">
        <v>18</v>
      </c>
      <c r="B14" s="3">
        <f>COUNTIF('Mapeo de Capacidades de Dominio'!$D:$D,"P2*")</f>
        <v>1</v>
      </c>
      <c r="D14" s="2" t="s">
        <v>19</v>
      </c>
      <c r="E14" s="29" t="s">
        <v>20</v>
      </c>
      <c r="F14" s="25"/>
    </row>
    <row r="15" spans="1:6" ht="15.75" customHeight="1" x14ac:dyDescent="0.25">
      <c r="A15" s="4" t="s">
        <v>21</v>
      </c>
      <c r="B15" s="5">
        <f>COUNTIF('Mapeo de Capacidades de Dominio'!$E:$E,"Muy Alto*")</f>
        <v>40</v>
      </c>
      <c r="D15" s="4" t="s">
        <v>22</v>
      </c>
      <c r="E15" s="27" t="s">
        <v>23</v>
      </c>
      <c r="F15" s="25"/>
    </row>
    <row r="16" spans="1:6" ht="15.75" customHeight="1" x14ac:dyDescent="0.25">
      <c r="A16" s="2" t="s">
        <v>24</v>
      </c>
      <c r="B16" s="3">
        <f>COUNTIF('Mapeo de Capacidades de Dominio'!$E:$E,"Alto*")</f>
        <v>62</v>
      </c>
      <c r="D16" s="2" t="s">
        <v>25</v>
      </c>
      <c r="E16" s="29" t="s">
        <v>26</v>
      </c>
      <c r="F16" s="25"/>
    </row>
    <row r="17" spans="1:6" ht="15.75" customHeight="1" x14ac:dyDescent="0.25">
      <c r="A17" s="4" t="s">
        <v>27</v>
      </c>
      <c r="B17" s="5">
        <f>COUNTIF('Mapeo de Capacidades de Dominio'!$E:$E,"Medio*")</f>
        <v>19</v>
      </c>
      <c r="D17" s="4" t="s">
        <v>28</v>
      </c>
      <c r="E17" s="27" t="s">
        <v>29</v>
      </c>
      <c r="F17" s="25"/>
    </row>
    <row r="18" spans="1:6" ht="9.75" customHeight="1" x14ac:dyDescent="0.25"/>
    <row r="19" spans="1:6" ht="9.75" customHeight="1" x14ac:dyDescent="0.25"/>
    <row r="20" spans="1:6" ht="18" customHeight="1" x14ac:dyDescent="0.25">
      <c r="A20" s="34" t="s">
        <v>30</v>
      </c>
      <c r="B20" s="25"/>
      <c r="C20" s="25"/>
      <c r="D20" s="25"/>
      <c r="E20" s="25"/>
      <c r="F20" s="25"/>
    </row>
    <row r="21" spans="1:6" ht="13.5" customHeight="1" x14ac:dyDescent="0.25">
      <c r="A21" s="6" t="s">
        <v>31</v>
      </c>
      <c r="B21" s="33" t="s">
        <v>32</v>
      </c>
      <c r="C21" s="25"/>
      <c r="D21" s="25"/>
      <c r="E21" s="25"/>
      <c r="F21" s="25"/>
    </row>
    <row r="22" spans="1:6" ht="13.5" customHeight="1" x14ac:dyDescent="0.25">
      <c r="A22" s="7" t="s">
        <v>33</v>
      </c>
      <c r="B22" s="30" t="s">
        <v>34</v>
      </c>
      <c r="C22" s="25"/>
      <c r="D22" s="25"/>
      <c r="E22" s="25"/>
      <c r="F22" s="25"/>
    </row>
    <row r="23" spans="1:6" ht="13.5" customHeight="1" x14ac:dyDescent="0.25">
      <c r="A23" s="8" t="s">
        <v>35</v>
      </c>
      <c r="B23" s="27" t="s">
        <v>36</v>
      </c>
      <c r="C23" s="25"/>
      <c r="D23" s="25"/>
      <c r="E23" s="25"/>
      <c r="F23" s="25"/>
    </row>
    <row r="24" spans="1:6" ht="13.5" customHeight="1" x14ac:dyDescent="0.25">
      <c r="A24" s="8" t="s">
        <v>37</v>
      </c>
      <c r="B24" s="27" t="s">
        <v>38</v>
      </c>
      <c r="C24" s="25"/>
      <c r="D24" s="25"/>
      <c r="E24" s="25"/>
      <c r="F24" s="25"/>
    </row>
    <row r="25" spans="1:6" ht="13.5" customHeight="1" x14ac:dyDescent="0.25">
      <c r="A25" s="8" t="s">
        <v>39</v>
      </c>
      <c r="B25" s="27" t="s">
        <v>40</v>
      </c>
      <c r="C25" s="25"/>
      <c r="D25" s="25"/>
      <c r="E25" s="25"/>
      <c r="F25" s="25"/>
    </row>
    <row r="26" spans="1:6" ht="13.5" customHeight="1" x14ac:dyDescent="0.25">
      <c r="A26" s="8" t="s">
        <v>41</v>
      </c>
      <c r="B26" s="27" t="s">
        <v>1033</v>
      </c>
      <c r="C26" s="25"/>
      <c r="D26" s="25"/>
      <c r="E26" s="25"/>
      <c r="F26" s="25"/>
    </row>
    <row r="27" spans="1:6" ht="13.5" customHeight="1" x14ac:dyDescent="0.25">
      <c r="A27" s="9" t="s">
        <v>42</v>
      </c>
      <c r="B27" s="29" t="s">
        <v>43</v>
      </c>
      <c r="C27" s="25"/>
      <c r="D27" s="25"/>
      <c r="E27" s="25"/>
      <c r="F27" s="25"/>
    </row>
    <row r="28" spans="1:6" ht="9.75" customHeight="1" x14ac:dyDescent="0.25"/>
    <row r="29" spans="1:6" ht="9.75" customHeight="1" x14ac:dyDescent="0.25"/>
    <row r="30" spans="1:6" ht="15.75" customHeight="1" x14ac:dyDescent="0.25">
      <c r="A30" s="10" t="s">
        <v>317</v>
      </c>
      <c r="B30" s="10" t="s">
        <v>44</v>
      </c>
    </row>
    <row r="31" spans="1:6" ht="13.5" customHeight="1" x14ac:dyDescent="0.25">
      <c r="A31" s="2" t="s">
        <v>45</v>
      </c>
      <c r="B31" s="11">
        <v>22</v>
      </c>
    </row>
    <row r="32" spans="1:6" ht="13.5" customHeight="1" x14ac:dyDescent="0.25">
      <c r="A32" s="4" t="s">
        <v>46</v>
      </c>
      <c r="B32" s="12">
        <v>12</v>
      </c>
    </row>
    <row r="33" spans="1:2" ht="13.5" customHeight="1" x14ac:dyDescent="0.25">
      <c r="A33" s="2" t="s">
        <v>47</v>
      </c>
      <c r="B33" s="11">
        <v>5</v>
      </c>
    </row>
    <row r="34" spans="1:2" ht="13.5" customHeight="1" x14ac:dyDescent="0.25">
      <c r="A34" s="4" t="s">
        <v>48</v>
      </c>
      <c r="B34" s="12">
        <v>22</v>
      </c>
    </row>
    <row r="35" spans="1:2" ht="13.5" customHeight="1" x14ac:dyDescent="0.25">
      <c r="A35" s="2" t="s">
        <v>49</v>
      </c>
      <c r="B35" s="11">
        <v>15</v>
      </c>
    </row>
  </sheetData>
  <mergeCells count="23">
    <mergeCell ref="A1:F1"/>
    <mergeCell ref="B5:F5"/>
    <mergeCell ref="A9:B9"/>
    <mergeCell ref="B26:F26"/>
    <mergeCell ref="B27:F27"/>
    <mergeCell ref="B21:F21"/>
    <mergeCell ref="A2:F2"/>
    <mergeCell ref="E10:F10"/>
    <mergeCell ref="D9:F9"/>
    <mergeCell ref="E13:F13"/>
    <mergeCell ref="B23:F23"/>
    <mergeCell ref="A20:F20"/>
    <mergeCell ref="E15:F15"/>
    <mergeCell ref="E11:F11"/>
    <mergeCell ref="B6:F6"/>
    <mergeCell ref="E16:F16"/>
    <mergeCell ref="B24:F24"/>
    <mergeCell ref="B4:F4"/>
    <mergeCell ref="E12:F12"/>
    <mergeCell ref="B25:F25"/>
    <mergeCell ref="E14:F14"/>
    <mergeCell ref="B22:F22"/>
    <mergeCell ref="E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5"/>
  <sheetViews>
    <sheetView showGridLines="0" zoomScaleNormal="100" workbookViewId="0">
      <pane ySplit="4" topLeftCell="A5" activePane="bottomLeft" state="frozen"/>
      <selection pane="bottomLeft" activeCell="B5" sqref="B5"/>
    </sheetView>
  </sheetViews>
  <sheetFormatPr defaultColWidth="8.7109375" defaultRowHeight="15" x14ac:dyDescent="0.25"/>
  <cols>
    <col min="1" max="1" width="32" customWidth="1"/>
    <col min="2" max="2" width="44" customWidth="1"/>
    <col min="3" max="3" width="42" customWidth="1"/>
    <col min="4" max="4" width="28" customWidth="1"/>
    <col min="5" max="5" width="32" customWidth="1"/>
    <col min="6" max="6" width="13" customWidth="1"/>
    <col min="7" max="7" width="12" customWidth="1"/>
    <col min="8" max="8" width="26" customWidth="1"/>
    <col min="9" max="9" width="20" customWidth="1"/>
    <col min="10" max="10" width="36" customWidth="1"/>
    <col min="11" max="11" width="34" customWidth="1"/>
    <col min="12" max="12" width="42" customWidth="1"/>
    <col min="13" max="13" width="44" customWidth="1"/>
    <col min="14" max="14" width="40" customWidth="1"/>
  </cols>
  <sheetData>
    <row r="1" spans="1:14" ht="21.75" customHeight="1" x14ac:dyDescent="0.25">
      <c r="A1" s="26" t="s">
        <v>50</v>
      </c>
      <c r="B1" s="25"/>
      <c r="C1" s="25"/>
      <c r="D1" s="25"/>
      <c r="E1" s="25"/>
      <c r="F1" s="25"/>
      <c r="G1" s="25"/>
      <c r="H1" s="25"/>
      <c r="I1" s="25"/>
      <c r="J1" s="25"/>
      <c r="K1" s="25"/>
      <c r="L1" s="25"/>
      <c r="M1" s="25"/>
      <c r="N1" s="25"/>
    </row>
    <row r="2" spans="1:14" ht="24" customHeight="1" x14ac:dyDescent="0.25">
      <c r="A2" s="24" t="s">
        <v>51</v>
      </c>
      <c r="B2" s="25"/>
      <c r="C2" s="25"/>
      <c r="D2" s="25"/>
      <c r="E2" s="25"/>
      <c r="F2" s="25"/>
      <c r="G2" s="25"/>
      <c r="H2" s="25"/>
      <c r="I2" s="25"/>
      <c r="J2" s="25"/>
      <c r="K2" s="25"/>
      <c r="L2" s="25"/>
      <c r="M2" s="25"/>
      <c r="N2" s="25"/>
    </row>
    <row r="3" spans="1:14" ht="6" customHeight="1" x14ac:dyDescent="0.25"/>
    <row r="4" spans="1:14" ht="37.5" customHeight="1" x14ac:dyDescent="0.25">
      <c r="A4" s="13" t="s">
        <v>52</v>
      </c>
      <c r="B4" s="13" t="s">
        <v>53</v>
      </c>
      <c r="C4" s="13" t="s">
        <v>54</v>
      </c>
      <c r="D4" s="13" t="s">
        <v>55</v>
      </c>
      <c r="E4" s="13" t="s">
        <v>56</v>
      </c>
      <c r="F4" s="13" t="s">
        <v>57</v>
      </c>
      <c r="G4" s="13" t="s">
        <v>58</v>
      </c>
      <c r="H4" s="13" t="s">
        <v>59</v>
      </c>
      <c r="I4" s="13" t="s">
        <v>60</v>
      </c>
      <c r="J4" s="13" t="s">
        <v>61</v>
      </c>
      <c r="K4" s="13" t="s">
        <v>62</v>
      </c>
      <c r="L4" s="13" t="s">
        <v>63</v>
      </c>
      <c r="M4" s="13" t="s">
        <v>64</v>
      </c>
      <c r="N4" s="13" t="s">
        <v>65</v>
      </c>
    </row>
    <row r="5" spans="1:14" ht="72" customHeight="1" x14ac:dyDescent="0.25">
      <c r="A5" s="14" t="s">
        <v>318</v>
      </c>
      <c r="B5" s="15" t="s">
        <v>946</v>
      </c>
      <c r="C5" s="15" t="s">
        <v>947</v>
      </c>
      <c r="D5" s="16" t="s">
        <v>32</v>
      </c>
      <c r="E5" s="15" t="s">
        <v>38</v>
      </c>
      <c r="F5" s="15">
        <v>8.1</v>
      </c>
      <c r="G5" s="15" t="s">
        <v>66</v>
      </c>
      <c r="H5" s="15" t="s">
        <v>1025</v>
      </c>
      <c r="I5" s="15" t="s">
        <v>67</v>
      </c>
      <c r="J5" s="15" t="s">
        <v>859</v>
      </c>
      <c r="K5" s="15" t="s">
        <v>948</v>
      </c>
      <c r="L5" s="15" t="s">
        <v>319</v>
      </c>
      <c r="M5" s="15" t="s">
        <v>949</v>
      </c>
      <c r="N5" s="15" t="s">
        <v>320</v>
      </c>
    </row>
    <row r="6" spans="1:14" ht="72" customHeight="1" x14ac:dyDescent="0.25">
      <c r="A6" s="17" t="s">
        <v>321</v>
      </c>
      <c r="B6" s="18" t="s">
        <v>950</v>
      </c>
      <c r="C6" s="18" t="s">
        <v>322</v>
      </c>
      <c r="D6" s="16" t="s">
        <v>32</v>
      </c>
      <c r="E6" s="18" t="s">
        <v>40</v>
      </c>
      <c r="F6" s="18" t="s">
        <v>68</v>
      </c>
      <c r="G6" s="18" t="s">
        <v>69</v>
      </c>
      <c r="H6" s="18" t="s">
        <v>1025</v>
      </c>
      <c r="I6" s="18" t="s">
        <v>67</v>
      </c>
      <c r="J6" s="18" t="s">
        <v>70</v>
      </c>
      <c r="K6" s="18" t="s">
        <v>951</v>
      </c>
      <c r="L6" s="18" t="s">
        <v>323</v>
      </c>
      <c r="M6" s="18" t="s">
        <v>949</v>
      </c>
      <c r="N6" s="18" t="s">
        <v>324</v>
      </c>
    </row>
    <row r="7" spans="1:14" ht="72" customHeight="1" x14ac:dyDescent="0.25">
      <c r="A7" s="14" t="s">
        <v>325</v>
      </c>
      <c r="B7" s="15" t="s">
        <v>952</v>
      </c>
      <c r="C7" s="15" t="s">
        <v>326</v>
      </c>
      <c r="D7" s="16" t="s">
        <v>32</v>
      </c>
      <c r="E7" s="15" t="s">
        <v>40</v>
      </c>
      <c r="F7" s="15" t="s">
        <v>71</v>
      </c>
      <c r="G7" s="15" t="s">
        <v>69</v>
      </c>
      <c r="H7" s="15" t="s">
        <v>1025</v>
      </c>
      <c r="I7" s="15" t="s">
        <v>67</v>
      </c>
      <c r="J7" s="15" t="s">
        <v>72</v>
      </c>
      <c r="K7" s="15" t="s">
        <v>953</v>
      </c>
      <c r="L7" s="15" t="s">
        <v>327</v>
      </c>
      <c r="M7" s="15" t="s">
        <v>949</v>
      </c>
      <c r="N7" s="15" t="s">
        <v>328</v>
      </c>
    </row>
    <row r="8" spans="1:14" ht="72" customHeight="1" x14ac:dyDescent="0.25">
      <c r="A8" s="17" t="s">
        <v>329</v>
      </c>
      <c r="B8" s="18" t="s">
        <v>954</v>
      </c>
      <c r="C8" s="18" t="s">
        <v>955</v>
      </c>
      <c r="D8" s="16" t="s">
        <v>32</v>
      </c>
      <c r="E8" s="18" t="s">
        <v>38</v>
      </c>
      <c r="F8" s="18" t="s">
        <v>73</v>
      </c>
      <c r="G8" s="18" t="s">
        <v>69</v>
      </c>
      <c r="H8" s="18" t="s">
        <v>1025</v>
      </c>
      <c r="I8" s="18" t="s">
        <v>67</v>
      </c>
      <c r="J8" s="18" t="s">
        <v>74</v>
      </c>
      <c r="K8" s="18" t="s">
        <v>75</v>
      </c>
      <c r="L8" s="18" t="s">
        <v>330</v>
      </c>
      <c r="M8" s="18" t="s">
        <v>949</v>
      </c>
      <c r="N8" s="18" t="s">
        <v>956</v>
      </c>
    </row>
    <row r="9" spans="1:14" ht="72" customHeight="1" x14ac:dyDescent="0.25">
      <c r="A9" s="14" t="s">
        <v>331</v>
      </c>
      <c r="B9" s="15" t="s">
        <v>332</v>
      </c>
      <c r="C9" s="15" t="s">
        <v>906</v>
      </c>
      <c r="D9" s="16" t="s">
        <v>32</v>
      </c>
      <c r="E9" s="15" t="s">
        <v>40</v>
      </c>
      <c r="F9" s="15" t="s">
        <v>76</v>
      </c>
      <c r="G9" s="15" t="s">
        <v>69</v>
      </c>
      <c r="H9" s="15" t="s">
        <v>1025</v>
      </c>
      <c r="I9" s="15" t="s">
        <v>67</v>
      </c>
      <c r="J9" s="15" t="s">
        <v>333</v>
      </c>
      <c r="K9" s="15" t="s">
        <v>334</v>
      </c>
      <c r="L9" s="15" t="s">
        <v>335</v>
      </c>
      <c r="M9" s="15" t="s">
        <v>949</v>
      </c>
      <c r="N9" s="15" t="s">
        <v>336</v>
      </c>
    </row>
    <row r="10" spans="1:14" ht="72" customHeight="1" x14ac:dyDescent="0.25">
      <c r="A10" s="17" t="s">
        <v>337</v>
      </c>
      <c r="B10" s="18" t="s">
        <v>957</v>
      </c>
      <c r="C10" s="18" t="s">
        <v>860</v>
      </c>
      <c r="D10" s="16" t="s">
        <v>32</v>
      </c>
      <c r="E10" s="18" t="s">
        <v>38</v>
      </c>
      <c r="F10" s="18">
        <v>8.1999999999999993</v>
      </c>
      <c r="G10" s="18" t="s">
        <v>66</v>
      </c>
      <c r="H10" s="18" t="s">
        <v>1025</v>
      </c>
      <c r="I10" s="18" t="s">
        <v>67</v>
      </c>
      <c r="J10" s="18" t="s">
        <v>859</v>
      </c>
      <c r="K10" s="18" t="s">
        <v>948</v>
      </c>
      <c r="L10" s="18" t="s">
        <v>338</v>
      </c>
      <c r="M10" s="18" t="s">
        <v>907</v>
      </c>
      <c r="N10" s="18" t="s">
        <v>339</v>
      </c>
    </row>
    <row r="11" spans="1:14" ht="72" customHeight="1" x14ac:dyDescent="0.25">
      <c r="A11" s="14" t="s">
        <v>340</v>
      </c>
      <c r="B11" s="15" t="s">
        <v>861</v>
      </c>
      <c r="C11" s="15" t="s">
        <v>862</v>
      </c>
      <c r="D11" s="16" t="s">
        <v>32</v>
      </c>
      <c r="E11" s="15" t="s">
        <v>38</v>
      </c>
      <c r="F11" s="15" t="s">
        <v>77</v>
      </c>
      <c r="G11" s="15" t="s">
        <v>69</v>
      </c>
      <c r="H11" s="15" t="s">
        <v>1025</v>
      </c>
      <c r="I11" s="15" t="s">
        <v>67</v>
      </c>
      <c r="J11" s="15" t="s">
        <v>78</v>
      </c>
      <c r="K11" s="15" t="s">
        <v>79</v>
      </c>
      <c r="L11" s="15" t="s">
        <v>341</v>
      </c>
      <c r="M11" s="15" t="s">
        <v>863</v>
      </c>
      <c r="N11" s="15" t="s">
        <v>342</v>
      </c>
    </row>
    <row r="12" spans="1:14" ht="72" customHeight="1" x14ac:dyDescent="0.25">
      <c r="A12" s="17" t="s">
        <v>80</v>
      </c>
      <c r="B12" s="18" t="s">
        <v>1034</v>
      </c>
      <c r="C12" s="18" t="s">
        <v>343</v>
      </c>
      <c r="D12" s="16" t="s">
        <v>32</v>
      </c>
      <c r="E12" s="18" t="s">
        <v>38</v>
      </c>
      <c r="F12" s="18" t="s">
        <v>81</v>
      </c>
      <c r="G12" s="18" t="s">
        <v>69</v>
      </c>
      <c r="H12" s="18" t="s">
        <v>1025</v>
      </c>
      <c r="I12" s="18" t="s">
        <v>67</v>
      </c>
      <c r="J12" s="18" t="s">
        <v>82</v>
      </c>
      <c r="K12" s="18" t="s">
        <v>83</v>
      </c>
      <c r="L12" s="18" t="s">
        <v>344</v>
      </c>
      <c r="M12" s="18" t="s">
        <v>863</v>
      </c>
      <c r="N12" s="18" t="s">
        <v>345</v>
      </c>
    </row>
    <row r="13" spans="1:14" ht="72" customHeight="1" x14ac:dyDescent="0.25">
      <c r="A13" s="14" t="s">
        <v>346</v>
      </c>
      <c r="B13" s="15" t="s">
        <v>864</v>
      </c>
      <c r="C13" s="15" t="s">
        <v>347</v>
      </c>
      <c r="D13" s="16" t="s">
        <v>32</v>
      </c>
      <c r="E13" s="15" t="s">
        <v>40</v>
      </c>
      <c r="F13" s="15" t="s">
        <v>84</v>
      </c>
      <c r="G13" s="15" t="s">
        <v>69</v>
      </c>
      <c r="H13" s="15" t="s">
        <v>1025</v>
      </c>
      <c r="I13" s="15" t="s">
        <v>67</v>
      </c>
      <c r="J13" s="15" t="s">
        <v>85</v>
      </c>
      <c r="K13" s="15" t="s">
        <v>86</v>
      </c>
      <c r="L13" s="15" t="s">
        <v>348</v>
      </c>
      <c r="M13" s="15" t="s">
        <v>863</v>
      </c>
      <c r="N13" s="15" t="s">
        <v>349</v>
      </c>
    </row>
    <row r="14" spans="1:14" ht="72" customHeight="1" x14ac:dyDescent="0.25">
      <c r="A14" s="17" t="s">
        <v>350</v>
      </c>
      <c r="B14" s="18" t="s">
        <v>958</v>
      </c>
      <c r="C14" s="18" t="s">
        <v>351</v>
      </c>
      <c r="D14" s="16" t="s">
        <v>32</v>
      </c>
      <c r="E14" s="18" t="s">
        <v>40</v>
      </c>
      <c r="F14" s="18">
        <v>8.3000000000000007</v>
      </c>
      <c r="G14" s="18" t="s">
        <v>66</v>
      </c>
      <c r="H14" s="18" t="s">
        <v>1025</v>
      </c>
      <c r="I14" s="18" t="s">
        <v>67</v>
      </c>
      <c r="J14" s="18" t="s">
        <v>1071</v>
      </c>
      <c r="K14" s="18" t="s">
        <v>865</v>
      </c>
      <c r="L14" s="18" t="s">
        <v>352</v>
      </c>
      <c r="M14" s="18" t="s">
        <v>866</v>
      </c>
      <c r="N14" s="18" t="s">
        <v>353</v>
      </c>
    </row>
    <row r="15" spans="1:14" ht="72" customHeight="1" x14ac:dyDescent="0.25">
      <c r="A15" s="14" t="s">
        <v>354</v>
      </c>
      <c r="B15" s="15" t="s">
        <v>959</v>
      </c>
      <c r="C15" s="15" t="s">
        <v>355</v>
      </c>
      <c r="D15" s="16" t="s">
        <v>32</v>
      </c>
      <c r="E15" s="15" t="s">
        <v>40</v>
      </c>
      <c r="F15" s="15" t="s">
        <v>87</v>
      </c>
      <c r="G15" s="15" t="s">
        <v>69</v>
      </c>
      <c r="H15" s="15" t="s">
        <v>1025</v>
      </c>
      <c r="I15" s="15" t="s">
        <v>67</v>
      </c>
      <c r="J15" s="15" t="s">
        <v>859</v>
      </c>
      <c r="K15" s="15" t="s">
        <v>948</v>
      </c>
      <c r="L15" s="15" t="s">
        <v>356</v>
      </c>
      <c r="M15" s="15" t="s">
        <v>866</v>
      </c>
      <c r="N15" s="15" t="s">
        <v>357</v>
      </c>
    </row>
    <row r="16" spans="1:14" ht="72" customHeight="1" x14ac:dyDescent="0.25">
      <c r="A16" s="17" t="s">
        <v>358</v>
      </c>
      <c r="B16" s="18" t="s">
        <v>960</v>
      </c>
      <c r="C16" s="18" t="s">
        <v>961</v>
      </c>
      <c r="D16" s="16" t="s">
        <v>32</v>
      </c>
      <c r="E16" s="18" t="s">
        <v>40</v>
      </c>
      <c r="F16" s="18" t="s">
        <v>88</v>
      </c>
      <c r="G16" s="18" t="s">
        <v>69</v>
      </c>
      <c r="H16" s="18" t="s">
        <v>1025</v>
      </c>
      <c r="I16" s="18" t="s">
        <v>67</v>
      </c>
      <c r="J16" s="18" t="s">
        <v>1072</v>
      </c>
      <c r="K16" s="18" t="s">
        <v>89</v>
      </c>
      <c r="L16" s="18" t="s">
        <v>359</v>
      </c>
      <c r="M16" s="18" t="s">
        <v>866</v>
      </c>
      <c r="N16" s="18" t="s">
        <v>360</v>
      </c>
    </row>
    <row r="17" spans="1:14" ht="72" customHeight="1" x14ac:dyDescent="0.25">
      <c r="A17" s="14" t="s">
        <v>361</v>
      </c>
      <c r="B17" s="15" t="s">
        <v>962</v>
      </c>
      <c r="C17" s="15" t="s">
        <v>867</v>
      </c>
      <c r="D17" s="16" t="s">
        <v>32</v>
      </c>
      <c r="E17" s="15" t="s">
        <v>40</v>
      </c>
      <c r="F17" s="15">
        <v>8.4</v>
      </c>
      <c r="G17" s="15" t="s">
        <v>66</v>
      </c>
      <c r="H17" s="15" t="s">
        <v>1025</v>
      </c>
      <c r="I17" s="15" t="s">
        <v>67</v>
      </c>
      <c r="J17" s="15" t="s">
        <v>78</v>
      </c>
      <c r="K17" s="15" t="s">
        <v>90</v>
      </c>
      <c r="L17" s="15" t="s">
        <v>362</v>
      </c>
      <c r="M17" s="15" t="s">
        <v>868</v>
      </c>
      <c r="N17" s="15" t="s">
        <v>363</v>
      </c>
    </row>
    <row r="18" spans="1:14" ht="72" customHeight="1" x14ac:dyDescent="0.25">
      <c r="A18" s="17" t="s">
        <v>364</v>
      </c>
      <c r="B18" s="18" t="s">
        <v>963</v>
      </c>
      <c r="C18" s="18" t="s">
        <v>365</v>
      </c>
      <c r="D18" s="16" t="s">
        <v>32</v>
      </c>
      <c r="E18" s="18" t="s">
        <v>40</v>
      </c>
      <c r="F18" s="18" t="s">
        <v>91</v>
      </c>
      <c r="G18" s="18" t="s">
        <v>69</v>
      </c>
      <c r="H18" s="18" t="s">
        <v>1025</v>
      </c>
      <c r="I18" s="18" t="s">
        <v>67</v>
      </c>
      <c r="J18" s="18" t="s">
        <v>92</v>
      </c>
      <c r="K18" s="18" t="s">
        <v>93</v>
      </c>
      <c r="L18" s="18" t="s">
        <v>366</v>
      </c>
      <c r="M18" s="18" t="s">
        <v>868</v>
      </c>
      <c r="N18" s="18" t="s">
        <v>367</v>
      </c>
    </row>
    <row r="19" spans="1:14" ht="72" customHeight="1" x14ac:dyDescent="0.25">
      <c r="A19" s="14" t="s">
        <v>368</v>
      </c>
      <c r="B19" s="15" t="s">
        <v>1035</v>
      </c>
      <c r="C19" s="15" t="s">
        <v>869</v>
      </c>
      <c r="D19" s="16" t="s">
        <v>32</v>
      </c>
      <c r="E19" s="15" t="s">
        <v>38</v>
      </c>
      <c r="F19" s="15" t="s">
        <v>94</v>
      </c>
      <c r="G19" s="15" t="s">
        <v>69</v>
      </c>
      <c r="H19" s="15" t="s">
        <v>1025</v>
      </c>
      <c r="I19" s="15" t="s">
        <v>67</v>
      </c>
      <c r="J19" s="15" t="s">
        <v>1073</v>
      </c>
      <c r="K19" s="15" t="s">
        <v>95</v>
      </c>
      <c r="L19" s="15" t="s">
        <v>369</v>
      </c>
      <c r="M19" s="15" t="s">
        <v>868</v>
      </c>
      <c r="N19" s="15" t="s">
        <v>370</v>
      </c>
    </row>
    <row r="20" spans="1:14" ht="72" customHeight="1" x14ac:dyDescent="0.25">
      <c r="A20" s="17" t="s">
        <v>371</v>
      </c>
      <c r="B20" s="18" t="s">
        <v>1036</v>
      </c>
      <c r="C20" s="18" t="s">
        <v>372</v>
      </c>
      <c r="D20" s="16" t="s">
        <v>32</v>
      </c>
      <c r="E20" s="18" t="s">
        <v>38</v>
      </c>
      <c r="F20" s="18" t="s">
        <v>96</v>
      </c>
      <c r="G20" s="18" t="s">
        <v>69</v>
      </c>
      <c r="H20" s="18" t="s">
        <v>1025</v>
      </c>
      <c r="I20" s="18" t="s">
        <v>67</v>
      </c>
      <c r="J20" s="18" t="s">
        <v>97</v>
      </c>
      <c r="K20" s="18" t="s">
        <v>95</v>
      </c>
      <c r="L20" s="18" t="s">
        <v>373</v>
      </c>
      <c r="M20" s="18" t="s">
        <v>868</v>
      </c>
      <c r="N20" s="18" t="s">
        <v>374</v>
      </c>
    </row>
    <row r="21" spans="1:14" ht="72" customHeight="1" x14ac:dyDescent="0.25">
      <c r="A21" s="14" t="s">
        <v>98</v>
      </c>
      <c r="B21" s="15" t="s">
        <v>375</v>
      </c>
      <c r="C21" s="15" t="s">
        <v>376</v>
      </c>
      <c r="D21" s="15" t="s">
        <v>36</v>
      </c>
      <c r="E21" s="15" t="s">
        <v>1033</v>
      </c>
      <c r="F21" s="15" t="s">
        <v>99</v>
      </c>
      <c r="G21" s="15" t="s">
        <v>69</v>
      </c>
      <c r="H21" s="15" t="s">
        <v>1025</v>
      </c>
      <c r="I21" s="15" t="s">
        <v>67</v>
      </c>
      <c r="J21" s="15" t="s">
        <v>859</v>
      </c>
      <c r="K21" s="15" t="s">
        <v>377</v>
      </c>
      <c r="L21" s="15" t="s">
        <v>378</v>
      </c>
      <c r="M21" s="15" t="s">
        <v>868</v>
      </c>
      <c r="N21" s="15" t="s">
        <v>1037</v>
      </c>
    </row>
    <row r="22" spans="1:14" ht="72" customHeight="1" x14ac:dyDescent="0.25">
      <c r="A22" s="17" t="s">
        <v>379</v>
      </c>
      <c r="B22" s="18" t="s">
        <v>1038</v>
      </c>
      <c r="C22" s="18" t="s">
        <v>380</v>
      </c>
      <c r="D22" s="16" t="s">
        <v>32</v>
      </c>
      <c r="E22" s="18" t="s">
        <v>40</v>
      </c>
      <c r="F22" s="18">
        <v>9.1</v>
      </c>
      <c r="G22" s="18" t="s">
        <v>66</v>
      </c>
      <c r="H22" s="18" t="s">
        <v>1026</v>
      </c>
      <c r="I22" s="18" t="s">
        <v>67</v>
      </c>
      <c r="J22" s="18" t="s">
        <v>100</v>
      </c>
      <c r="K22" s="18" t="s">
        <v>964</v>
      </c>
      <c r="L22" s="18" t="s">
        <v>381</v>
      </c>
      <c r="M22" s="18" t="s">
        <v>1039</v>
      </c>
      <c r="N22" s="18" t="s">
        <v>908</v>
      </c>
    </row>
    <row r="23" spans="1:14" ht="72" customHeight="1" x14ac:dyDescent="0.25">
      <c r="A23" s="14" t="s">
        <v>382</v>
      </c>
      <c r="B23" s="15" t="s">
        <v>965</v>
      </c>
      <c r="C23" s="15" t="s">
        <v>383</v>
      </c>
      <c r="D23" s="19" t="s">
        <v>34</v>
      </c>
      <c r="E23" s="15" t="s">
        <v>1033</v>
      </c>
      <c r="F23" s="15" t="s">
        <v>101</v>
      </c>
      <c r="G23" s="15" t="s">
        <v>69</v>
      </c>
      <c r="H23" s="15" t="s">
        <v>1026</v>
      </c>
      <c r="I23" s="15" t="s">
        <v>67</v>
      </c>
      <c r="J23" s="15" t="s">
        <v>102</v>
      </c>
      <c r="K23" s="15" t="s">
        <v>966</v>
      </c>
      <c r="L23" s="15" t="s">
        <v>384</v>
      </c>
      <c r="M23" s="15" t="s">
        <v>1039</v>
      </c>
      <c r="N23" s="15" t="s">
        <v>385</v>
      </c>
    </row>
    <row r="24" spans="1:14" ht="72" customHeight="1" x14ac:dyDescent="0.25">
      <c r="A24" s="17" t="s">
        <v>386</v>
      </c>
      <c r="B24" s="18" t="s">
        <v>959</v>
      </c>
      <c r="C24" s="18" t="s">
        <v>387</v>
      </c>
      <c r="D24" s="16" t="s">
        <v>32</v>
      </c>
      <c r="E24" s="18" t="s">
        <v>40</v>
      </c>
      <c r="F24" s="18" t="s">
        <v>103</v>
      </c>
      <c r="G24" s="18" t="s">
        <v>69</v>
      </c>
      <c r="H24" s="18" t="s">
        <v>1026</v>
      </c>
      <c r="I24" s="18" t="s">
        <v>67</v>
      </c>
      <c r="J24" s="18" t="s">
        <v>859</v>
      </c>
      <c r="K24" s="18" t="s">
        <v>948</v>
      </c>
      <c r="L24" s="18" t="s">
        <v>388</v>
      </c>
      <c r="M24" s="18" t="s">
        <v>1039</v>
      </c>
      <c r="N24" s="18" t="s">
        <v>389</v>
      </c>
    </row>
    <row r="25" spans="1:14" ht="72" customHeight="1" x14ac:dyDescent="0.25">
      <c r="A25" s="14" t="s">
        <v>390</v>
      </c>
      <c r="B25" s="15" t="s">
        <v>967</v>
      </c>
      <c r="C25" s="15" t="s">
        <v>391</v>
      </c>
      <c r="D25" s="16" t="s">
        <v>32</v>
      </c>
      <c r="E25" s="15" t="s">
        <v>38</v>
      </c>
      <c r="F25" s="15" t="s">
        <v>104</v>
      </c>
      <c r="G25" s="15" t="s">
        <v>69</v>
      </c>
      <c r="H25" s="15" t="s">
        <v>1026</v>
      </c>
      <c r="I25" s="15" t="s">
        <v>67</v>
      </c>
      <c r="J25" s="15" t="s">
        <v>1074</v>
      </c>
      <c r="K25" s="15" t="s">
        <v>870</v>
      </c>
      <c r="L25" s="15" t="s">
        <v>392</v>
      </c>
      <c r="M25" s="15" t="s">
        <v>871</v>
      </c>
      <c r="N25" s="15" t="s">
        <v>393</v>
      </c>
    </row>
    <row r="26" spans="1:14" ht="72" customHeight="1" x14ac:dyDescent="0.25">
      <c r="A26" s="17" t="s">
        <v>394</v>
      </c>
      <c r="B26" s="18" t="s">
        <v>1040</v>
      </c>
      <c r="C26" s="18" t="s">
        <v>395</v>
      </c>
      <c r="D26" s="16" t="s">
        <v>32</v>
      </c>
      <c r="E26" s="18" t="s">
        <v>40</v>
      </c>
      <c r="F26" s="18">
        <v>9.1999999999999993</v>
      </c>
      <c r="G26" s="18" t="s">
        <v>66</v>
      </c>
      <c r="H26" s="18" t="s">
        <v>1026</v>
      </c>
      <c r="I26" s="18" t="s">
        <v>67</v>
      </c>
      <c r="J26" s="18" t="s">
        <v>105</v>
      </c>
      <c r="K26" s="18" t="s">
        <v>106</v>
      </c>
      <c r="L26" s="18" t="s">
        <v>396</v>
      </c>
      <c r="M26" s="18" t="s">
        <v>872</v>
      </c>
      <c r="N26" s="18" t="s">
        <v>397</v>
      </c>
    </row>
    <row r="27" spans="1:14" ht="72" customHeight="1" x14ac:dyDescent="0.25">
      <c r="A27" s="14" t="s">
        <v>398</v>
      </c>
      <c r="B27" s="15" t="s">
        <v>1041</v>
      </c>
      <c r="C27" s="15" t="s">
        <v>399</v>
      </c>
      <c r="D27" s="16" t="s">
        <v>32</v>
      </c>
      <c r="E27" s="15" t="s">
        <v>40</v>
      </c>
      <c r="F27" s="15" t="s">
        <v>107</v>
      </c>
      <c r="G27" s="15" t="s">
        <v>69</v>
      </c>
      <c r="H27" s="15" t="s">
        <v>1026</v>
      </c>
      <c r="I27" s="15" t="s">
        <v>67</v>
      </c>
      <c r="J27" s="15" t="s">
        <v>1073</v>
      </c>
      <c r="K27" s="15" t="s">
        <v>95</v>
      </c>
      <c r="L27" s="15" t="s">
        <v>400</v>
      </c>
      <c r="M27" s="15" t="s">
        <v>872</v>
      </c>
      <c r="N27" s="15" t="s">
        <v>401</v>
      </c>
    </row>
    <row r="28" spans="1:14" ht="72" customHeight="1" x14ac:dyDescent="0.25">
      <c r="A28" s="17" t="s">
        <v>402</v>
      </c>
      <c r="B28" s="18" t="s">
        <v>952</v>
      </c>
      <c r="C28" s="18" t="s">
        <v>403</v>
      </c>
      <c r="D28" s="19" t="s">
        <v>34</v>
      </c>
      <c r="E28" s="18" t="s">
        <v>1033</v>
      </c>
      <c r="F28" s="18" t="s">
        <v>108</v>
      </c>
      <c r="G28" s="18" t="s">
        <v>69</v>
      </c>
      <c r="H28" s="18" t="s">
        <v>1026</v>
      </c>
      <c r="I28" s="18" t="s">
        <v>67</v>
      </c>
      <c r="J28" s="18" t="s">
        <v>72</v>
      </c>
      <c r="K28" s="18" t="s">
        <v>968</v>
      </c>
      <c r="L28" s="18" t="s">
        <v>404</v>
      </c>
      <c r="M28" s="18" t="s">
        <v>872</v>
      </c>
      <c r="N28" s="18" t="s">
        <v>405</v>
      </c>
    </row>
    <row r="29" spans="1:14" ht="72" customHeight="1" x14ac:dyDescent="0.25">
      <c r="A29" s="14" t="s">
        <v>406</v>
      </c>
      <c r="B29" s="15" t="s">
        <v>959</v>
      </c>
      <c r="C29" s="15" t="s">
        <v>407</v>
      </c>
      <c r="D29" s="16" t="s">
        <v>32</v>
      </c>
      <c r="E29" s="15" t="s">
        <v>38</v>
      </c>
      <c r="F29" s="15">
        <v>9.3000000000000007</v>
      </c>
      <c r="G29" s="15" t="s">
        <v>66</v>
      </c>
      <c r="H29" s="15" t="s">
        <v>1026</v>
      </c>
      <c r="I29" s="15" t="s">
        <v>67</v>
      </c>
      <c r="J29" s="15" t="s">
        <v>859</v>
      </c>
      <c r="K29" s="15" t="s">
        <v>948</v>
      </c>
      <c r="L29" s="15" t="s">
        <v>408</v>
      </c>
      <c r="M29" s="15" t="s">
        <v>873</v>
      </c>
      <c r="N29" s="15" t="s">
        <v>409</v>
      </c>
    </row>
    <row r="30" spans="1:14" ht="72" customHeight="1" x14ac:dyDescent="0.25">
      <c r="A30" s="17" t="s">
        <v>410</v>
      </c>
      <c r="B30" s="18" t="s">
        <v>1042</v>
      </c>
      <c r="C30" s="18" t="s">
        <v>411</v>
      </c>
      <c r="D30" s="16" t="s">
        <v>32</v>
      </c>
      <c r="E30" s="18" t="s">
        <v>40</v>
      </c>
      <c r="F30" s="18" t="s">
        <v>109</v>
      </c>
      <c r="G30" s="18" t="s">
        <v>69</v>
      </c>
      <c r="H30" s="18" t="s">
        <v>1026</v>
      </c>
      <c r="I30" s="18" t="s">
        <v>67</v>
      </c>
      <c r="J30" s="18" t="s">
        <v>110</v>
      </c>
      <c r="K30" s="18" t="s">
        <v>969</v>
      </c>
      <c r="L30" s="18" t="s">
        <v>412</v>
      </c>
      <c r="M30" s="18" t="s">
        <v>873</v>
      </c>
      <c r="N30" s="18" t="s">
        <v>413</v>
      </c>
    </row>
    <row r="31" spans="1:14" ht="72" customHeight="1" x14ac:dyDescent="0.25">
      <c r="A31" s="14" t="s">
        <v>414</v>
      </c>
      <c r="B31" s="15" t="s">
        <v>1043</v>
      </c>
      <c r="C31" s="15" t="s">
        <v>874</v>
      </c>
      <c r="D31" s="16" t="s">
        <v>32</v>
      </c>
      <c r="E31" s="15" t="s">
        <v>40</v>
      </c>
      <c r="F31" s="15" t="s">
        <v>111</v>
      </c>
      <c r="G31" s="15" t="s">
        <v>69</v>
      </c>
      <c r="H31" s="15" t="s">
        <v>1026</v>
      </c>
      <c r="I31" s="15" t="s">
        <v>67</v>
      </c>
      <c r="J31" s="15" t="s">
        <v>112</v>
      </c>
      <c r="K31" s="15" t="s">
        <v>970</v>
      </c>
      <c r="L31" s="15" t="s">
        <v>415</v>
      </c>
      <c r="M31" s="15" t="s">
        <v>873</v>
      </c>
      <c r="N31" s="15" t="s">
        <v>416</v>
      </c>
    </row>
    <row r="32" spans="1:14" ht="72" customHeight="1" x14ac:dyDescent="0.25">
      <c r="A32" s="17" t="s">
        <v>417</v>
      </c>
      <c r="B32" s="18" t="s">
        <v>959</v>
      </c>
      <c r="C32" s="18" t="s">
        <v>418</v>
      </c>
      <c r="D32" s="16" t="s">
        <v>32</v>
      </c>
      <c r="E32" s="18" t="s">
        <v>40</v>
      </c>
      <c r="F32" s="18" t="s">
        <v>113</v>
      </c>
      <c r="G32" s="18" t="s">
        <v>69</v>
      </c>
      <c r="H32" s="18" t="s">
        <v>1026</v>
      </c>
      <c r="I32" s="18" t="s">
        <v>67</v>
      </c>
      <c r="J32" s="18" t="s">
        <v>859</v>
      </c>
      <c r="K32" s="18" t="s">
        <v>948</v>
      </c>
      <c r="L32" s="18" t="s">
        <v>419</v>
      </c>
      <c r="M32" s="18" t="s">
        <v>873</v>
      </c>
      <c r="N32" s="18" t="s">
        <v>420</v>
      </c>
    </row>
    <row r="33" spans="1:14" ht="72" customHeight="1" x14ac:dyDescent="0.25">
      <c r="A33" s="14" t="s">
        <v>421</v>
      </c>
      <c r="B33" s="15" t="s">
        <v>332</v>
      </c>
      <c r="C33" s="15" t="s">
        <v>422</v>
      </c>
      <c r="D33" s="16" t="s">
        <v>32</v>
      </c>
      <c r="E33" s="15" t="s">
        <v>40</v>
      </c>
      <c r="F33" s="15">
        <v>9.4</v>
      </c>
      <c r="G33" s="15" t="s">
        <v>66</v>
      </c>
      <c r="H33" s="15" t="s">
        <v>1026</v>
      </c>
      <c r="I33" s="15" t="s">
        <v>67</v>
      </c>
      <c r="J33" s="15" t="s">
        <v>333</v>
      </c>
      <c r="K33" s="15" t="s">
        <v>334</v>
      </c>
      <c r="L33" s="15" t="s">
        <v>423</v>
      </c>
      <c r="M33" s="15" t="s">
        <v>875</v>
      </c>
      <c r="N33" s="15" t="s">
        <v>424</v>
      </c>
    </row>
    <row r="34" spans="1:14" ht="72" customHeight="1" x14ac:dyDescent="0.25">
      <c r="A34" s="17" t="s">
        <v>425</v>
      </c>
      <c r="B34" s="18" t="s">
        <v>332</v>
      </c>
      <c r="C34" s="18" t="s">
        <v>426</v>
      </c>
      <c r="D34" s="16" t="s">
        <v>32</v>
      </c>
      <c r="E34" s="18" t="s">
        <v>40</v>
      </c>
      <c r="F34" s="18" t="s">
        <v>114</v>
      </c>
      <c r="G34" s="18" t="s">
        <v>69</v>
      </c>
      <c r="H34" s="18" t="s">
        <v>1026</v>
      </c>
      <c r="I34" s="18" t="s">
        <v>67</v>
      </c>
      <c r="J34" s="18" t="s">
        <v>333</v>
      </c>
      <c r="K34" s="18" t="s">
        <v>334</v>
      </c>
      <c r="L34" s="18" t="s">
        <v>427</v>
      </c>
      <c r="M34" s="18" t="s">
        <v>875</v>
      </c>
      <c r="N34" s="18" t="s">
        <v>428</v>
      </c>
    </row>
    <row r="35" spans="1:14" ht="72" customHeight="1" x14ac:dyDescent="0.25">
      <c r="A35" s="14" t="s">
        <v>429</v>
      </c>
      <c r="B35" s="15" t="s">
        <v>332</v>
      </c>
      <c r="C35" s="15" t="s">
        <v>430</v>
      </c>
      <c r="D35" s="19" t="s">
        <v>34</v>
      </c>
      <c r="E35" s="15" t="s">
        <v>1033</v>
      </c>
      <c r="F35" s="15" t="s">
        <v>115</v>
      </c>
      <c r="G35" s="15" t="s">
        <v>69</v>
      </c>
      <c r="H35" s="15" t="s">
        <v>1026</v>
      </c>
      <c r="I35" s="15" t="s">
        <v>67</v>
      </c>
      <c r="J35" s="15" t="s">
        <v>333</v>
      </c>
      <c r="K35" s="15" t="s">
        <v>334</v>
      </c>
      <c r="L35" s="15" t="s">
        <v>431</v>
      </c>
      <c r="M35" s="15" t="s">
        <v>875</v>
      </c>
      <c r="N35" s="15" t="s">
        <v>432</v>
      </c>
    </row>
    <row r="36" spans="1:14" ht="72" customHeight="1" x14ac:dyDescent="0.25">
      <c r="A36" s="17" t="s">
        <v>433</v>
      </c>
      <c r="B36" s="18" t="s">
        <v>971</v>
      </c>
      <c r="C36" s="18" t="s">
        <v>434</v>
      </c>
      <c r="D36" s="16" t="s">
        <v>32</v>
      </c>
      <c r="E36" s="18" t="s">
        <v>38</v>
      </c>
      <c r="F36" s="18">
        <v>7.1</v>
      </c>
      <c r="G36" s="18" t="s">
        <v>66</v>
      </c>
      <c r="H36" s="18" t="s">
        <v>1027</v>
      </c>
      <c r="I36" s="18" t="s">
        <v>67</v>
      </c>
      <c r="J36" s="18" t="s">
        <v>1075</v>
      </c>
      <c r="K36" s="18" t="s">
        <v>972</v>
      </c>
      <c r="L36" s="18" t="s">
        <v>435</v>
      </c>
      <c r="M36" s="18" t="s">
        <v>116</v>
      </c>
      <c r="N36" s="18" t="s">
        <v>436</v>
      </c>
    </row>
    <row r="37" spans="1:14" ht="72" customHeight="1" x14ac:dyDescent="0.25">
      <c r="A37" s="14" t="s">
        <v>117</v>
      </c>
      <c r="B37" s="15" t="s">
        <v>973</v>
      </c>
      <c r="C37" s="15" t="s">
        <v>909</v>
      </c>
      <c r="D37" s="16" t="s">
        <v>32</v>
      </c>
      <c r="E37" s="15" t="s">
        <v>38</v>
      </c>
      <c r="F37" s="15" t="s">
        <v>118</v>
      </c>
      <c r="G37" s="15" t="s">
        <v>69</v>
      </c>
      <c r="H37" s="15" t="s">
        <v>1027</v>
      </c>
      <c r="I37" s="15" t="s">
        <v>67</v>
      </c>
      <c r="J37" s="15" t="s">
        <v>1076</v>
      </c>
      <c r="K37" s="15" t="s">
        <v>876</v>
      </c>
      <c r="L37" s="15" t="s">
        <v>437</v>
      </c>
      <c r="M37" s="15" t="s">
        <v>974</v>
      </c>
      <c r="N37" s="15" t="s">
        <v>438</v>
      </c>
    </row>
    <row r="38" spans="1:14" ht="72" customHeight="1" x14ac:dyDescent="0.25">
      <c r="A38" s="17" t="s">
        <v>439</v>
      </c>
      <c r="B38" s="18" t="s">
        <v>975</v>
      </c>
      <c r="C38" s="18" t="s">
        <v>440</v>
      </c>
      <c r="D38" s="16" t="s">
        <v>32</v>
      </c>
      <c r="E38" s="18" t="s">
        <v>38</v>
      </c>
      <c r="F38" s="18" t="s">
        <v>119</v>
      </c>
      <c r="G38" s="18" t="s">
        <v>69</v>
      </c>
      <c r="H38" s="18" t="s">
        <v>1027</v>
      </c>
      <c r="I38" s="18" t="s">
        <v>67</v>
      </c>
      <c r="J38" s="18" t="s">
        <v>1077</v>
      </c>
      <c r="K38" s="18" t="s">
        <v>976</v>
      </c>
      <c r="L38" s="18" t="s">
        <v>441</v>
      </c>
      <c r="M38" s="18" t="s">
        <v>974</v>
      </c>
      <c r="N38" s="18" t="s">
        <v>442</v>
      </c>
    </row>
    <row r="39" spans="1:14" ht="72" customHeight="1" x14ac:dyDescent="0.25">
      <c r="A39" s="14" t="s">
        <v>443</v>
      </c>
      <c r="B39" s="15" t="s">
        <v>959</v>
      </c>
      <c r="C39" s="15" t="s">
        <v>444</v>
      </c>
      <c r="D39" s="16" t="s">
        <v>32</v>
      </c>
      <c r="E39" s="15" t="s">
        <v>40</v>
      </c>
      <c r="F39" s="15" t="s">
        <v>120</v>
      </c>
      <c r="G39" s="15" t="s">
        <v>69</v>
      </c>
      <c r="H39" s="15" t="s">
        <v>1027</v>
      </c>
      <c r="I39" s="15" t="s">
        <v>67</v>
      </c>
      <c r="J39" s="15" t="s">
        <v>859</v>
      </c>
      <c r="K39" s="15" t="s">
        <v>948</v>
      </c>
      <c r="L39" s="15" t="s">
        <v>445</v>
      </c>
      <c r="M39" s="15" t="s">
        <v>974</v>
      </c>
      <c r="N39" s="15" t="s">
        <v>446</v>
      </c>
    </row>
    <row r="40" spans="1:14" ht="72" customHeight="1" x14ac:dyDescent="0.25">
      <c r="A40" s="17" t="s">
        <v>447</v>
      </c>
      <c r="B40" s="18" t="s">
        <v>959</v>
      </c>
      <c r="C40" s="18" t="s">
        <v>448</v>
      </c>
      <c r="D40" s="16" t="s">
        <v>32</v>
      </c>
      <c r="E40" s="18" t="s">
        <v>40</v>
      </c>
      <c r="F40" s="18" t="s">
        <v>121</v>
      </c>
      <c r="G40" s="18" t="s">
        <v>69</v>
      </c>
      <c r="H40" s="18" t="s">
        <v>1027</v>
      </c>
      <c r="I40" s="18" t="s">
        <v>67</v>
      </c>
      <c r="J40" s="18" t="s">
        <v>859</v>
      </c>
      <c r="K40" s="18" t="s">
        <v>948</v>
      </c>
      <c r="L40" s="18" t="s">
        <v>449</v>
      </c>
      <c r="M40" s="18" t="s">
        <v>974</v>
      </c>
      <c r="N40" s="18" t="s">
        <v>450</v>
      </c>
    </row>
    <row r="41" spans="1:14" ht="72" customHeight="1" x14ac:dyDescent="0.25">
      <c r="A41" s="14" t="s">
        <v>451</v>
      </c>
      <c r="B41" s="15" t="s">
        <v>332</v>
      </c>
      <c r="C41" s="15" t="s">
        <v>452</v>
      </c>
      <c r="D41" s="16" t="s">
        <v>32</v>
      </c>
      <c r="E41" s="15" t="s">
        <v>40</v>
      </c>
      <c r="F41" s="15">
        <v>7.2</v>
      </c>
      <c r="G41" s="15" t="s">
        <v>66</v>
      </c>
      <c r="H41" s="15" t="s">
        <v>1027</v>
      </c>
      <c r="I41" s="15" t="s">
        <v>67</v>
      </c>
      <c r="J41" s="15" t="s">
        <v>333</v>
      </c>
      <c r="K41" s="15" t="s">
        <v>334</v>
      </c>
      <c r="L41" s="15" t="s">
        <v>453</v>
      </c>
      <c r="M41" s="15" t="s">
        <v>116</v>
      </c>
      <c r="N41" s="15" t="s">
        <v>454</v>
      </c>
    </row>
    <row r="42" spans="1:14" ht="72" customHeight="1" x14ac:dyDescent="0.25">
      <c r="A42" s="17" t="s">
        <v>455</v>
      </c>
      <c r="B42" s="18" t="s">
        <v>332</v>
      </c>
      <c r="C42" s="18" t="s">
        <v>456</v>
      </c>
      <c r="D42" s="19" t="s">
        <v>34</v>
      </c>
      <c r="E42" s="18" t="s">
        <v>1033</v>
      </c>
      <c r="F42" s="18" t="s">
        <v>122</v>
      </c>
      <c r="G42" s="18" t="s">
        <v>69</v>
      </c>
      <c r="H42" s="18" t="s">
        <v>1027</v>
      </c>
      <c r="I42" s="18" t="s">
        <v>67</v>
      </c>
      <c r="J42" s="18" t="s">
        <v>333</v>
      </c>
      <c r="K42" s="18" t="s">
        <v>334</v>
      </c>
      <c r="L42" s="18" t="s">
        <v>457</v>
      </c>
      <c r="M42" s="18" t="s">
        <v>977</v>
      </c>
      <c r="N42" s="18" t="s">
        <v>877</v>
      </c>
    </row>
    <row r="43" spans="1:14" ht="72" customHeight="1" x14ac:dyDescent="0.25">
      <c r="A43" s="14" t="s">
        <v>458</v>
      </c>
      <c r="B43" s="15" t="s">
        <v>1044</v>
      </c>
      <c r="C43" s="15" t="s">
        <v>459</v>
      </c>
      <c r="D43" s="16" t="s">
        <v>32</v>
      </c>
      <c r="E43" s="15" t="s">
        <v>38</v>
      </c>
      <c r="F43" s="15" t="s">
        <v>123</v>
      </c>
      <c r="G43" s="15" t="s">
        <v>69</v>
      </c>
      <c r="H43" s="15" t="s">
        <v>1027</v>
      </c>
      <c r="I43" s="15" t="s">
        <v>67</v>
      </c>
      <c r="J43" s="15" t="s">
        <v>1078</v>
      </c>
      <c r="K43" s="15" t="s">
        <v>948</v>
      </c>
      <c r="L43" s="15" t="s">
        <v>460</v>
      </c>
      <c r="M43" s="15" t="s">
        <v>977</v>
      </c>
      <c r="N43" s="15" t="s">
        <v>461</v>
      </c>
    </row>
    <row r="44" spans="1:14" ht="72" customHeight="1" x14ac:dyDescent="0.25">
      <c r="A44" s="17" t="s">
        <v>462</v>
      </c>
      <c r="B44" s="18" t="s">
        <v>463</v>
      </c>
      <c r="C44" s="18" t="s">
        <v>878</v>
      </c>
      <c r="D44" s="16" t="s">
        <v>32</v>
      </c>
      <c r="E44" s="18" t="s">
        <v>38</v>
      </c>
      <c r="F44" s="18" t="s">
        <v>124</v>
      </c>
      <c r="G44" s="18" t="s">
        <v>69</v>
      </c>
      <c r="H44" s="18" t="s">
        <v>1027</v>
      </c>
      <c r="I44" s="18" t="s">
        <v>67</v>
      </c>
      <c r="J44" s="18" t="s">
        <v>125</v>
      </c>
      <c r="K44" s="18" t="s">
        <v>126</v>
      </c>
      <c r="L44" s="18" t="s">
        <v>464</v>
      </c>
      <c r="M44" s="18" t="s">
        <v>977</v>
      </c>
      <c r="N44" s="18" t="s">
        <v>465</v>
      </c>
    </row>
    <row r="45" spans="1:14" ht="72" customHeight="1" x14ac:dyDescent="0.25">
      <c r="A45" s="14" t="s">
        <v>466</v>
      </c>
      <c r="B45" s="15" t="s">
        <v>332</v>
      </c>
      <c r="C45" s="15" t="s">
        <v>467</v>
      </c>
      <c r="D45" s="16" t="s">
        <v>32</v>
      </c>
      <c r="E45" s="15" t="s">
        <v>40</v>
      </c>
      <c r="F45" s="15" t="s">
        <v>127</v>
      </c>
      <c r="G45" s="15" t="s">
        <v>69</v>
      </c>
      <c r="H45" s="15" t="s">
        <v>1027</v>
      </c>
      <c r="I45" s="15" t="s">
        <v>67</v>
      </c>
      <c r="J45" s="15" t="s">
        <v>333</v>
      </c>
      <c r="K45" s="15" t="s">
        <v>334</v>
      </c>
      <c r="L45" s="15" t="s">
        <v>468</v>
      </c>
      <c r="M45" s="15" t="s">
        <v>977</v>
      </c>
      <c r="N45" s="15" t="s">
        <v>469</v>
      </c>
    </row>
    <row r="46" spans="1:14" ht="72" customHeight="1" x14ac:dyDescent="0.25">
      <c r="A46" s="17" t="s">
        <v>470</v>
      </c>
      <c r="B46" s="18" t="s">
        <v>1045</v>
      </c>
      <c r="C46" s="18" t="s">
        <v>471</v>
      </c>
      <c r="D46" s="16" t="s">
        <v>32</v>
      </c>
      <c r="E46" s="18" t="s">
        <v>40</v>
      </c>
      <c r="F46" s="18">
        <v>7.3</v>
      </c>
      <c r="G46" s="18" t="s">
        <v>66</v>
      </c>
      <c r="H46" s="18" t="s">
        <v>1027</v>
      </c>
      <c r="I46" s="18" t="s">
        <v>67</v>
      </c>
      <c r="J46" s="18" t="s">
        <v>128</v>
      </c>
      <c r="K46" s="18" t="s">
        <v>978</v>
      </c>
      <c r="L46" s="18" t="s">
        <v>472</v>
      </c>
      <c r="M46" s="18" t="s">
        <v>879</v>
      </c>
      <c r="N46" s="18" t="s">
        <v>473</v>
      </c>
    </row>
    <row r="47" spans="1:14" ht="72" customHeight="1" x14ac:dyDescent="0.25">
      <c r="A47" s="14" t="s">
        <v>474</v>
      </c>
      <c r="B47" s="15" t="s">
        <v>1046</v>
      </c>
      <c r="C47" s="15" t="s">
        <v>475</v>
      </c>
      <c r="D47" s="16" t="s">
        <v>32</v>
      </c>
      <c r="E47" s="15" t="s">
        <v>40</v>
      </c>
      <c r="F47" s="15" t="s">
        <v>129</v>
      </c>
      <c r="G47" s="15" t="s">
        <v>69</v>
      </c>
      <c r="H47" s="15" t="s">
        <v>1027</v>
      </c>
      <c r="I47" s="15" t="s">
        <v>67</v>
      </c>
      <c r="J47" s="15" t="s">
        <v>1079</v>
      </c>
      <c r="K47" s="15" t="s">
        <v>130</v>
      </c>
      <c r="L47" s="15" t="s">
        <v>476</v>
      </c>
      <c r="M47" s="15" t="s">
        <v>879</v>
      </c>
      <c r="N47" s="15" t="s">
        <v>477</v>
      </c>
    </row>
    <row r="48" spans="1:14" ht="72" customHeight="1" x14ac:dyDescent="0.25">
      <c r="A48" s="17" t="s">
        <v>478</v>
      </c>
      <c r="B48" s="18" t="s">
        <v>1047</v>
      </c>
      <c r="C48" s="18" t="s">
        <v>479</v>
      </c>
      <c r="D48" s="16" t="s">
        <v>32</v>
      </c>
      <c r="E48" s="18" t="s">
        <v>40</v>
      </c>
      <c r="F48" s="18" t="s">
        <v>131</v>
      </c>
      <c r="G48" s="18" t="s">
        <v>69</v>
      </c>
      <c r="H48" s="18" t="s">
        <v>1027</v>
      </c>
      <c r="I48" s="18" t="s">
        <v>67</v>
      </c>
      <c r="J48" s="18" t="s">
        <v>859</v>
      </c>
      <c r="K48" s="18" t="s">
        <v>948</v>
      </c>
      <c r="L48" s="18" t="s">
        <v>480</v>
      </c>
      <c r="M48" s="18" t="s">
        <v>977</v>
      </c>
      <c r="N48" s="18" t="s">
        <v>481</v>
      </c>
    </row>
    <row r="49" spans="1:14" ht="72" customHeight="1" x14ac:dyDescent="0.25">
      <c r="A49" s="14" t="s">
        <v>482</v>
      </c>
      <c r="B49" s="15" t="s">
        <v>959</v>
      </c>
      <c r="C49" s="15" t="s">
        <v>979</v>
      </c>
      <c r="D49" s="19" t="s">
        <v>34</v>
      </c>
      <c r="E49" s="15" t="s">
        <v>1033</v>
      </c>
      <c r="F49" s="15" t="s">
        <v>132</v>
      </c>
      <c r="G49" s="15" t="s">
        <v>69</v>
      </c>
      <c r="H49" s="15" t="s">
        <v>1027</v>
      </c>
      <c r="I49" s="15" t="s">
        <v>67</v>
      </c>
      <c r="J49" s="15" t="s">
        <v>859</v>
      </c>
      <c r="K49" s="15" t="s">
        <v>948</v>
      </c>
      <c r="L49" s="15" t="s">
        <v>483</v>
      </c>
      <c r="M49" s="15" t="s">
        <v>879</v>
      </c>
      <c r="N49" s="15" t="s">
        <v>484</v>
      </c>
    </row>
    <row r="50" spans="1:14" ht="72" customHeight="1" x14ac:dyDescent="0.25">
      <c r="A50" s="17" t="s">
        <v>485</v>
      </c>
      <c r="B50" s="18" t="s">
        <v>332</v>
      </c>
      <c r="C50" s="18" t="s">
        <v>486</v>
      </c>
      <c r="D50" s="19" t="s">
        <v>34</v>
      </c>
      <c r="E50" s="18" t="s">
        <v>1033</v>
      </c>
      <c r="F50" s="18" t="s">
        <v>133</v>
      </c>
      <c r="G50" s="18" t="s">
        <v>69</v>
      </c>
      <c r="H50" s="18" t="s">
        <v>1027</v>
      </c>
      <c r="I50" s="18" t="s">
        <v>67</v>
      </c>
      <c r="J50" s="18" t="s">
        <v>333</v>
      </c>
      <c r="K50" s="18" t="s">
        <v>334</v>
      </c>
      <c r="L50" s="18" t="s">
        <v>487</v>
      </c>
      <c r="M50" s="18" t="s">
        <v>879</v>
      </c>
      <c r="N50" s="18" t="s">
        <v>488</v>
      </c>
    </row>
    <row r="51" spans="1:14" ht="72" customHeight="1" x14ac:dyDescent="0.25">
      <c r="A51" s="14" t="s">
        <v>489</v>
      </c>
      <c r="B51" s="15" t="s">
        <v>960</v>
      </c>
      <c r="C51" s="15" t="s">
        <v>490</v>
      </c>
      <c r="D51" s="16" t="s">
        <v>32</v>
      </c>
      <c r="E51" s="15" t="s">
        <v>40</v>
      </c>
      <c r="F51" s="15">
        <v>7.4</v>
      </c>
      <c r="G51" s="15" t="s">
        <v>66</v>
      </c>
      <c r="H51" s="15" t="s">
        <v>1027</v>
      </c>
      <c r="I51" s="15" t="s">
        <v>67</v>
      </c>
      <c r="J51" s="15" t="s">
        <v>1072</v>
      </c>
      <c r="K51" s="15" t="s">
        <v>134</v>
      </c>
      <c r="L51" s="15" t="s">
        <v>491</v>
      </c>
      <c r="M51" s="15" t="s">
        <v>880</v>
      </c>
      <c r="N51" s="15" t="s">
        <v>492</v>
      </c>
    </row>
    <row r="52" spans="1:14" ht="72" customHeight="1" x14ac:dyDescent="0.25">
      <c r="A52" s="17" t="s">
        <v>493</v>
      </c>
      <c r="B52" s="18" t="s">
        <v>980</v>
      </c>
      <c r="C52" s="18" t="s">
        <v>494</v>
      </c>
      <c r="D52" s="16" t="s">
        <v>32</v>
      </c>
      <c r="E52" s="18" t="s">
        <v>40</v>
      </c>
      <c r="F52" s="18" t="s">
        <v>135</v>
      </c>
      <c r="G52" s="18" t="s">
        <v>69</v>
      </c>
      <c r="H52" s="18" t="s">
        <v>1027</v>
      </c>
      <c r="I52" s="18" t="s">
        <v>67</v>
      </c>
      <c r="J52" s="18" t="s">
        <v>1080</v>
      </c>
      <c r="K52" s="18" t="s">
        <v>870</v>
      </c>
      <c r="L52" s="18" t="s">
        <v>495</v>
      </c>
      <c r="M52" s="18" t="s">
        <v>880</v>
      </c>
      <c r="N52" s="18" t="s">
        <v>496</v>
      </c>
    </row>
    <row r="53" spans="1:14" ht="72" customHeight="1" x14ac:dyDescent="0.25">
      <c r="A53" s="14" t="s">
        <v>497</v>
      </c>
      <c r="B53" s="15" t="s">
        <v>332</v>
      </c>
      <c r="C53" s="15" t="s">
        <v>498</v>
      </c>
      <c r="D53" s="19" t="s">
        <v>34</v>
      </c>
      <c r="E53" s="15" t="s">
        <v>1033</v>
      </c>
      <c r="F53" s="15" t="s">
        <v>136</v>
      </c>
      <c r="G53" s="15" t="s">
        <v>69</v>
      </c>
      <c r="H53" s="15" t="s">
        <v>1027</v>
      </c>
      <c r="I53" s="15" t="s">
        <v>67</v>
      </c>
      <c r="J53" s="15" t="s">
        <v>333</v>
      </c>
      <c r="K53" s="15" t="s">
        <v>334</v>
      </c>
      <c r="L53" s="15" t="s">
        <v>499</v>
      </c>
      <c r="M53" s="15" t="s">
        <v>880</v>
      </c>
      <c r="N53" s="15" t="s">
        <v>500</v>
      </c>
    </row>
    <row r="54" spans="1:14" ht="72" customHeight="1" x14ac:dyDescent="0.25">
      <c r="A54" s="17" t="s">
        <v>501</v>
      </c>
      <c r="B54" s="18" t="s">
        <v>981</v>
      </c>
      <c r="C54" s="18" t="s">
        <v>502</v>
      </c>
      <c r="D54" s="16" t="s">
        <v>32</v>
      </c>
      <c r="E54" s="18" t="s">
        <v>40</v>
      </c>
      <c r="F54" s="18">
        <v>12.1</v>
      </c>
      <c r="G54" s="18" t="s">
        <v>66</v>
      </c>
      <c r="H54" s="18" t="s">
        <v>1028</v>
      </c>
      <c r="I54" s="18" t="s">
        <v>67</v>
      </c>
      <c r="J54" s="18" t="s">
        <v>137</v>
      </c>
      <c r="K54" s="18" t="s">
        <v>503</v>
      </c>
      <c r="L54" s="18" t="s">
        <v>504</v>
      </c>
      <c r="M54" s="18" t="s">
        <v>881</v>
      </c>
      <c r="N54" s="18" t="s">
        <v>505</v>
      </c>
    </row>
    <row r="55" spans="1:14" ht="72" customHeight="1" x14ac:dyDescent="0.25">
      <c r="A55" s="14" t="s">
        <v>506</v>
      </c>
      <c r="B55" s="15" t="s">
        <v>982</v>
      </c>
      <c r="C55" s="15" t="s">
        <v>507</v>
      </c>
      <c r="D55" s="16" t="s">
        <v>32</v>
      </c>
      <c r="E55" s="15" t="s">
        <v>40</v>
      </c>
      <c r="F55" s="15" t="s">
        <v>138</v>
      </c>
      <c r="G55" s="15" t="s">
        <v>69</v>
      </c>
      <c r="H55" s="15" t="s">
        <v>1028</v>
      </c>
      <c r="I55" s="15" t="s">
        <v>67</v>
      </c>
      <c r="J55" s="15" t="s">
        <v>139</v>
      </c>
      <c r="K55" s="15" t="s">
        <v>508</v>
      </c>
      <c r="L55" s="15" t="s">
        <v>509</v>
      </c>
      <c r="M55" s="15" t="s">
        <v>881</v>
      </c>
      <c r="N55" s="15" t="s">
        <v>510</v>
      </c>
    </row>
    <row r="56" spans="1:14" ht="72" customHeight="1" x14ac:dyDescent="0.25">
      <c r="A56" s="17" t="s">
        <v>511</v>
      </c>
      <c r="B56" s="18" t="s">
        <v>332</v>
      </c>
      <c r="C56" s="18" t="s">
        <v>910</v>
      </c>
      <c r="D56" s="19" t="s">
        <v>34</v>
      </c>
      <c r="E56" s="18" t="s">
        <v>1033</v>
      </c>
      <c r="F56" s="18" t="s">
        <v>140</v>
      </c>
      <c r="G56" s="18" t="s">
        <v>69</v>
      </c>
      <c r="H56" s="18" t="s">
        <v>1028</v>
      </c>
      <c r="I56" s="18" t="s">
        <v>67</v>
      </c>
      <c r="J56" s="18" t="s">
        <v>333</v>
      </c>
      <c r="K56" s="18" t="s">
        <v>512</v>
      </c>
      <c r="L56" s="18" t="s">
        <v>513</v>
      </c>
      <c r="M56" s="18" t="s">
        <v>881</v>
      </c>
      <c r="N56" s="18" t="s">
        <v>514</v>
      </c>
    </row>
    <row r="57" spans="1:14" ht="72" customHeight="1" x14ac:dyDescent="0.25">
      <c r="A57" s="14" t="s">
        <v>515</v>
      </c>
      <c r="B57" s="15" t="s">
        <v>516</v>
      </c>
      <c r="C57" s="15" t="s">
        <v>517</v>
      </c>
      <c r="D57" s="19" t="s">
        <v>34</v>
      </c>
      <c r="E57" s="15" t="s">
        <v>1033</v>
      </c>
      <c r="F57" s="15">
        <v>12.2</v>
      </c>
      <c r="G57" s="15" t="s">
        <v>66</v>
      </c>
      <c r="H57" s="15" t="s">
        <v>1028</v>
      </c>
      <c r="I57" s="15" t="s">
        <v>67</v>
      </c>
      <c r="J57" s="15" t="s">
        <v>882</v>
      </c>
      <c r="K57" s="15" t="s">
        <v>518</v>
      </c>
      <c r="L57" s="15" t="s">
        <v>519</v>
      </c>
      <c r="M57" s="15" t="s">
        <v>911</v>
      </c>
      <c r="N57" s="15" t="s">
        <v>520</v>
      </c>
    </row>
    <row r="58" spans="1:14" ht="72" customHeight="1" x14ac:dyDescent="0.25">
      <c r="A58" s="17" t="s">
        <v>521</v>
      </c>
      <c r="B58" s="18" t="s">
        <v>959</v>
      </c>
      <c r="C58" s="18" t="s">
        <v>522</v>
      </c>
      <c r="D58" s="16" t="s">
        <v>32</v>
      </c>
      <c r="E58" s="18" t="s">
        <v>40</v>
      </c>
      <c r="F58" s="18">
        <v>12.3</v>
      </c>
      <c r="G58" s="18" t="s">
        <v>66</v>
      </c>
      <c r="H58" s="18" t="s">
        <v>1028</v>
      </c>
      <c r="I58" s="18" t="s">
        <v>67</v>
      </c>
      <c r="J58" s="18" t="s">
        <v>859</v>
      </c>
      <c r="K58" s="18" t="s">
        <v>948</v>
      </c>
      <c r="L58" s="18" t="s">
        <v>523</v>
      </c>
      <c r="M58" s="18" t="s">
        <v>883</v>
      </c>
      <c r="N58" s="18" t="s">
        <v>524</v>
      </c>
    </row>
    <row r="59" spans="1:14" ht="72" customHeight="1" x14ac:dyDescent="0.25">
      <c r="A59" s="14" t="s">
        <v>525</v>
      </c>
      <c r="B59" s="15" t="s">
        <v>983</v>
      </c>
      <c r="C59" s="15" t="s">
        <v>526</v>
      </c>
      <c r="D59" s="16" t="s">
        <v>32</v>
      </c>
      <c r="E59" s="15" t="s">
        <v>38</v>
      </c>
      <c r="F59" s="15" t="s">
        <v>141</v>
      </c>
      <c r="G59" s="15" t="s">
        <v>69</v>
      </c>
      <c r="H59" s="15" t="s">
        <v>1028</v>
      </c>
      <c r="I59" s="15" t="s">
        <v>67</v>
      </c>
      <c r="J59" s="15" t="s">
        <v>142</v>
      </c>
      <c r="K59" s="15" t="s">
        <v>948</v>
      </c>
      <c r="L59" s="15" t="s">
        <v>527</v>
      </c>
      <c r="M59" s="15" t="s">
        <v>883</v>
      </c>
      <c r="N59" s="15" t="s">
        <v>528</v>
      </c>
    </row>
    <row r="60" spans="1:14" ht="72" customHeight="1" x14ac:dyDescent="0.25">
      <c r="A60" s="17" t="s">
        <v>529</v>
      </c>
      <c r="B60" s="18" t="s">
        <v>332</v>
      </c>
      <c r="C60" s="18" t="s">
        <v>530</v>
      </c>
      <c r="D60" s="16" t="s">
        <v>32</v>
      </c>
      <c r="E60" s="18" t="s">
        <v>40</v>
      </c>
      <c r="F60" s="18" t="s">
        <v>143</v>
      </c>
      <c r="G60" s="18" t="s">
        <v>69</v>
      </c>
      <c r="H60" s="18" t="s">
        <v>1028</v>
      </c>
      <c r="I60" s="18" t="s">
        <v>67</v>
      </c>
      <c r="J60" s="18" t="s">
        <v>333</v>
      </c>
      <c r="K60" s="18" t="s">
        <v>512</v>
      </c>
      <c r="L60" s="18" t="s">
        <v>531</v>
      </c>
      <c r="M60" s="18" t="s">
        <v>881</v>
      </c>
      <c r="N60" s="18" t="s">
        <v>532</v>
      </c>
    </row>
    <row r="61" spans="1:14" ht="72" customHeight="1" x14ac:dyDescent="0.25">
      <c r="A61" s="14" t="s">
        <v>533</v>
      </c>
      <c r="B61" s="15" t="s">
        <v>332</v>
      </c>
      <c r="C61" s="15" t="s">
        <v>534</v>
      </c>
      <c r="D61" s="19" t="s">
        <v>34</v>
      </c>
      <c r="E61" s="15" t="s">
        <v>1033</v>
      </c>
      <c r="F61" s="15" t="s">
        <v>144</v>
      </c>
      <c r="G61" s="15" t="s">
        <v>69</v>
      </c>
      <c r="H61" s="15" t="s">
        <v>1028</v>
      </c>
      <c r="I61" s="15" t="s">
        <v>67</v>
      </c>
      <c r="J61" s="15" t="s">
        <v>333</v>
      </c>
      <c r="K61" s="15" t="s">
        <v>512</v>
      </c>
      <c r="L61" s="15" t="s">
        <v>535</v>
      </c>
      <c r="M61" s="15" t="s">
        <v>883</v>
      </c>
      <c r="N61" s="15" t="s">
        <v>536</v>
      </c>
    </row>
    <row r="62" spans="1:14" ht="72" customHeight="1" x14ac:dyDescent="0.25">
      <c r="A62" s="17" t="s">
        <v>537</v>
      </c>
      <c r="B62" s="18" t="s">
        <v>959</v>
      </c>
      <c r="C62" s="18" t="s">
        <v>538</v>
      </c>
      <c r="D62" s="16" t="s">
        <v>32</v>
      </c>
      <c r="E62" s="18" t="s">
        <v>40</v>
      </c>
      <c r="F62" s="18">
        <v>12.4</v>
      </c>
      <c r="G62" s="18" t="s">
        <v>66</v>
      </c>
      <c r="H62" s="18" t="s">
        <v>1028</v>
      </c>
      <c r="I62" s="18" t="s">
        <v>67</v>
      </c>
      <c r="J62" s="18" t="s">
        <v>859</v>
      </c>
      <c r="K62" s="18" t="s">
        <v>948</v>
      </c>
      <c r="L62" s="18" t="s">
        <v>539</v>
      </c>
      <c r="M62" s="18" t="s">
        <v>884</v>
      </c>
      <c r="N62" s="18" t="s">
        <v>540</v>
      </c>
    </row>
    <row r="63" spans="1:14" ht="72" customHeight="1" x14ac:dyDescent="0.25">
      <c r="A63" s="14" t="s">
        <v>541</v>
      </c>
      <c r="B63" s="15" t="s">
        <v>542</v>
      </c>
      <c r="C63" s="15" t="s">
        <v>543</v>
      </c>
      <c r="D63" s="16" t="s">
        <v>32</v>
      </c>
      <c r="E63" s="15" t="s">
        <v>40</v>
      </c>
      <c r="F63" s="15" t="s">
        <v>145</v>
      </c>
      <c r="G63" s="15" t="s">
        <v>69</v>
      </c>
      <c r="H63" s="15" t="s">
        <v>1028</v>
      </c>
      <c r="I63" s="15" t="s">
        <v>67</v>
      </c>
      <c r="J63" s="15" t="s">
        <v>882</v>
      </c>
      <c r="K63" s="15" t="s">
        <v>544</v>
      </c>
      <c r="L63" s="15" t="s">
        <v>1048</v>
      </c>
      <c r="M63" s="15" t="s">
        <v>884</v>
      </c>
      <c r="N63" s="15" t="s">
        <v>545</v>
      </c>
    </row>
    <row r="64" spans="1:14" ht="72" customHeight="1" x14ac:dyDescent="0.25">
      <c r="A64" s="17" t="s">
        <v>546</v>
      </c>
      <c r="B64" s="18" t="s">
        <v>332</v>
      </c>
      <c r="C64" s="18" t="s">
        <v>547</v>
      </c>
      <c r="D64" s="19" t="s">
        <v>34</v>
      </c>
      <c r="E64" s="18" t="s">
        <v>1033</v>
      </c>
      <c r="F64" s="18" t="s">
        <v>146</v>
      </c>
      <c r="G64" s="18" t="s">
        <v>69</v>
      </c>
      <c r="H64" s="18" t="s">
        <v>1028</v>
      </c>
      <c r="I64" s="18" t="s">
        <v>67</v>
      </c>
      <c r="J64" s="18" t="s">
        <v>333</v>
      </c>
      <c r="K64" s="18" t="s">
        <v>512</v>
      </c>
      <c r="L64" s="18" t="s">
        <v>548</v>
      </c>
      <c r="M64" s="18" t="s">
        <v>884</v>
      </c>
      <c r="N64" s="18" t="s">
        <v>549</v>
      </c>
    </row>
    <row r="65" spans="1:14" ht="72" customHeight="1" x14ac:dyDescent="0.25">
      <c r="A65" s="14" t="s">
        <v>550</v>
      </c>
      <c r="B65" s="15" t="s">
        <v>332</v>
      </c>
      <c r="C65" s="15" t="s">
        <v>551</v>
      </c>
      <c r="D65" s="19" t="s">
        <v>34</v>
      </c>
      <c r="E65" s="15" t="s">
        <v>1033</v>
      </c>
      <c r="F65" s="15" t="s">
        <v>147</v>
      </c>
      <c r="G65" s="15" t="s">
        <v>69</v>
      </c>
      <c r="H65" s="15" t="s">
        <v>1028</v>
      </c>
      <c r="I65" s="15" t="s">
        <v>67</v>
      </c>
      <c r="J65" s="15" t="s">
        <v>333</v>
      </c>
      <c r="K65" s="15" t="s">
        <v>512</v>
      </c>
      <c r="L65" s="15" t="s">
        <v>552</v>
      </c>
      <c r="M65" s="15" t="s">
        <v>884</v>
      </c>
      <c r="N65" s="15" t="s">
        <v>553</v>
      </c>
    </row>
    <row r="66" spans="1:14" ht="72" customHeight="1" x14ac:dyDescent="0.25">
      <c r="A66" s="17" t="s">
        <v>554</v>
      </c>
      <c r="B66" s="18" t="s">
        <v>332</v>
      </c>
      <c r="C66" s="18" t="s">
        <v>555</v>
      </c>
      <c r="D66" s="16" t="s">
        <v>32</v>
      </c>
      <c r="E66" s="18" t="s">
        <v>40</v>
      </c>
      <c r="F66" s="18">
        <v>12.6</v>
      </c>
      <c r="G66" s="18" t="s">
        <v>66</v>
      </c>
      <c r="H66" s="18" t="s">
        <v>1028</v>
      </c>
      <c r="I66" s="18" t="s">
        <v>67</v>
      </c>
      <c r="J66" s="18" t="s">
        <v>333</v>
      </c>
      <c r="K66" s="18" t="s">
        <v>556</v>
      </c>
      <c r="L66" s="18" t="s">
        <v>557</v>
      </c>
      <c r="M66" s="18" t="s">
        <v>885</v>
      </c>
      <c r="N66" s="18" t="s">
        <v>558</v>
      </c>
    </row>
    <row r="67" spans="1:14" ht="72" customHeight="1" x14ac:dyDescent="0.25">
      <c r="A67" s="14" t="s">
        <v>559</v>
      </c>
      <c r="B67" s="15" t="s">
        <v>332</v>
      </c>
      <c r="C67" s="15" t="s">
        <v>560</v>
      </c>
      <c r="D67" s="16" t="s">
        <v>32</v>
      </c>
      <c r="E67" s="15" t="s">
        <v>40</v>
      </c>
      <c r="F67" s="15" t="s">
        <v>148</v>
      </c>
      <c r="G67" s="15" t="s">
        <v>69</v>
      </c>
      <c r="H67" s="15" t="s">
        <v>1028</v>
      </c>
      <c r="I67" s="15" t="s">
        <v>67</v>
      </c>
      <c r="J67" s="15" t="s">
        <v>333</v>
      </c>
      <c r="K67" s="15" t="s">
        <v>561</v>
      </c>
      <c r="L67" s="15" t="s">
        <v>562</v>
      </c>
      <c r="M67" s="15" t="s">
        <v>885</v>
      </c>
      <c r="N67" s="15" t="s">
        <v>563</v>
      </c>
    </row>
    <row r="68" spans="1:14" ht="72" customHeight="1" x14ac:dyDescent="0.25">
      <c r="A68" s="17" t="s">
        <v>564</v>
      </c>
      <c r="B68" s="18" t="s">
        <v>984</v>
      </c>
      <c r="C68" s="18" t="s">
        <v>565</v>
      </c>
      <c r="D68" s="16" t="s">
        <v>32</v>
      </c>
      <c r="E68" s="18" t="s">
        <v>38</v>
      </c>
      <c r="F68" s="18">
        <v>6.1</v>
      </c>
      <c r="G68" s="18" t="s">
        <v>66</v>
      </c>
      <c r="H68" s="18" t="s">
        <v>566</v>
      </c>
      <c r="I68" s="18" t="s">
        <v>67</v>
      </c>
      <c r="J68" s="18" t="s">
        <v>78</v>
      </c>
      <c r="K68" s="18" t="s">
        <v>79</v>
      </c>
      <c r="L68" s="18" t="s">
        <v>567</v>
      </c>
      <c r="M68" s="18" t="s">
        <v>886</v>
      </c>
      <c r="N68" s="18" t="s">
        <v>568</v>
      </c>
    </row>
    <row r="69" spans="1:14" ht="72" customHeight="1" x14ac:dyDescent="0.25">
      <c r="A69" s="14" t="s">
        <v>569</v>
      </c>
      <c r="B69" s="15" t="s">
        <v>1049</v>
      </c>
      <c r="C69" s="15" t="s">
        <v>570</v>
      </c>
      <c r="D69" s="19" t="s">
        <v>34</v>
      </c>
      <c r="E69" s="15" t="s">
        <v>1033</v>
      </c>
      <c r="F69" s="15" t="s">
        <v>149</v>
      </c>
      <c r="G69" s="15" t="s">
        <v>69</v>
      </c>
      <c r="H69" s="15" t="s">
        <v>566</v>
      </c>
      <c r="I69" s="15" t="s">
        <v>67</v>
      </c>
      <c r="J69" s="15" t="s">
        <v>78</v>
      </c>
      <c r="K69" s="15" t="s">
        <v>544</v>
      </c>
      <c r="L69" s="15" t="s">
        <v>571</v>
      </c>
      <c r="M69" s="15" t="s">
        <v>886</v>
      </c>
      <c r="N69" s="15" t="s">
        <v>572</v>
      </c>
    </row>
    <row r="70" spans="1:14" ht="72" customHeight="1" x14ac:dyDescent="0.25">
      <c r="A70" s="17" t="s">
        <v>573</v>
      </c>
      <c r="B70" s="18" t="s">
        <v>982</v>
      </c>
      <c r="C70" s="18" t="s">
        <v>574</v>
      </c>
      <c r="D70" s="16" t="s">
        <v>32</v>
      </c>
      <c r="E70" s="18" t="s">
        <v>38</v>
      </c>
      <c r="F70" s="18" t="s">
        <v>150</v>
      </c>
      <c r="G70" s="18" t="s">
        <v>69</v>
      </c>
      <c r="H70" s="18" t="s">
        <v>566</v>
      </c>
      <c r="I70" s="18" t="s">
        <v>67</v>
      </c>
      <c r="J70" s="18" t="s">
        <v>139</v>
      </c>
      <c r="K70" s="18" t="s">
        <v>151</v>
      </c>
      <c r="L70" s="18" t="s">
        <v>575</v>
      </c>
      <c r="M70" s="18" t="s">
        <v>886</v>
      </c>
      <c r="N70" s="18" t="s">
        <v>912</v>
      </c>
    </row>
    <row r="71" spans="1:14" ht="72" customHeight="1" x14ac:dyDescent="0.25">
      <c r="A71" s="14" t="s">
        <v>152</v>
      </c>
      <c r="B71" s="15" t="s">
        <v>985</v>
      </c>
      <c r="C71" s="15" t="s">
        <v>576</v>
      </c>
      <c r="D71" s="19" t="s">
        <v>34</v>
      </c>
      <c r="E71" s="15" t="s">
        <v>1033</v>
      </c>
      <c r="F71" s="15" t="s">
        <v>153</v>
      </c>
      <c r="G71" s="15" t="s">
        <v>69</v>
      </c>
      <c r="H71" s="15" t="s">
        <v>566</v>
      </c>
      <c r="I71" s="15" t="s">
        <v>67</v>
      </c>
      <c r="J71" s="15" t="s">
        <v>70</v>
      </c>
      <c r="K71" s="15" t="s">
        <v>951</v>
      </c>
      <c r="L71" s="15" t="s">
        <v>577</v>
      </c>
      <c r="M71" s="15" t="s">
        <v>886</v>
      </c>
      <c r="N71" s="15" t="s">
        <v>578</v>
      </c>
    </row>
    <row r="72" spans="1:14" ht="72" customHeight="1" x14ac:dyDescent="0.25">
      <c r="A72" s="17" t="s">
        <v>579</v>
      </c>
      <c r="B72" s="18" t="s">
        <v>986</v>
      </c>
      <c r="C72" s="18" t="s">
        <v>580</v>
      </c>
      <c r="D72" s="16" t="s">
        <v>32</v>
      </c>
      <c r="E72" s="18" t="s">
        <v>40</v>
      </c>
      <c r="F72" s="18" t="s">
        <v>154</v>
      </c>
      <c r="G72" s="18" t="s">
        <v>69</v>
      </c>
      <c r="H72" s="18" t="s">
        <v>566</v>
      </c>
      <c r="I72" s="18" t="s">
        <v>67</v>
      </c>
      <c r="J72" s="18" t="s">
        <v>155</v>
      </c>
      <c r="K72" s="18" t="s">
        <v>79</v>
      </c>
      <c r="L72" s="18" t="s">
        <v>581</v>
      </c>
      <c r="M72" s="18" t="s">
        <v>913</v>
      </c>
      <c r="N72" s="18" t="s">
        <v>582</v>
      </c>
    </row>
    <row r="73" spans="1:14" ht="72" customHeight="1" x14ac:dyDescent="0.25">
      <c r="A73" s="14" t="s">
        <v>583</v>
      </c>
      <c r="B73" s="15" t="s">
        <v>987</v>
      </c>
      <c r="C73" s="15" t="s">
        <v>584</v>
      </c>
      <c r="D73" s="16" t="s">
        <v>32</v>
      </c>
      <c r="E73" s="15" t="s">
        <v>40</v>
      </c>
      <c r="F73" s="15">
        <v>6.3</v>
      </c>
      <c r="G73" s="15" t="s">
        <v>66</v>
      </c>
      <c r="H73" s="15" t="s">
        <v>566</v>
      </c>
      <c r="I73" s="15" t="s">
        <v>67</v>
      </c>
      <c r="J73" s="15" t="s">
        <v>156</v>
      </c>
      <c r="K73" s="15" t="s">
        <v>988</v>
      </c>
      <c r="L73" s="15" t="s">
        <v>585</v>
      </c>
      <c r="M73" s="15" t="s">
        <v>896</v>
      </c>
      <c r="N73" s="15" t="s">
        <v>586</v>
      </c>
    </row>
    <row r="74" spans="1:14" ht="72" customHeight="1" x14ac:dyDescent="0.25">
      <c r="A74" s="17" t="s">
        <v>157</v>
      </c>
      <c r="B74" s="18" t="s">
        <v>887</v>
      </c>
      <c r="C74" s="18" t="s">
        <v>587</v>
      </c>
      <c r="D74" s="16" t="s">
        <v>32</v>
      </c>
      <c r="E74" s="18" t="s">
        <v>40</v>
      </c>
      <c r="F74" s="18" t="s">
        <v>158</v>
      </c>
      <c r="G74" s="18" t="s">
        <v>69</v>
      </c>
      <c r="H74" s="18" t="s">
        <v>566</v>
      </c>
      <c r="I74" s="18" t="s">
        <v>67</v>
      </c>
      <c r="J74" s="18" t="s">
        <v>156</v>
      </c>
      <c r="K74" s="18" t="s">
        <v>988</v>
      </c>
      <c r="L74" s="18" t="s">
        <v>588</v>
      </c>
      <c r="M74" s="18" t="s">
        <v>896</v>
      </c>
      <c r="N74" s="18" t="s">
        <v>589</v>
      </c>
    </row>
    <row r="75" spans="1:14" ht="72" customHeight="1" x14ac:dyDescent="0.25">
      <c r="A75" s="14" t="s">
        <v>159</v>
      </c>
      <c r="B75" s="15" t="s">
        <v>888</v>
      </c>
      <c r="C75" s="15" t="s">
        <v>914</v>
      </c>
      <c r="D75" s="19" t="s">
        <v>34</v>
      </c>
      <c r="E75" s="15" t="s">
        <v>1033</v>
      </c>
      <c r="F75" s="15" t="s">
        <v>160</v>
      </c>
      <c r="G75" s="15" t="s">
        <v>69</v>
      </c>
      <c r="H75" s="15" t="s">
        <v>566</v>
      </c>
      <c r="I75" s="15" t="s">
        <v>67</v>
      </c>
      <c r="J75" s="15" t="s">
        <v>161</v>
      </c>
      <c r="K75" s="15" t="s">
        <v>162</v>
      </c>
      <c r="L75" s="15" t="s">
        <v>590</v>
      </c>
      <c r="M75" s="15" t="s">
        <v>896</v>
      </c>
      <c r="N75" s="15" t="s">
        <v>591</v>
      </c>
    </row>
    <row r="76" spans="1:14" ht="72" customHeight="1" x14ac:dyDescent="0.25">
      <c r="A76" s="17" t="s">
        <v>592</v>
      </c>
      <c r="B76" s="18" t="s">
        <v>982</v>
      </c>
      <c r="C76" s="18" t="s">
        <v>989</v>
      </c>
      <c r="D76" s="19" t="s">
        <v>34</v>
      </c>
      <c r="E76" s="18" t="s">
        <v>1033</v>
      </c>
      <c r="F76" s="18" t="s">
        <v>163</v>
      </c>
      <c r="G76" s="18" t="s">
        <v>69</v>
      </c>
      <c r="H76" s="18" t="s">
        <v>566</v>
      </c>
      <c r="I76" s="18" t="s">
        <v>67</v>
      </c>
      <c r="J76" s="18" t="s">
        <v>139</v>
      </c>
      <c r="K76" s="18" t="s">
        <v>151</v>
      </c>
      <c r="L76" s="18" t="s">
        <v>593</v>
      </c>
      <c r="M76" s="18" t="s">
        <v>904</v>
      </c>
      <c r="N76" s="18" t="s">
        <v>594</v>
      </c>
    </row>
    <row r="77" spans="1:14" ht="72" customHeight="1" x14ac:dyDescent="0.25">
      <c r="A77" s="14" t="s">
        <v>595</v>
      </c>
      <c r="B77" s="15" t="s">
        <v>958</v>
      </c>
      <c r="C77" s="15" t="s">
        <v>596</v>
      </c>
      <c r="D77" s="16" t="s">
        <v>32</v>
      </c>
      <c r="E77" s="15" t="s">
        <v>40</v>
      </c>
      <c r="F77" s="15" t="s">
        <v>164</v>
      </c>
      <c r="G77" s="15" t="s">
        <v>69</v>
      </c>
      <c r="H77" s="15" t="s">
        <v>566</v>
      </c>
      <c r="I77" s="15" t="s">
        <v>67</v>
      </c>
      <c r="J77" s="15" t="s">
        <v>1071</v>
      </c>
      <c r="K77" s="15" t="s">
        <v>865</v>
      </c>
      <c r="L77" s="15" t="s">
        <v>597</v>
      </c>
      <c r="M77" s="15" t="s">
        <v>904</v>
      </c>
      <c r="N77" s="15" t="s">
        <v>598</v>
      </c>
    </row>
    <row r="78" spans="1:14" ht="72" customHeight="1" x14ac:dyDescent="0.25">
      <c r="A78" s="17" t="s">
        <v>599</v>
      </c>
      <c r="B78" s="18" t="s">
        <v>542</v>
      </c>
      <c r="C78" s="18" t="s">
        <v>600</v>
      </c>
      <c r="D78" s="16" t="s">
        <v>32</v>
      </c>
      <c r="E78" s="18" t="s">
        <v>40</v>
      </c>
      <c r="F78" s="18">
        <v>11.1</v>
      </c>
      <c r="G78" s="18" t="s">
        <v>66</v>
      </c>
      <c r="H78" s="18" t="s">
        <v>1029</v>
      </c>
      <c r="I78" s="18" t="s">
        <v>67</v>
      </c>
      <c r="J78" s="18" t="s">
        <v>882</v>
      </c>
      <c r="K78" s="18" t="s">
        <v>544</v>
      </c>
      <c r="L78" s="18" t="s">
        <v>601</v>
      </c>
      <c r="M78" s="18" t="s">
        <v>1050</v>
      </c>
      <c r="N78" s="18" t="s">
        <v>602</v>
      </c>
    </row>
    <row r="79" spans="1:14" ht="72" customHeight="1" x14ac:dyDescent="0.25">
      <c r="A79" s="14" t="s">
        <v>603</v>
      </c>
      <c r="B79" s="15" t="s">
        <v>542</v>
      </c>
      <c r="C79" s="15" t="s">
        <v>604</v>
      </c>
      <c r="D79" s="16" t="s">
        <v>32</v>
      </c>
      <c r="E79" s="15" t="s">
        <v>40</v>
      </c>
      <c r="F79" s="15" t="s">
        <v>165</v>
      </c>
      <c r="G79" s="15" t="s">
        <v>69</v>
      </c>
      <c r="H79" s="15" t="s">
        <v>1029</v>
      </c>
      <c r="I79" s="15" t="s">
        <v>67</v>
      </c>
      <c r="J79" s="15" t="s">
        <v>882</v>
      </c>
      <c r="K79" s="15" t="s">
        <v>544</v>
      </c>
      <c r="L79" s="15" t="s">
        <v>605</v>
      </c>
      <c r="M79" s="15" t="s">
        <v>1050</v>
      </c>
      <c r="N79" s="15" t="s">
        <v>606</v>
      </c>
    </row>
    <row r="80" spans="1:14" ht="72" customHeight="1" x14ac:dyDescent="0.25">
      <c r="A80" s="17" t="s">
        <v>607</v>
      </c>
      <c r="B80" s="18" t="s">
        <v>542</v>
      </c>
      <c r="C80" s="18" t="s">
        <v>608</v>
      </c>
      <c r="D80" s="16" t="s">
        <v>32</v>
      </c>
      <c r="E80" s="18" t="s">
        <v>40</v>
      </c>
      <c r="F80" s="18" t="s">
        <v>166</v>
      </c>
      <c r="G80" s="18" t="s">
        <v>69</v>
      </c>
      <c r="H80" s="18" t="s">
        <v>1029</v>
      </c>
      <c r="I80" s="18" t="s">
        <v>67</v>
      </c>
      <c r="J80" s="18" t="s">
        <v>882</v>
      </c>
      <c r="K80" s="18" t="s">
        <v>544</v>
      </c>
      <c r="L80" s="18" t="s">
        <v>609</v>
      </c>
      <c r="M80" s="18" t="s">
        <v>1050</v>
      </c>
      <c r="N80" s="18" t="s">
        <v>610</v>
      </c>
    </row>
    <row r="81" spans="1:14" ht="72" customHeight="1" x14ac:dyDescent="0.25">
      <c r="A81" s="14" t="s">
        <v>611</v>
      </c>
      <c r="B81" s="15" t="s">
        <v>1051</v>
      </c>
      <c r="C81" s="15" t="s">
        <v>612</v>
      </c>
      <c r="D81" s="16" t="s">
        <v>32</v>
      </c>
      <c r="E81" s="15" t="s">
        <v>40</v>
      </c>
      <c r="F81" s="15" t="s">
        <v>167</v>
      </c>
      <c r="G81" s="15" t="s">
        <v>69</v>
      </c>
      <c r="H81" s="15" t="s">
        <v>1029</v>
      </c>
      <c r="I81" s="15" t="s">
        <v>67</v>
      </c>
      <c r="J81" s="15" t="s">
        <v>168</v>
      </c>
      <c r="K81" s="15" t="s">
        <v>948</v>
      </c>
      <c r="L81" s="15" t="s">
        <v>613</v>
      </c>
      <c r="M81" s="15" t="s">
        <v>1050</v>
      </c>
      <c r="N81" s="15" t="s">
        <v>614</v>
      </c>
    </row>
    <row r="82" spans="1:14" ht="72" customHeight="1" x14ac:dyDescent="0.25">
      <c r="A82" s="17" t="s">
        <v>615</v>
      </c>
      <c r="B82" s="18" t="s">
        <v>542</v>
      </c>
      <c r="C82" s="18" t="s">
        <v>915</v>
      </c>
      <c r="D82" s="16" t="s">
        <v>32</v>
      </c>
      <c r="E82" s="18" t="s">
        <v>40</v>
      </c>
      <c r="F82" s="18" t="s">
        <v>169</v>
      </c>
      <c r="G82" s="18" t="s">
        <v>69</v>
      </c>
      <c r="H82" s="18" t="s">
        <v>1029</v>
      </c>
      <c r="I82" s="18" t="s">
        <v>67</v>
      </c>
      <c r="J82" s="18" t="s">
        <v>882</v>
      </c>
      <c r="K82" s="18" t="s">
        <v>544</v>
      </c>
      <c r="L82" s="18" t="s">
        <v>616</v>
      </c>
      <c r="M82" s="18" t="s">
        <v>1050</v>
      </c>
      <c r="N82" s="18" t="s">
        <v>617</v>
      </c>
    </row>
    <row r="83" spans="1:14" ht="72" customHeight="1" x14ac:dyDescent="0.25">
      <c r="A83" s="14" t="s">
        <v>618</v>
      </c>
      <c r="B83" s="15" t="s">
        <v>542</v>
      </c>
      <c r="C83" s="15" t="s">
        <v>619</v>
      </c>
      <c r="D83" s="16" t="s">
        <v>32</v>
      </c>
      <c r="E83" s="15" t="s">
        <v>40</v>
      </c>
      <c r="F83" s="15" t="s">
        <v>170</v>
      </c>
      <c r="G83" s="15" t="s">
        <v>69</v>
      </c>
      <c r="H83" s="15" t="s">
        <v>1029</v>
      </c>
      <c r="I83" s="15" t="s">
        <v>67</v>
      </c>
      <c r="J83" s="15" t="s">
        <v>882</v>
      </c>
      <c r="K83" s="15" t="s">
        <v>544</v>
      </c>
      <c r="L83" s="15" t="s">
        <v>620</v>
      </c>
      <c r="M83" s="15" t="s">
        <v>1050</v>
      </c>
      <c r="N83" s="15" t="s">
        <v>621</v>
      </c>
    </row>
    <row r="84" spans="1:14" ht="72" customHeight="1" x14ac:dyDescent="0.25">
      <c r="A84" s="17" t="s">
        <v>622</v>
      </c>
      <c r="B84" s="18" t="s">
        <v>1052</v>
      </c>
      <c r="C84" s="18" t="s">
        <v>623</v>
      </c>
      <c r="D84" s="16" t="s">
        <v>32</v>
      </c>
      <c r="E84" s="18" t="s">
        <v>40</v>
      </c>
      <c r="F84" s="18">
        <v>11.2</v>
      </c>
      <c r="G84" s="18" t="s">
        <v>66</v>
      </c>
      <c r="H84" s="18" t="s">
        <v>1029</v>
      </c>
      <c r="I84" s="18" t="s">
        <v>67</v>
      </c>
      <c r="J84" s="18" t="s">
        <v>1081</v>
      </c>
      <c r="K84" s="18" t="s">
        <v>544</v>
      </c>
      <c r="L84" s="18" t="s">
        <v>624</v>
      </c>
      <c r="M84" s="18" t="s">
        <v>895</v>
      </c>
      <c r="N84" s="18" t="s">
        <v>625</v>
      </c>
    </row>
    <row r="85" spans="1:14" ht="72" customHeight="1" x14ac:dyDescent="0.25">
      <c r="A85" s="14" t="s">
        <v>626</v>
      </c>
      <c r="B85" s="15" t="s">
        <v>1053</v>
      </c>
      <c r="C85" s="15" t="s">
        <v>627</v>
      </c>
      <c r="D85" s="16" t="s">
        <v>32</v>
      </c>
      <c r="E85" s="15" t="s">
        <v>38</v>
      </c>
      <c r="F85" s="15" t="s">
        <v>171</v>
      </c>
      <c r="G85" s="15" t="s">
        <v>69</v>
      </c>
      <c r="H85" s="15" t="s">
        <v>1029</v>
      </c>
      <c r="I85" s="15" t="s">
        <v>67</v>
      </c>
      <c r="J85" s="15" t="s">
        <v>97</v>
      </c>
      <c r="K85" s="15" t="s">
        <v>95</v>
      </c>
      <c r="L85" s="15" t="s">
        <v>628</v>
      </c>
      <c r="M85" s="15" t="s">
        <v>895</v>
      </c>
      <c r="N85" s="15" t="s">
        <v>629</v>
      </c>
    </row>
    <row r="86" spans="1:14" ht="72" customHeight="1" x14ac:dyDescent="0.25">
      <c r="A86" s="17" t="s">
        <v>630</v>
      </c>
      <c r="B86" s="18" t="s">
        <v>990</v>
      </c>
      <c r="C86" s="18" t="s">
        <v>631</v>
      </c>
      <c r="D86" s="19" t="s">
        <v>34</v>
      </c>
      <c r="E86" s="18" t="s">
        <v>1033</v>
      </c>
      <c r="F86" s="18" t="s">
        <v>172</v>
      </c>
      <c r="G86" s="18" t="s">
        <v>69</v>
      </c>
      <c r="H86" s="18" t="s">
        <v>1029</v>
      </c>
      <c r="I86" s="18" t="s">
        <v>67</v>
      </c>
      <c r="J86" s="18" t="s">
        <v>139</v>
      </c>
      <c r="K86" s="18" t="s">
        <v>632</v>
      </c>
      <c r="L86" s="18" t="s">
        <v>633</v>
      </c>
      <c r="M86" s="18" t="s">
        <v>916</v>
      </c>
      <c r="N86" s="18" t="s">
        <v>634</v>
      </c>
    </row>
    <row r="87" spans="1:14" ht="72" customHeight="1" x14ac:dyDescent="0.25">
      <c r="A87" s="14" t="s">
        <v>635</v>
      </c>
      <c r="B87" s="15" t="s">
        <v>542</v>
      </c>
      <c r="C87" s="15" t="s">
        <v>636</v>
      </c>
      <c r="D87" s="16" t="s">
        <v>32</v>
      </c>
      <c r="E87" s="15" t="s">
        <v>40</v>
      </c>
      <c r="F87" s="15" t="s">
        <v>173</v>
      </c>
      <c r="G87" s="15" t="s">
        <v>69</v>
      </c>
      <c r="H87" s="15" t="s">
        <v>1029</v>
      </c>
      <c r="I87" s="15" t="s">
        <v>67</v>
      </c>
      <c r="J87" s="15" t="s">
        <v>882</v>
      </c>
      <c r="K87" s="15" t="s">
        <v>544</v>
      </c>
      <c r="L87" s="15" t="s">
        <v>637</v>
      </c>
      <c r="M87" s="15" t="s">
        <v>895</v>
      </c>
      <c r="N87" s="15" t="s">
        <v>638</v>
      </c>
    </row>
    <row r="88" spans="1:14" ht="72" customHeight="1" x14ac:dyDescent="0.25">
      <c r="A88" s="17" t="s">
        <v>639</v>
      </c>
      <c r="B88" s="18" t="s">
        <v>332</v>
      </c>
      <c r="C88" s="18" t="s">
        <v>640</v>
      </c>
      <c r="D88" s="16" t="s">
        <v>32</v>
      </c>
      <c r="E88" s="18" t="s">
        <v>40</v>
      </c>
      <c r="F88" s="18" t="s">
        <v>174</v>
      </c>
      <c r="G88" s="18" t="s">
        <v>69</v>
      </c>
      <c r="H88" s="18" t="s">
        <v>1029</v>
      </c>
      <c r="I88" s="18" t="s">
        <v>67</v>
      </c>
      <c r="J88" s="18" t="s">
        <v>333</v>
      </c>
      <c r="K88" s="18" t="s">
        <v>544</v>
      </c>
      <c r="L88" s="18" t="s">
        <v>641</v>
      </c>
      <c r="M88" s="18" t="s">
        <v>895</v>
      </c>
      <c r="N88" s="18" t="s">
        <v>642</v>
      </c>
    </row>
    <row r="89" spans="1:14" ht="72" customHeight="1" x14ac:dyDescent="0.25">
      <c r="A89" s="14" t="s">
        <v>643</v>
      </c>
      <c r="B89" s="15" t="s">
        <v>542</v>
      </c>
      <c r="C89" s="15" t="s">
        <v>644</v>
      </c>
      <c r="D89" s="16" t="s">
        <v>32</v>
      </c>
      <c r="E89" s="15" t="s">
        <v>38</v>
      </c>
      <c r="F89" s="15">
        <v>11.3</v>
      </c>
      <c r="G89" s="15" t="s">
        <v>66</v>
      </c>
      <c r="H89" s="15" t="s">
        <v>1029</v>
      </c>
      <c r="I89" s="15" t="s">
        <v>67</v>
      </c>
      <c r="J89" s="15" t="s">
        <v>882</v>
      </c>
      <c r="K89" s="15" t="s">
        <v>544</v>
      </c>
      <c r="L89" s="15" t="s">
        <v>645</v>
      </c>
      <c r="M89" s="15" t="s">
        <v>894</v>
      </c>
      <c r="N89" s="15" t="s">
        <v>646</v>
      </c>
    </row>
    <row r="90" spans="1:14" ht="72" customHeight="1" x14ac:dyDescent="0.25">
      <c r="A90" s="17" t="s">
        <v>647</v>
      </c>
      <c r="B90" s="18" t="s">
        <v>542</v>
      </c>
      <c r="C90" s="18" t="s">
        <v>648</v>
      </c>
      <c r="D90" s="16" t="s">
        <v>32</v>
      </c>
      <c r="E90" s="18" t="s">
        <v>38</v>
      </c>
      <c r="F90" s="18" t="s">
        <v>175</v>
      </c>
      <c r="G90" s="18" t="s">
        <v>69</v>
      </c>
      <c r="H90" s="18" t="s">
        <v>1029</v>
      </c>
      <c r="I90" s="18" t="s">
        <v>67</v>
      </c>
      <c r="J90" s="18" t="s">
        <v>882</v>
      </c>
      <c r="K90" s="18" t="s">
        <v>544</v>
      </c>
      <c r="L90" s="18" t="s">
        <v>649</v>
      </c>
      <c r="M90" s="18" t="s">
        <v>894</v>
      </c>
      <c r="N90" s="18" t="s">
        <v>650</v>
      </c>
    </row>
    <row r="91" spans="1:14" ht="72" customHeight="1" x14ac:dyDescent="0.25">
      <c r="A91" s="14" t="s">
        <v>651</v>
      </c>
      <c r="B91" s="15" t="s">
        <v>991</v>
      </c>
      <c r="C91" s="15" t="s">
        <v>917</v>
      </c>
      <c r="D91" s="16" t="s">
        <v>32</v>
      </c>
      <c r="E91" s="15" t="s">
        <v>38</v>
      </c>
      <c r="F91" s="15" t="s">
        <v>176</v>
      </c>
      <c r="G91" s="15" t="s">
        <v>69</v>
      </c>
      <c r="H91" s="15" t="s">
        <v>1029</v>
      </c>
      <c r="I91" s="15" t="s">
        <v>67</v>
      </c>
      <c r="J91" s="15" t="s">
        <v>139</v>
      </c>
      <c r="K91" s="15" t="s">
        <v>151</v>
      </c>
      <c r="L91" s="15" t="s">
        <v>652</v>
      </c>
      <c r="M91" s="15" t="s">
        <v>894</v>
      </c>
      <c r="N91" s="15" t="s">
        <v>653</v>
      </c>
    </row>
    <row r="92" spans="1:14" ht="72" customHeight="1" x14ac:dyDescent="0.25">
      <c r="A92" s="17" t="s">
        <v>654</v>
      </c>
      <c r="B92" s="18" t="s">
        <v>542</v>
      </c>
      <c r="C92" s="18" t="s">
        <v>655</v>
      </c>
      <c r="D92" s="16" t="s">
        <v>32</v>
      </c>
      <c r="E92" s="18" t="s">
        <v>40</v>
      </c>
      <c r="F92" s="18" t="s">
        <v>177</v>
      </c>
      <c r="G92" s="18" t="s">
        <v>69</v>
      </c>
      <c r="H92" s="18" t="s">
        <v>1029</v>
      </c>
      <c r="I92" s="18" t="s">
        <v>67</v>
      </c>
      <c r="J92" s="18" t="s">
        <v>882</v>
      </c>
      <c r="K92" s="18" t="s">
        <v>948</v>
      </c>
      <c r="L92" s="18" t="s">
        <v>656</v>
      </c>
      <c r="M92" s="18" t="s">
        <v>894</v>
      </c>
      <c r="N92" s="18" t="s">
        <v>657</v>
      </c>
    </row>
    <row r="93" spans="1:14" ht="72" customHeight="1" x14ac:dyDescent="0.25">
      <c r="A93" s="14" t="s">
        <v>658</v>
      </c>
      <c r="B93" s="15" t="s">
        <v>984</v>
      </c>
      <c r="C93" s="15" t="s">
        <v>659</v>
      </c>
      <c r="D93" s="16" t="s">
        <v>32</v>
      </c>
      <c r="E93" s="15" t="s">
        <v>40</v>
      </c>
      <c r="F93" s="15" t="s">
        <v>178</v>
      </c>
      <c r="G93" s="15" t="s">
        <v>69</v>
      </c>
      <c r="H93" s="15" t="s">
        <v>1029</v>
      </c>
      <c r="I93" s="15" t="s">
        <v>67</v>
      </c>
      <c r="J93" s="15" t="s">
        <v>78</v>
      </c>
      <c r="K93" s="15" t="s">
        <v>544</v>
      </c>
      <c r="L93" s="15" t="s">
        <v>660</v>
      </c>
      <c r="M93" s="15" t="s">
        <v>894</v>
      </c>
      <c r="N93" s="15" t="s">
        <v>661</v>
      </c>
    </row>
    <row r="94" spans="1:14" ht="72" customHeight="1" x14ac:dyDescent="0.25">
      <c r="A94" s="17" t="s">
        <v>662</v>
      </c>
      <c r="B94" s="18" t="s">
        <v>984</v>
      </c>
      <c r="C94" s="18" t="s">
        <v>663</v>
      </c>
      <c r="D94" s="16" t="s">
        <v>32</v>
      </c>
      <c r="E94" s="18" t="s">
        <v>38</v>
      </c>
      <c r="F94" s="18" t="s">
        <v>179</v>
      </c>
      <c r="G94" s="18" t="s">
        <v>69</v>
      </c>
      <c r="H94" s="18" t="s">
        <v>1029</v>
      </c>
      <c r="I94" s="18" t="s">
        <v>67</v>
      </c>
      <c r="J94" s="18" t="s">
        <v>78</v>
      </c>
      <c r="K94" s="18" t="s">
        <v>79</v>
      </c>
      <c r="L94" s="18" t="s">
        <v>664</v>
      </c>
      <c r="M94" s="18" t="s">
        <v>905</v>
      </c>
      <c r="N94" s="18" t="s">
        <v>918</v>
      </c>
    </row>
    <row r="95" spans="1:14" ht="72" customHeight="1" x14ac:dyDescent="0.25">
      <c r="A95" s="14" t="s">
        <v>665</v>
      </c>
      <c r="B95" s="15" t="s">
        <v>666</v>
      </c>
      <c r="C95" s="15" t="s">
        <v>919</v>
      </c>
      <c r="D95" s="16" t="s">
        <v>32</v>
      </c>
      <c r="E95" s="15" t="s">
        <v>40</v>
      </c>
      <c r="F95" s="15" t="s">
        <v>180</v>
      </c>
      <c r="G95" s="15" t="s">
        <v>69</v>
      </c>
      <c r="H95" s="15" t="s">
        <v>1029</v>
      </c>
      <c r="I95" s="15" t="s">
        <v>67</v>
      </c>
      <c r="J95" s="15" t="s">
        <v>125</v>
      </c>
      <c r="K95" s="15" t="s">
        <v>126</v>
      </c>
      <c r="L95" s="15" t="s">
        <v>667</v>
      </c>
      <c r="M95" s="15" t="s">
        <v>905</v>
      </c>
      <c r="N95" s="15" t="s">
        <v>1054</v>
      </c>
    </row>
    <row r="96" spans="1:14" ht="72" customHeight="1" x14ac:dyDescent="0.25">
      <c r="A96" s="17" t="s">
        <v>668</v>
      </c>
      <c r="B96" s="18" t="s">
        <v>332</v>
      </c>
      <c r="C96" s="18" t="s">
        <v>669</v>
      </c>
      <c r="D96" s="16" t="s">
        <v>32</v>
      </c>
      <c r="E96" s="18" t="s">
        <v>40</v>
      </c>
      <c r="F96" s="18">
        <v>3.1</v>
      </c>
      <c r="G96" s="18" t="s">
        <v>66</v>
      </c>
      <c r="H96" s="18" t="s">
        <v>670</v>
      </c>
      <c r="I96" s="18" t="s">
        <v>67</v>
      </c>
      <c r="J96" s="18" t="s">
        <v>333</v>
      </c>
      <c r="K96" s="18" t="s">
        <v>334</v>
      </c>
      <c r="L96" s="18" t="s">
        <v>671</v>
      </c>
      <c r="M96" s="18" t="s">
        <v>897</v>
      </c>
      <c r="N96" s="18" t="s">
        <v>672</v>
      </c>
    </row>
    <row r="97" spans="1:14" ht="72" customHeight="1" x14ac:dyDescent="0.25">
      <c r="A97" s="14" t="s">
        <v>673</v>
      </c>
      <c r="B97" s="15" t="s">
        <v>1055</v>
      </c>
      <c r="C97" s="15" t="s">
        <v>674</v>
      </c>
      <c r="D97" s="16" t="s">
        <v>32</v>
      </c>
      <c r="E97" s="15" t="s">
        <v>40</v>
      </c>
      <c r="F97" s="15" t="s">
        <v>181</v>
      </c>
      <c r="G97" s="15" t="s">
        <v>69</v>
      </c>
      <c r="H97" s="15" t="s">
        <v>670</v>
      </c>
      <c r="I97" s="15" t="s">
        <v>67</v>
      </c>
      <c r="J97" s="15" t="s">
        <v>182</v>
      </c>
      <c r="K97" s="15" t="s">
        <v>948</v>
      </c>
      <c r="L97" s="15" t="s">
        <v>675</v>
      </c>
      <c r="M97" s="15" t="s">
        <v>897</v>
      </c>
      <c r="N97" s="15" t="s">
        <v>676</v>
      </c>
    </row>
    <row r="98" spans="1:14" ht="72" customHeight="1" x14ac:dyDescent="0.25">
      <c r="A98" s="17" t="s">
        <v>677</v>
      </c>
      <c r="B98" s="18" t="s">
        <v>332</v>
      </c>
      <c r="C98" s="18" t="s">
        <v>678</v>
      </c>
      <c r="D98" s="16" t="s">
        <v>32</v>
      </c>
      <c r="E98" s="18" t="s">
        <v>40</v>
      </c>
      <c r="F98" s="18" t="s">
        <v>183</v>
      </c>
      <c r="G98" s="18" t="s">
        <v>69</v>
      </c>
      <c r="H98" s="18" t="s">
        <v>670</v>
      </c>
      <c r="I98" s="18" t="s">
        <v>67</v>
      </c>
      <c r="J98" s="18" t="s">
        <v>333</v>
      </c>
      <c r="K98" s="18" t="s">
        <v>334</v>
      </c>
      <c r="L98" s="18" t="s">
        <v>679</v>
      </c>
      <c r="M98" s="18" t="s">
        <v>897</v>
      </c>
      <c r="N98" s="18" t="s">
        <v>680</v>
      </c>
    </row>
    <row r="99" spans="1:14" ht="72" customHeight="1" x14ac:dyDescent="0.25">
      <c r="A99" s="14" t="s">
        <v>681</v>
      </c>
      <c r="B99" s="15" t="s">
        <v>992</v>
      </c>
      <c r="C99" s="15" t="s">
        <v>682</v>
      </c>
      <c r="D99" s="16" t="s">
        <v>32</v>
      </c>
      <c r="E99" s="15" t="s">
        <v>40</v>
      </c>
      <c r="F99" s="15">
        <v>3.2</v>
      </c>
      <c r="G99" s="15" t="s">
        <v>66</v>
      </c>
      <c r="H99" s="15" t="s">
        <v>670</v>
      </c>
      <c r="I99" s="15" t="s">
        <v>67</v>
      </c>
      <c r="J99" s="15" t="s">
        <v>1082</v>
      </c>
      <c r="K99" s="15" t="s">
        <v>334</v>
      </c>
      <c r="L99" s="15" t="s">
        <v>683</v>
      </c>
      <c r="M99" s="15" t="s">
        <v>684</v>
      </c>
      <c r="N99" s="15" t="s">
        <v>685</v>
      </c>
    </row>
    <row r="100" spans="1:14" ht="72" customHeight="1" x14ac:dyDescent="0.25">
      <c r="A100" s="17" t="s">
        <v>686</v>
      </c>
      <c r="B100" s="18" t="s">
        <v>984</v>
      </c>
      <c r="C100" s="18" t="s">
        <v>687</v>
      </c>
      <c r="D100" s="16" t="s">
        <v>32</v>
      </c>
      <c r="E100" s="18" t="s">
        <v>40</v>
      </c>
      <c r="F100" s="18" t="s">
        <v>184</v>
      </c>
      <c r="G100" s="18" t="s">
        <v>69</v>
      </c>
      <c r="H100" s="18" t="s">
        <v>670</v>
      </c>
      <c r="I100" s="18" t="s">
        <v>67</v>
      </c>
      <c r="J100" s="18" t="s">
        <v>78</v>
      </c>
      <c r="K100" s="18" t="s">
        <v>334</v>
      </c>
      <c r="L100" s="18" t="s">
        <v>688</v>
      </c>
      <c r="M100" s="18" t="s">
        <v>684</v>
      </c>
      <c r="N100" s="18" t="s">
        <v>1056</v>
      </c>
    </row>
    <row r="101" spans="1:14" ht="72" customHeight="1" x14ac:dyDescent="0.25">
      <c r="A101" s="14" t="s">
        <v>689</v>
      </c>
      <c r="B101" s="15" t="s">
        <v>332</v>
      </c>
      <c r="C101" s="15" t="s">
        <v>1057</v>
      </c>
      <c r="D101" s="16" t="s">
        <v>32</v>
      </c>
      <c r="E101" s="15" t="s">
        <v>40</v>
      </c>
      <c r="F101" s="15" t="s">
        <v>185</v>
      </c>
      <c r="G101" s="15" t="s">
        <v>69</v>
      </c>
      <c r="H101" s="15" t="s">
        <v>670</v>
      </c>
      <c r="I101" s="15" t="s">
        <v>67</v>
      </c>
      <c r="J101" s="15" t="s">
        <v>333</v>
      </c>
      <c r="K101" s="15" t="s">
        <v>334</v>
      </c>
      <c r="L101" s="15" t="s">
        <v>690</v>
      </c>
      <c r="M101" s="15" t="s">
        <v>684</v>
      </c>
      <c r="N101" s="15" t="s">
        <v>691</v>
      </c>
    </row>
    <row r="102" spans="1:14" ht="72" customHeight="1" x14ac:dyDescent="0.25">
      <c r="A102" s="17" t="s">
        <v>692</v>
      </c>
      <c r="B102" s="18" t="s">
        <v>332</v>
      </c>
      <c r="C102" s="18" t="s">
        <v>693</v>
      </c>
      <c r="D102" s="16" t="s">
        <v>32</v>
      </c>
      <c r="E102" s="18" t="s">
        <v>38</v>
      </c>
      <c r="F102" s="18">
        <v>3.3</v>
      </c>
      <c r="G102" s="18" t="s">
        <v>66</v>
      </c>
      <c r="H102" s="18" t="s">
        <v>670</v>
      </c>
      <c r="I102" s="18" t="s">
        <v>67</v>
      </c>
      <c r="J102" s="18" t="s">
        <v>333</v>
      </c>
      <c r="K102" s="18" t="s">
        <v>948</v>
      </c>
      <c r="L102" s="18" t="s">
        <v>694</v>
      </c>
      <c r="M102" s="18" t="s">
        <v>898</v>
      </c>
      <c r="N102" s="18" t="s">
        <v>695</v>
      </c>
    </row>
    <row r="103" spans="1:14" ht="72" customHeight="1" x14ac:dyDescent="0.25">
      <c r="A103" s="14" t="s">
        <v>186</v>
      </c>
      <c r="B103" s="15" t="s">
        <v>1055</v>
      </c>
      <c r="C103" s="15" t="s">
        <v>696</v>
      </c>
      <c r="D103" s="16" t="s">
        <v>32</v>
      </c>
      <c r="E103" s="15" t="s">
        <v>38</v>
      </c>
      <c r="F103" s="15" t="s">
        <v>187</v>
      </c>
      <c r="G103" s="15" t="s">
        <v>69</v>
      </c>
      <c r="H103" s="15" t="s">
        <v>670</v>
      </c>
      <c r="I103" s="15" t="s">
        <v>67</v>
      </c>
      <c r="J103" s="15" t="s">
        <v>182</v>
      </c>
      <c r="K103" s="15" t="s">
        <v>948</v>
      </c>
      <c r="L103" s="15" t="s">
        <v>697</v>
      </c>
      <c r="M103" s="15" t="s">
        <v>898</v>
      </c>
      <c r="N103" s="15" t="s">
        <v>188</v>
      </c>
    </row>
    <row r="104" spans="1:14" ht="72" customHeight="1" x14ac:dyDescent="0.25">
      <c r="A104" s="17" t="s">
        <v>189</v>
      </c>
      <c r="B104" s="18" t="s">
        <v>959</v>
      </c>
      <c r="C104" s="18" t="s">
        <v>920</v>
      </c>
      <c r="D104" s="16" t="s">
        <v>32</v>
      </c>
      <c r="E104" s="18" t="s">
        <v>38</v>
      </c>
      <c r="F104" s="18" t="s">
        <v>190</v>
      </c>
      <c r="G104" s="18" t="s">
        <v>69</v>
      </c>
      <c r="H104" s="18" t="s">
        <v>670</v>
      </c>
      <c r="I104" s="18" t="s">
        <v>67</v>
      </c>
      <c r="J104" s="18" t="s">
        <v>859</v>
      </c>
      <c r="K104" s="18" t="s">
        <v>948</v>
      </c>
      <c r="L104" s="18" t="s">
        <v>698</v>
      </c>
      <c r="M104" s="18" t="s">
        <v>898</v>
      </c>
      <c r="N104" s="18" t="s">
        <v>191</v>
      </c>
    </row>
    <row r="105" spans="1:14" ht="72" customHeight="1" x14ac:dyDescent="0.25">
      <c r="A105" s="14" t="s">
        <v>699</v>
      </c>
      <c r="B105" s="15" t="s">
        <v>332</v>
      </c>
      <c r="C105" s="15" t="s">
        <v>700</v>
      </c>
      <c r="D105" s="16" t="s">
        <v>32</v>
      </c>
      <c r="E105" s="15" t="s">
        <v>40</v>
      </c>
      <c r="F105" s="15">
        <v>3.4</v>
      </c>
      <c r="G105" s="15" t="s">
        <v>66</v>
      </c>
      <c r="H105" s="15" t="s">
        <v>670</v>
      </c>
      <c r="I105" s="15" t="s">
        <v>67</v>
      </c>
      <c r="J105" s="15" t="s">
        <v>333</v>
      </c>
      <c r="K105" s="15" t="s">
        <v>334</v>
      </c>
      <c r="L105" s="15" t="s">
        <v>701</v>
      </c>
      <c r="M105" s="15" t="s">
        <v>899</v>
      </c>
      <c r="N105" s="15" t="s">
        <v>702</v>
      </c>
    </row>
    <row r="106" spans="1:14" ht="72" customHeight="1" x14ac:dyDescent="0.25">
      <c r="A106" s="17" t="s">
        <v>703</v>
      </c>
      <c r="B106" s="18" t="s">
        <v>993</v>
      </c>
      <c r="C106" s="18" t="s">
        <v>704</v>
      </c>
      <c r="D106" s="16" t="s">
        <v>32</v>
      </c>
      <c r="E106" s="18" t="s">
        <v>40</v>
      </c>
      <c r="F106" s="18" t="s">
        <v>192</v>
      </c>
      <c r="G106" s="18" t="s">
        <v>69</v>
      </c>
      <c r="H106" s="18" t="s">
        <v>670</v>
      </c>
      <c r="I106" s="18" t="s">
        <v>67</v>
      </c>
      <c r="J106" s="18" t="s">
        <v>1083</v>
      </c>
      <c r="K106" s="18" t="s">
        <v>89</v>
      </c>
      <c r="L106" s="18" t="s">
        <v>705</v>
      </c>
      <c r="M106" s="18" t="s">
        <v>899</v>
      </c>
      <c r="N106" s="18" t="s">
        <v>706</v>
      </c>
    </row>
    <row r="107" spans="1:14" ht="72" customHeight="1" x14ac:dyDescent="0.25">
      <c r="A107" s="14" t="s">
        <v>707</v>
      </c>
      <c r="B107" s="15" t="s">
        <v>960</v>
      </c>
      <c r="C107" s="15" t="s">
        <v>708</v>
      </c>
      <c r="D107" s="16" t="s">
        <v>32</v>
      </c>
      <c r="E107" s="15" t="s">
        <v>40</v>
      </c>
      <c r="F107" s="15" t="s">
        <v>193</v>
      </c>
      <c r="G107" s="15" t="s">
        <v>69</v>
      </c>
      <c r="H107" s="15" t="s">
        <v>670</v>
      </c>
      <c r="I107" s="15" t="s">
        <v>67</v>
      </c>
      <c r="J107" s="15" t="s">
        <v>1072</v>
      </c>
      <c r="K107" s="15" t="s">
        <v>948</v>
      </c>
      <c r="L107" s="15" t="s">
        <v>709</v>
      </c>
      <c r="M107" s="15" t="s">
        <v>899</v>
      </c>
      <c r="N107" s="15" t="s">
        <v>710</v>
      </c>
    </row>
    <row r="108" spans="1:14" ht="72" customHeight="1" x14ac:dyDescent="0.25">
      <c r="A108" s="17" t="s">
        <v>711</v>
      </c>
      <c r="B108" s="18" t="s">
        <v>994</v>
      </c>
      <c r="C108" s="18" t="s">
        <v>712</v>
      </c>
      <c r="D108" s="16" t="s">
        <v>32</v>
      </c>
      <c r="E108" s="18" t="s">
        <v>38</v>
      </c>
      <c r="F108" s="18">
        <v>10.1</v>
      </c>
      <c r="G108" s="18" t="s">
        <v>66</v>
      </c>
      <c r="H108" s="18" t="s">
        <v>1030</v>
      </c>
      <c r="I108" s="18" t="s">
        <v>67</v>
      </c>
      <c r="J108" s="18" t="s">
        <v>194</v>
      </c>
      <c r="K108" s="18" t="s">
        <v>995</v>
      </c>
      <c r="L108" s="18" t="s">
        <v>713</v>
      </c>
      <c r="M108" s="18" t="s">
        <v>900</v>
      </c>
      <c r="N108" s="18" t="s">
        <v>714</v>
      </c>
    </row>
    <row r="109" spans="1:14" ht="72" customHeight="1" x14ac:dyDescent="0.25">
      <c r="A109" s="14" t="s">
        <v>715</v>
      </c>
      <c r="B109" s="15" t="s">
        <v>994</v>
      </c>
      <c r="C109" s="15" t="s">
        <v>716</v>
      </c>
      <c r="D109" s="16" t="s">
        <v>32</v>
      </c>
      <c r="E109" s="15" t="s">
        <v>38</v>
      </c>
      <c r="F109" s="15" t="s">
        <v>195</v>
      </c>
      <c r="G109" s="15" t="s">
        <v>69</v>
      </c>
      <c r="H109" s="15" t="s">
        <v>1030</v>
      </c>
      <c r="I109" s="15" t="s">
        <v>67</v>
      </c>
      <c r="J109" s="15" t="s">
        <v>194</v>
      </c>
      <c r="K109" s="15" t="s">
        <v>995</v>
      </c>
      <c r="L109" s="15" t="s">
        <v>717</v>
      </c>
      <c r="M109" s="15" t="s">
        <v>900</v>
      </c>
      <c r="N109" s="15" t="s">
        <v>921</v>
      </c>
    </row>
    <row r="110" spans="1:14" ht="72" customHeight="1" x14ac:dyDescent="0.25">
      <c r="A110" s="17" t="s">
        <v>718</v>
      </c>
      <c r="B110" s="18" t="s">
        <v>996</v>
      </c>
      <c r="C110" s="18" t="s">
        <v>719</v>
      </c>
      <c r="D110" s="16" t="s">
        <v>32</v>
      </c>
      <c r="E110" s="18" t="s">
        <v>40</v>
      </c>
      <c r="F110" s="18" t="s">
        <v>196</v>
      </c>
      <c r="G110" s="18" t="s">
        <v>69</v>
      </c>
      <c r="H110" s="18" t="s">
        <v>1030</v>
      </c>
      <c r="I110" s="18" t="s">
        <v>67</v>
      </c>
      <c r="J110" s="18" t="s">
        <v>70</v>
      </c>
      <c r="K110" s="18" t="s">
        <v>951</v>
      </c>
      <c r="L110" s="18" t="s">
        <v>720</v>
      </c>
      <c r="M110" s="18" t="s">
        <v>900</v>
      </c>
      <c r="N110" s="18" t="s">
        <v>721</v>
      </c>
    </row>
    <row r="111" spans="1:14" ht="72" customHeight="1" x14ac:dyDescent="0.25">
      <c r="A111" s="14" t="s">
        <v>722</v>
      </c>
      <c r="B111" s="15" t="s">
        <v>997</v>
      </c>
      <c r="C111" s="15" t="s">
        <v>723</v>
      </c>
      <c r="D111" s="16" t="s">
        <v>32</v>
      </c>
      <c r="E111" s="15" t="s">
        <v>38</v>
      </c>
      <c r="F111" s="15">
        <v>10.199999999999999</v>
      </c>
      <c r="G111" s="15" t="s">
        <v>66</v>
      </c>
      <c r="H111" s="15" t="s">
        <v>1030</v>
      </c>
      <c r="I111" s="15" t="s">
        <v>67</v>
      </c>
      <c r="J111" s="15" t="s">
        <v>197</v>
      </c>
      <c r="K111" s="15" t="s">
        <v>89</v>
      </c>
      <c r="L111" s="15" t="s">
        <v>724</v>
      </c>
      <c r="M111" s="15" t="s">
        <v>901</v>
      </c>
      <c r="N111" s="15" t="s">
        <v>725</v>
      </c>
    </row>
    <row r="112" spans="1:14" ht="72" customHeight="1" x14ac:dyDescent="0.25">
      <c r="A112" s="17" t="s">
        <v>726</v>
      </c>
      <c r="B112" s="18" t="s">
        <v>922</v>
      </c>
      <c r="C112" s="18" t="s">
        <v>727</v>
      </c>
      <c r="D112" s="16" t="s">
        <v>32</v>
      </c>
      <c r="E112" s="18" t="s">
        <v>38</v>
      </c>
      <c r="F112" s="18" t="s">
        <v>198</v>
      </c>
      <c r="G112" s="18" t="s">
        <v>69</v>
      </c>
      <c r="H112" s="18" t="s">
        <v>1030</v>
      </c>
      <c r="I112" s="18" t="s">
        <v>67</v>
      </c>
      <c r="J112" s="18" t="s">
        <v>199</v>
      </c>
      <c r="K112" s="18" t="s">
        <v>200</v>
      </c>
      <c r="L112" s="18" t="s">
        <v>728</v>
      </c>
      <c r="M112" s="18" t="s">
        <v>901</v>
      </c>
      <c r="N112" s="18" t="s">
        <v>729</v>
      </c>
    </row>
    <row r="113" spans="1:14" ht="72" customHeight="1" x14ac:dyDescent="0.25">
      <c r="A113" s="14" t="s">
        <v>730</v>
      </c>
      <c r="B113" s="15" t="s">
        <v>998</v>
      </c>
      <c r="C113" s="15" t="s">
        <v>731</v>
      </c>
      <c r="D113" s="16" t="s">
        <v>32</v>
      </c>
      <c r="E113" s="15" t="s">
        <v>38</v>
      </c>
      <c r="F113" s="15" t="s">
        <v>201</v>
      </c>
      <c r="G113" s="15" t="s">
        <v>69</v>
      </c>
      <c r="H113" s="15" t="s">
        <v>1030</v>
      </c>
      <c r="I113" s="15" t="s">
        <v>67</v>
      </c>
      <c r="J113" s="15" t="s">
        <v>202</v>
      </c>
      <c r="K113" s="15" t="s">
        <v>89</v>
      </c>
      <c r="L113" s="15" t="s">
        <v>732</v>
      </c>
      <c r="M113" s="15" t="s">
        <v>901</v>
      </c>
      <c r="N113" s="15" t="s">
        <v>733</v>
      </c>
    </row>
    <row r="114" spans="1:14" ht="72" customHeight="1" x14ac:dyDescent="0.25">
      <c r="A114" s="17" t="s">
        <v>734</v>
      </c>
      <c r="B114" s="18" t="s">
        <v>999</v>
      </c>
      <c r="C114" s="18" t="s">
        <v>735</v>
      </c>
      <c r="D114" s="16" t="s">
        <v>32</v>
      </c>
      <c r="E114" s="18" t="s">
        <v>38</v>
      </c>
      <c r="F114" s="18">
        <v>10.3</v>
      </c>
      <c r="G114" s="18" t="s">
        <v>66</v>
      </c>
      <c r="H114" s="18" t="s">
        <v>1030</v>
      </c>
      <c r="I114" s="18" t="s">
        <v>67</v>
      </c>
      <c r="J114" s="18" t="s">
        <v>1084</v>
      </c>
      <c r="K114" s="18" t="s">
        <v>1000</v>
      </c>
      <c r="L114" s="18" t="s">
        <v>736</v>
      </c>
      <c r="M114" s="18" t="s">
        <v>902</v>
      </c>
      <c r="N114" s="18" t="s">
        <v>737</v>
      </c>
    </row>
    <row r="115" spans="1:14" ht="72" customHeight="1" x14ac:dyDescent="0.25">
      <c r="A115" s="14" t="s">
        <v>738</v>
      </c>
      <c r="B115" s="15" t="s">
        <v>980</v>
      </c>
      <c r="C115" s="15" t="s">
        <v>739</v>
      </c>
      <c r="D115" s="16" t="s">
        <v>32</v>
      </c>
      <c r="E115" s="15" t="s">
        <v>38</v>
      </c>
      <c r="F115" s="15" t="s">
        <v>203</v>
      </c>
      <c r="G115" s="15" t="s">
        <v>69</v>
      </c>
      <c r="H115" s="15" t="s">
        <v>1030</v>
      </c>
      <c r="I115" s="15" t="s">
        <v>67</v>
      </c>
      <c r="J115" s="15" t="s">
        <v>1080</v>
      </c>
      <c r="K115" s="15" t="s">
        <v>889</v>
      </c>
      <c r="L115" s="15" t="s">
        <v>740</v>
      </c>
      <c r="M115" s="15" t="s">
        <v>902</v>
      </c>
      <c r="N115" s="15" t="s">
        <v>741</v>
      </c>
    </row>
    <row r="116" spans="1:14" ht="72" customHeight="1" x14ac:dyDescent="0.25">
      <c r="A116" s="17" t="s">
        <v>742</v>
      </c>
      <c r="B116" s="18" t="s">
        <v>1001</v>
      </c>
      <c r="C116" s="18" t="s">
        <v>743</v>
      </c>
      <c r="D116" s="16" t="s">
        <v>32</v>
      </c>
      <c r="E116" s="18" t="s">
        <v>38</v>
      </c>
      <c r="F116" s="18" t="s">
        <v>204</v>
      </c>
      <c r="G116" s="18" t="s">
        <v>69</v>
      </c>
      <c r="H116" s="18" t="s">
        <v>1030</v>
      </c>
      <c r="I116" s="18" t="s">
        <v>67</v>
      </c>
      <c r="J116" s="18" t="s">
        <v>205</v>
      </c>
      <c r="K116" s="18" t="s">
        <v>951</v>
      </c>
      <c r="L116" s="18" t="s">
        <v>744</v>
      </c>
      <c r="M116" s="18" t="s">
        <v>902</v>
      </c>
      <c r="N116" s="18" t="s">
        <v>745</v>
      </c>
    </row>
    <row r="117" spans="1:14" ht="72" customHeight="1" x14ac:dyDescent="0.25">
      <c r="A117" s="14" t="s">
        <v>746</v>
      </c>
      <c r="B117" s="15" t="s">
        <v>1002</v>
      </c>
      <c r="C117" s="15" t="s">
        <v>747</v>
      </c>
      <c r="D117" s="16" t="s">
        <v>32</v>
      </c>
      <c r="E117" s="15" t="s">
        <v>38</v>
      </c>
      <c r="F117" s="15">
        <v>10.4</v>
      </c>
      <c r="G117" s="15" t="s">
        <v>66</v>
      </c>
      <c r="H117" s="15" t="s">
        <v>1030</v>
      </c>
      <c r="I117" s="15" t="s">
        <v>67</v>
      </c>
      <c r="J117" s="15" t="s">
        <v>1085</v>
      </c>
      <c r="K117" s="15" t="s">
        <v>870</v>
      </c>
      <c r="L117" s="15" t="s">
        <v>748</v>
      </c>
      <c r="M117" s="15" t="s">
        <v>1003</v>
      </c>
      <c r="N117" s="15" t="s">
        <v>749</v>
      </c>
    </row>
    <row r="118" spans="1:14" ht="72" customHeight="1" x14ac:dyDescent="0.25">
      <c r="A118" s="17" t="s">
        <v>750</v>
      </c>
      <c r="B118" s="18" t="s">
        <v>890</v>
      </c>
      <c r="C118" s="18" t="s">
        <v>751</v>
      </c>
      <c r="D118" s="16" t="s">
        <v>32</v>
      </c>
      <c r="E118" s="18" t="s">
        <v>38</v>
      </c>
      <c r="F118" s="18" t="s">
        <v>206</v>
      </c>
      <c r="G118" s="18" t="s">
        <v>69</v>
      </c>
      <c r="H118" s="18" t="s">
        <v>1030</v>
      </c>
      <c r="I118" s="18" t="s">
        <v>67</v>
      </c>
      <c r="J118" s="18" t="s">
        <v>207</v>
      </c>
      <c r="K118" s="18" t="s">
        <v>126</v>
      </c>
      <c r="L118" s="18" t="s">
        <v>752</v>
      </c>
      <c r="M118" s="18" t="s">
        <v>1003</v>
      </c>
      <c r="N118" s="18" t="s">
        <v>753</v>
      </c>
    </row>
    <row r="119" spans="1:14" ht="72" customHeight="1" x14ac:dyDescent="0.25">
      <c r="A119" s="14" t="s">
        <v>754</v>
      </c>
      <c r="B119" s="15" t="s">
        <v>1004</v>
      </c>
      <c r="C119" s="15" t="s">
        <v>755</v>
      </c>
      <c r="D119" s="16" t="s">
        <v>32</v>
      </c>
      <c r="E119" s="15" t="s">
        <v>38</v>
      </c>
      <c r="F119" s="15" t="s">
        <v>208</v>
      </c>
      <c r="G119" s="15" t="s">
        <v>69</v>
      </c>
      <c r="H119" s="15" t="s">
        <v>1030</v>
      </c>
      <c r="I119" s="15" t="s">
        <v>67</v>
      </c>
      <c r="J119" s="15" t="s">
        <v>1086</v>
      </c>
      <c r="K119" s="15" t="s">
        <v>889</v>
      </c>
      <c r="L119" s="15" t="s">
        <v>756</v>
      </c>
      <c r="M119" s="15" t="s">
        <v>1003</v>
      </c>
      <c r="N119" s="15" t="s">
        <v>757</v>
      </c>
    </row>
    <row r="120" spans="1:14" ht="72" customHeight="1" x14ac:dyDescent="0.25">
      <c r="A120" s="17" t="s">
        <v>758</v>
      </c>
      <c r="B120" s="18" t="s">
        <v>1005</v>
      </c>
      <c r="C120" s="18" t="s">
        <v>759</v>
      </c>
      <c r="D120" s="16" t="s">
        <v>32</v>
      </c>
      <c r="E120" s="18" t="s">
        <v>38</v>
      </c>
      <c r="F120" s="18">
        <v>10.5</v>
      </c>
      <c r="G120" s="18" t="s">
        <v>66</v>
      </c>
      <c r="H120" s="18" t="s">
        <v>1030</v>
      </c>
      <c r="I120" s="18" t="s">
        <v>67</v>
      </c>
      <c r="J120" s="18" t="s">
        <v>70</v>
      </c>
      <c r="K120" s="18" t="s">
        <v>951</v>
      </c>
      <c r="L120" s="18" t="s">
        <v>760</v>
      </c>
      <c r="M120" s="18" t="s">
        <v>903</v>
      </c>
      <c r="N120" s="18" t="s">
        <v>761</v>
      </c>
    </row>
    <row r="121" spans="1:14" ht="72" customHeight="1" x14ac:dyDescent="0.25">
      <c r="A121" s="14" t="s">
        <v>762</v>
      </c>
      <c r="B121" s="15" t="s">
        <v>1006</v>
      </c>
      <c r="C121" s="15" t="s">
        <v>763</v>
      </c>
      <c r="D121" s="16" t="s">
        <v>32</v>
      </c>
      <c r="E121" s="15" t="s">
        <v>38</v>
      </c>
      <c r="F121" s="15" t="s">
        <v>209</v>
      </c>
      <c r="G121" s="15" t="s">
        <v>69</v>
      </c>
      <c r="H121" s="15" t="s">
        <v>1030</v>
      </c>
      <c r="I121" s="15" t="s">
        <v>67</v>
      </c>
      <c r="J121" s="15" t="s">
        <v>210</v>
      </c>
      <c r="K121" s="15" t="s">
        <v>951</v>
      </c>
      <c r="L121" s="15" t="s">
        <v>764</v>
      </c>
      <c r="M121" s="15" t="s">
        <v>903</v>
      </c>
      <c r="N121" s="15" t="s">
        <v>765</v>
      </c>
    </row>
    <row r="122" spans="1:14" ht="72" customHeight="1" x14ac:dyDescent="0.25">
      <c r="A122" s="17" t="s">
        <v>766</v>
      </c>
      <c r="B122" s="18" t="s">
        <v>1007</v>
      </c>
      <c r="C122" s="18" t="s">
        <v>767</v>
      </c>
      <c r="D122" s="16" t="s">
        <v>32</v>
      </c>
      <c r="E122" s="18" t="s">
        <v>38</v>
      </c>
      <c r="F122" s="18" t="s">
        <v>211</v>
      </c>
      <c r="G122" s="18" t="s">
        <v>69</v>
      </c>
      <c r="H122" s="18" t="s">
        <v>1030</v>
      </c>
      <c r="I122" s="18" t="s">
        <v>67</v>
      </c>
      <c r="J122" s="18" t="s">
        <v>212</v>
      </c>
      <c r="K122" s="18" t="s">
        <v>951</v>
      </c>
      <c r="L122" s="18" t="s">
        <v>768</v>
      </c>
      <c r="M122" s="18" t="s">
        <v>903</v>
      </c>
      <c r="N122" s="18" t="s">
        <v>923</v>
      </c>
    </row>
    <row r="123" spans="1:14" ht="72" customHeight="1" x14ac:dyDescent="0.25">
      <c r="A123" s="14" t="s">
        <v>769</v>
      </c>
      <c r="B123" s="15" t="s">
        <v>1008</v>
      </c>
      <c r="C123" s="15" t="s">
        <v>770</v>
      </c>
      <c r="D123" s="16" t="s">
        <v>32</v>
      </c>
      <c r="E123" s="15" t="s">
        <v>40</v>
      </c>
      <c r="F123" s="15">
        <v>10.6</v>
      </c>
      <c r="G123" s="15" t="s">
        <v>66</v>
      </c>
      <c r="H123" s="15" t="s">
        <v>1030</v>
      </c>
      <c r="I123" s="15" t="s">
        <v>67</v>
      </c>
      <c r="J123" s="15" t="s">
        <v>213</v>
      </c>
      <c r="K123" s="15" t="s">
        <v>953</v>
      </c>
      <c r="L123" s="15" t="s">
        <v>771</v>
      </c>
      <c r="M123" s="15" t="s">
        <v>924</v>
      </c>
      <c r="N123" s="15" t="s">
        <v>772</v>
      </c>
    </row>
    <row r="124" spans="1:14" ht="72" customHeight="1" x14ac:dyDescent="0.25">
      <c r="A124" s="17" t="s">
        <v>773</v>
      </c>
      <c r="B124" s="18" t="s">
        <v>925</v>
      </c>
      <c r="C124" s="18" t="s">
        <v>774</v>
      </c>
      <c r="D124" s="19" t="s">
        <v>34</v>
      </c>
      <c r="E124" s="18" t="s">
        <v>1033</v>
      </c>
      <c r="F124" s="18" t="s">
        <v>214</v>
      </c>
      <c r="G124" s="18" t="s">
        <v>69</v>
      </c>
      <c r="H124" s="18" t="s">
        <v>1030</v>
      </c>
      <c r="I124" s="18" t="s">
        <v>67</v>
      </c>
      <c r="J124" s="18" t="s">
        <v>215</v>
      </c>
      <c r="K124" s="18" t="s">
        <v>106</v>
      </c>
      <c r="L124" s="18" t="s">
        <v>775</v>
      </c>
      <c r="M124" s="18" t="s">
        <v>1058</v>
      </c>
      <c r="N124" s="18" t="s">
        <v>776</v>
      </c>
    </row>
    <row r="125" spans="1:14" ht="72" customHeight="1" x14ac:dyDescent="0.25">
      <c r="A125" s="14" t="s">
        <v>777</v>
      </c>
      <c r="B125" s="15" t="s">
        <v>1009</v>
      </c>
      <c r="C125" s="15" t="s">
        <v>778</v>
      </c>
      <c r="D125" s="16" t="s">
        <v>32</v>
      </c>
      <c r="E125" s="15" t="s">
        <v>38</v>
      </c>
      <c r="F125" s="15" t="s">
        <v>216</v>
      </c>
      <c r="G125" s="15" t="s">
        <v>69</v>
      </c>
      <c r="H125" s="15" t="s">
        <v>1030</v>
      </c>
      <c r="I125" s="15" t="s">
        <v>67</v>
      </c>
      <c r="J125" s="15" t="s">
        <v>217</v>
      </c>
      <c r="K125" s="15" t="s">
        <v>951</v>
      </c>
      <c r="L125" s="15" t="s">
        <v>779</v>
      </c>
      <c r="M125" s="15" t="s">
        <v>1058</v>
      </c>
      <c r="N125" s="15" t="s">
        <v>780</v>
      </c>
    </row>
  </sheetData>
  <mergeCells count="2">
    <mergeCell ref="A2:N2"/>
    <mergeCell ref="A1:N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
  <sheetViews>
    <sheetView showGridLines="0" tabSelected="1" topLeftCell="I1" zoomScaleNormal="100" workbookViewId="0">
      <pane ySplit="4" topLeftCell="A5" activePane="bottomLeft" state="frozen"/>
      <selection pane="bottomLeft" activeCell="R5" sqref="R5"/>
    </sheetView>
  </sheetViews>
  <sheetFormatPr defaultColWidth="8.7109375" defaultRowHeight="15" x14ac:dyDescent="0.25"/>
  <cols>
    <col min="1" max="1" width="32" customWidth="1"/>
    <col min="2" max="2" width="44" customWidth="1"/>
    <col min="3" max="3" width="42" customWidth="1"/>
    <col min="4" max="4" width="28" customWidth="1"/>
    <col min="5" max="5" width="32" customWidth="1"/>
    <col min="6" max="6" width="13" customWidth="1"/>
    <col min="7" max="7" width="12" customWidth="1"/>
    <col min="8" max="8" width="26" customWidth="1"/>
    <col min="9" max="9" width="20" customWidth="1"/>
    <col min="10" max="10" width="36" customWidth="1"/>
    <col min="11" max="11" width="34" customWidth="1"/>
    <col min="12" max="12" width="42" customWidth="1"/>
    <col min="13" max="13" width="44" customWidth="1"/>
    <col min="14" max="14" width="40" customWidth="1"/>
  </cols>
  <sheetData>
    <row r="1" spans="1:14" ht="21.75" customHeight="1" x14ac:dyDescent="0.25">
      <c r="A1" s="26" t="s">
        <v>218</v>
      </c>
      <c r="B1" s="25"/>
      <c r="C1" s="25"/>
      <c r="D1" s="25"/>
      <c r="E1" s="25"/>
      <c r="F1" s="25"/>
      <c r="G1" s="25"/>
      <c r="H1" s="25"/>
      <c r="I1" s="25"/>
      <c r="J1" s="25"/>
      <c r="K1" s="25"/>
      <c r="L1" s="25"/>
      <c r="M1" s="25"/>
      <c r="N1" s="25"/>
    </row>
    <row r="2" spans="1:14" ht="24" customHeight="1" x14ac:dyDescent="0.25">
      <c r="A2" s="24" t="s">
        <v>219</v>
      </c>
      <c r="B2" s="25"/>
      <c r="C2" s="25"/>
      <c r="D2" s="25"/>
      <c r="E2" s="25"/>
      <c r="F2" s="25"/>
      <c r="G2" s="25"/>
      <c r="H2" s="25"/>
      <c r="I2" s="25"/>
      <c r="J2" s="25"/>
      <c r="K2" s="25"/>
      <c r="L2" s="25"/>
      <c r="M2" s="25"/>
      <c r="N2" s="25"/>
    </row>
    <row r="3" spans="1:14" ht="6" customHeight="1" x14ac:dyDescent="0.25"/>
    <row r="4" spans="1:14" ht="37.5" customHeight="1" x14ac:dyDescent="0.25">
      <c r="A4" s="20" t="s">
        <v>52</v>
      </c>
      <c r="B4" s="20" t="s">
        <v>53</v>
      </c>
      <c r="C4" s="20" t="s">
        <v>54</v>
      </c>
      <c r="D4" s="20" t="s">
        <v>55</v>
      </c>
      <c r="E4" s="20" t="s">
        <v>56</v>
      </c>
      <c r="F4" s="20" t="s">
        <v>57</v>
      </c>
      <c r="G4" s="20" t="s">
        <v>58</v>
      </c>
      <c r="H4" s="20" t="s">
        <v>59</v>
      </c>
      <c r="I4" s="20" t="s">
        <v>60</v>
      </c>
      <c r="J4" s="20" t="s">
        <v>61</v>
      </c>
      <c r="K4" s="20" t="s">
        <v>62</v>
      </c>
      <c r="L4" s="20" t="s">
        <v>63</v>
      </c>
      <c r="M4" s="20" t="s">
        <v>64</v>
      </c>
      <c r="N4" s="20" t="s">
        <v>65</v>
      </c>
    </row>
    <row r="5" spans="1:14" ht="72" customHeight="1" x14ac:dyDescent="0.25">
      <c r="A5" s="14" t="s">
        <v>781</v>
      </c>
      <c r="B5" s="15" t="s">
        <v>1010</v>
      </c>
      <c r="C5" s="15" t="s">
        <v>1011</v>
      </c>
      <c r="D5" s="16" t="s">
        <v>32</v>
      </c>
      <c r="E5" s="15" t="s">
        <v>38</v>
      </c>
      <c r="F5" s="15">
        <v>5.0999999999999996</v>
      </c>
      <c r="G5" s="15" t="s">
        <v>66</v>
      </c>
      <c r="H5" s="15" t="s">
        <v>220</v>
      </c>
      <c r="I5" s="15" t="s">
        <v>221</v>
      </c>
      <c r="J5" s="15" t="s">
        <v>859</v>
      </c>
      <c r="K5" s="15" t="s">
        <v>948</v>
      </c>
      <c r="L5" s="15" t="s">
        <v>1012</v>
      </c>
      <c r="M5" s="15" t="s">
        <v>1013</v>
      </c>
      <c r="N5" s="15" t="s">
        <v>1014</v>
      </c>
    </row>
    <row r="6" spans="1:14" ht="72" customHeight="1" x14ac:dyDescent="0.25">
      <c r="A6" s="17" t="s">
        <v>782</v>
      </c>
      <c r="B6" s="18" t="s">
        <v>1015</v>
      </c>
      <c r="C6" s="18" t="s">
        <v>926</v>
      </c>
      <c r="D6" s="16" t="s">
        <v>32</v>
      </c>
      <c r="E6" s="18" t="s">
        <v>38</v>
      </c>
      <c r="F6" s="18" t="s">
        <v>222</v>
      </c>
      <c r="G6" s="18" t="s">
        <v>69</v>
      </c>
      <c r="H6" s="15" t="s">
        <v>220</v>
      </c>
      <c r="I6" s="18" t="s">
        <v>221</v>
      </c>
      <c r="J6" s="18" t="s">
        <v>139</v>
      </c>
      <c r="K6" s="18" t="s">
        <v>151</v>
      </c>
      <c r="L6" s="18" t="s">
        <v>783</v>
      </c>
      <c r="M6" s="18" t="s">
        <v>1013</v>
      </c>
      <c r="N6" s="18" t="s">
        <v>784</v>
      </c>
    </row>
    <row r="7" spans="1:14" ht="72" customHeight="1" x14ac:dyDescent="0.25">
      <c r="A7" s="14" t="s">
        <v>785</v>
      </c>
      <c r="B7" s="15" t="s">
        <v>542</v>
      </c>
      <c r="C7" s="15" t="s">
        <v>1016</v>
      </c>
      <c r="D7" s="16" t="s">
        <v>32</v>
      </c>
      <c r="E7" s="15" t="s">
        <v>38</v>
      </c>
      <c r="F7" s="15" t="s">
        <v>223</v>
      </c>
      <c r="G7" s="15" t="s">
        <v>69</v>
      </c>
      <c r="H7" s="15" t="s">
        <v>220</v>
      </c>
      <c r="I7" s="15" t="s">
        <v>221</v>
      </c>
      <c r="J7" s="15" t="s">
        <v>882</v>
      </c>
      <c r="K7" s="15" t="s">
        <v>544</v>
      </c>
      <c r="L7" s="15" t="s">
        <v>786</v>
      </c>
      <c r="M7" s="15" t="s">
        <v>1013</v>
      </c>
      <c r="N7" s="15" t="s">
        <v>787</v>
      </c>
    </row>
    <row r="8" spans="1:14" ht="72" customHeight="1" x14ac:dyDescent="0.25">
      <c r="A8" s="17" t="s">
        <v>788</v>
      </c>
      <c r="B8" s="18" t="s">
        <v>1017</v>
      </c>
      <c r="C8" s="18" t="s">
        <v>789</v>
      </c>
      <c r="D8" s="16" t="s">
        <v>32</v>
      </c>
      <c r="E8" s="18" t="s">
        <v>38</v>
      </c>
      <c r="F8" s="18" t="s">
        <v>224</v>
      </c>
      <c r="G8" s="18" t="s">
        <v>69</v>
      </c>
      <c r="H8" s="15" t="s">
        <v>220</v>
      </c>
      <c r="I8" s="18" t="s">
        <v>221</v>
      </c>
      <c r="J8" s="18" t="s">
        <v>1087</v>
      </c>
      <c r="K8" s="18" t="s">
        <v>891</v>
      </c>
      <c r="L8" s="18" t="s">
        <v>790</v>
      </c>
      <c r="M8" s="18" t="s">
        <v>1013</v>
      </c>
      <c r="N8" s="18" t="s">
        <v>791</v>
      </c>
    </row>
    <row r="9" spans="1:14" ht="72" customHeight="1" x14ac:dyDescent="0.25">
      <c r="A9" s="14" t="s">
        <v>225</v>
      </c>
      <c r="B9" s="15" t="s">
        <v>959</v>
      </c>
      <c r="C9" s="15" t="s">
        <v>1018</v>
      </c>
      <c r="D9" s="16" t="s">
        <v>32</v>
      </c>
      <c r="E9" s="15" t="s">
        <v>38</v>
      </c>
      <c r="F9" s="15" t="s">
        <v>226</v>
      </c>
      <c r="G9" s="15" t="s">
        <v>69</v>
      </c>
      <c r="H9" s="15" t="s">
        <v>220</v>
      </c>
      <c r="I9" s="15" t="s">
        <v>221</v>
      </c>
      <c r="J9" s="15" t="s">
        <v>859</v>
      </c>
      <c r="K9" s="15" t="s">
        <v>948</v>
      </c>
      <c r="L9" s="15" t="s">
        <v>1059</v>
      </c>
      <c r="M9" s="15" t="s">
        <v>892</v>
      </c>
      <c r="N9" s="15" t="s">
        <v>1019</v>
      </c>
    </row>
    <row r="10" spans="1:14" ht="72" customHeight="1" x14ac:dyDescent="0.25">
      <c r="A10" s="17" t="s">
        <v>792</v>
      </c>
      <c r="B10" s="18" t="s">
        <v>332</v>
      </c>
      <c r="C10" s="18" t="s">
        <v>793</v>
      </c>
      <c r="D10" s="16" t="s">
        <v>32</v>
      </c>
      <c r="E10" s="18" t="s">
        <v>40</v>
      </c>
      <c r="F10" s="18" t="s">
        <v>227</v>
      </c>
      <c r="G10" s="18" t="s">
        <v>69</v>
      </c>
      <c r="H10" s="15" t="s">
        <v>220</v>
      </c>
      <c r="I10" s="18" t="s">
        <v>221</v>
      </c>
      <c r="J10" s="18" t="s">
        <v>333</v>
      </c>
      <c r="K10" s="18" t="s">
        <v>334</v>
      </c>
      <c r="L10" s="18" t="s">
        <v>794</v>
      </c>
      <c r="M10" s="18" t="s">
        <v>892</v>
      </c>
      <c r="N10" s="18" t="s">
        <v>795</v>
      </c>
    </row>
    <row r="11" spans="1:14" ht="72" customHeight="1" x14ac:dyDescent="0.25">
      <c r="A11" s="14" t="s">
        <v>796</v>
      </c>
      <c r="B11" s="15" t="s">
        <v>332</v>
      </c>
      <c r="C11" s="15" t="s">
        <v>797</v>
      </c>
      <c r="D11" s="16" t="s">
        <v>32</v>
      </c>
      <c r="E11" s="15" t="s">
        <v>40</v>
      </c>
      <c r="F11" s="15" t="s">
        <v>228</v>
      </c>
      <c r="G11" s="15" t="s">
        <v>69</v>
      </c>
      <c r="H11" s="15" t="s">
        <v>220</v>
      </c>
      <c r="I11" s="15" t="s">
        <v>221</v>
      </c>
      <c r="J11" s="15" t="s">
        <v>333</v>
      </c>
      <c r="K11" s="15" t="s">
        <v>948</v>
      </c>
      <c r="L11" s="15" t="s">
        <v>798</v>
      </c>
      <c r="M11" s="15" t="s">
        <v>927</v>
      </c>
      <c r="N11" s="15" t="s">
        <v>799</v>
      </c>
    </row>
    <row r="12" spans="1:14" ht="72" customHeight="1" x14ac:dyDescent="0.25">
      <c r="A12" s="17" t="s">
        <v>229</v>
      </c>
      <c r="B12" s="18" t="s">
        <v>1060</v>
      </c>
      <c r="C12" s="18" t="s">
        <v>893</v>
      </c>
      <c r="D12" s="16" t="s">
        <v>32</v>
      </c>
      <c r="E12" s="18" t="s">
        <v>38</v>
      </c>
      <c r="F12" s="18" t="s">
        <v>230</v>
      </c>
      <c r="G12" s="18" t="s">
        <v>69</v>
      </c>
      <c r="H12" s="18" t="s">
        <v>800</v>
      </c>
      <c r="I12" s="18" t="s">
        <v>221</v>
      </c>
      <c r="J12" s="18" t="s">
        <v>97</v>
      </c>
      <c r="K12" s="18" t="s">
        <v>95</v>
      </c>
      <c r="L12" s="18" t="s">
        <v>801</v>
      </c>
      <c r="M12" s="18" t="s">
        <v>928</v>
      </c>
      <c r="N12" s="18" t="s">
        <v>802</v>
      </c>
    </row>
    <row r="13" spans="1:14" ht="72" customHeight="1" x14ac:dyDescent="0.25">
      <c r="A13" s="14" t="s">
        <v>231</v>
      </c>
      <c r="B13" s="15" t="s">
        <v>1020</v>
      </c>
      <c r="C13" s="15" t="s">
        <v>929</v>
      </c>
      <c r="D13" s="16" t="s">
        <v>32</v>
      </c>
      <c r="E13" s="15" t="s">
        <v>40</v>
      </c>
      <c r="F13" s="15">
        <v>4.4000000000000004</v>
      </c>
      <c r="G13" s="15" t="s">
        <v>66</v>
      </c>
      <c r="H13" s="15" t="s">
        <v>800</v>
      </c>
      <c r="I13" s="15" t="s">
        <v>221</v>
      </c>
      <c r="J13" s="15" t="s">
        <v>859</v>
      </c>
      <c r="K13" s="15" t="s">
        <v>948</v>
      </c>
      <c r="L13" s="15" t="s">
        <v>803</v>
      </c>
      <c r="M13" s="15" t="s">
        <v>930</v>
      </c>
      <c r="N13" s="15" t="s">
        <v>804</v>
      </c>
    </row>
    <row r="14" spans="1:14" ht="72" customHeight="1" x14ac:dyDescent="0.25">
      <c r="A14" s="17" t="s">
        <v>805</v>
      </c>
      <c r="B14" s="18" t="s">
        <v>1021</v>
      </c>
      <c r="C14" s="18" t="s">
        <v>806</v>
      </c>
      <c r="D14" s="16" t="s">
        <v>32</v>
      </c>
      <c r="E14" s="18" t="s">
        <v>38</v>
      </c>
      <c r="F14" s="18">
        <v>1.1000000000000001</v>
      </c>
      <c r="G14" s="18" t="s">
        <v>66</v>
      </c>
      <c r="H14" s="18" t="s">
        <v>232</v>
      </c>
      <c r="I14" s="18" t="s">
        <v>221</v>
      </c>
      <c r="J14" s="18" t="s">
        <v>859</v>
      </c>
      <c r="K14" s="18" t="s">
        <v>948</v>
      </c>
      <c r="L14" s="18" t="s">
        <v>807</v>
      </c>
      <c r="M14" s="18" t="s">
        <v>931</v>
      </c>
      <c r="N14" s="18" t="s">
        <v>808</v>
      </c>
    </row>
    <row r="15" spans="1:14" ht="72" customHeight="1" x14ac:dyDescent="0.25">
      <c r="A15" s="14" t="s">
        <v>809</v>
      </c>
      <c r="B15" s="15" t="s">
        <v>1061</v>
      </c>
      <c r="C15" s="15" t="s">
        <v>810</v>
      </c>
      <c r="D15" s="16" t="s">
        <v>32</v>
      </c>
      <c r="E15" s="15" t="s">
        <v>38</v>
      </c>
      <c r="F15" s="15">
        <v>1.2</v>
      </c>
      <c r="G15" s="15" t="s">
        <v>66</v>
      </c>
      <c r="H15" s="15" t="s">
        <v>232</v>
      </c>
      <c r="I15" s="15" t="s">
        <v>221</v>
      </c>
      <c r="J15" s="15" t="s">
        <v>233</v>
      </c>
      <c r="K15" s="15" t="s">
        <v>1022</v>
      </c>
      <c r="L15" s="15" t="s">
        <v>811</v>
      </c>
      <c r="M15" s="15" t="s">
        <v>812</v>
      </c>
      <c r="N15" s="15" t="s">
        <v>813</v>
      </c>
    </row>
    <row r="16" spans="1:14" ht="72" customHeight="1" x14ac:dyDescent="0.25">
      <c r="A16" s="17" t="s">
        <v>814</v>
      </c>
      <c r="B16" s="18" t="s">
        <v>1047</v>
      </c>
      <c r="C16" s="18" t="s">
        <v>815</v>
      </c>
      <c r="D16" s="16" t="s">
        <v>32</v>
      </c>
      <c r="E16" s="18" t="s">
        <v>40</v>
      </c>
      <c r="F16" s="18">
        <v>1.3</v>
      </c>
      <c r="G16" s="18" t="s">
        <v>66</v>
      </c>
      <c r="H16" s="18" t="s">
        <v>232</v>
      </c>
      <c r="I16" s="18" t="s">
        <v>221</v>
      </c>
      <c r="J16" s="18" t="s">
        <v>859</v>
      </c>
      <c r="K16" s="18" t="s">
        <v>948</v>
      </c>
      <c r="L16" s="18" t="s">
        <v>816</v>
      </c>
      <c r="M16" s="18" t="s">
        <v>932</v>
      </c>
      <c r="N16" s="18" t="s">
        <v>817</v>
      </c>
    </row>
    <row r="17" spans="1:14" ht="72" customHeight="1" x14ac:dyDescent="0.25">
      <c r="A17" s="14" t="s">
        <v>234</v>
      </c>
      <c r="B17" s="15" t="s">
        <v>1023</v>
      </c>
      <c r="C17" s="15" t="s">
        <v>818</v>
      </c>
      <c r="D17" s="16" t="s">
        <v>32</v>
      </c>
      <c r="E17" s="15" t="s">
        <v>40</v>
      </c>
      <c r="F17" s="15">
        <v>1.4</v>
      </c>
      <c r="G17" s="15" t="s">
        <v>66</v>
      </c>
      <c r="H17" s="15" t="s">
        <v>232</v>
      </c>
      <c r="I17" s="15" t="s">
        <v>221</v>
      </c>
      <c r="J17" s="15" t="s">
        <v>235</v>
      </c>
      <c r="K17" s="15" t="s">
        <v>948</v>
      </c>
      <c r="L17" s="15" t="s">
        <v>819</v>
      </c>
      <c r="M17" s="15" t="s">
        <v>933</v>
      </c>
      <c r="N17" s="15" t="s">
        <v>820</v>
      </c>
    </row>
    <row r="18" spans="1:14" ht="72" customHeight="1" x14ac:dyDescent="0.25">
      <c r="A18" s="17" t="s">
        <v>236</v>
      </c>
      <c r="B18" s="18" t="s">
        <v>332</v>
      </c>
      <c r="C18" s="18" t="s">
        <v>821</v>
      </c>
      <c r="D18" s="16" t="s">
        <v>32</v>
      </c>
      <c r="E18" s="18" t="s">
        <v>40</v>
      </c>
      <c r="F18" s="18">
        <v>1.6</v>
      </c>
      <c r="G18" s="18" t="s">
        <v>66</v>
      </c>
      <c r="H18" s="18" t="s">
        <v>232</v>
      </c>
      <c r="I18" s="18" t="s">
        <v>221</v>
      </c>
      <c r="J18" s="18" t="s">
        <v>333</v>
      </c>
      <c r="K18" s="18" t="s">
        <v>334</v>
      </c>
      <c r="L18" s="18" t="s">
        <v>822</v>
      </c>
      <c r="M18" s="18" t="s">
        <v>934</v>
      </c>
      <c r="N18" s="18" t="s">
        <v>823</v>
      </c>
    </row>
    <row r="19" spans="1:14" ht="72" customHeight="1" x14ac:dyDescent="0.25">
      <c r="A19" s="14" t="s">
        <v>824</v>
      </c>
      <c r="B19" s="15" t="s">
        <v>332</v>
      </c>
      <c r="C19" s="15" t="s">
        <v>825</v>
      </c>
      <c r="D19" s="16" t="s">
        <v>32</v>
      </c>
      <c r="E19" s="15" t="s">
        <v>38</v>
      </c>
      <c r="F19" s="15">
        <v>2.1</v>
      </c>
      <c r="G19" s="15" t="s">
        <v>66</v>
      </c>
      <c r="H19" s="15" t="s">
        <v>237</v>
      </c>
      <c r="I19" s="15" t="s">
        <v>221</v>
      </c>
      <c r="J19" s="15" t="s">
        <v>333</v>
      </c>
      <c r="K19" s="15" t="s">
        <v>948</v>
      </c>
      <c r="L19" s="15" t="s">
        <v>826</v>
      </c>
      <c r="M19" s="15" t="s">
        <v>935</v>
      </c>
      <c r="N19" s="15" t="s">
        <v>827</v>
      </c>
    </row>
    <row r="20" spans="1:14" ht="72" customHeight="1" x14ac:dyDescent="0.25">
      <c r="A20" s="17" t="s">
        <v>828</v>
      </c>
      <c r="B20" s="18" t="s">
        <v>332</v>
      </c>
      <c r="C20" s="18" t="s">
        <v>829</v>
      </c>
      <c r="D20" s="16" t="s">
        <v>32</v>
      </c>
      <c r="E20" s="18" t="s">
        <v>38</v>
      </c>
      <c r="F20" s="18" t="s">
        <v>238</v>
      </c>
      <c r="G20" s="18" t="s">
        <v>69</v>
      </c>
      <c r="H20" s="18" t="s">
        <v>237</v>
      </c>
      <c r="I20" s="18" t="s">
        <v>221</v>
      </c>
      <c r="J20" s="18" t="s">
        <v>333</v>
      </c>
      <c r="K20" s="18" t="s">
        <v>948</v>
      </c>
      <c r="L20" s="18" t="s">
        <v>830</v>
      </c>
      <c r="M20" s="18" t="s">
        <v>936</v>
      </c>
      <c r="N20" s="18" t="s">
        <v>831</v>
      </c>
    </row>
    <row r="21" spans="1:14" ht="72" customHeight="1" x14ac:dyDescent="0.25">
      <c r="A21" s="14" t="s">
        <v>239</v>
      </c>
      <c r="B21" s="15" t="s">
        <v>332</v>
      </c>
      <c r="C21" s="15" t="s">
        <v>937</v>
      </c>
      <c r="D21" s="16" t="s">
        <v>32</v>
      </c>
      <c r="E21" s="15" t="s">
        <v>38</v>
      </c>
      <c r="F21" s="15">
        <v>2.2999999999999998</v>
      </c>
      <c r="G21" s="15" t="s">
        <v>66</v>
      </c>
      <c r="H21" s="15" t="s">
        <v>237</v>
      </c>
      <c r="I21" s="15" t="s">
        <v>221</v>
      </c>
      <c r="J21" s="15" t="s">
        <v>333</v>
      </c>
      <c r="K21" s="15" t="s">
        <v>948</v>
      </c>
      <c r="L21" s="15" t="s">
        <v>832</v>
      </c>
      <c r="M21" s="15" t="s">
        <v>938</v>
      </c>
      <c r="N21" s="15" t="s">
        <v>833</v>
      </c>
    </row>
    <row r="22" spans="1:14" ht="72" customHeight="1" x14ac:dyDescent="0.25">
      <c r="A22" s="17" t="s">
        <v>834</v>
      </c>
      <c r="B22" s="18" t="s">
        <v>332</v>
      </c>
      <c r="C22" s="18" t="s">
        <v>835</v>
      </c>
      <c r="D22" s="16" t="s">
        <v>32</v>
      </c>
      <c r="E22" s="18" t="s">
        <v>40</v>
      </c>
      <c r="F22" s="18" t="s">
        <v>240</v>
      </c>
      <c r="G22" s="18" t="s">
        <v>69</v>
      </c>
      <c r="H22" s="18" t="s">
        <v>237</v>
      </c>
      <c r="I22" s="18" t="s">
        <v>221</v>
      </c>
      <c r="J22" s="18" t="s">
        <v>333</v>
      </c>
      <c r="K22" s="18" t="s">
        <v>948</v>
      </c>
      <c r="L22" s="18" t="s">
        <v>836</v>
      </c>
      <c r="M22" s="18" t="s">
        <v>939</v>
      </c>
      <c r="N22" s="18" t="s">
        <v>837</v>
      </c>
    </row>
    <row r="23" spans="1:14" ht="72" customHeight="1" x14ac:dyDescent="0.25">
      <c r="A23" s="14" t="s">
        <v>838</v>
      </c>
      <c r="B23" s="15" t="s">
        <v>332</v>
      </c>
      <c r="C23" s="15" t="s">
        <v>839</v>
      </c>
      <c r="D23" s="16" t="s">
        <v>32</v>
      </c>
      <c r="E23" s="15" t="s">
        <v>40</v>
      </c>
      <c r="F23" s="15">
        <v>13.3</v>
      </c>
      <c r="G23" s="15" t="s">
        <v>66</v>
      </c>
      <c r="H23" s="15" t="s">
        <v>241</v>
      </c>
      <c r="I23" s="15" t="s">
        <v>221</v>
      </c>
      <c r="J23" s="15" t="s">
        <v>333</v>
      </c>
      <c r="K23" s="15" t="s">
        <v>334</v>
      </c>
      <c r="L23" s="15" t="s">
        <v>840</v>
      </c>
      <c r="M23" s="15" t="s">
        <v>841</v>
      </c>
      <c r="N23" s="15" t="s">
        <v>842</v>
      </c>
    </row>
    <row r="24" spans="1:14" ht="72" customHeight="1" x14ac:dyDescent="0.25">
      <c r="A24" s="17" t="s">
        <v>1062</v>
      </c>
      <c r="B24" s="18" t="s">
        <v>332</v>
      </c>
      <c r="C24" s="18" t="s">
        <v>843</v>
      </c>
      <c r="D24" s="16" t="s">
        <v>32</v>
      </c>
      <c r="E24" s="18" t="s">
        <v>40</v>
      </c>
      <c r="F24" s="18">
        <v>13.4</v>
      </c>
      <c r="G24" s="18" t="s">
        <v>66</v>
      </c>
      <c r="H24" s="18" t="s">
        <v>241</v>
      </c>
      <c r="I24" s="18" t="s">
        <v>221</v>
      </c>
      <c r="J24" s="18" t="s">
        <v>333</v>
      </c>
      <c r="K24" s="18" t="s">
        <v>334</v>
      </c>
      <c r="L24" s="18" t="s">
        <v>844</v>
      </c>
      <c r="M24" s="18" t="s">
        <v>845</v>
      </c>
      <c r="N24" s="18" t="s">
        <v>846</v>
      </c>
    </row>
    <row r="25" spans="1:14" ht="72" customHeight="1" x14ac:dyDescent="0.25">
      <c r="A25" s="14" t="s">
        <v>242</v>
      </c>
      <c r="B25" s="15" t="s">
        <v>332</v>
      </c>
      <c r="C25" s="15" t="s">
        <v>847</v>
      </c>
      <c r="D25" s="16" t="s">
        <v>32</v>
      </c>
      <c r="E25" s="15" t="s">
        <v>40</v>
      </c>
      <c r="F25" s="15">
        <v>13.5</v>
      </c>
      <c r="G25" s="15" t="s">
        <v>66</v>
      </c>
      <c r="H25" s="15" t="s">
        <v>241</v>
      </c>
      <c r="I25" s="15" t="s">
        <v>221</v>
      </c>
      <c r="J25" s="15" t="s">
        <v>333</v>
      </c>
      <c r="K25" s="15" t="s">
        <v>948</v>
      </c>
      <c r="L25" s="15" t="s">
        <v>848</v>
      </c>
      <c r="M25" s="15" t="s">
        <v>940</v>
      </c>
      <c r="N25" s="15" t="s">
        <v>1024</v>
      </c>
    </row>
  </sheetData>
  <mergeCells count="2">
    <mergeCell ref="A2:N2"/>
    <mergeCell ref="A1:N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
  <sheetViews>
    <sheetView showGridLines="0" zoomScaleNormal="100" workbookViewId="0">
      <pane ySplit="4" topLeftCell="A5" activePane="bottomLeft" state="frozen"/>
      <selection pane="bottomLeft" activeCell="H18" sqref="H18"/>
    </sheetView>
  </sheetViews>
  <sheetFormatPr defaultColWidth="8.7109375" defaultRowHeight="15" x14ac:dyDescent="0.25"/>
  <cols>
    <col min="1" max="1" width="30" customWidth="1"/>
    <col min="2" max="2" width="22" customWidth="1"/>
    <col min="3" max="3" width="14" customWidth="1"/>
    <col min="4" max="4" width="55" customWidth="1"/>
    <col min="5" max="5" width="40" customWidth="1"/>
    <col min="6" max="6" width="22" customWidth="1"/>
    <col min="7" max="9" width="10" customWidth="1"/>
  </cols>
  <sheetData>
    <row r="1" spans="1:9" ht="21.75" customHeight="1" x14ac:dyDescent="0.25">
      <c r="A1" s="26" t="s">
        <v>243</v>
      </c>
      <c r="B1" s="25"/>
      <c r="C1" s="25"/>
      <c r="D1" s="25"/>
      <c r="E1" s="25"/>
      <c r="F1" s="25"/>
      <c r="G1" s="25"/>
      <c r="H1" s="25"/>
      <c r="I1" s="25"/>
    </row>
    <row r="2" spans="1:9" ht="18" customHeight="1" x14ac:dyDescent="0.25">
      <c r="A2" s="24" t="s">
        <v>244</v>
      </c>
      <c r="B2" s="25"/>
      <c r="C2" s="25"/>
      <c r="D2" s="25"/>
      <c r="E2" s="25"/>
      <c r="F2" s="25"/>
      <c r="G2" s="25"/>
      <c r="H2" s="25"/>
      <c r="I2" s="25"/>
    </row>
    <row r="3" spans="1:9" ht="6" customHeight="1" x14ac:dyDescent="0.25"/>
    <row r="4" spans="1:9" ht="30" customHeight="1" x14ac:dyDescent="0.25">
      <c r="A4" s="13" t="s">
        <v>245</v>
      </c>
      <c r="B4" s="13" t="s">
        <v>246</v>
      </c>
      <c r="C4" s="13" t="s">
        <v>247</v>
      </c>
      <c r="D4" s="13" t="s">
        <v>248</v>
      </c>
      <c r="E4" s="13" t="s">
        <v>249</v>
      </c>
      <c r="F4" s="13" t="s">
        <v>250</v>
      </c>
      <c r="G4" s="13" t="s">
        <v>251</v>
      </c>
      <c r="H4" s="13" t="s">
        <v>252</v>
      </c>
      <c r="I4" s="13" t="s">
        <v>253</v>
      </c>
    </row>
    <row r="5" spans="1:9" ht="37.5" customHeight="1" x14ac:dyDescent="0.25">
      <c r="A5" s="14" t="s">
        <v>1025</v>
      </c>
      <c r="B5" s="15" t="s">
        <v>31</v>
      </c>
      <c r="C5" s="15" t="s">
        <v>37</v>
      </c>
      <c r="D5" s="15" t="s">
        <v>941</v>
      </c>
      <c r="E5" s="15" t="s">
        <v>849</v>
      </c>
      <c r="F5" s="21">
        <f>COUNTIF('Mapeo de Capacidades de Dominio'!$H:$H,$A5)</f>
        <v>17</v>
      </c>
      <c r="G5" s="21">
        <f>COUNTIFS('Mapeo de Capacidades de Dominio'!$H:$H,$A5,'Mapeo de Capacidades de Dominio'!$D:$D,"P0*")</f>
        <v>16</v>
      </c>
      <c r="H5" s="21">
        <f>COUNTIFS('Mapeo de Capacidades de Dominio'!$H:$H,$A5,'Mapeo de Capacidades de Dominio'!$D:$D,"P1*")</f>
        <v>0</v>
      </c>
      <c r="I5" s="21">
        <f>COUNTIFS('Mapeo de Capacidades de Dominio'!$H:$H,$A5,'Mapeo de Capacidades de Dominio'!$D:$D,"P2*")</f>
        <v>1</v>
      </c>
    </row>
    <row r="6" spans="1:9" ht="37.5" customHeight="1" x14ac:dyDescent="0.25">
      <c r="A6" s="17" t="s">
        <v>1026</v>
      </c>
      <c r="B6" s="18" t="s">
        <v>31</v>
      </c>
      <c r="C6" s="18" t="s">
        <v>39</v>
      </c>
      <c r="D6" s="18" t="s">
        <v>850</v>
      </c>
      <c r="E6" s="18" t="s">
        <v>851</v>
      </c>
      <c r="F6" s="22">
        <f>COUNTIF('Mapeo de Capacidades de Dominio'!$H:$H,$A6)</f>
        <v>14</v>
      </c>
      <c r="G6" s="22">
        <f>COUNTIFS('Mapeo de Capacidades de Dominio'!$H:$H,$A6,'Mapeo de Capacidades de Dominio'!$D:$D,"P0*")</f>
        <v>11</v>
      </c>
      <c r="H6" s="22">
        <f>COUNTIFS('Mapeo de Capacidades de Dominio'!$H:$H,$A6,'Mapeo de Capacidades de Dominio'!$D:$D,"P1*")</f>
        <v>3</v>
      </c>
      <c r="I6" s="22">
        <f>COUNTIFS('Mapeo de Capacidades de Dominio'!$H:$H,$A6,'Mapeo de Capacidades de Dominio'!$D:$D,"P2*")</f>
        <v>0</v>
      </c>
    </row>
    <row r="7" spans="1:9" ht="37.5" customHeight="1" x14ac:dyDescent="0.25">
      <c r="A7" s="14" t="s">
        <v>1027</v>
      </c>
      <c r="B7" s="15" t="s">
        <v>31</v>
      </c>
      <c r="C7" s="15" t="s">
        <v>37</v>
      </c>
      <c r="D7" s="15" t="s">
        <v>942</v>
      </c>
      <c r="E7" s="15" t="s">
        <v>852</v>
      </c>
      <c r="F7" s="21">
        <f>COUNTIF('Mapeo de Capacidades de Dominio'!$H:$H,$A7)</f>
        <v>18</v>
      </c>
      <c r="G7" s="21">
        <f>COUNTIFS('Mapeo de Capacidades de Dominio'!$H:$H,$A7,'Mapeo de Capacidades de Dominio'!$D:$D,"P0*")</f>
        <v>14</v>
      </c>
      <c r="H7" s="21">
        <f>COUNTIFS('Mapeo de Capacidades de Dominio'!$H:$H,$A7,'Mapeo de Capacidades de Dominio'!$D:$D,"P1*")</f>
        <v>4</v>
      </c>
      <c r="I7" s="21">
        <f>COUNTIFS('Mapeo de Capacidades de Dominio'!$H:$H,$A7,'Mapeo de Capacidades de Dominio'!$D:$D,"P2*")</f>
        <v>0</v>
      </c>
    </row>
    <row r="8" spans="1:9" ht="37.5" customHeight="1" x14ac:dyDescent="0.25">
      <c r="A8" s="17" t="s">
        <v>1028</v>
      </c>
      <c r="B8" s="18" t="s">
        <v>254</v>
      </c>
      <c r="C8" s="18" t="s">
        <v>39</v>
      </c>
      <c r="D8" s="18" t="s">
        <v>853</v>
      </c>
      <c r="E8" s="18" t="s">
        <v>854</v>
      </c>
      <c r="F8" s="22">
        <f>COUNTIF('Mapeo de Capacidades de Dominio'!$H:$H,$A8)</f>
        <v>14</v>
      </c>
      <c r="G8" s="22">
        <f>COUNTIFS('Mapeo de Capacidades de Dominio'!$H:$H,$A8,'Mapeo de Capacidades de Dominio'!$D:$D,"P0*")</f>
        <v>9</v>
      </c>
      <c r="H8" s="22">
        <f>COUNTIFS('Mapeo de Capacidades de Dominio'!$H:$H,$A8,'Mapeo de Capacidades de Dominio'!$D:$D,"P1*")</f>
        <v>5</v>
      </c>
      <c r="I8" s="22">
        <f>COUNTIFS('Mapeo de Capacidades de Dominio'!$H:$H,$A8,'Mapeo de Capacidades de Dominio'!$D:$D,"P2*")</f>
        <v>0</v>
      </c>
    </row>
    <row r="9" spans="1:9" ht="37.5" customHeight="1" x14ac:dyDescent="0.25">
      <c r="A9" s="14" t="s">
        <v>566</v>
      </c>
      <c r="B9" s="15" t="s">
        <v>255</v>
      </c>
      <c r="C9" s="15" t="s">
        <v>39</v>
      </c>
      <c r="D9" s="15" t="s">
        <v>943</v>
      </c>
      <c r="E9" s="15" t="s">
        <v>1063</v>
      </c>
      <c r="F9" s="21">
        <f>COUNTIF('Mapeo de Capacidades de Dominio'!$H:$H,$A9)</f>
        <v>10</v>
      </c>
      <c r="G9" s="21">
        <f>COUNTIFS('Mapeo de Capacidades de Dominio'!$H:$H,$A9,'Mapeo de Capacidades de Dominio'!$D:$D,"P0*")</f>
        <v>6</v>
      </c>
      <c r="H9" s="21">
        <f>COUNTIFS('Mapeo de Capacidades de Dominio'!$H:$H,$A9,'Mapeo de Capacidades de Dominio'!$D:$D,"P1*")</f>
        <v>4</v>
      </c>
      <c r="I9" s="21">
        <f>COUNTIFS('Mapeo de Capacidades de Dominio'!$H:$H,$A9,'Mapeo de Capacidades de Dominio'!$D:$D,"P2*")</f>
        <v>0</v>
      </c>
    </row>
    <row r="10" spans="1:9" ht="37.5" customHeight="1" x14ac:dyDescent="0.25">
      <c r="A10" s="17" t="s">
        <v>1029</v>
      </c>
      <c r="B10" s="18" t="s">
        <v>31</v>
      </c>
      <c r="C10" s="18" t="s">
        <v>37</v>
      </c>
      <c r="D10" s="18" t="s">
        <v>1064</v>
      </c>
      <c r="E10" s="18" t="s">
        <v>855</v>
      </c>
      <c r="F10" s="22">
        <f>COUNTIF('Mapeo de Capacidades de Dominio'!$H:$H,$A10)</f>
        <v>18</v>
      </c>
      <c r="G10" s="22">
        <f>COUNTIFS('Mapeo de Capacidades de Dominio'!$H:$H,$A10,'Mapeo de Capacidades de Dominio'!$D:$D,"P0*")</f>
        <v>17</v>
      </c>
      <c r="H10" s="22">
        <f>COUNTIFS('Mapeo de Capacidades de Dominio'!$H:$H,$A10,'Mapeo de Capacidades de Dominio'!$D:$D,"P1*")</f>
        <v>1</v>
      </c>
      <c r="I10" s="22">
        <f>COUNTIFS('Mapeo de Capacidades de Dominio'!$H:$H,$A10,'Mapeo de Capacidades de Dominio'!$D:$D,"P2*")</f>
        <v>0</v>
      </c>
    </row>
    <row r="11" spans="1:9" ht="37.5" customHeight="1" x14ac:dyDescent="0.25">
      <c r="A11" s="14" t="s">
        <v>670</v>
      </c>
      <c r="B11" s="15" t="s">
        <v>31</v>
      </c>
      <c r="C11" s="15" t="s">
        <v>39</v>
      </c>
      <c r="D11" s="15" t="s">
        <v>1088</v>
      </c>
      <c r="E11" s="15" t="s">
        <v>1065</v>
      </c>
      <c r="F11" s="21">
        <f>COUNTIF('Mapeo de Capacidades de Dominio'!$H:$H,$A11)</f>
        <v>12</v>
      </c>
      <c r="G11" s="21">
        <f>COUNTIFS('Mapeo de Capacidades de Dominio'!$H:$H,$A11,'Mapeo de Capacidades de Dominio'!$D:$D,"P0*")</f>
        <v>12</v>
      </c>
      <c r="H11" s="21">
        <f>COUNTIFS('Mapeo de Capacidades de Dominio'!$H:$H,$A11,'Mapeo de Capacidades de Dominio'!$D:$D,"P1*")</f>
        <v>0</v>
      </c>
      <c r="I11" s="21">
        <f>COUNTIFS('Mapeo de Capacidades de Dominio'!$H:$H,$A11,'Mapeo de Capacidades de Dominio'!$D:$D,"P2*")</f>
        <v>0</v>
      </c>
    </row>
    <row r="12" spans="1:9" ht="37.5" customHeight="1" x14ac:dyDescent="0.25">
      <c r="A12" s="17" t="s">
        <v>1030</v>
      </c>
      <c r="B12" s="18" t="s">
        <v>31</v>
      </c>
      <c r="C12" s="18" t="s">
        <v>37</v>
      </c>
      <c r="D12" s="18" t="s">
        <v>944</v>
      </c>
      <c r="E12" s="18" t="s">
        <v>1066</v>
      </c>
      <c r="F12" s="22">
        <f>COUNTIF('Mapeo de Capacidades de Dominio'!$H:$H,$A12)</f>
        <v>18</v>
      </c>
      <c r="G12" s="22">
        <f>COUNTIFS('Mapeo de Capacidades de Dominio'!$H:$H,$A12,'Mapeo de Capacidades de Dominio'!$D:$D,"P0*")</f>
        <v>17</v>
      </c>
      <c r="H12" s="22">
        <f>COUNTIFS('Mapeo de Capacidades de Dominio'!$H:$H,$A12,'Mapeo de Capacidades de Dominio'!$D:$D,"P1*")</f>
        <v>1</v>
      </c>
      <c r="I12" s="22">
        <f>COUNTIFS('Mapeo de Capacidades de Dominio'!$H:$H,$A12,'Mapeo de Capacidades de Dominio'!$D:$D,"P2*")</f>
        <v>0</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showGridLines="0" zoomScaleNormal="100" workbookViewId="0">
      <pane ySplit="4" topLeftCell="A5" activePane="bottomLeft" state="frozen"/>
      <selection pane="bottomLeft" sqref="A1:E1"/>
    </sheetView>
  </sheetViews>
  <sheetFormatPr defaultColWidth="8.7109375" defaultRowHeight="15" x14ac:dyDescent="0.25"/>
  <cols>
    <col min="1" max="3" width="36" customWidth="1"/>
    <col min="4" max="4" width="48" customWidth="1"/>
    <col min="5" max="5" width="20" customWidth="1"/>
  </cols>
  <sheetData>
    <row r="1" spans="1:5" ht="21.75" customHeight="1" x14ac:dyDescent="0.25">
      <c r="A1" s="26" t="s">
        <v>256</v>
      </c>
      <c r="B1" s="25"/>
      <c r="C1" s="25"/>
      <c r="D1" s="25"/>
      <c r="E1" s="25"/>
    </row>
    <row r="2" spans="1:5" ht="18" customHeight="1" x14ac:dyDescent="0.25">
      <c r="A2" s="24" t="s">
        <v>257</v>
      </c>
      <c r="B2" s="25"/>
      <c r="C2" s="25"/>
      <c r="D2" s="25"/>
      <c r="E2" s="25"/>
    </row>
    <row r="3" spans="1:5" ht="6" customHeight="1" x14ac:dyDescent="0.25"/>
    <row r="4" spans="1:5" ht="30" customHeight="1" x14ac:dyDescent="0.25">
      <c r="A4" s="13" t="s">
        <v>258</v>
      </c>
      <c r="B4" s="13" t="s">
        <v>61</v>
      </c>
      <c r="C4" s="13" t="s">
        <v>259</v>
      </c>
      <c r="D4" s="13" t="s">
        <v>260</v>
      </c>
      <c r="E4" s="13" t="s">
        <v>261</v>
      </c>
    </row>
    <row r="5" spans="1:5" ht="48" customHeight="1" x14ac:dyDescent="0.25">
      <c r="A5" s="14" t="s">
        <v>296</v>
      </c>
      <c r="B5" s="15" t="s">
        <v>70</v>
      </c>
      <c r="C5" s="15" t="s">
        <v>297</v>
      </c>
      <c r="D5" s="15" t="s">
        <v>298</v>
      </c>
      <c r="E5" s="15" t="s">
        <v>262</v>
      </c>
    </row>
    <row r="6" spans="1:5" ht="48" customHeight="1" x14ac:dyDescent="0.25">
      <c r="A6" s="17" t="s">
        <v>263</v>
      </c>
      <c r="B6" s="18" t="s">
        <v>97</v>
      </c>
      <c r="C6" s="18" t="s">
        <v>299</v>
      </c>
      <c r="D6" s="18" t="s">
        <v>300</v>
      </c>
      <c r="E6" s="18" t="s">
        <v>264</v>
      </c>
    </row>
    <row r="7" spans="1:5" ht="48" customHeight="1" x14ac:dyDescent="0.25">
      <c r="A7" s="14" t="s">
        <v>265</v>
      </c>
      <c r="B7" s="15" t="s">
        <v>266</v>
      </c>
      <c r="C7" s="15" t="s">
        <v>267</v>
      </c>
      <c r="D7" s="15" t="s">
        <v>301</v>
      </c>
      <c r="E7" s="15" t="s">
        <v>268</v>
      </c>
    </row>
    <row r="8" spans="1:5" ht="48" customHeight="1" x14ac:dyDescent="0.25">
      <c r="A8" s="17" t="s">
        <v>269</v>
      </c>
      <c r="B8" s="18" t="s">
        <v>270</v>
      </c>
      <c r="C8" s="18" t="s">
        <v>302</v>
      </c>
      <c r="D8" s="18" t="s">
        <v>303</v>
      </c>
      <c r="E8" s="18" t="s">
        <v>271</v>
      </c>
    </row>
    <row r="9" spans="1:5" ht="48" customHeight="1" x14ac:dyDescent="0.25">
      <c r="A9" s="14" t="s">
        <v>272</v>
      </c>
      <c r="B9" s="15" t="s">
        <v>273</v>
      </c>
      <c r="C9" s="15" t="s">
        <v>304</v>
      </c>
      <c r="D9" s="15" t="s">
        <v>305</v>
      </c>
      <c r="E9" s="15" t="s">
        <v>274</v>
      </c>
    </row>
    <row r="10" spans="1:5" ht="48" customHeight="1" x14ac:dyDescent="0.25">
      <c r="A10" s="17" t="s">
        <v>275</v>
      </c>
      <c r="B10" s="18" t="s">
        <v>276</v>
      </c>
      <c r="C10" s="18" t="s">
        <v>306</v>
      </c>
      <c r="D10" s="18" t="s">
        <v>307</v>
      </c>
      <c r="E10" s="18" t="s">
        <v>262</v>
      </c>
    </row>
    <row r="11" spans="1:5" ht="48" customHeight="1" x14ac:dyDescent="0.25">
      <c r="A11" s="14" t="s">
        <v>277</v>
      </c>
      <c r="B11" s="15" t="s">
        <v>161</v>
      </c>
      <c r="C11" s="15" t="s">
        <v>278</v>
      </c>
      <c r="D11" s="15" t="s">
        <v>308</v>
      </c>
      <c r="E11" s="15" t="s">
        <v>274</v>
      </c>
    </row>
    <row r="12" spans="1:5" ht="48" customHeight="1" x14ac:dyDescent="0.25">
      <c r="A12" s="17" t="s">
        <v>279</v>
      </c>
      <c r="B12" s="18" t="s">
        <v>280</v>
      </c>
      <c r="C12" s="18" t="s">
        <v>309</v>
      </c>
      <c r="D12" s="18" t="s">
        <v>310</v>
      </c>
      <c r="E12" s="18" t="s">
        <v>281</v>
      </c>
    </row>
    <row r="13" spans="1:5" ht="48" customHeight="1" x14ac:dyDescent="0.25">
      <c r="A13" s="14" t="s">
        <v>311</v>
      </c>
      <c r="B13" s="15" t="s">
        <v>312</v>
      </c>
      <c r="C13" s="15" t="s">
        <v>313</v>
      </c>
      <c r="D13" s="15" t="s">
        <v>314</v>
      </c>
      <c r="E13" s="15" t="s">
        <v>282</v>
      </c>
    </row>
  </sheetData>
  <mergeCells count="2">
    <mergeCell ref="A2:E2"/>
    <mergeCell ref="A1:E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showGridLines="0" zoomScaleNormal="100" workbookViewId="0">
      <selection activeCell="B6" sqref="B6"/>
    </sheetView>
  </sheetViews>
  <sheetFormatPr defaultColWidth="8.7109375" defaultRowHeight="15" x14ac:dyDescent="0.25"/>
  <cols>
    <col min="1" max="1" width="28" customWidth="1"/>
    <col min="2" max="2" width="152.5703125" customWidth="1"/>
  </cols>
  <sheetData>
    <row r="1" spans="1:2" ht="21.75" customHeight="1" x14ac:dyDescent="0.25">
      <c r="A1" s="26" t="s">
        <v>283</v>
      </c>
      <c r="B1" s="25"/>
    </row>
    <row r="2" spans="1:2" ht="18" customHeight="1" x14ac:dyDescent="0.25">
      <c r="A2" s="24" t="s">
        <v>284</v>
      </c>
      <c r="B2" s="25"/>
    </row>
    <row r="3" spans="1:2" ht="7.5" customHeight="1" x14ac:dyDescent="0.25"/>
    <row r="4" spans="1:2" ht="19.5" customHeight="1" x14ac:dyDescent="0.25">
      <c r="A4" s="23" t="s">
        <v>285</v>
      </c>
      <c r="B4" s="23" t="s">
        <v>286</v>
      </c>
    </row>
    <row r="5" spans="1:2" ht="36" customHeight="1" x14ac:dyDescent="0.25">
      <c r="A5" s="14" t="s">
        <v>287</v>
      </c>
      <c r="B5" s="15" t="s">
        <v>1067</v>
      </c>
    </row>
    <row r="6" spans="1:2" ht="36" customHeight="1" x14ac:dyDescent="0.25">
      <c r="A6" s="17" t="s">
        <v>287</v>
      </c>
      <c r="B6" s="18" t="s">
        <v>1068</v>
      </c>
    </row>
    <row r="7" spans="1:2" ht="36" customHeight="1" x14ac:dyDescent="0.25">
      <c r="A7" s="14" t="s">
        <v>288</v>
      </c>
      <c r="B7" s="15" t="s">
        <v>945</v>
      </c>
    </row>
    <row r="8" spans="1:2" ht="36" customHeight="1" x14ac:dyDescent="0.25">
      <c r="A8" s="17" t="s">
        <v>289</v>
      </c>
      <c r="B8" s="18" t="s">
        <v>1069</v>
      </c>
    </row>
    <row r="9" spans="1:2" ht="36" customHeight="1" x14ac:dyDescent="0.25">
      <c r="A9" s="14" t="s">
        <v>290</v>
      </c>
      <c r="B9" s="15" t="s">
        <v>856</v>
      </c>
    </row>
    <row r="10" spans="1:2" ht="36" customHeight="1" x14ac:dyDescent="0.25">
      <c r="A10" s="17" t="s">
        <v>291</v>
      </c>
      <c r="B10" s="18" t="s">
        <v>1070</v>
      </c>
    </row>
    <row r="11" spans="1:2" ht="36" customHeight="1" x14ac:dyDescent="0.25">
      <c r="A11" s="14" t="s">
        <v>292</v>
      </c>
      <c r="B11" s="15" t="s">
        <v>293</v>
      </c>
    </row>
    <row r="12" spans="1:2" ht="36" customHeight="1" x14ac:dyDescent="0.25">
      <c r="A12" s="17" t="s">
        <v>15</v>
      </c>
      <c r="B12" s="18" t="s">
        <v>315</v>
      </c>
    </row>
    <row r="13" spans="1:2" ht="36" customHeight="1" x14ac:dyDescent="0.25">
      <c r="A13" s="14" t="s">
        <v>294</v>
      </c>
      <c r="B13" s="15" t="s">
        <v>857</v>
      </c>
    </row>
    <row r="14" spans="1:2" ht="36" customHeight="1" x14ac:dyDescent="0.25">
      <c r="A14" s="17" t="s">
        <v>295</v>
      </c>
      <c r="B14" s="18" t="s">
        <v>858</v>
      </c>
    </row>
  </sheetData>
  <mergeCells count="2">
    <mergeCell ref="A2:B2"/>
    <mergeCell ref="A1:B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251E45-0D20-417E-B3EB-E28F5CBF502B}">
  <ds:schemaRefs>
    <ds:schemaRef ds:uri="http://schemas.microsoft.com/office/2006/metadata/properties"/>
    <ds:schemaRef ds:uri="http://schemas.microsoft.com/office/infopath/2007/PartnerControls"/>
    <ds:schemaRef ds:uri="bcf21e1d-e7b2-4ba8-bb72-ca5e3ff425f9"/>
  </ds:schemaRefs>
</ds:datastoreItem>
</file>

<file path=customXml/itemProps2.xml><?xml version="1.0" encoding="utf-8"?>
<ds:datastoreItem xmlns:ds="http://schemas.openxmlformats.org/officeDocument/2006/customXml" ds:itemID="{9023BB3F-46FF-4908-AB91-81D09899D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EA6471-9A4F-45A5-AA27-DE94C96CC605}">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vt:lpstr>
      <vt:lpstr>Mapeo de Capacidades de Dominio</vt:lpstr>
      <vt:lpstr>Kernel de Soporte</vt:lpstr>
      <vt:lpstr>Vista por Familia de Dominio</vt:lpstr>
      <vt:lpstr>Impulsores de Contexto R4</vt:lpstr>
      <vt:lpstr>Fuentes y Metodología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Villena, Jose</cp:lastModifiedBy>
  <cp:revision>0</cp:revision>
  <dcterms:created xsi:type="dcterms:W3CDTF">2026-08-12T18:16:01Z</dcterms:created>
  <dcterms:modified xsi:type="dcterms:W3CDTF">2026-08-14T16:56:02Z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